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8920" yWindow="-645" windowWidth="29040" windowHeight="15840" tabRatio="959" activeTab="7"/>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עוקב מדדי מניות - DIV" sheetId="45" r:id="rId13"/>
    <sheet name="מניות סחיר - 100% ישראל" sheetId="46" r:id="rId14"/>
    <sheet name="אג&quot;ח ממשלות" sheetId="12" r:id="rId15"/>
    <sheet name="מסלול מניות" sheetId="11" r:id="rId16"/>
    <sheet name="הכשרה - עוקב מדד S&amp;P500" sheetId="30" r:id="rId17"/>
    <sheet name="בתי השקעות - כללי" sheetId="24" r:id="rId18"/>
    <sheet name="פיזור ענפי - טיוטא" sheetId="38" state="hidden" r:id="rId19"/>
  </sheets>
  <definedNames>
    <definedName name="_xlnm.Print_Area" localSheetId="17">'בתי השקעות - כללי'!$B$1:$K$77</definedName>
    <definedName name="_xlnm.Print_Area" localSheetId="6">'הכשרה - מסלול בסיסי למקבלי קצבה'!$A$1:$J$16</definedName>
    <definedName name="_xlnm.Print_Area" localSheetId="9">'הכשרה - משולב סחיר'!#REF!</definedName>
    <definedName name="_xlnm.Print_Area" localSheetId="16">'הכשרה - עוקב מדד S&amp;P500'!#REF!</definedName>
    <definedName name="_xlnm.Print_Area" localSheetId="8">'הכשרה - עוקב מדדים גמיש'!#REF!</definedName>
  </definedNames>
  <calcPr calcId="162913"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17" l="1"/>
  <c r="F16" i="17"/>
  <c r="H17" i="17"/>
  <c r="H16" i="17"/>
  <c r="D17" i="17"/>
  <c r="D16" i="17"/>
  <c r="H26" i="11" l="1"/>
  <c r="F26" i="11"/>
  <c r="D26" i="11"/>
  <c r="H36" i="12" l="1"/>
  <c r="F36" i="12"/>
  <c r="D36" i="12"/>
  <c r="H35" i="12"/>
  <c r="F35" i="12"/>
  <c r="D35" i="12"/>
  <c r="I24" i="24" l="1"/>
  <c r="G24" i="24"/>
  <c r="E24" i="24"/>
  <c r="I23" i="24" l="1"/>
  <c r="G23" i="24"/>
  <c r="E23" i="24"/>
  <c r="I22" i="24"/>
  <c r="G22" i="24"/>
  <c r="E22" i="24"/>
  <c r="I21" i="24"/>
  <c r="G21" i="24"/>
  <c r="E21" i="24"/>
  <c r="A10" i="46" l="1"/>
  <c r="F9" i="46"/>
  <c r="D9" i="46"/>
  <c r="B8" i="46"/>
  <c r="F7" i="46"/>
  <c r="D7" i="46"/>
  <c r="F4" i="46"/>
  <c r="D4" i="46"/>
  <c r="B3" i="46"/>
  <c r="A10" i="45"/>
  <c r="F9" i="45"/>
  <c r="D9" i="45"/>
  <c r="B8" i="45"/>
  <c r="F7" i="45"/>
  <c r="D7" i="45"/>
  <c r="F4" i="45"/>
  <c r="D4" i="45"/>
  <c r="B3" i="45"/>
  <c r="H23" i="10" l="1"/>
  <c r="F23" i="10"/>
  <c r="D23" i="10"/>
  <c r="H22" i="10"/>
  <c r="F22" i="10"/>
  <c r="D22" i="10"/>
  <c r="H21" i="10"/>
  <c r="F21" i="10"/>
  <c r="D21" i="10"/>
  <c r="H25" i="1" l="1"/>
  <c r="F25" i="1"/>
  <c r="D25" i="1"/>
  <c r="H24" i="1"/>
  <c r="F24" i="1"/>
  <c r="D24" i="1"/>
  <c r="H22" i="1"/>
  <c r="F22" i="1"/>
  <c r="H23" i="1"/>
  <c r="F23" i="1"/>
  <c r="D23" i="1"/>
  <c r="D22" i="1"/>
  <c r="H21" i="1"/>
  <c r="F21" i="1"/>
  <c r="D21" i="1"/>
  <c r="J9" i="2" l="1"/>
  <c r="B15" i="12" l="1"/>
  <c r="B13" i="12"/>
  <c r="B12" i="12"/>
  <c r="B11" i="12"/>
  <c r="B9" i="12"/>
  <c r="B7" i="12"/>
  <c r="B4" i="12"/>
  <c r="B16" i="11"/>
  <c r="B14" i="11"/>
  <c r="B13" i="11"/>
  <c r="B12" i="11"/>
  <c r="B10" i="11"/>
  <c r="B8" i="11"/>
  <c r="B5" i="11"/>
  <c r="J11" i="44" l="1"/>
  <c r="H11" i="44"/>
  <c r="F11" i="44"/>
  <c r="F4" i="30" l="1"/>
  <c r="J3" i="30" l="1"/>
  <c r="D3" i="30"/>
  <c r="C3" i="30"/>
  <c r="B3" i="30"/>
  <c r="J4" i="11"/>
  <c r="D4" i="11"/>
  <c r="C4" i="11"/>
  <c r="J16" i="11"/>
  <c r="J14" i="11"/>
  <c r="J13" i="11"/>
  <c r="J12" i="11"/>
  <c r="J10" i="11"/>
  <c r="J8" i="11"/>
  <c r="J5" i="11"/>
  <c r="B29" i="12"/>
  <c r="J28" i="12"/>
  <c r="J27" i="12"/>
  <c r="J26" i="12"/>
  <c r="J24" i="12"/>
  <c r="J22" i="12"/>
  <c r="J18" i="12"/>
  <c r="D18" i="12"/>
  <c r="C18" i="12"/>
  <c r="B17" i="24"/>
  <c r="B77" i="24" s="1"/>
  <c r="A7" i="30"/>
  <c r="A17" i="11"/>
  <c r="A31" i="12"/>
  <c r="A16" i="12"/>
  <c r="A15" i="44"/>
  <c r="A16" i="43"/>
  <c r="A14" i="42"/>
  <c r="A14" i="41"/>
  <c r="A8" i="17"/>
  <c r="A17" i="22"/>
  <c r="A17" i="20"/>
  <c r="A17" i="19"/>
  <c r="A17" i="18"/>
  <c r="A17" i="10"/>
  <c r="A19" i="2"/>
  <c r="J13" i="12"/>
  <c r="J12" i="12"/>
  <c r="J11" i="12"/>
  <c r="J9" i="12"/>
  <c r="J7" i="12"/>
  <c r="J3" i="12"/>
  <c r="D3" i="12"/>
  <c r="C3" i="12"/>
  <c r="J14" i="44"/>
  <c r="J12" i="44"/>
  <c r="J9" i="44"/>
  <c r="J7" i="44"/>
  <c r="J4" i="44"/>
  <c r="J12" i="43"/>
  <c r="H12" i="43"/>
  <c r="F12" i="43"/>
  <c r="J13" i="43"/>
  <c r="J11" i="43"/>
  <c r="J9" i="43"/>
  <c r="J7" i="43"/>
  <c r="J4" i="43"/>
  <c r="J11" i="42"/>
  <c r="J9" i="42"/>
  <c r="J7" i="42"/>
  <c r="J4" i="42"/>
  <c r="J11" i="41"/>
  <c r="J9" i="41"/>
  <c r="J7" i="41"/>
  <c r="J4" i="41"/>
  <c r="J5" i="17"/>
  <c r="J4" i="17"/>
  <c r="B9" i="2"/>
  <c r="B95" i="24" l="1"/>
  <c r="B41" i="24"/>
  <c r="B59" i="24"/>
  <c r="J3" i="44"/>
  <c r="D3" i="44"/>
  <c r="C3" i="44"/>
  <c r="B3" i="44"/>
  <c r="J3" i="43"/>
  <c r="D3" i="43"/>
  <c r="C3" i="43"/>
  <c r="B3" i="43"/>
  <c r="J3" i="42"/>
  <c r="D3" i="42"/>
  <c r="C3" i="42"/>
  <c r="B3" i="42"/>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9" i="24"/>
  <c r="E39" i="24"/>
  <c r="D39" i="24"/>
  <c r="D57" i="24"/>
  <c r="D75" i="24"/>
  <c r="D93" i="24"/>
  <c r="K82" i="24" l="1"/>
  <c r="K64" i="24"/>
  <c r="K46" i="24"/>
  <c r="K28" i="24"/>
  <c r="D82" i="24" l="1"/>
  <c r="C82" i="24"/>
  <c r="D64" i="24"/>
  <c r="C64" i="24"/>
  <c r="D46" i="24"/>
  <c r="C46" i="24"/>
  <c r="C28" i="24"/>
  <c r="D28" i="24"/>
  <c r="E64" i="24"/>
  <c r="E82" i="24"/>
  <c r="E46" i="24"/>
  <c r="E28" i="24"/>
  <c r="H14" i="44" l="1"/>
  <c r="F14" i="44"/>
  <c r="J13" i="44"/>
  <c r="D13" i="44"/>
  <c r="C13" i="44"/>
  <c r="B13" i="44"/>
  <c r="H12" i="44"/>
  <c r="F12"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7" i="42" l="1"/>
  <c r="F7" i="4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2"/>
  <c r="H13" i="42"/>
  <c r="F13" i="42"/>
  <c r="J12" i="42"/>
  <c r="D12" i="42"/>
  <c r="C12" i="42"/>
  <c r="B12" i="42"/>
  <c r="H11" i="42"/>
  <c r="F11" i="42"/>
  <c r="H9" i="42"/>
  <c r="F9" i="42"/>
  <c r="H4" i="42"/>
  <c r="F4" i="42"/>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93" i="24" l="1"/>
  <c r="C75" i="24"/>
  <c r="C57"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92" i="24" l="1"/>
  <c r="I91" i="24"/>
  <c r="I90" i="24"/>
  <c r="I14" i="24"/>
  <c r="I13" i="24"/>
  <c r="I12" i="24"/>
  <c r="I38" i="24"/>
  <c r="I37" i="24"/>
  <c r="I36" i="24"/>
  <c r="I56" i="24"/>
  <c r="I55" i="24"/>
  <c r="I54" i="24"/>
  <c r="I72" i="24"/>
  <c r="I74" i="24"/>
  <c r="I73" i="24"/>
  <c r="I94" i="24" l="1"/>
  <c r="G94" i="24"/>
  <c r="G92" i="24"/>
  <c r="G91" i="24"/>
  <c r="G90" i="24"/>
  <c r="I88" i="24"/>
  <c r="G88" i="24"/>
  <c r="I86" i="24"/>
  <c r="G86" i="24"/>
  <c r="I83" i="24"/>
  <c r="G83" i="24"/>
  <c r="I76" i="24"/>
  <c r="G76" i="24"/>
  <c r="G74" i="24"/>
  <c r="G73" i="24"/>
  <c r="G72" i="24"/>
  <c r="I70" i="24"/>
  <c r="G70" i="24"/>
  <c r="I68" i="24"/>
  <c r="G68" i="24"/>
  <c r="I65" i="24"/>
  <c r="G65" i="24"/>
  <c r="I58" i="24"/>
  <c r="G58" i="24"/>
  <c r="G56" i="24"/>
  <c r="G55" i="24"/>
  <c r="G54" i="24"/>
  <c r="I52" i="24"/>
  <c r="G52" i="24"/>
  <c r="I50" i="24"/>
  <c r="G50" i="24"/>
  <c r="I47" i="24"/>
  <c r="G47" i="24"/>
  <c r="I16" i="24"/>
  <c r="G16" i="24"/>
  <c r="G14" i="24"/>
  <c r="G13" i="24"/>
  <c r="G12" i="24"/>
  <c r="I10" i="24"/>
  <c r="G10" i="24"/>
  <c r="I8" i="24"/>
  <c r="G8" i="24"/>
  <c r="I5" i="24"/>
  <c r="G5" i="24"/>
  <c r="G32" i="24"/>
  <c r="I40" i="24"/>
  <c r="G40" i="24"/>
  <c r="G38" i="24"/>
  <c r="G37" i="24"/>
  <c r="G36" i="24"/>
  <c r="I34" i="24"/>
  <c r="G34" i="24"/>
  <c r="I32" i="24"/>
  <c r="I29" i="24"/>
  <c r="G29"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94" i="24" l="1"/>
  <c r="K86" i="24"/>
  <c r="K83" i="24"/>
  <c r="K92" i="24"/>
  <c r="K91" i="24"/>
  <c r="K90" i="24"/>
  <c r="K88" i="24"/>
  <c r="E93" i="24"/>
  <c r="K93" i="24" s="1"/>
  <c r="C17" i="2"/>
  <c r="J18" i="2" l="1"/>
  <c r="E57" i="24" l="1"/>
  <c r="E75" i="24" l="1"/>
  <c r="J16" i="19" l="1"/>
  <c r="D15" i="22" l="1"/>
  <c r="D15" i="19"/>
  <c r="D15" i="18"/>
  <c r="D17" i="2"/>
  <c r="D15" i="10"/>
  <c r="D15" i="1"/>
  <c r="B15" i="22" l="1"/>
  <c r="B15" i="20"/>
  <c r="B15" i="19"/>
  <c r="B17" i="2"/>
  <c r="B15" i="10"/>
  <c r="K76" i="24" l="1"/>
  <c r="K74" i="24"/>
  <c r="K73" i="24"/>
  <c r="K72" i="24"/>
  <c r="K70" i="24"/>
  <c r="K68" i="24"/>
  <c r="K65" i="24"/>
  <c r="K75" i="24" l="1"/>
  <c r="C15" i="22"/>
  <c r="C15" i="19"/>
  <c r="C15" i="18"/>
  <c r="C15" i="10"/>
  <c r="C15" i="1"/>
  <c r="J16" i="20" l="1"/>
  <c r="J12" i="22" l="1"/>
  <c r="J12" i="19"/>
  <c r="J16" i="10"/>
  <c r="J12" i="10"/>
  <c r="J15" i="10" l="1"/>
  <c r="J14" i="2"/>
  <c r="K37" i="24" l="1"/>
  <c r="K40" i="24" l="1"/>
  <c r="K38" i="24"/>
  <c r="K36" i="24"/>
  <c r="K34" i="24"/>
  <c r="K32" i="24"/>
  <c r="K29" i="24"/>
  <c r="K39" i="24" l="1"/>
  <c r="K16" i="24"/>
  <c r="K14" i="24"/>
  <c r="K13" i="24"/>
  <c r="K12" i="24"/>
  <c r="K10" i="24"/>
  <c r="K8" i="24"/>
  <c r="K5" i="24"/>
  <c r="K58" i="24"/>
  <c r="K56" i="24"/>
  <c r="K55" i="24"/>
  <c r="K54" i="24"/>
  <c r="K52" i="24"/>
  <c r="K50" i="24"/>
  <c r="K47" i="24"/>
  <c r="K57"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<sst xmlns="http://schemas.openxmlformats.org/spreadsheetml/2006/main" count="1710" uniqueCount="511">
  <si>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</si>
  <si>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</si>
  <si>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</si>
  <si>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</si>
  <si>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</si>
  <si>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</si>
  <si>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</si>
  <si>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</si>
  <si>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</si>
  <si>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</si>
  <si>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</si>
  <si>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</si>
  <si>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</si>
  <si>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</si>
  <si>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</si>
  <si>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</si>
  <si>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</si>
  <si>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</si>
  <si>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</si>
  <si>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</si>
  <si>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</si>
  <si>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</si>
  <si>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</si>
  <si>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</si>
  <si>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</si>
  <si>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</si>
  <si>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</si>
  <si>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</si>
  <si>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</si>
  <si>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</si>
  <si>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</si>
  <si>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</si>
  <si>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</si>
  <si>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</si>
  <si>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</si>
  <si>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</si>
  <si>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</si>
  <si>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</si>
  <si>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</si>
  <si>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</si>
  <si>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</si>
  <si>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</si>
  <si>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</si>
  <si>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</si>
  <si>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</si>
  <si>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</si>
  <si>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</si>
  <si>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</si>
  <si>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</si>
  <si>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</si>
  <si>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</si>
  <si>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</si>
  <si>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</si>
  <si>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</si>
  <si>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</si>
  <si>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</si>
  <si>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</si>
  <si>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</si>
  <si>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</si>
  <si>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</si>
  <si>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</si>
  <si>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</si>
  <si>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</si>
  <si>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</si>
  <si>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</si>
  <si>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</si>
  <si>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</si>
  <si>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</si>
  <si>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</si>
  <si>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</si>
  <si>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</si>
  <si>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</si>
  <si>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</si>
  <si>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</si>
  <si>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</si>
  <si>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</si>
  <si>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</si>
  <si>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</si>
  <si>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</si>
  <si>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</si>
  <si>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</si>
  <si>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</si>
  <si>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</si>
  <si>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</si>
  <si>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</si>
  <si>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</si>
  <si>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</si>
  <si>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</si>
  <si>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</si>
  <si>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</si>
  <si>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</si>
  <si>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</si>
  <si>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</si>
  <si>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</si>
  <si>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</si>
  <si>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</si>
  <si>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</si>
  <si>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</si>
  <si>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</si>
  <si>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</si>
  <si>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</si>
  <si>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</si>
  <si>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</si>
  <si>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</si>
  <si>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</si>
  <si>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</si>
  <si>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</si>
  <si>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</si>
  <si>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</si>
  <si>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</si>
  <si>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</si>
  <si>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</si>
  <si>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</si>
  <si>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</si>
  <si>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</si>
  <si>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</si>
  <si>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</si>
  <si>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</si>
  <si>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</si>
  <si>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</si>
  <si>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</si>
  <si>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</si>
  <si>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</si>
  <si>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</si>
  <si>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</si>
  <si>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</si>
  <si>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</si>
  <si>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</si>
  <si>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</si>
  <si>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</si>
  <si>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</si>
  <si>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</si>
  <si>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</si>
  <si>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</si>
  <si>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</si>
  <si>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</si>
  <si>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</si>
  <si>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</si>
  <si>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</si>
  <si>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</si>
  <si>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</si>
  <si>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</si>
  <si>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</si>
  <si>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</si>
  <si>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</si>
  <si>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</si>
  <si>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</si>
  <si>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</si>
  <si>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</si>
  <si>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</si>
  <si>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</si>
  <si>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</si>
  <si>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</si>
  <si>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</si>
  <si>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</si>
  <si>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</si>
  <si>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</si>
  <si>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</si>
  <si>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</si>
  <si>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</si>
  <si>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</si>
  <si>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</si>
  <si>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</si>
  <si>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</si>
  <si>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</si>
  <si>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</si>
  <si>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</si>
  <si>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</si>
  <si>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</si>
  <si>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</si>
  <si>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</si>
  <si>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</si>
  <si>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</si>
  <si>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</si>
  <si>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</si>
  <si>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</si>
  <si>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</si>
  <si>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</si>
  <si>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</si>
  <si>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</si>
  <si>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</si>
  <si>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</si>
  <si>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</si>
  <si>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</si>
  <si>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</si>
  <si>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</si>
  <si>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</si>
  <si>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</si>
  <si>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</si>
  <si>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</si>
  <si>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</si>
  <si>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</si>
  <si>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</si>
  <si>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</si>
  <si>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</si>
  <si>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</si>
  <si>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</si>
  <si>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</si>
  <si>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</si>
  <si>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</si>
  <si>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</si>
  <si>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</si>
  <si>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</si>
  <si>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</si>
  <si>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</si>
  <si>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</si>
  <si>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</si>
  <si>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</si>
  <si>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</si>
  <si>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</si>
  <si>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</si>
  <si>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</si>
  <si>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</si>
  <si>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</si>
  <si>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</si>
  <si>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</si>
  <si>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</si>
  <si>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</si>
  <si>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</si>
  <si>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</si>
  <si>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</si>
  <si>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</si>
  <si>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</si>
  <si>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</si>
  <si>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</si>
  <si>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</si>
  <si>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</si>
  <si>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</si>
  <si>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</si>
  <si>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</si>
  <si>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</si>
  <si>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</si>
  <si>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</si>
  <si>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</si>
  <si>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</si>
  <si>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</si>
  <si>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</si>
  <si>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</si>
  <si>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</si>
  <si>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</si>
  <si>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</si>
  <si>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</si>
  <si>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</si>
  <si>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</si>
  <si>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</si>
  <si>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</si>
  <si>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</si>
  <si>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</si>
  <si>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</si>
  <si>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</si>
  <si>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</si>
  <si>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</si>
  <si>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</si>
  <si>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</si>
  <si>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</si>
  <si>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</si>
  <si>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</si>
  <si>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</si>
  <si>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</si>
  <si>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</si>
  <si>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</si>
  <si>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</si>
  <si>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</si>
  <si>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</si>
  <si>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</si>
  <si>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</si>
  <si>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</si>
  <si>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</si>
  <si>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</si>
  <si>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</si>
  <si>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</si>
  <si>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</si>
  <si>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</si>
  <si>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</si>
  <si>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</si>
  <si>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</si>
  <si>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</si>
  <si>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</si>
  <si>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</si>
  <si>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</si>
  <si>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</si>
  <si>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</si>
  <si>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</si>
  <si>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</si>
  <si>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</si>
  <si>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</si>
  <si>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</si>
  <si>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</si>
  <si>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</si>
  <si>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</si>
  <si>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</si>
  <si>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</si>
  <si>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</si>
  <si>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</si>
  <si>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</si>
  <si>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</si>
  <si>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</si>
  <si>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</si>
  <si>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</si>
  <si>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</si>
  <si>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</si>
  <si>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</si>
  <si>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</si>
  <si>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</si>
  <si>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</si>
  <si>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</si>
  <si>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</si>
  <si>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</si>
  <si>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</si>
  <si>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</si>
  <si>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</si>
  <si>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</si>
  <si>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</si>
  <si>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</si>
  <si>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</si>
  <si>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</si>
  <si>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</si>
  <si>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</si>
  <si>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</si>
  <si>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</si>
  <si>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</si>
  <si>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</si>
  <si>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</si>
  <si>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</si>
  <si>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</si>
  <si>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</si>
  <si>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</si>
  <si>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</si>
  <si>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</si>
  <si>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</si>
  <si>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</si>
  <si>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</si>
  <si>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</si>
  <si>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</si>
  <si>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</si>
  <si>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</si>
  <si>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</si>
  <si>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</si>
  <si>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</si>
  <si>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</si>
  <si>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</si>
  <si>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</si>
  <si>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</si>
  <si>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</si>
  <si>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</si>
  <si>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</si>
  <si>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</si>
  <si>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</si>
  <si>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</si>
  <si>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</si>
  <si>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</si>
  <si>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</si>
  <si>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</si>
  <si>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</si>
  <si>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</si>
  <si>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</si>
  <si>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</si>
  <si>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</si>
  <si>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</si>
  <si>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</si>
  <si>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</si>
  <si>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</si>
  <si>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</si>
  <si>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</si>
  <si>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</si>
  <si>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</si>
  <si>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</si>
  <si>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</si>
  <si>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</si>
  <si>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</si>
  <si>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</si>
  <si>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</si>
  <si>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</si>
  <si>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</si>
  <si>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</si>
  <si>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</si>
  <si>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</si>
  <si>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</si>
  <si>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</si>
  <si>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</si>
  <si>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</si>
  <si>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</si>
  <si>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</si>
  <si>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</si>
  <si>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</si>
  <si>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</si>
  <si>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</si>
  <si>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</si>
  <si>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</si>
  <si>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</si>
  <si>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</si>
  <si>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</si>
  <si>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</si>
  <si>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</si>
  <si>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</si>
  <si>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</si>
  <si>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</si>
  <si>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</si>
  <si>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</si>
  <si>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</si>
  <si>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</si>
  <si>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</si>
  <si>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</si>
  <si>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</si>
  <si>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</si>
  <si>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</si>
  <si>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</si>
  <si>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</si>
  <si>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</si>
  <si>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</si>
  <si>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</si>
  <si>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</si>
  <si>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</si>
  <si>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</si>
  <si>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</si>
  <si>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</si>
  <si>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</si>
  <si>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</si>
  <si>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</si>
  <si>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</si>
  <si>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</si>
  <si>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</si>
  <si>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</si>
  <si>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</si>
  <si>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</si>
  <si>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</si>
  <si>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</si>
  <si>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</si>
  <si>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</si>
  <si>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</si>
  <si>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</si>
  <si>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</si>
  <si>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</si>
  <si>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</si>
  <si>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</si>
  <si>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</si>
  <si>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</si>
  <si>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</si>
  <si>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</si>
  <si>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</si>
  <si>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</si>
  <si>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</si>
  <si>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</si>
  <si>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</si>
  <si>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</si>
  <si>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</si>
  <si>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</si>
  <si>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</si>
  <si>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</si>
  <si>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</si>
  <si>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</si>
  <si>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</si>
  <si>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</si>
  <si>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</si>
  <si>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</si>
  <si>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</si>
  <si>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</si>
  <si>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80% דולר 20% אירו</t>
  </si>
  <si>
    <t xml:space="preserve">35% - ת"א 125 </t>
  </si>
  <si>
    <t>65% - MSCI World</t>
  </si>
  <si>
    <t>מניות (סחיר בארץ)</t>
  </si>
  <si>
    <t>אג"ח ממשלתי (סחיר בארץ)</t>
  </si>
  <si>
    <t>אג"ח קונצרני (סחיר בארץ)</t>
  </si>
  <si>
    <t xml:space="preserve">ת"א 125 </t>
  </si>
  <si>
    <t>תל בונד 60</t>
  </si>
  <si>
    <t>שיעור חשיפה ליום 16/11/25</t>
  </si>
  <si>
    <t>מדיניות השקעות 2025</t>
  </si>
  <si>
    <t>שיעור חשיפה מומלץ לשנת 2026</t>
  </si>
  <si>
    <t>שינוי ממדיניות 2025</t>
  </si>
  <si>
    <t>שיעור חשיפה ליום 16/11/25 (ממוצע כלל המנהלים)</t>
  </si>
  <si>
    <t>מגבלת עמלת ניהול חיצוני לשנת 2026</t>
  </si>
  <si>
    <t xml:space="preserve">שיעור חשיפה ליום 16/11/25 </t>
  </si>
  <si>
    <t>מסלול כללי אלטשולר שחם 2026</t>
  </si>
  <si>
    <t>מסלול כללי מיטב 2026</t>
  </si>
  <si>
    <t>מסלול כללי ילין 2026</t>
  </si>
  <si>
    <t>מסלול כללי מור 2026</t>
  </si>
  <si>
    <t>מסלול כללי אנליסט 2026</t>
  </si>
  <si>
    <t>שינוי מ- 2025</t>
  </si>
  <si>
    <t>מסלול משולב סחיר - 100% ישראל</t>
  </si>
  <si>
    <t>מדיניות קודמת</t>
  </si>
  <si>
    <t>שינוי ממדיניות קודמת</t>
  </si>
  <si>
    <t>עוקב מדדי מניות - DIV</t>
  </si>
  <si>
    <t xml:space="preserve">45% - MSCI World High Dividend </t>
  </si>
  <si>
    <t>30% - MSCI Top 50 Dividend Index</t>
  </si>
  <si>
    <t>25% - MSCI Emerging Markets</t>
  </si>
  <si>
    <t xml:space="preserve">נכסי המסלול,  יעקבו באמצעות מכשירים עוקבי מדד ובשיעור שלא יפחת מ-75% ולא יעלה על 100%, אחר מדדי מניות ולכל הפחות בשלושה מדדים כאמור שאינם דומים. </t>
  </si>
  <si>
    <t>יתרת נכסי המסלול יעקבו אחר מדדים שונים למעט שיעור מהנכסים שיושקע באופן הבא:</t>
  </si>
  <si>
    <t>א.      בנגזרים המשמשים לצרכי גידור;</t>
  </si>
  <si>
    <t>ב.      לצורך הפקדות, משיכות והעברות כספים או טיפול בביטחונות בגין נגזרים, באחד או יותר מן הבאים:</t>
  </si>
  <si>
    <t>1)      מזומנים;</t>
  </si>
  <si>
    <t>2)      מק"מ;</t>
  </si>
  <si>
    <t>3)      פיקדונות שהופקדו לתקופה שאינה עולה על 12 חודשים ממועד הפקדתם;</t>
  </si>
  <si>
    <t>4)      אג"ח של מדינת ישראל שמועד פירעונן אינו עולה על 12 חודשים;</t>
  </si>
  <si>
    <t xml:space="preserve">5)      באג"ח של מדינת חוץ מאושרת שמועד פירעונן אינו עולה על 12 חודשים, ובלבד שהאג"ח והנגזר נרכשו באותה מדינת חוץ מאושרת; </t>
  </si>
  <si>
    <t>6)      קרן כספית שהגדרתה בתקנות השקעות משותפות בנאמנות (נכסים שמותר לקנות ולהחזיק בקרן ושיעוריהם המרביים), התשנ"ה-1994.</t>
  </si>
  <si>
    <t>מסלול עוקב מדדי מניות</t>
  </si>
  <si>
    <t>מניות סחיר - 100% ישראל</t>
  </si>
  <si>
    <t>100% - ת"א 125</t>
  </si>
  <si>
    <t>מסלול מניות סחיר</t>
  </si>
  <si>
    <t xml:space="preserve">נכסי המסלול יהיו חשופים למניות בארץ ובחו"ל, בשיעור חשיפה שלא יפחת מ-75% ולא יעלה על 120% חשיפה לנכסים כאמור תושג באמצעות השקעה בנכסים סחירים בלבד. </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</si>
  <si>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</si>
  <si>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</si>
  <si>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המסלול נפתח ב- 11/5/26</t>
  </si>
  <si>
    <t>בתאריך 30.03.2026 אישר הדירקטוריון את השינוי הבא</t>
  </si>
  <si>
    <t>בתאריך 29.06.26 אישר הדירקטוריון את השינוי הבא</t>
  </si>
  <si>
    <t>שינוי החל מתאריך 30.03.26</t>
  </si>
  <si>
    <t>שינוי החל מתאריך 29.06.26</t>
  </si>
  <si>
    <t>שינוי החל מתאריך 29.07.26</t>
  </si>
  <si>
    <t>בתאריך 29.07.26 אישר הדירקטוריון את השינוי הבא (במסלול המנוהל ע"י הכשרה)</t>
  </si>
  <si>
    <t>בתאריך 26.08.26 אישר הדירקטוריון את השינוי הבא</t>
  </si>
  <si>
    <t>שינוי החל מתאריך 26.08.26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</si>
</sst>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9"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
      <b/>
      <u/>
      <sz val="13"/>
      <name val="Arial"/>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61">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0" fontId="0" fillId="3" borderId="36" xfId="3" applyFont="1" applyFill="1" applyBorder="1" applyAlignment="1">
      <alignment horizontal="center" vertical="center" wrapText="1"/>
    </xf>
    <xf numFmtId="9" fontId="15" fillId="4"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10" fontId="10" fillId="5" borderId="47" xfId="3"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9" fontId="0" fillId="0" borderId="34" xfId="0" applyNumberFormat="1" applyFill="1" applyBorder="1" applyAlignment="1">
      <alignment horizontal="center" vertical="center"/>
    </xf>
    <xf numFmtId="0" fontId="5" fillId="0" borderId="0" xfId="0" applyFont="1" applyAlignment="1">
      <alignment horizontal="right"/>
    </xf>
    <xf numFmtId="0" fontId="0" fillId="0" borderId="0" xfId="0" applyNumberFormat="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0" fontId="0" fillId="3" borderId="51" xfId="0" applyFill="1" applyBorder="1" applyAlignment="1">
      <alignment horizontal="center" vertical="center" wrapText="1" readingOrder="2"/>
    </xf>
    <xf numFmtId="0" fontId="0" fillId="3" borderId="38" xfId="0" applyFill="1" applyBorder="1" applyAlignment="1">
      <alignment horizontal="center" vertical="center" wrapText="1" readingOrder="2"/>
    </xf>
    <xf numFmtId="0" fontId="0" fillId="0" borderId="38" xfId="3" applyFont="1" applyBorder="1" applyAlignment="1">
      <alignment horizontal="center" vertical="center"/>
    </xf>
    <xf numFmtId="0" fontId="8" fillId="2" borderId="40" xfId="3" applyFont="1" applyFill="1" applyBorder="1" applyAlignment="1">
      <alignment horizontal="center" vertical="center"/>
    </xf>
    <xf numFmtId="0" fontId="0" fillId="3" borderId="56" xfId="0" applyFill="1" applyBorder="1" applyAlignment="1">
      <alignment horizontal="center" vertical="center" wrapText="1" readingOrder="2"/>
    </xf>
    <xf numFmtId="0" fontId="0" fillId="3" borderId="35" xfId="3" applyFont="1" applyFill="1" applyBorder="1" applyAlignment="1">
      <alignment horizontal="center" vertical="center" wrapText="1" readingOrder="2"/>
    </xf>
    <xf numFmtId="0" fontId="5" fillId="0" borderId="0" xfId="0" applyFont="1" applyAlignment="1">
      <alignment horizontal="right" readingOrder="2"/>
    </xf>
    <xf numFmtId="0" fontId="28" fillId="0" borderId="0" xfId="0" applyFont="1" applyFill="1" applyBorder="1" applyAlignment="1">
      <alignment horizontal="right"/>
    </xf>
    <xf numFmtId="0" fontId="7" fillId="9" borderId="1" xfId="3" applyFont="1" applyFill="1" applyBorder="1" applyAlignment="1">
      <alignment horizontal="center" vertical="center" wrapText="1"/>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49" fontId="7"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3" applyFont="1" applyBorder="1" applyAlignment="1">
      <alignment horizontal="center" vertical="center" wrapText="1"/>
    </xf>
    <xf numFmtId="164" fontId="0" fillId="0" borderId="1" xfId="1" applyNumberFormat="1" applyFont="1" applyBorder="1" applyAlignment="1">
      <alignment horizontal="center" vertical="center"/>
    </xf>
    <xf numFmtId="9" fontId="0" fillId="0" borderId="1" xfId="0" applyNumberFormat="1" applyBorder="1" applyAlignment="1">
      <alignment horizontal="center" vertical="center"/>
    </xf>
    <xf numFmtId="0" fontId="7" fillId="9" borderId="1" xfId="3" applyFont="1" applyFill="1" applyBorder="1" applyAlignment="1">
      <alignment horizontal="center" vertical="center" wrapText="1"/>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15" fillId="9" borderId="36"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0" fontId="0" fillId="0" borderId="65" xfId="0" applyBorder="1" applyAlignment="1">
      <alignment horizontal="center" vertical="center" wrapText="1"/>
    </xf>
    <xf numFmtId="0" fontId="0" fillId="0" borderId="32" xfId="0" applyBorder="1" applyAlignment="1">
      <alignment horizontal="center" vertical="center" wrapText="1"/>
    </xf>
    <xf numFmtId="9" fontId="0" fillId="0" borderId="34" xfId="0" applyNumberFormat="1" applyFill="1" applyBorder="1" applyAlignment="1">
      <alignment horizontal="center" vertical="center"/>
    </xf>
    <xf numFmtId="0" fontId="0" fillId="0" borderId="34" xfId="0" applyFill="1" applyBorder="1" applyAlignment="1">
      <alignment horizontal="center" vertical="center"/>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0" fillId="0" borderId="35" xfId="0" applyNumberFormat="1" applyFill="1" applyBorder="1" applyAlignment="1">
      <alignment horizontal="center" vertical="center"/>
    </xf>
    <xf numFmtId="9" fontId="15" fillId="4" borderId="36" xfId="0" applyNumberFormat="1" applyFon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9" fontId="15" fillId="9" borderId="65" xfId="0" applyNumberFormat="1" applyFont="1" applyFill="1" applyBorder="1" applyAlignment="1">
      <alignment horizontal="center" vertical="center"/>
    </xf>
    <xf numFmtId="9" fontId="15" fillId="9" borderId="32"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0" fontId="0" fillId="3" borderId="65" xfId="3"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49" fontId="7" fillId="3" borderId="20" xfId="3" applyNumberFormat="1" applyFont="1" applyFill="1" applyBorder="1" applyAlignment="1">
      <alignment horizontal="center" vertical="center"/>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9" borderId="13" xfId="3" applyNumberFormat="1" applyFont="1" applyFill="1" applyBorder="1" applyAlignment="1">
      <alignment horizontal="center" vertical="center" wrapText="1"/>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0" fontId="0" fillId="3" borderId="67" xfId="3" applyFont="1" applyFill="1" applyBorder="1" applyAlignment="1">
      <alignment horizontal="center" vertical="center" wrapText="1" readingOrder="2"/>
    </xf>
    <xf numFmtId="0" fontId="10" fillId="3" borderId="2" xfId="3" applyFill="1" applyBorder="1" applyAlignment="1">
      <alignment horizontal="center" vertical="center" wrapText="1" readingOrder="2"/>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9" fontId="10" fillId="9" borderId="32" xfId="3" applyNumberFormat="1" applyFill="1" applyBorder="1" applyAlignment="1">
      <alignment horizontal="center" vertical="center"/>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9" fontId="10" fillId="3" borderId="35" xfId="3" applyNumberFormat="1" applyFont="1" applyFill="1" applyBorder="1" applyAlignment="1">
      <alignment horizontal="center" vertical="center"/>
    </xf>
    <xf numFmtId="9" fontId="10" fillId="3" borderId="34" xfId="3" applyNumberFormat="1" applyFont="1" applyFill="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9" fontId="10" fillId="4" borderId="32" xfId="3" applyNumberFormat="1" applyFill="1" applyBorder="1" applyAlignment="1">
      <alignment horizontal="center" vertical="center"/>
    </xf>
    <xf numFmtId="49" fontId="7" fillId="0" borderId="69" xfId="3" applyNumberFormat="1" applyFont="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49" fontId="7" fillId="3" borderId="58"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9" fontId="10" fillId="4" borderId="36" xfId="3" applyNumberFormat="1" applyFill="1" applyBorder="1" applyAlignment="1">
      <alignment horizontal="center" vertical="center"/>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164" fontId="0" fillId="2" borderId="36" xfId="1" applyNumberFormat="1" applyFont="1" applyFill="1" applyBorder="1" applyAlignment="1">
      <alignment horizontal="center" vertical="center"/>
    </xf>
    <xf numFmtId="164" fontId="0" fillId="2" borderId="36" xfId="1" applyNumberFormat="1" applyFont="1" applyFill="1" applyBorder="1" applyAlignment="1">
      <alignment horizontal="center" vertical="center" wrapText="1"/>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49" fontId="7" fillId="0" borderId="2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0" fontId="0" fillId="0" borderId="36" xfId="3" applyFont="1" applyBorder="1" applyAlignment="1">
      <alignment horizontal="center" vertical="center"/>
    </xf>
    <xf numFmtId="0" fontId="10" fillId="0" borderId="36" xfId="3" applyFont="1" applyBorder="1" applyAlignment="1">
      <alignment horizontal="center" vertical="center"/>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0" fontId="0" fillId="0" borderId="55" xfId="3" applyFont="1" applyBorder="1" applyAlignment="1">
      <alignment horizontal="center" vertical="center"/>
    </xf>
    <xf numFmtId="0" fontId="10" fillId="0" borderId="55" xfId="3" applyFont="1" applyBorder="1" applyAlignment="1">
      <alignment horizontal="center" vertical="center"/>
    </xf>
    <xf numFmtId="0" fontId="0" fillId="3" borderId="1" xfId="3" applyFont="1" applyFill="1" applyBorder="1" applyAlignment="1">
      <alignment horizontal="center" vertical="center" wrapText="1"/>
    </xf>
    <xf numFmtId="164" fontId="8" fillId="3" borderId="1" xfId="3" applyNumberFormat="1" applyFont="1" applyFill="1" applyBorder="1" applyAlignment="1">
      <alignment horizontal="center" vertical="center"/>
    </xf>
  </cellXfs>
  <cellStyles count="4">
    <cellStyle name="Normal" xfId="0" builtinId="0"/>
    <cellStyle name="Normal 100" xfId="3"/>
    <cellStyle name="Normal 2" xfId="2"/>
    <cellStyle name="Percent" xfId="1" builtinId="5"/>
  </cellStyles>
  <dxfs count="5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5"/>
  <sheetViews>
    <sheetView rightToLeft="1" topLeftCell="A10" zoomScale="110" zoomScaleNormal="110" workbookViewId="0">
      <selection activeCell="A29" sqref="A29:A30"/>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07" t="s">
        <v>25</v>
      </c>
    </row>
    <row r="2" spans="1:10" ht="15.75" thickTop="1" thickBot="1" x14ac:dyDescent="0.25"/>
    <row r="3" spans="1:10" s="26" customFormat="1" ht="43.5" customHeight="1" thickBot="1" x14ac:dyDescent="0.3">
      <c r="A3" s="100" t="s">
        <v>0</v>
      </c>
      <c r="B3" s="111" t="s">
        <v>465</v>
      </c>
      <c r="C3" s="40" t="s">
        <v>466</v>
      </c>
      <c r="D3" s="39" t="s">
        <v>467</v>
      </c>
      <c r="E3" s="88" t="s">
        <v>1</v>
      </c>
      <c r="F3" s="388" t="s">
        <v>380</v>
      </c>
      <c r="G3" s="388"/>
      <c r="H3" s="389"/>
      <c r="I3" s="105" t="s">
        <v>2</v>
      </c>
      <c r="J3" s="101" t="s">
        <v>468</v>
      </c>
    </row>
    <row r="4" spans="1:10" ht="14.25" customHeight="1" x14ac:dyDescent="0.2">
      <c r="A4" s="359" t="s">
        <v>391</v>
      </c>
      <c r="B4" s="404">
        <v>0.49130000000000001</v>
      </c>
      <c r="C4" s="361">
        <v>0.44</v>
      </c>
      <c r="D4" s="363">
        <v>0.44</v>
      </c>
      <c r="E4" s="365" t="s">
        <v>5</v>
      </c>
      <c r="F4" s="390">
        <f>D4+6%</f>
        <v>0.5</v>
      </c>
      <c r="G4" s="392" t="s">
        <v>395</v>
      </c>
      <c r="H4" s="401">
        <f>IF(D4-6%&lt;0%,0%,D4-6%)</f>
        <v>0.38</v>
      </c>
      <c r="I4" s="142" t="s">
        <v>458</v>
      </c>
      <c r="J4" s="376">
        <f t="shared" ref="J4:J10" si="0">D4-C4</f>
        <v>0</v>
      </c>
    </row>
    <row r="5" spans="1:10" ht="14.25" customHeight="1" x14ac:dyDescent="0.2">
      <c r="A5" s="360"/>
      <c r="B5" s="405"/>
      <c r="C5" s="362"/>
      <c r="D5" s="364"/>
      <c r="E5" s="366"/>
      <c r="F5" s="391"/>
      <c r="G5" s="393"/>
      <c r="H5" s="402"/>
      <c r="I5" s="28" t="s">
        <v>459</v>
      </c>
      <c r="J5" s="372">
        <f t="shared" si="0"/>
        <v>0</v>
      </c>
    </row>
    <row r="6" spans="1:10" ht="14.25" customHeight="1" x14ac:dyDescent="0.2">
      <c r="A6" s="360"/>
      <c r="B6" s="406"/>
      <c r="C6" s="362"/>
      <c r="D6" s="364"/>
      <c r="E6" s="366"/>
      <c r="F6" s="384"/>
      <c r="G6" s="387"/>
      <c r="H6" s="403"/>
      <c r="I6" s="75"/>
      <c r="J6" s="372">
        <f t="shared" si="0"/>
        <v>0</v>
      </c>
    </row>
    <row r="7" spans="1:10" ht="14.25" customHeight="1" x14ac:dyDescent="0.2">
      <c r="A7" s="110" t="s">
        <v>390</v>
      </c>
      <c r="B7" s="373">
        <v>0.17600000000000002</v>
      </c>
      <c r="C7" s="407">
        <v>0.19</v>
      </c>
      <c r="D7" s="377">
        <v>0.19</v>
      </c>
      <c r="E7" s="366" t="s">
        <v>6</v>
      </c>
      <c r="F7" s="394">
        <f>D7+5%</f>
        <v>0.24</v>
      </c>
      <c r="G7" s="396" t="s">
        <v>395</v>
      </c>
      <c r="H7" s="409">
        <f>IF(D7-5%&lt;0%,0%,D7-5%)</f>
        <v>0.14000000000000001</v>
      </c>
      <c r="I7" s="73" t="s">
        <v>14</v>
      </c>
      <c r="J7" s="371">
        <f t="shared" si="0"/>
        <v>0</v>
      </c>
    </row>
    <row r="8" spans="1:10" ht="14.25" customHeight="1" x14ac:dyDescent="0.2">
      <c r="A8" s="81"/>
      <c r="B8" s="374"/>
      <c r="C8" s="408"/>
      <c r="D8" s="377"/>
      <c r="E8" s="366"/>
      <c r="F8" s="395"/>
      <c r="G8" s="397"/>
      <c r="H8" s="410"/>
      <c r="I8" s="73" t="s">
        <v>15</v>
      </c>
      <c r="J8" s="372">
        <f t="shared" si="0"/>
        <v>0</v>
      </c>
    </row>
    <row r="9" spans="1:10" ht="14.25" customHeight="1" x14ac:dyDescent="0.2">
      <c r="A9" s="369" t="s">
        <v>388</v>
      </c>
      <c r="B9" s="373">
        <v>0.11310000000000001</v>
      </c>
      <c r="C9" s="367">
        <v>0.1</v>
      </c>
      <c r="D9" s="377">
        <v>0.1</v>
      </c>
      <c r="E9" s="379" t="s">
        <v>5</v>
      </c>
      <c r="F9" s="383">
        <f>D9+6%</f>
        <v>0.16</v>
      </c>
      <c r="G9" s="386" t="s">
        <v>395</v>
      </c>
      <c r="H9" s="381">
        <f>IF(D9-6%&lt;0%,0%,D9-6%)</f>
        <v>4.0000000000000008E-2</v>
      </c>
      <c r="I9" s="29" t="s">
        <v>16</v>
      </c>
      <c r="J9" s="375">
        <f t="shared" si="0"/>
        <v>0</v>
      </c>
    </row>
    <row r="10" spans="1:10" ht="14.25" customHeight="1" x14ac:dyDescent="0.2">
      <c r="A10" s="370"/>
      <c r="B10" s="374"/>
      <c r="C10" s="368"/>
      <c r="D10" s="378"/>
      <c r="E10" s="380"/>
      <c r="F10" s="384"/>
      <c r="G10" s="387"/>
      <c r="H10" s="382"/>
      <c r="I10" s="74" t="s">
        <v>17</v>
      </c>
      <c r="J10" s="376">
        <f t="shared" si="0"/>
        <v>0</v>
      </c>
    </row>
    <row r="11" spans="1:10" ht="15" x14ac:dyDescent="0.2">
      <c r="A11" s="108" t="s">
        <v>11</v>
      </c>
      <c r="B11" s="258">
        <v>0.11310000000000001</v>
      </c>
      <c r="C11" s="244">
        <v>0.1</v>
      </c>
      <c r="D11" s="247">
        <v>0.1</v>
      </c>
      <c r="E11" s="94" t="s">
        <v>6</v>
      </c>
      <c r="F11" s="163">
        <f>D11+5%</f>
        <v>0.15000000000000002</v>
      </c>
      <c r="G11" s="159" t="s">
        <v>395</v>
      </c>
      <c r="H11" s="164">
        <f>IF(D11-5%&lt;0%,0%,D11-5%)</f>
        <v>0.05</v>
      </c>
      <c r="I11" s="31" t="s">
        <v>382</v>
      </c>
      <c r="J11" s="134">
        <f>D11-C11</f>
        <v>0</v>
      </c>
    </row>
    <row r="12" spans="1:10" s="38" customFormat="1" ht="15" x14ac:dyDescent="0.2">
      <c r="A12" s="69" t="s">
        <v>387</v>
      </c>
      <c r="B12" s="258">
        <v>0.22489999999999999</v>
      </c>
      <c r="C12" s="244">
        <v>0.21</v>
      </c>
      <c r="D12" s="247">
        <v>0.21</v>
      </c>
      <c r="E12" s="94" t="s">
        <v>6</v>
      </c>
      <c r="F12" s="163">
        <f>D12+5%</f>
        <v>0.26</v>
      </c>
      <c r="G12" s="159" t="s">
        <v>395</v>
      </c>
      <c r="H12" s="164">
        <f>IF(D12-5%&lt;0%,0%,D12-5%)</f>
        <v>0.15999999999999998</v>
      </c>
      <c r="I12" s="47" t="s">
        <v>385</v>
      </c>
      <c r="J12" s="134">
        <f t="shared" ref="J12:J14" si="1">D12-C12</f>
        <v>0</v>
      </c>
    </row>
    <row r="13" spans="1:10" ht="15" x14ac:dyDescent="0.2">
      <c r="A13" s="69" t="s">
        <v>381</v>
      </c>
      <c r="B13" s="259">
        <v>4.1999999999999997E-3</v>
      </c>
      <c r="C13" s="245">
        <v>0.03</v>
      </c>
      <c r="D13" s="248">
        <v>0.03</v>
      </c>
      <c r="E13" s="94" t="s">
        <v>6</v>
      </c>
      <c r="F13" s="163">
        <f>D13+5%</f>
        <v>0.08</v>
      </c>
      <c r="G13" s="159" t="s">
        <v>395</v>
      </c>
      <c r="H13" s="164">
        <f>IF(D13-5%&lt;0%,0%,D13-5%)</f>
        <v>0</v>
      </c>
      <c r="I13" s="76" t="s">
        <v>383</v>
      </c>
      <c r="J13" s="135">
        <f t="shared" si="1"/>
        <v>0</v>
      </c>
    </row>
    <row r="14" spans="1:10" ht="15.75" thickBot="1" x14ac:dyDescent="0.25">
      <c r="A14" s="49" t="s">
        <v>386</v>
      </c>
      <c r="B14" s="260">
        <v>8.2599999999999993E-2</v>
      </c>
      <c r="C14" s="238">
        <v>0.06</v>
      </c>
      <c r="D14" s="249">
        <v>0.08</v>
      </c>
      <c r="E14" s="92" t="s">
        <v>6</v>
      </c>
      <c r="F14" s="165">
        <f>D14+5%</f>
        <v>0.13</v>
      </c>
      <c r="G14" s="162" t="s">
        <v>395</v>
      </c>
      <c r="H14" s="166">
        <f>IF(D14-5%&lt;0%,0%,D14-5%)</f>
        <v>0.03</v>
      </c>
      <c r="I14" s="95" t="s">
        <v>12</v>
      </c>
      <c r="J14" s="136">
        <f t="shared" si="1"/>
        <v>2.0000000000000004E-2</v>
      </c>
    </row>
    <row r="15" spans="1:10" ht="15.75" thickBot="1" x14ac:dyDescent="0.25">
      <c r="A15" s="70" t="s">
        <v>3</v>
      </c>
      <c r="B15" s="171">
        <f>SUM(B4:B14)</f>
        <v>1.2051999999999998</v>
      </c>
      <c r="C15" s="246">
        <f>SUM(C4:C14)</f>
        <v>1.1300000000000001</v>
      </c>
      <c r="D15" s="250">
        <f>SUM(D4:D14)</f>
        <v>1.1500000000000001</v>
      </c>
      <c r="E15" s="90"/>
      <c r="F15" s="167"/>
      <c r="G15" s="160"/>
      <c r="H15" s="168"/>
      <c r="I15" s="77"/>
      <c r="J15" s="68">
        <f>SUM(J4:J14)</f>
        <v>2.0000000000000004E-2</v>
      </c>
    </row>
    <row r="16" spans="1:10" ht="15.75" thickBot="1" x14ac:dyDescent="0.25">
      <c r="A16" s="79" t="s">
        <v>4</v>
      </c>
      <c r="B16" s="261">
        <v>0.20319999999999999</v>
      </c>
      <c r="C16" s="99">
        <v>0.22</v>
      </c>
      <c r="D16" s="251">
        <v>0.19</v>
      </c>
      <c r="E16" s="91" t="s">
        <v>5</v>
      </c>
      <c r="F16" s="169">
        <f>D16+6%</f>
        <v>0.25</v>
      </c>
      <c r="G16" s="161" t="s">
        <v>395</v>
      </c>
      <c r="H16" s="170">
        <f>IF(D16-6%&lt;0%,0%,D16-6%)</f>
        <v>0.13</v>
      </c>
      <c r="I16" s="33" t="s">
        <v>457</v>
      </c>
      <c r="J16" s="36">
        <f>D16-C16</f>
        <v>-0.03</v>
      </c>
    </row>
    <row r="17" spans="1:10" s="38" customFormat="1" ht="39" customHeight="1" thickBot="1" x14ac:dyDescent="0.25">
      <c r="A17" s="152" t="s">
        <v>470</v>
      </c>
      <c r="B17" s="398">
        <v>3.5000000000000001E-3</v>
      </c>
      <c r="C17" s="399"/>
      <c r="D17" s="399"/>
      <c r="E17" s="399"/>
      <c r="F17" s="399"/>
      <c r="G17" s="399"/>
      <c r="H17" s="399"/>
      <c r="I17" s="399"/>
      <c r="J17" s="400"/>
    </row>
    <row r="18" spans="1:10" x14ac:dyDescent="0.2">
      <c r="B18" s="82"/>
    </row>
    <row r="19" spans="1:10" ht="15" x14ac:dyDescent="0.25">
      <c r="A19" s="321" t="s">
        <v>503</v>
      </c>
      <c r="B19" s="25"/>
      <c r="C19" s="322"/>
      <c r="D19" s="38"/>
      <c r="E19" s="26"/>
      <c r="H19" s="38"/>
    </row>
    <row r="20" spans="1:10" ht="30" x14ac:dyDescent="0.2">
      <c r="A20" s="338" t="s">
        <v>0</v>
      </c>
      <c r="B20" s="338" t="s">
        <v>479</v>
      </c>
      <c r="C20" s="338" t="s">
        <v>505</v>
      </c>
      <c r="D20" s="338" t="s">
        <v>480</v>
      </c>
      <c r="E20" s="323" t="s">
        <v>1</v>
      </c>
      <c r="F20" s="385" t="s">
        <v>380</v>
      </c>
      <c r="G20" s="385"/>
      <c r="H20" s="385"/>
    </row>
    <row r="21" spans="1:10" ht="15" x14ac:dyDescent="0.2">
      <c r="A21" s="324" t="s">
        <v>391</v>
      </c>
      <c r="B21" s="325">
        <v>0.44</v>
      </c>
      <c r="C21" s="326">
        <v>0.46</v>
      </c>
      <c r="D21" s="326">
        <f t="shared" ref="D21:D23" si="2">C21-B21</f>
        <v>2.0000000000000018E-2</v>
      </c>
      <c r="E21" s="346" t="s">
        <v>5</v>
      </c>
      <c r="F21" s="340">
        <f t="shared" ref="F21" si="3">C21+6%</f>
        <v>0.52</v>
      </c>
      <c r="G21" s="341" t="s">
        <v>395</v>
      </c>
      <c r="H21" s="339">
        <f t="shared" ref="H21" si="4">IF(C21-6%&lt;0%,0%,C21-6%)</f>
        <v>0.4</v>
      </c>
    </row>
    <row r="22" spans="1:10" ht="15" x14ac:dyDescent="0.2">
      <c r="A22" s="347" t="s">
        <v>390</v>
      </c>
      <c r="B22" s="325">
        <v>0.19</v>
      </c>
      <c r="C22" s="326">
        <v>0.17</v>
      </c>
      <c r="D22" s="326">
        <f t="shared" si="2"/>
        <v>-1.999999999999999E-2</v>
      </c>
      <c r="E22" s="346" t="s">
        <v>6</v>
      </c>
      <c r="F22" s="340">
        <f>C22+5%</f>
        <v>0.22000000000000003</v>
      </c>
      <c r="G22" s="341" t="s">
        <v>395</v>
      </c>
      <c r="H22" s="339">
        <f>IF(C22-5%&lt;0%,0%,C22-5%)</f>
        <v>0.12000000000000001</v>
      </c>
    </row>
    <row r="23" spans="1:10" ht="15" x14ac:dyDescent="0.2">
      <c r="A23" s="324" t="s">
        <v>387</v>
      </c>
      <c r="B23" s="325">
        <v>0.21</v>
      </c>
      <c r="C23" s="326">
        <v>0.19</v>
      </c>
      <c r="D23" s="326">
        <f t="shared" si="2"/>
        <v>-1.999999999999999E-2</v>
      </c>
      <c r="E23" s="346" t="s">
        <v>6</v>
      </c>
      <c r="F23" s="340">
        <f>C23+5%</f>
        <v>0.24</v>
      </c>
      <c r="G23" s="341" t="s">
        <v>395</v>
      </c>
      <c r="H23" s="339">
        <f>IF(C23-5%&lt;0%,0%,C23-5%)</f>
        <v>0.14000000000000001</v>
      </c>
    </row>
    <row r="24" spans="1:10" s="38" customFormat="1" ht="15" x14ac:dyDescent="0.2">
      <c r="A24" s="348" t="s">
        <v>381</v>
      </c>
      <c r="B24" s="325">
        <v>0.03</v>
      </c>
      <c r="C24" s="326">
        <v>0.02</v>
      </c>
      <c r="D24" s="326">
        <f t="shared" ref="D24:D25" si="5">C24-B24</f>
        <v>-9.9999999999999985E-3</v>
      </c>
      <c r="E24" s="346" t="s">
        <v>6</v>
      </c>
      <c r="F24" s="340">
        <f>C24+5%</f>
        <v>7.0000000000000007E-2</v>
      </c>
      <c r="G24" s="341" t="s">
        <v>395</v>
      </c>
      <c r="H24" s="339">
        <f>IF(C24-5%&lt;0%,0%,C24-5%)</f>
        <v>0</v>
      </c>
    </row>
    <row r="25" spans="1:10" s="38" customFormat="1" ht="15" x14ac:dyDescent="0.2">
      <c r="A25" s="63" t="s">
        <v>4</v>
      </c>
      <c r="B25" s="325">
        <v>0.19</v>
      </c>
      <c r="C25" s="326">
        <v>0.2</v>
      </c>
      <c r="D25" s="326">
        <f t="shared" si="5"/>
        <v>1.0000000000000009E-2</v>
      </c>
      <c r="E25" s="346" t="s">
        <v>5</v>
      </c>
      <c r="F25" s="340">
        <f t="shared" ref="F25" si="6">C25+6%</f>
        <v>0.26</v>
      </c>
      <c r="G25" s="341" t="s">
        <v>395</v>
      </c>
      <c r="H25" s="339">
        <f t="shared" ref="H25" si="7">IF(C25-6%&lt;0%,0%,C25-6%)</f>
        <v>0.14000000000000001</v>
      </c>
    </row>
  </sheetData>
  <mergeCells count="29">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 ref="H7:H8"/>
    <mergeCell ref="J7:J8"/>
    <mergeCell ref="B7:B8"/>
    <mergeCell ref="J9:J10"/>
    <mergeCell ref="D9:D10"/>
    <mergeCell ref="E9:E10"/>
    <mergeCell ref="H9:H10"/>
    <mergeCell ref="F9:F10"/>
    <mergeCell ref="A4:A6"/>
    <mergeCell ref="C4:C6"/>
    <mergeCell ref="D4:D6"/>
    <mergeCell ref="E4:E6"/>
    <mergeCell ref="C9:C10"/>
    <mergeCell ref="A9:A10"/>
  </mergeCells>
  <phoneticPr fontId="2" type="noConversion"/>
  <conditionalFormatting sqref="J4:J16">
    <cfRule type="cellIs" dxfId="51" priority="1" operator="lessThan">
      <formula>0</formula>
    </cfRule>
    <cfRule type="cellIs" dxfId="50"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D18" sqref="D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07"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0"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ht="15" customHeight="1" x14ac:dyDescent="0.2">
      <c r="A4" s="414" t="s">
        <v>389</v>
      </c>
      <c r="B4" s="425">
        <v>0.46210000000000001</v>
      </c>
      <c r="C4" s="426">
        <v>0.41</v>
      </c>
      <c r="D4" s="424">
        <v>0.41</v>
      </c>
      <c r="E4" s="428" t="s">
        <v>5</v>
      </c>
      <c r="F4" s="390">
        <f>D4+6%</f>
        <v>0.47</v>
      </c>
      <c r="G4" s="392" t="s">
        <v>395</v>
      </c>
      <c r="H4" s="401">
        <f>IF(D4-6%&lt;0%,0%,D4-6%)</f>
        <v>0.35</v>
      </c>
      <c r="I4" s="142" t="s">
        <v>458</v>
      </c>
      <c r="J4" s="411">
        <f t="shared" ref="J4:J13" si="0">D4-C4</f>
        <v>0</v>
      </c>
    </row>
    <row r="5" spans="1:10" x14ac:dyDescent="0.2">
      <c r="A5" s="360"/>
      <c r="B5" s="416"/>
      <c r="C5" s="427"/>
      <c r="D5" s="423"/>
      <c r="E5" s="366"/>
      <c r="F5" s="391"/>
      <c r="G5" s="393"/>
      <c r="H5" s="402"/>
      <c r="I5" s="28" t="s">
        <v>459</v>
      </c>
      <c r="J5" s="412">
        <f t="shared" si="0"/>
        <v>0</v>
      </c>
    </row>
    <row r="6" spans="1:10" ht="15" thickBot="1" x14ac:dyDescent="0.25">
      <c r="A6" s="415"/>
      <c r="B6" s="416"/>
      <c r="C6" s="422"/>
      <c r="D6" s="423"/>
      <c r="E6" s="366"/>
      <c r="F6" s="384"/>
      <c r="G6" s="387"/>
      <c r="H6" s="403"/>
      <c r="I6" s="28"/>
      <c r="J6" s="412">
        <f t="shared" si="0"/>
        <v>0</v>
      </c>
    </row>
    <row r="7" spans="1:10" ht="15" thickBot="1" x14ac:dyDescent="0.25">
      <c r="A7" s="139" t="s">
        <v>10</v>
      </c>
      <c r="B7" s="417">
        <v>0.4163</v>
      </c>
      <c r="C7" s="418">
        <v>0.41</v>
      </c>
      <c r="D7" s="420">
        <v>0.41</v>
      </c>
      <c r="E7" s="366" t="s">
        <v>6</v>
      </c>
      <c r="F7" s="394">
        <f>D7+5%</f>
        <v>0.45999999999999996</v>
      </c>
      <c r="G7" s="396" t="s">
        <v>395</v>
      </c>
      <c r="H7" s="409">
        <f>IF(D7-5%&lt;0%,0%,D7-5%)</f>
        <v>0.36</v>
      </c>
      <c r="I7" s="143" t="s">
        <v>14</v>
      </c>
      <c r="J7" s="134">
        <f t="shared" si="0"/>
        <v>0</v>
      </c>
    </row>
    <row r="8" spans="1:10" x14ac:dyDescent="0.2">
      <c r="A8" s="140" t="s">
        <v>9</v>
      </c>
      <c r="B8" s="417"/>
      <c r="C8" s="419"/>
      <c r="D8" s="420"/>
      <c r="E8" s="366"/>
      <c r="F8" s="395"/>
      <c r="G8" s="397"/>
      <c r="H8" s="410"/>
      <c r="I8" s="10" t="s">
        <v>15</v>
      </c>
      <c r="J8" s="134">
        <f t="shared" si="0"/>
        <v>0</v>
      </c>
    </row>
    <row r="9" spans="1:10" ht="15" x14ac:dyDescent="0.2">
      <c r="A9" s="97" t="s">
        <v>7</v>
      </c>
      <c r="B9" s="85">
        <f>B7-B10</f>
        <v>0.1452</v>
      </c>
      <c r="C9" s="30">
        <v>0.1</v>
      </c>
      <c r="D9" s="262">
        <v>0.1</v>
      </c>
      <c r="E9" s="157" t="s">
        <v>6</v>
      </c>
      <c r="F9" s="163">
        <f>D9+5%</f>
        <v>0.15000000000000002</v>
      </c>
      <c r="G9" s="159" t="s">
        <v>395</v>
      </c>
      <c r="H9" s="164">
        <f>IF(D9-5%&lt;0%,0%,D9-5%)</f>
        <v>0.05</v>
      </c>
      <c r="I9" s="10"/>
      <c r="J9" s="320">
        <f t="shared" si="0"/>
        <v>0</v>
      </c>
    </row>
    <row r="10" spans="1:10" ht="15.75" thickBot="1" x14ac:dyDescent="0.25">
      <c r="A10" s="141" t="s">
        <v>8</v>
      </c>
      <c r="B10" s="85">
        <v>0.27110000000000001</v>
      </c>
      <c r="C10" s="83">
        <v>0.31</v>
      </c>
      <c r="D10" s="262">
        <v>0.31</v>
      </c>
      <c r="E10" s="157" t="s">
        <v>6</v>
      </c>
      <c r="F10" s="163">
        <f>D10+5%</f>
        <v>0.36</v>
      </c>
      <c r="G10" s="159" t="s">
        <v>395</v>
      </c>
      <c r="H10" s="164">
        <f>IF(D10-5%&lt;0%,0%,D10-5%)</f>
        <v>0.26</v>
      </c>
      <c r="I10" s="144"/>
      <c r="J10" s="134"/>
    </row>
    <row r="11" spans="1:10" ht="14.25" customHeight="1" x14ac:dyDescent="0.2">
      <c r="A11" s="429" t="s">
        <v>388</v>
      </c>
      <c r="B11" s="416">
        <v>6.1699999999999998E-2</v>
      </c>
      <c r="C11" s="421">
        <v>0.06</v>
      </c>
      <c r="D11" s="423">
        <v>0.06</v>
      </c>
      <c r="E11" s="366" t="s">
        <v>5</v>
      </c>
      <c r="F11" s="383">
        <f>D11+6%</f>
        <v>0.12</v>
      </c>
      <c r="G11" s="386" t="s">
        <v>395</v>
      </c>
      <c r="H11" s="381">
        <f>IF(D11-6%&lt;0%,0%,D11-6%)</f>
        <v>0</v>
      </c>
      <c r="I11" s="143" t="s">
        <v>16</v>
      </c>
      <c r="J11" s="413">
        <f t="shared" si="0"/>
        <v>0</v>
      </c>
    </row>
    <row r="12" spans="1:10" x14ac:dyDescent="0.2">
      <c r="A12" s="359"/>
      <c r="B12" s="416"/>
      <c r="C12" s="422"/>
      <c r="D12" s="423"/>
      <c r="E12" s="366"/>
      <c r="F12" s="384"/>
      <c r="G12" s="387"/>
      <c r="H12" s="382"/>
      <c r="I12" s="10" t="s">
        <v>17</v>
      </c>
      <c r="J12" s="412">
        <f t="shared" si="0"/>
        <v>0</v>
      </c>
    </row>
    <row r="13" spans="1:10" ht="15" x14ac:dyDescent="0.2">
      <c r="A13" s="69" t="s">
        <v>11</v>
      </c>
      <c r="B13" s="130">
        <v>8.0000000000000004E-4</v>
      </c>
      <c r="C13" s="27">
        <v>0.01</v>
      </c>
      <c r="D13" s="263">
        <v>0.01</v>
      </c>
      <c r="E13" s="132" t="s">
        <v>6</v>
      </c>
      <c r="F13" s="163">
        <f>D13+5%</f>
        <v>6.0000000000000005E-2</v>
      </c>
      <c r="G13" s="159" t="s">
        <v>395</v>
      </c>
      <c r="H13" s="164">
        <f>IF(D13-5%&lt;0%,0%,D13-5%)</f>
        <v>0</v>
      </c>
      <c r="I13" s="60" t="s">
        <v>382</v>
      </c>
      <c r="J13" s="135">
        <f t="shared" si="0"/>
        <v>0</v>
      </c>
    </row>
    <row r="14" spans="1:10" s="38" customFormat="1" ht="15" x14ac:dyDescent="0.2">
      <c r="A14" s="127" t="s">
        <v>387</v>
      </c>
      <c r="B14" s="130">
        <v>8.7799999999999989E-2</v>
      </c>
      <c r="C14" s="27">
        <v>0.1</v>
      </c>
      <c r="D14" s="263">
        <v>0.1</v>
      </c>
      <c r="E14" s="132" t="s">
        <v>6</v>
      </c>
      <c r="F14" s="163">
        <f>D14+5%</f>
        <v>0.15000000000000002</v>
      </c>
      <c r="G14" s="159" t="s">
        <v>395</v>
      </c>
      <c r="H14" s="164">
        <f>IF(D14-5%&lt;0%,0%,D14-5%)</f>
        <v>0.05</v>
      </c>
      <c r="I14" s="47" t="s">
        <v>385</v>
      </c>
      <c r="J14" s="134">
        <f>D14-C14</f>
        <v>0</v>
      </c>
    </row>
    <row r="15" spans="1:10" ht="15" x14ac:dyDescent="0.2">
      <c r="A15" s="127" t="s">
        <v>381</v>
      </c>
      <c r="B15" s="131">
        <v>0</v>
      </c>
      <c r="C15" s="83">
        <v>0.02</v>
      </c>
      <c r="D15" s="262">
        <v>0.02</v>
      </c>
      <c r="E15" s="128" t="s">
        <v>6</v>
      </c>
      <c r="F15" s="163">
        <f>D15+5%</f>
        <v>7.0000000000000007E-2</v>
      </c>
      <c r="G15" s="159" t="s">
        <v>395</v>
      </c>
      <c r="H15" s="164">
        <f>IF(D15-5%&lt;0%,0%,D15-5%)</f>
        <v>0</v>
      </c>
      <c r="I15" s="61" t="s">
        <v>383</v>
      </c>
      <c r="J15" s="134">
        <f t="shared" ref="J15:J16" si="1">D15-C15</f>
        <v>0</v>
      </c>
    </row>
    <row r="16" spans="1:10" ht="15.75" thickBot="1" x14ac:dyDescent="0.25">
      <c r="A16" s="79" t="s">
        <v>386</v>
      </c>
      <c r="B16" s="145">
        <v>6.2199999999999998E-2</v>
      </c>
      <c r="C16" s="129">
        <v>0.03</v>
      </c>
      <c r="D16" s="264">
        <v>0.06</v>
      </c>
      <c r="E16" s="146" t="s">
        <v>6</v>
      </c>
      <c r="F16" s="163">
        <f>D16+5%</f>
        <v>0.11</v>
      </c>
      <c r="G16" s="159" t="s">
        <v>395</v>
      </c>
      <c r="H16" s="164">
        <f>IF(D16-5%&lt;0%,0%,D16-5%)</f>
        <v>9.999999999999995E-3</v>
      </c>
      <c r="I16" s="51" t="s">
        <v>12</v>
      </c>
      <c r="J16" s="147">
        <f t="shared" si="1"/>
        <v>0.03</v>
      </c>
    </row>
    <row r="17" spans="1:10" ht="15.75" thickBot="1" x14ac:dyDescent="0.25">
      <c r="A17" s="70" t="s">
        <v>3</v>
      </c>
      <c r="B17" s="80">
        <f>B16+B15+B14+B13+B11+B7+B4</f>
        <v>1.0909</v>
      </c>
      <c r="C17" s="84">
        <f>SUM(C4:C16)-C9-C10</f>
        <v>1.04</v>
      </c>
      <c r="D17" s="265">
        <f>SUM(D4:D16)-D9-D10</f>
        <v>1.07</v>
      </c>
      <c r="E17" s="90"/>
      <c r="F17" s="90"/>
      <c r="G17" s="90"/>
      <c r="H17" s="66"/>
      <c r="I17" s="67"/>
      <c r="J17" s="68">
        <f>SUM(J4:J16)</f>
        <v>0.03</v>
      </c>
    </row>
    <row r="18" spans="1:10" ht="15.75" thickBot="1" x14ac:dyDescent="0.25">
      <c r="A18" s="71" t="s">
        <v>4</v>
      </c>
      <c r="B18" s="87">
        <v>0.17780000000000001</v>
      </c>
      <c r="C18" s="32">
        <v>0.22</v>
      </c>
      <c r="D18" s="266">
        <v>0.19</v>
      </c>
      <c r="E18" s="91" t="s">
        <v>5</v>
      </c>
      <c r="F18" s="169">
        <f>D18+6%</f>
        <v>0.25</v>
      </c>
      <c r="G18" s="161" t="s">
        <v>395</v>
      </c>
      <c r="H18" s="170">
        <f>IF(D18-6%&lt;0%,0%,D18-6%)</f>
        <v>0.13</v>
      </c>
      <c r="I18" s="33" t="s">
        <v>457</v>
      </c>
      <c r="J18" s="36">
        <f>D18-C18</f>
        <v>-0.03</v>
      </c>
    </row>
    <row r="19" spans="1:10" s="38" customFormat="1" ht="39" customHeight="1" thickBot="1" x14ac:dyDescent="0.25">
      <c r="A19" s="152" t="str">
        <f>'הכשרה - קרן י'!$A$17</f>
        <v>מגבלת עמלת ניהול חיצוני לשנת 2026</v>
      </c>
      <c r="B19" s="398">
        <v>2.5000000000000001E-3</v>
      </c>
      <c r="C19" s="399"/>
      <c r="D19" s="399"/>
      <c r="E19" s="399"/>
      <c r="F19" s="399"/>
      <c r="G19" s="399"/>
      <c r="H19" s="399"/>
      <c r="I19" s="399"/>
      <c r="J19" s="400"/>
    </row>
    <row r="20" spans="1:10" x14ac:dyDescent="0.2">
      <c r="A20" s="65"/>
    </row>
    <row r="21" spans="1:10" ht="15" x14ac:dyDescent="0.25">
      <c r="A21" s="11"/>
    </row>
  </sheetData>
  <dataConsolidate link="1"/>
  <mergeCells count="27">
    <mergeCell ref="A11:A12"/>
    <mergeCell ref="F7:F8"/>
    <mergeCell ref="G7:G8"/>
    <mergeCell ref="F11:F12"/>
    <mergeCell ref="G11:G12"/>
    <mergeCell ref="C4:C6"/>
    <mergeCell ref="H4:H6"/>
    <mergeCell ref="F3:H3"/>
    <mergeCell ref="F4:F6"/>
    <mergeCell ref="G4:G6"/>
    <mergeCell ref="E4:E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s>
  <phoneticPr fontId="2" type="noConversion"/>
  <conditionalFormatting sqref="J4:J18">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topLeftCell="A10" zoomScale="110" zoomScaleNormal="110" workbookViewId="0">
      <selection activeCell="A32" sqref="A32"/>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07" t="s">
        <v>23</v>
      </c>
    </row>
    <row r="2" spans="1:10" ht="15.75" thickTop="1" thickBot="1" x14ac:dyDescent="0.25"/>
    <row r="3" spans="1:10" s="26" customFormat="1" ht="45.7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ht="15" customHeight="1" x14ac:dyDescent="0.2">
      <c r="A4" s="429" t="s">
        <v>391</v>
      </c>
      <c r="B4" s="445">
        <v>0.49540000000000001</v>
      </c>
      <c r="C4" s="361">
        <v>0.45</v>
      </c>
      <c r="D4" s="363">
        <v>0.45</v>
      </c>
      <c r="E4" s="431" t="s">
        <v>5</v>
      </c>
      <c r="F4" s="390">
        <f>D4+6%</f>
        <v>0.51</v>
      </c>
      <c r="G4" s="392" t="s">
        <v>395</v>
      </c>
      <c r="H4" s="401">
        <f>IF(D4-6%&lt;0%,0%,D4-6%)</f>
        <v>0.39</v>
      </c>
      <c r="I4" s="142" t="s">
        <v>458</v>
      </c>
      <c r="J4" s="447">
        <f t="shared" ref="J4:J11" si="0">D4-C4</f>
        <v>0</v>
      </c>
    </row>
    <row r="5" spans="1:10" ht="14.25" customHeight="1" x14ac:dyDescent="0.2">
      <c r="A5" s="430"/>
      <c r="B5" s="446"/>
      <c r="C5" s="362"/>
      <c r="D5" s="364"/>
      <c r="E5" s="431"/>
      <c r="F5" s="391"/>
      <c r="G5" s="393"/>
      <c r="H5" s="402"/>
      <c r="I5" s="28" t="s">
        <v>459</v>
      </c>
      <c r="J5" s="448">
        <f t="shared" si="0"/>
        <v>0</v>
      </c>
    </row>
    <row r="6" spans="1:10" ht="18" customHeight="1" x14ac:dyDescent="0.2">
      <c r="A6" s="359"/>
      <c r="B6" s="438"/>
      <c r="C6" s="362"/>
      <c r="D6" s="364"/>
      <c r="E6" s="432"/>
      <c r="F6" s="384"/>
      <c r="G6" s="387"/>
      <c r="H6" s="403"/>
      <c r="I6" s="42"/>
      <c r="J6" s="444">
        <f t="shared" si="0"/>
        <v>0</v>
      </c>
    </row>
    <row r="7" spans="1:10" ht="14.25" customHeight="1" x14ac:dyDescent="0.2">
      <c r="A7" s="435" t="s">
        <v>390</v>
      </c>
      <c r="B7" s="440">
        <v>0.23190000000000002</v>
      </c>
      <c r="C7" s="367">
        <v>0.25</v>
      </c>
      <c r="D7" s="377">
        <v>0.24</v>
      </c>
      <c r="E7" s="433" t="s">
        <v>6</v>
      </c>
      <c r="F7" s="394">
        <f>D7+5%</f>
        <v>0.28999999999999998</v>
      </c>
      <c r="G7" s="396" t="s">
        <v>395</v>
      </c>
      <c r="H7" s="409">
        <f>IF(D7-5%&lt;0%,0%,D7-5%)</f>
        <v>0.19</v>
      </c>
      <c r="I7" s="43" t="s">
        <v>14</v>
      </c>
      <c r="J7" s="443">
        <f t="shared" si="0"/>
        <v>-1.0000000000000009E-2</v>
      </c>
    </row>
    <row r="8" spans="1:10" ht="14.25" customHeight="1" x14ac:dyDescent="0.2">
      <c r="A8" s="436"/>
      <c r="B8" s="441"/>
      <c r="C8" s="367"/>
      <c r="D8" s="377"/>
      <c r="E8" s="434"/>
      <c r="F8" s="395"/>
      <c r="G8" s="397"/>
      <c r="H8" s="410"/>
      <c r="I8" s="42" t="s">
        <v>15</v>
      </c>
      <c r="J8" s="444">
        <f t="shared" si="0"/>
        <v>0</v>
      </c>
    </row>
    <row r="9" spans="1:10" ht="14.25" customHeight="1" x14ac:dyDescent="0.2">
      <c r="A9" s="439" t="s">
        <v>388</v>
      </c>
      <c r="B9" s="437">
        <v>0.12179999999999999</v>
      </c>
      <c r="C9" s="367">
        <v>0.11</v>
      </c>
      <c r="D9" s="377">
        <v>0.11</v>
      </c>
      <c r="E9" s="442" t="s">
        <v>5</v>
      </c>
      <c r="F9" s="383">
        <f>D9+6%</f>
        <v>0.16999999999999998</v>
      </c>
      <c r="G9" s="386" t="s">
        <v>395</v>
      </c>
      <c r="H9" s="381">
        <f>IF(D9-6%&lt;0%,0%,D9-6%)</f>
        <v>0.05</v>
      </c>
      <c r="I9" s="43" t="s">
        <v>16</v>
      </c>
      <c r="J9" s="443">
        <f t="shared" si="0"/>
        <v>0</v>
      </c>
    </row>
    <row r="10" spans="1:10" ht="14.25" customHeight="1" x14ac:dyDescent="0.2">
      <c r="A10" s="359"/>
      <c r="B10" s="438"/>
      <c r="C10" s="368"/>
      <c r="D10" s="378"/>
      <c r="E10" s="432"/>
      <c r="F10" s="384"/>
      <c r="G10" s="387"/>
      <c r="H10" s="382"/>
      <c r="I10" s="44" t="s">
        <v>17</v>
      </c>
      <c r="J10" s="444">
        <f t="shared" si="0"/>
        <v>0</v>
      </c>
    </row>
    <row r="11" spans="1:10" ht="15" x14ac:dyDescent="0.2">
      <c r="A11" s="72" t="s">
        <v>11</v>
      </c>
      <c r="B11" s="172">
        <v>4.8399999999999999E-2</v>
      </c>
      <c r="C11" s="317">
        <v>0.05</v>
      </c>
      <c r="D11" s="254">
        <v>0.05</v>
      </c>
      <c r="E11" s="46" t="s">
        <v>6</v>
      </c>
      <c r="F11" s="163">
        <f>D11+5%</f>
        <v>0.1</v>
      </c>
      <c r="G11" s="159" t="s">
        <v>395</v>
      </c>
      <c r="H11" s="164">
        <f>IF(D11-5%&lt;0%,0%,D11-5%)</f>
        <v>0</v>
      </c>
      <c r="I11" s="60" t="s">
        <v>382</v>
      </c>
      <c r="J11" s="133">
        <f t="shared" si="0"/>
        <v>0</v>
      </c>
    </row>
    <row r="12" spans="1:10" ht="15" x14ac:dyDescent="0.2">
      <c r="A12" s="109" t="s">
        <v>387</v>
      </c>
      <c r="B12" s="176">
        <v>0.16829999999999998</v>
      </c>
      <c r="C12" s="317">
        <v>0.16</v>
      </c>
      <c r="D12" s="254">
        <v>0.16</v>
      </c>
      <c r="E12" s="46" t="s">
        <v>6</v>
      </c>
      <c r="F12" s="163">
        <f>D12+5%</f>
        <v>0.21000000000000002</v>
      </c>
      <c r="G12" s="159" t="s">
        <v>395</v>
      </c>
      <c r="H12" s="164">
        <f>IF(D12-5%&lt;0%,0%,D12-5%)</f>
        <v>0.11</v>
      </c>
      <c r="I12" s="47" t="s">
        <v>385</v>
      </c>
      <c r="J12" s="137">
        <f t="shared" ref="J12:J14" si="1">D12-C12</f>
        <v>0</v>
      </c>
    </row>
    <row r="13" spans="1:10" ht="15" x14ac:dyDescent="0.2">
      <c r="A13" s="109" t="s">
        <v>381</v>
      </c>
      <c r="B13" s="173">
        <v>1.47E-2</v>
      </c>
      <c r="C13" s="245">
        <v>0.03</v>
      </c>
      <c r="D13" s="248">
        <v>0.03</v>
      </c>
      <c r="E13" s="46" t="s">
        <v>6</v>
      </c>
      <c r="F13" s="163">
        <f>D13+5%</f>
        <v>0.08</v>
      </c>
      <c r="G13" s="159" t="s">
        <v>395</v>
      </c>
      <c r="H13" s="164">
        <f>IF(D13-5%&lt;0%,0%,D13-5%)</f>
        <v>0</v>
      </c>
      <c r="I13" s="61" t="s">
        <v>383</v>
      </c>
      <c r="J13" s="137">
        <f t="shared" si="1"/>
        <v>0</v>
      </c>
    </row>
    <row r="14" spans="1:10" ht="15.75" thickBot="1" x14ac:dyDescent="0.25">
      <c r="A14" s="79" t="s">
        <v>386</v>
      </c>
      <c r="B14" s="319">
        <v>8.539999999999999E-2</v>
      </c>
      <c r="C14" s="245">
        <v>7.0000000000000007E-2</v>
      </c>
      <c r="D14" s="248">
        <v>0.08</v>
      </c>
      <c r="E14" s="50" t="s">
        <v>6</v>
      </c>
      <c r="F14" s="165">
        <f>D14+5%</f>
        <v>0.13</v>
      </c>
      <c r="G14" s="162" t="s">
        <v>395</v>
      </c>
      <c r="H14" s="166">
        <f>IF(D14-5%&lt;0%,0%,D14-5%)</f>
        <v>0.03</v>
      </c>
      <c r="I14" s="51" t="s">
        <v>12</v>
      </c>
      <c r="J14" s="138">
        <f t="shared" si="1"/>
        <v>9.999999999999995E-3</v>
      </c>
    </row>
    <row r="15" spans="1:10" ht="15.75" thickBot="1" x14ac:dyDescent="0.25">
      <c r="A15" s="78" t="s">
        <v>3</v>
      </c>
      <c r="B15" s="174">
        <f>SUM(B4:B14)</f>
        <v>1.1658999999999999</v>
      </c>
      <c r="C15" s="53">
        <f>SUM(C4:C14)</f>
        <v>1.1200000000000001</v>
      </c>
      <c r="D15" s="250">
        <f>SUM(D4:D14)</f>
        <v>1.1200000000000001</v>
      </c>
      <c r="E15" s="54"/>
      <c r="F15" s="167"/>
      <c r="G15" s="160"/>
      <c r="H15" s="168"/>
      <c r="I15" s="55"/>
      <c r="J15" s="56">
        <f>D15-C15</f>
        <v>0</v>
      </c>
    </row>
    <row r="16" spans="1:10" ht="15.75" thickBot="1" x14ac:dyDescent="0.25">
      <c r="A16" s="79" t="s">
        <v>4</v>
      </c>
      <c r="B16" s="175">
        <v>0.18350000000000002</v>
      </c>
      <c r="C16" s="57">
        <v>0.22</v>
      </c>
      <c r="D16" s="267">
        <v>0.18</v>
      </c>
      <c r="E16" s="58" t="s">
        <v>5</v>
      </c>
      <c r="F16" s="169">
        <f>D16+6%</f>
        <v>0.24</v>
      </c>
      <c r="G16" s="161" t="s">
        <v>395</v>
      </c>
      <c r="H16" s="170">
        <f>IF(D16-6%&lt;0%,0%,D16-6%)</f>
        <v>0.12</v>
      </c>
      <c r="I16" s="33" t="s">
        <v>457</v>
      </c>
      <c r="J16" s="59">
        <f>D16-C16</f>
        <v>-4.0000000000000008E-2</v>
      </c>
    </row>
    <row r="17" spans="1:10" s="38" customFormat="1" ht="39" customHeight="1" thickBot="1" x14ac:dyDescent="0.25">
      <c r="A17" s="152" t="str">
        <f>'הכשרה - קרן י'!$A$17</f>
        <v>מגבלת עמלת ניהול חיצוני לשנת 2026</v>
      </c>
      <c r="B17" s="398">
        <v>2.8E-3</v>
      </c>
      <c r="C17" s="399"/>
      <c r="D17" s="399"/>
      <c r="E17" s="399"/>
      <c r="F17" s="399"/>
      <c r="G17" s="399"/>
      <c r="H17" s="399"/>
      <c r="I17" s="399"/>
      <c r="J17" s="400"/>
    </row>
    <row r="18" spans="1:10" x14ac:dyDescent="0.2">
      <c r="A18" s="37"/>
    </row>
    <row r="19" spans="1:10" s="38" customFormat="1" ht="15" x14ac:dyDescent="0.25">
      <c r="A19" s="321" t="s">
        <v>503</v>
      </c>
      <c r="B19" s="25"/>
      <c r="C19" s="322"/>
      <c r="E19" s="26"/>
    </row>
    <row r="20" spans="1:10" s="38" customFormat="1" ht="45" x14ac:dyDescent="0.2">
      <c r="A20" s="338" t="s">
        <v>0</v>
      </c>
      <c r="B20" s="338" t="s">
        <v>479</v>
      </c>
      <c r="C20" s="338" t="s">
        <v>505</v>
      </c>
      <c r="D20" s="338" t="s">
        <v>480</v>
      </c>
      <c r="E20" s="323" t="s">
        <v>1</v>
      </c>
      <c r="F20" s="385" t="s">
        <v>380</v>
      </c>
      <c r="G20" s="385"/>
      <c r="H20" s="385"/>
    </row>
    <row r="21" spans="1:10" s="38" customFormat="1" ht="15" x14ac:dyDescent="0.2">
      <c r="A21" s="324" t="s">
        <v>391</v>
      </c>
      <c r="B21" s="325">
        <v>0.45</v>
      </c>
      <c r="C21" s="326">
        <v>0.48</v>
      </c>
      <c r="D21" s="326">
        <f t="shared" ref="D21:D23" si="2">C21-B21</f>
        <v>2.9999999999999971E-2</v>
      </c>
      <c r="E21" s="346" t="s">
        <v>5</v>
      </c>
      <c r="F21" s="340">
        <f t="shared" ref="F21" si="3">C21+6%</f>
        <v>0.54</v>
      </c>
      <c r="G21" s="341" t="s">
        <v>395</v>
      </c>
      <c r="H21" s="339">
        <f t="shared" ref="H21" si="4">IF(C21-6%&lt;0%,0%,C21-6%)</f>
        <v>0.42</v>
      </c>
    </row>
    <row r="22" spans="1:10" s="38" customFormat="1" ht="15" x14ac:dyDescent="0.2">
      <c r="A22" s="324" t="s">
        <v>387</v>
      </c>
      <c r="B22" s="325">
        <v>0.16</v>
      </c>
      <c r="C22" s="326">
        <v>0.14000000000000001</v>
      </c>
      <c r="D22" s="326">
        <f t="shared" si="2"/>
        <v>-1.999999999999999E-2</v>
      </c>
      <c r="E22" s="346" t="s">
        <v>6</v>
      </c>
      <c r="F22" s="340">
        <f>C22+5%</f>
        <v>0.19</v>
      </c>
      <c r="G22" s="341" t="s">
        <v>395</v>
      </c>
      <c r="H22" s="339">
        <f>IF(C22-5%&lt;0%,0%,C22-5%)</f>
        <v>9.0000000000000011E-2</v>
      </c>
    </row>
    <row r="23" spans="1:10" s="38" customFormat="1" ht="15" x14ac:dyDescent="0.2">
      <c r="A23" s="63" t="s">
        <v>4</v>
      </c>
      <c r="B23" s="325">
        <v>0.18</v>
      </c>
      <c r="C23" s="326">
        <v>0.19</v>
      </c>
      <c r="D23" s="326">
        <f t="shared" si="2"/>
        <v>1.0000000000000009E-2</v>
      </c>
      <c r="E23" s="346" t="s">
        <v>5</v>
      </c>
      <c r="F23" s="340">
        <f t="shared" ref="F23" si="5">C23+6%</f>
        <v>0.25</v>
      </c>
      <c r="G23" s="341" t="s">
        <v>395</v>
      </c>
      <c r="H23" s="339">
        <f t="shared" ref="H23" si="6">IF(C23-6%&lt;0%,0%,C23-6%)</f>
        <v>0.13</v>
      </c>
    </row>
  </sheetData>
  <mergeCells count="30">
    <mergeCell ref="F20:H20"/>
    <mergeCell ref="F3:H3"/>
    <mergeCell ref="F4:F6"/>
    <mergeCell ref="G4:G6"/>
    <mergeCell ref="F7:F8"/>
    <mergeCell ref="G7:G8"/>
    <mergeCell ref="H4:H6"/>
    <mergeCell ref="B17:J17"/>
    <mergeCell ref="C9:C10"/>
    <mergeCell ref="D9:D10"/>
    <mergeCell ref="G9:G10"/>
    <mergeCell ref="J9:J10"/>
    <mergeCell ref="B4:B6"/>
    <mergeCell ref="J4:J6"/>
    <mergeCell ref="J7:J8"/>
    <mergeCell ref="H7:H8"/>
    <mergeCell ref="H9:H10"/>
    <mergeCell ref="A4:A6"/>
    <mergeCell ref="C4:C6"/>
    <mergeCell ref="D4:D6"/>
    <mergeCell ref="E4:E6"/>
    <mergeCell ref="E7:E8"/>
    <mergeCell ref="A7:A8"/>
    <mergeCell ref="C7:C8"/>
    <mergeCell ref="D7:D8"/>
    <mergeCell ref="B9:B10"/>
    <mergeCell ref="F9:F10"/>
    <mergeCell ref="A9:A10"/>
    <mergeCell ref="B7:B8"/>
    <mergeCell ref="E9:E10"/>
  </mergeCells>
  <phoneticPr fontId="2" type="noConversion"/>
  <conditionalFormatting sqref="J4:J16">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D15" sqref="D15"/>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07"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ht="15" customHeight="1" x14ac:dyDescent="0.2">
      <c r="A4" s="429" t="s">
        <v>389</v>
      </c>
      <c r="B4" s="445">
        <v>0.56979999999999997</v>
      </c>
      <c r="C4" s="452">
        <v>0.52</v>
      </c>
      <c r="D4" s="454">
        <v>0.53</v>
      </c>
      <c r="E4" s="456" t="s">
        <v>5</v>
      </c>
      <c r="F4" s="390">
        <f>D4+6%</f>
        <v>0.59000000000000008</v>
      </c>
      <c r="G4" s="392" t="s">
        <v>395</v>
      </c>
      <c r="H4" s="401">
        <f>IF(D4-6%&lt;0%,0%,D4-6%)</f>
        <v>0.47000000000000003</v>
      </c>
      <c r="I4" s="142" t="s">
        <v>458</v>
      </c>
      <c r="J4" s="449">
        <f t="shared" ref="J4:J10" si="0">D4-C4</f>
        <v>1.0000000000000009E-2</v>
      </c>
    </row>
    <row r="5" spans="1:10" ht="14.25" customHeight="1" x14ac:dyDescent="0.2">
      <c r="A5" s="430"/>
      <c r="B5" s="446"/>
      <c r="C5" s="452"/>
      <c r="D5" s="454"/>
      <c r="E5" s="457"/>
      <c r="F5" s="391"/>
      <c r="G5" s="393"/>
      <c r="H5" s="402"/>
      <c r="I5" s="28" t="s">
        <v>459</v>
      </c>
      <c r="J5" s="448">
        <f t="shared" si="0"/>
        <v>0</v>
      </c>
    </row>
    <row r="6" spans="1:10" ht="14.25" customHeight="1" x14ac:dyDescent="0.2">
      <c r="A6" s="359"/>
      <c r="B6" s="438"/>
      <c r="C6" s="453"/>
      <c r="D6" s="455"/>
      <c r="E6" s="457"/>
      <c r="F6" s="384"/>
      <c r="G6" s="387"/>
      <c r="H6" s="403"/>
      <c r="I6" s="42"/>
      <c r="J6" s="444">
        <f t="shared" si="0"/>
        <v>0</v>
      </c>
    </row>
    <row r="7" spans="1:10" x14ac:dyDescent="0.2">
      <c r="A7" s="435" t="s">
        <v>390</v>
      </c>
      <c r="B7" s="461">
        <v>0.1585</v>
      </c>
      <c r="C7" s="458">
        <v>0.18</v>
      </c>
      <c r="D7" s="450">
        <v>0.17</v>
      </c>
      <c r="E7" s="460" t="s">
        <v>6</v>
      </c>
      <c r="F7" s="394">
        <f>D7+5%</f>
        <v>0.22000000000000003</v>
      </c>
      <c r="G7" s="396" t="s">
        <v>395</v>
      </c>
      <c r="H7" s="409">
        <f>IF(D7-5%&lt;0%,0%,D7-5%)</f>
        <v>0.12000000000000001</v>
      </c>
      <c r="I7" s="43" t="s">
        <v>14</v>
      </c>
      <c r="J7" s="443">
        <f t="shared" si="0"/>
        <v>-9.9999999999999811E-3</v>
      </c>
    </row>
    <row r="8" spans="1:10" x14ac:dyDescent="0.2">
      <c r="A8" s="436"/>
      <c r="B8" s="462"/>
      <c r="C8" s="459"/>
      <c r="D8" s="451"/>
      <c r="E8" s="460"/>
      <c r="F8" s="395"/>
      <c r="G8" s="397"/>
      <c r="H8" s="410"/>
      <c r="I8" s="42" t="s">
        <v>15</v>
      </c>
      <c r="J8" s="444">
        <f t="shared" si="0"/>
        <v>0</v>
      </c>
    </row>
    <row r="9" spans="1:10" ht="14.25" customHeight="1" x14ac:dyDescent="0.2">
      <c r="A9" s="439" t="s">
        <v>388</v>
      </c>
      <c r="B9" s="463">
        <v>9.8100000000000007E-2</v>
      </c>
      <c r="C9" s="458">
        <v>0.1</v>
      </c>
      <c r="D9" s="450">
        <v>0.09</v>
      </c>
      <c r="E9" s="366" t="s">
        <v>5</v>
      </c>
      <c r="F9" s="383">
        <f>D9+6%</f>
        <v>0.15</v>
      </c>
      <c r="G9" s="386" t="s">
        <v>395</v>
      </c>
      <c r="H9" s="381">
        <f>IF(D9-6%&lt;0%,0%,D9-6%)</f>
        <v>0.03</v>
      </c>
      <c r="I9" s="43" t="s">
        <v>16</v>
      </c>
      <c r="J9" s="443">
        <f t="shared" si="0"/>
        <v>-1.0000000000000009E-2</v>
      </c>
    </row>
    <row r="10" spans="1:10" x14ac:dyDescent="0.2">
      <c r="A10" s="359"/>
      <c r="B10" s="464"/>
      <c r="C10" s="459"/>
      <c r="D10" s="451"/>
      <c r="E10" s="366"/>
      <c r="F10" s="384"/>
      <c r="G10" s="387"/>
      <c r="H10" s="382"/>
      <c r="I10" s="44" t="s">
        <v>17</v>
      </c>
      <c r="J10" s="444">
        <f t="shared" si="0"/>
        <v>0</v>
      </c>
    </row>
    <row r="11" spans="1:10" ht="15" x14ac:dyDescent="0.2">
      <c r="A11" s="72" t="s">
        <v>11</v>
      </c>
      <c r="B11" s="179">
        <v>1.2800000000000001E-2</v>
      </c>
      <c r="C11" s="119">
        <v>0.04</v>
      </c>
      <c r="D11" s="268">
        <v>0.04</v>
      </c>
      <c r="E11" s="89" t="s">
        <v>6</v>
      </c>
      <c r="F11" s="163">
        <f>D11+5%</f>
        <v>0.09</v>
      </c>
      <c r="G11" s="159" t="s">
        <v>395</v>
      </c>
      <c r="H11" s="164">
        <f>IF(D11-5%&lt;0%,0%,D11-5%)</f>
        <v>0</v>
      </c>
      <c r="I11" s="60" t="s">
        <v>382</v>
      </c>
      <c r="J11" s="148">
        <f>D11-C11</f>
        <v>0</v>
      </c>
    </row>
    <row r="12" spans="1:10" s="38" customFormat="1" ht="15" x14ac:dyDescent="0.2">
      <c r="A12" s="109" t="s">
        <v>387</v>
      </c>
      <c r="B12" s="179">
        <v>0.23769999999999999</v>
      </c>
      <c r="C12" s="119">
        <v>0.22</v>
      </c>
      <c r="D12" s="268">
        <v>0.22</v>
      </c>
      <c r="E12" s="89" t="s">
        <v>6</v>
      </c>
      <c r="F12" s="163">
        <f>D12+5%</f>
        <v>0.27</v>
      </c>
      <c r="G12" s="159" t="s">
        <v>395</v>
      </c>
      <c r="H12" s="164">
        <f>IF(D12-5%&lt;0%,0%,D12-5%)</f>
        <v>0.16999999999999998</v>
      </c>
      <c r="I12" s="47" t="s">
        <v>385</v>
      </c>
      <c r="J12" s="148">
        <f t="shared" ref="J12:J14" si="1">D12-C12</f>
        <v>0</v>
      </c>
    </row>
    <row r="13" spans="1:10" ht="15" x14ac:dyDescent="0.2">
      <c r="A13" s="109" t="s">
        <v>381</v>
      </c>
      <c r="B13" s="179">
        <v>4.6999999999999993E-3</v>
      </c>
      <c r="C13" s="119">
        <v>0.03</v>
      </c>
      <c r="D13" s="268">
        <v>0.03</v>
      </c>
      <c r="E13" s="89" t="s">
        <v>6</v>
      </c>
      <c r="F13" s="163">
        <f>D13+5%</f>
        <v>0.08</v>
      </c>
      <c r="G13" s="159" t="s">
        <v>395</v>
      </c>
      <c r="H13" s="164">
        <f>IF(D13-5%&lt;0%,0%,D13-5%)</f>
        <v>0</v>
      </c>
      <c r="I13" s="61" t="s">
        <v>383</v>
      </c>
      <c r="J13" s="149">
        <f t="shared" si="1"/>
        <v>0</v>
      </c>
    </row>
    <row r="14" spans="1:10" ht="15.75" thickBot="1" x14ac:dyDescent="0.25">
      <c r="A14" s="79" t="s">
        <v>386</v>
      </c>
      <c r="B14" s="178">
        <v>7.8799999999999995E-2</v>
      </c>
      <c r="C14" s="121">
        <v>0.05</v>
      </c>
      <c r="D14" s="269">
        <v>0.06</v>
      </c>
      <c r="E14" s="92" t="s">
        <v>6</v>
      </c>
      <c r="F14" s="165">
        <f>D14+5%</f>
        <v>0.11</v>
      </c>
      <c r="G14" s="162" t="s">
        <v>395</v>
      </c>
      <c r="H14" s="166">
        <f>IF(D14-5%&lt;0%,0%,D14-5%)</f>
        <v>9.999999999999995E-3</v>
      </c>
      <c r="I14" s="51" t="s">
        <v>12</v>
      </c>
      <c r="J14" s="150">
        <f t="shared" si="1"/>
        <v>9.999999999999995E-3</v>
      </c>
    </row>
    <row r="15" spans="1:10" ht="15.75" thickBot="1" x14ac:dyDescent="0.25">
      <c r="A15" s="78" t="s">
        <v>3</v>
      </c>
      <c r="B15" s="80">
        <f>SUM(B4:B14)</f>
        <v>1.1603999999999999</v>
      </c>
      <c r="C15" s="84">
        <f>SUM(C4:C14)</f>
        <v>1.1400000000000001</v>
      </c>
      <c r="D15" s="250">
        <f>SUM(D4:D14)</f>
        <v>1.1400000000000001</v>
      </c>
      <c r="E15" s="90"/>
      <c r="F15" s="167"/>
      <c r="G15" s="160"/>
      <c r="H15" s="168"/>
      <c r="I15" s="55"/>
      <c r="J15" s="34">
        <f>SUM(J4:J14)</f>
        <v>1.3877787807814457E-17</v>
      </c>
    </row>
    <row r="16" spans="1:10" ht="15.75" thickBot="1" x14ac:dyDescent="0.25">
      <c r="A16" s="79" t="s">
        <v>4</v>
      </c>
      <c r="B16" s="177">
        <v>0.2409</v>
      </c>
      <c r="C16" s="32">
        <v>0.23</v>
      </c>
      <c r="D16" s="251">
        <v>0.21</v>
      </c>
      <c r="E16" s="91" t="s">
        <v>5</v>
      </c>
      <c r="F16" s="169">
        <f>D16+6%</f>
        <v>0.27</v>
      </c>
      <c r="G16" s="161" t="s">
        <v>395</v>
      </c>
      <c r="H16" s="170">
        <f>IF(D16-6%&lt;0%,0%,D16-6%)</f>
        <v>0.15</v>
      </c>
      <c r="I16" s="33" t="s">
        <v>457</v>
      </c>
      <c r="J16" s="36">
        <f>D16-C16</f>
        <v>-2.0000000000000018E-2</v>
      </c>
    </row>
    <row r="17" spans="1:10" s="38" customFormat="1" ht="39" customHeight="1" thickBot="1" x14ac:dyDescent="0.25">
      <c r="A17" s="152" t="str">
        <f>'הכשרה - קרן י'!$A$17</f>
        <v>מגבלת עמלת ניהול חיצוני לשנת 2026</v>
      </c>
      <c r="B17" s="398">
        <v>3.3E-3</v>
      </c>
      <c r="C17" s="399"/>
      <c r="D17" s="399"/>
      <c r="E17" s="399"/>
      <c r="F17" s="399"/>
      <c r="G17" s="399"/>
      <c r="H17" s="399"/>
      <c r="I17" s="399"/>
      <c r="J17" s="400"/>
    </row>
    <row r="18" spans="1:10" x14ac:dyDescent="0.2">
      <c r="A18" s="37"/>
    </row>
    <row r="23" spans="1:10" x14ac:dyDescent="0.2">
      <c r="C23" s="38"/>
    </row>
  </sheetData>
  <mergeCells count="29">
    <mergeCell ref="A9:A10"/>
    <mergeCell ref="F3:H3"/>
    <mergeCell ref="F4:F6"/>
    <mergeCell ref="G4:G6"/>
    <mergeCell ref="F7:F8"/>
    <mergeCell ref="G7:G8"/>
    <mergeCell ref="H7:H8"/>
    <mergeCell ref="H4:H6"/>
    <mergeCell ref="B17:J17"/>
    <mergeCell ref="J9:J10"/>
    <mergeCell ref="C9:C10"/>
    <mergeCell ref="D9:D10"/>
    <mergeCell ref="E9:E10"/>
    <mergeCell ref="H9:H10"/>
    <mergeCell ref="B9:B10"/>
    <mergeCell ref="F9:F10"/>
    <mergeCell ref="G9:G10"/>
    <mergeCell ref="J4:J6"/>
    <mergeCell ref="D7:D8"/>
    <mergeCell ref="J7:J8"/>
    <mergeCell ref="A4:A6"/>
    <mergeCell ref="C4:C6"/>
    <mergeCell ref="D4:D6"/>
    <mergeCell ref="E4:E6"/>
    <mergeCell ref="A7:A8"/>
    <mergeCell ref="C7:C8"/>
    <mergeCell ref="E7:E8"/>
    <mergeCell ref="B7:B8"/>
    <mergeCell ref="B4:B6"/>
  </mergeCells>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07" t="s">
        <v>20</v>
      </c>
      <c r="B1" s="5"/>
      <c r="C1" s="5"/>
      <c r="D1" s="6"/>
      <c r="E1" s="5"/>
      <c r="F1" s="5"/>
      <c r="G1" s="5"/>
      <c r="H1" s="6"/>
    </row>
    <row r="2" spans="1:10" ht="15.75" thickTop="1" thickBot="1" x14ac:dyDescent="0.25"/>
    <row r="3" spans="1:10" s="102" customFormat="1" ht="4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x14ac:dyDescent="0.2">
      <c r="A4" s="429" t="s">
        <v>389</v>
      </c>
      <c r="B4" s="471">
        <v>0.46950000000000003</v>
      </c>
      <c r="C4" s="467">
        <v>0.42</v>
      </c>
      <c r="D4" s="454">
        <v>0.42</v>
      </c>
      <c r="E4" s="456" t="s">
        <v>5</v>
      </c>
      <c r="F4" s="390">
        <f>D4+6%</f>
        <v>0.48</v>
      </c>
      <c r="G4" s="392" t="s">
        <v>395</v>
      </c>
      <c r="H4" s="401">
        <f>IF(D4-6%&lt;0%,0%,D4-6%)</f>
        <v>0.36</v>
      </c>
      <c r="I4" s="142" t="s">
        <v>458</v>
      </c>
      <c r="J4" s="449">
        <f t="shared" ref="J4:J10" si="0">D4-C4</f>
        <v>0</v>
      </c>
    </row>
    <row r="5" spans="1:10" x14ac:dyDescent="0.2">
      <c r="A5" s="430"/>
      <c r="B5" s="472"/>
      <c r="C5" s="467"/>
      <c r="D5" s="454"/>
      <c r="E5" s="457"/>
      <c r="F5" s="391"/>
      <c r="G5" s="393"/>
      <c r="H5" s="402"/>
      <c r="I5" s="28" t="s">
        <v>459</v>
      </c>
      <c r="J5" s="448">
        <f t="shared" si="0"/>
        <v>0</v>
      </c>
    </row>
    <row r="6" spans="1:10" x14ac:dyDescent="0.2">
      <c r="A6" s="359"/>
      <c r="B6" s="473"/>
      <c r="C6" s="468"/>
      <c r="D6" s="455"/>
      <c r="E6" s="457"/>
      <c r="F6" s="384"/>
      <c r="G6" s="387"/>
      <c r="H6" s="403"/>
      <c r="I6" s="42"/>
      <c r="J6" s="444">
        <f t="shared" si="0"/>
        <v>0</v>
      </c>
    </row>
    <row r="7" spans="1:10" x14ac:dyDescent="0.2">
      <c r="A7" s="435" t="s">
        <v>390</v>
      </c>
      <c r="B7" s="469">
        <v>0.25459999999999999</v>
      </c>
      <c r="C7" s="465">
        <v>0.25</v>
      </c>
      <c r="D7" s="450">
        <v>0.25</v>
      </c>
      <c r="E7" s="460" t="s">
        <v>6</v>
      </c>
      <c r="F7" s="394">
        <f>D7+5%</f>
        <v>0.3</v>
      </c>
      <c r="G7" s="396" t="s">
        <v>395</v>
      </c>
      <c r="H7" s="409">
        <f>IF(D7-5%&lt;0%,0%,D7-5%)</f>
        <v>0.2</v>
      </c>
      <c r="I7" s="43" t="s">
        <v>14</v>
      </c>
      <c r="J7" s="443">
        <f t="shared" si="0"/>
        <v>0</v>
      </c>
    </row>
    <row r="8" spans="1:10" x14ac:dyDescent="0.2">
      <c r="A8" s="436"/>
      <c r="B8" s="470"/>
      <c r="C8" s="466"/>
      <c r="D8" s="451"/>
      <c r="E8" s="460"/>
      <c r="F8" s="395"/>
      <c r="G8" s="397"/>
      <c r="H8" s="410"/>
      <c r="I8" s="42" t="s">
        <v>15</v>
      </c>
      <c r="J8" s="444">
        <f t="shared" si="0"/>
        <v>0</v>
      </c>
    </row>
    <row r="9" spans="1:10" ht="14.25" customHeight="1" x14ac:dyDescent="0.2">
      <c r="A9" s="439" t="s">
        <v>388</v>
      </c>
      <c r="B9" s="474">
        <v>0.16789999999999999</v>
      </c>
      <c r="C9" s="465">
        <v>0.14000000000000001</v>
      </c>
      <c r="D9" s="450">
        <v>0.14000000000000001</v>
      </c>
      <c r="E9" s="366" t="s">
        <v>5</v>
      </c>
      <c r="F9" s="383">
        <f>D9+6%</f>
        <v>0.2</v>
      </c>
      <c r="G9" s="386" t="s">
        <v>395</v>
      </c>
      <c r="H9" s="381">
        <f>IF(D9-6%&lt;0%,0%,D9-6%)</f>
        <v>8.0000000000000016E-2</v>
      </c>
      <c r="I9" s="43" t="s">
        <v>16</v>
      </c>
      <c r="J9" s="443">
        <f t="shared" si="0"/>
        <v>0</v>
      </c>
    </row>
    <row r="10" spans="1:10" x14ac:dyDescent="0.2">
      <c r="A10" s="359"/>
      <c r="B10" s="475"/>
      <c r="C10" s="466"/>
      <c r="D10" s="451"/>
      <c r="E10" s="366"/>
      <c r="F10" s="384"/>
      <c r="G10" s="387"/>
      <c r="H10" s="382"/>
      <c r="I10" s="44" t="s">
        <v>17</v>
      </c>
      <c r="J10" s="444">
        <f t="shared" si="0"/>
        <v>0</v>
      </c>
    </row>
    <row r="11" spans="1:10" ht="15" x14ac:dyDescent="0.2">
      <c r="A11" s="72" t="s">
        <v>11</v>
      </c>
      <c r="B11" s="180">
        <v>5.8999999999999999E-3</v>
      </c>
      <c r="C11" s="120">
        <v>0.04</v>
      </c>
      <c r="D11" s="268">
        <v>0.04</v>
      </c>
      <c r="E11" s="89" t="s">
        <v>6</v>
      </c>
      <c r="F11" s="163">
        <f>D11+5%</f>
        <v>0.09</v>
      </c>
      <c r="G11" s="159" t="s">
        <v>395</v>
      </c>
      <c r="H11" s="164">
        <f>IF(D11-5%&lt;0%,0%,D11-5%)</f>
        <v>0</v>
      </c>
      <c r="I11" s="60" t="s">
        <v>382</v>
      </c>
      <c r="J11" s="148">
        <f>D11-C11</f>
        <v>0</v>
      </c>
    </row>
    <row r="12" spans="1:10" ht="15" x14ac:dyDescent="0.2">
      <c r="A12" s="109" t="s">
        <v>387</v>
      </c>
      <c r="B12" s="180">
        <v>0.11599999999999999</v>
      </c>
      <c r="C12" s="120">
        <v>0.12</v>
      </c>
      <c r="D12" s="268">
        <v>0.12</v>
      </c>
      <c r="E12" s="89" t="s">
        <v>6</v>
      </c>
      <c r="F12" s="163">
        <f>D12+5%</f>
        <v>0.16999999999999998</v>
      </c>
      <c r="G12" s="159" t="s">
        <v>395</v>
      </c>
      <c r="H12" s="164">
        <f>IF(D12-5%&lt;0%,0%,D12-5%)</f>
        <v>6.9999999999999993E-2</v>
      </c>
      <c r="I12" s="47" t="s">
        <v>385</v>
      </c>
      <c r="J12" s="148">
        <f>D12-C12</f>
        <v>0</v>
      </c>
    </row>
    <row r="13" spans="1:10" ht="15" x14ac:dyDescent="0.2">
      <c r="A13" s="109" t="s">
        <v>381</v>
      </c>
      <c r="B13" s="180">
        <v>2.0999999999999999E-3</v>
      </c>
      <c r="C13" s="120">
        <v>0.03</v>
      </c>
      <c r="D13" s="268">
        <v>0.03</v>
      </c>
      <c r="E13" s="89" t="s">
        <v>6</v>
      </c>
      <c r="F13" s="163">
        <f>D13+5%</f>
        <v>0.08</v>
      </c>
      <c r="G13" s="159" t="s">
        <v>395</v>
      </c>
      <c r="H13" s="164">
        <f>IF(D13-5%&lt;0%,0%,D13-5%)</f>
        <v>0</v>
      </c>
      <c r="I13" s="61" t="s">
        <v>383</v>
      </c>
      <c r="J13" s="149">
        <f>D13-C13</f>
        <v>0</v>
      </c>
    </row>
    <row r="14" spans="1:10" ht="15.75" thickBot="1" x14ac:dyDescent="0.25">
      <c r="A14" s="79" t="s">
        <v>386</v>
      </c>
      <c r="B14" s="181">
        <v>7.7399999999999997E-2</v>
      </c>
      <c r="C14" s="122">
        <v>0.05</v>
      </c>
      <c r="D14" s="269">
        <v>7.0000000000000007E-2</v>
      </c>
      <c r="E14" s="92" t="s">
        <v>6</v>
      </c>
      <c r="F14" s="165">
        <f>D14+5%</f>
        <v>0.12000000000000001</v>
      </c>
      <c r="G14" s="162" t="s">
        <v>395</v>
      </c>
      <c r="H14" s="166">
        <f>IF(D14-5%&lt;0%,0%,D14-5%)</f>
        <v>2.0000000000000004E-2</v>
      </c>
      <c r="I14" s="51" t="s">
        <v>12</v>
      </c>
      <c r="J14" s="149">
        <f>D14-C14</f>
        <v>2.0000000000000004E-2</v>
      </c>
    </row>
    <row r="15" spans="1:10" ht="15.75" thickBot="1" x14ac:dyDescent="0.25">
      <c r="A15" s="78" t="s">
        <v>3</v>
      </c>
      <c r="B15" s="80">
        <f>SUM(B4:B14)</f>
        <v>1.0933999999999999</v>
      </c>
      <c r="C15" s="98">
        <f>SUM(C4:C14)</f>
        <v>1.05</v>
      </c>
      <c r="D15" s="250">
        <f>SUM(D4:D14)</f>
        <v>1.07</v>
      </c>
      <c r="E15" s="90"/>
      <c r="F15" s="167"/>
      <c r="G15" s="160"/>
      <c r="H15" s="168"/>
      <c r="I15" s="55"/>
      <c r="J15" s="34">
        <f>SUM(J4:J14)</f>
        <v>2.0000000000000004E-2</v>
      </c>
    </row>
    <row r="16" spans="1:10" ht="15.75" thickBot="1" x14ac:dyDescent="0.25">
      <c r="A16" s="79" t="s">
        <v>4</v>
      </c>
      <c r="B16" s="182">
        <v>0.1971</v>
      </c>
      <c r="C16" s="99">
        <v>0.21</v>
      </c>
      <c r="D16" s="251">
        <v>0.19</v>
      </c>
      <c r="E16" s="58" t="s">
        <v>5</v>
      </c>
      <c r="F16" s="169">
        <f>D16+6%</f>
        <v>0.25</v>
      </c>
      <c r="G16" s="161" t="s">
        <v>395</v>
      </c>
      <c r="H16" s="170">
        <f>IF(D16-6%&lt;0%,0%,D16-6%)</f>
        <v>0.13</v>
      </c>
      <c r="I16" s="33" t="s">
        <v>457</v>
      </c>
      <c r="J16" s="36">
        <f>D16-C16</f>
        <v>-1.999999999999999E-2</v>
      </c>
    </row>
    <row r="17" spans="1:10" s="38" customFormat="1" ht="39" customHeight="1" thickBot="1" x14ac:dyDescent="0.25">
      <c r="A17" s="152" t="str">
        <f>'הכשרה - קרן י'!$A$17</f>
        <v>מגבלת עמלת ניהול חיצוני לשנת 2026</v>
      </c>
      <c r="B17" s="398">
        <v>2.5000000000000001E-3</v>
      </c>
      <c r="C17" s="399"/>
      <c r="D17" s="399"/>
      <c r="E17" s="399"/>
      <c r="F17" s="399"/>
      <c r="G17" s="399"/>
      <c r="H17" s="399"/>
      <c r="I17" s="399"/>
      <c r="J17" s="400"/>
    </row>
    <row r="19" spans="1:10" x14ac:dyDescent="0.2">
      <c r="A19" s="37"/>
    </row>
  </sheetData>
  <mergeCells count="29">
    <mergeCell ref="A9:A10"/>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07" t="s">
        <v>21</v>
      </c>
      <c r="B1" s="5"/>
      <c r="C1" s="5"/>
      <c r="D1" s="5"/>
      <c r="E1" s="6"/>
      <c r="F1" s="6"/>
      <c r="G1" s="6"/>
      <c r="H1" s="5"/>
      <c r="I1" s="6"/>
    </row>
    <row r="2" spans="1:10" ht="15.75" thickTop="1" thickBot="1" x14ac:dyDescent="0.25"/>
    <row r="3" spans="1:10" s="26" customFormat="1" ht="45.75" customHeight="1" thickBot="1" x14ac:dyDescent="0.3">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x14ac:dyDescent="0.2">
      <c r="A4" s="429" t="s">
        <v>389</v>
      </c>
      <c r="B4" s="471">
        <v>0.31120000000000003</v>
      </c>
      <c r="C4" s="452">
        <v>0.26</v>
      </c>
      <c r="D4" s="454">
        <v>0.26</v>
      </c>
      <c r="E4" s="456" t="s">
        <v>5</v>
      </c>
      <c r="F4" s="390">
        <f>D4+6%</f>
        <v>0.32</v>
      </c>
      <c r="G4" s="392" t="s">
        <v>395</v>
      </c>
      <c r="H4" s="401">
        <f>IF(D4-6%&lt;0%,0%,D4-6%)</f>
        <v>0.2</v>
      </c>
      <c r="I4" s="142" t="s">
        <v>458</v>
      </c>
      <c r="J4" s="449">
        <f>D4-C4</f>
        <v>0</v>
      </c>
    </row>
    <row r="5" spans="1:10" x14ac:dyDescent="0.2">
      <c r="A5" s="430"/>
      <c r="B5" s="472"/>
      <c r="C5" s="452"/>
      <c r="D5" s="454"/>
      <c r="E5" s="457"/>
      <c r="F5" s="391"/>
      <c r="G5" s="393"/>
      <c r="H5" s="402"/>
      <c r="I5" s="28" t="s">
        <v>459</v>
      </c>
      <c r="J5" s="448"/>
    </row>
    <row r="6" spans="1:10" x14ac:dyDescent="0.2">
      <c r="A6" s="359"/>
      <c r="B6" s="473"/>
      <c r="C6" s="453"/>
      <c r="D6" s="455"/>
      <c r="E6" s="457"/>
      <c r="F6" s="384"/>
      <c r="G6" s="387"/>
      <c r="H6" s="403"/>
      <c r="I6" s="42"/>
      <c r="J6" s="444"/>
    </row>
    <row r="7" spans="1:10" x14ac:dyDescent="0.2">
      <c r="A7" s="435" t="s">
        <v>390</v>
      </c>
      <c r="B7" s="469">
        <v>0.35850000000000004</v>
      </c>
      <c r="C7" s="458">
        <v>0.33</v>
      </c>
      <c r="D7" s="450">
        <v>0.33</v>
      </c>
      <c r="E7" s="460" t="s">
        <v>6</v>
      </c>
      <c r="F7" s="394">
        <f>D7+5%</f>
        <v>0.38</v>
      </c>
      <c r="G7" s="396" t="s">
        <v>395</v>
      </c>
      <c r="H7" s="409">
        <f>IF(D7-5%&lt;0%,0%,D7-5%)</f>
        <v>0.28000000000000003</v>
      </c>
      <c r="I7" s="43" t="s">
        <v>14</v>
      </c>
      <c r="J7" s="443">
        <f>D7-C7</f>
        <v>0</v>
      </c>
    </row>
    <row r="8" spans="1:10" x14ac:dyDescent="0.2">
      <c r="A8" s="436"/>
      <c r="B8" s="470"/>
      <c r="C8" s="459"/>
      <c r="D8" s="451"/>
      <c r="E8" s="460"/>
      <c r="F8" s="395"/>
      <c r="G8" s="397"/>
      <c r="H8" s="410"/>
      <c r="I8" s="42" t="s">
        <v>15</v>
      </c>
      <c r="J8" s="444"/>
    </row>
    <row r="9" spans="1:10" ht="14.25" customHeight="1" x14ac:dyDescent="0.2">
      <c r="A9" s="439" t="s">
        <v>388</v>
      </c>
      <c r="B9" s="474">
        <v>0.2102</v>
      </c>
      <c r="C9" s="458">
        <v>0.19</v>
      </c>
      <c r="D9" s="450">
        <v>0.19</v>
      </c>
      <c r="E9" s="366" t="s">
        <v>5</v>
      </c>
      <c r="F9" s="383">
        <f>D9+6%</f>
        <v>0.25</v>
      </c>
      <c r="G9" s="386" t="s">
        <v>395</v>
      </c>
      <c r="H9" s="381">
        <f>IF(D9-6%&lt;0%,0%,D9-6%)</f>
        <v>0.13</v>
      </c>
      <c r="I9" s="43" t="s">
        <v>16</v>
      </c>
      <c r="J9" s="443">
        <f>D9-C9</f>
        <v>0</v>
      </c>
    </row>
    <row r="10" spans="1:10" x14ac:dyDescent="0.2">
      <c r="A10" s="359"/>
      <c r="B10" s="475"/>
      <c r="C10" s="459"/>
      <c r="D10" s="451"/>
      <c r="E10" s="366"/>
      <c r="F10" s="384"/>
      <c r="G10" s="387"/>
      <c r="H10" s="382"/>
      <c r="I10" s="44" t="s">
        <v>17</v>
      </c>
      <c r="J10" s="444"/>
    </row>
    <row r="11" spans="1:10" ht="15" x14ac:dyDescent="0.2">
      <c r="A11" s="72" t="s">
        <v>11</v>
      </c>
      <c r="B11" s="180">
        <v>5.1999999999999998E-3</v>
      </c>
      <c r="C11" s="119">
        <v>0.04</v>
      </c>
      <c r="D11" s="268">
        <v>0.04</v>
      </c>
      <c r="E11" s="183" t="s">
        <v>6</v>
      </c>
      <c r="F11" s="163">
        <f>D11+5%</f>
        <v>0.09</v>
      </c>
      <c r="G11" s="159" t="s">
        <v>395</v>
      </c>
      <c r="H11" s="164">
        <f>IF(D11-5%&lt;0%,0%,D11-5%)</f>
        <v>0</v>
      </c>
      <c r="I11" s="60" t="s">
        <v>382</v>
      </c>
      <c r="J11" s="148">
        <f t="shared" ref="J11:J16" si="0">D11-C11</f>
        <v>0</v>
      </c>
    </row>
    <row r="12" spans="1:10" s="38" customFormat="1" ht="15" x14ac:dyDescent="0.2">
      <c r="A12" s="109" t="s">
        <v>387</v>
      </c>
      <c r="B12" s="180">
        <v>0.10580000000000001</v>
      </c>
      <c r="C12" s="119">
        <v>0.1</v>
      </c>
      <c r="D12" s="268">
        <v>0.1</v>
      </c>
      <c r="E12" s="183" t="s">
        <v>6</v>
      </c>
      <c r="F12" s="163">
        <f>D12+5%</f>
        <v>0.15000000000000002</v>
      </c>
      <c r="G12" s="159" t="s">
        <v>395</v>
      </c>
      <c r="H12" s="164">
        <f>IF(D12-5%&lt;0%,0%,D12-5%)</f>
        <v>0.05</v>
      </c>
      <c r="I12" s="47" t="s">
        <v>385</v>
      </c>
      <c r="J12" s="148">
        <f t="shared" si="0"/>
        <v>0</v>
      </c>
    </row>
    <row r="13" spans="1:10" ht="15" x14ac:dyDescent="0.2">
      <c r="A13" s="109" t="s">
        <v>381</v>
      </c>
      <c r="B13" s="180">
        <v>3.4000000000000002E-3</v>
      </c>
      <c r="C13" s="119">
        <v>0.02</v>
      </c>
      <c r="D13" s="268">
        <v>0.02</v>
      </c>
      <c r="E13" s="183" t="s">
        <v>6</v>
      </c>
      <c r="F13" s="163">
        <f>D13+5%</f>
        <v>7.0000000000000007E-2</v>
      </c>
      <c r="G13" s="159" t="s">
        <v>395</v>
      </c>
      <c r="H13" s="164">
        <f>IF(D13-5%&lt;0%,0%,D13-5%)</f>
        <v>0</v>
      </c>
      <c r="I13" s="61" t="s">
        <v>383</v>
      </c>
      <c r="J13" s="149">
        <f t="shared" si="0"/>
        <v>0</v>
      </c>
    </row>
    <row r="14" spans="1:10" ht="15.75" thickBot="1" x14ac:dyDescent="0.25">
      <c r="A14" s="79" t="s">
        <v>386</v>
      </c>
      <c r="B14" s="181">
        <v>4.4000000000000004E-2</v>
      </c>
      <c r="C14" s="121">
        <v>0.06</v>
      </c>
      <c r="D14" s="269">
        <v>0.06</v>
      </c>
      <c r="E14" s="92" t="s">
        <v>6</v>
      </c>
      <c r="F14" s="165">
        <f>D14+5%</f>
        <v>0.11</v>
      </c>
      <c r="G14" s="162" t="s">
        <v>395</v>
      </c>
      <c r="H14" s="166">
        <f>IF(D14-5%&lt;0%,0%,D14-5%)</f>
        <v>9.999999999999995E-3</v>
      </c>
      <c r="I14" s="51" t="s">
        <v>12</v>
      </c>
      <c r="J14" s="150">
        <f t="shared" si="0"/>
        <v>0</v>
      </c>
    </row>
    <row r="15" spans="1:10" ht="15.75" thickBot="1" x14ac:dyDescent="0.25">
      <c r="A15" s="78" t="s">
        <v>3</v>
      </c>
      <c r="B15" s="80">
        <f>SUM(B4:B14)</f>
        <v>1.0383</v>
      </c>
      <c r="C15" s="84">
        <f>SUM(C4:C14)</f>
        <v>1</v>
      </c>
      <c r="D15" s="250">
        <f>SUM(D4:D14)</f>
        <v>1</v>
      </c>
      <c r="E15" s="35"/>
      <c r="F15" s="167"/>
      <c r="G15" s="160"/>
      <c r="H15" s="168"/>
      <c r="I15" s="55"/>
      <c r="J15" s="151">
        <f t="shared" si="0"/>
        <v>0</v>
      </c>
    </row>
    <row r="16" spans="1:10" ht="15.75" thickBot="1" x14ac:dyDescent="0.25">
      <c r="A16" s="79" t="s">
        <v>4</v>
      </c>
      <c r="B16" s="182">
        <v>0.15289999999999998</v>
      </c>
      <c r="C16" s="96">
        <v>0.19</v>
      </c>
      <c r="D16" s="270">
        <v>0.15</v>
      </c>
      <c r="E16" s="58" t="s">
        <v>5</v>
      </c>
      <c r="F16" s="169">
        <f>D16+6%</f>
        <v>0.21</v>
      </c>
      <c r="G16" s="161" t="s">
        <v>395</v>
      </c>
      <c r="H16" s="170">
        <f>IF(D16-6%&lt;0%,0%,D16-6%)</f>
        <v>0.09</v>
      </c>
      <c r="I16" s="33" t="s">
        <v>457</v>
      </c>
      <c r="J16" s="36">
        <f t="shared" si="0"/>
        <v>-4.0000000000000008E-2</v>
      </c>
    </row>
    <row r="17" spans="1:10" s="38" customFormat="1" ht="39" customHeight="1" thickBot="1" x14ac:dyDescent="0.25">
      <c r="A17" s="152" t="str">
        <f>'הכשרה - קרן י'!$A$17</f>
        <v>מגבלת עמלת ניהול חיצוני לשנת 2026</v>
      </c>
      <c r="B17" s="398">
        <v>2.5000000000000001E-3</v>
      </c>
      <c r="C17" s="399"/>
      <c r="D17" s="399"/>
      <c r="E17" s="399"/>
      <c r="F17" s="399"/>
      <c r="G17" s="399"/>
      <c r="H17" s="399"/>
      <c r="I17" s="399"/>
      <c r="J17" s="400"/>
    </row>
    <row r="19" spans="1:10" x14ac:dyDescent="0.2">
      <c r="A19" s="37"/>
    </row>
  </sheetData>
  <mergeCells count="29">
    <mergeCell ref="A9:A10"/>
    <mergeCell ref="F3:H3"/>
    <mergeCell ref="F4:F6"/>
    <mergeCell ref="G4:G6"/>
    <mergeCell ref="F7:F8"/>
    <mergeCell ref="G7:G8"/>
    <mergeCell ref="B17:J17"/>
    <mergeCell ref="D9:D10"/>
    <mergeCell ref="E9:E10"/>
    <mergeCell ref="H9:H10"/>
    <mergeCell ref="B9:B10"/>
    <mergeCell ref="J9:J10"/>
    <mergeCell ref="C9:C10"/>
    <mergeCell ref="F9:F10"/>
    <mergeCell ref="G9:G10"/>
    <mergeCell ref="J4:J6"/>
    <mergeCell ref="A7:A8"/>
    <mergeCell ref="C7:C8"/>
    <mergeCell ref="D7:D8"/>
    <mergeCell ref="E7:E8"/>
    <mergeCell ref="H7:H8"/>
    <mergeCell ref="J7:J8"/>
    <mergeCell ref="A4:A6"/>
    <mergeCell ref="C4:C6"/>
    <mergeCell ref="D4:D6"/>
    <mergeCell ref="E4:E6"/>
    <mergeCell ref="H4:H6"/>
    <mergeCell ref="B7:B8"/>
    <mergeCell ref="B4:B6"/>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6" sqref="D16"/>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07" t="s">
        <v>384</v>
      </c>
    </row>
    <row r="2" spans="1:10" ht="13.5" customHeight="1" thickTop="1" thickBot="1" x14ac:dyDescent="0.25"/>
    <row r="3" spans="1:10" ht="46.9"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ht="13.5" customHeight="1" x14ac:dyDescent="0.2">
      <c r="A4" s="429" t="s">
        <v>389</v>
      </c>
      <c r="B4" s="471">
        <v>0.28160000000000002</v>
      </c>
      <c r="C4" s="452">
        <v>0.26</v>
      </c>
      <c r="D4" s="454">
        <v>0.26</v>
      </c>
      <c r="E4" s="456" t="s">
        <v>5</v>
      </c>
      <c r="F4" s="390">
        <f>D4+6%</f>
        <v>0.32</v>
      </c>
      <c r="G4" s="392" t="s">
        <v>395</v>
      </c>
      <c r="H4" s="401">
        <f>IF(D4-6%&lt;0%,0%,D4-6%)</f>
        <v>0.2</v>
      </c>
      <c r="I4" s="142" t="s">
        <v>458</v>
      </c>
      <c r="J4" s="449">
        <f>D4-C4</f>
        <v>0</v>
      </c>
    </row>
    <row r="5" spans="1:10" ht="13.5" customHeight="1" x14ac:dyDescent="0.2">
      <c r="A5" s="430"/>
      <c r="B5" s="472"/>
      <c r="C5" s="452"/>
      <c r="D5" s="454"/>
      <c r="E5" s="457"/>
      <c r="F5" s="391"/>
      <c r="G5" s="393"/>
      <c r="H5" s="402"/>
      <c r="I5" s="28" t="s">
        <v>459</v>
      </c>
      <c r="J5" s="448"/>
    </row>
    <row r="6" spans="1:10" ht="13.5" customHeight="1" x14ac:dyDescent="0.2">
      <c r="A6" s="359"/>
      <c r="B6" s="473"/>
      <c r="C6" s="453"/>
      <c r="D6" s="455"/>
      <c r="E6" s="457"/>
      <c r="F6" s="384"/>
      <c r="G6" s="387"/>
      <c r="H6" s="403"/>
      <c r="I6" s="42"/>
      <c r="J6" s="444"/>
    </row>
    <row r="7" spans="1:10" ht="13.5" customHeight="1" x14ac:dyDescent="0.2">
      <c r="A7" s="435" t="s">
        <v>390</v>
      </c>
      <c r="B7" s="469">
        <v>0.38819999999999999</v>
      </c>
      <c r="C7" s="458">
        <v>0.35</v>
      </c>
      <c r="D7" s="450">
        <v>0.36</v>
      </c>
      <c r="E7" s="460" t="s">
        <v>6</v>
      </c>
      <c r="F7" s="394">
        <f>D7+5%</f>
        <v>0.41</v>
      </c>
      <c r="G7" s="396" t="s">
        <v>395</v>
      </c>
      <c r="H7" s="409">
        <f>IF(D7-5%&lt;0%,0%,D7-5%)</f>
        <v>0.31</v>
      </c>
      <c r="I7" s="43" t="s">
        <v>14</v>
      </c>
      <c r="J7" s="443">
        <f>D7-C7</f>
        <v>1.0000000000000009E-2</v>
      </c>
    </row>
    <row r="8" spans="1:10" ht="13.5" customHeight="1" x14ac:dyDescent="0.2">
      <c r="A8" s="436"/>
      <c r="B8" s="470"/>
      <c r="C8" s="459"/>
      <c r="D8" s="451"/>
      <c r="E8" s="460"/>
      <c r="F8" s="395"/>
      <c r="G8" s="397"/>
      <c r="H8" s="410"/>
      <c r="I8" s="42" t="s">
        <v>15</v>
      </c>
      <c r="J8" s="444"/>
    </row>
    <row r="9" spans="1:10" ht="13.5" customHeight="1" x14ac:dyDescent="0.2">
      <c r="A9" s="439" t="s">
        <v>388</v>
      </c>
      <c r="B9" s="474">
        <v>0.18390000000000001</v>
      </c>
      <c r="C9" s="458">
        <v>0.2</v>
      </c>
      <c r="D9" s="450">
        <v>0.2</v>
      </c>
      <c r="E9" s="366" t="s">
        <v>5</v>
      </c>
      <c r="F9" s="383">
        <f>D9+6%</f>
        <v>0.26</v>
      </c>
      <c r="G9" s="386" t="s">
        <v>395</v>
      </c>
      <c r="H9" s="381">
        <f>IF(D9-6%&lt;0%,0%,D9-6%)</f>
        <v>0.14000000000000001</v>
      </c>
      <c r="I9" s="43" t="s">
        <v>16</v>
      </c>
      <c r="J9" s="443">
        <f>D9-C9</f>
        <v>0</v>
      </c>
    </row>
    <row r="10" spans="1:10" x14ac:dyDescent="0.2">
      <c r="A10" s="359"/>
      <c r="B10" s="475"/>
      <c r="C10" s="459"/>
      <c r="D10" s="451"/>
      <c r="E10" s="366"/>
      <c r="F10" s="384"/>
      <c r="G10" s="387"/>
      <c r="H10" s="382"/>
      <c r="I10" s="44" t="s">
        <v>17</v>
      </c>
      <c r="J10" s="444"/>
    </row>
    <row r="11" spans="1:10" ht="13.5" customHeight="1" x14ac:dyDescent="0.2">
      <c r="A11" s="72" t="s">
        <v>11</v>
      </c>
      <c r="B11" s="180">
        <v>8.3000000000000001E-3</v>
      </c>
      <c r="C11" s="119">
        <v>0.05</v>
      </c>
      <c r="D11" s="268">
        <v>0.02</v>
      </c>
      <c r="E11" s="183" t="s">
        <v>6</v>
      </c>
      <c r="F11" s="163">
        <f>D11+5%</f>
        <v>7.0000000000000007E-2</v>
      </c>
      <c r="G11" s="159" t="s">
        <v>395</v>
      </c>
      <c r="H11" s="164">
        <f>IF(D11-5%&lt;0%,0%,D11-5%)</f>
        <v>0</v>
      </c>
      <c r="I11" s="60" t="s">
        <v>382</v>
      </c>
      <c r="J11" s="148">
        <f>D11-C11</f>
        <v>-3.0000000000000002E-2</v>
      </c>
    </row>
    <row r="12" spans="1:10" s="38" customFormat="1" ht="13.5" customHeight="1" x14ac:dyDescent="0.2">
      <c r="A12" s="109" t="s">
        <v>387</v>
      </c>
      <c r="B12" s="180">
        <v>0.10310000000000001</v>
      </c>
      <c r="C12" s="119">
        <v>0.13</v>
      </c>
      <c r="D12" s="268">
        <v>0.12</v>
      </c>
      <c r="E12" s="183" t="s">
        <v>6</v>
      </c>
      <c r="F12" s="163">
        <f>D12+5%</f>
        <v>0.16999999999999998</v>
      </c>
      <c r="G12" s="159" t="s">
        <v>395</v>
      </c>
      <c r="H12" s="164">
        <f>IF(D12-5%&lt;0%,0%,D12-5%)</f>
        <v>6.9999999999999993E-2</v>
      </c>
      <c r="I12" s="47" t="s">
        <v>385</v>
      </c>
      <c r="J12" s="148">
        <f>D12-C12</f>
        <v>-1.0000000000000009E-2</v>
      </c>
    </row>
    <row r="13" spans="1:10" ht="13.5" customHeight="1" x14ac:dyDescent="0.2">
      <c r="A13" s="109" t="s">
        <v>381</v>
      </c>
      <c r="B13" s="180">
        <v>2.8000000000000004E-3</v>
      </c>
      <c r="C13" s="119">
        <v>0.02</v>
      </c>
      <c r="D13" s="268">
        <v>0.02</v>
      </c>
      <c r="E13" s="183" t="s">
        <v>6</v>
      </c>
      <c r="F13" s="163">
        <f>D13+5%</f>
        <v>7.0000000000000007E-2</v>
      </c>
      <c r="G13" s="159" t="s">
        <v>395</v>
      </c>
      <c r="H13" s="164">
        <f>IF(D13-5%&lt;0%,0%,D13-5%)</f>
        <v>0</v>
      </c>
      <c r="I13" s="61" t="s">
        <v>383</v>
      </c>
      <c r="J13" s="149">
        <f>D13-C13</f>
        <v>0</v>
      </c>
    </row>
    <row r="14" spans="1:10" ht="13.5" customHeight="1" thickBot="1" x14ac:dyDescent="0.25">
      <c r="A14" s="79" t="s">
        <v>386</v>
      </c>
      <c r="B14" s="181">
        <v>9.4200000000000006E-2</v>
      </c>
      <c r="C14" s="121">
        <v>0.05</v>
      </c>
      <c r="D14" s="269">
        <v>0.08</v>
      </c>
      <c r="E14" s="92" t="s">
        <v>6</v>
      </c>
      <c r="F14" s="165">
        <f>D14+5%</f>
        <v>0.13</v>
      </c>
      <c r="G14" s="162" t="s">
        <v>395</v>
      </c>
      <c r="H14" s="166">
        <f>IF(D14-5%&lt;0%,0%,D14-5%)</f>
        <v>0.03</v>
      </c>
      <c r="I14" s="51" t="s">
        <v>12</v>
      </c>
      <c r="J14" s="150">
        <f>D14-C14</f>
        <v>0.03</v>
      </c>
    </row>
    <row r="15" spans="1:10" ht="15.75" thickBot="1" x14ac:dyDescent="0.25">
      <c r="A15" s="78" t="s">
        <v>3</v>
      </c>
      <c r="B15" s="80">
        <f>SUM(B4:B14)</f>
        <v>1.0620999999999998</v>
      </c>
      <c r="C15" s="84">
        <f>SUM(C4:C14)</f>
        <v>1.06</v>
      </c>
      <c r="D15" s="250">
        <f>SUM(D4:D14)</f>
        <v>1.06</v>
      </c>
      <c r="E15" s="35"/>
      <c r="F15" s="167"/>
      <c r="G15" s="160"/>
      <c r="H15" s="168"/>
      <c r="I15" s="55"/>
      <c r="J15" s="34">
        <f>SUM(J4:J14)</f>
        <v>0</v>
      </c>
    </row>
    <row r="16" spans="1:10" ht="15.75" thickBot="1" x14ac:dyDescent="0.25">
      <c r="A16" s="79" t="s">
        <v>4</v>
      </c>
      <c r="B16" s="182">
        <v>0.13220000000000001</v>
      </c>
      <c r="C16" s="32">
        <v>0.19</v>
      </c>
      <c r="D16" s="251">
        <v>0.14000000000000001</v>
      </c>
      <c r="E16" s="58" t="s">
        <v>5</v>
      </c>
      <c r="F16" s="169">
        <f>D16+6%</f>
        <v>0.2</v>
      </c>
      <c r="G16" s="161" t="s">
        <v>395</v>
      </c>
      <c r="H16" s="170">
        <f>IF(D16-6%&lt;0%,0%,D16-6%)</f>
        <v>8.0000000000000016E-2</v>
      </c>
      <c r="I16" s="33" t="s">
        <v>457</v>
      </c>
      <c r="J16" s="36">
        <f>D16-C16</f>
        <v>-4.9999999999999989E-2</v>
      </c>
    </row>
    <row r="17" spans="1:10" s="38" customFormat="1" ht="39" customHeight="1" thickBot="1" x14ac:dyDescent="0.25">
      <c r="A17" s="152" t="str">
        <f>'הכשרה - קרן י'!$A$17</f>
        <v>מגבלת עמלת ניהול חיצוני לשנת 2026</v>
      </c>
      <c r="B17" s="398">
        <v>2.5000000000000001E-3</v>
      </c>
      <c r="C17" s="399"/>
      <c r="D17" s="399"/>
      <c r="E17" s="399"/>
      <c r="F17" s="399"/>
      <c r="G17" s="399"/>
      <c r="H17" s="399"/>
      <c r="I17" s="399"/>
      <c r="J17" s="400"/>
    </row>
    <row r="19" spans="1:10" x14ac:dyDescent="0.2">
      <c r="A19" s="37"/>
    </row>
  </sheetData>
  <mergeCells count="29">
    <mergeCell ref="F3:H3"/>
    <mergeCell ref="F4:F6"/>
    <mergeCell ref="G4:G6"/>
    <mergeCell ref="F7:F8"/>
    <mergeCell ref="G7:G8"/>
    <mergeCell ref="H7:H8"/>
    <mergeCell ref="A4:A6"/>
    <mergeCell ref="E4:E6"/>
    <mergeCell ref="B9:B10"/>
    <mergeCell ref="E9:E10"/>
    <mergeCell ref="H9:H10"/>
    <mergeCell ref="C9:C10"/>
    <mergeCell ref="D9:D10"/>
    <mergeCell ref="B4:B6"/>
    <mergeCell ref="A7:A8"/>
    <mergeCell ref="C7:C8"/>
    <mergeCell ref="D7:D8"/>
    <mergeCell ref="B7:B8"/>
    <mergeCell ref="H4:H6"/>
    <mergeCell ref="A9:A10"/>
    <mergeCell ref="F9:F10"/>
    <mergeCell ref="G9:G10"/>
    <mergeCell ref="J4:J6"/>
    <mergeCell ref="J7:J8"/>
    <mergeCell ref="B17:J17"/>
    <mergeCell ref="J9:J10"/>
    <mergeCell ref="D4:D6"/>
    <mergeCell ref="E7:E8"/>
    <mergeCell ref="C4:C6"/>
  </mergeCells>
  <conditionalFormatting sqref="J4:J1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7"/>
  <sheetViews>
    <sheetView rightToLeft="1" tabSelected="1" zoomScale="110" zoomScaleNormal="110" workbookViewId="0">
      <selection activeCell="D16" sqref="D16"/>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6.12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07" t="s">
        <v>413</v>
      </c>
      <c r="B1" s="6"/>
    </row>
    <row r="2" spans="1:10" s="37" customFormat="1" ht="17.25" thickTop="1" thickBot="1" x14ac:dyDescent="0.3">
      <c r="A2" s="205"/>
      <c r="B2" s="206"/>
    </row>
    <row r="3" spans="1:10" s="38" customFormat="1" ht="46.9"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s="38" customFormat="1" ht="15" x14ac:dyDescent="0.2">
      <c r="A4" s="198" t="s">
        <v>397</v>
      </c>
      <c r="B4" s="200">
        <v>0.9718</v>
      </c>
      <c r="C4" s="207">
        <v>0.95</v>
      </c>
      <c r="D4" s="268">
        <v>0.95</v>
      </c>
      <c r="E4" s="199" t="s">
        <v>6</v>
      </c>
      <c r="F4" s="163">
        <f>D4+5%</f>
        <v>1</v>
      </c>
      <c r="G4" s="159" t="s">
        <v>395</v>
      </c>
      <c r="H4" s="164">
        <f>IF(D4-5%&lt;0%,0%,D4-5%)</f>
        <v>0.89999999999999991</v>
      </c>
      <c r="I4" s="61" t="s">
        <v>383</v>
      </c>
      <c r="J4" s="149">
        <f>D4-C4</f>
        <v>0</v>
      </c>
    </row>
    <row r="5" spans="1:10" s="38" customFormat="1" ht="13.5" customHeight="1" thickBot="1" x14ac:dyDescent="0.25">
      <c r="A5" s="79" t="s">
        <v>405</v>
      </c>
      <c r="B5" s="181">
        <v>2.8199999999999999E-2</v>
      </c>
      <c r="C5" s="208">
        <v>0.05</v>
      </c>
      <c r="D5" s="269">
        <v>0.05</v>
      </c>
      <c r="E5" s="203" t="s">
        <v>6</v>
      </c>
      <c r="F5" s="197">
        <f>D5+5%</f>
        <v>0.1</v>
      </c>
      <c r="G5" s="195" t="s">
        <v>395</v>
      </c>
      <c r="H5" s="196">
        <f>IF(D5-5%&lt;0%,0%,D5-5%)</f>
        <v>0</v>
      </c>
      <c r="I5" s="51" t="s">
        <v>12</v>
      </c>
      <c r="J5" s="149">
        <f>D5-C5</f>
        <v>0</v>
      </c>
    </row>
    <row r="6" spans="1:10" s="38" customFormat="1" ht="15.75" thickBot="1" x14ac:dyDescent="0.25">
      <c r="A6" s="78" t="s">
        <v>3</v>
      </c>
      <c r="B6" s="80">
        <f>SUM(B4:B5)</f>
        <v>1</v>
      </c>
      <c r="C6" s="84">
        <f>SUM(C4:C5)</f>
        <v>1</v>
      </c>
      <c r="D6" s="250">
        <f>SUM(D4:D5)</f>
        <v>1</v>
      </c>
      <c r="E6" s="35"/>
      <c r="F6" s="167"/>
      <c r="G6" s="160"/>
      <c r="H6" s="168"/>
      <c r="I6" s="55"/>
      <c r="J6" s="34">
        <f>SUM(J4:J5)</f>
        <v>0</v>
      </c>
    </row>
    <row r="7" spans="1:10" s="38" customFormat="1" ht="15.75" thickBot="1" x14ac:dyDescent="0.25">
      <c r="A7" s="79" t="s">
        <v>4</v>
      </c>
      <c r="B7" s="182">
        <v>0</v>
      </c>
      <c r="C7" s="32">
        <v>0</v>
      </c>
      <c r="D7" s="251">
        <v>0</v>
      </c>
      <c r="E7" s="476" t="s">
        <v>398</v>
      </c>
      <c r="F7" s="477"/>
      <c r="G7" s="477"/>
      <c r="H7" s="477"/>
      <c r="I7" s="477"/>
      <c r="J7" s="478"/>
    </row>
    <row r="8" spans="1:10" s="38" customFormat="1" ht="39" customHeight="1" thickBot="1" x14ac:dyDescent="0.25">
      <c r="A8" s="152" t="str">
        <f>'הכשרה - קרן י'!$A$17</f>
        <v>מגבלת עמלת ניהול חיצוני לשנת 2026</v>
      </c>
      <c r="B8" s="398">
        <v>5.0000000000000001E-4</v>
      </c>
      <c r="C8" s="399"/>
      <c r="D8" s="399"/>
      <c r="E8" s="399"/>
      <c r="F8" s="399"/>
      <c r="G8" s="399"/>
      <c r="H8" s="399"/>
      <c r="I8" s="399"/>
      <c r="J8" s="400"/>
    </row>
    <row r="10" spans="1:10" ht="15" x14ac:dyDescent="0.25">
      <c r="A10" s="209" t="s">
        <v>410</v>
      </c>
    </row>
    <row r="11" spans="1:10" ht="15" x14ac:dyDescent="0.25">
      <c r="A11" s="209" t="s">
        <v>411</v>
      </c>
    </row>
    <row r="12" spans="1:10" ht="15" x14ac:dyDescent="0.25">
      <c r="A12" s="210" t="s">
        <v>412</v>
      </c>
    </row>
    <row r="13" spans="1:10" ht="15" x14ac:dyDescent="0.25">
      <c r="A13" s="210"/>
    </row>
    <row r="14" spans="1:10" ht="15" x14ac:dyDescent="0.25">
      <c r="A14" s="321" t="s">
        <v>509</v>
      </c>
      <c r="B14" s="25"/>
      <c r="C14" s="322"/>
      <c r="D14" s="38"/>
      <c r="E14" s="26"/>
      <c r="F14" s="38"/>
      <c r="G14" s="38"/>
      <c r="H14" s="38"/>
    </row>
    <row r="15" spans="1:10" ht="45" x14ac:dyDescent="0.2">
      <c r="A15" s="355" t="s">
        <v>0</v>
      </c>
      <c r="B15" s="355" t="s">
        <v>479</v>
      </c>
      <c r="C15" s="355" t="s">
        <v>510</v>
      </c>
      <c r="D15" s="355" t="s">
        <v>480</v>
      </c>
      <c r="E15" s="323" t="s">
        <v>1</v>
      </c>
      <c r="F15" s="385" t="s">
        <v>380</v>
      </c>
      <c r="G15" s="385"/>
      <c r="H15" s="385"/>
    </row>
    <row r="16" spans="1:10" ht="15" x14ac:dyDescent="0.2">
      <c r="A16" s="559" t="s">
        <v>397</v>
      </c>
      <c r="B16" s="325">
        <v>0.95</v>
      </c>
      <c r="C16" s="350">
        <v>0.85</v>
      </c>
      <c r="D16" s="350">
        <f t="shared" ref="D16" si="0">C16-B16</f>
        <v>-9.9999999999999978E-2</v>
      </c>
      <c r="E16" s="350" t="s">
        <v>6</v>
      </c>
      <c r="F16" s="357">
        <f>C16+5%</f>
        <v>0.9</v>
      </c>
      <c r="G16" s="358" t="s">
        <v>395</v>
      </c>
      <c r="H16" s="356">
        <f>IF(C16-5%&lt;0%,0%,C16-5%)</f>
        <v>0.79999999999999993</v>
      </c>
    </row>
    <row r="17" spans="1:8" ht="15" x14ac:dyDescent="0.2">
      <c r="A17" s="559" t="s">
        <v>405</v>
      </c>
      <c r="B17" s="325">
        <v>0.05</v>
      </c>
      <c r="C17" s="350">
        <v>0.15</v>
      </c>
      <c r="D17" s="350">
        <f t="shared" ref="D17" si="1">C17-B17</f>
        <v>9.9999999999999992E-2</v>
      </c>
      <c r="E17" s="350" t="s">
        <v>6</v>
      </c>
      <c r="F17" s="560">
        <f>C17+5%</f>
        <v>0.2</v>
      </c>
      <c r="G17" s="358" t="s">
        <v>395</v>
      </c>
      <c r="H17" s="356">
        <f>IF(C17-5%&lt;0%,0%,C17-5%)</f>
        <v>9.9999999999999992E-2</v>
      </c>
    </row>
  </sheetData>
  <mergeCells count="4">
    <mergeCell ref="B8:J8"/>
    <mergeCell ref="E7:J7"/>
    <mergeCell ref="F3:H3"/>
    <mergeCell ref="F15:H15"/>
  </mergeCells>
  <conditionalFormatting sqref="J4:J6">
    <cfRule type="cellIs" dxfId="37" priority="1" operator="lessThan">
      <formula>0</formula>
    </cfRule>
    <cfRule type="cellIs" dxfId="36"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7" sqref="A27"/>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07" t="s">
        <v>394</v>
      </c>
      <c r="B1" s="38"/>
      <c r="C1" s="38"/>
      <c r="D1" s="38"/>
    </row>
    <row r="2" spans="1:10" ht="17.25" thickTop="1" thickBot="1" x14ac:dyDescent="0.3">
      <c r="A2" s="7"/>
      <c r="B2" s="38"/>
      <c r="C2" s="38"/>
      <c r="D2" s="38"/>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s="156" customFormat="1" x14ac:dyDescent="0.2">
      <c r="A4" s="429" t="s">
        <v>399</v>
      </c>
      <c r="B4" s="471">
        <v>0.33799999999999997</v>
      </c>
      <c r="C4" s="479">
        <v>0.3</v>
      </c>
      <c r="D4" s="454">
        <v>0.3</v>
      </c>
      <c r="E4" s="456" t="s">
        <v>5</v>
      </c>
      <c r="F4" s="390">
        <f>D4+6%</f>
        <v>0.36</v>
      </c>
      <c r="G4" s="392" t="s">
        <v>395</v>
      </c>
      <c r="H4" s="401">
        <f>IF(D4-6%&lt;0%,0%,D4-6%)</f>
        <v>0.24</v>
      </c>
      <c r="I4" s="142" t="s">
        <v>458</v>
      </c>
      <c r="J4" s="449">
        <f>D4-C4</f>
        <v>0</v>
      </c>
    </row>
    <row r="5" spans="1:10" s="156" customFormat="1" x14ac:dyDescent="0.2">
      <c r="A5" s="430"/>
      <c r="B5" s="472"/>
      <c r="C5" s="452"/>
      <c r="D5" s="454"/>
      <c r="E5" s="457"/>
      <c r="F5" s="391"/>
      <c r="G5" s="393"/>
      <c r="H5" s="402"/>
      <c r="I5" s="28" t="s">
        <v>459</v>
      </c>
      <c r="J5" s="448"/>
    </row>
    <row r="6" spans="1:10" s="156" customFormat="1" x14ac:dyDescent="0.2">
      <c r="A6" s="359"/>
      <c r="B6" s="473"/>
      <c r="C6" s="453"/>
      <c r="D6" s="455"/>
      <c r="E6" s="457"/>
      <c r="F6" s="384"/>
      <c r="G6" s="387"/>
      <c r="H6" s="403"/>
      <c r="I6" s="42"/>
      <c r="J6" s="444"/>
    </row>
    <row r="7" spans="1:10" s="156" customFormat="1" x14ac:dyDescent="0.2">
      <c r="A7" s="435" t="s">
        <v>400</v>
      </c>
      <c r="B7" s="469">
        <v>0.34549999999999997</v>
      </c>
      <c r="C7" s="480">
        <v>0.35</v>
      </c>
      <c r="D7" s="481">
        <v>0.35</v>
      </c>
      <c r="E7" s="460" t="s">
        <v>6</v>
      </c>
      <c r="F7" s="394">
        <f>D7+5%</f>
        <v>0.39999999999999997</v>
      </c>
      <c r="G7" s="396" t="s">
        <v>395</v>
      </c>
      <c r="H7" s="409">
        <f>IF(D7-5%&lt;0%,0%,D7-5%)</f>
        <v>0.3</v>
      </c>
      <c r="I7" s="202" t="s">
        <v>14</v>
      </c>
      <c r="J7" s="482">
        <f>D7-C7</f>
        <v>0</v>
      </c>
    </row>
    <row r="8" spans="1:10" s="156" customFormat="1" x14ac:dyDescent="0.2">
      <c r="A8" s="436"/>
      <c r="B8" s="470"/>
      <c r="C8" s="459"/>
      <c r="D8" s="451"/>
      <c r="E8" s="460"/>
      <c r="F8" s="395"/>
      <c r="G8" s="397"/>
      <c r="H8" s="410"/>
      <c r="I8" s="42" t="s">
        <v>15</v>
      </c>
      <c r="J8" s="444"/>
    </row>
    <row r="9" spans="1:10" s="156" customFormat="1" x14ac:dyDescent="0.2">
      <c r="A9" s="439" t="s">
        <v>401</v>
      </c>
      <c r="B9" s="474">
        <v>0.25109999999999999</v>
      </c>
      <c r="C9" s="480">
        <v>0.25</v>
      </c>
      <c r="D9" s="481">
        <v>0.25</v>
      </c>
      <c r="E9" s="366" t="s">
        <v>5</v>
      </c>
      <c r="F9" s="383">
        <f>D9+6%</f>
        <v>0.31</v>
      </c>
      <c r="G9" s="386" t="s">
        <v>395</v>
      </c>
      <c r="H9" s="381">
        <f>IF(D9-6%&lt;0%,0%,D9-6%)</f>
        <v>0.19</v>
      </c>
      <c r="I9" s="202" t="s">
        <v>16</v>
      </c>
      <c r="J9" s="482">
        <f>D9-C9</f>
        <v>0</v>
      </c>
    </row>
    <row r="10" spans="1:10" s="156" customFormat="1" x14ac:dyDescent="0.2">
      <c r="A10" s="359"/>
      <c r="B10" s="475"/>
      <c r="C10" s="459"/>
      <c r="D10" s="451"/>
      <c r="E10" s="366"/>
      <c r="F10" s="384"/>
      <c r="G10" s="387"/>
      <c r="H10" s="382"/>
      <c r="I10" s="44" t="s">
        <v>17</v>
      </c>
      <c r="J10" s="444"/>
    </row>
    <row r="11" spans="1:10" ht="15.75" thickBot="1" x14ac:dyDescent="0.25">
      <c r="A11" s="79" t="s">
        <v>386</v>
      </c>
      <c r="B11" s="181">
        <v>6.5000000000000002E-2</v>
      </c>
      <c r="C11" s="208">
        <v>0.1</v>
      </c>
      <c r="D11" s="269">
        <v>0.1</v>
      </c>
      <c r="E11" s="203" t="s">
        <v>6</v>
      </c>
      <c r="F11" s="197">
        <f>D11+5%</f>
        <v>0.15000000000000002</v>
      </c>
      <c r="G11" s="195" t="s">
        <v>395</v>
      </c>
      <c r="H11" s="196">
        <f>IF(D11-5%&lt;0%,0%,D11-5%)</f>
        <v>0.05</v>
      </c>
      <c r="I11" s="51" t="s">
        <v>12</v>
      </c>
      <c r="J11" s="204">
        <f>D11-C11</f>
        <v>0</v>
      </c>
    </row>
    <row r="12" spans="1:10" ht="15.75" thickBot="1" x14ac:dyDescent="0.25">
      <c r="A12" s="78" t="s">
        <v>3</v>
      </c>
      <c r="B12" s="80">
        <f>SUM(B4:B11)</f>
        <v>0.99960000000000004</v>
      </c>
      <c r="C12" s="84">
        <f>SUM(C4:C11)</f>
        <v>0.99999999999999989</v>
      </c>
      <c r="D12" s="250">
        <f>SUM(D4:D11)</f>
        <v>0.99999999999999989</v>
      </c>
      <c r="E12" s="35"/>
      <c r="F12" s="167"/>
      <c r="G12" s="160"/>
      <c r="H12" s="168"/>
      <c r="I12" s="55"/>
      <c r="J12" s="34">
        <f>SUM(J4:J11)</f>
        <v>0</v>
      </c>
    </row>
    <row r="13" spans="1:10" ht="15.75" thickBot="1" x14ac:dyDescent="0.25">
      <c r="A13" s="79" t="s">
        <v>4</v>
      </c>
      <c r="B13" s="182">
        <v>0.14460000000000001</v>
      </c>
      <c r="C13" s="32">
        <v>0.15</v>
      </c>
      <c r="D13" s="251">
        <v>0.14000000000000001</v>
      </c>
      <c r="E13" s="58" t="s">
        <v>5</v>
      </c>
      <c r="F13" s="169">
        <f>D13+6%</f>
        <v>0.2</v>
      </c>
      <c r="G13" s="201" t="s">
        <v>395</v>
      </c>
      <c r="H13" s="170">
        <f>IF(D13-6%&lt;0%,0%,D13-6%)</f>
        <v>8.0000000000000016E-2</v>
      </c>
      <c r="I13" s="33" t="s">
        <v>457</v>
      </c>
      <c r="J13" s="36">
        <f>D13-C13</f>
        <v>-9.9999999999999811E-3</v>
      </c>
    </row>
    <row r="14" spans="1:10" ht="15" thickBot="1" x14ac:dyDescent="0.25">
      <c r="A14" s="152" t="str">
        <f>'הכשרה - קרן י'!$A$17</f>
        <v>מגבלת עמלת ניהול חיצוני לשנת 2026</v>
      </c>
      <c r="B14" s="398">
        <v>1.5E-3</v>
      </c>
      <c r="C14" s="399"/>
      <c r="D14" s="399"/>
      <c r="E14" s="399"/>
      <c r="F14" s="399"/>
      <c r="G14" s="399"/>
      <c r="H14" s="399"/>
      <c r="I14" s="399"/>
      <c r="J14" s="400"/>
    </row>
    <row r="15" spans="1:10" ht="16.5" x14ac:dyDescent="0.25">
      <c r="A15" s="155"/>
      <c r="B15" s="37"/>
      <c r="C15" s="37"/>
      <c r="D15" s="37"/>
      <c r="E15" s="156"/>
      <c r="F15" s="156"/>
      <c r="G15" s="156"/>
      <c r="H15" s="156"/>
      <c r="I15" s="156"/>
      <c r="J15" s="156"/>
    </row>
    <row r="16" spans="1:10" ht="15" x14ac:dyDescent="0.25">
      <c r="A16" s="231" t="s">
        <v>433</v>
      </c>
    </row>
    <row r="17" spans="1:1" ht="15" x14ac:dyDescent="0.25">
      <c r="A17" s="231" t="s">
        <v>434</v>
      </c>
    </row>
    <row r="18" spans="1:1" ht="15" x14ac:dyDescent="0.25">
      <c r="A18" s="231" t="s">
        <v>429</v>
      </c>
    </row>
    <row r="19" spans="1:1" ht="15" x14ac:dyDescent="0.25">
      <c r="A19" s="231" t="s">
        <v>430</v>
      </c>
    </row>
    <row r="20" spans="1:1" ht="15" x14ac:dyDescent="0.25">
      <c r="A20" s="231" t="s">
        <v>431</v>
      </c>
    </row>
    <row r="21" spans="1:1" ht="15" x14ac:dyDescent="0.25">
      <c r="A21" s="231" t="s">
        <v>435</v>
      </c>
    </row>
    <row r="22" spans="1:1" ht="15" x14ac:dyDescent="0.25">
      <c r="A22" s="231" t="s">
        <v>436</v>
      </c>
    </row>
    <row r="23" spans="1:1" ht="15" x14ac:dyDescent="0.25">
      <c r="A23" s="231" t="s">
        <v>437</v>
      </c>
    </row>
    <row r="24" spans="1:1" ht="15" x14ac:dyDescent="0.25">
      <c r="A24" s="231" t="s">
        <v>438</v>
      </c>
    </row>
    <row r="25" spans="1:1" ht="15" x14ac:dyDescent="0.25">
      <c r="A25" s="231" t="s">
        <v>439</v>
      </c>
    </row>
    <row r="26" spans="1:1" ht="15" x14ac:dyDescent="0.25">
      <c r="A26" s="231" t="s">
        <v>440</v>
      </c>
    </row>
    <row r="27" spans="1:1" ht="15" x14ac:dyDescent="0.25">
      <c r="A27" s="231" t="s">
        <v>432</v>
      </c>
    </row>
  </sheetData>
  <mergeCells count="29">
    <mergeCell ref="A9:A10"/>
    <mergeCell ref="G9:G10"/>
    <mergeCell ref="H9:H10"/>
    <mergeCell ref="J9:J10"/>
    <mergeCell ref="B14:J14"/>
    <mergeCell ref="B9:B10"/>
    <mergeCell ref="C9:C10"/>
    <mergeCell ref="D9:D10"/>
    <mergeCell ref="E9:E10"/>
    <mergeCell ref="F9:F10"/>
    <mergeCell ref="J4:J6"/>
    <mergeCell ref="F7:F8"/>
    <mergeCell ref="G7:G8"/>
    <mergeCell ref="H7:H8"/>
    <mergeCell ref="J7:J8"/>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3">
    <cfRule type="cellIs" dxfId="35" priority="1" operator="lessThan">
      <formula>0</formula>
    </cfRule>
    <cfRule type="cellIs" dxfId="34"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rightToLeft="1" zoomScaleNormal="100" workbookViewId="0">
      <selection activeCell="B24" sqref="B24"/>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07" t="s">
        <v>478</v>
      </c>
      <c r="B1" s="38"/>
      <c r="C1" s="38"/>
      <c r="D1" s="38"/>
    </row>
    <row r="2" spans="1:10" s="156" customFormat="1" ht="18" thickTop="1" thickBot="1" x14ac:dyDescent="0.3">
      <c r="A2" s="155"/>
      <c r="B2" s="37"/>
      <c r="C2" s="37"/>
      <c r="D2" s="37"/>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s="156" customFormat="1" x14ac:dyDescent="0.2">
      <c r="A4" s="429" t="s">
        <v>460</v>
      </c>
      <c r="B4" s="471">
        <v>0.45079999999999998</v>
      </c>
      <c r="C4" s="479">
        <v>0.44</v>
      </c>
      <c r="D4" s="454">
        <v>0.44</v>
      </c>
      <c r="E4" s="456" t="s">
        <v>5</v>
      </c>
      <c r="F4" s="390">
        <f>D4+6%</f>
        <v>0.5</v>
      </c>
      <c r="G4" s="392" t="s">
        <v>395</v>
      </c>
      <c r="H4" s="401">
        <f>IF(D4-6%&lt;0%,0%,D4-6%)</f>
        <v>0.38</v>
      </c>
      <c r="I4" s="142"/>
      <c r="J4" s="449">
        <f>D4-C4</f>
        <v>0</v>
      </c>
    </row>
    <row r="5" spans="1:10" s="156" customFormat="1" x14ac:dyDescent="0.2">
      <c r="A5" s="430"/>
      <c r="B5" s="472"/>
      <c r="C5" s="452"/>
      <c r="D5" s="454"/>
      <c r="E5" s="457"/>
      <c r="F5" s="391"/>
      <c r="G5" s="393"/>
      <c r="H5" s="402"/>
      <c r="I5" s="28" t="s">
        <v>463</v>
      </c>
      <c r="J5" s="448"/>
    </row>
    <row r="6" spans="1:10" s="156" customFormat="1" x14ac:dyDescent="0.2">
      <c r="A6" s="359"/>
      <c r="B6" s="473"/>
      <c r="C6" s="453"/>
      <c r="D6" s="455"/>
      <c r="E6" s="457"/>
      <c r="F6" s="384"/>
      <c r="G6" s="387"/>
      <c r="H6" s="403"/>
      <c r="I6" s="42"/>
      <c r="J6" s="444"/>
    </row>
    <row r="7" spans="1:10" s="156" customFormat="1" x14ac:dyDescent="0.2">
      <c r="A7" s="435" t="s">
        <v>461</v>
      </c>
      <c r="B7" s="469">
        <v>0.1033</v>
      </c>
      <c r="C7" s="480">
        <v>0.11</v>
      </c>
      <c r="D7" s="481">
        <v>0.11</v>
      </c>
      <c r="E7" s="460" t="s">
        <v>6</v>
      </c>
      <c r="F7" s="394">
        <f>D7+5%</f>
        <v>0.16</v>
      </c>
      <c r="G7" s="396" t="s">
        <v>395</v>
      </c>
      <c r="H7" s="409">
        <f>IF(D7-5%&lt;0%,0%,D7-5%)</f>
        <v>0.06</v>
      </c>
      <c r="I7" s="202" t="s">
        <v>14</v>
      </c>
      <c r="J7" s="482">
        <f>D7-C7</f>
        <v>0</v>
      </c>
    </row>
    <row r="8" spans="1:10" s="156" customFormat="1" x14ac:dyDescent="0.2">
      <c r="A8" s="436"/>
      <c r="B8" s="470"/>
      <c r="C8" s="459"/>
      <c r="D8" s="451"/>
      <c r="E8" s="460"/>
      <c r="F8" s="395"/>
      <c r="G8" s="397"/>
      <c r="H8" s="410"/>
      <c r="I8" s="42" t="s">
        <v>15</v>
      </c>
      <c r="J8" s="444"/>
    </row>
    <row r="9" spans="1:10" s="156" customFormat="1" x14ac:dyDescent="0.2">
      <c r="A9" s="439" t="s">
        <v>462</v>
      </c>
      <c r="B9" s="474">
        <v>0.35880000000000001</v>
      </c>
      <c r="C9" s="480">
        <v>0.41</v>
      </c>
      <c r="D9" s="481">
        <v>0.38</v>
      </c>
      <c r="E9" s="366" t="s">
        <v>5</v>
      </c>
      <c r="F9" s="383">
        <f>D9+6%</f>
        <v>0.44</v>
      </c>
      <c r="G9" s="386" t="s">
        <v>395</v>
      </c>
      <c r="H9" s="381">
        <f>IF(D9-6%&lt;0%,0%,D9-6%)</f>
        <v>0.32</v>
      </c>
      <c r="I9" s="483" t="s">
        <v>464</v>
      </c>
      <c r="J9" s="482">
        <f>D9-C9</f>
        <v>-2.9999999999999971E-2</v>
      </c>
    </row>
    <row r="10" spans="1:10" s="156" customFormat="1" x14ac:dyDescent="0.2">
      <c r="A10" s="359"/>
      <c r="B10" s="475"/>
      <c r="C10" s="459"/>
      <c r="D10" s="451"/>
      <c r="E10" s="366"/>
      <c r="F10" s="384"/>
      <c r="G10" s="387"/>
      <c r="H10" s="382"/>
      <c r="I10" s="484"/>
      <c r="J10" s="444"/>
    </row>
    <row r="11" spans="1:10" ht="15.75" thickBot="1" x14ac:dyDescent="0.25">
      <c r="A11" s="79" t="s">
        <v>386</v>
      </c>
      <c r="B11" s="181">
        <v>8.7100000000000011E-2</v>
      </c>
      <c r="C11" s="208">
        <v>0.08</v>
      </c>
      <c r="D11" s="269">
        <v>0.1</v>
      </c>
      <c r="E11" s="203" t="s">
        <v>6</v>
      </c>
      <c r="F11" s="197">
        <f>D11+5%</f>
        <v>0.15000000000000002</v>
      </c>
      <c r="G11" s="195" t="s">
        <v>395</v>
      </c>
      <c r="H11" s="196">
        <f>IF(D11-5%&lt;0%,0%,D11-5%)</f>
        <v>0.05</v>
      </c>
      <c r="I11" s="51" t="s">
        <v>12</v>
      </c>
      <c r="J11" s="204">
        <f>D11-C11</f>
        <v>2.0000000000000004E-2</v>
      </c>
    </row>
    <row r="12" spans="1:10" ht="15.75" thickBot="1" x14ac:dyDescent="0.25">
      <c r="A12" s="78" t="s">
        <v>3</v>
      </c>
      <c r="B12" s="80">
        <f>SUM(B4:B11)</f>
        <v>1</v>
      </c>
      <c r="C12" s="84">
        <f>SUM(C4:C11)</f>
        <v>1.04</v>
      </c>
      <c r="D12" s="250">
        <f>SUM(D4:D11)</f>
        <v>1.03</v>
      </c>
      <c r="E12" s="35"/>
      <c r="F12" s="167"/>
      <c r="G12" s="160"/>
      <c r="H12" s="168"/>
      <c r="I12" s="55"/>
      <c r="J12" s="34">
        <f>SUM(J4:J11)</f>
        <v>-9.9999999999999672E-3</v>
      </c>
    </row>
    <row r="13" spans="1:10" ht="15.75" thickBot="1" x14ac:dyDescent="0.25">
      <c r="A13" s="79" t="s">
        <v>4</v>
      </c>
      <c r="B13" s="182">
        <v>2.0000000000000001E-4</v>
      </c>
      <c r="C13" s="32">
        <v>0.02</v>
      </c>
      <c r="D13" s="251">
        <v>0.01</v>
      </c>
      <c r="E13" s="58" t="s">
        <v>5</v>
      </c>
      <c r="F13" s="169">
        <f>D13+6%</f>
        <v>6.9999999999999993E-2</v>
      </c>
      <c r="G13" s="201" t="s">
        <v>395</v>
      </c>
      <c r="H13" s="170">
        <f>IF(D13-6%&lt;0%,0%,D13-6%)</f>
        <v>0</v>
      </c>
      <c r="I13" s="33" t="s">
        <v>457</v>
      </c>
      <c r="J13" s="36">
        <f>D13-C13</f>
        <v>-0.01</v>
      </c>
    </row>
    <row r="14" spans="1:10" ht="15" thickBot="1" x14ac:dyDescent="0.25">
      <c r="A14" s="152" t="str">
        <f>'הכשרה - קרן י'!$A$17</f>
        <v>מגבלת עמלת ניהול חיצוני לשנת 2026</v>
      </c>
      <c r="B14" s="398">
        <v>1E-3</v>
      </c>
      <c r="C14" s="399"/>
      <c r="D14" s="399"/>
      <c r="E14" s="399"/>
      <c r="F14" s="399"/>
      <c r="G14" s="399"/>
      <c r="H14" s="399"/>
      <c r="I14" s="399"/>
      <c r="J14" s="400"/>
    </row>
    <row r="15" spans="1:10" s="156" customFormat="1" ht="16.5" x14ac:dyDescent="0.25">
      <c r="A15" s="155"/>
      <c r="B15" s="37"/>
      <c r="C15" s="37"/>
      <c r="D15" s="37"/>
    </row>
    <row r="16" spans="1:10" ht="15" x14ac:dyDescent="0.25">
      <c r="A16" s="102" t="s">
        <v>402</v>
      </c>
    </row>
    <row r="17" spans="1:1" ht="15" x14ac:dyDescent="0.25">
      <c r="A17" s="102" t="s">
        <v>427</v>
      </c>
    </row>
    <row r="18" spans="1:1" ht="15" x14ac:dyDescent="0.25">
      <c r="A18" s="102" t="s">
        <v>428</v>
      </c>
    </row>
  </sheetData>
  <mergeCells count="30">
    <mergeCell ref="A9:A10"/>
    <mergeCell ref="F7:F8"/>
    <mergeCell ref="G7:G8"/>
    <mergeCell ref="H7:H8"/>
    <mergeCell ref="J7:J8"/>
    <mergeCell ref="A7:A8"/>
    <mergeCell ref="B7:B8"/>
    <mergeCell ref="C7:C8"/>
    <mergeCell ref="D7:D8"/>
    <mergeCell ref="E7:E8"/>
    <mergeCell ref="F9:F10"/>
    <mergeCell ref="G9:G10"/>
    <mergeCell ref="H9:H10"/>
    <mergeCell ref="J9:J10"/>
    <mergeCell ref="B14:J14"/>
    <mergeCell ref="B9:B10"/>
    <mergeCell ref="C9:C10"/>
    <mergeCell ref="D9:D10"/>
    <mergeCell ref="E9:E10"/>
    <mergeCell ref="I9:I10"/>
    <mergeCell ref="J4:J6"/>
    <mergeCell ref="F3:H3"/>
    <mergeCell ref="A4:A6"/>
    <mergeCell ref="B4:B6"/>
    <mergeCell ref="C4:C6"/>
    <mergeCell ref="D4:D6"/>
    <mergeCell ref="E4:E6"/>
    <mergeCell ref="F4:F6"/>
    <mergeCell ref="G4:G6"/>
    <mergeCell ref="H4:H6"/>
  </mergeCells>
  <conditionalFormatting sqref="J4:J6 J9:J13">
    <cfRule type="cellIs" dxfId="33" priority="3" operator="lessThan">
      <formula>0</formula>
    </cfRule>
    <cfRule type="cellIs" dxfId="32" priority="4" operator="greaterThan">
      <formula>0</formula>
    </cfRule>
  </conditionalFormatting>
  <conditionalFormatting sqref="J7:J8">
    <cfRule type="cellIs" dxfId="31" priority="1" operator="lessThan">
      <formula>0</formula>
    </cfRule>
    <cfRule type="cellIs" dxfId="30"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E17" sqref="E17"/>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07" t="s">
        <v>420</v>
      </c>
      <c r="B1" s="38"/>
      <c r="C1" s="38"/>
      <c r="D1" s="38"/>
    </row>
    <row r="2" spans="1:10" ht="16.5" customHeight="1" thickTop="1" thickBot="1" x14ac:dyDescent="0.3">
      <c r="A2" s="7"/>
      <c r="B2" s="38"/>
      <c r="C2" s="38"/>
      <c r="D2" s="38"/>
    </row>
    <row r="3" spans="1:10" s="156" customFormat="1"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s="156" customFormat="1" x14ac:dyDescent="0.2">
      <c r="A4" s="429" t="s">
        <v>407</v>
      </c>
      <c r="B4" s="471">
        <v>5.7799999999999997E-2</v>
      </c>
      <c r="C4" s="479">
        <v>0.01</v>
      </c>
      <c r="D4" s="454">
        <v>0.02</v>
      </c>
      <c r="E4" s="456" t="s">
        <v>5</v>
      </c>
      <c r="F4" s="390">
        <f>D4+6%</f>
        <v>0.08</v>
      </c>
      <c r="G4" s="392" t="s">
        <v>395</v>
      </c>
      <c r="H4" s="401">
        <f>IF(D4-6%&lt;0%,0%,D4-6%)</f>
        <v>0</v>
      </c>
      <c r="I4" s="142" t="s">
        <v>458</v>
      </c>
      <c r="J4" s="449">
        <f>D4-C4</f>
        <v>0.01</v>
      </c>
    </row>
    <row r="5" spans="1:10" s="156" customFormat="1" x14ac:dyDescent="0.2">
      <c r="A5" s="430"/>
      <c r="B5" s="472"/>
      <c r="C5" s="452"/>
      <c r="D5" s="454"/>
      <c r="E5" s="457"/>
      <c r="F5" s="391"/>
      <c r="G5" s="393"/>
      <c r="H5" s="402"/>
      <c r="I5" s="28" t="s">
        <v>459</v>
      </c>
      <c r="J5" s="448"/>
    </row>
    <row r="6" spans="1:10" s="156" customFormat="1" x14ac:dyDescent="0.2">
      <c r="A6" s="359"/>
      <c r="B6" s="473"/>
      <c r="C6" s="453"/>
      <c r="D6" s="455"/>
      <c r="E6" s="457"/>
      <c r="F6" s="384"/>
      <c r="G6" s="387"/>
      <c r="H6" s="403"/>
      <c r="I6" s="42"/>
      <c r="J6" s="444"/>
    </row>
    <row r="7" spans="1:10" s="156" customFormat="1" x14ac:dyDescent="0.2">
      <c r="A7" s="435" t="s">
        <v>408</v>
      </c>
      <c r="B7" s="469">
        <v>0.20200000000000001</v>
      </c>
      <c r="C7" s="480">
        <v>0.25</v>
      </c>
      <c r="D7" s="481">
        <v>0.23</v>
      </c>
      <c r="E7" s="460" t="s">
        <v>6</v>
      </c>
      <c r="F7" s="394">
        <f>D7+5%</f>
        <v>0.28000000000000003</v>
      </c>
      <c r="G7" s="396" t="s">
        <v>395</v>
      </c>
      <c r="H7" s="409">
        <f>IF(D7-5%&lt;0%,0%,D7-5%)</f>
        <v>0.18</v>
      </c>
      <c r="I7" s="202" t="s">
        <v>14</v>
      </c>
      <c r="J7" s="482">
        <f>D7-C7</f>
        <v>-1.999999999999999E-2</v>
      </c>
    </row>
    <row r="8" spans="1:10" s="156" customFormat="1" x14ac:dyDescent="0.2">
      <c r="A8" s="436"/>
      <c r="B8" s="470"/>
      <c r="C8" s="459"/>
      <c r="D8" s="451"/>
      <c r="E8" s="460"/>
      <c r="F8" s="395"/>
      <c r="G8" s="397"/>
      <c r="H8" s="410"/>
      <c r="I8" s="42" t="s">
        <v>15</v>
      </c>
      <c r="J8" s="444"/>
    </row>
    <row r="9" spans="1:10" s="156" customFormat="1" x14ac:dyDescent="0.2">
      <c r="A9" s="439" t="s">
        <v>409</v>
      </c>
      <c r="B9" s="474">
        <v>0.20300000000000001</v>
      </c>
      <c r="C9" s="480">
        <v>0.25</v>
      </c>
      <c r="D9" s="481">
        <v>0.23</v>
      </c>
      <c r="E9" s="366" t="s">
        <v>5</v>
      </c>
      <c r="F9" s="383">
        <f>D9+6%</f>
        <v>0.29000000000000004</v>
      </c>
      <c r="G9" s="386" t="s">
        <v>395</v>
      </c>
      <c r="H9" s="381">
        <f>IF(D9-6%&lt;0%,0%,D9-6%)</f>
        <v>0.17</v>
      </c>
      <c r="I9" s="202" t="s">
        <v>16</v>
      </c>
      <c r="J9" s="482">
        <f>D9-C9</f>
        <v>-1.999999999999999E-2</v>
      </c>
    </row>
    <row r="10" spans="1:10" s="156" customFormat="1" x14ac:dyDescent="0.2">
      <c r="A10" s="359"/>
      <c r="B10" s="475"/>
      <c r="C10" s="459"/>
      <c r="D10" s="451"/>
      <c r="E10" s="366"/>
      <c r="F10" s="384"/>
      <c r="G10" s="387"/>
      <c r="H10" s="382"/>
      <c r="I10" s="44" t="s">
        <v>17</v>
      </c>
      <c r="J10" s="444"/>
    </row>
    <row r="11" spans="1:10" ht="15" x14ac:dyDescent="0.2">
      <c r="A11" s="198" t="s">
        <v>406</v>
      </c>
      <c r="B11" s="200">
        <v>0.54520000000000002</v>
      </c>
      <c r="C11" s="207">
        <v>0.55000000000000004</v>
      </c>
      <c r="D11" s="268">
        <v>0.52</v>
      </c>
      <c r="E11" s="199" t="s">
        <v>6</v>
      </c>
      <c r="F11" s="163">
        <f>D11+5%</f>
        <v>0.57000000000000006</v>
      </c>
      <c r="G11" s="159" t="s">
        <v>395</v>
      </c>
      <c r="H11" s="164">
        <f>IF(D11-5%&lt;0%,0%,D11-5%)</f>
        <v>0.47000000000000003</v>
      </c>
      <c r="I11" s="47" t="s">
        <v>385</v>
      </c>
      <c r="J11" s="211">
        <f>D11-C11</f>
        <v>-3.0000000000000027E-2</v>
      </c>
    </row>
    <row r="12" spans="1:10" ht="15" x14ac:dyDescent="0.2">
      <c r="A12" s="253" t="s">
        <v>403</v>
      </c>
      <c r="B12" s="257">
        <v>2.2653600000000001E-3</v>
      </c>
      <c r="C12" s="207">
        <v>0.01</v>
      </c>
      <c r="D12" s="268">
        <v>0.01</v>
      </c>
      <c r="E12" s="256" t="s">
        <v>6</v>
      </c>
      <c r="F12" s="163">
        <f>D12+5%</f>
        <v>6.0000000000000005E-2</v>
      </c>
      <c r="G12" s="159" t="s">
        <v>395</v>
      </c>
      <c r="H12" s="164">
        <f>IF(D12-5%&lt;0%,0%,D12-5%)</f>
        <v>0</v>
      </c>
      <c r="I12" s="61" t="s">
        <v>383</v>
      </c>
      <c r="J12" s="149">
        <f t="shared" ref="J12" si="0">D12-C12</f>
        <v>0</v>
      </c>
    </row>
    <row r="13" spans="1:10" ht="15.75" thickBot="1" x14ac:dyDescent="0.25">
      <c r="A13" s="79" t="s">
        <v>404</v>
      </c>
      <c r="B13" s="181">
        <v>2.8199999999999999E-2</v>
      </c>
      <c r="C13" s="208">
        <v>0.05</v>
      </c>
      <c r="D13" s="269">
        <v>0.09</v>
      </c>
      <c r="E13" s="203" t="s">
        <v>6</v>
      </c>
      <c r="F13" s="197">
        <f>D13+5%</f>
        <v>0.14000000000000001</v>
      </c>
      <c r="G13" s="195" t="s">
        <v>395</v>
      </c>
      <c r="H13" s="196">
        <f>IF(D13-5%&lt;0%,0%,D13-5%)</f>
        <v>3.9999999999999994E-2</v>
      </c>
      <c r="I13" s="51" t="s">
        <v>12</v>
      </c>
      <c r="J13" s="204">
        <f>D13-C13</f>
        <v>3.9999999999999994E-2</v>
      </c>
    </row>
    <row r="14" spans="1:10" ht="15.75" thickBot="1" x14ac:dyDescent="0.25">
      <c r="A14" s="78" t="s">
        <v>3</v>
      </c>
      <c r="B14" s="80">
        <f>SUM(B4:B13)</f>
        <v>1.03846536</v>
      </c>
      <c r="C14" s="84">
        <f>SUM(C4:C13)</f>
        <v>1.1200000000000001</v>
      </c>
      <c r="D14" s="250">
        <f>SUM(D4:D13)</f>
        <v>1.1000000000000001</v>
      </c>
      <c r="E14" s="35"/>
      <c r="F14" s="167"/>
      <c r="G14" s="160"/>
      <c r="H14" s="168"/>
      <c r="I14" s="55"/>
      <c r="J14" s="34">
        <f>SUM(J4:J13)</f>
        <v>-2.0000000000000011E-2</v>
      </c>
    </row>
    <row r="15" spans="1:10" ht="15.75" thickBot="1" x14ac:dyDescent="0.25">
      <c r="A15" s="79" t="s">
        <v>4</v>
      </c>
      <c r="B15" s="182">
        <v>5.1799999999999999E-2</v>
      </c>
      <c r="C15" s="32">
        <v>0.1</v>
      </c>
      <c r="D15" s="251">
        <v>7.0000000000000007E-2</v>
      </c>
      <c r="E15" s="58" t="s">
        <v>5</v>
      </c>
      <c r="F15" s="169">
        <f>D15+6%</f>
        <v>0.13</v>
      </c>
      <c r="G15" s="201" t="s">
        <v>395</v>
      </c>
      <c r="H15" s="170">
        <f>IF(D15-6%&lt;0%,0%,D15-6%)</f>
        <v>1.0000000000000009E-2</v>
      </c>
      <c r="I15" s="33" t="s">
        <v>457</v>
      </c>
      <c r="J15" s="36">
        <f>D15-C15</f>
        <v>-0.03</v>
      </c>
    </row>
    <row r="16" spans="1:10" ht="15" thickBot="1" x14ac:dyDescent="0.25">
      <c r="A16" s="152" t="str">
        <f>'הכשרה - קרן י'!$A$17</f>
        <v>מגבלת עמלת ניהול חיצוני לשנת 2026</v>
      </c>
      <c r="B16" s="398">
        <v>5.0000000000000001E-3</v>
      </c>
      <c r="C16" s="399"/>
      <c r="D16" s="399"/>
      <c r="E16" s="399"/>
      <c r="F16" s="399"/>
      <c r="G16" s="399"/>
      <c r="H16" s="399"/>
      <c r="I16" s="399"/>
      <c r="J16" s="400"/>
    </row>
    <row r="17" spans="1:10" ht="16.5" x14ac:dyDescent="0.25">
      <c r="A17" s="155"/>
      <c r="B17" s="37"/>
      <c r="C17" s="37"/>
      <c r="D17" s="37"/>
      <c r="E17" s="156"/>
      <c r="F17" s="156"/>
      <c r="G17" s="156"/>
      <c r="H17" s="156"/>
      <c r="I17" s="156"/>
      <c r="J17" s="156"/>
    </row>
    <row r="18" spans="1:10" ht="16.5" x14ac:dyDescent="0.25">
      <c r="A18" s="155" t="s">
        <v>414</v>
      </c>
    </row>
    <row r="19" spans="1:10" ht="16.5" x14ac:dyDescent="0.25">
      <c r="A19" s="155" t="s">
        <v>415</v>
      </c>
    </row>
    <row r="20" spans="1:10" ht="16.5" x14ac:dyDescent="0.25">
      <c r="A20" s="155" t="s">
        <v>416</v>
      </c>
    </row>
    <row r="21" spans="1:10" ht="16.5" x14ac:dyDescent="0.25">
      <c r="A21" s="155" t="s">
        <v>417</v>
      </c>
    </row>
    <row r="22" spans="1:10" ht="16.5" x14ac:dyDescent="0.25">
      <c r="A22" s="155" t="s">
        <v>418</v>
      </c>
    </row>
    <row r="23" spans="1:10" ht="16.5" x14ac:dyDescent="0.25">
      <c r="A23" s="155" t="s">
        <v>419</v>
      </c>
    </row>
  </sheetData>
  <mergeCells count="29">
    <mergeCell ref="A9:A10"/>
    <mergeCell ref="G9:G10"/>
    <mergeCell ref="H9:H10"/>
    <mergeCell ref="J9:J10"/>
    <mergeCell ref="B16:J16"/>
    <mergeCell ref="B9:B10"/>
    <mergeCell ref="C9:C10"/>
    <mergeCell ref="D9:D10"/>
    <mergeCell ref="E9:E10"/>
    <mergeCell ref="F9:F10"/>
    <mergeCell ref="J4:J6"/>
    <mergeCell ref="F7:F8"/>
    <mergeCell ref="G7:G8"/>
    <mergeCell ref="H7:H8"/>
    <mergeCell ref="J7:J8"/>
    <mergeCell ref="A7:A8"/>
    <mergeCell ref="B7:B8"/>
    <mergeCell ref="C7:C8"/>
    <mergeCell ref="D7:D8"/>
    <mergeCell ref="E7:E8"/>
    <mergeCell ref="F3:H3"/>
    <mergeCell ref="A4:A6"/>
    <mergeCell ref="B4:B6"/>
    <mergeCell ref="C4:C6"/>
    <mergeCell ref="D4:D6"/>
    <mergeCell ref="E4:E6"/>
    <mergeCell ref="F4:F6"/>
    <mergeCell ref="G4:G6"/>
    <mergeCell ref="H4:H6"/>
  </mergeCells>
  <conditionalFormatting sqref="J4:J11 J13:J15">
    <cfRule type="cellIs" dxfId="29" priority="5" operator="lessThan">
      <formula>0</formula>
    </cfRule>
    <cfRule type="cellIs" dxfId="28" priority="6" operator="greaterThan">
      <formula>0</formula>
    </cfRule>
  </conditionalFormatting>
  <conditionalFormatting sqref="J12">
    <cfRule type="cellIs" dxfId="27" priority="1" operator="lessThan">
      <formula>0</formula>
    </cfRule>
    <cfRule type="cellIs" dxfId="26"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rightToLeft="1" workbookViewId="0">
      <selection activeCell="B9" sqref="B9:B10"/>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12" t="s">
        <v>456</v>
      </c>
      <c r="B1" s="38"/>
      <c r="C1" s="38"/>
      <c r="D1" s="38"/>
    </row>
    <row r="2" spans="1:10" ht="17.25" thickTop="1" thickBot="1" x14ac:dyDescent="0.3">
      <c r="A2" s="7"/>
      <c r="B2" s="38"/>
      <c r="C2" s="38"/>
      <c r="D2" s="38"/>
    </row>
    <row r="3" spans="1:10" ht="45.75" customHeight="1" thickBot="1" x14ac:dyDescent="0.25">
      <c r="A3" s="103" t="s">
        <v>0</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x14ac:dyDescent="0.2">
      <c r="A4" s="429" t="s">
        <v>407</v>
      </c>
      <c r="B4" s="471">
        <v>0.22520000000000001</v>
      </c>
      <c r="C4" s="479">
        <v>0.19</v>
      </c>
      <c r="D4" s="454">
        <v>0.19</v>
      </c>
      <c r="E4" s="456" t="s">
        <v>5</v>
      </c>
      <c r="F4" s="390">
        <f>D4+6%</f>
        <v>0.25</v>
      </c>
      <c r="G4" s="392" t="s">
        <v>395</v>
      </c>
      <c r="H4" s="401">
        <f>IF(D4-6%&lt;0%,0%,D4-6%)</f>
        <v>0.13</v>
      </c>
      <c r="I4" s="142" t="s">
        <v>458</v>
      </c>
      <c r="J4" s="449">
        <f>D4-C4</f>
        <v>0</v>
      </c>
    </row>
    <row r="5" spans="1:10" x14ac:dyDescent="0.2">
      <c r="A5" s="430"/>
      <c r="B5" s="472"/>
      <c r="C5" s="452"/>
      <c r="D5" s="454"/>
      <c r="E5" s="457"/>
      <c r="F5" s="391"/>
      <c r="G5" s="393"/>
      <c r="H5" s="402"/>
      <c r="I5" s="28" t="s">
        <v>459</v>
      </c>
      <c r="J5" s="448"/>
    </row>
    <row r="6" spans="1:10" x14ac:dyDescent="0.2">
      <c r="A6" s="359"/>
      <c r="B6" s="473"/>
      <c r="C6" s="453"/>
      <c r="D6" s="455"/>
      <c r="E6" s="457"/>
      <c r="F6" s="384"/>
      <c r="G6" s="387"/>
      <c r="H6" s="403"/>
      <c r="I6" s="42"/>
      <c r="J6" s="444"/>
    </row>
    <row r="7" spans="1:10" x14ac:dyDescent="0.2">
      <c r="A7" s="435" t="s">
        <v>408</v>
      </c>
      <c r="B7" s="469">
        <v>0.3775</v>
      </c>
      <c r="C7" s="480">
        <v>0.36</v>
      </c>
      <c r="D7" s="481">
        <v>0.36</v>
      </c>
      <c r="E7" s="460" t="s">
        <v>6</v>
      </c>
      <c r="F7" s="394">
        <f>D7+5%</f>
        <v>0.41</v>
      </c>
      <c r="G7" s="396" t="s">
        <v>395</v>
      </c>
      <c r="H7" s="409">
        <f>IF(D7-5%&lt;0%,0%,D7-5%)</f>
        <v>0.31</v>
      </c>
      <c r="I7" s="202" t="s">
        <v>14</v>
      </c>
      <c r="J7" s="482">
        <f>D7-C7</f>
        <v>0</v>
      </c>
    </row>
    <row r="8" spans="1:10" x14ac:dyDescent="0.2">
      <c r="A8" s="436"/>
      <c r="B8" s="470"/>
      <c r="C8" s="459"/>
      <c r="D8" s="451"/>
      <c r="E8" s="460"/>
      <c r="F8" s="395"/>
      <c r="G8" s="397"/>
      <c r="H8" s="410"/>
      <c r="I8" s="42" t="s">
        <v>15</v>
      </c>
      <c r="J8" s="444"/>
    </row>
    <row r="9" spans="1:10" x14ac:dyDescent="0.2">
      <c r="A9" s="439" t="s">
        <v>409</v>
      </c>
      <c r="B9" s="485">
        <v>0.29170000000000001</v>
      </c>
      <c r="C9" s="480">
        <v>0.3</v>
      </c>
      <c r="D9" s="481">
        <v>0.28999999999999998</v>
      </c>
      <c r="E9" s="366" t="s">
        <v>5</v>
      </c>
      <c r="F9" s="383">
        <f>D9+6%</f>
        <v>0.35</v>
      </c>
      <c r="G9" s="386" t="s">
        <v>395</v>
      </c>
      <c r="H9" s="381">
        <f>IF(D9-6%&lt;0%,0%,D9-6%)</f>
        <v>0.22999999999999998</v>
      </c>
      <c r="I9" s="202" t="s">
        <v>16</v>
      </c>
      <c r="J9" s="482">
        <f>D9-C9</f>
        <v>-1.0000000000000009E-2</v>
      </c>
    </row>
    <row r="10" spans="1:10" x14ac:dyDescent="0.2">
      <c r="A10" s="359"/>
      <c r="B10" s="475"/>
      <c r="C10" s="459"/>
      <c r="D10" s="451"/>
      <c r="E10" s="366"/>
      <c r="F10" s="384"/>
      <c r="G10" s="387"/>
      <c r="H10" s="382"/>
      <c r="I10" s="44" t="s">
        <v>17</v>
      </c>
      <c r="J10" s="444"/>
    </row>
    <row r="11" spans="1:10" ht="15" x14ac:dyDescent="0.2">
      <c r="A11" s="313" t="s">
        <v>406</v>
      </c>
      <c r="B11" s="316">
        <v>0.10639999999999999</v>
      </c>
      <c r="C11" s="207">
        <v>0.14000000000000001</v>
      </c>
      <c r="D11" s="314">
        <v>0.13</v>
      </c>
      <c r="E11" s="315" t="s">
        <v>6</v>
      </c>
      <c r="F11" s="163">
        <f>D11+5%</f>
        <v>0.18</v>
      </c>
      <c r="G11" s="159" t="s">
        <v>395</v>
      </c>
      <c r="H11" s="164">
        <f>IF(D11-5%&lt;0%,0%,D11-5%)</f>
        <v>0.08</v>
      </c>
      <c r="I11" s="47" t="s">
        <v>385</v>
      </c>
      <c r="J11" s="211">
        <f>D11-C11</f>
        <v>-1.0000000000000009E-2</v>
      </c>
    </row>
    <row r="12" spans="1:10" ht="15.75" thickBot="1" x14ac:dyDescent="0.25">
      <c r="A12" s="79" t="s">
        <v>404</v>
      </c>
      <c r="B12" s="236">
        <v>9.0200000000000002E-2</v>
      </c>
      <c r="C12" s="208">
        <v>0.05</v>
      </c>
      <c r="D12" s="269">
        <v>7.0000000000000007E-2</v>
      </c>
      <c r="E12" s="203" t="s">
        <v>6</v>
      </c>
      <c r="F12" s="234">
        <f>D12+5%</f>
        <v>0.12000000000000001</v>
      </c>
      <c r="G12" s="232" t="s">
        <v>395</v>
      </c>
      <c r="H12" s="233">
        <f>IF(D12-5%&lt;0%,0%,D12-5%)</f>
        <v>2.0000000000000004E-2</v>
      </c>
      <c r="I12" s="51" t="s">
        <v>12</v>
      </c>
      <c r="J12" s="235">
        <f>D12-C12</f>
        <v>2.0000000000000004E-2</v>
      </c>
    </row>
    <row r="13" spans="1:10" ht="15.75" thickBot="1" x14ac:dyDescent="0.25">
      <c r="A13" s="78" t="s">
        <v>3</v>
      </c>
      <c r="B13" s="80">
        <f>SUM(B4:B12)</f>
        <v>1.0910000000000002</v>
      </c>
      <c r="C13" s="84">
        <f>SUM(C4:C12)</f>
        <v>1.04</v>
      </c>
      <c r="D13" s="250">
        <f>SUM(D4:D12)</f>
        <v>1.04</v>
      </c>
      <c r="E13" s="35"/>
      <c r="F13" s="167"/>
      <c r="G13" s="160"/>
      <c r="H13" s="168"/>
      <c r="I13" s="55"/>
      <c r="J13" s="34">
        <f>SUM(J4:J12)</f>
        <v>0</v>
      </c>
    </row>
    <row r="14" spans="1:10" ht="15.75" thickBot="1" x14ac:dyDescent="0.25">
      <c r="A14" s="79" t="s">
        <v>4</v>
      </c>
      <c r="B14" s="182">
        <v>7.2599999999999998E-2</v>
      </c>
      <c r="C14" s="32">
        <v>0.1</v>
      </c>
      <c r="D14" s="251">
        <v>0.09</v>
      </c>
      <c r="E14" s="58" t="s">
        <v>5</v>
      </c>
      <c r="F14" s="169">
        <f>D14+6%</f>
        <v>0.15</v>
      </c>
      <c r="G14" s="220" t="s">
        <v>395</v>
      </c>
      <c r="H14" s="170">
        <f>IF(D14-6%&lt;0%,0%,D14-6%)</f>
        <v>0.03</v>
      </c>
      <c r="I14" s="33" t="s">
        <v>457</v>
      </c>
      <c r="J14" s="36">
        <f>D14-C14</f>
        <v>-1.0000000000000009E-2</v>
      </c>
    </row>
    <row r="15" spans="1:10" ht="15" thickBot="1" x14ac:dyDescent="0.25">
      <c r="A15" s="152" t="str">
        <f>'הכשרה - קרן י'!$A$17</f>
        <v>מגבלת עמלת ניהול חיצוני לשנת 2026</v>
      </c>
      <c r="B15" s="398">
        <v>1.5E-3</v>
      </c>
      <c r="C15" s="399"/>
      <c r="D15" s="399"/>
      <c r="E15" s="399"/>
      <c r="F15" s="399"/>
      <c r="G15" s="399"/>
      <c r="H15" s="399"/>
      <c r="I15" s="399"/>
      <c r="J15" s="400"/>
    </row>
    <row r="17" spans="1:1" ht="16.5" x14ac:dyDescent="0.25">
      <c r="A17" s="155" t="s">
        <v>421</v>
      </c>
    </row>
    <row r="18" spans="1:1" ht="16.5" x14ac:dyDescent="0.25">
      <c r="A18" s="155" t="s">
        <v>422</v>
      </c>
    </row>
    <row r="19" spans="1:1" ht="16.5" x14ac:dyDescent="0.25">
      <c r="A19" s="155" t="s">
        <v>423</v>
      </c>
    </row>
    <row r="20" spans="1:1" ht="16.5" x14ac:dyDescent="0.25">
      <c r="A20" s="155" t="s">
        <v>424</v>
      </c>
    </row>
    <row r="21" spans="1:1" ht="16.5" x14ac:dyDescent="0.25">
      <c r="A21" s="155" t="s">
        <v>425</v>
      </c>
    </row>
    <row r="22" spans="1:1" ht="16.5" x14ac:dyDescent="0.25">
      <c r="A22" s="155" t="s">
        <v>426</v>
      </c>
    </row>
  </sheetData>
  <mergeCells count="29">
    <mergeCell ref="A9:A10"/>
    <mergeCell ref="H9:H10"/>
    <mergeCell ref="J9:J10"/>
    <mergeCell ref="B15:J15"/>
    <mergeCell ref="B9:B10"/>
    <mergeCell ref="C9:C10"/>
    <mergeCell ref="D9:D10"/>
    <mergeCell ref="E9:E10"/>
    <mergeCell ref="F9:F10"/>
    <mergeCell ref="G9:G10"/>
    <mergeCell ref="J4:J6"/>
    <mergeCell ref="A7:A8"/>
    <mergeCell ref="B7:B8"/>
    <mergeCell ref="C7:C8"/>
    <mergeCell ref="D7:D8"/>
    <mergeCell ref="E7:E8"/>
    <mergeCell ref="F7:F8"/>
    <mergeCell ref="G7:G8"/>
    <mergeCell ref="H7:H8"/>
    <mergeCell ref="J7:J8"/>
    <mergeCell ref="F3:H3"/>
    <mergeCell ref="A4:A6"/>
    <mergeCell ref="B4:B6"/>
    <mergeCell ref="C4:C6"/>
    <mergeCell ref="D4:D6"/>
    <mergeCell ref="E4:E6"/>
    <mergeCell ref="F4:F6"/>
    <mergeCell ref="G4:G6"/>
    <mergeCell ref="H4:H6"/>
  </mergeCells>
  <conditionalFormatting sqref="J4:J10 J12:J14">
    <cfRule type="cellIs" dxfId="25" priority="3" operator="lessThan">
      <formula>0</formula>
    </cfRule>
    <cfRule type="cellIs" dxfId="24" priority="4" operator="greaterThan">
      <formula>0</formula>
    </cfRule>
  </conditionalFormatting>
  <conditionalFormatting sqref="J11">
    <cfRule type="cellIs" dxfId="23" priority="1" operator="lessThan">
      <formula>0</formula>
    </cfRule>
    <cfRule type="cellIs" dxfId="22"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rightToLeft="1" workbookViewId="0">
      <selection activeCell="A13" sqref="A13"/>
    </sheetView>
  </sheetViews>
  <sheetFormatPr defaultRowHeight="14.25" x14ac:dyDescent="0.2"/>
  <cols>
    <col min="1" max="1" width="59.5" customWidth="1"/>
    <col min="2" max="2" width="13.125" customWidth="1"/>
    <col min="3" max="3" width="9" bestFit="1" customWidth="1"/>
    <col min="4" max="4" width="5.5" bestFit="1" customWidth="1"/>
    <col min="5" max="5" width="1.5" bestFit="1" customWidth="1"/>
    <col min="6" max="6" width="4.5" bestFit="1" customWidth="1"/>
    <col min="7" max="7" width="31.875" bestFit="1" customWidth="1"/>
  </cols>
  <sheetData>
    <row r="1" spans="1:7" ht="16.5" thickBot="1" x14ac:dyDescent="0.3">
      <c r="A1" s="107" t="s">
        <v>481</v>
      </c>
      <c r="B1" s="38"/>
    </row>
    <row r="2" spans="1:7" ht="17.25" thickTop="1" thickBot="1" x14ac:dyDescent="0.3">
      <c r="A2" s="7"/>
      <c r="B2" s="38"/>
    </row>
    <row r="3" spans="1:7" s="156" customFormat="1" ht="45.75" customHeight="1" thickBot="1" x14ac:dyDescent="0.25">
      <c r="A3" s="103" t="s">
        <v>0</v>
      </c>
      <c r="B3" s="39" t="str">
        <f>'הכשרה - קרן י'!$D$3</f>
        <v>שיעור חשיפה מומלץ לשנת 2026</v>
      </c>
      <c r="C3" s="88" t="s">
        <v>1</v>
      </c>
      <c r="D3" s="388" t="s">
        <v>380</v>
      </c>
      <c r="E3" s="388"/>
      <c r="F3" s="389"/>
      <c r="G3" s="101" t="s">
        <v>2</v>
      </c>
    </row>
    <row r="4" spans="1:7" s="156" customFormat="1" x14ac:dyDescent="0.2">
      <c r="A4" s="429" t="s">
        <v>399</v>
      </c>
      <c r="B4" s="454">
        <v>0.94</v>
      </c>
      <c r="C4" s="456" t="s">
        <v>5</v>
      </c>
      <c r="D4" s="390">
        <f>B4+6%</f>
        <v>1</v>
      </c>
      <c r="E4" s="392" t="s">
        <v>395</v>
      </c>
      <c r="F4" s="401">
        <f>IF(B4-6%&lt;0%,0%,B4-6%)</f>
        <v>0.87999999999999989</v>
      </c>
      <c r="G4" s="330" t="s">
        <v>482</v>
      </c>
    </row>
    <row r="5" spans="1:7" s="156" customFormat="1" x14ac:dyDescent="0.2">
      <c r="A5" s="430"/>
      <c r="B5" s="454"/>
      <c r="C5" s="457"/>
      <c r="D5" s="391"/>
      <c r="E5" s="393"/>
      <c r="F5" s="402"/>
      <c r="G5" s="331" t="s">
        <v>483</v>
      </c>
    </row>
    <row r="6" spans="1:7" s="156" customFormat="1" x14ac:dyDescent="0.2">
      <c r="A6" s="359"/>
      <c r="B6" s="455"/>
      <c r="C6" s="457"/>
      <c r="D6" s="384"/>
      <c r="E6" s="387"/>
      <c r="F6" s="403"/>
      <c r="G6" s="335" t="s">
        <v>484</v>
      </c>
    </row>
    <row r="7" spans="1:7" ht="15.75" thickBot="1" x14ac:dyDescent="0.25">
      <c r="A7" s="79" t="s">
        <v>386</v>
      </c>
      <c r="B7" s="269">
        <v>0.06</v>
      </c>
      <c r="C7" s="203" t="s">
        <v>6</v>
      </c>
      <c r="D7" s="328">
        <f>B7+5%</f>
        <v>0.11</v>
      </c>
      <c r="E7" s="329" t="s">
        <v>395</v>
      </c>
      <c r="F7" s="327">
        <f>IF(B7-5%&lt;0%,0%,B7-5%)</f>
        <v>9.999999999999995E-3</v>
      </c>
      <c r="G7" s="332" t="s">
        <v>12</v>
      </c>
    </row>
    <row r="8" spans="1:7" ht="15.75" thickBot="1" x14ac:dyDescent="0.25">
      <c r="A8" s="78" t="s">
        <v>3</v>
      </c>
      <c r="B8" s="250">
        <f>SUM(B4:B7)</f>
        <v>1</v>
      </c>
      <c r="C8" s="35"/>
      <c r="D8" s="167"/>
      <c r="E8" s="160"/>
      <c r="F8" s="168"/>
      <c r="G8" s="333"/>
    </row>
    <row r="9" spans="1:7" ht="15.75" thickBot="1" x14ac:dyDescent="0.25">
      <c r="A9" s="79" t="s">
        <v>4</v>
      </c>
      <c r="B9" s="251">
        <v>0.94</v>
      </c>
      <c r="C9" s="58" t="s">
        <v>5</v>
      </c>
      <c r="D9" s="169">
        <f>B9+6%</f>
        <v>1</v>
      </c>
      <c r="E9" s="220" t="s">
        <v>395</v>
      </c>
      <c r="F9" s="170">
        <f>IF(B9-6%&lt;0%,0%,B9-6%)</f>
        <v>0.87999999999999989</v>
      </c>
      <c r="G9" s="334" t="s">
        <v>457</v>
      </c>
    </row>
    <row r="10" spans="1:7" ht="15" thickBot="1" x14ac:dyDescent="0.25">
      <c r="A10" s="152" t="str">
        <f>'הכשרה - קרן י'!$A$17</f>
        <v>מגבלת עמלת ניהול חיצוני לשנת 2026</v>
      </c>
      <c r="B10" s="399">
        <v>2E-3</v>
      </c>
      <c r="C10" s="399"/>
      <c r="D10" s="399"/>
      <c r="E10" s="399"/>
      <c r="F10" s="399"/>
      <c r="G10" s="400"/>
    </row>
    <row r="11" spans="1:7" x14ac:dyDescent="0.2">
      <c r="A11" s="221"/>
      <c r="B11" s="222"/>
      <c r="C11" s="222"/>
      <c r="D11" s="222"/>
      <c r="E11" s="222"/>
      <c r="F11" s="222"/>
      <c r="G11" s="222"/>
    </row>
    <row r="12" spans="1:7" ht="16.5" x14ac:dyDescent="0.25">
      <c r="A12" s="337" t="s">
        <v>502</v>
      </c>
      <c r="B12" s="37"/>
      <c r="C12" s="156"/>
      <c r="D12" s="156"/>
      <c r="E12" s="156"/>
      <c r="F12" s="156"/>
      <c r="G12" s="156"/>
    </row>
    <row r="13" spans="1:7" ht="16.5" x14ac:dyDescent="0.25">
      <c r="A13" s="155"/>
      <c r="B13" s="37"/>
      <c r="C13" s="156"/>
      <c r="D13" s="156"/>
      <c r="E13" s="156"/>
      <c r="F13" s="156"/>
      <c r="G13" s="156"/>
    </row>
    <row r="14" spans="1:7" ht="15" x14ac:dyDescent="0.25">
      <c r="A14" s="336" t="s">
        <v>495</v>
      </c>
    </row>
    <row r="15" spans="1:7" ht="15" x14ac:dyDescent="0.25">
      <c r="A15" s="231" t="s">
        <v>485</v>
      </c>
    </row>
    <row r="16" spans="1:7" ht="15" x14ac:dyDescent="0.25">
      <c r="A16" s="231" t="s">
        <v>434</v>
      </c>
    </row>
    <row r="17" spans="1:1" ht="15" x14ac:dyDescent="0.25">
      <c r="A17" s="231" t="s">
        <v>486</v>
      </c>
    </row>
    <row r="18" spans="1:1" ht="15" x14ac:dyDescent="0.25">
      <c r="A18" s="231" t="s">
        <v>487</v>
      </c>
    </row>
    <row r="19" spans="1:1" ht="15" x14ac:dyDescent="0.25">
      <c r="A19" s="231" t="s">
        <v>488</v>
      </c>
    </row>
    <row r="20" spans="1:1" ht="15" x14ac:dyDescent="0.25">
      <c r="A20" s="231" t="s">
        <v>489</v>
      </c>
    </row>
    <row r="21" spans="1:1" ht="15" x14ac:dyDescent="0.25">
      <c r="A21" s="231" t="s">
        <v>490</v>
      </c>
    </row>
    <row r="22" spans="1:1" ht="15" x14ac:dyDescent="0.25">
      <c r="A22" s="231" t="s">
        <v>491</v>
      </c>
    </row>
    <row r="23" spans="1:1" ht="15" x14ac:dyDescent="0.25">
      <c r="A23" s="231" t="s">
        <v>492</v>
      </c>
    </row>
    <row r="24" spans="1:1" ht="15" x14ac:dyDescent="0.25">
      <c r="A24" s="231" t="s">
        <v>493</v>
      </c>
    </row>
    <row r="25" spans="1:1" ht="15" x14ac:dyDescent="0.25">
      <c r="A25" s="231" t="s">
        <v>494</v>
      </c>
    </row>
    <row r="26" spans="1:1" ht="15" x14ac:dyDescent="0.25">
      <c r="A26" s="231" t="s">
        <v>432</v>
      </c>
    </row>
  </sheetData>
  <mergeCells count="8">
    <mergeCell ref="B10:G10"/>
    <mergeCell ref="D3:F3"/>
    <mergeCell ref="A4:A6"/>
    <mergeCell ref="B4:B6"/>
    <mergeCell ref="C4:C6"/>
    <mergeCell ref="D4:D6"/>
    <mergeCell ref="E4:E6"/>
    <mergeCell ref="F4:F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rightToLeft="1" workbookViewId="0">
      <selection activeCell="A13" sqref="A13"/>
    </sheetView>
  </sheetViews>
  <sheetFormatPr defaultRowHeight="14.25" x14ac:dyDescent="0.2"/>
  <cols>
    <col min="1" max="1" width="59.5" customWidth="1"/>
    <col min="2" max="2" width="13.125" customWidth="1"/>
    <col min="3" max="3" width="9" bestFit="1" customWidth="1"/>
    <col min="4" max="4" width="5.5" bestFit="1" customWidth="1"/>
    <col min="5" max="5" width="1.5" bestFit="1" customWidth="1"/>
    <col min="6" max="6" width="4.5" bestFit="1" customWidth="1"/>
    <col min="7" max="7" width="31.875" bestFit="1" customWidth="1"/>
  </cols>
  <sheetData>
    <row r="1" spans="1:7" ht="16.5" thickBot="1" x14ac:dyDescent="0.3">
      <c r="A1" s="107" t="s">
        <v>496</v>
      </c>
      <c r="B1" s="38"/>
    </row>
    <row r="2" spans="1:7" ht="17.25" thickTop="1" thickBot="1" x14ac:dyDescent="0.3">
      <c r="A2" s="7"/>
      <c r="B2" s="38"/>
    </row>
    <row r="3" spans="1:7" s="156" customFormat="1" ht="45.75" customHeight="1" thickBot="1" x14ac:dyDescent="0.25">
      <c r="A3" s="103" t="s">
        <v>0</v>
      </c>
      <c r="B3" s="39" t="str">
        <f>'הכשרה - קרן י'!$D$3</f>
        <v>שיעור חשיפה מומלץ לשנת 2026</v>
      </c>
      <c r="C3" s="88" t="s">
        <v>1</v>
      </c>
      <c r="D3" s="388" t="s">
        <v>380</v>
      </c>
      <c r="E3" s="388"/>
      <c r="F3" s="389"/>
      <c r="G3" s="101" t="s">
        <v>2</v>
      </c>
    </row>
    <row r="4" spans="1:7" s="156" customFormat="1" x14ac:dyDescent="0.2">
      <c r="A4" s="429" t="s">
        <v>460</v>
      </c>
      <c r="B4" s="454">
        <v>0.94</v>
      </c>
      <c r="C4" s="456" t="s">
        <v>5</v>
      </c>
      <c r="D4" s="390">
        <f>B4+6%</f>
        <v>1</v>
      </c>
      <c r="E4" s="392" t="s">
        <v>395</v>
      </c>
      <c r="F4" s="401">
        <f>IF(B4-6%&lt;0%,0%,B4-6%)</f>
        <v>0.87999999999999989</v>
      </c>
      <c r="G4" s="330"/>
    </row>
    <row r="5" spans="1:7" s="156" customFormat="1" x14ac:dyDescent="0.2">
      <c r="A5" s="430"/>
      <c r="B5" s="454"/>
      <c r="C5" s="457"/>
      <c r="D5" s="391"/>
      <c r="E5" s="393"/>
      <c r="F5" s="402"/>
      <c r="G5" s="331" t="s">
        <v>497</v>
      </c>
    </row>
    <row r="6" spans="1:7" s="156" customFormat="1" x14ac:dyDescent="0.2">
      <c r="A6" s="359"/>
      <c r="B6" s="455"/>
      <c r="C6" s="457"/>
      <c r="D6" s="384"/>
      <c r="E6" s="387"/>
      <c r="F6" s="403"/>
      <c r="G6" s="335"/>
    </row>
    <row r="7" spans="1:7" ht="15.75" thickBot="1" x14ac:dyDescent="0.25">
      <c r="A7" s="79" t="s">
        <v>386</v>
      </c>
      <c r="B7" s="269">
        <v>0.06</v>
      </c>
      <c r="C7" s="203" t="s">
        <v>6</v>
      </c>
      <c r="D7" s="328">
        <f>B7+5%</f>
        <v>0.11</v>
      </c>
      <c r="E7" s="329" t="s">
        <v>395</v>
      </c>
      <c r="F7" s="327">
        <f>IF(B7-5%&lt;0%,0%,B7-5%)</f>
        <v>9.999999999999995E-3</v>
      </c>
      <c r="G7" s="332" t="s">
        <v>12</v>
      </c>
    </row>
    <row r="8" spans="1:7" ht="15.75" thickBot="1" x14ac:dyDescent="0.25">
      <c r="A8" s="78" t="s">
        <v>3</v>
      </c>
      <c r="B8" s="250">
        <f>SUM(B4:B7)</f>
        <v>1</v>
      </c>
      <c r="C8" s="35"/>
      <c r="D8" s="167"/>
      <c r="E8" s="160"/>
      <c r="F8" s="168"/>
      <c r="G8" s="333"/>
    </row>
    <row r="9" spans="1:7" ht="15.75" thickBot="1" x14ac:dyDescent="0.25">
      <c r="A9" s="79" t="s">
        <v>4</v>
      </c>
      <c r="B9" s="251">
        <v>0.01</v>
      </c>
      <c r="C9" s="58" t="s">
        <v>5</v>
      </c>
      <c r="D9" s="169">
        <f>B9+6%</f>
        <v>6.9999999999999993E-2</v>
      </c>
      <c r="E9" s="220" t="s">
        <v>395</v>
      </c>
      <c r="F9" s="170">
        <f>IF(B9-6%&lt;0%,0%,B9-6%)</f>
        <v>0</v>
      </c>
      <c r="G9" s="334" t="s">
        <v>457</v>
      </c>
    </row>
    <row r="10" spans="1:7" ht="15" thickBot="1" x14ac:dyDescent="0.25">
      <c r="A10" s="152" t="str">
        <f>'הכשרה - קרן י'!$A$17</f>
        <v>מגבלת עמלת ניהול חיצוני לשנת 2026</v>
      </c>
      <c r="B10" s="399">
        <v>2E-3</v>
      </c>
      <c r="C10" s="399"/>
      <c r="D10" s="399"/>
      <c r="E10" s="399"/>
      <c r="F10" s="399"/>
      <c r="G10" s="400"/>
    </row>
    <row r="11" spans="1:7" ht="16.5" x14ac:dyDescent="0.25">
      <c r="A11" s="155"/>
      <c r="B11" s="37"/>
      <c r="C11" s="156"/>
      <c r="D11" s="156"/>
      <c r="E11" s="156"/>
      <c r="F11" s="156"/>
      <c r="G11" s="156"/>
    </row>
    <row r="12" spans="1:7" ht="16.5" x14ac:dyDescent="0.25">
      <c r="A12" s="337" t="s">
        <v>502</v>
      </c>
      <c r="B12" s="37"/>
      <c r="C12" s="156"/>
      <c r="D12" s="156"/>
      <c r="E12" s="156"/>
      <c r="F12" s="156"/>
      <c r="G12" s="156"/>
    </row>
    <row r="13" spans="1:7" ht="16.5" x14ac:dyDescent="0.25">
      <c r="A13" s="155"/>
      <c r="B13" s="37"/>
      <c r="C13" s="156"/>
      <c r="D13" s="156"/>
      <c r="E13" s="156"/>
      <c r="F13" s="156"/>
      <c r="G13" s="156"/>
    </row>
    <row r="14" spans="1:7" ht="15" x14ac:dyDescent="0.25">
      <c r="A14" s="336" t="s">
        <v>498</v>
      </c>
    </row>
    <row r="15" spans="1:7" ht="15" x14ac:dyDescent="0.25">
      <c r="A15" s="231" t="s">
        <v>499</v>
      </c>
    </row>
    <row r="16" spans="1:7" ht="15" x14ac:dyDescent="0.25">
      <c r="A16" s="231" t="s">
        <v>500</v>
      </c>
    </row>
    <row r="17" spans="1:1" ht="15" x14ac:dyDescent="0.25">
      <c r="A17" s="231" t="s">
        <v>501</v>
      </c>
    </row>
    <row r="18" spans="1:1" ht="15" x14ac:dyDescent="0.25">
      <c r="A18" s="231" t="s">
        <v>455</v>
      </c>
    </row>
    <row r="19" spans="1:1" ht="15" x14ac:dyDescent="0.25">
      <c r="A19" s="231"/>
    </row>
    <row r="20" spans="1:1" ht="15" x14ac:dyDescent="0.25">
      <c r="A20" s="231"/>
    </row>
    <row r="21" spans="1:1" ht="15" x14ac:dyDescent="0.25">
      <c r="A21" s="231"/>
    </row>
    <row r="22" spans="1:1" ht="15" x14ac:dyDescent="0.25">
      <c r="A22" s="231"/>
    </row>
    <row r="23" spans="1:1" ht="15" x14ac:dyDescent="0.25">
      <c r="A23" s="231"/>
    </row>
    <row r="24" spans="1:1" ht="15" x14ac:dyDescent="0.25">
      <c r="A24" s="231"/>
    </row>
    <row r="25" spans="1:1" ht="15" x14ac:dyDescent="0.25">
      <c r="A25" s="231"/>
    </row>
    <row r="26" spans="1:1" ht="15" x14ac:dyDescent="0.25">
      <c r="A26" s="231"/>
    </row>
  </sheetData>
  <mergeCells count="8">
    <mergeCell ref="B10:G10"/>
    <mergeCell ref="D3:F3"/>
    <mergeCell ref="A4:A6"/>
    <mergeCell ref="B4:B6"/>
    <mergeCell ref="C4:C6"/>
    <mergeCell ref="D4:D6"/>
    <mergeCell ref="E4:E6"/>
    <mergeCell ref="F4:F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41"/>
  <sheetViews>
    <sheetView rightToLeft="1" topLeftCell="A13" zoomScale="110" zoomScaleNormal="110" workbookViewId="0">
      <selection activeCell="A33" sqref="A33:H35"/>
    </sheetView>
  </sheetViews>
  <sheetFormatPr defaultColWidth="9" defaultRowHeight="16.5" x14ac:dyDescent="0.25"/>
  <cols>
    <col min="1" max="1" width="61.375" style="123" customWidth="1"/>
    <col min="2" max="2" width="20.125" style="123" customWidth="1"/>
    <col min="3" max="3" width="14" style="123" customWidth="1"/>
    <col min="4" max="4" width="11.75" style="123" bestFit="1" customWidth="1"/>
    <col min="5" max="5" width="9" style="123"/>
    <col min="6" max="6" width="4.625" style="123" bestFit="1" customWidth="1"/>
    <col min="7" max="7" width="1.625" style="123" bestFit="1" customWidth="1"/>
    <col min="8" max="8" width="4.625" style="123" bestFit="1" customWidth="1"/>
    <col min="9" max="9" width="31.875" style="123" bestFit="1" customWidth="1"/>
    <col min="10" max="10" width="16.5" style="123" customWidth="1"/>
    <col min="11" max="16384" width="9" style="123"/>
  </cols>
  <sheetData>
    <row r="1" spans="1:10" ht="17.25" thickBot="1" x14ac:dyDescent="0.3"/>
    <row r="2" spans="1:10" ht="22.5" customHeight="1" thickBot="1" x14ac:dyDescent="0.3">
      <c r="A2" s="486" t="s">
        <v>451</v>
      </c>
      <c r="B2" s="487"/>
    </row>
    <row r="3" spans="1:10" s="38" customFormat="1" ht="46.5" customHeight="1" thickBot="1" x14ac:dyDescent="0.25">
      <c r="A3" s="103" t="s">
        <v>0</v>
      </c>
      <c r="B3" s="86" t="s">
        <v>469</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s="38" customFormat="1" ht="14.25" x14ac:dyDescent="0.2">
      <c r="A4" s="429" t="s">
        <v>389</v>
      </c>
      <c r="B4" s="471">
        <f>(0%+3.09%+0.04%+0.32%+0.58%)/5</f>
        <v>8.0599999999999995E-3</v>
      </c>
      <c r="C4" s="452">
        <v>0.01</v>
      </c>
      <c r="D4" s="454">
        <v>0.01</v>
      </c>
      <c r="E4" s="456" t="s">
        <v>5</v>
      </c>
      <c r="F4" s="390">
        <f>D4+6%</f>
        <v>6.9999999999999993E-2</v>
      </c>
      <c r="G4" s="392" t="s">
        <v>395</v>
      </c>
      <c r="H4" s="401">
        <f>IF(D4-6%&lt;0%,0%,D4-6%)</f>
        <v>0</v>
      </c>
      <c r="I4" s="142" t="s">
        <v>458</v>
      </c>
      <c r="J4" s="449">
        <f>D4-C4</f>
        <v>0</v>
      </c>
    </row>
    <row r="5" spans="1:10" s="38" customFormat="1" ht="14.25" x14ac:dyDescent="0.2">
      <c r="A5" s="430"/>
      <c r="B5" s="472"/>
      <c r="C5" s="452"/>
      <c r="D5" s="454"/>
      <c r="E5" s="457"/>
      <c r="F5" s="391"/>
      <c r="G5" s="393"/>
      <c r="H5" s="402"/>
      <c r="I5" s="28" t="s">
        <v>459</v>
      </c>
      <c r="J5" s="448"/>
    </row>
    <row r="6" spans="1:10" s="38" customFormat="1" ht="14.25" x14ac:dyDescent="0.2">
      <c r="A6" s="359"/>
      <c r="B6" s="473"/>
      <c r="C6" s="453"/>
      <c r="D6" s="455"/>
      <c r="E6" s="457"/>
      <c r="F6" s="384"/>
      <c r="G6" s="387"/>
      <c r="H6" s="403"/>
      <c r="I6" s="42"/>
      <c r="J6" s="444"/>
    </row>
    <row r="7" spans="1:10" s="38" customFormat="1" ht="14.25" x14ac:dyDescent="0.2">
      <c r="A7" s="435" t="s">
        <v>390</v>
      </c>
      <c r="B7" s="469">
        <f>(87.45%+82.29%+83.52%+80.1%+81.84%)/5</f>
        <v>0.8303999999999998</v>
      </c>
      <c r="C7" s="480">
        <v>0.85</v>
      </c>
      <c r="D7" s="481">
        <v>0.85</v>
      </c>
      <c r="E7" s="460" t="s">
        <v>6</v>
      </c>
      <c r="F7" s="394">
        <f>D7+5%</f>
        <v>0.9</v>
      </c>
      <c r="G7" s="396" t="s">
        <v>395</v>
      </c>
      <c r="H7" s="409">
        <f>IF(D7-5%&lt;0%,0%,D7-5%)</f>
        <v>0.79999999999999993</v>
      </c>
      <c r="I7" s="202" t="s">
        <v>14</v>
      </c>
      <c r="J7" s="482">
        <f>D7-C7</f>
        <v>0</v>
      </c>
    </row>
    <row r="8" spans="1:10" s="38" customFormat="1" ht="14.25" x14ac:dyDescent="0.2">
      <c r="A8" s="436"/>
      <c r="B8" s="470"/>
      <c r="C8" s="459"/>
      <c r="D8" s="451"/>
      <c r="E8" s="460"/>
      <c r="F8" s="395"/>
      <c r="G8" s="397"/>
      <c r="H8" s="410"/>
      <c r="I8" s="42" t="s">
        <v>15</v>
      </c>
      <c r="J8" s="444"/>
    </row>
    <row r="9" spans="1:10" s="38" customFormat="1" ht="14.25" x14ac:dyDescent="0.2">
      <c r="A9" s="439" t="s">
        <v>388</v>
      </c>
      <c r="B9" s="469">
        <f>(14.8%+11.8%+14.6%+20.7%+15.9%)/5</f>
        <v>0.15560000000000002</v>
      </c>
      <c r="C9" s="480">
        <v>0.15</v>
      </c>
      <c r="D9" s="481">
        <v>0.15</v>
      </c>
      <c r="E9" s="366" t="s">
        <v>5</v>
      </c>
      <c r="F9" s="383">
        <f>D9+6%</f>
        <v>0.21</v>
      </c>
      <c r="G9" s="386" t="s">
        <v>395</v>
      </c>
      <c r="H9" s="381">
        <f>IF(D9-6%&lt;0%,0%,D9-6%)</f>
        <v>0.09</v>
      </c>
      <c r="I9" s="202" t="s">
        <v>16</v>
      </c>
      <c r="J9" s="482">
        <f>D9-C9</f>
        <v>0</v>
      </c>
    </row>
    <row r="10" spans="1:10" s="38" customFormat="1" ht="14.25" x14ac:dyDescent="0.2">
      <c r="A10" s="359"/>
      <c r="B10" s="470"/>
      <c r="C10" s="459"/>
      <c r="D10" s="451"/>
      <c r="E10" s="366"/>
      <c r="F10" s="384"/>
      <c r="G10" s="387"/>
      <c r="H10" s="382"/>
      <c r="I10" s="44" t="s">
        <v>17</v>
      </c>
      <c r="J10" s="444"/>
    </row>
    <row r="11" spans="1:10" s="38" customFormat="1" ht="15" x14ac:dyDescent="0.2">
      <c r="A11" s="198" t="s">
        <v>387</v>
      </c>
      <c r="B11" s="318">
        <f>(0%+0%+0.43%+0.83%+0%)/5</f>
        <v>2.5200000000000001E-3</v>
      </c>
      <c r="C11" s="207">
        <v>0.05</v>
      </c>
      <c r="D11" s="268">
        <v>0.05</v>
      </c>
      <c r="E11" s="199" t="s">
        <v>6</v>
      </c>
      <c r="F11" s="163">
        <f>D11+5%</f>
        <v>0.1</v>
      </c>
      <c r="G11" s="159" t="s">
        <v>395</v>
      </c>
      <c r="H11" s="164">
        <f>IF(D11-5%&lt;0%,0%,D11-5%)</f>
        <v>0</v>
      </c>
      <c r="I11" s="47" t="s">
        <v>385</v>
      </c>
      <c r="J11" s="211">
        <f>D11-C11</f>
        <v>0</v>
      </c>
    </row>
    <row r="12" spans="1:10" s="38" customFormat="1" ht="15" x14ac:dyDescent="0.2">
      <c r="A12" s="198" t="s">
        <v>381</v>
      </c>
      <c r="B12" s="318">
        <f>(1.13%+0.89%+1.67%+0.71%+0%)/5</f>
        <v>8.8000000000000005E-3</v>
      </c>
      <c r="C12" s="207">
        <v>0.01</v>
      </c>
      <c r="D12" s="268">
        <v>0.01</v>
      </c>
      <c r="E12" s="199" t="s">
        <v>6</v>
      </c>
      <c r="F12" s="163">
        <f>D12+5%</f>
        <v>6.0000000000000005E-2</v>
      </c>
      <c r="G12" s="159" t="s">
        <v>395</v>
      </c>
      <c r="H12" s="164">
        <f>IF(D12-5%&lt;0%,0%,D12-5%)</f>
        <v>0</v>
      </c>
      <c r="I12" s="61" t="s">
        <v>383</v>
      </c>
      <c r="J12" s="149">
        <f>D12-C12</f>
        <v>0</v>
      </c>
    </row>
    <row r="13" spans="1:10" s="38" customFormat="1" ht="15.75" thickBot="1" x14ac:dyDescent="0.25">
      <c r="A13" s="79" t="s">
        <v>404</v>
      </c>
      <c r="B13" s="181">
        <f>(6.04%+1.94%+4.46%+2.26%+1.72%)/5</f>
        <v>3.2840000000000001E-2</v>
      </c>
      <c r="C13" s="208">
        <v>0.05</v>
      </c>
      <c r="D13" s="269">
        <v>0.05</v>
      </c>
      <c r="E13" s="203" t="s">
        <v>6</v>
      </c>
      <c r="F13" s="197">
        <f>D13+5%</f>
        <v>0.1</v>
      </c>
      <c r="G13" s="195" t="s">
        <v>395</v>
      </c>
      <c r="H13" s="196">
        <f>IF(D13-5%&lt;0%,0%,D13-5%)</f>
        <v>0</v>
      </c>
      <c r="I13" s="51" t="s">
        <v>12</v>
      </c>
      <c r="J13" s="204">
        <f>D13-C13</f>
        <v>0</v>
      </c>
    </row>
    <row r="14" spans="1:10" s="38" customFormat="1" ht="15.75" thickBot="1" x14ac:dyDescent="0.25">
      <c r="A14" s="78" t="s">
        <v>3</v>
      </c>
      <c r="B14" s="80">
        <f>SUM(B4:B13)</f>
        <v>1.0382199999999997</v>
      </c>
      <c r="C14" s="84">
        <f>SUM(C4:C13)</f>
        <v>1.1200000000000001</v>
      </c>
      <c r="D14" s="250">
        <f>SUM(D4:D13)</f>
        <v>1.1200000000000001</v>
      </c>
      <c r="E14" s="35"/>
      <c r="F14" s="167"/>
      <c r="G14" s="160"/>
      <c r="H14" s="168"/>
      <c r="I14" s="55"/>
      <c r="J14" s="34">
        <f>SUM(J4:J13)</f>
        <v>0</v>
      </c>
    </row>
    <row r="15" spans="1:10" s="38" customFormat="1" ht="15.75" thickBot="1" x14ac:dyDescent="0.25">
      <c r="A15" s="79" t="s">
        <v>4</v>
      </c>
      <c r="B15" s="182">
        <f>(4.1%+3.33%+5.18%+7.36%+3.24%)/5</f>
        <v>4.6420000000000003E-2</v>
      </c>
      <c r="C15" s="32">
        <v>0.06</v>
      </c>
      <c r="D15" s="251">
        <v>0.06</v>
      </c>
      <c r="E15" s="58" t="s">
        <v>5</v>
      </c>
      <c r="F15" s="169">
        <f>D15+6%</f>
        <v>0.12</v>
      </c>
      <c r="G15" s="201" t="s">
        <v>395</v>
      </c>
      <c r="H15" s="170">
        <f>IF(D15-6%&lt;0%,0%,D15-6%)</f>
        <v>0</v>
      </c>
      <c r="I15" s="33" t="s">
        <v>457</v>
      </c>
      <c r="J15" s="36">
        <f>D15-C15</f>
        <v>0</v>
      </c>
    </row>
    <row r="16" spans="1:10" s="38" customFormat="1" ht="15" thickBot="1" x14ac:dyDescent="0.25">
      <c r="A16" s="152" t="str">
        <f>'הכשרה - קרן י'!$A$17</f>
        <v>מגבלת עמלת ניהול חיצוני לשנת 2026</v>
      </c>
      <c r="B16" s="398">
        <v>1.5E-3</v>
      </c>
      <c r="C16" s="399"/>
      <c r="D16" s="399"/>
      <c r="E16" s="399"/>
      <c r="F16" s="399"/>
      <c r="G16" s="399"/>
      <c r="H16" s="399"/>
      <c r="I16" s="399"/>
      <c r="J16" s="400"/>
    </row>
    <row r="17" spans="1:10" s="38" customFormat="1" thickBot="1" x14ac:dyDescent="0.3">
      <c r="A17" s="275" t="s">
        <v>450</v>
      </c>
      <c r="B17" s="222"/>
      <c r="C17" s="222"/>
      <c r="D17" s="222"/>
      <c r="E17" s="222"/>
      <c r="F17" s="222"/>
      <c r="G17" s="222"/>
      <c r="H17" s="222"/>
      <c r="I17" s="222"/>
      <c r="J17" s="222"/>
    </row>
    <row r="18" spans="1:10" s="38" customFormat="1" ht="46.5" customHeight="1" thickBot="1" x14ac:dyDescent="0.25">
      <c r="A18" s="274" t="s">
        <v>0</v>
      </c>
      <c r="B18" s="86" t="s">
        <v>471</v>
      </c>
      <c r="C18" s="40" t="str">
        <f>'הכשרה - קרן י'!$C$3</f>
        <v>מדיניות השקעות 2025</v>
      </c>
      <c r="D18" s="39" t="str">
        <f>'הכשרה - קרן י'!$D$3</f>
        <v>שיעור חשיפה מומלץ לשנת 2026</v>
      </c>
      <c r="E18" s="88" t="s">
        <v>1</v>
      </c>
      <c r="F18" s="388" t="s">
        <v>380</v>
      </c>
      <c r="G18" s="388"/>
      <c r="H18" s="389"/>
      <c r="I18" s="105" t="s">
        <v>2</v>
      </c>
      <c r="J18" s="101" t="str">
        <f>'הכשרה - קרן י'!$J$3</f>
        <v>שינוי ממדיניות 2025</v>
      </c>
    </row>
    <row r="19" spans="1:10" s="38" customFormat="1" ht="14.25" x14ac:dyDescent="0.2">
      <c r="A19" s="429" t="s">
        <v>389</v>
      </c>
      <c r="B19" s="471">
        <v>6.5799999999999997E-2</v>
      </c>
      <c r="C19" s="452">
        <v>0.01</v>
      </c>
      <c r="D19" s="454">
        <v>0.01</v>
      </c>
      <c r="E19" s="456" t="s">
        <v>5</v>
      </c>
      <c r="F19" s="390">
        <f>D19+6%</f>
        <v>6.9999999999999993E-2</v>
      </c>
      <c r="G19" s="392" t="s">
        <v>395</v>
      </c>
      <c r="H19" s="401">
        <f>IF(D19-6%&lt;0%,0%,D19-6%)</f>
        <v>0</v>
      </c>
      <c r="I19" s="142" t="s">
        <v>458</v>
      </c>
      <c r="J19" s="449">
        <f>D19-C19</f>
        <v>0</v>
      </c>
    </row>
    <row r="20" spans="1:10" s="38" customFormat="1" ht="14.25" x14ac:dyDescent="0.2">
      <c r="A20" s="430"/>
      <c r="B20" s="472"/>
      <c r="C20" s="452"/>
      <c r="D20" s="454"/>
      <c r="E20" s="457"/>
      <c r="F20" s="391"/>
      <c r="G20" s="393"/>
      <c r="H20" s="402"/>
      <c r="I20" s="28" t="s">
        <v>459</v>
      </c>
      <c r="J20" s="448"/>
    </row>
    <row r="21" spans="1:10" s="38" customFormat="1" ht="14.25" x14ac:dyDescent="0.2">
      <c r="A21" s="359"/>
      <c r="B21" s="473"/>
      <c r="C21" s="453"/>
      <c r="D21" s="455"/>
      <c r="E21" s="457"/>
      <c r="F21" s="384"/>
      <c r="G21" s="387"/>
      <c r="H21" s="403"/>
      <c r="I21" s="42"/>
      <c r="J21" s="444"/>
    </row>
    <row r="22" spans="1:10" s="38" customFormat="1" ht="14.25" x14ac:dyDescent="0.2">
      <c r="A22" s="435" t="s">
        <v>390</v>
      </c>
      <c r="B22" s="469">
        <v>0.83510000000000006</v>
      </c>
      <c r="C22" s="480">
        <v>0.87</v>
      </c>
      <c r="D22" s="481">
        <v>0.85</v>
      </c>
      <c r="E22" s="460" t="s">
        <v>6</v>
      </c>
      <c r="F22" s="394">
        <f>D22+5%</f>
        <v>0.9</v>
      </c>
      <c r="G22" s="396" t="s">
        <v>395</v>
      </c>
      <c r="H22" s="409">
        <f>IF(D22-5%&lt;0%,0%,D22-5%)</f>
        <v>0.79999999999999993</v>
      </c>
      <c r="I22" s="202" t="s">
        <v>14</v>
      </c>
      <c r="J22" s="482">
        <f>D22-C22</f>
        <v>-2.0000000000000018E-2</v>
      </c>
    </row>
    <row r="23" spans="1:10" s="38" customFormat="1" ht="14.25" x14ac:dyDescent="0.2">
      <c r="A23" s="436"/>
      <c r="B23" s="470"/>
      <c r="C23" s="459"/>
      <c r="D23" s="451"/>
      <c r="E23" s="460"/>
      <c r="F23" s="395"/>
      <c r="G23" s="397"/>
      <c r="H23" s="410"/>
      <c r="I23" s="42" t="s">
        <v>15</v>
      </c>
      <c r="J23" s="444"/>
    </row>
    <row r="24" spans="1:10" s="38" customFormat="1" ht="14.25" x14ac:dyDescent="0.2">
      <c r="A24" s="439" t="s">
        <v>388</v>
      </c>
      <c r="B24" s="474">
        <v>7.4400000000000008E-2</v>
      </c>
      <c r="C24" s="480">
        <v>0.09</v>
      </c>
      <c r="D24" s="481">
        <v>0.08</v>
      </c>
      <c r="E24" s="366" t="s">
        <v>5</v>
      </c>
      <c r="F24" s="383">
        <f>D24+6%</f>
        <v>0.14000000000000001</v>
      </c>
      <c r="G24" s="386" t="s">
        <v>395</v>
      </c>
      <c r="H24" s="381">
        <f>IF(D24-6%&lt;0%,0%,D24-6%)</f>
        <v>2.0000000000000004E-2</v>
      </c>
      <c r="I24" s="202" t="s">
        <v>16</v>
      </c>
      <c r="J24" s="482">
        <f>D24-C24</f>
        <v>-9.999999999999995E-3</v>
      </c>
    </row>
    <row r="25" spans="1:10" s="38" customFormat="1" ht="14.25" x14ac:dyDescent="0.2">
      <c r="A25" s="359"/>
      <c r="B25" s="475"/>
      <c r="C25" s="459"/>
      <c r="D25" s="451"/>
      <c r="E25" s="366"/>
      <c r="F25" s="384"/>
      <c r="G25" s="387"/>
      <c r="H25" s="382"/>
      <c r="I25" s="44" t="s">
        <v>17</v>
      </c>
      <c r="J25" s="444"/>
    </row>
    <row r="26" spans="1:10" s="38" customFormat="1" ht="15" x14ac:dyDescent="0.2">
      <c r="A26" s="213" t="s">
        <v>387</v>
      </c>
      <c r="B26" s="218">
        <v>8.9099999999999999E-2</v>
      </c>
      <c r="C26" s="207">
        <v>0.05</v>
      </c>
      <c r="D26" s="268">
        <v>0.06</v>
      </c>
      <c r="E26" s="217" t="s">
        <v>6</v>
      </c>
      <c r="F26" s="163">
        <f>D26+5%</f>
        <v>0.11</v>
      </c>
      <c r="G26" s="159" t="s">
        <v>395</v>
      </c>
      <c r="H26" s="164">
        <f>IF(D26-5%&lt;0%,0%,D26-5%)</f>
        <v>9.999999999999995E-3</v>
      </c>
      <c r="I26" s="47" t="s">
        <v>385</v>
      </c>
      <c r="J26" s="211">
        <f>D26-C26</f>
        <v>9.999999999999995E-3</v>
      </c>
    </row>
    <row r="27" spans="1:10" s="38" customFormat="1" ht="15" x14ac:dyDescent="0.2">
      <c r="A27" s="213" t="s">
        <v>381</v>
      </c>
      <c r="B27" s="218">
        <v>1.29E-2</v>
      </c>
      <c r="C27" s="207">
        <v>0.01</v>
      </c>
      <c r="D27" s="268">
        <v>0.01</v>
      </c>
      <c r="E27" s="217" t="s">
        <v>6</v>
      </c>
      <c r="F27" s="163">
        <f>D27+5%</f>
        <v>6.0000000000000005E-2</v>
      </c>
      <c r="G27" s="159" t="s">
        <v>395</v>
      </c>
      <c r="H27" s="164">
        <f>IF(D27-5%&lt;0%,0%,D27-5%)</f>
        <v>0</v>
      </c>
      <c r="I27" s="61" t="s">
        <v>383</v>
      </c>
      <c r="J27" s="149">
        <f>D27-C27</f>
        <v>0</v>
      </c>
    </row>
    <row r="28" spans="1:10" ht="17.25" thickBot="1" x14ac:dyDescent="0.3">
      <c r="A28" s="79" t="s">
        <v>404</v>
      </c>
      <c r="B28" s="181">
        <v>5.67E-2</v>
      </c>
      <c r="C28" s="208">
        <v>0.05</v>
      </c>
      <c r="D28" s="269">
        <v>0.08</v>
      </c>
      <c r="E28" s="203" t="s">
        <v>6</v>
      </c>
      <c r="F28" s="215">
        <f>D28+5%</f>
        <v>0.13</v>
      </c>
      <c r="G28" s="216" t="s">
        <v>395</v>
      </c>
      <c r="H28" s="214">
        <f>IF(D28-5%&lt;0%,0%,D28-5%)</f>
        <v>0.03</v>
      </c>
      <c r="I28" s="51" t="s">
        <v>12</v>
      </c>
      <c r="J28" s="219">
        <f>D28-C28</f>
        <v>0.03</v>
      </c>
    </row>
    <row r="29" spans="1:10" ht="17.25" thickBot="1" x14ac:dyDescent="0.3">
      <c r="A29" s="78" t="s">
        <v>3</v>
      </c>
      <c r="B29" s="80">
        <f>SUM(B19:B28)</f>
        <v>1.1339999999999999</v>
      </c>
      <c r="C29" s="84">
        <f>SUM(C19:C28)</f>
        <v>1.08</v>
      </c>
      <c r="D29" s="250">
        <f>SUM(D19:D28)</f>
        <v>1.0900000000000001</v>
      </c>
      <c r="E29" s="35"/>
      <c r="F29" s="167"/>
      <c r="G29" s="160"/>
      <c r="H29" s="168"/>
      <c r="I29" s="55"/>
      <c r="J29" s="34">
        <f>SUM(J19:J28)</f>
        <v>9.9999999999999811E-3</v>
      </c>
    </row>
    <row r="30" spans="1:10" ht="17.25" thickBot="1" x14ac:dyDescent="0.3">
      <c r="A30" s="79" t="s">
        <v>4</v>
      </c>
      <c r="B30" s="182">
        <v>1.44E-2</v>
      </c>
      <c r="C30" s="32">
        <v>0.06</v>
      </c>
      <c r="D30" s="251">
        <v>0.06</v>
      </c>
      <c r="E30" s="58" t="s">
        <v>5</v>
      </c>
      <c r="F30" s="169">
        <f>D30+6%</f>
        <v>0.12</v>
      </c>
      <c r="G30" s="220" t="s">
        <v>395</v>
      </c>
      <c r="H30" s="170">
        <f>IF(D30-6%&lt;0%,0%,D30-6%)</f>
        <v>0</v>
      </c>
      <c r="I30" s="33" t="s">
        <v>457</v>
      </c>
      <c r="J30" s="36">
        <f>D30-C30</f>
        <v>0</v>
      </c>
    </row>
    <row r="31" spans="1:10" ht="17.25" thickBot="1" x14ac:dyDescent="0.3">
      <c r="A31" s="152" t="str">
        <f>'הכשרה - קרן י'!$A$17</f>
        <v>מגבלת עמלת ניהול חיצוני לשנת 2026</v>
      </c>
      <c r="B31" s="398">
        <v>1E-3</v>
      </c>
      <c r="C31" s="399"/>
      <c r="D31" s="399"/>
      <c r="E31" s="399"/>
      <c r="F31" s="399"/>
      <c r="G31" s="399"/>
      <c r="H31" s="399"/>
      <c r="I31" s="399"/>
      <c r="J31" s="400"/>
    </row>
    <row r="32" spans="1:10" x14ac:dyDescent="0.25">
      <c r="A32" s="221"/>
      <c r="B32" s="222"/>
      <c r="C32" s="222"/>
      <c r="D32" s="222"/>
      <c r="E32" s="222"/>
      <c r="F32" s="222"/>
      <c r="G32" s="222"/>
      <c r="H32" s="222"/>
      <c r="I32" s="222"/>
      <c r="J32" s="222"/>
    </row>
    <row r="33" spans="1:8" x14ac:dyDescent="0.25">
      <c r="A33" s="321" t="s">
        <v>508</v>
      </c>
      <c r="B33" s="25"/>
      <c r="C33" s="322"/>
      <c r="D33" s="38"/>
      <c r="E33" s="26"/>
      <c r="F33" s="38"/>
      <c r="G33" s="38"/>
      <c r="H33" s="38"/>
    </row>
    <row r="34" spans="1:8" ht="45" x14ac:dyDescent="0.25">
      <c r="A34" s="342" t="s">
        <v>0</v>
      </c>
      <c r="B34" s="342" t="s">
        <v>479</v>
      </c>
      <c r="C34" s="342" t="s">
        <v>507</v>
      </c>
      <c r="D34" s="342" t="s">
        <v>480</v>
      </c>
      <c r="E34" s="323" t="s">
        <v>1</v>
      </c>
      <c r="F34" s="385" t="s">
        <v>380</v>
      </c>
      <c r="G34" s="385"/>
      <c r="H34" s="385"/>
    </row>
    <row r="35" spans="1:8" x14ac:dyDescent="0.25">
      <c r="A35" s="349" t="s">
        <v>391</v>
      </c>
      <c r="B35" s="325">
        <v>0.01</v>
      </c>
      <c r="C35" s="350">
        <v>0.03</v>
      </c>
      <c r="D35" s="350">
        <f t="shared" ref="D35:D36" si="0">C35-B35</f>
        <v>1.9999999999999997E-2</v>
      </c>
      <c r="E35" s="346" t="s">
        <v>5</v>
      </c>
      <c r="F35" s="343">
        <f t="shared" ref="F35" si="1">C35+6%</f>
        <v>0.09</v>
      </c>
      <c r="G35" s="344" t="s">
        <v>395</v>
      </c>
      <c r="H35" s="345">
        <f t="shared" ref="H35" si="2">IF(C35-6%&lt;0%,0%,C35-6%)</f>
        <v>0</v>
      </c>
    </row>
    <row r="36" spans="1:8" x14ac:dyDescent="0.25">
      <c r="A36" s="347" t="s">
        <v>390</v>
      </c>
      <c r="B36" s="325">
        <v>0.85</v>
      </c>
      <c r="C36" s="326">
        <v>0.83</v>
      </c>
      <c r="D36" s="326">
        <f t="shared" si="0"/>
        <v>-2.0000000000000018E-2</v>
      </c>
      <c r="E36" s="346" t="s">
        <v>6</v>
      </c>
      <c r="F36" s="343">
        <f>C36+5%</f>
        <v>0.88</v>
      </c>
      <c r="G36" s="344" t="s">
        <v>395</v>
      </c>
      <c r="H36" s="345">
        <f>IF(C36-5%&lt;0%,0%,C36-5%)</f>
        <v>0.77999999999999992</v>
      </c>
    </row>
    <row r="38" spans="1:8" x14ac:dyDescent="0.25">
      <c r="A38" s="210" t="s">
        <v>452</v>
      </c>
    </row>
    <row r="39" spans="1:8" x14ac:dyDescent="0.25">
      <c r="A39" s="210" t="s">
        <v>453</v>
      </c>
    </row>
    <row r="40" spans="1:8" x14ac:dyDescent="0.25">
      <c r="A40" s="210" t="s">
        <v>412</v>
      </c>
    </row>
    <row r="41" spans="1:8" x14ac:dyDescent="0.25">
      <c r="A41" s="210" t="s">
        <v>419</v>
      </c>
    </row>
  </sheetData>
  <mergeCells count="60">
    <mergeCell ref="A24:A25"/>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F3:H3"/>
    <mergeCell ref="F4:F6"/>
    <mergeCell ref="G4:G6"/>
    <mergeCell ref="H4:H6"/>
    <mergeCell ref="H9:H10"/>
    <mergeCell ref="A4:A6"/>
    <mergeCell ref="B4:B6"/>
    <mergeCell ref="C4:C6"/>
    <mergeCell ref="D4:D6"/>
    <mergeCell ref="E4:E6"/>
    <mergeCell ref="A9:A10"/>
    <mergeCell ref="F18:H18"/>
    <mergeCell ref="A19:A21"/>
    <mergeCell ref="B19:B21"/>
    <mergeCell ref="C19:C21"/>
    <mergeCell ref="D19:D21"/>
    <mergeCell ref="E19:E21"/>
    <mergeCell ref="F19:F21"/>
    <mergeCell ref="G19:G21"/>
    <mergeCell ref="H19:H21"/>
    <mergeCell ref="D9:D10"/>
    <mergeCell ref="E9:E10"/>
    <mergeCell ref="F9:F10"/>
    <mergeCell ref="G9:G10"/>
    <mergeCell ref="J19:J21"/>
    <mergeCell ref="A22:A23"/>
    <mergeCell ref="B22:B23"/>
    <mergeCell ref="C22:C23"/>
    <mergeCell ref="D22:D23"/>
    <mergeCell ref="E22:E23"/>
    <mergeCell ref="F22:F23"/>
    <mergeCell ref="G22:G23"/>
    <mergeCell ref="H22:H23"/>
    <mergeCell ref="J22:J23"/>
    <mergeCell ref="F34:H34"/>
    <mergeCell ref="G24:G25"/>
    <mergeCell ref="H24:H25"/>
    <mergeCell ref="J24:J25"/>
    <mergeCell ref="B31:J31"/>
    <mergeCell ref="B24:B25"/>
    <mergeCell ref="C24:C25"/>
    <mergeCell ref="D24:D25"/>
    <mergeCell ref="E24:E25"/>
    <mergeCell ref="F24:F25"/>
  </mergeCells>
  <phoneticPr fontId="2" type="noConversion"/>
  <conditionalFormatting sqref="J4:J15">
    <cfRule type="cellIs" dxfId="21" priority="3" operator="lessThan">
      <formula>0</formula>
    </cfRule>
    <cfRule type="cellIs" dxfId="20" priority="4" operator="greaterThan">
      <formula>0</formula>
    </cfRule>
  </conditionalFormatting>
  <conditionalFormatting sqref="J19:J30">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6"/>
  <sheetViews>
    <sheetView rightToLeft="1" zoomScale="110" zoomScaleNormal="110" workbookViewId="0">
      <selection activeCell="A24" sqref="A24:H26"/>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12" t="s">
        <v>22</v>
      </c>
    </row>
    <row r="2" spans="1:10" ht="17.25" thickTop="1" x14ac:dyDescent="0.25">
      <c r="A2" s="124" t="s">
        <v>392</v>
      </c>
    </row>
    <row r="3" spans="1:10" s="38" customFormat="1" ht="17.25" thickBot="1" x14ac:dyDescent="0.3">
      <c r="A3" s="124"/>
    </row>
    <row r="4" spans="1:10" s="38" customFormat="1" ht="60.75" customHeight="1" thickBot="1" x14ac:dyDescent="0.25">
      <c r="A4" s="103" t="s">
        <v>0</v>
      </c>
      <c r="B4" s="86" t="s">
        <v>469</v>
      </c>
      <c r="C4" s="40" t="str">
        <f>'הכשרה - קרן י'!$C$3</f>
        <v>מדיניות השקעות 2025</v>
      </c>
      <c r="D4" s="39" t="str">
        <f>'הכשרה - קרן י'!$D$3</f>
        <v>שיעור חשיפה מומלץ לשנת 2026</v>
      </c>
      <c r="E4" s="88" t="s">
        <v>1</v>
      </c>
      <c r="F4" s="388" t="s">
        <v>380</v>
      </c>
      <c r="G4" s="388"/>
      <c r="H4" s="389"/>
      <c r="I4" s="105" t="s">
        <v>2</v>
      </c>
      <c r="J4" s="101" t="str">
        <f>'הכשרה - קרן י'!$J$3</f>
        <v>שינוי ממדיניות 2025</v>
      </c>
    </row>
    <row r="5" spans="1:10" s="38" customFormat="1" x14ac:dyDescent="0.2">
      <c r="A5" s="429" t="s">
        <v>389</v>
      </c>
      <c r="B5" s="471">
        <f>(91.25%+91.44%+96.31%+94.7%+96.1%+94.22%)/6</f>
        <v>0.94003333333333339</v>
      </c>
      <c r="C5" s="479">
        <v>0.94</v>
      </c>
      <c r="D5" s="454">
        <v>0.94</v>
      </c>
      <c r="E5" s="456" t="s">
        <v>5</v>
      </c>
      <c r="F5" s="390">
        <f>D5+6%</f>
        <v>1</v>
      </c>
      <c r="G5" s="392" t="s">
        <v>395</v>
      </c>
      <c r="H5" s="401">
        <f>IF(D5-6%&lt;0%,0%,D5-6%)</f>
        <v>0.87999999999999989</v>
      </c>
      <c r="I5" s="142" t="s">
        <v>458</v>
      </c>
      <c r="J5" s="449">
        <f>D5-C5</f>
        <v>0</v>
      </c>
    </row>
    <row r="6" spans="1:10" s="38" customFormat="1" x14ac:dyDescent="0.2">
      <c r="A6" s="430"/>
      <c r="B6" s="472"/>
      <c r="C6" s="452"/>
      <c r="D6" s="454"/>
      <c r="E6" s="457"/>
      <c r="F6" s="391"/>
      <c r="G6" s="393"/>
      <c r="H6" s="402"/>
      <c r="I6" s="28" t="s">
        <v>459</v>
      </c>
      <c r="J6" s="448"/>
    </row>
    <row r="7" spans="1:10" s="38" customFormat="1" ht="15" thickBot="1" x14ac:dyDescent="0.25">
      <c r="A7" s="359"/>
      <c r="B7" s="473"/>
      <c r="C7" s="453"/>
      <c r="D7" s="455"/>
      <c r="E7" s="457"/>
      <c r="F7" s="384"/>
      <c r="G7" s="387"/>
      <c r="H7" s="403"/>
      <c r="I7" s="42"/>
      <c r="J7" s="444"/>
    </row>
    <row r="8" spans="1:10" s="38" customFormat="1" ht="17.25" customHeight="1" x14ac:dyDescent="0.2">
      <c r="A8" s="435" t="s">
        <v>390</v>
      </c>
      <c r="B8" s="471">
        <f>(5.28%+4.19%+10.12%+1.09%+9.77%+3.1%)/6</f>
        <v>5.591666666666667E-2</v>
      </c>
      <c r="C8" s="480">
        <v>0.06</v>
      </c>
      <c r="D8" s="481">
        <v>0.06</v>
      </c>
      <c r="E8" s="460" t="s">
        <v>6</v>
      </c>
      <c r="F8" s="394">
        <f>D8+5%</f>
        <v>0.11</v>
      </c>
      <c r="G8" s="396" t="s">
        <v>395</v>
      </c>
      <c r="H8" s="409">
        <f>IF(D8-5%&lt;0%,0%,D8-5%)</f>
        <v>9.999999999999995E-3</v>
      </c>
      <c r="I8" s="202" t="s">
        <v>14</v>
      </c>
      <c r="J8" s="482">
        <f>D8-C8</f>
        <v>0</v>
      </c>
    </row>
    <row r="9" spans="1:10" s="38" customFormat="1" ht="17.25" customHeight="1" x14ac:dyDescent="0.2">
      <c r="A9" s="436"/>
      <c r="B9" s="472"/>
      <c r="C9" s="459"/>
      <c r="D9" s="451"/>
      <c r="E9" s="460"/>
      <c r="F9" s="395"/>
      <c r="G9" s="397"/>
      <c r="H9" s="410"/>
      <c r="I9" s="42" t="s">
        <v>15</v>
      </c>
      <c r="J9" s="444"/>
    </row>
    <row r="10" spans="1:10" s="38" customFormat="1" x14ac:dyDescent="0.2">
      <c r="A10" s="439" t="s">
        <v>388</v>
      </c>
      <c r="B10" s="474">
        <f>(0%+0.1%+4%+6.7%+1.6%+0%)/6</f>
        <v>2.066666666666667E-2</v>
      </c>
      <c r="C10" s="480">
        <v>0.04</v>
      </c>
      <c r="D10" s="481">
        <v>0.04</v>
      </c>
      <c r="E10" s="366" t="s">
        <v>5</v>
      </c>
      <c r="F10" s="383">
        <f>D10+6%</f>
        <v>0.1</v>
      </c>
      <c r="G10" s="386" t="s">
        <v>395</v>
      </c>
      <c r="H10" s="381">
        <f>IF(D10-6%&lt;0%,0%,D10-6%)</f>
        <v>0</v>
      </c>
      <c r="I10" s="202" t="s">
        <v>16</v>
      </c>
      <c r="J10" s="482">
        <f>D10-C10</f>
        <v>0</v>
      </c>
    </row>
    <row r="11" spans="1:10" s="38" customFormat="1" x14ac:dyDescent="0.2">
      <c r="A11" s="359"/>
      <c r="B11" s="475"/>
      <c r="C11" s="459"/>
      <c r="D11" s="451"/>
      <c r="E11" s="366"/>
      <c r="F11" s="384"/>
      <c r="G11" s="387"/>
      <c r="H11" s="382"/>
      <c r="I11" s="44" t="s">
        <v>17</v>
      </c>
      <c r="J11" s="444"/>
    </row>
    <row r="12" spans="1:10" s="38" customFormat="1" ht="15" x14ac:dyDescent="0.2">
      <c r="A12" s="198" t="s">
        <v>387</v>
      </c>
      <c r="B12" s="318">
        <f>(0%+0%+0%+0.45%+0%+4.5%)/6</f>
        <v>8.2500000000000004E-3</v>
      </c>
      <c r="C12" s="207">
        <v>0.05</v>
      </c>
      <c r="D12" s="268">
        <v>0.05</v>
      </c>
      <c r="E12" s="199" t="s">
        <v>6</v>
      </c>
      <c r="F12" s="163">
        <f>D12+5%</f>
        <v>0.1</v>
      </c>
      <c r="G12" s="159" t="s">
        <v>395</v>
      </c>
      <c r="H12" s="164">
        <f>IF(D12-5%&lt;0%,0%,D12-5%)</f>
        <v>0</v>
      </c>
      <c r="I12" s="47" t="s">
        <v>385</v>
      </c>
      <c r="J12" s="211">
        <f>D12-C12</f>
        <v>0</v>
      </c>
    </row>
    <row r="13" spans="1:10" s="38" customFormat="1" ht="15" x14ac:dyDescent="0.2">
      <c r="A13" s="198" t="s">
        <v>403</v>
      </c>
      <c r="B13" s="318">
        <f>(0%+0%+0%+0%+0%+0.18%)/6</f>
        <v>2.9999999999999997E-4</v>
      </c>
      <c r="C13" s="207">
        <v>0.01</v>
      </c>
      <c r="D13" s="268">
        <v>0.01</v>
      </c>
      <c r="E13" s="199" t="s">
        <v>6</v>
      </c>
      <c r="F13" s="163">
        <f>D13+5%</f>
        <v>6.0000000000000005E-2</v>
      </c>
      <c r="G13" s="159" t="s">
        <v>395</v>
      </c>
      <c r="H13" s="164">
        <f>IF(D13-5%&lt;0%,0%,D13-5%)</f>
        <v>0</v>
      </c>
      <c r="I13" s="61" t="s">
        <v>383</v>
      </c>
      <c r="J13" s="149">
        <f>D13-C13</f>
        <v>0</v>
      </c>
    </row>
    <row r="14" spans="1:10" s="38" customFormat="1" ht="15.75" thickBot="1" x14ac:dyDescent="0.25">
      <c r="A14" s="79" t="s">
        <v>404</v>
      </c>
      <c r="B14" s="181">
        <f>(12.46%+9.62%+7.58%+4.95%+11.64%+12.88%)/6</f>
        <v>9.8549999999999985E-2</v>
      </c>
      <c r="C14" s="208">
        <v>0.1</v>
      </c>
      <c r="D14" s="269">
        <v>7.0000000000000007E-2</v>
      </c>
      <c r="E14" s="203" t="s">
        <v>6</v>
      </c>
      <c r="F14" s="197">
        <f>D14+5%</f>
        <v>0.12000000000000001</v>
      </c>
      <c r="G14" s="195" t="s">
        <v>395</v>
      </c>
      <c r="H14" s="196">
        <f>IF(D14-5%&lt;0%,0%,D14-5%)</f>
        <v>2.0000000000000004E-2</v>
      </c>
      <c r="I14" s="51" t="s">
        <v>12</v>
      </c>
      <c r="J14" s="204">
        <f>D14-C14</f>
        <v>-0.03</v>
      </c>
    </row>
    <row r="15" spans="1:10" s="38" customFormat="1" ht="15.75" thickBot="1" x14ac:dyDescent="0.25">
      <c r="A15" s="78" t="s">
        <v>3</v>
      </c>
      <c r="B15" s="80">
        <f>SUM(B5:B14)</f>
        <v>1.1237166666666667</v>
      </c>
      <c r="C15" s="84">
        <f>SUM(C5:C14)</f>
        <v>1.2000000000000002</v>
      </c>
      <c r="D15" s="250">
        <f>SUM(D5:D14)</f>
        <v>1.1700000000000002</v>
      </c>
      <c r="E15" s="35"/>
      <c r="F15" s="167"/>
      <c r="G15" s="160"/>
      <c r="H15" s="168"/>
      <c r="I15" s="55"/>
      <c r="J15" s="34">
        <f>SUM(J5:J14)</f>
        <v>-0.03</v>
      </c>
    </row>
    <row r="16" spans="1:10" s="38" customFormat="1" ht="15.75" thickBot="1" x14ac:dyDescent="0.25">
      <c r="A16" s="79" t="s">
        <v>4</v>
      </c>
      <c r="B16" s="182">
        <f>(32.8%+31.95%+32.75%+32.19%+32.48%+31.99%)/6</f>
        <v>0.32359999999999994</v>
      </c>
      <c r="C16" s="32">
        <v>0.38</v>
      </c>
      <c r="D16" s="251">
        <v>0.38</v>
      </c>
      <c r="E16" s="58" t="s">
        <v>5</v>
      </c>
      <c r="F16" s="169">
        <f>D16+6%</f>
        <v>0.44</v>
      </c>
      <c r="G16" s="201" t="s">
        <v>395</v>
      </c>
      <c r="H16" s="170">
        <f>IF(D16-6%&lt;0%,0%,D16-6%)</f>
        <v>0.32</v>
      </c>
      <c r="I16" s="33" t="s">
        <v>457</v>
      </c>
      <c r="J16" s="36">
        <f>D16-C16</f>
        <v>0</v>
      </c>
    </row>
    <row r="17" spans="1:10" s="38" customFormat="1" ht="15" thickBot="1" x14ac:dyDescent="0.25">
      <c r="A17" s="152" t="str">
        <f>'הכשרה - קרן י'!$A$17</f>
        <v>מגבלת עמלת ניהול חיצוני לשנת 2026</v>
      </c>
      <c r="B17" s="398">
        <v>2.5000000000000001E-3</v>
      </c>
      <c r="C17" s="399"/>
      <c r="D17" s="399"/>
      <c r="E17" s="399"/>
      <c r="F17" s="399"/>
      <c r="G17" s="399"/>
      <c r="H17" s="399"/>
      <c r="I17" s="399"/>
      <c r="J17" s="400"/>
    </row>
    <row r="18" spans="1:10" ht="15.75" x14ac:dyDescent="0.25">
      <c r="A18" s="9"/>
    </row>
    <row r="19" spans="1:10" ht="15" x14ac:dyDescent="0.25">
      <c r="A19" s="210" t="s">
        <v>13</v>
      </c>
    </row>
    <row r="20" spans="1:10" ht="15" x14ac:dyDescent="0.25">
      <c r="A20" s="210" t="s">
        <v>454</v>
      </c>
    </row>
    <row r="21" spans="1:10" ht="15" x14ac:dyDescent="0.25">
      <c r="A21" s="210" t="s">
        <v>412</v>
      </c>
    </row>
    <row r="22" spans="1:10" ht="15" x14ac:dyDescent="0.25">
      <c r="A22" s="210" t="s">
        <v>455</v>
      </c>
    </row>
    <row r="24" spans="1:10" ht="15" x14ac:dyDescent="0.25">
      <c r="A24" s="321" t="s">
        <v>509</v>
      </c>
      <c r="B24" s="25"/>
      <c r="C24" s="322"/>
      <c r="D24" s="38"/>
      <c r="E24" s="26"/>
      <c r="F24" s="38"/>
      <c r="G24" s="38"/>
      <c r="H24" s="38"/>
    </row>
    <row r="25" spans="1:10" ht="45" x14ac:dyDescent="0.2">
      <c r="A25" s="351" t="s">
        <v>0</v>
      </c>
      <c r="B25" s="351" t="s">
        <v>479</v>
      </c>
      <c r="C25" s="351" t="s">
        <v>510</v>
      </c>
      <c r="D25" s="351" t="s">
        <v>480</v>
      </c>
      <c r="E25" s="323" t="s">
        <v>1</v>
      </c>
      <c r="F25" s="385" t="s">
        <v>380</v>
      </c>
      <c r="G25" s="385"/>
      <c r="H25" s="385"/>
    </row>
    <row r="26" spans="1:10" ht="15" x14ac:dyDescent="0.2">
      <c r="A26" s="349" t="s">
        <v>4</v>
      </c>
      <c r="B26" s="325">
        <v>0.38</v>
      </c>
      <c r="C26" s="350">
        <v>0.32</v>
      </c>
      <c r="D26" s="350">
        <f t="shared" ref="D26" si="0">C26-B26</f>
        <v>-0.06</v>
      </c>
      <c r="E26" s="346" t="s">
        <v>5</v>
      </c>
      <c r="F26" s="352">
        <f t="shared" ref="F26" si="1">C26+6%</f>
        <v>0.38</v>
      </c>
      <c r="G26" s="353" t="s">
        <v>395</v>
      </c>
      <c r="H26" s="354">
        <f t="shared" ref="H26" si="2">IF(C26-6%&lt;0%,0%,C26-6%)</f>
        <v>0.26</v>
      </c>
    </row>
  </sheetData>
  <mergeCells count="30">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 ref="F25:H25"/>
    <mergeCell ref="F10:F11"/>
    <mergeCell ref="G10:G11"/>
    <mergeCell ref="F4:H4"/>
    <mergeCell ref="A5:A7"/>
    <mergeCell ref="B5:B7"/>
    <mergeCell ref="C5:C7"/>
    <mergeCell ref="D5:D7"/>
    <mergeCell ref="E5:E7"/>
    <mergeCell ref="F5:F7"/>
    <mergeCell ref="G5:G7"/>
    <mergeCell ref="H5:H7"/>
    <mergeCell ref="H10:H11"/>
    <mergeCell ref="A10:A11"/>
  </mergeCells>
  <phoneticPr fontId="2" type="noConversion"/>
  <conditionalFormatting sqref="J5:J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13" sqref="H13"/>
    </sheetView>
  </sheetViews>
  <sheetFormatPr defaultColWidth="9" defaultRowHeight="16.5" x14ac:dyDescent="0.25"/>
  <cols>
    <col min="1" max="1" width="29" style="125" customWidth="1"/>
    <col min="2" max="2" width="14.75" style="125" bestFit="1" customWidth="1"/>
    <col min="3" max="3" width="14.625" style="125" bestFit="1" customWidth="1"/>
    <col min="4" max="5" width="13.5" style="125" customWidth="1"/>
    <col min="6" max="6" width="5.5" style="125" bestFit="1" customWidth="1"/>
    <col min="7" max="7" width="1.5" style="125" bestFit="1" customWidth="1"/>
    <col min="8" max="8" width="5.75" style="125" customWidth="1"/>
    <col min="9" max="9" width="28.25" style="125" bestFit="1" customWidth="1"/>
    <col min="10" max="10" width="16.5" style="125" bestFit="1" customWidth="1"/>
    <col min="11" max="16384" width="9" style="125"/>
  </cols>
  <sheetData>
    <row r="1" spans="1:10" ht="17.25" thickBot="1" x14ac:dyDescent="0.3">
      <c r="A1" s="107" t="s">
        <v>441</v>
      </c>
      <c r="B1" s="184"/>
      <c r="C1" s="184"/>
    </row>
    <row r="2" spans="1:10" ht="18" thickTop="1" thickBot="1" x14ac:dyDescent="0.3"/>
    <row r="3" spans="1:10" ht="45.75" customHeight="1" thickBot="1" x14ac:dyDescent="0.3">
      <c r="A3" s="185" t="s">
        <v>24</v>
      </c>
      <c r="B3" s="86" t="str">
        <f>'הכשרה - קרן י'!$B$3</f>
        <v>שיעור חשיפה ליום 16/11/25</v>
      </c>
      <c r="C3" s="40" t="str">
        <f>'הכשרה - קרן י'!$C$3</f>
        <v>מדיניות השקעות 2025</v>
      </c>
      <c r="D3" s="39" t="str">
        <f>'הכשרה - קרן י'!$D$3</f>
        <v>שיעור חשיפה מומלץ לשנת 2026</v>
      </c>
      <c r="E3" s="88" t="s">
        <v>1</v>
      </c>
      <c r="F3" s="388" t="s">
        <v>380</v>
      </c>
      <c r="G3" s="388"/>
      <c r="H3" s="389"/>
      <c r="I3" s="105" t="s">
        <v>2</v>
      </c>
      <c r="J3" s="101" t="str">
        <f>'הכשרה - קרן י'!$J$3</f>
        <v>שינוי ממדיניות 2025</v>
      </c>
    </row>
    <row r="4" spans="1:10" ht="17.25" thickBot="1" x14ac:dyDescent="0.3">
      <c r="A4" s="229" t="s">
        <v>42</v>
      </c>
      <c r="B4" s="230">
        <v>0.99180000000000001</v>
      </c>
      <c r="C4" s="228">
        <v>1</v>
      </c>
      <c r="D4" s="271">
        <v>1</v>
      </c>
      <c r="E4" s="223" t="s">
        <v>5</v>
      </c>
      <c r="F4" s="224">
        <f>D4</f>
        <v>1</v>
      </c>
      <c r="G4" s="225" t="s">
        <v>395</v>
      </c>
      <c r="H4" s="226">
        <f>IF(D4-6%&lt;0%,0%,D4-6%)</f>
        <v>0.94</v>
      </c>
      <c r="I4" s="192" t="s">
        <v>442</v>
      </c>
      <c r="J4" s="227">
        <f>D4-C4</f>
        <v>0</v>
      </c>
    </row>
    <row r="5" spans="1:10" s="38" customFormat="1" ht="15.75" thickBot="1" x14ac:dyDescent="0.25">
      <c r="A5" s="78" t="s">
        <v>3</v>
      </c>
      <c r="B5" s="80">
        <f>SUM(B4)</f>
        <v>0.99180000000000001</v>
      </c>
      <c r="C5" s="84">
        <f>SUM(C4)</f>
        <v>1</v>
      </c>
      <c r="D5" s="272">
        <f>SUM(D4)</f>
        <v>1</v>
      </c>
      <c r="E5" s="189"/>
      <c r="F5" s="186"/>
      <c r="G5" s="160"/>
      <c r="H5" s="56"/>
      <c r="I5" s="193"/>
      <c r="J5" s="56">
        <f>SUM(J4)</f>
        <v>0</v>
      </c>
    </row>
    <row r="6" spans="1:10" ht="17.25" thickBot="1" x14ac:dyDescent="0.3">
      <c r="A6" s="79" t="s">
        <v>4</v>
      </c>
      <c r="B6" s="182">
        <v>1.0025999999999999</v>
      </c>
      <c r="C6" s="32">
        <v>1</v>
      </c>
      <c r="D6" s="273">
        <v>1</v>
      </c>
      <c r="E6" s="190" t="s">
        <v>5</v>
      </c>
      <c r="F6" s="187">
        <f>D6+6%</f>
        <v>1.06</v>
      </c>
      <c r="G6" s="161" t="s">
        <v>395</v>
      </c>
      <c r="H6" s="188">
        <f>IF(D6-6%&lt;0%,0%,D6-6%)</f>
        <v>0.94</v>
      </c>
      <c r="I6" s="194" t="s">
        <v>396</v>
      </c>
      <c r="J6" s="191">
        <f>D6-C6</f>
        <v>0</v>
      </c>
    </row>
    <row r="7" spans="1:10" ht="17.25" thickBot="1" x14ac:dyDescent="0.3">
      <c r="A7" s="152" t="str">
        <f>'הכשרה - קרן י'!$A$17</f>
        <v>מגבלת עמלת ניהול חיצוני לשנת 2026</v>
      </c>
      <c r="B7" s="398">
        <v>1E-3</v>
      </c>
      <c r="C7" s="399"/>
      <c r="D7" s="399">
        <v>2.5000000000000001E-3</v>
      </c>
      <c r="E7" s="399"/>
      <c r="F7" s="399"/>
      <c r="G7" s="399"/>
      <c r="H7" s="399"/>
      <c r="I7" s="399"/>
      <c r="J7" s="400"/>
    </row>
    <row r="8" spans="1:10" x14ac:dyDescent="0.25">
      <c r="I8" s="126"/>
    </row>
    <row r="9" spans="1:10" x14ac:dyDescent="0.25">
      <c r="A9" s="231" t="s">
        <v>445</v>
      </c>
      <c r="B9" s="153"/>
      <c r="C9" s="153"/>
      <c r="D9" s="153"/>
      <c r="E9" s="153"/>
      <c r="F9" s="153"/>
      <c r="G9" s="153"/>
      <c r="H9" s="153"/>
      <c r="I9" s="153"/>
    </row>
    <row r="10" spans="1:10" x14ac:dyDescent="0.25">
      <c r="A10" s="231" t="s">
        <v>446</v>
      </c>
      <c r="B10" s="153"/>
      <c r="C10" s="153"/>
      <c r="D10" s="153"/>
      <c r="E10" s="153"/>
      <c r="F10" s="153"/>
      <c r="G10" s="153"/>
      <c r="H10" s="153"/>
      <c r="I10" s="153"/>
    </row>
    <row r="11" spans="1:10" x14ac:dyDescent="0.25">
      <c r="A11" s="231" t="s">
        <v>430</v>
      </c>
      <c r="B11" s="153"/>
      <c r="C11" s="153"/>
      <c r="D11" s="153"/>
      <c r="E11" s="153"/>
      <c r="F11" s="153"/>
      <c r="G11" s="153"/>
      <c r="H11" s="153"/>
      <c r="I11" s="153"/>
    </row>
    <row r="12" spans="1:10" x14ac:dyDescent="0.25">
      <c r="A12" s="231" t="s">
        <v>444</v>
      </c>
    </row>
    <row r="13" spans="1:10" x14ac:dyDescent="0.25">
      <c r="A13" s="231" t="s">
        <v>447</v>
      </c>
      <c r="B13" s="154"/>
      <c r="C13" s="154"/>
    </row>
    <row r="14" spans="1:10" x14ac:dyDescent="0.25">
      <c r="A14" s="231" t="s">
        <v>436</v>
      </c>
    </row>
    <row r="15" spans="1:10" x14ac:dyDescent="0.25">
      <c r="A15" s="231" t="s">
        <v>448</v>
      </c>
    </row>
    <row r="16" spans="1:10" x14ac:dyDescent="0.25">
      <c r="A16" s="231" t="s">
        <v>449</v>
      </c>
    </row>
    <row r="17" spans="1:1" x14ac:dyDescent="0.25">
      <c r="A17" s="231" t="s">
        <v>439</v>
      </c>
    </row>
    <row r="18" spans="1:1" x14ac:dyDescent="0.25">
      <c r="A18" s="231" t="s">
        <v>440</v>
      </c>
    </row>
    <row r="19" spans="1:1" x14ac:dyDescent="0.25">
      <c r="A19" s="231" t="s">
        <v>443</v>
      </c>
    </row>
  </sheetData>
  <mergeCells count="2">
    <mergeCell ref="F3:H3"/>
    <mergeCell ref="B7:J7"/>
  </mergeCells>
  <conditionalFormatting sqref="J5">
    <cfRule type="cellIs" dxfId="15" priority="3" operator="lessThan">
      <formula>0</formula>
    </cfRule>
    <cfRule type="cellIs" dxfId="14" priority="4" operator="greaterThan">
      <formula>0</formula>
    </cfRule>
  </conditionalFormatting>
  <conditionalFormatting sqref="J6">
    <cfRule type="cellIs" dxfId="13" priority="1" operator="lessThan">
      <formula>0</formula>
    </cfRule>
    <cfRule type="cellIs" dxfId="12" priority="2" operator="greaterThan">
      <formula>0</formula>
    </cfRule>
  </conditionalFormatting>
  <pageMargins left="0.7" right="0.7" top="0.75" bottom="0.75" header="0.3" footer="0.3"/>
  <pageSetup paperSize="9" scale="8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101"/>
  <sheetViews>
    <sheetView rightToLeft="1" zoomScale="90" zoomScaleNormal="90" zoomScaleSheetLayoutView="85" workbookViewId="0">
      <selection activeCell="B19" sqref="B19:I24"/>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502" t="s">
        <v>472</v>
      </c>
      <c r="C2" s="503"/>
      <c r="D2" s="503"/>
      <c r="E2" s="503"/>
      <c r="F2" s="503"/>
      <c r="G2" s="503"/>
      <c r="H2" s="503"/>
      <c r="I2" s="503"/>
      <c r="J2" s="503"/>
      <c r="K2" s="504"/>
    </row>
    <row r="3" spans="2:11" s="12" customFormat="1" ht="14.25" customHeight="1" thickBot="1" x14ac:dyDescent="0.25">
      <c r="B3" s="505"/>
      <c r="C3" s="506"/>
      <c r="D3" s="506"/>
      <c r="E3" s="506"/>
      <c r="F3" s="506"/>
      <c r="G3" s="506"/>
      <c r="H3" s="506"/>
      <c r="I3" s="506"/>
      <c r="J3" s="506"/>
      <c r="K3" s="507"/>
    </row>
    <row r="4" spans="2:11" s="12" customFormat="1" ht="30.75" thickBot="1" x14ac:dyDescent="0.25">
      <c r="B4" s="116" t="s">
        <v>0</v>
      </c>
      <c r="C4" s="111" t="s">
        <v>465</v>
      </c>
      <c r="D4" s="40" t="s">
        <v>466</v>
      </c>
      <c r="E4" s="39" t="s">
        <v>467</v>
      </c>
      <c r="F4" s="41" t="s">
        <v>1</v>
      </c>
      <c r="G4" s="388" t="s">
        <v>380</v>
      </c>
      <c r="H4" s="388"/>
      <c r="I4" s="389"/>
      <c r="J4" s="104" t="s">
        <v>2</v>
      </c>
      <c r="K4" s="106" t="s">
        <v>477</v>
      </c>
    </row>
    <row r="5" spans="2:11" s="12" customFormat="1" ht="14.25" customHeight="1" x14ac:dyDescent="0.2">
      <c r="B5" s="255" t="s">
        <v>389</v>
      </c>
      <c r="C5" s="510">
        <v>0.44900000000000001</v>
      </c>
      <c r="D5" s="512">
        <v>0.46</v>
      </c>
      <c r="E5" s="528">
        <v>0.44</v>
      </c>
      <c r="F5" s="530" t="s">
        <v>5</v>
      </c>
      <c r="G5" s="390">
        <f>E5+6%</f>
        <v>0.5</v>
      </c>
      <c r="H5" s="392" t="s">
        <v>395</v>
      </c>
      <c r="I5" s="401">
        <f>IF(E5-6%&lt;0%,0%,E5-6%)</f>
        <v>0.38</v>
      </c>
      <c r="J5" s="142" t="s">
        <v>458</v>
      </c>
      <c r="K5" s="522">
        <f>E5-D5</f>
        <v>-2.0000000000000018E-2</v>
      </c>
    </row>
    <row r="6" spans="2:11" s="12" customFormat="1" ht="14.25" customHeight="1" x14ac:dyDescent="0.2">
      <c r="B6" s="255"/>
      <c r="C6" s="510"/>
      <c r="D6" s="513"/>
      <c r="E6" s="529"/>
      <c r="F6" s="431"/>
      <c r="G6" s="391"/>
      <c r="H6" s="393"/>
      <c r="I6" s="402"/>
      <c r="J6" s="28" t="s">
        <v>459</v>
      </c>
      <c r="K6" s="522"/>
    </row>
    <row r="7" spans="2:11" s="12" customFormat="1" ht="14.25" customHeight="1" x14ac:dyDescent="0.2">
      <c r="B7" s="252"/>
      <c r="C7" s="511"/>
      <c r="D7" s="499"/>
      <c r="E7" s="516"/>
      <c r="F7" s="432"/>
      <c r="G7" s="384"/>
      <c r="H7" s="387"/>
      <c r="I7" s="403"/>
      <c r="J7" s="42"/>
      <c r="K7" s="523"/>
    </row>
    <row r="8" spans="2:11" s="12" customFormat="1" ht="14.25" customHeight="1" x14ac:dyDescent="0.2">
      <c r="B8" s="435" t="s">
        <v>390</v>
      </c>
      <c r="C8" s="520">
        <v>0.44380000000000003</v>
      </c>
      <c r="D8" s="514">
        <v>0.44</v>
      </c>
      <c r="E8" s="515">
        <v>0.46</v>
      </c>
      <c r="F8" s="433" t="s">
        <v>6</v>
      </c>
      <c r="G8" s="394">
        <f>E8+5%</f>
        <v>0.51</v>
      </c>
      <c r="H8" s="396" t="s">
        <v>395</v>
      </c>
      <c r="I8" s="409">
        <f>IF(E8-5%&lt;0%,0%,E8-5%)</f>
        <v>0.41000000000000003</v>
      </c>
      <c r="J8" s="43" t="s">
        <v>14</v>
      </c>
      <c r="K8" s="524">
        <f>E8-D8</f>
        <v>2.0000000000000018E-2</v>
      </c>
    </row>
    <row r="9" spans="2:11" s="12" customFormat="1" ht="14.25" customHeight="1" x14ac:dyDescent="0.2">
      <c r="B9" s="436"/>
      <c r="C9" s="521"/>
      <c r="D9" s="499"/>
      <c r="E9" s="516"/>
      <c r="F9" s="434"/>
      <c r="G9" s="395"/>
      <c r="H9" s="397"/>
      <c r="I9" s="410"/>
      <c r="J9" s="42" t="s">
        <v>15</v>
      </c>
      <c r="K9" s="523"/>
    </row>
    <row r="10" spans="2:11" s="12" customFormat="1" ht="14.25" customHeight="1" x14ac:dyDescent="0.2">
      <c r="B10" s="439" t="s">
        <v>388</v>
      </c>
      <c r="C10" s="518">
        <v>0.11810000000000001</v>
      </c>
      <c r="D10" s="514">
        <v>0.13</v>
      </c>
      <c r="E10" s="515">
        <v>0.12</v>
      </c>
      <c r="F10" s="442" t="s">
        <v>5</v>
      </c>
      <c r="G10" s="383">
        <f>E10+6%</f>
        <v>0.18</v>
      </c>
      <c r="H10" s="386" t="s">
        <v>395</v>
      </c>
      <c r="I10" s="381">
        <f>IF(E10-6%&lt;0%,0%,E10-6%)</f>
        <v>0.06</v>
      </c>
      <c r="J10" s="43" t="s">
        <v>16</v>
      </c>
      <c r="K10" s="526">
        <f>E10-D10</f>
        <v>-1.0000000000000009E-2</v>
      </c>
    </row>
    <row r="11" spans="2:11" s="12" customFormat="1" ht="14.25" customHeight="1" x14ac:dyDescent="0.2">
      <c r="B11" s="359"/>
      <c r="C11" s="519"/>
      <c r="D11" s="499"/>
      <c r="E11" s="516"/>
      <c r="F11" s="432"/>
      <c r="G11" s="384"/>
      <c r="H11" s="387"/>
      <c r="I11" s="382"/>
      <c r="J11" s="44" t="s">
        <v>17</v>
      </c>
      <c r="K11" s="527"/>
    </row>
    <row r="12" spans="2:11" s="12" customFormat="1" x14ac:dyDescent="0.2">
      <c r="B12" s="109" t="s">
        <v>387</v>
      </c>
      <c r="C12" s="112">
        <v>0</v>
      </c>
      <c r="D12" s="45">
        <v>0</v>
      </c>
      <c r="E12" s="240">
        <v>0</v>
      </c>
      <c r="F12" s="46" t="s">
        <v>6</v>
      </c>
      <c r="G12" s="163">
        <f>E12+5%</f>
        <v>0.05</v>
      </c>
      <c r="H12" s="159" t="s">
        <v>395</v>
      </c>
      <c r="I12" s="164">
        <f>IF(E12-5%&lt;0%,0%,E12-5%)</f>
        <v>0</v>
      </c>
      <c r="J12" s="47" t="s">
        <v>385</v>
      </c>
      <c r="K12" s="48">
        <f>E12-D12</f>
        <v>0</v>
      </c>
    </row>
    <row r="13" spans="2:11" s="38" customFormat="1" x14ac:dyDescent="0.2">
      <c r="B13" s="109" t="s">
        <v>381</v>
      </c>
      <c r="C13" s="112">
        <v>2.8300000000000002E-2</v>
      </c>
      <c r="D13" s="45">
        <v>0.01</v>
      </c>
      <c r="E13" s="240">
        <v>0.01</v>
      </c>
      <c r="F13" s="46" t="s">
        <v>6</v>
      </c>
      <c r="G13" s="163">
        <f>E13+5%</f>
        <v>6.0000000000000005E-2</v>
      </c>
      <c r="H13" s="159" t="s">
        <v>395</v>
      </c>
      <c r="I13" s="164">
        <f>IF(E13-5%&lt;0%,0%,E13-5%)</f>
        <v>0</v>
      </c>
      <c r="J13" s="63" t="s">
        <v>383</v>
      </c>
      <c r="K13" s="48">
        <f>E13-D13</f>
        <v>0</v>
      </c>
    </row>
    <row r="14" spans="2:11" s="12" customFormat="1" ht="15.75" thickBot="1" x14ac:dyDescent="0.25">
      <c r="B14" s="117" t="s">
        <v>386</v>
      </c>
      <c r="C14" s="113">
        <v>9.6000000000000002E-2</v>
      </c>
      <c r="D14" s="45">
        <v>0.09</v>
      </c>
      <c r="E14" s="241">
        <v>0.09</v>
      </c>
      <c r="F14" s="50" t="s">
        <v>6</v>
      </c>
      <c r="G14" s="165">
        <f>E14+5%</f>
        <v>0.14000000000000001</v>
      </c>
      <c r="H14" s="158" t="s">
        <v>395</v>
      </c>
      <c r="I14" s="166">
        <f>IF(E14-5%&lt;0%,0%,E14-5%)</f>
        <v>3.9999999999999994E-2</v>
      </c>
      <c r="J14" s="51" t="s">
        <v>12</v>
      </c>
      <c r="K14" s="52">
        <f>E14-D14</f>
        <v>0</v>
      </c>
    </row>
    <row r="15" spans="2:11" s="12" customFormat="1" ht="15.75" thickBot="1" x14ac:dyDescent="0.25">
      <c r="B15" s="78" t="s">
        <v>3</v>
      </c>
      <c r="C15" s="114">
        <f>SUM(C5:C14)</f>
        <v>1.1352000000000002</v>
      </c>
      <c r="D15" s="53">
        <f>SUM(D5:D14)</f>
        <v>1.1300000000000001</v>
      </c>
      <c r="E15" s="243">
        <f>SUM(E5:E14)</f>
        <v>1.1200000000000001</v>
      </c>
      <c r="F15" s="54"/>
      <c r="G15" s="167"/>
      <c r="H15" s="160"/>
      <c r="I15" s="168"/>
      <c r="J15" s="55"/>
      <c r="K15" s="56">
        <f>E15-D15</f>
        <v>-1.0000000000000009E-2</v>
      </c>
    </row>
    <row r="16" spans="2:11" s="12" customFormat="1" ht="15.75" thickBot="1" x14ac:dyDescent="0.25">
      <c r="B16" s="79" t="s">
        <v>4</v>
      </c>
      <c r="C16" s="115">
        <v>0.1898</v>
      </c>
      <c r="D16" s="93">
        <v>0.24</v>
      </c>
      <c r="E16" s="242">
        <v>0.18</v>
      </c>
      <c r="F16" s="58" t="s">
        <v>5</v>
      </c>
      <c r="G16" s="169">
        <f>E16+6%</f>
        <v>0.24</v>
      </c>
      <c r="H16" s="161" t="s">
        <v>395</v>
      </c>
      <c r="I16" s="170">
        <f>IF(E16-6%&lt;0%,0%,E16-6%)</f>
        <v>0.12</v>
      </c>
      <c r="J16" s="33" t="s">
        <v>457</v>
      </c>
      <c r="K16" s="59">
        <f>E16-D16</f>
        <v>-0.06</v>
      </c>
    </row>
    <row r="17" spans="2:11" s="38" customFormat="1" ht="31.5" customHeight="1" thickBot="1" x14ac:dyDescent="0.25">
      <c r="B17" s="152" t="str">
        <f>'הכשרה - קרן י'!$A$17</f>
        <v>מגבלת עמלת ניהול חיצוני לשנת 2026</v>
      </c>
      <c r="C17" s="398">
        <v>1E-3</v>
      </c>
      <c r="D17" s="399"/>
      <c r="E17" s="399"/>
      <c r="F17" s="399"/>
      <c r="G17" s="399"/>
      <c r="H17" s="399"/>
      <c r="I17" s="399"/>
      <c r="J17" s="399"/>
      <c r="K17" s="400"/>
    </row>
    <row r="18" spans="2:11" s="38" customFormat="1" ht="14.25" x14ac:dyDescent="0.2">
      <c r="B18" s="221"/>
      <c r="C18" s="222"/>
      <c r="D18" s="222"/>
      <c r="E18" s="222"/>
      <c r="F18" s="222"/>
      <c r="G18" s="222"/>
      <c r="H18" s="222"/>
      <c r="I18" s="222"/>
      <c r="J18" s="222"/>
      <c r="K18" s="222"/>
    </row>
    <row r="19" spans="2:11" s="38" customFormat="1" x14ac:dyDescent="0.25">
      <c r="B19" s="321" t="s">
        <v>504</v>
      </c>
      <c r="C19" s="25"/>
      <c r="D19" s="322"/>
      <c r="F19" s="26"/>
      <c r="J19" s="222"/>
      <c r="K19" s="222"/>
    </row>
    <row r="20" spans="2:11" s="38" customFormat="1" ht="30" x14ac:dyDescent="0.2">
      <c r="B20" s="338" t="s">
        <v>0</v>
      </c>
      <c r="C20" s="338" t="s">
        <v>479</v>
      </c>
      <c r="D20" s="338" t="s">
        <v>506</v>
      </c>
      <c r="E20" s="338" t="s">
        <v>480</v>
      </c>
      <c r="F20" s="323" t="s">
        <v>1</v>
      </c>
      <c r="G20" s="385" t="s">
        <v>380</v>
      </c>
      <c r="H20" s="385"/>
      <c r="I20" s="385"/>
      <c r="J20" s="222"/>
      <c r="K20" s="222"/>
    </row>
    <row r="21" spans="2:11" s="38" customFormat="1" x14ac:dyDescent="0.2">
      <c r="B21" s="349" t="s">
        <v>391</v>
      </c>
      <c r="C21" s="325">
        <v>0.44</v>
      </c>
      <c r="D21" s="350">
        <v>0.5</v>
      </c>
      <c r="E21" s="350">
        <f t="shared" ref="E21:E23" si="0">D21-C21</f>
        <v>0.06</v>
      </c>
      <c r="F21" s="346" t="s">
        <v>5</v>
      </c>
      <c r="G21" s="340">
        <f t="shared" ref="G21" si="1">D21+6%</f>
        <v>0.56000000000000005</v>
      </c>
      <c r="H21" s="341" t="s">
        <v>395</v>
      </c>
      <c r="I21" s="339">
        <f t="shared" ref="I21" si="2">IF(D21-6%&lt;0%,0%,D21-6%)</f>
        <v>0.44</v>
      </c>
      <c r="J21" s="222"/>
      <c r="K21" s="222"/>
    </row>
    <row r="22" spans="2:11" s="38" customFormat="1" x14ac:dyDescent="0.2">
      <c r="B22" s="347" t="s">
        <v>390</v>
      </c>
      <c r="C22" s="325">
        <v>0.46</v>
      </c>
      <c r="D22" s="326">
        <v>0.41</v>
      </c>
      <c r="E22" s="326">
        <f t="shared" si="0"/>
        <v>-5.0000000000000044E-2</v>
      </c>
      <c r="F22" s="346" t="s">
        <v>6</v>
      </c>
      <c r="G22" s="340">
        <f>D22+5%</f>
        <v>0.45999999999999996</v>
      </c>
      <c r="H22" s="341" t="s">
        <v>395</v>
      </c>
      <c r="I22" s="339">
        <f>IF(D22-5%&lt;0%,0%,D22-5%)</f>
        <v>0.36</v>
      </c>
      <c r="J22" s="222"/>
      <c r="K22" s="222"/>
    </row>
    <row r="23" spans="2:11" s="38" customFormat="1" x14ac:dyDescent="0.2">
      <c r="B23" s="348" t="s">
        <v>381</v>
      </c>
      <c r="C23" s="325">
        <v>0.01</v>
      </c>
      <c r="D23" s="326">
        <v>0.03</v>
      </c>
      <c r="E23" s="326">
        <f t="shared" si="0"/>
        <v>1.9999999999999997E-2</v>
      </c>
      <c r="F23" s="346" t="s">
        <v>6</v>
      </c>
      <c r="G23" s="340">
        <f>D23+5%</f>
        <v>0.08</v>
      </c>
      <c r="H23" s="341" t="s">
        <v>395</v>
      </c>
      <c r="I23" s="339">
        <f>IF(D23-5%&lt;0%,0%,D23-5%)</f>
        <v>0</v>
      </c>
    </row>
    <row r="24" spans="2:11" s="38" customFormat="1" x14ac:dyDescent="0.2">
      <c r="B24" s="63" t="s">
        <v>386</v>
      </c>
      <c r="C24" s="325">
        <v>0.09</v>
      </c>
      <c r="D24" s="326">
        <v>7.0000000000000007E-2</v>
      </c>
      <c r="E24" s="326">
        <f t="shared" ref="E24" si="3">D24-C24</f>
        <v>-1.999999999999999E-2</v>
      </c>
      <c r="F24" s="346" t="s">
        <v>6</v>
      </c>
      <c r="G24" s="340">
        <f>D24+5%</f>
        <v>0.12000000000000001</v>
      </c>
      <c r="H24" s="341" t="s">
        <v>395</v>
      </c>
      <c r="I24" s="339">
        <f>IF(D24-5%&lt;0%,0%,D24-5%)</f>
        <v>2.0000000000000004E-2</v>
      </c>
    </row>
    <row r="25" spans="2:11" ht="15.75" thickBot="1" x14ac:dyDescent="0.3"/>
    <row r="26" spans="2:11" s="12" customFormat="1" ht="14.25" customHeight="1" x14ac:dyDescent="0.2">
      <c r="B26" s="502" t="s">
        <v>473</v>
      </c>
      <c r="C26" s="503"/>
      <c r="D26" s="503"/>
      <c r="E26" s="503"/>
      <c r="F26" s="503"/>
      <c r="G26" s="503"/>
      <c r="H26" s="503"/>
      <c r="I26" s="503"/>
      <c r="J26" s="503"/>
      <c r="K26" s="504"/>
    </row>
    <row r="27" spans="2:11" s="12" customFormat="1" ht="14.25" customHeight="1" thickBot="1" x14ac:dyDescent="0.25">
      <c r="B27" s="505"/>
      <c r="C27" s="506"/>
      <c r="D27" s="506"/>
      <c r="E27" s="506"/>
      <c r="F27" s="506"/>
      <c r="G27" s="506"/>
      <c r="H27" s="506"/>
      <c r="I27" s="506"/>
      <c r="J27" s="506"/>
      <c r="K27" s="507"/>
    </row>
    <row r="28" spans="2:11" s="12" customFormat="1" ht="30.75" thickBot="1" x14ac:dyDescent="0.25">
      <c r="B28" s="116" t="s">
        <v>0</v>
      </c>
      <c r="C28" s="111" t="str">
        <f>$C$4</f>
        <v>שיעור חשיפה ליום 16/11/25</v>
      </c>
      <c r="D28" s="40" t="str">
        <f>$D$4</f>
        <v>מדיניות השקעות 2025</v>
      </c>
      <c r="E28" s="39" t="str">
        <f>$E$4</f>
        <v>שיעור חשיפה מומלץ לשנת 2026</v>
      </c>
      <c r="F28" s="237" t="s">
        <v>1</v>
      </c>
      <c r="G28" s="388" t="s">
        <v>380</v>
      </c>
      <c r="H28" s="388"/>
      <c r="I28" s="389"/>
      <c r="J28" s="104" t="s">
        <v>2</v>
      </c>
      <c r="K28" s="239" t="str">
        <f>$K$4</f>
        <v>שינוי מ- 2025</v>
      </c>
    </row>
    <row r="29" spans="2:11" s="12" customFormat="1" ht="14.25" customHeight="1" x14ac:dyDescent="0.2">
      <c r="B29" s="430" t="s">
        <v>389</v>
      </c>
      <c r="C29" s="510">
        <v>0.43520000000000003</v>
      </c>
      <c r="D29" s="512">
        <v>0.42</v>
      </c>
      <c r="E29" s="528">
        <v>0.43</v>
      </c>
      <c r="F29" s="431" t="s">
        <v>5</v>
      </c>
      <c r="G29" s="390">
        <f>E29+6%</f>
        <v>0.49</v>
      </c>
      <c r="H29" s="392" t="s">
        <v>395</v>
      </c>
      <c r="I29" s="401">
        <f>IF(E29-6%&lt;0%,0%,E29-6%)</f>
        <v>0.37</v>
      </c>
      <c r="J29" s="142" t="s">
        <v>458</v>
      </c>
      <c r="K29" s="533">
        <f>E29-D29</f>
        <v>1.0000000000000009E-2</v>
      </c>
    </row>
    <row r="30" spans="2:11" s="12" customFormat="1" ht="14.25" customHeight="1" x14ac:dyDescent="0.2">
      <c r="B30" s="430"/>
      <c r="C30" s="510"/>
      <c r="D30" s="513"/>
      <c r="E30" s="529"/>
      <c r="F30" s="431"/>
      <c r="G30" s="391"/>
      <c r="H30" s="393"/>
      <c r="I30" s="402"/>
      <c r="J30" s="28" t="s">
        <v>459</v>
      </c>
      <c r="K30" s="533"/>
    </row>
    <row r="31" spans="2:11" s="12" customFormat="1" ht="14.25" customHeight="1" x14ac:dyDescent="0.2">
      <c r="B31" s="359"/>
      <c r="C31" s="511"/>
      <c r="D31" s="499"/>
      <c r="E31" s="516"/>
      <c r="F31" s="432"/>
      <c r="G31" s="384"/>
      <c r="H31" s="387"/>
      <c r="I31" s="403"/>
      <c r="J31" s="42"/>
      <c r="K31" s="527"/>
    </row>
    <row r="32" spans="2:11" s="12" customFormat="1" ht="14.25" customHeight="1" x14ac:dyDescent="0.2">
      <c r="B32" s="435" t="s">
        <v>390</v>
      </c>
      <c r="C32" s="520">
        <v>0.2727</v>
      </c>
      <c r="D32" s="514">
        <v>0.3</v>
      </c>
      <c r="E32" s="515">
        <v>0.3</v>
      </c>
      <c r="F32" s="517" t="s">
        <v>6</v>
      </c>
      <c r="G32" s="394">
        <f>E32+5%</f>
        <v>0.35</v>
      </c>
      <c r="H32" s="396" t="s">
        <v>395</v>
      </c>
      <c r="I32" s="409">
        <f>IF(E32-5%&lt;0%,0%,E32-5%)</f>
        <v>0.25</v>
      </c>
      <c r="J32" s="43" t="s">
        <v>14</v>
      </c>
      <c r="K32" s="531">
        <f>E32-D32</f>
        <v>0</v>
      </c>
    </row>
    <row r="33" spans="2:11" s="12" customFormat="1" ht="14.25" customHeight="1" x14ac:dyDescent="0.2">
      <c r="B33" s="436"/>
      <c r="C33" s="521"/>
      <c r="D33" s="499"/>
      <c r="E33" s="516"/>
      <c r="F33" s="434"/>
      <c r="G33" s="395"/>
      <c r="H33" s="397"/>
      <c r="I33" s="410"/>
      <c r="J33" s="42" t="s">
        <v>15</v>
      </c>
      <c r="K33" s="532"/>
    </row>
    <row r="34" spans="2:11" s="12" customFormat="1" ht="14.25" customHeight="1" x14ac:dyDescent="0.2">
      <c r="B34" s="439" t="s">
        <v>388</v>
      </c>
      <c r="C34" s="518">
        <v>0.20100000000000001</v>
      </c>
      <c r="D34" s="514">
        <v>0.22</v>
      </c>
      <c r="E34" s="515">
        <v>0.22</v>
      </c>
      <c r="F34" s="525" t="s">
        <v>5</v>
      </c>
      <c r="G34" s="383">
        <f>E34+6%</f>
        <v>0.28000000000000003</v>
      </c>
      <c r="H34" s="386" t="s">
        <v>395</v>
      </c>
      <c r="I34" s="381">
        <f>IF(E34-6%&lt;0%,0%,E34-6%)</f>
        <v>0.16</v>
      </c>
      <c r="J34" s="43" t="s">
        <v>16</v>
      </c>
      <c r="K34" s="526">
        <f>E34-D34</f>
        <v>0</v>
      </c>
    </row>
    <row r="35" spans="2:11" s="12" customFormat="1" ht="14.25" customHeight="1" x14ac:dyDescent="0.2">
      <c r="B35" s="359"/>
      <c r="C35" s="519"/>
      <c r="D35" s="499"/>
      <c r="E35" s="516"/>
      <c r="F35" s="432"/>
      <c r="G35" s="384"/>
      <c r="H35" s="387"/>
      <c r="I35" s="382"/>
      <c r="J35" s="44" t="s">
        <v>17</v>
      </c>
      <c r="K35" s="527"/>
    </row>
    <row r="36" spans="2:11" s="38" customFormat="1" ht="14.25" customHeight="1" x14ac:dyDescent="0.2">
      <c r="B36" s="109" t="s">
        <v>387</v>
      </c>
      <c r="C36" s="112">
        <v>0</v>
      </c>
      <c r="D36" s="45">
        <v>0</v>
      </c>
      <c r="E36" s="240">
        <v>0</v>
      </c>
      <c r="F36" s="46" t="s">
        <v>6</v>
      </c>
      <c r="G36" s="163">
        <f>E36+5%</f>
        <v>0.05</v>
      </c>
      <c r="H36" s="159" t="s">
        <v>395</v>
      </c>
      <c r="I36" s="164">
        <f>IF(E36-5%&lt;0%,0%,E36-5%)</f>
        <v>0</v>
      </c>
      <c r="J36" s="47" t="s">
        <v>385</v>
      </c>
      <c r="K36" s="48">
        <f>E36-D36</f>
        <v>0</v>
      </c>
    </row>
    <row r="37" spans="2:11" s="12" customFormat="1" x14ac:dyDescent="0.2">
      <c r="B37" s="109" t="s">
        <v>381</v>
      </c>
      <c r="C37" s="112">
        <v>1.3000000000000001E-2</v>
      </c>
      <c r="D37" s="45">
        <v>0.02</v>
      </c>
      <c r="E37" s="240">
        <v>0.02</v>
      </c>
      <c r="F37" s="62" t="s">
        <v>6</v>
      </c>
      <c r="G37" s="163">
        <f>E37+5%</f>
        <v>7.0000000000000007E-2</v>
      </c>
      <c r="H37" s="159" t="s">
        <v>395</v>
      </c>
      <c r="I37" s="164">
        <f>IF(E37-5%&lt;0%,0%,E37-5%)</f>
        <v>0</v>
      </c>
      <c r="J37" s="63" t="s">
        <v>383</v>
      </c>
      <c r="K37" s="64">
        <f>E37-D37</f>
        <v>0</v>
      </c>
    </row>
    <row r="38" spans="2:11" s="12" customFormat="1" ht="15.75" thickBot="1" x14ac:dyDescent="0.25">
      <c r="B38" s="117" t="s">
        <v>386</v>
      </c>
      <c r="C38" s="113">
        <v>7.8100000000000003E-2</v>
      </c>
      <c r="D38" s="45">
        <v>0.04</v>
      </c>
      <c r="E38" s="241">
        <v>0.04</v>
      </c>
      <c r="F38" s="50" t="s">
        <v>6</v>
      </c>
      <c r="G38" s="165">
        <f>E38+5%</f>
        <v>0.09</v>
      </c>
      <c r="H38" s="158" t="s">
        <v>395</v>
      </c>
      <c r="I38" s="166">
        <f>IF(E38-5%&lt;0%,0%,E38-5%)</f>
        <v>0</v>
      </c>
      <c r="J38" s="51" t="s">
        <v>12</v>
      </c>
      <c r="K38" s="52">
        <f>E38-D38</f>
        <v>0</v>
      </c>
    </row>
    <row r="39" spans="2:11" s="12" customFormat="1" ht="15.75" thickBot="1" x14ac:dyDescent="0.25">
      <c r="B39" s="78" t="s">
        <v>3</v>
      </c>
      <c r="C39" s="114">
        <f>SUM(C29:C38)</f>
        <v>1</v>
      </c>
      <c r="D39" s="53">
        <f>SUM(D29:D38)</f>
        <v>1</v>
      </c>
      <c r="E39" s="243">
        <f>SUM(E29:E38)</f>
        <v>1.01</v>
      </c>
      <c r="F39" s="54"/>
      <c r="G39" s="167"/>
      <c r="H39" s="160"/>
      <c r="I39" s="168"/>
      <c r="J39" s="55"/>
      <c r="K39" s="56">
        <f>E39-D39</f>
        <v>1.0000000000000009E-2</v>
      </c>
    </row>
    <row r="40" spans="2:11" s="12" customFormat="1" ht="15.75" thickBot="1" x14ac:dyDescent="0.25">
      <c r="B40" s="79" t="s">
        <v>4</v>
      </c>
      <c r="C40" s="115">
        <v>0.15390000000000001</v>
      </c>
      <c r="D40" s="93">
        <v>0.18</v>
      </c>
      <c r="E40" s="242">
        <v>0.17</v>
      </c>
      <c r="F40" s="58" t="s">
        <v>5</v>
      </c>
      <c r="G40" s="169">
        <f>E40+6%</f>
        <v>0.23</v>
      </c>
      <c r="H40" s="161" t="s">
        <v>395</v>
      </c>
      <c r="I40" s="170">
        <f>IF(E40-6%&lt;0%,0%,E40-6%)</f>
        <v>0.11000000000000001</v>
      </c>
      <c r="J40" s="33" t="s">
        <v>457</v>
      </c>
      <c r="K40" s="59">
        <f>E40-D40</f>
        <v>-9.9999999999999811E-3</v>
      </c>
    </row>
    <row r="41" spans="2:11" s="38" customFormat="1" ht="31.5" customHeight="1" thickBot="1" x14ac:dyDescent="0.25">
      <c r="B41" s="152" t="str">
        <f>$B$17</f>
        <v>מגבלת עמלת ניהול חיצוני לשנת 2026</v>
      </c>
      <c r="C41" s="398">
        <v>1E-3</v>
      </c>
      <c r="D41" s="399"/>
      <c r="E41" s="399"/>
      <c r="F41" s="399"/>
      <c r="G41" s="399"/>
      <c r="H41" s="399"/>
      <c r="I41" s="399"/>
      <c r="J41" s="399"/>
      <c r="K41" s="400"/>
    </row>
    <row r="42" spans="2:11" s="38" customFormat="1" x14ac:dyDescent="0.25">
      <c r="C42" s="25"/>
      <c r="F42" s="26"/>
      <c r="G42" s="26"/>
      <c r="H42" s="26"/>
    </row>
    <row r="43" spans="2:11" ht="15.75" thickBot="1" x14ac:dyDescent="0.3"/>
    <row r="44" spans="2:11" s="12" customFormat="1" ht="14.25" customHeight="1" x14ac:dyDescent="0.2">
      <c r="B44" s="502" t="s">
        <v>474</v>
      </c>
      <c r="C44" s="503"/>
      <c r="D44" s="503"/>
      <c r="E44" s="503"/>
      <c r="F44" s="503"/>
      <c r="G44" s="503"/>
      <c r="H44" s="503"/>
      <c r="I44" s="503"/>
      <c r="J44" s="503"/>
      <c r="K44" s="504"/>
    </row>
    <row r="45" spans="2:11" s="12" customFormat="1" ht="14.25" customHeight="1" thickBot="1" x14ac:dyDescent="0.25">
      <c r="B45" s="505"/>
      <c r="C45" s="506"/>
      <c r="D45" s="506"/>
      <c r="E45" s="506"/>
      <c r="F45" s="506"/>
      <c r="G45" s="506"/>
      <c r="H45" s="506"/>
      <c r="I45" s="506"/>
      <c r="J45" s="506"/>
      <c r="K45" s="507"/>
    </row>
    <row r="46" spans="2:11" s="12" customFormat="1" ht="30.75" thickBot="1" x14ac:dyDescent="0.25">
      <c r="B46" s="116" t="s">
        <v>0</v>
      </c>
      <c r="C46" s="111" t="str">
        <f>$C$4</f>
        <v>שיעור חשיפה ליום 16/11/25</v>
      </c>
      <c r="D46" s="40" t="str">
        <f>$D$4</f>
        <v>מדיניות השקעות 2025</v>
      </c>
      <c r="E46" s="39" t="str">
        <f>$E$4</f>
        <v>שיעור חשיפה מומלץ לשנת 2026</v>
      </c>
      <c r="F46" s="41" t="s">
        <v>1</v>
      </c>
      <c r="G46" s="388" t="s">
        <v>380</v>
      </c>
      <c r="H46" s="388"/>
      <c r="I46" s="389"/>
      <c r="J46" s="104" t="s">
        <v>2</v>
      </c>
      <c r="K46" s="239" t="str">
        <f>$K$4</f>
        <v>שינוי מ- 2025</v>
      </c>
    </row>
    <row r="47" spans="2:11" s="12" customFormat="1" ht="14.25" customHeight="1" x14ac:dyDescent="0.2">
      <c r="B47" s="430" t="s">
        <v>389</v>
      </c>
      <c r="C47" s="510">
        <v>0.46899999999999997</v>
      </c>
      <c r="D47" s="512">
        <v>0.46</v>
      </c>
      <c r="E47" s="528">
        <v>0.47</v>
      </c>
      <c r="F47" s="431" t="s">
        <v>5</v>
      </c>
      <c r="G47" s="390">
        <f>E47+6%</f>
        <v>0.53</v>
      </c>
      <c r="H47" s="392" t="s">
        <v>395</v>
      </c>
      <c r="I47" s="401">
        <f>IF(E47-6%&lt;0%,0%,E47-6%)</f>
        <v>0.41</v>
      </c>
      <c r="J47" s="142" t="s">
        <v>458</v>
      </c>
      <c r="K47" s="533">
        <f>E47-D47</f>
        <v>9.9999999999999534E-3</v>
      </c>
    </row>
    <row r="48" spans="2:11" s="12" customFormat="1" ht="14.25" customHeight="1" x14ac:dyDescent="0.2">
      <c r="B48" s="430"/>
      <c r="C48" s="510"/>
      <c r="D48" s="513"/>
      <c r="E48" s="529"/>
      <c r="F48" s="431"/>
      <c r="G48" s="391"/>
      <c r="H48" s="393"/>
      <c r="I48" s="402"/>
      <c r="J48" s="28" t="s">
        <v>459</v>
      </c>
      <c r="K48" s="533"/>
    </row>
    <row r="49" spans="2:11" s="12" customFormat="1" ht="14.25" customHeight="1" x14ac:dyDescent="0.2">
      <c r="B49" s="359"/>
      <c r="C49" s="511"/>
      <c r="D49" s="499"/>
      <c r="E49" s="516"/>
      <c r="F49" s="432"/>
      <c r="G49" s="384"/>
      <c r="H49" s="387"/>
      <c r="I49" s="403"/>
      <c r="J49" s="42"/>
      <c r="K49" s="527"/>
    </row>
    <row r="50" spans="2:11" s="12" customFormat="1" ht="14.25" customHeight="1" x14ac:dyDescent="0.2">
      <c r="B50" s="435" t="s">
        <v>390</v>
      </c>
      <c r="C50" s="520">
        <v>0.42780000000000001</v>
      </c>
      <c r="D50" s="514">
        <v>0.42</v>
      </c>
      <c r="E50" s="515">
        <v>0.43</v>
      </c>
      <c r="F50" s="517" t="s">
        <v>6</v>
      </c>
      <c r="G50" s="394">
        <f>E50+5%</f>
        <v>0.48</v>
      </c>
      <c r="H50" s="396" t="s">
        <v>395</v>
      </c>
      <c r="I50" s="409">
        <f>IF(E50-5%&lt;0%,0%,E50-5%)</f>
        <v>0.38</v>
      </c>
      <c r="J50" s="43" t="s">
        <v>14</v>
      </c>
      <c r="K50" s="531">
        <f>E50-D50</f>
        <v>1.0000000000000009E-2</v>
      </c>
    </row>
    <row r="51" spans="2:11" s="12" customFormat="1" ht="14.25" customHeight="1" x14ac:dyDescent="0.2">
      <c r="B51" s="436"/>
      <c r="C51" s="521"/>
      <c r="D51" s="499"/>
      <c r="E51" s="516"/>
      <c r="F51" s="434"/>
      <c r="G51" s="395"/>
      <c r="H51" s="397"/>
      <c r="I51" s="410"/>
      <c r="J51" s="42" t="s">
        <v>15</v>
      </c>
      <c r="K51" s="532"/>
    </row>
    <row r="52" spans="2:11" s="12" customFormat="1" ht="14.25" customHeight="1" x14ac:dyDescent="0.2">
      <c r="B52" s="439" t="s">
        <v>388</v>
      </c>
      <c r="C52" s="518">
        <v>0.2336</v>
      </c>
      <c r="D52" s="514">
        <v>0.24</v>
      </c>
      <c r="E52" s="515">
        <v>0.23</v>
      </c>
      <c r="F52" s="525" t="s">
        <v>5</v>
      </c>
      <c r="G52" s="383">
        <f>E52+6%</f>
        <v>0.29000000000000004</v>
      </c>
      <c r="H52" s="386" t="s">
        <v>395</v>
      </c>
      <c r="I52" s="381">
        <f>IF(E52-6%&lt;0%,0%,E52-6%)</f>
        <v>0.17</v>
      </c>
      <c r="J52" s="43" t="s">
        <v>16</v>
      </c>
      <c r="K52" s="526">
        <f>E52-D52</f>
        <v>-9.9999999999999811E-3</v>
      </c>
    </row>
    <row r="53" spans="2:11" s="12" customFormat="1" ht="14.25" customHeight="1" x14ac:dyDescent="0.2">
      <c r="B53" s="359"/>
      <c r="C53" s="519"/>
      <c r="D53" s="499"/>
      <c r="E53" s="516"/>
      <c r="F53" s="432"/>
      <c r="G53" s="384"/>
      <c r="H53" s="387"/>
      <c r="I53" s="382"/>
      <c r="J53" s="44" t="s">
        <v>17</v>
      </c>
      <c r="K53" s="527"/>
    </row>
    <row r="54" spans="2:11" s="12" customFormat="1" x14ac:dyDescent="0.2">
      <c r="B54" s="109" t="s">
        <v>387</v>
      </c>
      <c r="C54" s="112">
        <v>3.0000000000000001E-3</v>
      </c>
      <c r="D54" s="45">
        <v>0.01</v>
      </c>
      <c r="E54" s="240">
        <v>0.01</v>
      </c>
      <c r="F54" s="46" t="s">
        <v>6</v>
      </c>
      <c r="G54" s="163">
        <f>E54+5%</f>
        <v>6.0000000000000005E-2</v>
      </c>
      <c r="H54" s="159" t="s">
        <v>395</v>
      </c>
      <c r="I54" s="164">
        <f>IF(E54-5%&lt;0%,0%,E54-5%)</f>
        <v>0</v>
      </c>
      <c r="J54" s="47" t="s">
        <v>385</v>
      </c>
      <c r="K54" s="48">
        <f>E54-D54</f>
        <v>0</v>
      </c>
    </row>
    <row r="55" spans="2:11" s="38" customFormat="1" x14ac:dyDescent="0.2">
      <c r="B55" s="109" t="s">
        <v>381</v>
      </c>
      <c r="C55" s="112">
        <v>1.5600000000000001E-2</v>
      </c>
      <c r="D55" s="45">
        <v>0.02</v>
      </c>
      <c r="E55" s="240">
        <v>0.02</v>
      </c>
      <c r="F55" s="46" t="s">
        <v>6</v>
      </c>
      <c r="G55" s="163">
        <f>E55+5%</f>
        <v>7.0000000000000007E-2</v>
      </c>
      <c r="H55" s="159" t="s">
        <v>395</v>
      </c>
      <c r="I55" s="164">
        <f>IF(E55-5%&lt;0%,0%,E55-5%)</f>
        <v>0</v>
      </c>
      <c r="J55" s="63" t="s">
        <v>383</v>
      </c>
      <c r="K55" s="48">
        <f>E55-D55</f>
        <v>0</v>
      </c>
    </row>
    <row r="56" spans="2:11" s="12" customFormat="1" ht="15.75" thickBot="1" x14ac:dyDescent="0.25">
      <c r="B56" s="117" t="s">
        <v>386</v>
      </c>
      <c r="C56" s="113">
        <v>6.6900000000000001E-2</v>
      </c>
      <c r="D56" s="45">
        <v>0.06</v>
      </c>
      <c r="E56" s="241">
        <v>0.06</v>
      </c>
      <c r="F56" s="50" t="s">
        <v>6</v>
      </c>
      <c r="G56" s="165">
        <f>E56+5%</f>
        <v>0.11</v>
      </c>
      <c r="H56" s="158" t="s">
        <v>395</v>
      </c>
      <c r="I56" s="166">
        <f>IF(E56-5%&lt;0%,0%,E56-5%)</f>
        <v>9.999999999999995E-3</v>
      </c>
      <c r="J56" s="51" t="s">
        <v>12</v>
      </c>
      <c r="K56" s="52">
        <f>E56-D56</f>
        <v>0</v>
      </c>
    </row>
    <row r="57" spans="2:11" s="12" customFormat="1" ht="15.75" thickBot="1" x14ac:dyDescent="0.25">
      <c r="B57" s="78" t="s">
        <v>3</v>
      </c>
      <c r="C57" s="114">
        <f>SUM(C47:C56)</f>
        <v>1.2159</v>
      </c>
      <c r="D57" s="53">
        <f>SUM(D47:D56)</f>
        <v>1.2100000000000002</v>
      </c>
      <c r="E57" s="243">
        <f>SUM(E47:E56)</f>
        <v>1.22</v>
      </c>
      <c r="F57" s="54"/>
      <c r="G57" s="167"/>
      <c r="H57" s="160"/>
      <c r="I57" s="168"/>
      <c r="J57" s="55"/>
      <c r="K57" s="56">
        <f>E57-D57</f>
        <v>9.9999999999997868E-3</v>
      </c>
    </row>
    <row r="58" spans="2:11" s="12" customFormat="1" ht="15.75" thickBot="1" x14ac:dyDescent="0.25">
      <c r="B58" s="79" t="s">
        <v>4</v>
      </c>
      <c r="C58" s="115">
        <v>0.21010000000000001</v>
      </c>
      <c r="D58" s="93">
        <v>0.21</v>
      </c>
      <c r="E58" s="242">
        <v>0.2</v>
      </c>
      <c r="F58" s="58" t="s">
        <v>5</v>
      </c>
      <c r="G58" s="169">
        <f>E58+6%</f>
        <v>0.26</v>
      </c>
      <c r="H58" s="161" t="s">
        <v>395</v>
      </c>
      <c r="I58" s="170">
        <f>IF(E58-6%&lt;0%,0%,E58-6%)</f>
        <v>0.14000000000000001</v>
      </c>
      <c r="J58" s="33" t="s">
        <v>457</v>
      </c>
      <c r="K58" s="59">
        <f>E58-D58</f>
        <v>-9.9999999999999811E-3</v>
      </c>
    </row>
    <row r="59" spans="2:11" s="38" customFormat="1" ht="31.5" customHeight="1" thickBot="1" x14ac:dyDescent="0.25">
      <c r="B59" s="152" t="str">
        <f>$B$17</f>
        <v>מגבלת עמלת ניהול חיצוני לשנת 2026</v>
      </c>
      <c r="C59" s="398">
        <v>1E-3</v>
      </c>
      <c r="D59" s="399"/>
      <c r="E59" s="399"/>
      <c r="F59" s="399"/>
      <c r="G59" s="399"/>
      <c r="H59" s="399"/>
      <c r="I59" s="399"/>
      <c r="J59" s="399"/>
      <c r="K59" s="400"/>
    </row>
    <row r="60" spans="2:11" s="38" customFormat="1" x14ac:dyDescent="0.25">
      <c r="C60" s="25"/>
      <c r="F60" s="26"/>
      <c r="G60" s="26"/>
      <c r="H60" s="26"/>
    </row>
    <row r="61" spans="2:11" ht="15.75" thickBot="1" x14ac:dyDescent="0.3"/>
    <row r="62" spans="2:11" ht="15" customHeight="1" x14ac:dyDescent="0.2">
      <c r="B62" s="493" t="s">
        <v>475</v>
      </c>
      <c r="C62" s="494"/>
      <c r="D62" s="494"/>
      <c r="E62" s="494"/>
      <c r="F62" s="494"/>
      <c r="G62" s="494"/>
      <c r="H62" s="494"/>
      <c r="I62" s="494"/>
      <c r="J62" s="494"/>
      <c r="K62" s="495"/>
    </row>
    <row r="63" spans="2:11" ht="15.75" customHeight="1" thickBot="1" x14ac:dyDescent="0.25">
      <c r="B63" s="496"/>
      <c r="C63" s="497"/>
      <c r="D63" s="497"/>
      <c r="E63" s="497"/>
      <c r="F63" s="497"/>
      <c r="G63" s="497"/>
      <c r="H63" s="497"/>
      <c r="I63" s="497"/>
      <c r="J63" s="497"/>
      <c r="K63" s="498"/>
    </row>
    <row r="64" spans="2:11" ht="30.75" thickBot="1" x14ac:dyDescent="0.25">
      <c r="B64" s="116" t="s">
        <v>0</v>
      </c>
      <c r="C64" s="289" t="str">
        <f>$C$4</f>
        <v>שיעור חשיפה ליום 16/11/25</v>
      </c>
      <c r="D64" s="40" t="str">
        <f>$D$4</f>
        <v>מדיניות השקעות 2025</v>
      </c>
      <c r="E64" s="39" t="str">
        <f>$E$4</f>
        <v>שיעור חשיפה מומלץ לשנת 2026</v>
      </c>
      <c r="F64" s="277" t="s">
        <v>1</v>
      </c>
      <c r="G64" s="488" t="s">
        <v>380</v>
      </c>
      <c r="H64" s="488"/>
      <c r="I64" s="488"/>
      <c r="J64" s="104" t="s">
        <v>2</v>
      </c>
      <c r="K64" s="288" t="str">
        <f>$K$4</f>
        <v>שינוי מ- 2025</v>
      </c>
    </row>
    <row r="65" spans="2:11" ht="14.25" customHeight="1" x14ac:dyDescent="0.2">
      <c r="B65" s="359" t="s">
        <v>389</v>
      </c>
      <c r="C65" s="536">
        <v>0.46409999999999996</v>
      </c>
      <c r="D65" s="499">
        <v>0.44</v>
      </c>
      <c r="E65" s="516">
        <v>0.47</v>
      </c>
      <c r="F65" s="432" t="s">
        <v>5</v>
      </c>
      <c r="G65" s="489">
        <f>E65+6%</f>
        <v>0.53</v>
      </c>
      <c r="H65" s="491" t="s">
        <v>395</v>
      </c>
      <c r="I65" s="540">
        <f>IF(E65-6%&lt;0%,0%,E65-6%)</f>
        <v>0.41</v>
      </c>
      <c r="J65" s="142" t="s">
        <v>458</v>
      </c>
      <c r="K65" s="508">
        <f>E65-D65</f>
        <v>2.9999999999999971E-2</v>
      </c>
    </row>
    <row r="66" spans="2:11" ht="14.25" customHeight="1" x14ac:dyDescent="0.2">
      <c r="B66" s="360"/>
      <c r="C66" s="537"/>
      <c r="D66" s="500"/>
      <c r="E66" s="535"/>
      <c r="F66" s="501"/>
      <c r="G66" s="490"/>
      <c r="H66" s="492"/>
      <c r="I66" s="541"/>
      <c r="J66" s="28" t="s">
        <v>459</v>
      </c>
      <c r="K66" s="509"/>
    </row>
    <row r="67" spans="2:11" ht="14.25" customHeight="1" x14ac:dyDescent="0.2">
      <c r="B67" s="360"/>
      <c r="C67" s="537"/>
      <c r="D67" s="500"/>
      <c r="E67" s="535"/>
      <c r="F67" s="501"/>
      <c r="G67" s="490"/>
      <c r="H67" s="492"/>
      <c r="I67" s="541"/>
      <c r="J67" s="42"/>
      <c r="K67" s="509"/>
    </row>
    <row r="68" spans="2:11" ht="14.25" customHeight="1" x14ac:dyDescent="0.2">
      <c r="B68" s="548" t="s">
        <v>390</v>
      </c>
      <c r="C68" s="538">
        <v>0.23079999999999998</v>
      </c>
      <c r="D68" s="500">
        <v>0.28000000000000003</v>
      </c>
      <c r="E68" s="535">
        <v>0.25</v>
      </c>
      <c r="F68" s="544" t="s">
        <v>6</v>
      </c>
      <c r="G68" s="546">
        <f>E68+5%</f>
        <v>0.3</v>
      </c>
      <c r="H68" s="547" t="s">
        <v>395</v>
      </c>
      <c r="I68" s="542">
        <f>IF(E68-5%&lt;0%,0%,E68-5%)</f>
        <v>0.2</v>
      </c>
      <c r="J68" s="43" t="s">
        <v>14</v>
      </c>
      <c r="K68" s="534">
        <f>E68-D68</f>
        <v>-3.0000000000000027E-2</v>
      </c>
    </row>
    <row r="69" spans="2:11" ht="14.25" customHeight="1" x14ac:dyDescent="0.2">
      <c r="B69" s="549"/>
      <c r="C69" s="538"/>
      <c r="D69" s="500"/>
      <c r="E69" s="535"/>
      <c r="F69" s="544"/>
      <c r="G69" s="546"/>
      <c r="H69" s="547"/>
      <c r="I69" s="543"/>
      <c r="J69" s="42" t="s">
        <v>15</v>
      </c>
      <c r="K69" s="534"/>
    </row>
    <row r="70" spans="2:11" ht="14.25" customHeight="1" x14ac:dyDescent="0.2">
      <c r="B70" s="439" t="s">
        <v>388</v>
      </c>
      <c r="C70" s="539">
        <v>0.3286</v>
      </c>
      <c r="D70" s="500">
        <v>0.3</v>
      </c>
      <c r="E70" s="535">
        <v>0.31</v>
      </c>
      <c r="F70" s="501" t="s">
        <v>5</v>
      </c>
      <c r="G70" s="490">
        <f>E70+6%</f>
        <v>0.37</v>
      </c>
      <c r="H70" s="492" t="s">
        <v>395</v>
      </c>
      <c r="I70" s="541">
        <f>IF(E70-6%&lt;0%,0%,E70-6%)</f>
        <v>0.25</v>
      </c>
      <c r="J70" s="43" t="s">
        <v>16</v>
      </c>
      <c r="K70" s="509">
        <f>E70-D70</f>
        <v>1.0000000000000009E-2</v>
      </c>
    </row>
    <row r="71" spans="2:11" ht="14.25" customHeight="1" x14ac:dyDescent="0.2">
      <c r="B71" s="359"/>
      <c r="C71" s="539"/>
      <c r="D71" s="500"/>
      <c r="E71" s="535"/>
      <c r="F71" s="501"/>
      <c r="G71" s="490"/>
      <c r="H71" s="492"/>
      <c r="I71" s="545"/>
      <c r="J71" s="44" t="s">
        <v>17</v>
      </c>
      <c r="K71" s="509"/>
    </row>
    <row r="72" spans="2:11" x14ac:dyDescent="0.2">
      <c r="B72" s="276" t="s">
        <v>387</v>
      </c>
      <c r="C72" s="290">
        <v>5.4000000000000003E-3</v>
      </c>
      <c r="D72" s="45">
        <v>0.01</v>
      </c>
      <c r="E72" s="240">
        <v>0.01</v>
      </c>
      <c r="F72" s="46" t="s">
        <v>6</v>
      </c>
      <c r="G72" s="284">
        <f>E72+5%</f>
        <v>6.0000000000000005E-2</v>
      </c>
      <c r="H72" s="283" t="s">
        <v>395</v>
      </c>
      <c r="I72" s="285">
        <f>IF(E72-5%&lt;0%,0%,E72-5%)</f>
        <v>0</v>
      </c>
      <c r="J72" s="47" t="s">
        <v>385</v>
      </c>
      <c r="K72" s="286">
        <f>E72-D72</f>
        <v>0</v>
      </c>
    </row>
    <row r="73" spans="2:11" x14ac:dyDescent="0.2">
      <c r="B73" s="276" t="s">
        <v>381</v>
      </c>
      <c r="C73" s="290">
        <v>1.8100000000000002E-2</v>
      </c>
      <c r="D73" s="45">
        <v>0.05</v>
      </c>
      <c r="E73" s="240">
        <v>0.05</v>
      </c>
      <c r="F73" s="46" t="s">
        <v>6</v>
      </c>
      <c r="G73" s="284">
        <f>E73+5%</f>
        <v>0.1</v>
      </c>
      <c r="H73" s="283" t="s">
        <v>395</v>
      </c>
      <c r="I73" s="285">
        <f>IF(E73-5%&lt;0%,0%,E73-5%)</f>
        <v>0</v>
      </c>
      <c r="J73" s="63" t="s">
        <v>383</v>
      </c>
      <c r="K73" s="286">
        <f>E73-D73</f>
        <v>0</v>
      </c>
    </row>
    <row r="74" spans="2:11" ht="15.75" thickBot="1" x14ac:dyDescent="0.25">
      <c r="B74" s="278" t="s">
        <v>386</v>
      </c>
      <c r="C74" s="282">
        <v>3.56E-2</v>
      </c>
      <c r="D74" s="279">
        <v>0.08</v>
      </c>
      <c r="E74" s="280">
        <v>0.05</v>
      </c>
      <c r="F74" s="281" t="s">
        <v>6</v>
      </c>
      <c r="G74" s="291">
        <f>E74+5%</f>
        <v>0.1</v>
      </c>
      <c r="H74" s="292" t="s">
        <v>395</v>
      </c>
      <c r="I74" s="293">
        <f>IF(E74-5%&lt;0%,0%,E74-5%)</f>
        <v>0</v>
      </c>
      <c r="J74" s="51" t="s">
        <v>12</v>
      </c>
      <c r="K74" s="294">
        <f>E74-D74</f>
        <v>-0.03</v>
      </c>
    </row>
    <row r="75" spans="2:11" ht="15.75" thickBot="1" x14ac:dyDescent="0.25">
      <c r="B75" s="78" t="s">
        <v>3</v>
      </c>
      <c r="C75" s="295">
        <f>SUM(C65:C74)</f>
        <v>1.0826</v>
      </c>
      <c r="D75" s="53">
        <f>SUM(D65:D74)</f>
        <v>1.1600000000000001</v>
      </c>
      <c r="E75" s="243">
        <f>SUM(E65:E74)</f>
        <v>1.1400000000000001</v>
      </c>
      <c r="F75" s="54"/>
      <c r="G75" s="296"/>
      <c r="H75" s="297"/>
      <c r="I75" s="298"/>
      <c r="J75" s="55"/>
      <c r="K75" s="34">
        <f>E75-D75</f>
        <v>-2.0000000000000018E-2</v>
      </c>
    </row>
    <row r="76" spans="2:11" ht="15.75" thickBot="1" x14ac:dyDescent="0.25">
      <c r="B76" s="299" t="s">
        <v>4</v>
      </c>
      <c r="C76" s="300">
        <v>0.19329999999999997</v>
      </c>
      <c r="D76" s="57">
        <v>0.2</v>
      </c>
      <c r="E76" s="301">
        <v>0.2</v>
      </c>
      <c r="F76" s="302" t="s">
        <v>5</v>
      </c>
      <c r="G76" s="303">
        <f>E76+6%</f>
        <v>0.26</v>
      </c>
      <c r="H76" s="304" t="s">
        <v>395</v>
      </c>
      <c r="I76" s="305">
        <f>IF(E76-6%&lt;0%,0%,E76-6%)</f>
        <v>0.14000000000000001</v>
      </c>
      <c r="J76" s="306" t="s">
        <v>457</v>
      </c>
      <c r="K76" s="307">
        <f>E76-D76</f>
        <v>0</v>
      </c>
    </row>
    <row r="77" spans="2:11" s="38" customFormat="1" ht="31.5" customHeight="1" thickBot="1" x14ac:dyDescent="0.25">
      <c r="B77" s="287" t="str">
        <f>$B$17</f>
        <v>מגבלת עמלת ניהול חיצוני לשנת 2026</v>
      </c>
      <c r="C77" s="550">
        <v>1E-3</v>
      </c>
      <c r="D77" s="550"/>
      <c r="E77" s="550"/>
      <c r="F77" s="550"/>
      <c r="G77" s="550"/>
      <c r="H77" s="550"/>
      <c r="I77" s="550"/>
      <c r="J77" s="550"/>
      <c r="K77" s="551"/>
    </row>
    <row r="78" spans="2:11" s="38" customFormat="1" x14ac:dyDescent="0.25">
      <c r="C78" s="25"/>
      <c r="F78" s="26"/>
      <c r="G78" s="26"/>
      <c r="H78" s="26"/>
    </row>
    <row r="79" spans="2:11" ht="15.75" thickBot="1" x14ac:dyDescent="0.3"/>
    <row r="80" spans="2:11" s="38" customFormat="1" ht="15" customHeight="1" x14ac:dyDescent="0.2">
      <c r="B80" s="493" t="s">
        <v>476</v>
      </c>
      <c r="C80" s="494"/>
      <c r="D80" s="494"/>
      <c r="E80" s="494"/>
      <c r="F80" s="494"/>
      <c r="G80" s="494"/>
      <c r="H80" s="494"/>
      <c r="I80" s="494"/>
      <c r="J80" s="494"/>
      <c r="K80" s="495"/>
    </row>
    <row r="81" spans="2:11" s="38" customFormat="1" ht="15.75" customHeight="1" thickBot="1" x14ac:dyDescent="0.25">
      <c r="B81" s="496"/>
      <c r="C81" s="497"/>
      <c r="D81" s="497"/>
      <c r="E81" s="497"/>
      <c r="F81" s="497"/>
      <c r="G81" s="497"/>
      <c r="H81" s="497"/>
      <c r="I81" s="497"/>
      <c r="J81" s="497"/>
      <c r="K81" s="498"/>
    </row>
    <row r="82" spans="2:11" s="38" customFormat="1" ht="30.75" thickBot="1" x14ac:dyDescent="0.25">
      <c r="B82" s="308" t="s">
        <v>0</v>
      </c>
      <c r="C82" s="289" t="str">
        <f>$C$4</f>
        <v>שיעור חשיפה ליום 16/11/25</v>
      </c>
      <c r="D82" s="40" t="str">
        <f>$D$4</f>
        <v>מדיניות השקעות 2025</v>
      </c>
      <c r="E82" s="39" t="str">
        <f>$E$4</f>
        <v>שיעור חשיפה מומלץ לשנת 2026</v>
      </c>
      <c r="F82" s="277" t="s">
        <v>1</v>
      </c>
      <c r="G82" s="488" t="s">
        <v>380</v>
      </c>
      <c r="H82" s="488"/>
      <c r="I82" s="488"/>
      <c r="J82" s="104" t="s">
        <v>2</v>
      </c>
      <c r="K82" s="288" t="str">
        <f>$K$4</f>
        <v>שינוי מ- 2025</v>
      </c>
    </row>
    <row r="83" spans="2:11" s="38" customFormat="1" ht="14.25" customHeight="1" x14ac:dyDescent="0.2">
      <c r="B83" s="555" t="s">
        <v>389</v>
      </c>
      <c r="C83" s="536">
        <v>0.45590000000000003</v>
      </c>
      <c r="D83" s="499">
        <v>0.46</v>
      </c>
      <c r="E83" s="516">
        <v>0.46</v>
      </c>
      <c r="F83" s="432" t="s">
        <v>5</v>
      </c>
      <c r="G83" s="489">
        <f>E83+6%</f>
        <v>0.52</v>
      </c>
      <c r="H83" s="491" t="s">
        <v>395</v>
      </c>
      <c r="I83" s="540">
        <f>IF(E83-6%&lt;0%,0%,E83-6%)</f>
        <v>0.4</v>
      </c>
      <c r="J83" s="142" t="s">
        <v>458</v>
      </c>
      <c r="K83" s="508">
        <f>E83-D83</f>
        <v>0</v>
      </c>
    </row>
    <row r="84" spans="2:11" s="38" customFormat="1" ht="14.25" customHeight="1" x14ac:dyDescent="0.2">
      <c r="B84" s="556"/>
      <c r="C84" s="537"/>
      <c r="D84" s="500"/>
      <c r="E84" s="535"/>
      <c r="F84" s="501"/>
      <c r="G84" s="490"/>
      <c r="H84" s="492"/>
      <c r="I84" s="541"/>
      <c r="J84" s="28" t="s">
        <v>459</v>
      </c>
      <c r="K84" s="509"/>
    </row>
    <row r="85" spans="2:11" s="38" customFormat="1" ht="14.25" customHeight="1" x14ac:dyDescent="0.2">
      <c r="B85" s="556"/>
      <c r="C85" s="537"/>
      <c r="D85" s="500"/>
      <c r="E85" s="535"/>
      <c r="F85" s="501"/>
      <c r="G85" s="490"/>
      <c r="H85" s="492"/>
      <c r="I85" s="541"/>
      <c r="J85" s="42"/>
      <c r="K85" s="509"/>
    </row>
    <row r="86" spans="2:11" s="38" customFormat="1" ht="14.25" customHeight="1" x14ac:dyDescent="0.2">
      <c r="B86" s="557" t="s">
        <v>390</v>
      </c>
      <c r="C86" s="538">
        <v>0.28670000000000001</v>
      </c>
      <c r="D86" s="500">
        <v>0.32</v>
      </c>
      <c r="E86" s="535">
        <v>0.32</v>
      </c>
      <c r="F86" s="544" t="s">
        <v>6</v>
      </c>
      <c r="G86" s="546">
        <f>E86+5%</f>
        <v>0.37</v>
      </c>
      <c r="H86" s="547" t="s">
        <v>395</v>
      </c>
      <c r="I86" s="542">
        <f>IF(E86-5%&lt;0%,0%,E86-5%)</f>
        <v>0.27</v>
      </c>
      <c r="J86" s="43" t="s">
        <v>14</v>
      </c>
      <c r="K86" s="534">
        <f>E86-D86</f>
        <v>0</v>
      </c>
    </row>
    <row r="87" spans="2:11" s="38" customFormat="1" ht="14.25" customHeight="1" x14ac:dyDescent="0.2">
      <c r="B87" s="558"/>
      <c r="C87" s="538"/>
      <c r="D87" s="500"/>
      <c r="E87" s="535"/>
      <c r="F87" s="544"/>
      <c r="G87" s="546"/>
      <c r="H87" s="547"/>
      <c r="I87" s="543"/>
      <c r="J87" s="42" t="s">
        <v>15</v>
      </c>
      <c r="K87" s="534"/>
    </row>
    <row r="88" spans="2:11" s="38" customFormat="1" ht="14.25" customHeight="1" x14ac:dyDescent="0.2">
      <c r="B88" s="439" t="s">
        <v>388</v>
      </c>
      <c r="C88" s="539">
        <v>0.2208</v>
      </c>
      <c r="D88" s="500">
        <v>0.25</v>
      </c>
      <c r="E88" s="535">
        <v>0.25</v>
      </c>
      <c r="F88" s="501" t="s">
        <v>5</v>
      </c>
      <c r="G88" s="490">
        <f>E88+6%</f>
        <v>0.31</v>
      </c>
      <c r="H88" s="492" t="s">
        <v>395</v>
      </c>
      <c r="I88" s="541">
        <f>IF(E88-6%&lt;0%,0%,E88-6%)</f>
        <v>0.19</v>
      </c>
      <c r="J88" s="43" t="s">
        <v>16</v>
      </c>
      <c r="K88" s="509">
        <f>E88-D88</f>
        <v>0</v>
      </c>
    </row>
    <row r="89" spans="2:11" s="38" customFormat="1" ht="14.25" customHeight="1" x14ac:dyDescent="0.2">
      <c r="B89" s="359"/>
      <c r="C89" s="539"/>
      <c r="D89" s="500"/>
      <c r="E89" s="535"/>
      <c r="F89" s="501"/>
      <c r="G89" s="490"/>
      <c r="H89" s="492"/>
      <c r="I89" s="545"/>
      <c r="J89" s="44" t="s">
        <v>17</v>
      </c>
      <c r="K89" s="509"/>
    </row>
    <row r="90" spans="2:11" s="38" customFormat="1" x14ac:dyDescent="0.2">
      <c r="B90" s="309" t="s">
        <v>387</v>
      </c>
      <c r="C90" s="290">
        <v>0</v>
      </c>
      <c r="D90" s="45">
        <v>0</v>
      </c>
      <c r="E90" s="240">
        <v>0.01</v>
      </c>
      <c r="F90" s="46" t="s">
        <v>6</v>
      </c>
      <c r="G90" s="284">
        <f>E90+5%</f>
        <v>6.0000000000000005E-2</v>
      </c>
      <c r="H90" s="283" t="s">
        <v>395</v>
      </c>
      <c r="I90" s="285">
        <f>IF(E90-5%&lt;0%,0%,E90-5%)</f>
        <v>0</v>
      </c>
      <c r="J90" s="47" t="s">
        <v>385</v>
      </c>
      <c r="K90" s="286">
        <f>E90-D90</f>
        <v>0.01</v>
      </c>
    </row>
    <row r="91" spans="2:11" s="38" customFormat="1" x14ac:dyDescent="0.2">
      <c r="B91" s="309" t="s">
        <v>381</v>
      </c>
      <c r="C91" s="290">
        <v>0</v>
      </c>
      <c r="D91" s="45">
        <v>0.01</v>
      </c>
      <c r="E91" s="240">
        <v>0.01</v>
      </c>
      <c r="F91" s="46" t="s">
        <v>6</v>
      </c>
      <c r="G91" s="284">
        <f>E91+5%</f>
        <v>6.0000000000000005E-2</v>
      </c>
      <c r="H91" s="283" t="s">
        <v>395</v>
      </c>
      <c r="I91" s="285">
        <f>IF(E91-5%&lt;0%,0%,E91-5%)</f>
        <v>0</v>
      </c>
      <c r="J91" s="63" t="s">
        <v>383</v>
      </c>
      <c r="K91" s="286">
        <f>E91-D91</f>
        <v>0</v>
      </c>
    </row>
    <row r="92" spans="2:11" s="38" customFormat="1" ht="15.75" thickBot="1" x14ac:dyDescent="0.25">
      <c r="B92" s="310" t="s">
        <v>386</v>
      </c>
      <c r="C92" s="282">
        <v>0.1331</v>
      </c>
      <c r="D92" s="279">
        <v>0.09</v>
      </c>
      <c r="E92" s="280">
        <v>0.11</v>
      </c>
      <c r="F92" s="281" t="s">
        <v>6</v>
      </c>
      <c r="G92" s="291">
        <f>E92+5%</f>
        <v>0.16</v>
      </c>
      <c r="H92" s="292" t="s">
        <v>395</v>
      </c>
      <c r="I92" s="293">
        <f>IF(E92-5%&lt;0%,0%,E92-5%)</f>
        <v>0.06</v>
      </c>
      <c r="J92" s="51" t="s">
        <v>12</v>
      </c>
      <c r="K92" s="294">
        <f>E92-D92</f>
        <v>2.0000000000000004E-2</v>
      </c>
    </row>
    <row r="93" spans="2:11" s="38" customFormat="1" ht="15.75" thickBot="1" x14ac:dyDescent="0.25">
      <c r="B93" s="311" t="s">
        <v>3</v>
      </c>
      <c r="C93" s="295">
        <f>SUM(C83:C92)</f>
        <v>1.0965</v>
      </c>
      <c r="D93" s="53">
        <f>SUM(D83:D92)</f>
        <v>1.1300000000000001</v>
      </c>
      <c r="E93" s="243">
        <f>SUM(E83:E92)</f>
        <v>1.1600000000000001</v>
      </c>
      <c r="F93" s="54"/>
      <c r="G93" s="296"/>
      <c r="H93" s="297"/>
      <c r="I93" s="298"/>
      <c r="J93" s="55"/>
      <c r="K93" s="34">
        <f>E93-D93</f>
        <v>3.0000000000000027E-2</v>
      </c>
    </row>
    <row r="94" spans="2:11" s="38" customFormat="1" ht="15.75" thickBot="1" x14ac:dyDescent="0.25">
      <c r="B94" s="312" t="s">
        <v>4</v>
      </c>
      <c r="C94" s="300">
        <v>0.1605</v>
      </c>
      <c r="D94" s="57">
        <v>0.2</v>
      </c>
      <c r="E94" s="301">
        <v>0.16</v>
      </c>
      <c r="F94" s="302" t="s">
        <v>5</v>
      </c>
      <c r="G94" s="303">
        <f>E94+6%</f>
        <v>0.22</v>
      </c>
      <c r="H94" s="304" t="s">
        <v>395</v>
      </c>
      <c r="I94" s="305">
        <f>IF(E94-6%&lt;0%,0%,E94-6%)</f>
        <v>0.1</v>
      </c>
      <c r="J94" s="306" t="s">
        <v>457</v>
      </c>
      <c r="K94" s="307">
        <f>E94-D94</f>
        <v>-4.0000000000000008E-2</v>
      </c>
    </row>
    <row r="95" spans="2:11" s="38" customFormat="1" ht="31.5" customHeight="1" thickBot="1" x14ac:dyDescent="0.25">
      <c r="B95" s="287" t="str">
        <f>$B$17</f>
        <v>מגבלת עמלת ניהול חיצוני לשנת 2026</v>
      </c>
      <c r="C95" s="552">
        <v>1E-3</v>
      </c>
      <c r="D95" s="553"/>
      <c r="E95" s="553"/>
      <c r="F95" s="553"/>
      <c r="G95" s="553"/>
      <c r="H95" s="553"/>
      <c r="I95" s="553"/>
      <c r="J95" s="553"/>
      <c r="K95" s="554"/>
    </row>
    <row r="96" spans="2:11" x14ac:dyDescent="0.25">
      <c r="B96" s="118"/>
    </row>
    <row r="101" spans="4:4" x14ac:dyDescent="0.25">
      <c r="D101" s="8" t="s">
        <v>393</v>
      </c>
    </row>
  </sheetData>
  <mergeCells count="150">
    <mergeCell ref="B70:B71"/>
    <mergeCell ref="B88:B89"/>
    <mergeCell ref="B52:B53"/>
    <mergeCell ref="B34:B35"/>
    <mergeCell ref="B10:B11"/>
    <mergeCell ref="C41:K41"/>
    <mergeCell ref="C59:K59"/>
    <mergeCell ref="C77:K77"/>
    <mergeCell ref="C95:K95"/>
    <mergeCell ref="K86:K87"/>
    <mergeCell ref="C88:C89"/>
    <mergeCell ref="D88:D89"/>
    <mergeCell ref="K88:K89"/>
    <mergeCell ref="B80:K81"/>
    <mergeCell ref="B83:B85"/>
    <mergeCell ref="C83:C85"/>
    <mergeCell ref="D83:D85"/>
    <mergeCell ref="K83:K85"/>
    <mergeCell ref="E83:E85"/>
    <mergeCell ref="E86:E87"/>
    <mergeCell ref="E88:E89"/>
    <mergeCell ref="B86:B87"/>
    <mergeCell ref="C86:C87"/>
    <mergeCell ref="D86:D87"/>
    <mergeCell ref="F83:F85"/>
    <mergeCell ref="I83:I85"/>
    <mergeCell ref="I86:I87"/>
    <mergeCell ref="I88:I89"/>
    <mergeCell ref="F86:F87"/>
    <mergeCell ref="F88:F89"/>
    <mergeCell ref="I47:I49"/>
    <mergeCell ref="B47:B49"/>
    <mergeCell ref="C47:C49"/>
    <mergeCell ref="D47:D49"/>
    <mergeCell ref="E47:E49"/>
    <mergeCell ref="F47:F49"/>
    <mergeCell ref="G70:G71"/>
    <mergeCell ref="H70:H71"/>
    <mergeCell ref="G82:I82"/>
    <mergeCell ref="G83:G85"/>
    <mergeCell ref="H83:H85"/>
    <mergeCell ref="G86:G87"/>
    <mergeCell ref="H86:H87"/>
    <mergeCell ref="G88:G89"/>
    <mergeCell ref="H88:H89"/>
    <mergeCell ref="B68:B69"/>
    <mergeCell ref="D68:D69"/>
    <mergeCell ref="E70:E71"/>
    <mergeCell ref="K68:K69"/>
    <mergeCell ref="D50:D51"/>
    <mergeCell ref="E50:E51"/>
    <mergeCell ref="F50:F51"/>
    <mergeCell ref="I50:I51"/>
    <mergeCell ref="E65:E67"/>
    <mergeCell ref="E68:E69"/>
    <mergeCell ref="K70:K71"/>
    <mergeCell ref="C65:C67"/>
    <mergeCell ref="C68:C69"/>
    <mergeCell ref="C70:C71"/>
    <mergeCell ref="K52:K53"/>
    <mergeCell ref="D70:D71"/>
    <mergeCell ref="I52:I53"/>
    <mergeCell ref="C52:C53"/>
    <mergeCell ref="D52:D53"/>
    <mergeCell ref="E52:E53"/>
    <mergeCell ref="I65:I67"/>
    <mergeCell ref="I68:I69"/>
    <mergeCell ref="F68:F69"/>
    <mergeCell ref="F70:F71"/>
    <mergeCell ref="I70:I71"/>
    <mergeCell ref="G68:G69"/>
    <mergeCell ref="H68:H69"/>
    <mergeCell ref="K10:K11"/>
    <mergeCell ref="E5:E7"/>
    <mergeCell ref="E8:E9"/>
    <mergeCell ref="F10:F11"/>
    <mergeCell ref="F5:F7"/>
    <mergeCell ref="F8:F9"/>
    <mergeCell ref="E10:E11"/>
    <mergeCell ref="B50:B51"/>
    <mergeCell ref="B26:K27"/>
    <mergeCell ref="C50:C51"/>
    <mergeCell ref="F34:F35"/>
    <mergeCell ref="B32:B33"/>
    <mergeCell ref="C32:C33"/>
    <mergeCell ref="K50:K51"/>
    <mergeCell ref="K32:K33"/>
    <mergeCell ref="E29:E31"/>
    <mergeCell ref="D34:D35"/>
    <mergeCell ref="E34:E35"/>
    <mergeCell ref="K47:K49"/>
    <mergeCell ref="I29:I31"/>
    <mergeCell ref="K29:K31"/>
    <mergeCell ref="I34:I35"/>
    <mergeCell ref="K34:K35"/>
    <mergeCell ref="C17:K17"/>
    <mergeCell ref="F29:F31"/>
    <mergeCell ref="B2:K3"/>
    <mergeCell ref="B44:K45"/>
    <mergeCell ref="K65:K67"/>
    <mergeCell ref="B29:B31"/>
    <mergeCell ref="C29:C31"/>
    <mergeCell ref="D29:D31"/>
    <mergeCell ref="D32:D33"/>
    <mergeCell ref="E32:E33"/>
    <mergeCell ref="F32:F33"/>
    <mergeCell ref="C34:C35"/>
    <mergeCell ref="C8:C9"/>
    <mergeCell ref="B8:B9"/>
    <mergeCell ref="I5:I7"/>
    <mergeCell ref="I10:I11"/>
    <mergeCell ref="C5:C7"/>
    <mergeCell ref="D5:D7"/>
    <mergeCell ref="C10:C11"/>
    <mergeCell ref="D10:D11"/>
    <mergeCell ref="D8:D9"/>
    <mergeCell ref="K5:K7"/>
    <mergeCell ref="K8:K9"/>
    <mergeCell ref="I8:I9"/>
    <mergeCell ref="F52:F53"/>
    <mergeCell ref="G28:I28"/>
    <mergeCell ref="G29:G31"/>
    <mergeCell ref="H29:H31"/>
    <mergeCell ref="G32:G33"/>
    <mergeCell ref="H32:H33"/>
    <mergeCell ref="G34:G35"/>
    <mergeCell ref="H34:H35"/>
    <mergeCell ref="G4:I4"/>
    <mergeCell ref="G5:G7"/>
    <mergeCell ref="H5:H7"/>
    <mergeCell ref="G8:G9"/>
    <mergeCell ref="H8:H9"/>
    <mergeCell ref="G10:G11"/>
    <mergeCell ref="H10:H11"/>
    <mergeCell ref="I32:I33"/>
    <mergeCell ref="G20:I20"/>
    <mergeCell ref="G46:I46"/>
    <mergeCell ref="G47:G49"/>
    <mergeCell ref="H47:H49"/>
    <mergeCell ref="G50:G51"/>
    <mergeCell ref="H50:H51"/>
    <mergeCell ref="G52:G53"/>
    <mergeCell ref="H52:H53"/>
    <mergeCell ref="G64:I64"/>
    <mergeCell ref="G65:G67"/>
    <mergeCell ref="H65:H67"/>
    <mergeCell ref="B62:K63"/>
    <mergeCell ref="B65:B67"/>
    <mergeCell ref="D65:D67"/>
    <mergeCell ref="F65:F67"/>
  </mergeCells>
  <conditionalFormatting sqref="K5:K14 K16">
    <cfRule type="cellIs" dxfId="11" priority="13" operator="lessThan">
      <formula>0</formula>
    </cfRule>
    <cfRule type="cellIs" dxfId="10" priority="14" operator="greaterThan">
      <formula>0</formula>
    </cfRule>
  </conditionalFormatting>
  <conditionalFormatting sqref="K29:K40">
    <cfRule type="cellIs" dxfId="9" priority="11" operator="lessThan">
      <formula>0</formula>
    </cfRule>
    <cfRule type="cellIs" dxfId="8" priority="12" operator="greaterThan">
      <formula>0</formula>
    </cfRule>
  </conditionalFormatting>
  <conditionalFormatting sqref="K47:K58">
    <cfRule type="cellIs" dxfId="7" priority="9" operator="lessThan">
      <formula>0</formula>
    </cfRule>
    <cfRule type="cellIs" dxfId="6" priority="10" operator="greaterThan">
      <formula>0</formula>
    </cfRule>
  </conditionalFormatting>
  <conditionalFormatting sqref="K65:K76">
    <cfRule type="cellIs" dxfId="5" priority="5" operator="lessThan">
      <formula>0</formula>
    </cfRule>
    <cfRule type="cellIs" dxfId="4" priority="6" operator="greaterThan">
      <formula>0</formula>
    </cfRule>
  </conditionalFormatting>
  <conditionalFormatting sqref="K83:K94">
    <cfRule type="cellIs" dxfId="3" priority="3" operator="lessThan">
      <formula>0</formula>
    </cfRule>
    <cfRule type="cellIs" dxfId="2" priority="4" operator="greaterThan">
      <formula>0</formula>
    </cfRule>
  </conditionalFormatting>
  <conditionalFormatting sqref="K15">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2" ma:contentTypeDescription="צור מסמך חדש." ma:contentTypeScope="" ma:versionID="6c4e79c09361c3b93d121b187212350b">
  <xsd:schema xmlns:xsd="http://www.w3.org/2001/XMLSchema" xmlns:xs="http://www.w3.org/2001/XMLSchema" xmlns:p="http://schemas.microsoft.com/office/2006/metadata/properties" xmlns:ns1="http://schemas.microsoft.com/sharepoint/v3" targetNamespace="http://schemas.microsoft.com/office/2006/metadata/properties" ma:root="true" ma:fieldsID="1c8425dcfec8b26b73b06b17b484fca1" ns1:_="">
    <xsd:import namespace="http://schemas.microsoft.com/sharepoint/v3"/>
    <xsd:element name="properties">
      <xsd:complexType>
        <xsd:sequence>
          <xsd:element name="documentManagement">
            <xsd:complexType>
              <xsd:all>
                <xsd:element ref="ns1:PublishingStartDate" minOccurs="0"/>
                <xsd:element ref="ns1:PublishingExpirationDate" minOccurs="0"/>
                <xsd:element ref="ns1:eWaveListOrderVal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2BF5A0-7DF5-411E-89CB-8E7EF1A9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D16F68-D097-4C58-8C3F-2E497934F597}">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35B30A68-F7AA-4EEC-BC91-7867DA87A2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19</vt:i4>
      </vt:variant>
      <vt:variant>
        <vt:lpstr>טווחים בעלי שם</vt:lpstr>
      </vt:variant>
      <vt:variant>
        <vt:i4>2</vt:i4>
      </vt:variant>
    </vt:vector>
  </HeadingPairs>
  <TitlesOfParts>
    <vt:vector size="21"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עוקב מדדי מניות - DIV</vt:lpstr>
      <vt:lpstr>מניות סחיר - 100% ישראל</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2026-08-23T12:05:35Z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