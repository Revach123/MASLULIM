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rv\public\השקעות\back office\אוצר-הוצאות ישירות\2024\"/>
    </mc:Choice>
  </mc:AlternateContent>
  <bookViews>
    <workbookView xWindow="0" yWindow="0" windowWidth="25200" windowHeight="11880" tabRatio="902"/>
  </bookViews>
  <sheets>
    <sheet name="נספח 1 - מצרפי" sheetId="1" r:id="rId1"/>
    <sheet name="קרן ט" sheetId="5" r:id="rId2"/>
    <sheet name="קרן י" sheetId="6" r:id="rId3"/>
    <sheet name="הכשרה כללי" sheetId="7" r:id="rId4"/>
    <sheet name="הכשרה אגח ממשלות" sheetId="8" r:id="rId5"/>
    <sheet name="הכשרה מניות" sheetId="9" r:id="rId6"/>
    <sheet name="כספי שקלי" sheetId="10" r:id="rId7"/>
    <sheet name="הכשרה לבני 50 ומטה" sheetId="11" r:id="rId8"/>
    <sheet name="הכשרה לבני 50-60" sheetId="12" r:id="rId9"/>
    <sheet name="הכשרה לבני 60 ומעלה" sheetId="13" r:id="rId10"/>
    <sheet name="הכשרה מקבלי קצבה" sheetId="14" r:id="rId11"/>
    <sheet name="הכשרה אשראי ואג&quot;ח" sheetId="15" r:id="rId12"/>
    <sheet name="הכשרה אשראי ואג&quot;ח עד 25%" sheetId="34" r:id="rId13"/>
    <sheet name="הכשרה עוקב מדדים גמיש" sheetId="16" r:id="rId14"/>
    <sheet name="הכשרה משולב סחיר" sheetId="17" r:id="rId15"/>
    <sheet name="אלשטולר כללי" sheetId="18" r:id="rId16"/>
    <sheet name="אלשטושלר מניות" sheetId="19" r:id="rId17"/>
    <sheet name="אלטשולר אג&quot;ח" sheetId="20" r:id="rId18"/>
    <sheet name="ילין כללי" sheetId="21" r:id="rId19"/>
    <sheet name="ילין מניות" sheetId="22" r:id="rId20"/>
    <sheet name="ילין אג&quot;ח" sheetId="23" r:id="rId21"/>
    <sheet name="מיטב כללי" sheetId="24" r:id="rId22"/>
    <sheet name="מיטב מניות" sheetId="25" r:id="rId23"/>
    <sheet name="מיטב אג&quot;ח" sheetId="26" r:id="rId24"/>
    <sheet name="פאסיבי כללי" sheetId="35" r:id="rId25"/>
    <sheet name="הכשרה עוקב מדד SP500" sheetId="27" r:id="rId26"/>
    <sheet name="מור כללי" sheetId="28" r:id="rId27"/>
    <sheet name="מור מניות" sheetId="29" r:id="rId28"/>
    <sheet name="מור אג&quot;ח" sheetId="30" r:id="rId29"/>
    <sheet name="אנליסט כללי" sheetId="31" r:id="rId30"/>
    <sheet name="אנליסט מניות" sheetId="32" r:id="rId31"/>
    <sheet name="אנליסט אג&quot;ח" sheetId="33" r:id="rId32"/>
    <sheet name="נספח 2" sheetId="3" r:id="rId33"/>
    <sheet name="נספח 3" sheetId="4" r:id="rId34"/>
  </sheets>
  <definedNames>
    <definedName name="_xlnm.Print_Area" localSheetId="0">'נספח 1 - מצרפי'!$A$1:$B$65</definedName>
    <definedName name="_xlnm.Print_Area" localSheetId="32">'נספח 2'!$A$1:$B$47</definedName>
    <definedName name="_xlnm.Print_Area" localSheetId="33">'נספח 3'!$A$1:$B$77</definedName>
    <definedName name="_xlnm.Print_Area" localSheetId="1">'קרן ט'!$A$1:$B$65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1" l="1"/>
  <c r="B45" i="1"/>
  <c r="B44" i="1"/>
  <c r="B43" i="1"/>
  <c r="B42" i="1"/>
  <c r="B41" i="1"/>
  <c r="B40" i="1"/>
  <c r="B39" i="1"/>
  <c r="B38" i="1"/>
  <c r="B30" i="1"/>
  <c r="B29" i="1"/>
  <c r="B17" i="1"/>
  <c r="B14" i="1"/>
  <c r="B10" i="1"/>
  <c r="B59" i="4" l="1"/>
  <c r="B48" i="4"/>
  <c r="B38" i="4"/>
  <c r="B31" i="4"/>
  <c r="B16" i="4"/>
  <c r="B10" i="4"/>
  <c r="B31" i="3" l="1"/>
  <c r="B9" i="3"/>
  <c r="B13" i="3"/>
  <c r="B54" i="1" l="1"/>
  <c r="B35" i="1"/>
  <c r="B12" i="1"/>
  <c r="B8" i="1"/>
  <c r="B16" i="1"/>
  <c r="B20" i="1"/>
  <c r="B22" i="1"/>
  <c r="B24" i="1"/>
  <c r="B64" i="4"/>
  <c r="B18" i="3"/>
  <c r="B22" i="3" s="1"/>
  <c r="B28" i="1" l="1"/>
  <c r="B37" i="1"/>
  <c r="B48" i="1" s="1"/>
  <c r="B47" i="3"/>
  <c r="B26" i="1"/>
  <c r="B75" i="4"/>
  <c r="B66" i="4"/>
  <c r="B59" i="1" l="1"/>
  <c r="B61" i="1" s="1"/>
  <c r="B32" i="1"/>
</calcChain>
</file>

<file path=xl/sharedStrings.xml><?xml version="1.0" encoding="utf-8"?>
<sst xmlns="http://schemas.openxmlformats.org/spreadsheetml/2006/main" count="1527" uniqueCount="158">
  <si>
    <t>אלפי ₪</t>
  </si>
  <si>
    <t xml:space="preserve">הוצאות ישירות שאינן מסוג עמלת ניהול חיצוני 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</si>
  <si>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</si>
  <si>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</si>
  <si>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</si>
  <si>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</si>
  <si>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</si>
  <si>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</si>
  <si>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r>
      <t>א.</t>
    </r>
    <r>
      <rPr>
        <b/>
        <strike/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הוצאה הנובעת מהשקעה בניירות ערך לא סחירים או ממתן הלוואה למי שאינו עמית או מבוטח </t>
    </r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</si>
  <si>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</si>
  <si>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</si>
  <si>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5. סך הוצאות בעד ניהול תביעות</t>
  </si>
  <si>
    <t>6. סך הוצאות בעד מתן משכנתאות</t>
  </si>
  <si>
    <t>7. סך הכל הוצאות ישירות שאינן מסוג עמלת ניהול חיצוני (סכום סעיפים 1 עד 6)</t>
  </si>
  <si>
    <t>8. שווי ממוצע של נכסי הקופה או המסלול (ממוצע פשוט של סעיפים8א ו- 8ב)</t>
  </si>
  <si>
    <t>9. שיעור שנתי של הוצאות ישירות שאינן מסוג עמלת ניהול חיצוני (חלוקה של סעיף 7 בסעיף 8)</t>
  </si>
  <si>
    <t>הוצאות ישירות מסוג עמלת ניהול חיצוני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</si>
  <si>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</si>
  <si>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</si>
  <si>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</si>
  <si>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</si>
  <si>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</si>
  <si>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</si>
  <si>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</si>
  <si>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</si>
  <si>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</si>
  <si>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</si>
  <si>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</si>
  <si>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r>
      <t xml:space="preserve">12. שיעור עמלת ניהול חיצוני בפועל </t>
    </r>
    <r>
      <rPr>
        <sz val="12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לפני החזר, ככל שבוצע (חלוקה של סעיף 11 בסעיף 8.ב)</t>
    </r>
  </si>
  <si>
    <t>13. שיעור מגבלת עמלת ניהול חיצוני שהמשקיע המוסדי הצהיר עליה עבור שנת הכספים שהסתיימה</t>
  </si>
  <si>
    <t>14. ההפרש בין שיעור מגבלת עמלת ניהול חיצוני מוצהרת לבין שיעור  עמלת ניהול חיצוני בפועל (סעיף 13 פחות סעיף 12)</t>
  </si>
  <si>
    <t>15.א סכום שהוחזר לחוסכים (אם הוחזר)</t>
  </si>
  <si>
    <t>15.ב שיעור עמלת ניהול חיצוני בפועל לאחר החזר, (חלוקה של התוצאה של סעיף 11 בניכוי סעיף 15א, בסעיף 8.ב)</t>
  </si>
  <si>
    <t>סך הכל הוצאות ישירות בפועל (למעט דמי ניהול משתנים כאמור בסעיף 10)</t>
  </si>
  <si>
    <t>16. סך כל הוצאות ישירות (סכום של סעיף 7 וסעיף 1 1בניכוי סעיף 15א)</t>
  </si>
  <si>
    <t>17. שיעור סך ההוצאות הישירות מתוך יתרת נכסים ממוצעת (חלוקה של סעיף 16 בסעיף 8)</t>
  </si>
  <si>
    <t>סך הכל הוצאות ישירות (לצורך חישוב שיעור עלות שנתית צפויה)</t>
  </si>
  <si>
    <t>19. De: שיעור הוצאות ישירות (סכום של סעיף 9 וסעיף 18)</t>
  </si>
  <si>
    <t>2. סך הכל דמי שמירה בשל ניירות ערך סחירים וכל עמלה שגובה מי שמבצע את משמרות ניירות הערך עמלות (קסטודיאן)</t>
  </si>
  <si>
    <t>16. סך כל הוצאות ישירות (סכום של סעיף 7 וסעיף 11 בניכוי סעיף 15א)</t>
  </si>
  <si>
    <t>ברוקארז'- עמלות קנייה ומכירה בגין ביצוע עסקאות בניירות ערך סחירים</t>
  </si>
  <si>
    <t>צדדים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</si>
  <si>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</si>
  <si>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</si>
  <si>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</si>
  <si>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</si>
  <si>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</si>
  <si>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</si>
  <si>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</si>
  <si>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</si>
  <si>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</si>
  <si>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</si>
  <si>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</si>
  <si>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</si>
  <si>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r>
      <t>סך הכל עמלות והוצאות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שאינן עמלות ניהול חיצוני</t>
    </r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</si>
  <si>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</si>
  <si>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</si>
  <si>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</si>
  <si>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</si>
  <si>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</si>
  <si>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</si>
  <si>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</si>
  <si>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</si>
  <si>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</si>
  <si>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</si>
  <si>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תשלום למנהלי קרנות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</si>
  <si>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</si>
  <si>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</si>
  <si>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</si>
  <si>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קרן נאמנות ישראלית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</si>
  <si>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</si>
  <si>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</si>
  <si>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</si>
  <si>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</si>
  <si>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סך תשלום בגין השקעה בקרן טכנולוגיה עילית</t>
  </si>
  <si>
    <t>סך הכל עמלות ניהול חיצוני</t>
  </si>
  <si>
    <t>תשלום של דמי ניהול משתנים</t>
  </si>
  <si>
    <t>סך דמי ניהול משתנים</t>
  </si>
  <si>
    <t>סך הכל נכסים לסוף שנה קודמת</t>
  </si>
  <si>
    <t>שם חברת הביטוח: הכשרה חברה לביטוח - משתתפות ברווחים</t>
  </si>
  <si>
    <t xml:space="preserve">18. שיעור מגבלת עמלת ניהול חיצוני שהמשקיע המוסדי הצהיר עליה בהתאם לתקנה 2א לתקנות הוצאות ישירות עבור שנת הכספים הבאה </t>
  </si>
  <si>
    <t>שם חברת הביטוח: הכשרה חברה לביטוח -  קרן ט</t>
  </si>
  <si>
    <t>שם חברת הביטוח: הכשרה חברה לביטוח - קרן י</t>
  </si>
  <si>
    <t>שם חברת הביטוח: הכשרה חברה לביטוח - מסלולית כללית</t>
  </si>
  <si>
    <t>שם חברת הביטוח: הכשרה חברה לביטוח - מסלולית מניות</t>
  </si>
  <si>
    <t>שם חברת הביטוח: הכשרה חברה לביטוח - הכשרה לבני 50 ומטה</t>
  </si>
  <si>
    <t>שם חברת הביטוח: הכשרה חברה לביטוח - הכשרה לבני 50-60</t>
  </si>
  <si>
    <t>שם חברת הביטוח: הכשרה חברה לביטוח - הכשרה לבני 60 ומעלה</t>
  </si>
  <si>
    <t>שם חברת הביטוח: הכשרה חברה לביטוח - הכשרה מקבלי קצבה</t>
  </si>
  <si>
    <t>שם חברת הביטוח: הכשרה חברה לביטוח - הכשרה אג"ח</t>
  </si>
  <si>
    <t>שם חברת הביטוח: הכשרה חברה לביטוח - הכשרה עוקב מדדים גמיש</t>
  </si>
  <si>
    <t>שם חברת הביטוח: הכשרה חברה לביטוח - הכשרה משולב סחיר</t>
  </si>
  <si>
    <t>שם חברת הביטוח: הכשרה חברה לביטוח - בסט אינווסט אלטשולר שחם כללי</t>
  </si>
  <si>
    <t>שם חברת הביטוח: הכשרה חברה לביטוח - בסט אינווסט אלטשולר שחם מניות</t>
  </si>
  <si>
    <t>שם חברת הביטוח: הכשרה חברה לביטוח - בסט אינווסט ילין לפידות כללי</t>
  </si>
  <si>
    <t>שם חברת הביטוח: הכשרה חברה לביטוח - בסט אינווסט ילין לפידות מניות</t>
  </si>
  <si>
    <t>שם חברת הביטוח: הכשרה חברה לביטוח - בסט אינווסט מיטב דש כללי</t>
  </si>
  <si>
    <t>שם חברת הביטוח: הכשרה חברה לביטוח - בסט אינווסט מיטב דש מניות</t>
  </si>
  <si>
    <t>שם חברת הביטוח: הכשרה חברה לביטוח - בסט אינווסט מור כללי</t>
  </si>
  <si>
    <t>שם חברת הביטוח: הכשרה חברה לביטוח - בסט אינווסט מור מניות</t>
  </si>
  <si>
    <t>שם חברת הביטוח: הכשרה חברה לביטוח - בסט אינווסט אנליסט כללי</t>
  </si>
  <si>
    <t>שם חברת הביטוח: הכשרה חברה לביטוח - בסט אינווסט אנליסט מניות</t>
  </si>
  <si>
    <t xml:space="preserve">   (1) בנק מזרחי</t>
  </si>
  <si>
    <t>צדדים קשורים :</t>
  </si>
  <si>
    <t>צדדים שאינם קשורים :</t>
  </si>
  <si>
    <t>צדדים שאינם קשורים  :</t>
  </si>
  <si>
    <t xml:space="preserve">   (2) בנק לאומי</t>
  </si>
  <si>
    <t xml:space="preserve">   (3) אחרים</t>
  </si>
  <si>
    <t xml:space="preserve">  (1)  ISHARES</t>
  </si>
  <si>
    <t xml:space="preserve">  (6)  אחרים</t>
  </si>
  <si>
    <t xml:space="preserve">  (2)  קסם קרנות נאמנות</t>
  </si>
  <si>
    <t xml:space="preserve">18. שיעור מגבלת עמלת ניהול חיצוני שהמשקיע המוסדי הצהיר עליה בהתאם לתקנה 2א לתקנות הוצאות ישירות עבור שנת הכספים הבאה 20XX +1 </t>
  </si>
  <si>
    <r>
      <t xml:space="preserve">נספח 1- סך  ההוצאות הישירות ששולמו בעד כל סוג של הוצאה ישירה לתקופה המסתיימת ביום </t>
    </r>
    <r>
      <rPr>
        <b/>
        <sz val="14"/>
        <color theme="1"/>
        <rFont val="Arial Narrow"/>
        <family val="2"/>
      </rPr>
      <t>31.12.2024</t>
    </r>
  </si>
  <si>
    <r>
      <t xml:space="preserve">נספח  2- סך  ההוצאות הישירות ששולמו בעד כל סוג של הוצאה ישירה לתקופה המסתיימת ביום </t>
    </r>
    <r>
      <rPr>
        <b/>
        <sz val="14"/>
        <color theme="1"/>
        <rFont val="Arial Narrow"/>
        <family val="2"/>
      </rPr>
      <t>31.12.2024</t>
    </r>
  </si>
  <si>
    <r>
      <t xml:space="preserve">נספח 3 - סך  ההוצאות הישירות ששולמו בעד כל סוג של הוצאה ישירה לתקופה המסתיימת ביום </t>
    </r>
    <r>
      <rPr>
        <b/>
        <sz val="14"/>
        <color theme="1"/>
        <rFont val="Arial Narrow"/>
        <family val="2"/>
      </rPr>
      <t>31.12.2024</t>
    </r>
  </si>
  <si>
    <t>שם חברת הביטוח: הכשרה חברה לביטוח - הכשרה אשראי ואג"ח עד 25%</t>
  </si>
  <si>
    <t>שם חברת הביטוח: הכשרה חברה לביטוח - הכשרה עוקב מדד SP500</t>
  </si>
  <si>
    <t xml:space="preserve">  31.12.2024 נספח 1- סך  ההוצאות הישירות ששולמו בעד כל סוג של הוצאה ישירה לתקופה המסתיימת ביום</t>
  </si>
  <si>
    <t>שם חברת הביטוח: הכשרה חברה לביטוח - בסט אינווסט אלטשולר שחם אג"ח ממשלות</t>
  </si>
  <si>
    <t>שם חברת הביטוח: הכשרה חברה לביטוח - בסט אינווסט ילין לפידות אג"ח ממשלות</t>
  </si>
  <si>
    <t>שם חברת הביטוח: הכשרה חברה לביטוח - בסט אינווסט מיטב דש אג"ח ממשלות</t>
  </si>
  <si>
    <t xml:space="preserve"> שם חברת הביטוח: הכשרה חברה לביטוח - בסט אינווסט מור אג"ח ממשלות</t>
  </si>
  <si>
    <t>שם חברת הביטוח: הכשרה חברה לביטוח - בסט אינווסט אנליסט אג"ח ממשלות</t>
  </si>
  <si>
    <t>שם חברת הביטוח: הכשרה חברה לביטוח - מסלולית אג"ח ממשלות</t>
  </si>
  <si>
    <t>שם חברת הביטוח: הכשרה חברה לביטוח - הכשרה כספי שקלי</t>
  </si>
  <si>
    <t xml:space="preserve">   (2) איביאי</t>
  </si>
  <si>
    <t xml:space="preserve">  (1)  עו"ד ארנון שגב</t>
  </si>
  <si>
    <t xml:space="preserve">  (2)  BDO - זיו הפאט</t>
  </si>
  <si>
    <t xml:space="preserve">  (3)  קוזאיוף עו"ד</t>
  </si>
  <si>
    <t xml:space="preserve">  (4)  ארדינסט בן נתן טולידאנו</t>
  </si>
  <si>
    <t xml:space="preserve">  (5)  קרן - משרד עורכי דין</t>
  </si>
  <si>
    <t>(1)   קרן JTLV 2</t>
  </si>
  <si>
    <t>(2)    אחרים</t>
  </si>
  <si>
    <t>    FUSE 11  (1)</t>
  </si>
  <si>
    <t xml:space="preserve">  (2)  Invesco Capital Management LLC</t>
  </si>
  <si>
    <t xml:space="preserve">  (3)  אחרים</t>
  </si>
  <si>
    <t xml:space="preserve">  (1)  מיטב קרנות נאמנות</t>
  </si>
  <si>
    <t>(1) מגדל קרנות נאמנות</t>
  </si>
  <si>
    <t>(2) איביאי קרנות נאמנות</t>
  </si>
  <si>
    <t>(3) קסם קרנות נאמנות</t>
  </si>
  <si>
    <t>(4) קסם קרנות נאמנות</t>
  </si>
  <si>
    <t>(4) הראל קרנות מדד</t>
  </si>
  <si>
    <t xml:space="preserve">  (1)  KOTAK</t>
  </si>
  <si>
    <t xml:space="preserve">   (3) Invesco Management S.A </t>
  </si>
  <si>
    <t xml:space="preserve">  (4) Nomura Asset Management</t>
  </si>
  <si>
    <t xml:space="preserve">   (2) INDIA ACORN ICA </t>
  </si>
  <si>
    <t xml:space="preserve">  (5)  PIMCO</t>
  </si>
  <si>
    <t>(1)  איביאי טכנולוגיה עלית</t>
  </si>
  <si>
    <t xml:space="preserve">  (1)  קרן  ברוש</t>
  </si>
  <si>
    <t xml:space="preserve">  (2)  קרן  SG VC 6</t>
  </si>
  <si>
    <t xml:space="preserve">  (3)  קרן מיילסטון 4 MREI</t>
  </si>
  <si>
    <t xml:space="preserve">  (4) קרן גיזה</t>
  </si>
  <si>
    <t xml:space="preserve">  (5) אחרים</t>
  </si>
  <si>
    <t>א. השווי המשוערך של  נכסי הקופה או המסלול נכון ליום 31 בדצמבר של שנת הכספים שהסתיימה 2024</t>
  </si>
  <si>
    <r>
      <t xml:space="preserve">ב. השווי המשוערך של נכסי הקופה או המסלול נכון ליום 31 בדצמבר של שנת הכספים שהסתיימה לפני 2023 </t>
    </r>
    <r>
      <rPr>
        <sz val="12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או לתקופה אחרת לפי העניין</t>
    </r>
  </si>
  <si>
    <t>שם חברת הביטוח: הכשרה חברה לביטוח - הכשרה פאסיבי כללי</t>
  </si>
  <si>
    <t>*  31.12.2024 נספח 1- סך  ההוצאות הישירות ששולמו בעד כל סוג של הוצאה ישירה לתקופה המסתיימת ביום</t>
  </si>
  <si>
    <t xml:space="preserve">* מסלול מוזג ביום 01.07.24 ולכן נתוני הוצאות ישירות נכונות עד ליום 30.06.24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</si>
</sst>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trike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rial Narrow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0"/>
      <color rgb="FF000080"/>
      <name val="Arial"/>
      <family val="2"/>
    </font>
    <font>
      <sz val="13"/>
      <color theme="1"/>
      <name val="Arial"/>
      <family val="2"/>
    </font>
    <font>
      <sz val="10"/>
      <color rgb="FF00008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1"/>
      <color indexed="8"/>
      <name val="Arial"/>
      <family val="2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charset val="177"/>
    </font>
    <font>
      <b/>
      <sz val="10"/>
      <color rgb="FF00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thin">
        <color indexed="64"/>
      </bottom>
      <diagonal/>
    </border>
    <border>
      <left/>
      <right style="medium">
        <color rgb="FF808080"/>
      </right>
      <top style="medium">
        <color rgb="FF808080"/>
      </top>
      <bottom style="thin">
        <color indexed="64"/>
      </bottom>
      <diagonal/>
    </border>
    <border>
      <left/>
      <right style="medium">
        <color rgb="FF808080"/>
      </right>
      <top/>
      <bottom style="thin">
        <color indexed="64"/>
      </bottom>
      <diagonal/>
    </border>
  </borders>
  <cellStyleXfs count="20">
    <xf numFmtId="0" fontId="0" fillId="0" borderId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4" fillId="0" borderId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" fillId="0" borderId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 applyAlignment="1">
      <alignment horizontal="center" vertical="center" readingOrder="2"/>
    </xf>
    <xf numFmtId="0" fontId="10" fillId="0" borderId="0" xfId="0" applyFont="1" applyAlignment="1">
      <alignment horizontal="center" vertical="center" readingOrder="2"/>
    </xf>
    <xf numFmtId="0" fontId="3" fillId="6" borderId="5" xfId="0" applyFont="1" applyFill="1" applyBorder="1" applyAlignment="1">
      <alignment horizontal="justify" vertical="center" wrapText="1" readingOrder="2"/>
    </xf>
    <xf numFmtId="0" fontId="17" fillId="6" borderId="7" xfId="0" applyFont="1" applyFill="1" applyBorder="1" applyAlignment="1">
      <alignment horizontal="justify" vertical="center" wrapText="1" readingOrder="2"/>
    </xf>
    <xf numFmtId="0" fontId="6" fillId="7" borderId="7" xfId="0" applyFont="1" applyFill="1" applyBorder="1" applyAlignment="1">
      <alignment horizontal="justify" vertical="center" wrapText="1" readingOrder="2"/>
    </xf>
    <xf numFmtId="0" fontId="3" fillId="6" borderId="8" xfId="0" applyFont="1" applyFill="1" applyBorder="1" applyAlignment="1">
      <alignment horizontal="right" vertical="center" wrapText="1" readingOrder="2"/>
    </xf>
    <xf numFmtId="0" fontId="17" fillId="7" borderId="7" xfId="0" applyFont="1" applyFill="1" applyBorder="1" applyAlignment="1">
      <alignment horizontal="justify" vertical="center" wrapText="1" readingOrder="2"/>
    </xf>
    <xf numFmtId="0" fontId="0" fillId="0" borderId="0" xfId="0" applyAlignment="1">
      <alignment horizontal="right"/>
    </xf>
    <xf numFmtId="0" fontId="16" fillId="6" borderId="6" xfId="0" applyFont="1" applyFill="1" applyBorder="1" applyAlignment="1">
      <alignment horizontal="right" vertical="center" wrapText="1" readingOrder="2"/>
    </xf>
    <xf numFmtId="0" fontId="8" fillId="6" borderId="8" xfId="0" applyFont="1" applyFill="1" applyBorder="1" applyAlignment="1">
      <alignment horizontal="right" vertical="center" wrapText="1" readingOrder="2"/>
    </xf>
    <xf numFmtId="0" fontId="16" fillId="6" borderId="8" xfId="0" applyFont="1" applyFill="1" applyBorder="1" applyAlignment="1">
      <alignment horizontal="right" vertical="center" wrapText="1" readingOrder="2"/>
    </xf>
    <xf numFmtId="0" fontId="18" fillId="6" borderId="8" xfId="0" applyFont="1" applyFill="1" applyBorder="1" applyAlignment="1">
      <alignment horizontal="right" vertical="center" wrapText="1" readingOrder="2"/>
    </xf>
    <xf numFmtId="0" fontId="13" fillId="6" borderId="8" xfId="0" applyFont="1" applyFill="1" applyBorder="1" applyAlignment="1">
      <alignment horizontal="right" vertical="center" wrapText="1" readingOrder="2"/>
    </xf>
    <xf numFmtId="0" fontId="8" fillId="0" borderId="0" xfId="0" applyFont="1" applyAlignment="1">
      <alignment horizontal="center" vertical="center" readingOrder="2"/>
    </xf>
    <xf numFmtId="0" fontId="13" fillId="6" borderId="7" xfId="0" applyFont="1" applyFill="1" applyBorder="1" applyAlignment="1">
      <alignment horizontal="justify" vertical="center" wrapText="1" readingOrder="2"/>
    </xf>
    <xf numFmtId="0" fontId="17" fillId="5" borderId="7" xfId="0" applyFont="1" applyFill="1" applyBorder="1" applyAlignment="1">
      <alignment horizontal="justify" vertical="center" wrapText="1" readingOrder="2"/>
    </xf>
    <xf numFmtId="0" fontId="3" fillId="4" borderId="1" xfId="0" applyFont="1" applyFill="1" applyBorder="1" applyAlignment="1">
      <alignment horizontal="justify" vertical="center" readingOrder="2"/>
    </xf>
    <xf numFmtId="0" fontId="3" fillId="4" borderId="2" xfId="0" applyFont="1" applyFill="1" applyBorder="1" applyAlignment="1">
      <alignment horizontal="justify" vertical="center" readingOrder="2"/>
    </xf>
    <xf numFmtId="0" fontId="3" fillId="4" borderId="3" xfId="0" applyFont="1" applyFill="1" applyBorder="1" applyAlignment="1">
      <alignment horizontal="right" vertical="center" readingOrder="1"/>
    </xf>
    <xf numFmtId="0" fontId="2" fillId="4" borderId="3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right" vertical="center" readingOrder="1"/>
    </xf>
    <xf numFmtId="0" fontId="5" fillId="0" borderId="4" xfId="0" applyFont="1" applyBorder="1" applyAlignment="1">
      <alignment horizontal="right" vertical="center" wrapText="1" readingOrder="2"/>
    </xf>
    <xf numFmtId="0" fontId="5" fillId="0" borderId="3" xfId="0" applyFont="1" applyBorder="1" applyAlignment="1">
      <alignment horizontal="right" vertical="center" wrapText="1" indent="3" readingOrder="2"/>
    </xf>
    <xf numFmtId="0" fontId="5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wrapText="1"/>
    </xf>
    <xf numFmtId="0" fontId="9" fillId="0" borderId="3" xfId="0" applyFont="1" applyBorder="1" applyAlignment="1">
      <alignment horizontal="right" vertical="center" wrapText="1" readingOrder="2"/>
    </xf>
    <xf numFmtId="0" fontId="5" fillId="0" borderId="3" xfId="0" applyFont="1" applyBorder="1" applyAlignment="1">
      <alignment horizontal="right" vertical="center" wrapText="1" indent="3" readingOrder="1"/>
    </xf>
    <xf numFmtId="0" fontId="4" fillId="4" borderId="13" xfId="0" applyFont="1" applyFill="1" applyBorder="1" applyAlignment="1">
      <alignment horizontal="center" vertical="center" readingOrder="1"/>
    </xf>
    <xf numFmtId="0" fontId="4" fillId="5" borderId="11" xfId="0" applyFont="1" applyFill="1" applyBorder="1" applyAlignment="1">
      <alignment horizontal="center" vertical="center" readingOrder="1"/>
    </xf>
    <xf numFmtId="0" fontId="6" fillId="4" borderId="13" xfId="0" applyFont="1" applyFill="1" applyBorder="1" applyAlignment="1">
      <alignment horizontal="left" vertical="center" readingOrder="1"/>
    </xf>
    <xf numFmtId="0" fontId="0" fillId="0" borderId="0" xfId="0" applyFill="1" applyBorder="1"/>
    <xf numFmtId="43" fontId="21" fillId="0" borderId="0" xfId="18" applyNumberFormat="1" applyFont="1" applyFill="1" applyBorder="1" applyAlignment="1" applyProtection="1">
      <alignment horizontal="right" indent="1"/>
    </xf>
    <xf numFmtId="43" fontId="4" fillId="0" borderId="13" xfId="0" applyNumberFormat="1" applyFont="1" applyBorder="1" applyAlignment="1">
      <alignment horizontal="left" vertical="center" readingOrder="1"/>
    </xf>
    <xf numFmtId="43" fontId="6" fillId="0" borderId="13" xfId="18" applyFont="1" applyBorder="1" applyAlignment="1">
      <alignment vertical="center" readingOrder="1"/>
    </xf>
    <xf numFmtId="43" fontId="0" fillId="0" borderId="0" xfId="0" applyNumberFormat="1"/>
    <xf numFmtId="10" fontId="4" fillId="0" borderId="13" xfId="19" applyNumberFormat="1" applyFont="1" applyBorder="1" applyAlignment="1">
      <alignment horizontal="right" vertical="center" readingOrder="1"/>
    </xf>
    <xf numFmtId="0" fontId="6" fillId="4" borderId="11" xfId="0" applyFont="1" applyFill="1" applyBorder="1" applyAlignment="1">
      <alignment horizontal="left" vertical="center" readingOrder="1"/>
    </xf>
    <xf numFmtId="43" fontId="21" fillId="0" borderId="16" xfId="18" applyNumberFormat="1" applyFont="1" applyFill="1" applyBorder="1" applyAlignment="1" applyProtection="1">
      <alignment horizontal="right" indent="4"/>
    </xf>
    <xf numFmtId="43" fontId="19" fillId="0" borderId="15" xfId="18" applyNumberFormat="1" applyFont="1" applyFill="1" applyBorder="1" applyAlignment="1" applyProtection="1">
      <alignment horizontal="right" indent="1"/>
    </xf>
    <xf numFmtId="43" fontId="21" fillId="0" borderId="17" xfId="18" applyNumberFormat="1" applyFont="1" applyFill="1" applyBorder="1" applyAlignment="1" applyProtection="1">
      <alignment horizontal="right" indent="4"/>
    </xf>
    <xf numFmtId="0" fontId="6" fillId="4" borderId="15" xfId="0" applyFont="1" applyFill="1" applyBorder="1" applyAlignment="1">
      <alignment horizontal="left" vertical="center" readingOrder="1"/>
    </xf>
    <xf numFmtId="0" fontId="5" fillId="0" borderId="18" xfId="0" applyFont="1" applyBorder="1" applyAlignment="1">
      <alignment horizontal="right" vertical="center" wrapText="1" indent="3" readingOrder="2"/>
    </xf>
    <xf numFmtId="43" fontId="20" fillId="0" borderId="16" xfId="18" applyNumberFormat="1" applyFont="1" applyFill="1" applyBorder="1" applyAlignment="1" applyProtection="1">
      <alignment horizontal="right" indent="1"/>
    </xf>
    <xf numFmtId="43" fontId="20" fillId="0" borderId="17" xfId="18" applyNumberFormat="1" applyFont="1" applyFill="1" applyBorder="1" applyAlignment="1" applyProtection="1">
      <alignment horizontal="right" indent="4"/>
    </xf>
    <xf numFmtId="0" fontId="5" fillId="0" borderId="2" xfId="0" applyFont="1" applyBorder="1" applyAlignment="1">
      <alignment horizontal="right" vertical="center" wrapText="1" readingOrder="2"/>
    </xf>
    <xf numFmtId="0" fontId="5" fillId="0" borderId="19" xfId="0" applyFont="1" applyBorder="1" applyAlignment="1">
      <alignment horizontal="right" vertical="center" wrapText="1" indent="3" readingOrder="2"/>
    </xf>
    <xf numFmtId="43" fontId="21" fillId="0" borderId="20" xfId="18" applyNumberFormat="1" applyFont="1" applyFill="1" applyBorder="1" applyAlignment="1" applyProtection="1">
      <alignment horizontal="right" indent="4"/>
    </xf>
    <xf numFmtId="43" fontId="21" fillId="0" borderId="15" xfId="18" applyNumberFormat="1" applyFont="1" applyFill="1" applyBorder="1" applyAlignment="1" applyProtection="1">
      <alignment horizontal="right" indent="2"/>
    </xf>
    <xf numFmtId="43" fontId="6" fillId="0" borderId="21" xfId="18" applyFont="1" applyBorder="1" applyAlignment="1">
      <alignment vertical="center" readingOrder="1"/>
    </xf>
    <xf numFmtId="0" fontId="5" fillId="0" borderId="23" xfId="0" applyFont="1" applyBorder="1" applyAlignment="1">
      <alignment horizontal="right" vertical="center" wrapText="1" indent="3" readingOrder="2"/>
    </xf>
    <xf numFmtId="0" fontId="5" fillId="0" borderId="22" xfId="0" applyFont="1" applyFill="1" applyBorder="1" applyAlignment="1">
      <alignment horizontal="right" vertical="center" wrapText="1" indent="3" readingOrder="2"/>
    </xf>
    <xf numFmtId="43" fontId="4" fillId="0" borderId="11" xfId="0" applyNumberFormat="1" applyFont="1" applyBorder="1" applyAlignment="1">
      <alignment horizontal="left" vertical="center" readingOrder="1"/>
    </xf>
    <xf numFmtId="43" fontId="21" fillId="0" borderId="19" xfId="18" applyNumberFormat="1" applyFont="1" applyFill="1" applyBorder="1" applyAlignment="1" applyProtection="1">
      <alignment horizontal="left"/>
    </xf>
    <xf numFmtId="43" fontId="21" fillId="0" borderId="14" xfId="18" applyNumberFormat="1" applyFont="1" applyFill="1" applyBorder="1" applyAlignment="1" applyProtection="1">
      <alignment horizontal="left"/>
    </xf>
    <xf numFmtId="43" fontId="21" fillId="0" borderId="20" xfId="18" applyNumberFormat="1" applyFont="1" applyFill="1" applyBorder="1" applyAlignment="1" applyProtection="1">
      <alignment horizontal="left"/>
    </xf>
    <xf numFmtId="0" fontId="17" fillId="6" borderId="7" xfId="0" applyFont="1" applyFill="1" applyBorder="1" applyAlignment="1">
      <alignment horizontal="center" vertical="center" wrapText="1" readingOrder="2"/>
    </xf>
    <xf numFmtId="0" fontId="6" fillId="7" borderId="7" xfId="0" applyFont="1" applyFill="1" applyBorder="1" applyAlignment="1">
      <alignment horizontal="center" vertical="center" wrapText="1" readingOrder="2"/>
    </xf>
    <xf numFmtId="43" fontId="6" fillId="7" borderId="7" xfId="18" applyFont="1" applyFill="1" applyBorder="1" applyAlignment="1">
      <alignment horizontal="center" vertical="center" wrapText="1"/>
    </xf>
    <xf numFmtId="43" fontId="4" fillId="7" borderId="7" xfId="18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justify" vertical="center" wrapText="1" readingOrder="2"/>
    </xf>
    <xf numFmtId="0" fontId="8" fillId="6" borderId="7" xfId="0" applyFont="1" applyFill="1" applyBorder="1" applyAlignment="1">
      <alignment horizontal="right" vertical="center" wrapText="1" readingOrder="2"/>
    </xf>
    <xf numFmtId="0" fontId="17" fillId="6" borderId="7" xfId="0" applyFont="1" applyFill="1" applyBorder="1" applyAlignment="1">
      <alignment horizontal="justify" vertical="center" wrapText="1" readingOrder="2"/>
    </xf>
    <xf numFmtId="0" fontId="0" fillId="0" borderId="0" xfId="0" applyAlignment="1">
      <alignment horizontal="center"/>
    </xf>
    <xf numFmtId="0" fontId="3" fillId="6" borderId="5" xfId="0" applyFont="1" applyFill="1" applyBorder="1" applyAlignment="1">
      <alignment horizontal="center" vertical="center" wrapText="1" readingOrder="2"/>
    </xf>
    <xf numFmtId="0" fontId="17" fillId="7" borderId="7" xfId="0" applyFont="1" applyFill="1" applyBorder="1" applyAlignment="1">
      <alignment horizontal="center" vertical="center" wrapText="1" readingOrder="2"/>
    </xf>
    <xf numFmtId="43" fontId="20" fillId="0" borderId="12" xfId="18" applyNumberFormat="1" applyFont="1" applyFill="1" applyBorder="1" applyAlignment="1" applyProtection="1">
      <alignment horizontal="right" indent="1"/>
    </xf>
    <xf numFmtId="43" fontId="19" fillId="0" borderId="20" xfId="18" applyNumberFormat="1" applyFont="1" applyFill="1" applyBorder="1" applyAlignment="1" applyProtection="1">
      <alignment horizontal="right" indent="1"/>
    </xf>
    <xf numFmtId="0" fontId="5" fillId="0" borderId="24" xfId="0" applyFont="1" applyBorder="1" applyAlignment="1">
      <alignment horizontal="right" vertical="center" wrapText="1" indent="3" readingOrder="2"/>
    </xf>
    <xf numFmtId="43" fontId="21" fillId="0" borderId="16" xfId="18" applyNumberFormat="1" applyFont="1" applyFill="1" applyBorder="1" applyAlignment="1" applyProtection="1">
      <alignment horizontal="right" indent="1"/>
    </xf>
    <xf numFmtId="43" fontId="21" fillId="0" borderId="12" xfId="18" applyNumberFormat="1" applyFont="1" applyFill="1" applyBorder="1" applyAlignment="1" applyProtection="1">
      <alignment horizontal="right" indent="1"/>
    </xf>
    <xf numFmtId="0" fontId="6" fillId="0" borderId="13" xfId="0" applyFont="1" applyFill="1" applyBorder="1" applyAlignment="1">
      <alignment horizontal="left" vertical="center" readingOrder="1"/>
    </xf>
    <xf numFmtId="0" fontId="5" fillId="0" borderId="25" xfId="0" applyFont="1" applyBorder="1" applyAlignment="1">
      <alignment horizontal="right" vertical="center" wrapText="1" indent="3" readingOrder="2"/>
    </xf>
    <xf numFmtId="0" fontId="5" fillId="0" borderId="26" xfId="0" applyFont="1" applyBorder="1" applyAlignment="1">
      <alignment horizontal="right" vertical="center" wrapText="1" readingOrder="2"/>
    </xf>
    <xf numFmtId="0" fontId="5" fillId="0" borderId="27" xfId="0" applyFont="1" applyBorder="1" applyAlignment="1">
      <alignment horizontal="right" vertical="center" wrapText="1" indent="3" readingOrder="2"/>
    </xf>
    <xf numFmtId="43" fontId="4" fillId="0" borderId="28" xfId="0" applyNumberFormat="1" applyFont="1" applyBorder="1" applyAlignment="1">
      <alignment horizontal="left" vertical="center" readingOrder="1"/>
    </xf>
    <xf numFmtId="0" fontId="6" fillId="4" borderId="13" xfId="0" applyFont="1" applyFill="1" applyBorder="1" applyAlignment="1">
      <alignment horizontal="right" vertical="center" readingOrder="1"/>
    </xf>
    <xf numFmtId="2" fontId="4" fillId="0" borderId="13" xfId="0" applyNumberFormat="1" applyFont="1" applyFill="1" applyBorder="1" applyAlignment="1">
      <alignment horizontal="right" vertical="center" readingOrder="1"/>
    </xf>
    <xf numFmtId="10" fontId="22" fillId="0" borderId="12" xfId="0" applyNumberFormat="1" applyFont="1" applyBorder="1" applyAlignment="1">
      <alignment vertical="center" readingOrder="1"/>
    </xf>
    <xf numFmtId="10" fontId="22" fillId="0" borderId="13" xfId="19" applyNumberFormat="1" applyFont="1" applyBorder="1" applyAlignment="1">
      <alignment vertical="center" readingOrder="1"/>
    </xf>
    <xf numFmtId="10" fontId="22" fillId="0" borderId="13" xfId="0" applyNumberFormat="1" applyFont="1" applyBorder="1" applyAlignment="1">
      <alignment vertical="center" readingOrder="1"/>
    </xf>
    <xf numFmtId="0" fontId="22" fillId="0" borderId="13" xfId="0" applyFont="1" applyBorder="1" applyAlignment="1">
      <alignment vertical="center" readingOrder="1"/>
    </xf>
    <xf numFmtId="10" fontId="22" fillId="0" borderId="13" xfId="19" applyNumberFormat="1" applyFont="1" applyFill="1" applyBorder="1" applyAlignment="1">
      <alignment vertical="center" readingOrder="1"/>
    </xf>
    <xf numFmtId="43" fontId="22" fillId="0" borderId="13" xfId="0" applyNumberFormat="1" applyFont="1" applyBorder="1" applyAlignment="1">
      <alignment readingOrder="1"/>
    </xf>
    <xf numFmtId="0" fontId="23" fillId="0" borderId="0" xfId="0" applyFont="1"/>
    <xf numFmtId="43" fontId="24" fillId="6" borderId="7" xfId="18" applyFont="1" applyFill="1" applyBorder="1" applyAlignment="1">
      <alignment horizontal="center" vertical="center" wrapText="1"/>
    </xf>
    <xf numFmtId="43" fontId="25" fillId="7" borderId="7" xfId="0" applyNumberFormat="1" applyFont="1" applyFill="1" applyBorder="1" applyAlignment="1">
      <alignment horizontal="center" vertical="center" wrapText="1" readingOrder="1"/>
    </xf>
    <xf numFmtId="2" fontId="6" fillId="7" borderId="7" xfId="0" applyNumberFormat="1" applyFont="1" applyFill="1" applyBorder="1" applyAlignment="1">
      <alignment horizontal="left" vertical="center" wrapText="1" readingOrder="2"/>
    </xf>
    <xf numFmtId="43" fontId="4" fillId="7" borderId="7" xfId="0" applyNumberFormat="1" applyFont="1" applyFill="1" applyBorder="1" applyAlignment="1">
      <alignment horizontal="right" vertical="center" wrapText="1"/>
    </xf>
    <xf numFmtId="43" fontId="6" fillId="7" borderId="7" xfId="18" applyFont="1" applyFill="1" applyBorder="1" applyAlignment="1">
      <alignment horizontal="justify" vertical="center" wrapText="1" readingOrder="1"/>
    </xf>
    <xf numFmtId="43" fontId="4" fillId="7" borderId="7" xfId="0" applyNumberFormat="1" applyFont="1" applyFill="1" applyBorder="1" applyAlignment="1">
      <alignment horizontal="left" vertical="center" wrapText="1" readingOrder="1"/>
    </xf>
    <xf numFmtId="0" fontId="4" fillId="7" borderId="7" xfId="0" applyFont="1" applyFill="1" applyBorder="1" applyAlignment="1">
      <alignment vertical="center" wrapText="1" readingOrder="2"/>
    </xf>
    <xf numFmtId="2" fontId="6" fillId="7" borderId="7" xfId="0" applyNumberFormat="1" applyFont="1" applyFill="1" applyBorder="1" applyAlignment="1">
      <alignment vertical="center" wrapText="1" readingOrder="2"/>
    </xf>
    <xf numFmtId="2" fontId="4" fillId="7" borderId="7" xfId="0" applyNumberFormat="1" applyFont="1" applyFill="1" applyBorder="1" applyAlignment="1">
      <alignment vertical="center" wrapText="1" readingOrder="2"/>
    </xf>
    <xf numFmtId="43" fontId="6" fillId="7" borderId="7" xfId="18" applyFont="1" applyFill="1" applyBorder="1" applyAlignment="1">
      <alignment horizontal="left" vertical="center" wrapText="1" readingOrder="1"/>
    </xf>
    <xf numFmtId="43" fontId="6" fillId="7" borderId="7" xfId="18" applyFont="1" applyFill="1" applyBorder="1" applyAlignment="1">
      <alignment vertical="center" wrapText="1" readingOrder="1"/>
    </xf>
    <xf numFmtId="43" fontId="4" fillId="0" borderId="13" xfId="18" applyNumberFormat="1" applyFont="1" applyBorder="1" applyAlignment="1">
      <alignment horizontal="left" vertical="center" readingOrder="1"/>
    </xf>
    <xf numFmtId="2" fontId="4" fillId="7" borderId="7" xfId="0" applyNumberFormat="1" applyFont="1" applyFill="1" applyBorder="1" applyAlignment="1">
      <alignment horizontal="left" vertical="center" wrapText="1" readingOrder="2"/>
    </xf>
    <xf numFmtId="0" fontId="6" fillId="0" borderId="7" xfId="0" applyFont="1" applyFill="1" applyBorder="1" applyAlignment="1">
      <alignment horizontal="center" vertical="center" wrapText="1" readingOrder="2"/>
    </xf>
    <xf numFmtId="0" fontId="17" fillId="6" borderId="7" xfId="0" applyFont="1" applyFill="1" applyBorder="1" applyAlignment="1">
      <alignment horizontal="justify" vertical="center" wrapText="1" readingOrder="2"/>
    </xf>
    <xf numFmtId="0" fontId="10" fillId="0" borderId="0" xfId="0" applyFont="1" applyAlignment="1">
      <alignment horizontal="right" vertical="center" readingOrder="2"/>
    </xf>
    <xf numFmtId="0" fontId="6" fillId="7" borderId="29" xfId="0" applyFont="1" applyFill="1" applyBorder="1" applyAlignment="1">
      <alignment horizontal="center" vertical="center" wrapText="1" readingOrder="2"/>
    </xf>
    <xf numFmtId="43" fontId="26" fillId="0" borderId="12" xfId="18" applyNumberFormat="1" applyFont="1" applyFill="1" applyBorder="1" applyAlignment="1" applyProtection="1">
      <alignment horizontal="right" indent="1"/>
    </xf>
    <xf numFmtId="43" fontId="20" fillId="0" borderId="14" xfId="18" applyNumberFormat="1" applyFont="1" applyFill="1" applyBorder="1" applyAlignment="1" applyProtection="1">
      <alignment horizontal="right" indent="1"/>
    </xf>
    <xf numFmtId="0" fontId="27" fillId="6" borderId="8" xfId="0" applyFont="1" applyFill="1" applyBorder="1" applyAlignment="1">
      <alignment horizontal="right" vertical="center" wrapText="1" readingOrder="2"/>
    </xf>
    <xf numFmtId="0" fontId="27" fillId="6" borderId="6" xfId="0" applyFont="1" applyFill="1" applyBorder="1" applyAlignment="1">
      <alignment horizontal="right" vertical="center" wrapText="1" readingOrder="2"/>
    </xf>
    <xf numFmtId="0" fontId="27" fillId="6" borderId="31" xfId="0" applyFont="1" applyFill="1" applyBorder="1" applyAlignment="1">
      <alignment horizontal="right" vertical="center" wrapText="1" readingOrder="2"/>
    </xf>
    <xf numFmtId="0" fontId="27" fillId="6" borderId="30" xfId="0" applyFont="1" applyFill="1" applyBorder="1" applyAlignment="1">
      <alignment horizontal="right" vertical="center" wrapText="1" readingOrder="2"/>
    </xf>
    <xf numFmtId="43" fontId="28" fillId="7" borderId="7" xfId="18" applyFont="1" applyFill="1" applyBorder="1" applyAlignment="1">
      <alignment horizontal="center" wrapText="1" readingOrder="1"/>
    </xf>
    <xf numFmtId="43" fontId="28" fillId="7" borderId="7" xfId="18" applyFont="1" applyFill="1" applyBorder="1" applyAlignment="1">
      <alignment horizontal="center" vertical="center" wrapText="1"/>
    </xf>
    <xf numFmtId="2" fontId="27" fillId="0" borderId="7" xfId="0" applyNumberFormat="1" applyFont="1" applyFill="1" applyBorder="1" applyAlignment="1">
      <alignment horizontal="left" vertical="center" wrapText="1" readingOrder="1"/>
    </xf>
    <xf numFmtId="0" fontId="3" fillId="4" borderId="15" xfId="0" applyFont="1" applyFill="1" applyBorder="1" applyAlignment="1">
      <alignment horizontal="justify" vertical="center" readingOrder="2"/>
    </xf>
    <xf numFmtId="0" fontId="4" fillId="4" borderId="10" xfId="0" applyFont="1" applyFill="1" applyBorder="1" applyAlignment="1">
      <alignment horizontal="center" vertical="center" readingOrder="2"/>
    </xf>
    <xf numFmtId="0" fontId="4" fillId="4" borderId="11" xfId="0" applyFont="1" applyFill="1" applyBorder="1" applyAlignment="1">
      <alignment horizontal="center" vertical="center" readingOrder="2"/>
    </xf>
    <xf numFmtId="0" fontId="4" fillId="4" borderId="12" xfId="0" applyFont="1" applyFill="1" applyBorder="1" applyAlignment="1">
      <alignment horizontal="center" vertical="center" readingOrder="2"/>
    </xf>
    <xf numFmtId="0" fontId="17" fillId="6" borderId="9" xfId="0" applyFont="1" applyFill="1" applyBorder="1" applyAlignment="1">
      <alignment horizontal="justify" vertical="center" wrapText="1" readingOrder="2"/>
    </xf>
    <xf numFmtId="0" fontId="17" fillId="6" borderId="7" xfId="0" applyFont="1" applyFill="1" applyBorder="1" applyAlignment="1">
      <alignment horizontal="justify" vertical="center" wrapText="1" readingOrder="2"/>
    </xf>
    <xf numFmtId="0" fontId="3" fillId="6" borderId="9" xfId="0" applyFont="1" applyFill="1" applyBorder="1" applyAlignment="1">
      <alignment horizontal="right" vertical="center" wrapText="1" readingOrder="2"/>
    </xf>
    <xf numFmtId="0" fontId="3" fillId="6" borderId="7" xfId="0" applyFont="1" applyFill="1" applyBorder="1" applyAlignment="1">
      <alignment horizontal="right" vertical="center" wrapText="1" readingOrder="2"/>
    </xf>
    <xf numFmtId="0" fontId="5" fillId="0" borderId="0" xfId="0" applyFont="1" applyFill="1" applyBorder="1" applyAlignment="1">
      <alignment horizontal="right" vertical="center" wrapText="1" readingOrder="2"/>
    </xf>
    <xf numFmtId="43" fontId="4" fillId="0" borderId="7" xfId="0" applyNumberFormat="1" applyFont="1" applyFill="1" applyBorder="1" applyAlignment="1">
      <alignment horizontal="left" vertical="center" wrapText="1" readingOrder="1"/>
    </xf>
    <xf numFmtId="43" fontId="4" fillId="0" borderId="10" xfId="0" applyNumberFormat="1" applyFont="1" applyBorder="1" applyAlignment="1">
      <alignment horizontal="left" vertical="center" readingOrder="1"/>
    </xf>
    <xf numFmtId="43" fontId="20" fillId="0" borderId="19" xfId="18" applyNumberFormat="1" applyFont="1" applyFill="1" applyBorder="1" applyAlignment="1" applyProtection="1">
      <alignment horizontal="right" indent="1"/>
    </xf>
  </cellXfs>
  <cellStyles count="20">
    <cellStyle name="40% - Accent3 2" xfId="9"/>
    <cellStyle name="60% - Accent4 2" xfId="10"/>
    <cellStyle name="Comma" xfId="18" builtinId="3"/>
    <cellStyle name="Comma 2" xfId="13"/>
    <cellStyle name="Comma 3" xfId="3"/>
    <cellStyle name="Comma 3 2" xfId="14"/>
    <cellStyle name="Comma 4" xfId="2"/>
    <cellStyle name="Normal" xfId="0" builtinId="0"/>
    <cellStyle name="Normal 2" xfId="5"/>
    <cellStyle name="Normal 3" xfId="6"/>
    <cellStyle name="Normal 3 2" xfId="8"/>
    <cellStyle name="Normal 3 3" xfId="16"/>
    <cellStyle name="Normal 4" xfId="7"/>
    <cellStyle name="Normal 4 2" xfId="17"/>
    <cellStyle name="Normal 5" xfId="12"/>
    <cellStyle name="Normal 6" xfId="11"/>
    <cellStyle name="Normal 7" xfId="1"/>
    <cellStyle name="Percent" xfId="19" builtinId="5"/>
    <cellStyle name="Percent 2" xfId="15"/>
    <cellStyle name="Percent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D65"/>
  <sheetViews>
    <sheetView rightToLeft="1" tabSelected="1" topLeftCell="A34" workbookViewId="0">
      <selection activeCell="A43" sqref="A43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79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20.100000000000001" customHeight="1" thickBot="1" x14ac:dyDescent="0.3">
      <c r="A8" s="22" t="s">
        <v>2</v>
      </c>
      <c r="B8" s="67">
        <f>SUM(B9:B10)</f>
        <v>8725.8722481853747</v>
      </c>
    </row>
    <row r="9" spans="1:2" ht="20.100000000000001" customHeight="1" x14ac:dyDescent="0.25">
      <c r="A9" s="68" t="s">
        <v>3</v>
      </c>
      <c r="B9" s="43"/>
    </row>
    <row r="10" spans="1:2" ht="20.100000000000001" customHeight="1" thickBot="1" x14ac:dyDescent="0.3">
      <c r="A10" s="23" t="s">
        <v>4</v>
      </c>
      <c r="B10" s="66">
        <f>'קרן ט'!B10+'קרן י'!B10+'הכשרה כללי'!B10+'הכשרה אגח ממשלות'!B10+'הכשרה מניות'!B10+'כספי שקלי'!B10+'הכשרה לבני 50 ומטה'!B10+'הכשרה לבני 50-60'!B10+'הכשרה לבני 60 ומעלה'!B10+'הכשרה מקבלי קצבה'!B10+'הכשרה אשראי ואג"ח'!B10+'הכשרה אשראי ואג"ח עד 25%'!B10+'הכשרה עוקב מדדים גמיש'!B10+'הכשרה משולב סחיר'!B10+'אלשטולר כללי'!B10+'אלשטושלר מניות'!B10+'אלטשולר אג"ח'!B10+'ילין כללי'!B10+'ילין מניות'!B10+'ילין אג"ח'!B10+'מיטב כללי'!B10+'מיטב מניות'!B10+'מיטב אג"ח'!B10+'פאסיבי כללי'!B10+'הכשרה עוקב מדד SP500'!B10+'מור כללי'!B10+'מור מניות'!B10+'מור אג"ח'!B10+'אנליסט כללי'!B10+'אנליסט מניות'!B10+'אנליסט אג"ח'!B10</f>
        <v>8725.8722481853747</v>
      </c>
    </row>
    <row r="11" spans="1:2" ht="20.100000000000001" customHeight="1" thickBot="1" x14ac:dyDescent="0.3">
      <c r="A11" s="24"/>
      <c r="B11" s="37"/>
    </row>
    <row r="12" spans="1:2" ht="31.5" customHeight="1" thickBot="1" x14ac:dyDescent="0.3">
      <c r="A12" s="24" t="s">
        <v>38</v>
      </c>
      <c r="B12" s="39">
        <f>SUM(B13:B14)</f>
        <v>87.951773254169979</v>
      </c>
    </row>
    <row r="13" spans="1:2" ht="20.100000000000001" customHeight="1" x14ac:dyDescent="0.25">
      <c r="A13" s="68" t="s">
        <v>5</v>
      </c>
      <c r="B13" s="69"/>
    </row>
    <row r="14" spans="1:2" ht="20.100000000000001" customHeight="1" thickBot="1" x14ac:dyDescent="0.3">
      <c r="A14" s="23" t="s">
        <v>6</v>
      </c>
      <c r="B14" s="66">
        <f>'קרן ט'!B14+'קרן י'!B14+'הכשרה כללי'!B14+'הכשרה אגח ממשלות'!B14+'הכשרה מניות'!B14+'כספי שקלי'!B14+'הכשרה לבני 50 ומטה'!B14+'הכשרה לבני 50-60'!B14+'הכשרה לבני 60 ומעלה'!B14+'הכשרה מקבלי קצבה'!B14+'הכשרה אשראי ואג"ח'!B14+'הכשרה אשראי ואג"ח עד 25%'!B14+'הכשרה עוקב מדדים גמיש'!B14+'הכשרה משולב סחיר'!B14+'אלשטולר כללי'!B14+'אלשטושלר מניות'!B14+'אלטשולר אג"ח'!B14+'ילין כללי'!B14+'ילין מניות'!B14+'ילין אג"ח'!B14+'מיטב כללי'!B14+'מיטב מניות'!B14+'מיטב אג"ח'!B14+'פאסיבי כללי'!B14+'הכשרה עוקב מדד SP500'!B14+'מור כללי'!B14+'מור מניות'!B14+'מור אג"ח'!B14+'אנליסט כללי'!B14+'אנליסט מניות'!B14+'אנליסט אג"ח'!B14</f>
        <v>87.951773254169979</v>
      </c>
    </row>
    <row r="15" spans="1:2" ht="20.100000000000001" customHeight="1" thickBot="1" x14ac:dyDescent="0.3">
      <c r="A15" s="24"/>
      <c r="B15" s="37"/>
    </row>
    <row r="16" spans="1:2" ht="20.100000000000001" customHeight="1" thickBot="1" x14ac:dyDescent="0.3">
      <c r="A16" s="24" t="s">
        <v>7</v>
      </c>
      <c r="B16" s="39">
        <f>SUM(B17:B19)</f>
        <v>502.04772494999992</v>
      </c>
    </row>
    <row r="17" spans="1:4" ht="20.100000000000001" customHeight="1" thickBot="1" x14ac:dyDescent="0.3">
      <c r="A17" s="68" t="s">
        <v>8</v>
      </c>
      <c r="B17" s="66">
        <f>'קרן ט'!B17+'קרן י'!B17+'הכשרה כללי'!B17+'הכשרה אגח ממשלות'!B17+'הכשרה מניות'!B17+'כספי שקלי'!B17+'הכשרה לבני 50 ומטה'!B17+'הכשרה לבני 50-60'!B17+'הכשרה לבני 60 ומעלה'!B17+'הכשרה מקבלי קצבה'!B17+'הכשרה אשראי ואג"ח'!B17+'הכשרה אשראי ואג"ח עד 25%'!B17+'הכשרה עוקב מדדים גמיש'!B17+'הכשרה משולב סחיר'!B17+'אלשטולר כללי'!B17+'אלשטושלר מניות'!B17+'אלטשולר אג"ח'!B17+'ילין כללי'!B17+'ילין מניות'!B17+'ילין אג"ח'!B17+'מיטב כללי'!B17+'מיטב מניות'!B17+'מיטב אג"ח'!B17+'פאסיבי כללי'!B17+'הכשרה עוקב מדד SP500'!B17+'מור כללי'!B17+'מור מניות'!B17+'מור אג"ח'!B17+'אנליסט כללי'!B17+'אנליסט מניות'!B17+'אנליסט אג"ח'!B17</f>
        <v>502.04772494999992</v>
      </c>
    </row>
    <row r="18" spans="1:4" ht="20.100000000000001" customHeight="1" thickBot="1" x14ac:dyDescent="0.3">
      <c r="A18" s="23" t="s">
        <v>9</v>
      </c>
      <c r="B18" s="70"/>
    </row>
    <row r="19" spans="1:4" ht="20.100000000000001" customHeight="1" thickBot="1" x14ac:dyDescent="0.3">
      <c r="A19" s="24"/>
      <c r="B19" s="30"/>
    </row>
    <row r="20" spans="1:4" ht="20.100000000000001" customHeight="1" thickBot="1" x14ac:dyDescent="0.3">
      <c r="A20" s="24" t="s">
        <v>10</v>
      </c>
      <c r="B20" s="66">
        <f>'קרן ט'!B20+'קרן י'!B20+'הכשרה כללי'!B20+'הכשרה אגח ממשלות'!B20+'הכשרה מניות'!B20+'כספי שקלי'!B20+'הכשרה לבני 50 ומטה'!B20+'הכשרה לבני 50-60'!B20+'הכשרה לבני 60 ומעלה'!B20+'הכשרה מקבלי קצבה'!B20+'הכשרה אשראי ואג"ח'!B20+'הכשרה עוקב מדדים גמיש'!B20+'הכשרה משולב סחיר'!B20+'אלשטולר כללי'!B20+'אלשטושלר מניות'!B20+'אלטשולר אג"ח'!B20+'ילין כללי'!B20+'ילין מניות'!B20+'ילין אג"ח'!B20+'מיטב כללי'!B20+'מיטב מניות'!B20+'מיטב אג"ח'!B20+'הכשרה עוקב מדד SP500'!B20+'מור כללי'!B20+'מור מניות'!B20+'מור אג"ח'!B20+'אנליסט כללי'!B20+'אנליסט מניות'!B20+'אנליסט אג"ח'!B20</f>
        <v>0</v>
      </c>
      <c r="D20" s="31"/>
    </row>
    <row r="21" spans="1:4" ht="20.100000000000001" customHeight="1" thickBot="1" x14ac:dyDescent="0.3">
      <c r="A21" s="24"/>
      <c r="B21" s="30"/>
      <c r="D21" s="31"/>
    </row>
    <row r="22" spans="1:4" ht="20.100000000000001" customHeight="1" thickBot="1" x14ac:dyDescent="0.3">
      <c r="A22" s="24" t="s">
        <v>11</v>
      </c>
      <c r="B22" s="66">
        <f>'קרן ט'!B22+'קרן י'!B22+'הכשרה כללי'!B22+'הכשרה אגח ממשלות'!B22+'הכשרה מניות'!B22+'כספי שקלי'!B22+'הכשרה לבני 50 ומטה'!B22+'הכשרה לבני 50-60'!B22+'הכשרה לבני 60 ומעלה'!B22+'הכשרה מקבלי קצבה'!B22+'הכשרה אשראי ואג"ח'!B22+'הכשרה עוקב מדדים גמיש'!B22+'הכשרה משולב סחיר'!B22+'אלשטולר כללי'!B22+'אלשטושלר מניות'!B22+'אלטשולר אג"ח'!B22+'ילין כללי'!B22+'ילין מניות'!B22+'ילין אג"ח'!B22+'מיטב כללי'!B22+'מיטב מניות'!B22+'מיטב אג"ח'!B22+'הכשרה עוקב מדד SP500'!B22+'מור כללי'!B22+'מור מניות'!B22+'מור אג"ח'!B22+'אנליסט כללי'!B22+'אנליסט מניות'!B22+'אנליסט אג"ח'!B22</f>
        <v>0</v>
      </c>
      <c r="D22" s="32"/>
    </row>
    <row r="23" spans="1:4" ht="20.100000000000001" customHeight="1" thickBot="1" x14ac:dyDescent="0.3">
      <c r="A23" s="24"/>
      <c r="B23" s="30"/>
      <c r="D23" s="32"/>
    </row>
    <row r="24" spans="1:4" ht="20.100000000000001" customHeight="1" thickBot="1" x14ac:dyDescent="0.3">
      <c r="A24" s="24" t="s">
        <v>12</v>
      </c>
      <c r="B24" s="66">
        <f>'קרן ט'!B24+'קרן י'!B24+'הכשרה כללי'!B24+'הכשרה אגח ממשלות'!B24+'הכשרה מניות'!B24+'כספי שקלי'!B24+'הכשרה לבני 50 ומטה'!B24+'הכשרה לבני 50-60'!B24+'הכשרה לבני 60 ומעלה'!B24+'הכשרה מקבלי קצבה'!B24+'הכשרה אשראי ואג"ח'!B24+'הכשרה עוקב מדדים גמיש'!B24+'הכשרה משולב סחיר'!B24+'אלשטולר כללי'!B24+'אלשטושלר מניות'!B24+'אלטשולר אג"ח'!B24+'ילין כללי'!B24+'ילין מניות'!B24+'ילין אג"ח'!B24+'מיטב כללי'!B24+'מיטב מניות'!B24+'מיטב אג"ח'!B24+'הכשרה עוקב מדד SP500'!B24+'מור כללי'!B24+'מור מניות'!B24+'מור אג"ח'!B24+'אנליסט כללי'!B24+'אנליסט מניות'!B24+'אנליסט אג"ח'!B24</f>
        <v>0</v>
      </c>
      <c r="D24" s="31"/>
    </row>
    <row r="25" spans="1:4" ht="20.100000000000001" customHeight="1" thickBot="1" x14ac:dyDescent="0.3">
      <c r="A25" s="24"/>
      <c r="B25" s="30"/>
    </row>
    <row r="26" spans="1:4" ht="20.100000000000001" customHeight="1" thickBot="1" x14ac:dyDescent="0.3">
      <c r="A26" s="24" t="s">
        <v>13</v>
      </c>
      <c r="B26" s="33">
        <f>B8+B12+B16+B20+B22+B24</f>
        <v>9315.8717463895446</v>
      </c>
    </row>
    <row r="27" spans="1:4" ht="20.100000000000001" customHeight="1" thickBot="1" x14ac:dyDescent="0.3">
      <c r="A27" s="24"/>
      <c r="B27" s="30"/>
    </row>
    <row r="28" spans="1:4" ht="20.100000000000001" customHeight="1" thickBot="1" x14ac:dyDescent="0.3">
      <c r="A28" s="24" t="s">
        <v>14</v>
      </c>
      <c r="B28" s="96">
        <f>(B29+B30)/2</f>
        <v>24040052.664898485</v>
      </c>
    </row>
    <row r="29" spans="1:4" ht="33" customHeight="1" thickBot="1" x14ac:dyDescent="0.3">
      <c r="A29" s="23" t="s">
        <v>153</v>
      </c>
      <c r="B29" s="66">
        <f>'קרן ט'!B29+'קרן י'!B29+'הכשרה כללי'!B29+'הכשרה אגח ממשלות'!B29+'הכשרה מניות'!B29+'כספי שקלי'!B29+'הכשרה לבני 50 ומטה'!B29+'הכשרה לבני 50-60'!B29+'הכשרה לבני 60 ומעלה'!B29+'הכשרה מקבלי קצבה'!B29+'הכשרה אשראי ואג"ח'!B29+'הכשרה אשראי ואג"ח עד 25%'!B29+'הכשרה עוקב מדדים גמיש'!B29+'הכשרה משולב סחיר'!B29+'אלשטולר כללי'!B29+'אלשטושלר מניות'!B29+'אלטשולר אג"ח'!B29+'ילין כללי'!B29+'ילין מניות'!B29+'ילין אג"ח'!B29+'מיטב כללי'!B29+'מיטב מניות'!B29+'מיטב אג"ח'!B29+'פאסיבי כללי'!B29+'הכשרה עוקב מדד SP500'!B29+'מור כללי'!B29+'מור מניות'!B29+'מור אג"ח'!B29+'אנליסט כללי'!B29+'אנליסט מניות'!B29+'אנליסט אג"ח'!B29</f>
        <v>26409167.27672321</v>
      </c>
    </row>
    <row r="30" spans="1:4" ht="37.5" customHeight="1" thickBot="1" x14ac:dyDescent="0.3">
      <c r="A30" s="23" t="s">
        <v>154</v>
      </c>
      <c r="B30" s="66">
        <f>'קרן ט'!B30+'קרן י'!B30+'הכשרה כללי'!B30+'הכשרה אגח ממשלות'!B30+'הכשרה מניות'!B30+'כספי שקלי'!B30+'הכשרה לבני 50 ומטה'!B30+'הכשרה לבני 50-60'!B30+'הכשרה לבני 60 ומעלה'!B30+'הכשרה מקבלי קצבה'!B30+'הכשרה אשראי ואג"ח'!B30+'הכשרה אשראי ואג"ח עד 25%'!B30+'הכשרה עוקב מדדים גמיש'!B30+'הכשרה משולב סחיר'!B30+'אלשטולר כללי'!B30+'אלשטושלר מניות'!B30+'אלטשולר אג"ח'!B30+'ילין כללי'!B30+'ילין מניות'!B30+'ילין אג"ח'!B30+'מיטב כללי'!B30+'מיטב מניות'!B30+'מיטב אג"ח'!B30+'פאסיבי כללי'!B30+'הכשרה עוקב מדד SP500'!B30+'מור כללי'!B30+'מור מניות'!B30+'מור אג"ח'!B30+'אנליסט כללי'!B30+'אנליסט מניות'!B30+'אנליסט אג"ח'!B30</f>
        <v>21670938.053073756</v>
      </c>
    </row>
    <row r="31" spans="1:4" ht="20.100000000000001" customHeight="1" thickBot="1" x14ac:dyDescent="0.35">
      <c r="A31" s="25"/>
      <c r="B31" s="30"/>
    </row>
    <row r="32" spans="1:4" ht="20.100000000000001" customHeight="1" thickBot="1" x14ac:dyDescent="0.3">
      <c r="A32" s="24" t="s">
        <v>15</v>
      </c>
      <c r="B32" s="36">
        <f>B26/B28</f>
        <v>3.8751461472428031E-4</v>
      </c>
    </row>
    <row r="33" spans="1:2" ht="20.100000000000001" customHeight="1" thickBot="1" x14ac:dyDescent="0.3">
      <c r="A33" s="24"/>
      <c r="B33" s="30"/>
    </row>
    <row r="34" spans="1:2" ht="20.100000000000001" customHeight="1" thickBot="1" x14ac:dyDescent="0.3">
      <c r="A34" s="26" t="s">
        <v>16</v>
      </c>
      <c r="B34" s="30"/>
    </row>
    <row r="35" spans="1:2" ht="20.100000000000001" customHeight="1" thickBot="1" x14ac:dyDescent="0.3">
      <c r="A35" s="24" t="s">
        <v>17</v>
      </c>
      <c r="B35" s="102">
        <f>'קרן ט'!B35+'קרן י'!B35+'הכשרה כללי'!B35+'הכשרה אגח ממשלות'!B35+'הכשרה מניות'!B35+'כספי שקלי'!B35+'הכשרה לבני 50 ומטה'!B35+'הכשרה לבני 50-60'!B35+'הכשרה לבני 60 ומעלה'!B35+'הכשרה מקבלי קצבה'!B35+'הכשרה אשראי ואג"ח'!B35+'הכשרה עוקב מדדים גמיש'!B35+'הכשרה משולב סחיר'!B35+'אלשטולר כללי'!B35+'אלשטושלר מניות'!B35+'אלטשולר אג"ח'!B35+'ילין כללי'!B35+'ילין מניות'!B35+'ילין אג"ח'!B35+'מיטב כללי'!B35+'מיטב מניות'!B35+'מיטב אג"ח'!B35+'פאסיבי כללי'!B35+'הכשרה עוקב מדד SP500'!B35+'מור כללי'!B35+'מור מניות'!B35+'מור אג"ח'!B35+'אנליסט כללי'!B35+'אנליסט מניות'!B35+'אנליסט אג"ח'!B35</f>
        <v>11199.011738999996</v>
      </c>
    </row>
    <row r="36" spans="1:2" ht="20.100000000000001" customHeight="1" thickBot="1" x14ac:dyDescent="0.3">
      <c r="A36" s="45"/>
      <c r="B36" s="37"/>
    </row>
    <row r="37" spans="1:2" ht="20.100000000000001" customHeight="1" thickBot="1" x14ac:dyDescent="0.3">
      <c r="A37" s="73" t="s">
        <v>18</v>
      </c>
      <c r="B37" s="121">
        <f>SUM(B38:B46)</f>
        <v>24694.07345028871</v>
      </c>
    </row>
    <row r="38" spans="1:2" ht="20.100000000000001" customHeight="1" x14ac:dyDescent="0.25">
      <c r="A38" s="74" t="s">
        <v>19</v>
      </c>
      <c r="B38" s="122">
        <f>'קרן ט'!B38+'קרן י'!B38+'הכשרה כללי'!B38+'הכשרה אגח ממשלות'!B38+'הכשרה מניות'!B38+'כספי שקלי'!B38+'הכשרה לבני 50 ומטה'!B38+'הכשרה לבני 50-60'!B38+'הכשרה לבני 60 ומעלה'!B38+'הכשרה מקבלי קצבה'!B38+'הכשרה אשראי ואג"ח'!B38+'הכשרה אשראי ואג"ח עד 25%'!B38+'הכשרה עוקב מדדים גמיש'!B38+'הכשרה משולב סחיר'!B38+'אלשטולר כללי'!B38+'אלשטושלר מניות'!B38+'אלטשולר אג"ח'!B38+'ילין כללי'!B38+'ילין מניות'!B38+'ילין אג"ח'!B38+'מיטב כללי'!B38+'מיטב מניות'!B38+'מיטב אג"ח'!B38+'פאסיבי כללי'!B38+'הכשרה עוקב מדד SP500'!B38+'מור כללי'!B38+'מור מניות'!B38+'מור אג"ח'!B38+'אנליסט כללי'!B38+'אנליסט מניות'!B38+'אנליסט אג"ח'!B38</f>
        <v>11568.278781801326</v>
      </c>
    </row>
    <row r="39" spans="1:2" ht="20.100000000000001" customHeight="1" x14ac:dyDescent="0.25">
      <c r="A39" s="72" t="s">
        <v>20</v>
      </c>
      <c r="B39" s="103">
        <f>'קרן ט'!B39+'קרן י'!B39+'הכשרה כללי'!B39+'הכשרה אגח ממשלות'!B39+'הכשרה מניות'!B39+'כספי שקלי'!B39+'הכשרה לבני 50 ומטה'!B39+'הכשרה לבני 50-60'!B39+'הכשרה לבני 60 ומעלה'!B39+'הכשרה מקבלי קצבה'!B39+'הכשרה אשראי ואג"ח'!B39+'הכשרה אשראי ואג"ח עד 25%'!B39+'הכשרה עוקב מדדים גמיש'!B39+'הכשרה משולב סחיר'!B39+'אלשטולר כללי'!B39+'אלשטושלר מניות'!B39+'אלטשולר אג"ח'!B39+'ילין כללי'!B39+'ילין מניות'!B39+'ילין אג"ח'!B39+'מיטב כללי'!B39+'מיטב מניות'!B39+'מיטב אג"ח'!B39+'פאסיבי כללי'!B39+'הכשרה עוקב מדד SP500'!B39+'מור כללי'!B39+'מור מניות'!B39+'מור אג"ח'!B39+'אנליסט כללי'!B39+'אנליסט מניות'!B39+'אנליסט אג"ח'!B39</f>
        <v>5539.3836338529527</v>
      </c>
    </row>
    <row r="40" spans="1:2" ht="20.100000000000001" customHeight="1" x14ac:dyDescent="0.25">
      <c r="A40" s="72" t="s">
        <v>21</v>
      </c>
      <c r="B40" s="103">
        <f>'קרן ט'!B40+'קרן י'!B40+'הכשרה כללי'!B40+'הכשרה אגח ממשלות'!B40+'הכשרה מניות'!B40+'כספי שקלי'!B40+'הכשרה לבני 50 ומטה'!B40+'הכשרה לבני 50-60'!B40+'הכשרה לבני 60 ומעלה'!B40+'הכשרה מקבלי קצבה'!B40+'הכשרה אשראי ואג"ח'!B40+'הכשרה אשראי ואג"ח עד 25%'!B40+'הכשרה עוקב מדדים גמיש'!B40+'הכשרה משולב סחיר'!B40+'אלשטולר כללי'!B40+'אלשטושלר מניות'!B40+'אלטשולר אג"ח'!B40+'ילין כללי'!B40+'ילין מניות'!B40+'ילין אג"ח'!B40+'מיטב כללי'!B40+'מיטב מניות'!B40+'מיטב אג"ח'!B40+'פאסיבי כללי'!B40+'הכשרה עוקב מדד SP500'!B40+'מור כללי'!B40+'מור מניות'!B40+'מור אג"ח'!B40+'אנליסט כללי'!B40+'אנליסט מניות'!B40+'אנליסט אג"ח'!B40</f>
        <v>0</v>
      </c>
    </row>
    <row r="41" spans="1:2" ht="20.100000000000001" customHeight="1" x14ac:dyDescent="0.25">
      <c r="A41" s="72" t="s">
        <v>22</v>
      </c>
      <c r="B41" s="103">
        <f>'קרן ט'!B41+'קרן י'!B41+'הכשרה כללי'!B41+'הכשרה אגח ממשלות'!B41+'הכשרה מניות'!B41+'כספי שקלי'!B41+'הכשרה לבני 50 ומטה'!B41+'הכשרה לבני 50-60'!B41+'הכשרה לבני 60 ומעלה'!B41+'הכשרה מקבלי קצבה'!B41+'הכשרה אשראי ואג"ח'!B41+'הכשרה אשראי ואג"ח עד 25%'!B41+'הכשרה עוקב מדדים גמיש'!B41+'הכשרה משולב סחיר'!B41+'אלשטולר כללי'!B41+'אלשטושלר מניות'!B41+'אלטשולר אג"ח'!B41+'ילין כללי'!B41+'ילין מניות'!B41+'ילין אג"ח'!B41+'מיטב כללי'!B41+'מיטב מניות'!B41+'מיטב אג"ח'!B41+'פאסיבי כללי'!B41+'הכשרה עוקב מדד SP500'!B41+'מור כללי'!B41+'מור מניות'!B41+'מור אג"ח'!B41+'אנליסט כללי'!B41+'אנליסט מניות'!B41+'אנליסט אג"ח'!B41</f>
        <v>0</v>
      </c>
    </row>
    <row r="42" spans="1:2" ht="30" customHeight="1" x14ac:dyDescent="0.25">
      <c r="A42" s="72" t="s">
        <v>23</v>
      </c>
      <c r="B42" s="103">
        <f>'קרן ט'!B42+'קרן י'!B42+'הכשרה כללי'!B42+'הכשרה אגח ממשלות'!B42+'הכשרה מניות'!B42+'כספי שקלי'!B42+'הכשרה לבני 50 ומטה'!B42+'הכשרה לבני 50-60'!B42+'הכשרה לבני 60 ומעלה'!B42+'הכשרה מקבלי קצבה'!B42+'הכשרה אשראי ואג"ח'!B42+'הכשרה אשראי ואג"ח עד 25%'!B42+'הכשרה עוקב מדדים גמיש'!B42+'הכשרה משולב סחיר'!B42+'אלשטולר כללי'!B42+'אלשטושלר מניות'!B42+'אלטשולר אג"ח'!B42+'ילין כללי'!B42+'ילין מניות'!B42+'ילין אג"ח'!B42+'מיטב כללי'!B42+'מיטב מניות'!B42+'מיטב אג"ח'!B42+'פאסיבי כללי'!B42+'הכשרה עוקב מדד SP500'!B42+'מור כללי'!B42+'מור מניות'!B42+'מור אג"ח'!B42+'אנליסט כללי'!B42+'אנליסט מניות'!B42+'אנליסט אג"ח'!B42</f>
        <v>82.813403050377048</v>
      </c>
    </row>
    <row r="43" spans="1:2" ht="30" customHeight="1" x14ac:dyDescent="0.25">
      <c r="A43" s="72" t="s">
        <v>24</v>
      </c>
      <c r="B43" s="103">
        <f>'קרן ט'!B43+'קרן י'!B43+'הכשרה כללי'!B43+'הכשרה אגח ממשלות'!B43+'הכשרה מניות'!B43+'כספי שקלי'!B43+'הכשרה לבני 50 ומטה'!B43+'הכשרה לבני 50-60'!B43+'הכשרה לבני 60 ומעלה'!B43+'הכשרה מקבלי קצבה'!B43+'הכשרה אשראי ואג"ח'!B43+'הכשרה אשראי ואג"ח עד 25%'!B43+'הכשרה עוקב מדדים גמיש'!B43+'הכשרה משולב סחיר'!B43+'אלשטולר כללי'!B43+'אלשטושלר מניות'!B43+'אלטשולר אג"ח'!B43+'ילין כללי'!B43+'ילין מניות'!B43+'ילין אג"ח'!B43+'מיטב כללי'!B43+'מיטב מניות'!B43+'מיטב אג"ח'!B43+'פאסיבי כללי'!B43+'הכשרה עוקב מדד SP500'!B43+'מור כללי'!B43+'מור מניות'!B43+'מור אג"ח'!B43+'אנליסט כללי'!B43+'אנליסט מניות'!B43+'אנליסט אג"ח'!B43</f>
        <v>4362.7231029545374</v>
      </c>
    </row>
    <row r="44" spans="1:2" ht="39" customHeight="1" x14ac:dyDescent="0.25">
      <c r="A44" s="72" t="s">
        <v>25</v>
      </c>
      <c r="B44" s="103">
        <f>'קרן ט'!B44+'קרן י'!B44+'הכשרה כללי'!B44+'הכשרה אגח ממשלות'!B44+'הכשרה מניות'!B44+'כספי שקלי'!B44+'הכשרה לבני 50 ומטה'!B44+'הכשרה לבני 50-60'!B44+'הכשרה לבני 60 ומעלה'!B44+'הכשרה מקבלי קצבה'!B44+'הכשרה אשראי ואג"ח'!B44+'הכשרה אשראי ואג"ח עד 25%'!B44+'הכשרה עוקב מדדים גמיש'!B44+'הכשרה משולב סחיר'!B44+'אלשטולר כללי'!B44+'אלשטושלר מניות'!B44+'אלטשולר אג"ח'!B44+'ילין כללי'!B44+'ילין מניות'!B44+'ילין אג"ח'!B44+'מיטב כללי'!B44+'מיטב מניות'!B44+'מיטב אג"ח'!B44+'פאסיבי כללי'!B44+'הכשרה עוקב מדד SP500'!B44+'מור כללי'!B44+'מור מניות'!B44+'מור אג"ח'!B44+'אנליסט כללי'!B44+'אנליסט מניות'!B44+'אנליסט אג"ח'!B44</f>
        <v>169.82702156056075</v>
      </c>
    </row>
    <row r="45" spans="1:2" ht="36" customHeight="1" x14ac:dyDescent="0.25">
      <c r="A45" s="72" t="s">
        <v>26</v>
      </c>
      <c r="B45" s="103">
        <f>'קרן ט'!B45+'קרן י'!B45+'הכשרה כללי'!B45+'הכשרה אגח ממשלות'!B45+'הכשרה מניות'!B45+'כספי שקלי'!B45+'הכשרה לבני 50 ומטה'!B45+'הכשרה לבני 50-60'!B45+'הכשרה לבני 60 ומעלה'!B45+'הכשרה מקבלי קצבה'!B45+'הכשרה אשראי ואג"ח'!B45+'הכשרה אשראי ואג"ח עד 25%'!B45+'הכשרה עוקב מדדים גמיש'!B45+'הכשרה משולב סחיר'!B45+'אלשטולר כללי'!B45+'אלשטושלר מניות'!B45+'אלטשולר אג"ח'!B45+'ילין כללי'!B45+'ילין מניות'!B45+'ילין אג"ח'!B45+'מיטב כללי'!B45+'מיטב מניות'!B45+'מיטב אג"ח'!B45+'פאסיבי כללי'!B45+'הכשרה עוקב מדד SP500'!B45+'מור כללי'!B45+'מור מניות'!B45+'מור אג"ח'!B45+'אנליסט כללי'!B45+'אנליסט מניות'!B45+'אנליסט אג"ח'!B45</f>
        <v>2960.7474723936957</v>
      </c>
    </row>
    <row r="46" spans="1:2" ht="20.100000000000001" customHeight="1" thickBot="1" x14ac:dyDescent="0.3">
      <c r="A46" s="23" t="s">
        <v>27</v>
      </c>
      <c r="B46" s="66">
        <f>'קרן ט'!B46+'קרן י'!B46+'הכשרה כללי'!B46+'הכשרה אגח ממשלות'!B46+'הכשרה מניות'!B46+'כספי שקלי'!B46+'הכשרה לבני 50 ומטה'!B46+'הכשרה לבני 50-60'!B46+'הכשרה לבני 60 ומעלה'!B46+'הכשרה מקבלי קצבה'!B46+'הכשרה אשראי ואג"ח'!B46+'הכשרה אשראי ואג"ח עד 25%'!B46+'הכשרה עוקב מדדים גמיש'!B46+'הכשרה משולב סחיר'!B46+'אלשטולר כללי'!B46+'אלשטושלר מניות'!B46+'אלטשולר אג"ח'!B46+'ילין כללי'!B46+'ילין מניות'!B46+'ילין אג"ח'!B46+'מיטב כללי'!B46+'מיטב מניות'!B46+'מיטב אג"ח'!B46+'פאסיבי כללי'!B46+'הכשרה עוקב מדד SP500'!B46+'מור כללי'!B46+'מור מניות'!B46+'מור אג"ח'!B46+'אנליסט כללי'!B46+'אנליסט מניות'!B46+'אנליסט אג"ח'!B46</f>
        <v>10.300034675255139</v>
      </c>
    </row>
    <row r="47" spans="1:2" ht="20.100000000000001" customHeight="1" thickBot="1" x14ac:dyDescent="0.3">
      <c r="A47" s="23"/>
      <c r="B47" s="30"/>
    </row>
    <row r="48" spans="1:2" ht="20.100000000000001" customHeight="1" thickBot="1" x14ac:dyDescent="0.3">
      <c r="A48" s="24" t="s">
        <v>28</v>
      </c>
      <c r="B48" s="36">
        <f>B37/B30</f>
        <v>1.1395018245085222E-3</v>
      </c>
    </row>
    <row r="49" spans="1:2" ht="20.100000000000001" customHeight="1" thickBot="1" x14ac:dyDescent="0.3">
      <c r="A49" s="23"/>
      <c r="B49" s="30"/>
    </row>
    <row r="50" spans="1:2" ht="20.100000000000001" customHeight="1" thickBot="1" x14ac:dyDescent="0.3">
      <c r="A50" s="24" t="s">
        <v>29</v>
      </c>
      <c r="B50" s="30"/>
    </row>
    <row r="51" spans="1:2" ht="20.100000000000001" customHeight="1" thickBot="1" x14ac:dyDescent="0.3">
      <c r="A51" s="23"/>
      <c r="B51" s="30"/>
    </row>
    <row r="52" spans="1:2" ht="41.25" customHeight="1" thickBot="1" x14ac:dyDescent="0.3">
      <c r="A52" s="24" t="s">
        <v>30</v>
      </c>
      <c r="B52" s="30"/>
    </row>
    <row r="53" spans="1:2" ht="20.100000000000001" customHeight="1" thickBot="1" x14ac:dyDescent="0.3">
      <c r="A53" s="27"/>
      <c r="B53" s="30"/>
    </row>
    <row r="54" spans="1:2" ht="20.100000000000001" customHeight="1" thickBot="1" x14ac:dyDescent="0.3">
      <c r="A54" s="24" t="s">
        <v>31</v>
      </c>
      <c r="B54" s="103">
        <f>'קרן ט'!B54+'קרן י'!B54+'הכשרה כללי'!B54+'הכשרה אגח ממשלות'!B54+'הכשרה מניות'!B54+'כספי שקלי'!B54+'הכשרה לבני 50 ומטה'!B54+'הכשרה לבני 50-60'!B54+'הכשרה לבני 60 ומעלה'!B54+'הכשרה מקבלי קצבה'!B54+'הכשרה אשראי ואג"ח'!B54+'הכשרה עוקב מדדים גמיש'!B54+'הכשרה משולב סחיר'!B54+'אלשטולר כללי'!B54+'אלשטושלר מניות'!B54+'אלטשולר אג"ח'!B54+'ילין כללי'!B54+'ילין מניות'!B54+'ילין אג"ח'!B54+'מיטב כללי'!B54+'מיטב מניות'!B54+'מיטב אג"ח'!B54+'פאסיבי כללי'!B54+'הכשרה עוקב מדד SP500'!B54+'מור כללי'!B54+'מור מניות'!B54+'מור אג"ח'!B54+'אנליסט כללי'!B54+'אנליסט מניות'!B54+'אנליסט אג"ח'!B54</f>
        <v>0</v>
      </c>
    </row>
    <row r="55" spans="1:2" ht="27.75" customHeight="1" thickBot="1" x14ac:dyDescent="0.3">
      <c r="A55" s="24" t="s">
        <v>32</v>
      </c>
      <c r="B55" s="30"/>
    </row>
    <row r="56" spans="1:2" ht="20.100000000000001" customHeight="1" thickBot="1" x14ac:dyDescent="0.3">
      <c r="A56" s="24"/>
      <c r="B56" s="30"/>
    </row>
    <row r="57" spans="1:2" ht="20.100000000000001" customHeight="1" thickBot="1" x14ac:dyDescent="0.3">
      <c r="A57" s="26" t="s">
        <v>33</v>
      </c>
      <c r="B57" s="30"/>
    </row>
    <row r="58" spans="1:2" ht="20.100000000000001" customHeight="1" thickBot="1" x14ac:dyDescent="0.3">
      <c r="A58" s="24"/>
      <c r="B58" s="30"/>
    </row>
    <row r="59" spans="1:2" ht="20.100000000000001" customHeight="1" thickBot="1" x14ac:dyDescent="0.3">
      <c r="A59" s="24" t="s">
        <v>34</v>
      </c>
      <c r="B59" s="75">
        <f>B26+B37-B54</f>
        <v>34009.945196678251</v>
      </c>
    </row>
    <row r="60" spans="1:2" ht="20.100000000000001" customHeight="1" thickBot="1" x14ac:dyDescent="0.3">
      <c r="A60" s="24"/>
      <c r="B60" s="30"/>
    </row>
    <row r="61" spans="1:2" ht="20.100000000000001" customHeight="1" thickBot="1" x14ac:dyDescent="0.3">
      <c r="A61" s="24" t="s">
        <v>35</v>
      </c>
      <c r="B61" s="36">
        <f>B59/B28</f>
        <v>1.414720078643466E-3</v>
      </c>
    </row>
    <row r="62" spans="1:2" ht="20.100000000000001" customHeight="1" thickBot="1" x14ac:dyDescent="0.3">
      <c r="A62" s="24"/>
      <c r="B62" s="30"/>
    </row>
    <row r="63" spans="1:2" ht="20.100000000000001" customHeight="1" thickBot="1" x14ac:dyDescent="0.3">
      <c r="A63" s="24" t="s">
        <v>36</v>
      </c>
      <c r="B63" s="30"/>
    </row>
    <row r="64" spans="1:2" ht="33" customHeight="1" thickBot="1" x14ac:dyDescent="0.3">
      <c r="A64" s="24" t="s">
        <v>111</v>
      </c>
      <c r="B64" s="30"/>
    </row>
    <row r="65" spans="1:2" ht="20.100000000000001" customHeight="1" thickBot="1" x14ac:dyDescent="0.3">
      <c r="A65" s="24" t="s">
        <v>37</v>
      </c>
      <c r="B65" s="30"/>
    </row>
  </sheetData>
  <mergeCells count="1">
    <mergeCell ref="B3:B5"/>
  </mergeCells>
  <pageMargins left="0.7" right="0.7" top="0.75" bottom="0.75" header="0.3" footer="0.3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x14ac:dyDescent="0.25">
      <c r="A3" s="17" t="s">
        <v>81</v>
      </c>
      <c r="B3" s="112" t="s">
        <v>0</v>
      </c>
    </row>
    <row r="4" spans="1:2" x14ac:dyDescent="0.25">
      <c r="A4" s="18"/>
      <c r="B4" s="113"/>
    </row>
    <row r="5" spans="1:2" ht="14.4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21.957282805548537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21.957282805548537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1.7039315500000001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1.7039315500000001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5.5860765000000008</v>
      </c>
    </row>
    <row r="17" spans="1:2" x14ac:dyDescent="0.25">
      <c r="A17" s="42" t="s">
        <v>8</v>
      </c>
      <c r="B17" s="38">
        <v>5.5860765000000008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29.247290855548538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69121.164999999979</v>
      </c>
    </row>
    <row r="29" spans="1:2" ht="18.75" customHeight="1" x14ac:dyDescent="0.25">
      <c r="A29" s="42" t="s">
        <v>153</v>
      </c>
      <c r="B29" s="49">
        <v>67335.359999999986</v>
      </c>
    </row>
    <row r="30" spans="1:2" ht="29.4" thickBot="1" x14ac:dyDescent="0.3">
      <c r="A30" s="23" t="s">
        <v>154</v>
      </c>
      <c r="B30" s="34">
        <v>70906.969999999987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4.2313075677397142E-4</v>
      </c>
    </row>
    <row r="33" spans="1:2" ht="18" customHeight="1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64.705214999999995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98.004597273111173</v>
      </c>
    </row>
    <row r="38" spans="1:2" x14ac:dyDescent="0.25">
      <c r="A38" s="42" t="s">
        <v>19</v>
      </c>
      <c r="B38" s="53">
        <v>43.417953945376055</v>
      </c>
    </row>
    <row r="39" spans="1:2" x14ac:dyDescent="0.25">
      <c r="A39" s="51" t="s">
        <v>20</v>
      </c>
      <c r="B39" s="54">
        <v>21.28121579355145</v>
      </c>
    </row>
    <row r="40" spans="1:2" x14ac:dyDescent="0.25">
      <c r="A40" s="50" t="s">
        <v>21</v>
      </c>
      <c r="B40" s="54"/>
    </row>
    <row r="41" spans="1:2" x14ac:dyDescent="0.25">
      <c r="A41" s="50" t="s">
        <v>22</v>
      </c>
      <c r="B41" s="54"/>
    </row>
    <row r="42" spans="1:2" ht="27.6" x14ac:dyDescent="0.25">
      <c r="A42" s="50" t="s">
        <v>23</v>
      </c>
      <c r="B42" s="54">
        <v>0.49231702808743144</v>
      </c>
    </row>
    <row r="43" spans="1:2" ht="27.6" x14ac:dyDescent="0.25">
      <c r="A43" s="50" t="s">
        <v>24</v>
      </c>
      <c r="B43" s="54">
        <v>17.481536754971692</v>
      </c>
    </row>
    <row r="44" spans="1:2" ht="27.6" x14ac:dyDescent="0.25">
      <c r="A44" s="50" t="s">
        <v>25</v>
      </c>
      <c r="B44" s="54">
        <v>0.99697831076286725</v>
      </c>
    </row>
    <row r="45" spans="1:2" ht="27.6" x14ac:dyDescent="0.25">
      <c r="A45" s="50" t="s">
        <v>26</v>
      </c>
      <c r="B45" s="54">
        <v>14.161295246002094</v>
      </c>
    </row>
    <row r="46" spans="1:2" ht="14.4" thickBot="1" x14ac:dyDescent="0.3">
      <c r="A46" s="23" t="s">
        <v>27</v>
      </c>
      <c r="B46" s="55">
        <v>0.17330019435956309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1.3821574560739401E-3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1.11784254392606E-3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1.3821574560739401E-3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127.25188812865971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1.8409974445404639E-3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2.9231307567739715E-3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F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82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524.13594983478492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524.13594983478492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6.1750630180000012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6.1750630180000012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162.92570620000001</v>
      </c>
    </row>
    <row r="17" spans="1:6" x14ac:dyDescent="0.25">
      <c r="A17" s="42" t="s">
        <v>8</v>
      </c>
      <c r="B17" s="38">
        <v>162.92570620000001</v>
      </c>
    </row>
    <row r="18" spans="1:6" ht="14.4" thickBot="1" x14ac:dyDescent="0.3">
      <c r="A18" s="23" t="s">
        <v>9</v>
      </c>
      <c r="B18" s="47">
        <v>0</v>
      </c>
      <c r="F18" s="35"/>
    </row>
    <row r="19" spans="1:6" ht="14.4" thickBot="1" x14ac:dyDescent="0.3">
      <c r="A19" s="24"/>
      <c r="B19" s="30"/>
    </row>
    <row r="20" spans="1:6" ht="14.4" thickBot="1" x14ac:dyDescent="0.3">
      <c r="A20" s="24" t="s">
        <v>10</v>
      </c>
      <c r="B20" s="71"/>
    </row>
    <row r="21" spans="1:6" ht="14.4" thickBot="1" x14ac:dyDescent="0.3">
      <c r="A21" s="24"/>
      <c r="B21" s="37"/>
    </row>
    <row r="22" spans="1:6" ht="14.4" thickBot="1" x14ac:dyDescent="0.3">
      <c r="A22" s="24" t="s">
        <v>11</v>
      </c>
      <c r="B22" s="48">
        <v>0</v>
      </c>
    </row>
    <row r="23" spans="1:6" ht="14.4" thickBot="1" x14ac:dyDescent="0.3">
      <c r="A23" s="24"/>
      <c r="B23" s="37"/>
    </row>
    <row r="24" spans="1:6" ht="14.4" thickBot="1" x14ac:dyDescent="0.3">
      <c r="A24" s="24" t="s">
        <v>12</v>
      </c>
      <c r="B24" s="48">
        <v>0</v>
      </c>
    </row>
    <row r="25" spans="1:6" ht="14.4" thickBot="1" x14ac:dyDescent="0.3">
      <c r="A25" s="24"/>
      <c r="B25" s="30"/>
    </row>
    <row r="26" spans="1:6" ht="14.4" thickBot="1" x14ac:dyDescent="0.3">
      <c r="A26" s="24" t="s">
        <v>13</v>
      </c>
      <c r="B26" s="33">
        <v>693.23671905278491</v>
      </c>
    </row>
    <row r="27" spans="1:6" ht="14.4" thickBot="1" x14ac:dyDescent="0.3">
      <c r="A27" s="24"/>
      <c r="B27" s="30"/>
    </row>
    <row r="28" spans="1:6" ht="14.4" thickBot="1" x14ac:dyDescent="0.3">
      <c r="A28" s="24" t="s">
        <v>14</v>
      </c>
      <c r="B28" s="33">
        <v>1789110.5415200002</v>
      </c>
    </row>
    <row r="29" spans="1:6" ht="20.25" customHeight="1" x14ac:dyDescent="0.25">
      <c r="A29" s="42" t="s">
        <v>153</v>
      </c>
      <c r="B29" s="49">
        <v>1846452.8254</v>
      </c>
    </row>
    <row r="30" spans="1:6" ht="29.4" thickBot="1" x14ac:dyDescent="0.3">
      <c r="A30" s="23" t="s">
        <v>154</v>
      </c>
      <c r="B30" s="34">
        <v>1731768.2576400004</v>
      </c>
    </row>
    <row r="31" spans="1:6" ht="15" thickBot="1" x14ac:dyDescent="0.35">
      <c r="A31" s="25"/>
      <c r="B31" s="30"/>
    </row>
    <row r="32" spans="1:6" ht="14.4" thickBot="1" x14ac:dyDescent="0.3">
      <c r="A32" s="24" t="s">
        <v>15</v>
      </c>
      <c r="B32" s="36">
        <v>3.8747562152521993E-4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3110.3704039999998</v>
      </c>
    </row>
    <row r="36" spans="1:2" ht="14.4" thickBot="1" x14ac:dyDescent="0.3">
      <c r="A36" s="24"/>
      <c r="B36" s="30"/>
    </row>
    <row r="37" spans="1:2" ht="17.25" customHeight="1" thickBot="1" x14ac:dyDescent="0.3">
      <c r="A37" s="24" t="s">
        <v>18</v>
      </c>
      <c r="B37" s="52">
        <v>5431.0035880277937</v>
      </c>
    </row>
    <row r="38" spans="1:2" x14ac:dyDescent="0.25">
      <c r="A38" s="42" t="s">
        <v>19</v>
      </c>
      <c r="B38" s="53">
        <v>3350.7024681222747</v>
      </c>
    </row>
    <row r="39" spans="1:2" x14ac:dyDescent="0.25">
      <c r="A39" s="51" t="s">
        <v>20</v>
      </c>
      <c r="B39" s="54">
        <v>1364.2336153878732</v>
      </c>
    </row>
    <row r="40" spans="1:2" x14ac:dyDescent="0.25">
      <c r="A40" s="50" t="s">
        <v>21</v>
      </c>
      <c r="B40" s="54"/>
    </row>
    <row r="41" spans="1:2" x14ac:dyDescent="0.25">
      <c r="A41" s="50" t="s">
        <v>22</v>
      </c>
      <c r="B41" s="54"/>
    </row>
    <row r="42" spans="1:2" ht="27.6" x14ac:dyDescent="0.25">
      <c r="A42" s="50" t="s">
        <v>23</v>
      </c>
      <c r="B42" s="54">
        <v>5.969082073497268</v>
      </c>
    </row>
    <row r="43" spans="1:2" ht="27.6" x14ac:dyDescent="0.25">
      <c r="A43" s="50" t="s">
        <v>24</v>
      </c>
      <c r="B43" s="54">
        <v>249.89057690680511</v>
      </c>
    </row>
    <row r="44" spans="1:2" ht="27.6" x14ac:dyDescent="0.25">
      <c r="A44" s="50" t="s">
        <v>25</v>
      </c>
      <c r="B44" s="54">
        <v>25.043291980957807</v>
      </c>
    </row>
    <row r="45" spans="1:2" ht="27.6" x14ac:dyDescent="0.25">
      <c r="A45" s="50" t="s">
        <v>26</v>
      </c>
      <c r="B45" s="54">
        <v>431.04344405668149</v>
      </c>
    </row>
    <row r="46" spans="1:2" ht="14.4" thickBot="1" x14ac:dyDescent="0.3">
      <c r="A46" s="23" t="s">
        <v>27</v>
      </c>
      <c r="B46" s="55">
        <v>4.1211094997031168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3.1361029768665442E-3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3.5000000000000001E-3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3.6389702313345583E-4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3.1361029768665442E-3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6124.2403070805785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3.4230642349675723E-3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3.5000000000000001E-3</v>
      </c>
    </row>
    <row r="65" spans="1:2" ht="14.4" thickBot="1" x14ac:dyDescent="0.3">
      <c r="A65" s="24" t="s">
        <v>37</v>
      </c>
      <c r="B65" s="78">
        <v>3.8874756215252198E-3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topLeftCell="A46" workbookViewId="0">
      <selection activeCell="B64" sqref="B64:B65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83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1392.6259056236572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1392.6259056236572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6.7788715709999998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6.7788715709999998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249.1899196</v>
      </c>
    </row>
    <row r="17" spans="1:2" x14ac:dyDescent="0.25">
      <c r="A17" s="42" t="s">
        <v>8</v>
      </c>
      <c r="B17" s="38">
        <v>249.1899196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1648.5946967946572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4481964.3463300001</v>
      </c>
    </row>
    <row r="29" spans="1:2" ht="18.75" customHeight="1" x14ac:dyDescent="0.25">
      <c r="A29" s="42" t="s">
        <v>153</v>
      </c>
      <c r="B29" s="49">
        <v>4580556.1544200005</v>
      </c>
    </row>
    <row r="30" spans="1:2" ht="29.4" thickBot="1" x14ac:dyDescent="0.3">
      <c r="A30" s="23" t="s">
        <v>154</v>
      </c>
      <c r="B30" s="34">
        <v>4383372.5382399997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3.6782860580865357E-4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5703.8754469999985</v>
      </c>
    </row>
    <row r="36" spans="1:2" ht="16.5" customHeight="1" thickBot="1" x14ac:dyDescent="0.3">
      <c r="A36" s="24"/>
      <c r="B36" s="30"/>
    </row>
    <row r="37" spans="1:2" ht="14.4" thickBot="1" x14ac:dyDescent="0.3">
      <c r="A37" s="24" t="s">
        <v>18</v>
      </c>
      <c r="B37" s="52">
        <v>10786.520968387615</v>
      </c>
    </row>
    <row r="38" spans="1:2" x14ac:dyDescent="0.25">
      <c r="A38" s="42" t="s">
        <v>19</v>
      </c>
      <c r="B38" s="53">
        <v>6187.2683124645937</v>
      </c>
    </row>
    <row r="39" spans="1:2" x14ac:dyDescent="0.25">
      <c r="A39" s="51" t="s">
        <v>20</v>
      </c>
      <c r="B39" s="54">
        <v>2849.7779182394916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48.552450319098362</v>
      </c>
    </row>
    <row r="43" spans="1:2" ht="27.6" x14ac:dyDescent="0.25">
      <c r="A43" s="50" t="s">
        <v>24</v>
      </c>
      <c r="B43" s="54">
        <v>758.7219564056503</v>
      </c>
    </row>
    <row r="44" spans="1:2" ht="27.6" x14ac:dyDescent="0.25">
      <c r="A44" s="50" t="s">
        <v>25</v>
      </c>
      <c r="B44" s="54">
        <v>63.158422005135613</v>
      </c>
    </row>
    <row r="45" spans="1:2" ht="27.6" x14ac:dyDescent="0.25">
      <c r="A45" s="50" t="s">
        <v>26</v>
      </c>
      <c r="B45" s="54">
        <v>874.31829530210916</v>
      </c>
    </row>
    <row r="46" spans="1:2" ht="14.4" thickBot="1" x14ac:dyDescent="0.3">
      <c r="A46" s="23" t="s">
        <v>27</v>
      </c>
      <c r="B46" s="55">
        <v>4.7236136515347535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2.4607812533129093E-3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3.9218746687090782E-5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/>
    </row>
    <row r="55" spans="1:2" ht="14.4" thickBot="1" x14ac:dyDescent="0.3">
      <c r="A55" s="24" t="s">
        <v>32</v>
      </c>
      <c r="B55" s="82">
        <v>2.4607812533129093E-3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12435.115665182271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2.7744789347475753E-3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2.8E-3</v>
      </c>
    </row>
    <row r="65" spans="1:2" ht="14.4" thickBot="1" x14ac:dyDescent="0.3">
      <c r="A65" s="24" t="s">
        <v>37</v>
      </c>
      <c r="B65" s="78">
        <v>3.1678286058086534E-3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D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123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175.99353395387755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175.99353395387755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1.8345521200000001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1.8345521200000001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24.1681165</v>
      </c>
    </row>
    <row r="17" spans="1:2" x14ac:dyDescent="0.25">
      <c r="A17" s="42" t="s">
        <v>8</v>
      </c>
      <c r="B17" s="38">
        <v>24.1681165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201.99620257387755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395417.09456</v>
      </c>
    </row>
    <row r="29" spans="1:2" ht="18" customHeight="1" x14ac:dyDescent="0.25">
      <c r="A29" s="42" t="s">
        <v>153</v>
      </c>
      <c r="B29" s="49">
        <v>362986.56479999999</v>
      </c>
    </row>
    <row r="30" spans="1:2" ht="29.4" thickBot="1" x14ac:dyDescent="0.3">
      <c r="A30" s="23" t="s">
        <v>154</v>
      </c>
      <c r="B30" s="34">
        <v>427847.62432000006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5.1084337362462449E-4</v>
      </c>
    </row>
    <row r="33" spans="1:4" ht="14.4" thickBot="1" x14ac:dyDescent="0.3">
      <c r="A33" s="24"/>
      <c r="B33" s="30"/>
    </row>
    <row r="34" spans="1:4" ht="16.2" thickBot="1" x14ac:dyDescent="0.3">
      <c r="A34" s="26" t="s">
        <v>16</v>
      </c>
      <c r="B34" s="30"/>
    </row>
    <row r="35" spans="1:4" ht="14.4" thickBot="1" x14ac:dyDescent="0.3">
      <c r="A35" s="24" t="s">
        <v>17</v>
      </c>
      <c r="B35" s="77">
        <v>219.67657199999999</v>
      </c>
    </row>
    <row r="36" spans="1:4" ht="14.4" thickBot="1" x14ac:dyDescent="0.3">
      <c r="A36" s="24"/>
      <c r="B36" s="30"/>
    </row>
    <row r="37" spans="1:4" ht="14.4" thickBot="1" x14ac:dyDescent="0.3">
      <c r="A37" s="24" t="s">
        <v>18</v>
      </c>
      <c r="B37" s="52">
        <v>331.76258620543723</v>
      </c>
    </row>
    <row r="38" spans="1:4" x14ac:dyDescent="0.25">
      <c r="A38" s="42" t="s">
        <v>19</v>
      </c>
      <c r="B38" s="53">
        <v>180.49285395465611</v>
      </c>
    </row>
    <row r="39" spans="1:4" x14ac:dyDescent="0.25">
      <c r="A39" s="51" t="s">
        <v>20</v>
      </c>
      <c r="B39" s="54">
        <v>105.76467192870993</v>
      </c>
    </row>
    <row r="40" spans="1:4" x14ac:dyDescent="0.25">
      <c r="A40" s="50" t="s">
        <v>21</v>
      </c>
      <c r="B40" s="54">
        <v>0</v>
      </c>
    </row>
    <row r="41" spans="1:4" x14ac:dyDescent="0.25">
      <c r="A41" s="50" t="s">
        <v>22</v>
      </c>
      <c r="B41" s="54">
        <v>0</v>
      </c>
    </row>
    <row r="42" spans="1:4" ht="27.6" x14ac:dyDescent="0.25">
      <c r="A42" s="50" t="s">
        <v>23</v>
      </c>
      <c r="B42" s="54">
        <v>0</v>
      </c>
    </row>
    <row r="43" spans="1:4" ht="27.6" x14ac:dyDescent="0.25">
      <c r="A43" s="50" t="s">
        <v>24</v>
      </c>
      <c r="B43" s="54">
        <v>12.992987131800101</v>
      </c>
    </row>
    <row r="44" spans="1:4" ht="27.6" x14ac:dyDescent="0.25">
      <c r="A44" s="50" t="s">
        <v>25</v>
      </c>
      <c r="B44" s="54">
        <v>0</v>
      </c>
      <c r="D44" s="35"/>
    </row>
    <row r="45" spans="1:4" ht="27.6" x14ac:dyDescent="0.25">
      <c r="A45" s="50" t="s">
        <v>26</v>
      </c>
      <c r="B45" s="54">
        <v>32.335621075868161</v>
      </c>
    </row>
    <row r="46" spans="1:4" ht="18" customHeight="1" thickBot="1" x14ac:dyDescent="0.3">
      <c r="A46" s="23" t="s">
        <v>27</v>
      </c>
      <c r="B46" s="55">
        <v>0.17645211440295072</v>
      </c>
    </row>
    <row r="47" spans="1:4" ht="14.4" thickBot="1" x14ac:dyDescent="0.3">
      <c r="A47" s="23"/>
      <c r="B47" s="30"/>
    </row>
    <row r="48" spans="1:4" ht="15.6" thickBot="1" x14ac:dyDescent="0.3">
      <c r="A48" s="24" t="s">
        <v>28</v>
      </c>
      <c r="B48" s="79">
        <v>7.7542229370263383E-4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7.245777062973662E-4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7.7542229370263383E-4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533.75878877931473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1.3498627047807692E-3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2.0108433736246243E-3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D65"/>
  <sheetViews>
    <sheetView rightToLeft="1" topLeftCell="A13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84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307.87761402375975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307.87761402375975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3.612044279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3.612044279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11.4411044</v>
      </c>
    </row>
    <row r="17" spans="1:2" x14ac:dyDescent="0.25">
      <c r="A17" s="42" t="s">
        <v>8</v>
      </c>
      <c r="B17" s="38">
        <v>11.4411044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322.93076270275969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376747.189205</v>
      </c>
    </row>
    <row r="29" spans="1:2" x14ac:dyDescent="0.25">
      <c r="A29" s="42" t="s">
        <v>153</v>
      </c>
      <c r="B29" s="49">
        <v>416699.53161000001</v>
      </c>
    </row>
    <row r="30" spans="1:2" ht="29.4" thickBot="1" x14ac:dyDescent="0.3">
      <c r="A30" s="23" t="s">
        <v>154</v>
      </c>
      <c r="B30" s="34">
        <v>336794.8468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8.5715506832100853E-4</v>
      </c>
    </row>
    <row r="33" spans="1:4" ht="14.4" thickBot="1" x14ac:dyDescent="0.3">
      <c r="A33" s="24"/>
      <c r="B33" s="30"/>
    </row>
    <row r="34" spans="1:4" ht="16.2" thickBot="1" x14ac:dyDescent="0.3">
      <c r="A34" s="26" t="s">
        <v>16</v>
      </c>
      <c r="B34" s="30"/>
    </row>
    <row r="35" spans="1:4" ht="14.4" thickBot="1" x14ac:dyDescent="0.3">
      <c r="A35" s="24" t="s">
        <v>17</v>
      </c>
      <c r="B35" s="77">
        <v>168.99885699999999</v>
      </c>
    </row>
    <row r="36" spans="1:4" ht="14.4" thickBot="1" x14ac:dyDescent="0.3">
      <c r="A36" s="24"/>
      <c r="B36" s="30"/>
    </row>
    <row r="37" spans="1:4" ht="14.4" thickBot="1" x14ac:dyDescent="0.3">
      <c r="A37" s="24" t="s">
        <v>18</v>
      </c>
      <c r="B37" s="52">
        <v>625.31315999769208</v>
      </c>
    </row>
    <row r="38" spans="1:4" x14ac:dyDescent="0.25">
      <c r="A38" s="42" t="s">
        <v>19</v>
      </c>
      <c r="B38" s="53">
        <v>275.1724549412707</v>
      </c>
    </row>
    <row r="39" spans="1:4" x14ac:dyDescent="0.25">
      <c r="A39" s="51" t="s">
        <v>20</v>
      </c>
      <c r="B39" s="54">
        <v>98.392723375198159</v>
      </c>
    </row>
    <row r="40" spans="1:4" x14ac:dyDescent="0.25">
      <c r="A40" s="50" t="s">
        <v>21</v>
      </c>
      <c r="B40" s="54">
        <v>0</v>
      </c>
    </row>
    <row r="41" spans="1:4" x14ac:dyDescent="0.25">
      <c r="A41" s="50" t="s">
        <v>22</v>
      </c>
      <c r="B41" s="54">
        <v>0</v>
      </c>
    </row>
    <row r="42" spans="1:4" ht="27.6" x14ac:dyDescent="0.25">
      <c r="A42" s="50" t="s">
        <v>23</v>
      </c>
      <c r="B42" s="54">
        <v>7.7483207831420753</v>
      </c>
    </row>
    <row r="43" spans="1:4" ht="27.6" x14ac:dyDescent="0.25">
      <c r="A43" s="50" t="s">
        <v>24</v>
      </c>
      <c r="B43" s="54">
        <v>155.34242746380161</v>
      </c>
    </row>
    <row r="44" spans="1:4" ht="27.6" x14ac:dyDescent="0.25">
      <c r="A44" s="50" t="s">
        <v>25</v>
      </c>
      <c r="B44" s="54">
        <v>8.0545854111616677</v>
      </c>
      <c r="D44" s="35"/>
    </row>
    <row r="45" spans="1:4" ht="27.6" x14ac:dyDescent="0.25">
      <c r="A45" s="50" t="s">
        <v>26</v>
      </c>
      <c r="B45" s="54">
        <v>80.3626352715998</v>
      </c>
    </row>
    <row r="46" spans="1:4" ht="14.4" thickBot="1" x14ac:dyDescent="0.3">
      <c r="A46" s="23" t="s">
        <v>27</v>
      </c>
      <c r="B46" s="55">
        <v>0.2400127515179783</v>
      </c>
    </row>
    <row r="47" spans="1:4" ht="14.4" thickBot="1" x14ac:dyDescent="0.3">
      <c r="A47" s="23"/>
      <c r="B47" s="30"/>
    </row>
    <row r="48" spans="1:4" ht="15.6" thickBot="1" x14ac:dyDescent="0.3">
      <c r="A48" s="24" t="s">
        <v>28</v>
      </c>
      <c r="B48" s="79">
        <v>1.8566589303221253E-3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6.4334106967787476E-4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1.8566589303221253E-3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948.24392270045178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2.5169236821684219E-3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3.3571550683210087E-3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124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53.635763088954647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53.635763088954647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7.5649999999999995E-2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7.5649999999999995E-2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53.71141308895465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395417.09456</v>
      </c>
    </row>
    <row r="29" spans="1:2" x14ac:dyDescent="0.25">
      <c r="A29" s="42" t="s">
        <v>153</v>
      </c>
      <c r="B29" s="49">
        <v>362986.56479999999</v>
      </c>
    </row>
    <row r="30" spans="1:2" ht="29.4" thickBot="1" x14ac:dyDescent="0.3">
      <c r="A30" s="23" t="s">
        <v>154</v>
      </c>
      <c r="B30" s="34">
        <v>427847.62432000006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1.3583482815461475E-4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0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0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0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1.5E-3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0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53.71141308895465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1.3583482815461475E-4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1.6358348281546148E-3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D65"/>
  <sheetViews>
    <sheetView rightToLeft="1" topLeftCell="A13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85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100.70870122862043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100.70870122862043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5.4207943850000007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5.4207943850000007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24.6005833</v>
      </c>
    </row>
    <row r="17" spans="1:2" x14ac:dyDescent="0.25">
      <c r="A17" s="42" t="s">
        <v>8</v>
      </c>
      <c r="B17" s="38">
        <v>24.6005833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130.73007891362045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287760.28976499999</v>
      </c>
    </row>
    <row r="29" spans="1:2" x14ac:dyDescent="0.25">
      <c r="A29" s="42" t="s">
        <v>153</v>
      </c>
      <c r="B29" s="49">
        <v>304042.4031</v>
      </c>
    </row>
    <row r="30" spans="1:2" ht="29.4" thickBot="1" x14ac:dyDescent="0.3">
      <c r="A30" s="23" t="s">
        <v>154</v>
      </c>
      <c r="B30" s="34">
        <v>271478.17642999999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4.5430201304141519E-4</v>
      </c>
    </row>
    <row r="33" spans="1:4" ht="14.4" thickBot="1" x14ac:dyDescent="0.3">
      <c r="A33" s="24"/>
      <c r="B33" s="30"/>
    </row>
    <row r="34" spans="1:4" ht="16.2" thickBot="1" x14ac:dyDescent="0.3">
      <c r="A34" s="26" t="s">
        <v>16</v>
      </c>
      <c r="B34" s="30"/>
    </row>
    <row r="35" spans="1:4" ht="14.4" thickBot="1" x14ac:dyDescent="0.3">
      <c r="A35" s="24" t="s">
        <v>17</v>
      </c>
      <c r="B35" s="77">
        <v>371.02323299999995</v>
      </c>
    </row>
    <row r="36" spans="1:4" ht="14.4" thickBot="1" x14ac:dyDescent="0.3">
      <c r="A36" s="24"/>
      <c r="B36" s="30"/>
    </row>
    <row r="37" spans="1:4" ht="14.4" thickBot="1" x14ac:dyDescent="0.3">
      <c r="A37" s="24" t="s">
        <v>18</v>
      </c>
      <c r="B37" s="52">
        <v>804.85526645946516</v>
      </c>
    </row>
    <row r="38" spans="1:4" x14ac:dyDescent="0.25">
      <c r="A38" s="42" t="s">
        <v>19</v>
      </c>
      <c r="B38" s="53">
        <v>450.21106207120118</v>
      </c>
    </row>
    <row r="39" spans="1:4" x14ac:dyDescent="0.25">
      <c r="A39" s="51" t="s">
        <v>20</v>
      </c>
      <c r="B39" s="54">
        <v>208.69295260809716</v>
      </c>
    </row>
    <row r="40" spans="1:4" x14ac:dyDescent="0.25">
      <c r="A40" s="50" t="s">
        <v>21</v>
      </c>
      <c r="B40" s="54">
        <v>0</v>
      </c>
    </row>
    <row r="41" spans="1:4" x14ac:dyDescent="0.25">
      <c r="A41" s="50" t="s">
        <v>22</v>
      </c>
      <c r="B41" s="54">
        <v>0</v>
      </c>
    </row>
    <row r="42" spans="1:4" ht="27.6" x14ac:dyDescent="0.25">
      <c r="A42" s="50" t="s">
        <v>23</v>
      </c>
      <c r="B42" s="54">
        <v>2.7474488151092893</v>
      </c>
    </row>
    <row r="43" spans="1:4" ht="27.6" x14ac:dyDescent="0.25">
      <c r="A43" s="50" t="s">
        <v>24</v>
      </c>
      <c r="B43" s="54">
        <v>73.343319163174158</v>
      </c>
    </row>
    <row r="44" spans="1:4" ht="27.6" x14ac:dyDescent="0.25">
      <c r="A44" s="50" t="s">
        <v>25</v>
      </c>
      <c r="B44" s="54">
        <v>4.1396236095427597</v>
      </c>
      <c r="D44" s="35"/>
    </row>
    <row r="45" spans="1:4" ht="27.6" x14ac:dyDescent="0.25">
      <c r="A45" s="50" t="s">
        <v>26</v>
      </c>
      <c r="B45" s="54">
        <v>65.112578513416111</v>
      </c>
    </row>
    <row r="46" spans="1:4" ht="14.4" thickBot="1" x14ac:dyDescent="0.3">
      <c r="A46" s="23" t="s">
        <v>27</v>
      </c>
      <c r="B46" s="55">
        <v>0.60828167892448082</v>
      </c>
    </row>
    <row r="47" spans="1:4" ht="14.4" thickBot="1" x14ac:dyDescent="0.3">
      <c r="A47" s="23"/>
      <c r="B47" s="30"/>
    </row>
    <row r="48" spans="1:4" ht="15.6" thickBot="1" x14ac:dyDescent="0.3">
      <c r="A48" s="24" t="s">
        <v>28</v>
      </c>
      <c r="B48" s="79">
        <v>2.9647144276696408E-3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3.0000000000000001E-3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3.5285572330359238E-5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/>
    </row>
    <row r="55" spans="1:2" ht="14.4" thickBot="1" x14ac:dyDescent="0.3">
      <c r="A55" s="24" t="s">
        <v>32</v>
      </c>
      <c r="B55" s="82">
        <v>2.9647144276696408E-3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935.5853453730856</v>
      </c>
    </row>
    <row r="60" spans="1:2" ht="13.5" customHeight="1" thickBot="1" x14ac:dyDescent="0.3">
      <c r="A60" s="24"/>
      <c r="B60" s="30"/>
    </row>
    <row r="61" spans="1:2" ht="14.4" thickBot="1" x14ac:dyDescent="0.3">
      <c r="A61" s="24" t="s">
        <v>35</v>
      </c>
      <c r="B61" s="79">
        <v>3.2512663444185896E-3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3.0000000000000001E-3</v>
      </c>
    </row>
    <row r="65" spans="1:2" ht="14.4" thickBot="1" x14ac:dyDescent="0.3">
      <c r="A65" s="24" t="s">
        <v>37</v>
      </c>
      <c r="B65" s="78">
        <v>3.4543020130414154E-3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D65"/>
  <sheetViews>
    <sheetView rightToLeft="1" topLeftCell="A16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86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64.118023446347379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64.118023446347379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4.8718485120000006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4.8718485120000006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8.5501000000000005</v>
      </c>
    </row>
    <row r="17" spans="1:2" x14ac:dyDescent="0.25">
      <c r="A17" s="42" t="s">
        <v>8</v>
      </c>
      <c r="B17" s="38">
        <v>8.5501000000000005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77.53997195834738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199935.47617499999</v>
      </c>
    </row>
    <row r="29" spans="1:2" x14ac:dyDescent="0.25">
      <c r="A29" s="42" t="s">
        <v>153</v>
      </c>
      <c r="B29" s="49">
        <v>232636.37581999999</v>
      </c>
    </row>
    <row r="30" spans="1:2" ht="29.4" thickBot="1" x14ac:dyDescent="0.3">
      <c r="A30" s="23" t="s">
        <v>154</v>
      </c>
      <c r="B30" s="34">
        <v>167234.57652999999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3.8782497954729163E-4</v>
      </c>
    </row>
    <row r="33" spans="1:4" ht="14.4" thickBot="1" x14ac:dyDescent="0.3">
      <c r="A33" s="24"/>
      <c r="B33" s="30"/>
    </row>
    <row r="34" spans="1:4" ht="16.2" thickBot="1" x14ac:dyDescent="0.3">
      <c r="A34" s="26" t="s">
        <v>16</v>
      </c>
      <c r="B34" s="30"/>
    </row>
    <row r="35" spans="1:4" ht="14.4" thickBot="1" x14ac:dyDescent="0.3">
      <c r="A35" s="24" t="s">
        <v>17</v>
      </c>
      <c r="B35" s="77">
        <v>150.83697999999998</v>
      </c>
    </row>
    <row r="36" spans="1:4" ht="14.4" thickBot="1" x14ac:dyDescent="0.3">
      <c r="A36" s="24"/>
      <c r="B36" s="30"/>
    </row>
    <row r="37" spans="1:4" ht="14.4" thickBot="1" x14ac:dyDescent="0.3">
      <c r="A37" s="24" t="s">
        <v>18</v>
      </c>
      <c r="B37" s="52">
        <v>339.5317010987639</v>
      </c>
    </row>
    <row r="38" spans="1:4" x14ac:dyDescent="0.25">
      <c r="A38" s="42" t="s">
        <v>19</v>
      </c>
      <c r="B38" s="53">
        <v>165.49321472849923</v>
      </c>
    </row>
    <row r="39" spans="1:4" x14ac:dyDescent="0.25">
      <c r="A39" s="51" t="s">
        <v>20</v>
      </c>
      <c r="B39" s="54">
        <v>87.825815974125746</v>
      </c>
    </row>
    <row r="40" spans="1:4" x14ac:dyDescent="0.25">
      <c r="A40" s="50" t="s">
        <v>21</v>
      </c>
      <c r="B40" s="54">
        <v>0</v>
      </c>
    </row>
    <row r="41" spans="1:4" x14ac:dyDescent="0.25">
      <c r="A41" s="50" t="s">
        <v>22</v>
      </c>
      <c r="B41" s="54">
        <v>0</v>
      </c>
    </row>
    <row r="42" spans="1:4" ht="27.6" x14ac:dyDescent="0.25">
      <c r="A42" s="50" t="s">
        <v>23</v>
      </c>
      <c r="B42" s="54">
        <v>1.6644672068579236</v>
      </c>
    </row>
    <row r="43" spans="1:4" ht="27.6" x14ac:dyDescent="0.25">
      <c r="A43" s="50" t="s">
        <v>24</v>
      </c>
      <c r="B43" s="54">
        <v>47.473852371982922</v>
      </c>
    </row>
    <row r="44" spans="1:4" ht="27.6" x14ac:dyDescent="0.25">
      <c r="A44" s="50" t="s">
        <v>25</v>
      </c>
      <c r="B44" s="54">
        <v>2.3573486534631409</v>
      </c>
      <c r="D44" s="35"/>
    </row>
    <row r="45" spans="1:4" ht="27.6" x14ac:dyDescent="0.25">
      <c r="A45" s="50" t="s">
        <v>26</v>
      </c>
      <c r="B45" s="54">
        <v>34.545076860669759</v>
      </c>
    </row>
    <row r="46" spans="1:4" ht="14.4" thickBot="1" x14ac:dyDescent="0.3">
      <c r="A46" s="23" t="s">
        <v>27</v>
      </c>
      <c r="B46" s="55">
        <v>0.17192530316519142</v>
      </c>
    </row>
    <row r="47" spans="1:4" ht="14.4" thickBot="1" x14ac:dyDescent="0.3">
      <c r="A47" s="23"/>
      <c r="B47" s="30"/>
    </row>
    <row r="48" spans="1:4" ht="15.6" thickBot="1" x14ac:dyDescent="0.3">
      <c r="A48" s="24" t="s">
        <v>28</v>
      </c>
      <c r="B48" s="79">
        <v>2.0302721371609164E-3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4.6972786283908368E-4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/>
    </row>
    <row r="55" spans="1:2" ht="14.4" thickBot="1" x14ac:dyDescent="0.3">
      <c r="A55" s="24" t="s">
        <v>32</v>
      </c>
      <c r="B55" s="82">
        <v>2.0302721371609164E-3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417.0716730571113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2.0860313588972868E-3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2.8878249795472916E-3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D65"/>
  <sheetViews>
    <sheetView rightToLeft="1" topLeftCell="A16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87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48.032812048203219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48.032812048203219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4.8296602019999995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4.8296602019999995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6.7789165999999996</v>
      </c>
    </row>
    <row r="17" spans="1:2" x14ac:dyDescent="0.25">
      <c r="A17" s="42" t="s">
        <v>8</v>
      </c>
      <c r="B17" s="38">
        <v>6.7789165999999996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59.641388850203221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157545.97749000002</v>
      </c>
    </row>
    <row r="29" spans="1:2" x14ac:dyDescent="0.25">
      <c r="A29" s="42" t="s">
        <v>153</v>
      </c>
      <c r="B29" s="49">
        <v>189618.81998000006</v>
      </c>
    </row>
    <row r="30" spans="1:2" ht="29.4" thickBot="1" x14ac:dyDescent="0.3">
      <c r="A30" s="23" t="s">
        <v>154</v>
      </c>
      <c r="B30" s="34">
        <v>125473.13499999999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3.7856497385970302E-4</v>
      </c>
    </row>
    <row r="33" spans="1:4" ht="14.4" thickBot="1" x14ac:dyDescent="0.3">
      <c r="A33" s="24"/>
      <c r="B33" s="30"/>
    </row>
    <row r="34" spans="1:4" ht="16.2" thickBot="1" x14ac:dyDescent="0.3">
      <c r="A34" s="26" t="s">
        <v>16</v>
      </c>
      <c r="B34" s="30"/>
    </row>
    <row r="35" spans="1:4" ht="14.4" thickBot="1" x14ac:dyDescent="0.3">
      <c r="A35" s="24" t="s">
        <v>17</v>
      </c>
      <c r="B35" s="77">
        <v>113.46385199999999</v>
      </c>
    </row>
    <row r="36" spans="1:4" ht="14.4" thickBot="1" x14ac:dyDescent="0.3">
      <c r="A36" s="24"/>
      <c r="B36" s="30"/>
    </row>
    <row r="37" spans="1:4" ht="14.4" thickBot="1" x14ac:dyDescent="0.3">
      <c r="A37" s="24" t="s">
        <v>18</v>
      </c>
      <c r="B37" s="52">
        <v>237.55748012945864</v>
      </c>
    </row>
    <row r="38" spans="1:4" x14ac:dyDescent="0.25">
      <c r="A38" s="42" t="s">
        <v>19</v>
      </c>
      <c r="B38" s="53">
        <v>124.49652518869442</v>
      </c>
    </row>
    <row r="39" spans="1:4" x14ac:dyDescent="0.25">
      <c r="A39" s="51" t="s">
        <v>20</v>
      </c>
      <c r="B39" s="54">
        <v>65.215448592834704</v>
      </c>
    </row>
    <row r="40" spans="1:4" x14ac:dyDescent="0.25">
      <c r="A40" s="50" t="s">
        <v>21</v>
      </c>
      <c r="B40" s="54">
        <v>0</v>
      </c>
    </row>
    <row r="41" spans="1:4" x14ac:dyDescent="0.25">
      <c r="A41" s="50" t="s">
        <v>22</v>
      </c>
      <c r="B41" s="54">
        <v>0</v>
      </c>
    </row>
    <row r="42" spans="1:4" ht="27.6" x14ac:dyDescent="0.25">
      <c r="A42" s="50" t="s">
        <v>23</v>
      </c>
      <c r="B42" s="54">
        <v>0.33923820049180331</v>
      </c>
    </row>
    <row r="43" spans="1:4" ht="27.6" x14ac:dyDescent="0.25">
      <c r="A43" s="50" t="s">
        <v>24</v>
      </c>
      <c r="B43" s="54">
        <v>25.928515612476161</v>
      </c>
    </row>
    <row r="44" spans="1:4" ht="27.6" x14ac:dyDescent="0.25">
      <c r="A44" s="50" t="s">
        <v>25</v>
      </c>
      <c r="B44" s="54">
        <v>1.3547555542280885</v>
      </c>
      <c r="D44" s="35"/>
    </row>
    <row r="45" spans="1:4" ht="27.6" x14ac:dyDescent="0.25">
      <c r="A45" s="50" t="s">
        <v>26</v>
      </c>
      <c r="B45" s="54">
        <v>20.149011193259796</v>
      </c>
    </row>
    <row r="46" spans="1:4" ht="14.4" thickBot="1" x14ac:dyDescent="0.3">
      <c r="A46" s="23" t="s">
        <v>27</v>
      </c>
      <c r="B46" s="55">
        <v>7.3985787473661191E-2</v>
      </c>
    </row>
    <row r="47" spans="1:4" ht="14.4" thickBot="1" x14ac:dyDescent="0.3">
      <c r="A47" s="23"/>
      <c r="B47" s="30"/>
    </row>
    <row r="48" spans="1:4" ht="15.6" thickBot="1" x14ac:dyDescent="0.3">
      <c r="A48" s="24" t="s">
        <v>28</v>
      </c>
      <c r="B48" s="79">
        <v>1.8932935733968761E-3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6.0670642660312396E-4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1.8932935733968761E-3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297.19886897966188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1.8864262592710507E-3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2.8785649738597031E-3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88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71.996571006302815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71.996571006302815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5.0576032340000001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5.0576032340000001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7.3482018499999997</v>
      </c>
    </row>
    <row r="17" spans="1:2" x14ac:dyDescent="0.25">
      <c r="A17" s="42" t="s">
        <v>8</v>
      </c>
      <c r="B17" s="38">
        <v>7.3482018499999997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84.402376090302809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261265.47544598143</v>
      </c>
    </row>
    <row r="29" spans="1:2" x14ac:dyDescent="0.25">
      <c r="A29" s="42" t="s">
        <v>153</v>
      </c>
      <c r="B29" s="49">
        <v>285860.85483320541</v>
      </c>
    </row>
    <row r="30" spans="1:2" ht="29.4" thickBot="1" x14ac:dyDescent="0.3">
      <c r="A30" s="23" t="s">
        <v>154</v>
      </c>
      <c r="B30" s="34">
        <v>236670.09605875745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3.2305215967103019E-4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203.03008700000001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442.76767141281948</v>
      </c>
    </row>
    <row r="38" spans="1:2" x14ac:dyDescent="0.25">
      <c r="A38" s="42" t="s">
        <v>19</v>
      </c>
      <c r="B38" s="53">
        <v>247.02887508558123</v>
      </c>
    </row>
    <row r="39" spans="1:2" x14ac:dyDescent="0.25">
      <c r="A39" s="51" t="s">
        <v>20</v>
      </c>
      <c r="B39" s="54">
        <v>117.87730384807163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2.2759708978142079</v>
      </c>
    </row>
    <row r="43" spans="1:2" ht="27.6" x14ac:dyDescent="0.25">
      <c r="A43" s="50" t="s">
        <v>24</v>
      </c>
      <c r="B43" s="54">
        <v>38.197893238934917</v>
      </c>
    </row>
    <row r="44" spans="1:2" ht="27.6" x14ac:dyDescent="0.25">
      <c r="A44" s="50" t="s">
        <v>25</v>
      </c>
      <c r="B44" s="54">
        <v>2.7053978481677592</v>
      </c>
    </row>
    <row r="45" spans="1:2" ht="27.6" x14ac:dyDescent="0.25">
      <c r="A45" s="50" t="s">
        <v>26</v>
      </c>
      <c r="B45" s="54">
        <v>34.670876800076265</v>
      </c>
    </row>
    <row r="46" spans="1:2" ht="14.4" thickBot="1" x14ac:dyDescent="0.3">
      <c r="A46" s="23" t="s">
        <v>27</v>
      </c>
      <c r="B46" s="55">
        <v>1.1353694173442621E-2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1.87082220688707E-3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6.2917779311293001E-4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1.87082220688707E-3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527.1700475031223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2.0177562557901711E-3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2.8230521596710302E-3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topLeftCell="A25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89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129.91324524305031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129.91324524305031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0.69921645999999993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0.69921645999999993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1.4590000000000001</v>
      </c>
    </row>
    <row r="17" spans="1:2" x14ac:dyDescent="0.25">
      <c r="A17" s="42" t="s">
        <v>8</v>
      </c>
      <c r="B17" s="38">
        <v>1.4590000000000001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132.07146170305032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342950.68619500002</v>
      </c>
    </row>
    <row r="29" spans="1:2" x14ac:dyDescent="0.25">
      <c r="A29" s="42" t="s">
        <v>153</v>
      </c>
      <c r="B29" s="49">
        <v>407963.52468000003</v>
      </c>
    </row>
    <row r="30" spans="1:2" ht="29.4" thickBot="1" x14ac:dyDescent="0.3">
      <c r="A30" s="23" t="s">
        <v>154</v>
      </c>
      <c r="B30" s="34">
        <v>277937.84771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3.8510336039378895E-4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1090.5620730000001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1175.4149254621152</v>
      </c>
    </row>
    <row r="38" spans="1:2" x14ac:dyDescent="0.25">
      <c r="A38" s="42" t="s">
        <v>19</v>
      </c>
      <c r="B38" s="53">
        <v>165.66499999999999</v>
      </c>
    </row>
    <row r="39" spans="1:2" x14ac:dyDescent="0.25">
      <c r="A39" s="51" t="s">
        <v>20</v>
      </c>
      <c r="B39" s="54">
        <v>433.91518800000006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19.994035920684585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555.84070154143046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4.2290567302965577E-3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5.0000000000000001E-3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7.7094326970344237E-4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4.2290567302965577E-3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1307.4863871651655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3.8124617905611522E-3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5.0000000000000001E-3</v>
      </c>
    </row>
    <row r="65" spans="1:2" ht="14.4" thickBot="1" x14ac:dyDescent="0.3">
      <c r="A65" s="24" t="s">
        <v>37</v>
      </c>
      <c r="B65" s="78">
        <v>5.3851033603937891E-3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115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9.9190344615322878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9.9190344615322878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2.795222E-2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2.795222E-2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9.9469866815322874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33148.507120000002</v>
      </c>
    </row>
    <row r="29" spans="1:2" x14ac:dyDescent="0.25">
      <c r="A29" s="42" t="s">
        <v>153</v>
      </c>
      <c r="B29" s="49">
        <v>33148.507120000002</v>
      </c>
    </row>
    <row r="30" spans="1:2" ht="29.4" thickBot="1" x14ac:dyDescent="0.3">
      <c r="A30" s="23" t="s">
        <v>154</v>
      </c>
      <c r="B30" s="34">
        <v>33148.507120000002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3.0007344359501541E-4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0.25863480050230381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0.25863480050230381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7.8023061360207583E-6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1.4921976938639793E-3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7.8023061360207583E-6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10.205621482034591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3.0787574973103614E-4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1.8000734435950154E-3</v>
      </c>
    </row>
  </sheetData>
  <mergeCells count="1">
    <mergeCell ref="B3:B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topLeftCell="A37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90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8.4462962593712554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8.4462962593712554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0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0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8.4462962593712554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19842.7050275</v>
      </c>
    </row>
    <row r="29" spans="1:2" x14ac:dyDescent="0.25">
      <c r="A29" s="42" t="s">
        <v>153</v>
      </c>
      <c r="B29" s="49">
        <v>25842.297559999999</v>
      </c>
    </row>
    <row r="30" spans="1:2" ht="29.4" thickBot="1" x14ac:dyDescent="0.3">
      <c r="A30" s="23" t="s">
        <v>154</v>
      </c>
      <c r="B30" s="34">
        <v>13843.112494999999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4.256625418593652E-4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1.0963878989989826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1.0963878989989826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7.9200967224313717E-5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1.4207990327756864E-3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7.9200967224313717E-5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9.5426841583702373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4.8091649526337433E-4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1.9256625418593652E-3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91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2.0640859723668941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2.0640859723668941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0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0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2.0640859723668941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3378.054725</v>
      </c>
    </row>
    <row r="29" spans="1:2" x14ac:dyDescent="0.25">
      <c r="A29" s="42" t="s">
        <v>153</v>
      </c>
      <c r="B29" s="49">
        <v>4445.7788099999998</v>
      </c>
    </row>
    <row r="30" spans="1:2" ht="29.4" thickBot="1" x14ac:dyDescent="0.3">
      <c r="A30" s="23" t="s">
        <v>154</v>
      </c>
      <c r="B30" s="34">
        <v>2310.3306400000001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6.1102798515701791E-4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0.25312321377616298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0.25274130498597858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3.8190879018442606E-4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1.0956146682803936E-4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1.3904385331719607E-3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1.0956146682803936E-4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2.317209186143057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6.8595963499172054E-4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2.1110279851570182E-3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92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1186.0006461749995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1186.0006461749995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21.715977970999997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21.715977970999997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1207.7166241459995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2760315.49474</v>
      </c>
    </row>
    <row r="29" spans="1:2" x14ac:dyDescent="0.25">
      <c r="A29" s="42" t="s">
        <v>153</v>
      </c>
      <c r="B29" s="49">
        <v>2927615.8008900001</v>
      </c>
    </row>
    <row r="30" spans="1:2" ht="29.4" thickBot="1" x14ac:dyDescent="0.3">
      <c r="A30" s="23" t="s">
        <v>154</v>
      </c>
      <c r="B30" s="34">
        <v>2593015.1885900004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4.3752847326597243E-4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1098.5915423794638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5.6365941049999995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486.31234682705855</v>
      </c>
    </row>
    <row r="44" spans="1:2" ht="27.6" x14ac:dyDescent="0.25">
      <c r="A44" s="50" t="s">
        <v>25</v>
      </c>
      <c r="B44" s="54">
        <v>24.466035225409851</v>
      </c>
    </row>
    <row r="45" spans="1:2" ht="27.6" x14ac:dyDescent="0.25">
      <c r="A45" s="50" t="s">
        <v>26</v>
      </c>
      <c r="B45" s="54">
        <v>582.17656622199547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4.2367339274122925E-4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2.0763266072587709E-3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4.2367339274122925E-4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2306.3081665254631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8.3552339249637082E-4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2.9375284732659724E-3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93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410.64805791600003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410.64805791600003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8.6090974099999986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8.6090974099999986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419.25715532600003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577509.50867999985</v>
      </c>
    </row>
    <row r="29" spans="1:2" x14ac:dyDescent="0.25">
      <c r="A29" s="42" t="s">
        <v>153</v>
      </c>
      <c r="B29" s="49">
        <v>678980.5516499998</v>
      </c>
    </row>
    <row r="30" spans="1:2" ht="29.4" thickBot="1" x14ac:dyDescent="0.3">
      <c r="A30" s="23" t="s">
        <v>154</v>
      </c>
      <c r="B30" s="34">
        <v>476038.46570999996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7.2597446280025146E-4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517.97573333420416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274.89370610522138</v>
      </c>
    </row>
    <row r="44" spans="1:2" ht="27.6" x14ac:dyDescent="0.25">
      <c r="A44" s="50" t="s">
        <v>25</v>
      </c>
      <c r="B44" s="54">
        <v>7.0510388271857929</v>
      </c>
    </row>
    <row r="45" spans="1:2" ht="27.6" x14ac:dyDescent="0.25">
      <c r="A45" s="50" t="s">
        <v>26</v>
      </c>
      <c r="B45" s="54">
        <v>236.03098840179703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1.0880963843156158E-3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1.4119036156843843E-3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1.0880963843156158E-3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937.23288866020425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1.6228873716770756E-3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3.2259744628002516E-3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118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102.635509152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102.635509152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1.5101689359999999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1.5101689359999999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104.145678088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383270.051095</v>
      </c>
    </row>
    <row r="29" spans="1:2" x14ac:dyDescent="0.25">
      <c r="A29" s="42" t="s">
        <v>153</v>
      </c>
      <c r="B29" s="49">
        <v>329003.01694999996</v>
      </c>
    </row>
    <row r="30" spans="1:2" ht="29.4" thickBot="1" x14ac:dyDescent="0.3">
      <c r="A30" s="23" t="s">
        <v>154</v>
      </c>
      <c r="B30" s="34">
        <v>437537.08523999999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2.717292357972048E-4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0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0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0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1.5E-3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0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104.145678088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2.717292357972048E-4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1.7717292357972048E-3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94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575.19104726900014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575.19104726900014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0.50026999999999999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0.50026999999999999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575.69131726900014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3154034.99798</v>
      </c>
    </row>
    <row r="29" spans="1:2" x14ac:dyDescent="0.25">
      <c r="A29" s="42" t="s">
        <v>153</v>
      </c>
      <c r="B29" s="49">
        <v>3570646.9393600002</v>
      </c>
    </row>
    <row r="30" spans="1:2" ht="29.4" thickBot="1" x14ac:dyDescent="0.3">
      <c r="A30" s="23" t="s">
        <v>154</v>
      </c>
      <c r="B30" s="34">
        <v>2737423.0565999998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1.825253421847574E-4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687.83974341519286</v>
      </c>
    </row>
    <row r="38" spans="1:2" x14ac:dyDescent="0.25">
      <c r="A38" s="42" t="s">
        <v>19</v>
      </c>
      <c r="B38" s="53">
        <v>182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505.83974341519286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2.5127272226219946E-4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2.2487272777378005E-3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2.5127272226219946E-4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1263.5310606841931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4.0060781237158779E-4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2.6825253421847574E-3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95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271.66198545100008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271.66198545100008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2.24493125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2.24493125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273.90691670100006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712169.98823500006</v>
      </c>
    </row>
    <row r="29" spans="1:2" x14ac:dyDescent="0.25">
      <c r="A29" s="42" t="s">
        <v>153</v>
      </c>
      <c r="B29" s="49">
        <v>843351.77161000005</v>
      </c>
    </row>
    <row r="30" spans="1:2" ht="29.4" thickBot="1" x14ac:dyDescent="0.3">
      <c r="A30" s="23" t="s">
        <v>154</v>
      </c>
      <c r="B30" s="34">
        <v>580988.20486000006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3.846089012818902E-4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262.28973672149061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262.28973672149061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4.5145449516431098E-4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2.048545504835689E-3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4.5145449516431098E-4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536.19665342249073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7.5290543308539123E-4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2.8846089012818901E-3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119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27.912604469999998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27.912604469999998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0.14885489999999998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0.14885489999999998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28.061459369999998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295563.59389999998</v>
      </c>
    </row>
    <row r="29" spans="1:2" x14ac:dyDescent="0.25">
      <c r="A29" s="42" t="s">
        <v>153</v>
      </c>
      <c r="B29" s="49">
        <v>295865.83019000001</v>
      </c>
    </row>
    <row r="30" spans="1:2" ht="29.4" thickBot="1" x14ac:dyDescent="0.3">
      <c r="A30" s="23" t="s">
        <v>154</v>
      </c>
      <c r="B30" s="34">
        <v>295261.35761000001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9.4942205160403558E-5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18</v>
      </c>
    </row>
    <row r="38" spans="1:2" x14ac:dyDescent="0.25">
      <c r="A38" s="42" t="s">
        <v>19</v>
      </c>
      <c r="B38" s="53">
        <v>18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0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6.0962938549430994E-5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1.439037061450569E-3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6.0962938549430994E-5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46.061459369999994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1.5584280446117555E-4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1.5949422051604037E-3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96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937.16346203000057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937.16346203000057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5.7774381899999998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5.7774381899999998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942.94090022000057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2754082.6328449999</v>
      </c>
    </row>
    <row r="29" spans="1:2" x14ac:dyDescent="0.25">
      <c r="A29" s="42" t="s">
        <v>153</v>
      </c>
      <c r="B29" s="49">
        <v>3227493.7484499998</v>
      </c>
    </row>
    <row r="30" spans="1:2" ht="29.4" thickBot="1" x14ac:dyDescent="0.3">
      <c r="A30" s="23" t="s">
        <v>154</v>
      </c>
      <c r="B30" s="34">
        <v>2280671.51724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3.4237930589828801E-4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515.73034456456639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515.73034456456639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2.2613091831334296E-4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2.273869081686657E-3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2.2613091831334296E-4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1458.6712447845671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5.296396075370267E-4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2.8423793058982879E-3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97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1482.8516137850004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1482.8516137850004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0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0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1482.8516137850004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942398.44829999993</v>
      </c>
    </row>
    <row r="29" spans="1:2" x14ac:dyDescent="0.25">
      <c r="A29" s="42" t="s">
        <v>153</v>
      </c>
      <c r="B29" s="49">
        <v>1070539.0190999999</v>
      </c>
    </row>
    <row r="30" spans="1:2" ht="29.4" thickBot="1" x14ac:dyDescent="0.3">
      <c r="A30" s="23" t="s">
        <v>154</v>
      </c>
      <c r="B30" s="34">
        <v>814257.87749999994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1.5734869008538037E-3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403.85900967436874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2.0760365530054621</v>
      </c>
    </row>
    <row r="43" spans="1:2" ht="27.6" x14ac:dyDescent="0.25">
      <c r="A43" s="50" t="s">
        <v>24</v>
      </c>
      <c r="B43" s="54">
        <v>401.78297312136328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4.9598416034282548E-4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2.0040158396571746E-3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4.9598416034282548E-4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1886.7106234593691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2.0020306982283572E-3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4.0734869008538042E-3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A3" sqref="A3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120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45.549581399999994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45.549581399999994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1.72884372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1.72884372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47.278425119999994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200831.76698499999</v>
      </c>
    </row>
    <row r="29" spans="1:2" ht="18.75" customHeight="1" x14ac:dyDescent="0.25">
      <c r="A29" s="42" t="s">
        <v>153</v>
      </c>
      <c r="B29" s="49">
        <v>185705.19987000001</v>
      </c>
    </row>
    <row r="30" spans="1:2" ht="29.4" thickBot="1" x14ac:dyDescent="0.3">
      <c r="A30" s="23" t="s">
        <v>154</v>
      </c>
      <c r="B30" s="34">
        <v>215958.33410000001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2.3541308145504287E-4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0.88286721585483185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0.88286721585483185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4.0881368136782264E-6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1.4959118631863218E-3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4.0881368136782264E-6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48.161292335854824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2.398091350729985E-4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1.7354130814550429E-3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rightToLeft="1" topLeftCell="A31" workbookViewId="0">
      <selection activeCell="A67" sqref="A67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155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156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57.472735990000004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57.472735990000004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1.8139502599999999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1.8139502599999999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59.286686250000002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383680.54817000002</v>
      </c>
    </row>
    <row r="29" spans="1:2" ht="18.75" customHeight="1" x14ac:dyDescent="0.25">
      <c r="A29" s="42" t="s">
        <v>153</v>
      </c>
      <c r="B29" s="49">
        <v>515318.14107000001</v>
      </c>
    </row>
    <row r="30" spans="1:2" ht="29.4" thickBot="1" x14ac:dyDescent="0.3">
      <c r="A30" s="23" t="s">
        <v>154</v>
      </c>
      <c r="B30" s="34">
        <v>252042.95527000001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1.5452095899250913E-4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108.22484568744051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108.22484568744051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4.2939048056909616E-4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2.0706095194309038E-3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4.2939048056909616E-4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167.51153193744051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4.3659115046723715E-4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2.6545209589925092E-3</v>
      </c>
    </row>
    <row r="67" spans="1:2" x14ac:dyDescent="0.25">
      <c r="A67" s="119" t="s">
        <v>157</v>
      </c>
    </row>
  </sheetData>
  <mergeCells count="1">
    <mergeCell ref="B3:B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116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88.688466820000016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88.688466820000016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0.11220000000000001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0.11220000000000001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88.800666820000018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659820.38590999995</v>
      </c>
    </row>
    <row r="29" spans="1:2" x14ac:dyDescent="0.25">
      <c r="A29" s="42" t="s">
        <v>153</v>
      </c>
      <c r="B29" s="49">
        <v>659820.38590999995</v>
      </c>
    </row>
    <row r="30" spans="1:2" ht="29.4" thickBot="1" x14ac:dyDescent="0.3">
      <c r="A30" s="23" t="s">
        <v>154</v>
      </c>
      <c r="B30" s="34">
        <v>659820.38590999995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1.3458309066569595E-4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63.856547653439662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63.856547653439662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9.6778682527929276E-5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2.4032213174720709E-3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9.6778682527929276E-5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152.65721447343969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2.3136177319362525E-4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2.6345830906656961E-3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topLeftCell="A49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98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321.38169306700001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321.38169306700001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0.30265000000000003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0.30265000000000003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321.68434306700004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1107685.7933749999</v>
      </c>
    </row>
    <row r="29" spans="1:2" x14ac:dyDescent="0.25">
      <c r="A29" s="42" t="s">
        <v>153</v>
      </c>
      <c r="B29" s="49">
        <v>1265563.1543299998</v>
      </c>
    </row>
    <row r="30" spans="1:2" ht="29.4" thickBot="1" x14ac:dyDescent="0.3">
      <c r="A30" s="23" t="s">
        <v>154</v>
      </c>
      <c r="B30" s="34">
        <v>949808.43241999997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2.9041118428255934E-4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2.0386729999999997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294.93080401699513</v>
      </c>
    </row>
    <row r="38" spans="1:2" x14ac:dyDescent="0.25">
      <c r="A38" s="42" t="s">
        <v>19</v>
      </c>
      <c r="B38" s="53">
        <v>125.2109515096066</v>
      </c>
    </row>
    <row r="39" spans="1:2" x14ac:dyDescent="0.25">
      <c r="A39" s="51" t="s">
        <v>20</v>
      </c>
      <c r="B39" s="54">
        <v>129.060149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22.026646253242021</v>
      </c>
    </row>
    <row r="44" spans="1:2" ht="27.6" x14ac:dyDescent="0.25">
      <c r="A44" s="50" t="s">
        <v>25</v>
      </c>
      <c r="B44" s="54">
        <v>18.633057254146507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3.1051609350903129E-4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2.189483906490969E-3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3.1051609350903129E-4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616.61514708399523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5.5666972599263459E-4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2.7904111842825593E-3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99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128.49753502999999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128.49753502999999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0.39861563017000001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0.39861563017000001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128.89615066017001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242919.14168499998</v>
      </c>
    </row>
    <row r="29" spans="1:2" x14ac:dyDescent="0.25">
      <c r="A29" s="42" t="s">
        <v>153</v>
      </c>
      <c r="B29" s="49">
        <v>297987.94082999998</v>
      </c>
    </row>
    <row r="30" spans="1:2" ht="29.4" thickBot="1" x14ac:dyDescent="0.3">
      <c r="A30" s="23" t="s">
        <v>154</v>
      </c>
      <c r="B30" s="34">
        <v>187850.34253999998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5.3061339574183599E-4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0.43034600000000001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131.31555356039257</v>
      </c>
    </row>
    <row r="38" spans="1:2" x14ac:dyDescent="0.25">
      <c r="A38" s="42" t="s">
        <v>19</v>
      </c>
      <c r="B38" s="53">
        <v>25.122270814272643</v>
      </c>
    </row>
    <row r="39" spans="1:2" x14ac:dyDescent="0.25">
      <c r="A39" s="51" t="s">
        <v>20</v>
      </c>
      <c r="B39" s="54">
        <v>51.710037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42.861336599327579</v>
      </c>
    </row>
    <row r="44" spans="1:2" ht="27.6" x14ac:dyDescent="0.25">
      <c r="A44" s="50" t="s">
        <v>25</v>
      </c>
      <c r="B44" s="54">
        <v>11.621909146792351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6.9904346079342837E-4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1.8009565392065716E-3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6.9904346079342837E-4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260.21170422056258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1.071186496113947E-3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3.0306133957418361E-3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121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18.806868106999993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18.806868106999993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7.4934999999999993E-3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7.4934999999999993E-3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18.814361606999991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101652.40656</v>
      </c>
    </row>
    <row r="29" spans="1:2" x14ac:dyDescent="0.25">
      <c r="A29" s="42" t="s">
        <v>153</v>
      </c>
      <c r="B29" s="49">
        <v>102180.72293</v>
      </c>
    </row>
    <row r="30" spans="1:2" ht="29.4" thickBot="1" x14ac:dyDescent="0.3">
      <c r="A30" s="23" t="s">
        <v>154</v>
      </c>
      <c r="B30" s="34">
        <v>101124.09019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1.8508525517194595E-4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28.241416708903909</v>
      </c>
    </row>
    <row r="38" spans="1:2" x14ac:dyDescent="0.25">
      <c r="A38" s="42" t="s">
        <v>19</v>
      </c>
      <c r="B38" s="53">
        <v>27.996838975297351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0</v>
      </c>
    </row>
    <row r="44" spans="1:2" ht="27.6" x14ac:dyDescent="0.25">
      <c r="A44" s="50" t="s">
        <v>25</v>
      </c>
      <c r="B44" s="54">
        <v>0.24457773360655691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2.7927486572034105E-4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1.220725134279659E-3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2.7927486572034105E-4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47.0557783159039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4.6290865025541114E-4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1.6850852551719459E-3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100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93.145817726000018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93.145817726000018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1.9757839459999997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1.9757839459999997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95.121601672000011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661794.68269000005</v>
      </c>
    </row>
    <row r="29" spans="1:2" x14ac:dyDescent="0.25">
      <c r="A29" s="42" t="s">
        <v>153</v>
      </c>
      <c r="B29" s="49">
        <v>907710.25309000001</v>
      </c>
    </row>
    <row r="30" spans="1:2" ht="29.4" thickBot="1" x14ac:dyDescent="0.3">
      <c r="A30" s="23" t="s">
        <v>154</v>
      </c>
      <c r="B30" s="34">
        <v>415879.11229000002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1.437327983436778E-4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160.50783927093946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4.4591284239180329</v>
      </c>
    </row>
    <row r="43" spans="1:2" ht="27.6" x14ac:dyDescent="0.25">
      <c r="A43" s="50" t="s">
        <v>24</v>
      </c>
      <c r="B43" s="54">
        <v>156.04871084702143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3.8594830691812779E-4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2.1140516930818723E-3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3.8594830691812779E-4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255.62944094293948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3.8626699130292383E-4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2.6437327983436778E-3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101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61.691245740999989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61.691245740999989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1.7751690000000004E-2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1.7751690000000004E-2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61.708997430999986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259641.76162</v>
      </c>
    </row>
    <row r="29" spans="1:2" x14ac:dyDescent="0.25">
      <c r="A29" s="42" t="s">
        <v>153</v>
      </c>
      <c r="B29" s="49">
        <v>378773.89523000002</v>
      </c>
    </row>
    <row r="30" spans="1:2" ht="29.4" thickBot="1" x14ac:dyDescent="0.3">
      <c r="A30" s="23" t="s">
        <v>154</v>
      </c>
      <c r="B30" s="34">
        <v>140509.62800999999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2.3766976870737188E-4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127.3840896172222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6.4889427493551928</v>
      </c>
    </row>
    <row r="43" spans="1:2" ht="27.6" x14ac:dyDescent="0.25">
      <c r="A43" s="50" t="s">
        <v>24</v>
      </c>
      <c r="B43" s="54">
        <v>120.89514686786701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9.0658619926142249E-4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2.5000000000000001E-3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1.5934138007385776E-3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9.0658619926142249E-4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189.09308704822217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7.2828456357868312E-4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2.5000000000000001E-3</v>
      </c>
    </row>
    <row r="65" spans="1:2" ht="14.4" thickBot="1" x14ac:dyDescent="0.3">
      <c r="A65" s="24" t="s">
        <v>37</v>
      </c>
      <c r="B65" s="78">
        <v>2.7376697687073719E-3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65"/>
  <sheetViews>
    <sheetView rightToLeft="1" workbookViewId="0">
      <selection activeCell="B64" sqref="B64"/>
    </sheetView>
  </sheetViews>
  <sheetFormatPr defaultRowHeight="13.8" x14ac:dyDescent="0.25"/>
  <cols>
    <col min="1" max="1" width="103.69921875" customWidth="1"/>
    <col min="2" max="2" width="16.5" customWidth="1"/>
  </cols>
  <sheetData>
    <row r="1" spans="1:2" ht="18" x14ac:dyDescent="0.25">
      <c r="A1" s="2" t="s">
        <v>112</v>
      </c>
    </row>
    <row r="2" spans="1:2" ht="14.4" thickBot="1" x14ac:dyDescent="0.3">
      <c r="A2" s="1"/>
    </row>
    <row r="3" spans="1:2" ht="14.25" customHeight="1" x14ac:dyDescent="0.25">
      <c r="A3" s="17" t="s">
        <v>122</v>
      </c>
      <c r="B3" s="112" t="s">
        <v>0</v>
      </c>
    </row>
    <row r="4" spans="1:2" ht="14.25" customHeight="1" x14ac:dyDescent="0.25">
      <c r="A4" s="18"/>
      <c r="B4" s="113"/>
    </row>
    <row r="5" spans="1:2" ht="15" customHeight="1" thickBot="1" x14ac:dyDescent="0.3">
      <c r="A5" s="19" t="s">
        <v>117</v>
      </c>
      <c r="B5" s="114"/>
    </row>
    <row r="6" spans="1:2" ht="15" thickBot="1" x14ac:dyDescent="0.3">
      <c r="A6" s="20"/>
      <c r="B6" s="28"/>
    </row>
    <row r="7" spans="1:2" ht="14.4" thickBot="1" x14ac:dyDescent="0.3">
      <c r="A7" s="21" t="s">
        <v>1</v>
      </c>
      <c r="B7" s="29"/>
    </row>
    <row r="8" spans="1:2" ht="14.4" thickBot="1" x14ac:dyDescent="0.3">
      <c r="A8" s="22" t="s">
        <v>2</v>
      </c>
      <c r="B8" s="39">
        <v>5.1485590600000002</v>
      </c>
    </row>
    <row r="9" spans="1:2" x14ac:dyDescent="0.25">
      <c r="A9" s="42" t="s">
        <v>3</v>
      </c>
      <c r="B9" s="43"/>
    </row>
    <row r="10" spans="1:2" ht="14.4" thickBot="1" x14ac:dyDescent="0.3">
      <c r="A10" s="23" t="s">
        <v>4</v>
      </c>
      <c r="B10" s="44">
        <v>5.1485590600000002</v>
      </c>
    </row>
    <row r="11" spans="1:2" ht="14.4" thickBot="1" x14ac:dyDescent="0.3">
      <c r="A11" s="24"/>
      <c r="B11" s="41"/>
    </row>
    <row r="12" spans="1:2" ht="14.4" thickBot="1" x14ac:dyDescent="0.3">
      <c r="A12" s="45" t="s">
        <v>38</v>
      </c>
      <c r="B12" s="39">
        <v>5.5830000000000007E-4</v>
      </c>
    </row>
    <row r="13" spans="1:2" x14ac:dyDescent="0.25">
      <c r="A13" s="46" t="s">
        <v>5</v>
      </c>
      <c r="B13" s="38"/>
    </row>
    <row r="14" spans="1:2" ht="14.4" thickBot="1" x14ac:dyDescent="0.3">
      <c r="A14" s="23" t="s">
        <v>6</v>
      </c>
      <c r="B14" s="40">
        <v>5.5830000000000007E-4</v>
      </c>
    </row>
    <row r="15" spans="1:2" ht="14.4" thickBot="1" x14ac:dyDescent="0.3">
      <c r="A15" s="24"/>
      <c r="B15" s="41"/>
    </row>
    <row r="16" spans="1:2" ht="14.4" thickBot="1" x14ac:dyDescent="0.3">
      <c r="A16" s="24" t="s">
        <v>7</v>
      </c>
      <c r="B16" s="39">
        <v>0</v>
      </c>
    </row>
    <row r="17" spans="1:2" x14ac:dyDescent="0.25">
      <c r="A17" s="42" t="s">
        <v>8</v>
      </c>
      <c r="B17" s="38">
        <v>0</v>
      </c>
    </row>
    <row r="18" spans="1:2" ht="14.4" thickBot="1" x14ac:dyDescent="0.3">
      <c r="A18" s="23" t="s">
        <v>9</v>
      </c>
      <c r="B18" s="47"/>
    </row>
    <row r="19" spans="1:2" ht="14.4" thickBot="1" x14ac:dyDescent="0.3">
      <c r="A19" s="24"/>
      <c r="B19" s="30"/>
    </row>
    <row r="20" spans="1:2" ht="14.4" thickBot="1" x14ac:dyDescent="0.3">
      <c r="A20" s="24" t="s">
        <v>10</v>
      </c>
      <c r="B20" s="71"/>
    </row>
    <row r="21" spans="1:2" ht="14.4" thickBot="1" x14ac:dyDescent="0.3">
      <c r="A21" s="24"/>
      <c r="B21" s="37"/>
    </row>
    <row r="22" spans="1:2" ht="14.4" thickBot="1" x14ac:dyDescent="0.3">
      <c r="A22" s="24" t="s">
        <v>11</v>
      </c>
      <c r="B22" s="48">
        <v>0</v>
      </c>
    </row>
    <row r="23" spans="1:2" ht="14.4" thickBot="1" x14ac:dyDescent="0.3">
      <c r="A23" s="24"/>
      <c r="B23" s="37"/>
    </row>
    <row r="24" spans="1:2" ht="14.4" thickBot="1" x14ac:dyDescent="0.3">
      <c r="A24" s="24" t="s">
        <v>12</v>
      </c>
      <c r="B24" s="48">
        <v>0</v>
      </c>
    </row>
    <row r="25" spans="1:2" ht="14.4" thickBot="1" x14ac:dyDescent="0.3">
      <c r="A25" s="24"/>
      <c r="B25" s="30"/>
    </row>
    <row r="26" spans="1:2" ht="14.4" thickBot="1" x14ac:dyDescent="0.3">
      <c r="A26" s="24" t="s">
        <v>13</v>
      </c>
      <c r="B26" s="33">
        <v>5.14911736</v>
      </c>
    </row>
    <row r="27" spans="1:2" ht="14.4" thickBot="1" x14ac:dyDescent="0.3">
      <c r="A27" s="24"/>
      <c r="B27" s="30"/>
    </row>
    <row r="28" spans="1:2" ht="14.4" thickBot="1" x14ac:dyDescent="0.3">
      <c r="A28" s="24" t="s">
        <v>14</v>
      </c>
      <c r="B28" s="33">
        <v>29076.85901</v>
      </c>
    </row>
    <row r="29" spans="1:2" x14ac:dyDescent="0.25">
      <c r="A29" s="42" t="s">
        <v>153</v>
      </c>
      <c r="B29" s="49">
        <v>32035.342329999999</v>
      </c>
    </row>
    <row r="30" spans="1:2" ht="29.4" thickBot="1" x14ac:dyDescent="0.3">
      <c r="A30" s="23" t="s">
        <v>154</v>
      </c>
      <c r="B30" s="34">
        <v>26118.375690000001</v>
      </c>
    </row>
    <row r="31" spans="1:2" ht="15" thickBot="1" x14ac:dyDescent="0.35">
      <c r="A31" s="25"/>
      <c r="B31" s="30"/>
    </row>
    <row r="32" spans="1:2" ht="14.4" thickBot="1" x14ac:dyDescent="0.3">
      <c r="A32" s="24" t="s">
        <v>15</v>
      </c>
      <c r="B32" s="36">
        <v>1.7708643695762104E-4</v>
      </c>
    </row>
    <row r="33" spans="1:2" ht="14.4" thickBot="1" x14ac:dyDescent="0.3">
      <c r="A33" s="24"/>
      <c r="B33" s="30"/>
    </row>
    <row r="34" spans="1:2" ht="16.2" thickBot="1" x14ac:dyDescent="0.3">
      <c r="A34" s="26" t="s">
        <v>16</v>
      </c>
      <c r="B34" s="30"/>
    </row>
    <row r="35" spans="1:2" ht="14.4" thickBot="1" x14ac:dyDescent="0.3">
      <c r="A35" s="24" t="s">
        <v>17</v>
      </c>
      <c r="B35" s="77">
        <v>0</v>
      </c>
    </row>
    <row r="36" spans="1:2" ht="14.4" thickBot="1" x14ac:dyDescent="0.3">
      <c r="A36" s="24"/>
      <c r="B36" s="30"/>
    </row>
    <row r="37" spans="1:2" ht="14.4" thickBot="1" x14ac:dyDescent="0.3">
      <c r="A37" s="24" t="s">
        <v>18</v>
      </c>
      <c r="B37" s="52">
        <v>0.10328610068306007</v>
      </c>
    </row>
    <row r="38" spans="1:2" x14ac:dyDescent="0.25">
      <c r="A38" s="42" t="s">
        <v>19</v>
      </c>
      <c r="B38" s="53">
        <v>0</v>
      </c>
    </row>
    <row r="39" spans="1:2" x14ac:dyDescent="0.25">
      <c r="A39" s="51" t="s">
        <v>20</v>
      </c>
      <c r="B39" s="54">
        <v>0</v>
      </c>
    </row>
    <row r="40" spans="1:2" x14ac:dyDescent="0.25">
      <c r="A40" s="50" t="s">
        <v>21</v>
      </c>
      <c r="B40" s="54">
        <v>0</v>
      </c>
    </row>
    <row r="41" spans="1:2" x14ac:dyDescent="0.25">
      <c r="A41" s="50" t="s">
        <v>22</v>
      </c>
      <c r="B41" s="54">
        <v>0</v>
      </c>
    </row>
    <row r="42" spans="1:2" ht="27.6" x14ac:dyDescent="0.25">
      <c r="A42" s="50" t="s">
        <v>23</v>
      </c>
      <c r="B42" s="54">
        <v>0</v>
      </c>
    </row>
    <row r="43" spans="1:2" ht="27.6" x14ac:dyDescent="0.25">
      <c r="A43" s="50" t="s">
        <v>24</v>
      </c>
      <c r="B43" s="54">
        <v>0.10328610068306007</v>
      </c>
    </row>
    <row r="44" spans="1:2" ht="27.6" x14ac:dyDescent="0.25">
      <c r="A44" s="50" t="s">
        <v>25</v>
      </c>
      <c r="B44" s="54">
        <v>0</v>
      </c>
    </row>
    <row r="45" spans="1:2" ht="27.6" x14ac:dyDescent="0.25">
      <c r="A45" s="50" t="s">
        <v>26</v>
      </c>
      <c r="B45" s="54">
        <v>0</v>
      </c>
    </row>
    <row r="46" spans="1:2" ht="14.4" thickBot="1" x14ac:dyDescent="0.3">
      <c r="A46" s="23" t="s">
        <v>27</v>
      </c>
      <c r="B46" s="55">
        <v>0</v>
      </c>
    </row>
    <row r="47" spans="1:2" ht="14.4" thickBot="1" x14ac:dyDescent="0.3">
      <c r="A47" s="23"/>
      <c r="B47" s="30"/>
    </row>
    <row r="48" spans="1:2" ht="15.6" thickBot="1" x14ac:dyDescent="0.3">
      <c r="A48" s="24" t="s">
        <v>28</v>
      </c>
      <c r="B48" s="79">
        <v>3.9545376752737902E-6</v>
      </c>
    </row>
    <row r="49" spans="1:2" ht="14.4" thickBot="1" x14ac:dyDescent="0.3">
      <c r="A49" s="23"/>
      <c r="B49" s="76"/>
    </row>
    <row r="50" spans="1:2" ht="14.4" thickBot="1" x14ac:dyDescent="0.3">
      <c r="A50" s="24" t="s">
        <v>29</v>
      </c>
      <c r="B50" s="80">
        <v>1.5E-3</v>
      </c>
    </row>
    <row r="51" spans="1:2" ht="14.4" thickBot="1" x14ac:dyDescent="0.3">
      <c r="A51" s="23"/>
      <c r="B51" s="76"/>
    </row>
    <row r="52" spans="1:2" ht="14.4" thickBot="1" x14ac:dyDescent="0.3">
      <c r="A52" s="24" t="s">
        <v>30</v>
      </c>
      <c r="B52" s="80">
        <v>1.4960454623247263E-3</v>
      </c>
    </row>
    <row r="53" spans="1:2" ht="14.4" thickBot="1" x14ac:dyDescent="0.3">
      <c r="A53" s="27"/>
      <c r="B53" s="76"/>
    </row>
    <row r="54" spans="1:2" ht="14.4" thickBot="1" x14ac:dyDescent="0.3">
      <c r="A54" s="24" t="s">
        <v>31</v>
      </c>
      <c r="B54" s="81">
        <v>0</v>
      </c>
    </row>
    <row r="55" spans="1:2" ht="14.4" thickBot="1" x14ac:dyDescent="0.3">
      <c r="A55" s="24" t="s">
        <v>32</v>
      </c>
      <c r="B55" s="82">
        <v>3.9545376752737902E-6</v>
      </c>
    </row>
    <row r="56" spans="1:2" ht="14.4" thickBot="1" x14ac:dyDescent="0.3">
      <c r="A56" s="24"/>
      <c r="B56" s="30"/>
    </row>
    <row r="57" spans="1:2" ht="16.2" thickBot="1" x14ac:dyDescent="0.3">
      <c r="A57" s="26" t="s">
        <v>33</v>
      </c>
      <c r="B57" s="30"/>
    </row>
    <row r="58" spans="1:2" ht="14.4" thickBot="1" x14ac:dyDescent="0.3">
      <c r="A58" s="24"/>
      <c r="B58" s="30"/>
    </row>
    <row r="59" spans="1:2" ht="14.4" thickBot="1" x14ac:dyDescent="0.3">
      <c r="A59" s="24" t="s">
        <v>39</v>
      </c>
      <c r="B59" s="83">
        <v>5.2524034606830599</v>
      </c>
    </row>
    <row r="60" spans="1:2" ht="14.4" thickBot="1" x14ac:dyDescent="0.3">
      <c r="A60" s="24"/>
      <c r="B60" s="30"/>
    </row>
    <row r="61" spans="1:2" ht="14.4" thickBot="1" x14ac:dyDescent="0.3">
      <c r="A61" s="24" t="s">
        <v>35</v>
      </c>
      <c r="B61" s="79">
        <v>1.8063861226815022E-4</v>
      </c>
    </row>
    <row r="62" spans="1:2" ht="14.4" thickBot="1" x14ac:dyDescent="0.3">
      <c r="A62" s="24"/>
      <c r="B62" s="76"/>
    </row>
    <row r="63" spans="1:2" ht="14.4" thickBot="1" x14ac:dyDescent="0.3">
      <c r="A63" s="24" t="s">
        <v>36</v>
      </c>
      <c r="B63" s="76"/>
    </row>
    <row r="64" spans="1:2" ht="14.4" thickBot="1" x14ac:dyDescent="0.3">
      <c r="A64" s="24" t="s">
        <v>80</v>
      </c>
      <c r="B64" s="80">
        <v>1.5E-3</v>
      </c>
    </row>
    <row r="65" spans="1:2" ht="14.4" thickBot="1" x14ac:dyDescent="0.3">
      <c r="A65" s="24" t="s">
        <v>37</v>
      </c>
      <c r="B65" s="78">
        <v>1.6770864369576211E-3</v>
      </c>
    </row>
  </sheetData>
  <mergeCells count="1">
    <mergeCell ref="B3:B5"/>
  </mergeCells>
  <pageMargins left="0.7" right="0.7" top="0.75" bottom="0.75" header="0.3" footer="0.3"/>
  <pageSetup paperSize="9" scale="6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D48"/>
  <sheetViews>
    <sheetView rightToLeft="1" workbookViewId="0">
      <selection sqref="A1:B47"/>
    </sheetView>
  </sheetViews>
  <sheetFormatPr defaultRowHeight="13.8" x14ac:dyDescent="0.25"/>
  <cols>
    <col min="1" max="1" width="64.19921875" style="8" customWidth="1"/>
    <col min="2" max="2" width="27.3984375" style="63" customWidth="1"/>
  </cols>
  <sheetData>
    <row r="1" spans="1:4" ht="18" x14ac:dyDescent="0.25">
      <c r="A1" s="100" t="s">
        <v>113</v>
      </c>
    </row>
    <row r="2" spans="1:4" ht="14.4" thickBot="1" x14ac:dyDescent="0.3">
      <c r="B2" s="1"/>
    </row>
    <row r="3" spans="1:4" ht="14.4" thickBot="1" x14ac:dyDescent="0.3">
      <c r="A3" s="111" t="s">
        <v>79</v>
      </c>
      <c r="B3" s="1"/>
    </row>
    <row r="4" spans="1:4" ht="14.4" thickBot="1" x14ac:dyDescent="0.3">
      <c r="A4" s="11"/>
      <c r="B4" s="64" t="s">
        <v>0</v>
      </c>
    </row>
    <row r="5" spans="1:4" ht="17.399999999999999" thickBot="1" x14ac:dyDescent="0.3">
      <c r="A5" s="6" t="s">
        <v>40</v>
      </c>
      <c r="B5" s="56"/>
    </row>
    <row r="6" spans="1:4" ht="14.4" thickBot="1" x14ac:dyDescent="0.3">
      <c r="A6" s="6" t="s">
        <v>103</v>
      </c>
      <c r="B6" s="110">
        <v>0</v>
      </c>
    </row>
    <row r="7" spans="1:4" ht="15.6" thickBot="1" x14ac:dyDescent="0.3">
      <c r="A7" s="10"/>
      <c r="B7" s="101"/>
    </row>
    <row r="8" spans="1:4" ht="14.25" customHeight="1" thickBot="1" x14ac:dyDescent="0.3">
      <c r="A8" s="10"/>
      <c r="B8" s="56"/>
    </row>
    <row r="9" spans="1:4" ht="14.4" thickBot="1" x14ac:dyDescent="0.3">
      <c r="A9" s="6" t="s">
        <v>104</v>
      </c>
      <c r="B9" s="85">
        <f>SUM(B10:B12)</f>
        <v>8725.8722481853729</v>
      </c>
    </row>
    <row r="10" spans="1:4" ht="14.4" thickBot="1" x14ac:dyDescent="0.3">
      <c r="A10" s="105" t="s">
        <v>102</v>
      </c>
      <c r="B10" s="108">
        <v>6849.875091320645</v>
      </c>
    </row>
    <row r="11" spans="1:4" ht="14.4" thickBot="1" x14ac:dyDescent="0.3">
      <c r="A11" s="107" t="s">
        <v>125</v>
      </c>
      <c r="B11" s="109">
        <v>558.96538153392817</v>
      </c>
    </row>
    <row r="12" spans="1:4" ht="14.25" customHeight="1" thickBot="1" x14ac:dyDescent="0.3">
      <c r="A12" s="106" t="s">
        <v>107</v>
      </c>
      <c r="B12" s="109">
        <v>1317.0317753308007</v>
      </c>
    </row>
    <row r="13" spans="1:4" ht="18.75" customHeight="1" thickBot="1" x14ac:dyDescent="0.3">
      <c r="A13" s="6" t="s">
        <v>42</v>
      </c>
      <c r="B13" s="86">
        <f>B6+B9</f>
        <v>8725.8722481853729</v>
      </c>
    </row>
    <row r="14" spans="1:4" ht="17.399999999999999" thickBot="1" x14ac:dyDescent="0.3">
      <c r="A14" s="11"/>
      <c r="B14" s="56"/>
    </row>
    <row r="15" spans="1:4" ht="17.399999999999999" thickBot="1" x14ac:dyDescent="0.3">
      <c r="A15" s="6" t="s">
        <v>43</v>
      </c>
      <c r="B15" s="56"/>
      <c r="D15" s="84"/>
    </row>
    <row r="16" spans="1:4" ht="14.4" thickBot="1" x14ac:dyDescent="0.3">
      <c r="A16" s="6" t="s">
        <v>41</v>
      </c>
      <c r="B16" s="110">
        <v>0</v>
      </c>
    </row>
    <row r="17" spans="1:2" ht="17.399999999999999" thickBot="1" x14ac:dyDescent="0.3">
      <c r="A17" s="10"/>
      <c r="B17" s="56"/>
    </row>
    <row r="18" spans="1:2" ht="14.4" thickBot="1" x14ac:dyDescent="0.3">
      <c r="A18" s="6" t="s">
        <v>105</v>
      </c>
      <c r="B18" s="85">
        <f>SUM(B19:B21)</f>
        <v>87.951773254169993</v>
      </c>
    </row>
    <row r="19" spans="1:2" ht="14.4" thickBot="1" x14ac:dyDescent="0.3">
      <c r="A19" s="104" t="s">
        <v>102</v>
      </c>
      <c r="B19" s="58">
        <v>86.931806862169992</v>
      </c>
    </row>
    <row r="20" spans="1:2" ht="14.4" thickBot="1" x14ac:dyDescent="0.3">
      <c r="A20" s="104" t="s">
        <v>106</v>
      </c>
      <c r="B20" s="58">
        <v>0.90453639200000002</v>
      </c>
    </row>
    <row r="21" spans="1:2" ht="14.4" thickBot="1" x14ac:dyDescent="0.3">
      <c r="A21" s="104" t="s">
        <v>107</v>
      </c>
      <c r="B21" s="58">
        <v>0.11542999999999999</v>
      </c>
    </row>
    <row r="22" spans="1:2" ht="14.4" thickBot="1" x14ac:dyDescent="0.3">
      <c r="A22" s="6" t="s">
        <v>44</v>
      </c>
      <c r="B22" s="59">
        <f>B18+B16</f>
        <v>87.951773254169993</v>
      </c>
    </row>
    <row r="23" spans="1:2" ht="17.399999999999999" thickBot="1" x14ac:dyDescent="0.3">
      <c r="A23" s="13"/>
      <c r="B23" s="56"/>
    </row>
    <row r="24" spans="1:2" ht="17.399999999999999" thickBot="1" x14ac:dyDescent="0.3">
      <c r="A24" s="6" t="s">
        <v>45</v>
      </c>
      <c r="B24" s="56"/>
    </row>
    <row r="25" spans="1:2" ht="14.4" thickBot="1" x14ac:dyDescent="0.3">
      <c r="A25" s="104" t="s">
        <v>126</v>
      </c>
      <c r="B25" s="87">
        <v>213.75899999999999</v>
      </c>
    </row>
    <row r="26" spans="1:2" ht="14.4" thickBot="1" x14ac:dyDescent="0.3">
      <c r="A26" s="104" t="s">
        <v>127</v>
      </c>
      <c r="B26" s="87">
        <v>149.17599999999999</v>
      </c>
    </row>
    <row r="27" spans="1:2" ht="14.4" thickBot="1" x14ac:dyDescent="0.3">
      <c r="A27" s="104" t="s">
        <v>128</v>
      </c>
      <c r="B27" s="87">
        <v>57.389000000000003</v>
      </c>
    </row>
    <row r="28" spans="1:2" ht="14.4" thickBot="1" x14ac:dyDescent="0.3">
      <c r="A28" s="104" t="s">
        <v>129</v>
      </c>
      <c r="B28" s="87">
        <v>30.42</v>
      </c>
    </row>
    <row r="29" spans="1:2" ht="14.4" thickBot="1" x14ac:dyDescent="0.3">
      <c r="A29" s="104" t="s">
        <v>130</v>
      </c>
      <c r="B29" s="87">
        <v>30.42</v>
      </c>
    </row>
    <row r="30" spans="1:2" ht="14.4" thickBot="1" x14ac:dyDescent="0.3">
      <c r="A30" s="104" t="s">
        <v>109</v>
      </c>
      <c r="B30" s="87">
        <v>20.883453299999999</v>
      </c>
    </row>
    <row r="31" spans="1:2" ht="14.4" thickBot="1" x14ac:dyDescent="0.3">
      <c r="A31" s="6" t="s">
        <v>46</v>
      </c>
      <c r="B31" s="97">
        <f>SUM(B25:B30)</f>
        <v>502.04745329999997</v>
      </c>
    </row>
    <row r="32" spans="1:2" ht="17.399999999999999" thickBot="1" x14ac:dyDescent="0.3">
      <c r="A32" s="6"/>
      <c r="B32" s="56"/>
    </row>
    <row r="33" spans="1:2" ht="17.399999999999999" thickBot="1" x14ac:dyDescent="0.3">
      <c r="A33" s="6" t="s">
        <v>47</v>
      </c>
      <c r="B33" s="56"/>
    </row>
    <row r="34" spans="1:2" ht="15.6" thickBot="1" x14ac:dyDescent="0.3">
      <c r="A34" s="10"/>
      <c r="B34" s="57"/>
    </row>
    <row r="35" spans="1:2" ht="14.4" thickBot="1" x14ac:dyDescent="0.3">
      <c r="A35" s="6" t="s">
        <v>48</v>
      </c>
      <c r="B35" s="97">
        <v>0</v>
      </c>
    </row>
    <row r="36" spans="1:2" ht="17.399999999999999" thickBot="1" x14ac:dyDescent="0.3">
      <c r="A36" s="13"/>
      <c r="B36" s="56"/>
    </row>
    <row r="37" spans="1:2" ht="14.4" thickBot="1" x14ac:dyDescent="0.3">
      <c r="A37" s="6" t="s">
        <v>49</v>
      </c>
      <c r="B37" s="98"/>
    </row>
    <row r="38" spans="1:2" ht="17.399999999999999" thickBot="1" x14ac:dyDescent="0.3">
      <c r="A38" s="6"/>
      <c r="B38" s="56"/>
    </row>
    <row r="39" spans="1:2" ht="14.4" thickBot="1" x14ac:dyDescent="0.3">
      <c r="A39" s="6" t="s">
        <v>50</v>
      </c>
      <c r="B39" s="97">
        <v>0</v>
      </c>
    </row>
    <row r="40" spans="1:2" ht="15.6" thickBot="1" x14ac:dyDescent="0.3">
      <c r="A40" s="10"/>
      <c r="B40" s="57"/>
    </row>
    <row r="41" spans="1:2" ht="14.4" thickBot="1" x14ac:dyDescent="0.3">
      <c r="A41" s="6" t="s">
        <v>51</v>
      </c>
      <c r="B41" s="97">
        <v>0</v>
      </c>
    </row>
    <row r="42" spans="1:2" ht="17.399999999999999" thickBot="1" x14ac:dyDescent="0.3">
      <c r="A42" s="13"/>
      <c r="B42" s="56"/>
    </row>
    <row r="43" spans="1:2" ht="14.4" thickBot="1" x14ac:dyDescent="0.3">
      <c r="A43" s="6" t="s">
        <v>52</v>
      </c>
      <c r="B43" s="97">
        <v>0</v>
      </c>
    </row>
    <row r="44" spans="1:2" ht="15.6" thickBot="1" x14ac:dyDescent="0.3">
      <c r="A44" s="10"/>
      <c r="B44" s="57"/>
    </row>
    <row r="45" spans="1:2" ht="14.4" thickBot="1" x14ac:dyDescent="0.3">
      <c r="A45" s="6" t="s">
        <v>53</v>
      </c>
      <c r="B45" s="97">
        <v>0</v>
      </c>
    </row>
    <row r="46" spans="1:2" ht="17.399999999999999" thickBot="1" x14ac:dyDescent="0.3">
      <c r="A46" s="6"/>
      <c r="B46" s="65"/>
    </row>
    <row r="47" spans="1:2" ht="14.4" thickBot="1" x14ac:dyDescent="0.3">
      <c r="A47" s="6" t="s">
        <v>54</v>
      </c>
      <c r="B47" s="88">
        <f>B13+B22+B31+B35+B37+B41+B45</f>
        <v>9315.8714747395425</v>
      </c>
    </row>
    <row r="48" spans="1:2" ht="15" x14ac:dyDescent="0.25">
      <c r="B48" s="14"/>
    </row>
  </sheetData>
  <pageMargins left="0.7" right="0.7" top="0.75" bottom="0.75" header="0.3" footer="0.3"/>
  <pageSetup paperSize="9" scale="8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77"/>
  <sheetViews>
    <sheetView rightToLeft="1" topLeftCell="A31" workbookViewId="0">
      <selection activeCell="B77" sqref="B77"/>
    </sheetView>
  </sheetViews>
  <sheetFormatPr defaultRowHeight="13.8" x14ac:dyDescent="0.25"/>
  <cols>
    <col min="1" max="1" width="66.5" style="8" customWidth="1"/>
    <col min="2" max="2" width="17.09765625" customWidth="1"/>
  </cols>
  <sheetData>
    <row r="1" spans="1:2" ht="18" x14ac:dyDescent="0.25">
      <c r="A1" s="2" t="s">
        <v>114</v>
      </c>
    </row>
    <row r="2" spans="1:2" ht="14.4" thickBot="1" x14ac:dyDescent="0.3">
      <c r="B2" s="1"/>
    </row>
    <row r="3" spans="1:2" ht="15.6" thickBot="1" x14ac:dyDescent="0.3">
      <c r="A3" s="17" t="s">
        <v>79</v>
      </c>
      <c r="B3" s="14"/>
    </row>
    <row r="4" spans="1:2" ht="14.4" thickBot="1" x14ac:dyDescent="0.3">
      <c r="A4" s="9"/>
      <c r="B4" s="3" t="s">
        <v>55</v>
      </c>
    </row>
    <row r="5" spans="1:2" ht="17.399999999999999" thickBot="1" x14ac:dyDescent="0.3">
      <c r="A5" s="6" t="s">
        <v>56</v>
      </c>
      <c r="B5" s="4"/>
    </row>
    <row r="6" spans="1:2" ht="14.4" thickBot="1" x14ac:dyDescent="0.3">
      <c r="A6" s="6" t="s">
        <v>131</v>
      </c>
      <c r="B6" s="89">
        <v>1180.6489999999999</v>
      </c>
    </row>
    <row r="7" spans="1:2" ht="14.4" thickBot="1" x14ac:dyDescent="0.3">
      <c r="A7" s="6" t="s">
        <v>132</v>
      </c>
      <c r="B7" s="89">
        <v>10387.629781801323</v>
      </c>
    </row>
    <row r="8" spans="1:2" ht="14.4" thickBot="1" x14ac:dyDescent="0.3">
      <c r="A8" s="6"/>
      <c r="B8" s="89"/>
    </row>
    <row r="9" spans="1:2" ht="14.4" thickBot="1" x14ac:dyDescent="0.3">
      <c r="A9" s="12"/>
      <c r="B9" s="60"/>
    </row>
    <row r="10" spans="1:2" ht="14.4" thickBot="1" x14ac:dyDescent="0.3">
      <c r="A10" s="6" t="s">
        <v>57</v>
      </c>
      <c r="B10" s="90">
        <f>SUM(B6:B8)</f>
        <v>11568.278781801322</v>
      </c>
    </row>
    <row r="11" spans="1:2" ht="17.399999999999999" thickBot="1" x14ac:dyDescent="0.3">
      <c r="A11" s="13"/>
      <c r="B11" s="4"/>
    </row>
    <row r="12" spans="1:2" ht="17.399999999999999" thickBot="1" x14ac:dyDescent="0.3">
      <c r="A12" s="6" t="s">
        <v>58</v>
      </c>
      <c r="B12" s="7"/>
    </row>
    <row r="13" spans="1:2" ht="14.4" thickBot="1" x14ac:dyDescent="0.3">
      <c r="A13" s="6" t="s">
        <v>133</v>
      </c>
      <c r="B13" s="89">
        <v>694.86670500000002</v>
      </c>
    </row>
    <row r="14" spans="1:2" ht="14.25" customHeight="1" thickBot="1" x14ac:dyDescent="0.3">
      <c r="A14" s="6" t="s">
        <v>132</v>
      </c>
      <c r="B14" s="89">
        <v>4844.5169544129531</v>
      </c>
    </row>
    <row r="15" spans="1:2" ht="14.4" thickBot="1" x14ac:dyDescent="0.3">
      <c r="A15" s="13"/>
      <c r="B15" s="60"/>
    </row>
    <row r="16" spans="1:2" ht="14.4" thickBot="1" x14ac:dyDescent="0.3">
      <c r="A16" s="6" t="s">
        <v>59</v>
      </c>
      <c r="B16" s="90">
        <f>SUM(B13:B15)</f>
        <v>5539.3836594129534</v>
      </c>
    </row>
    <row r="17" spans="1:2" ht="17.399999999999999" thickBot="1" x14ac:dyDescent="0.3">
      <c r="A17" s="6"/>
      <c r="B17" s="4"/>
    </row>
    <row r="18" spans="1:2" ht="17.399999999999999" thickBot="1" x14ac:dyDescent="0.3">
      <c r="A18" s="6" t="s">
        <v>60</v>
      </c>
      <c r="B18" s="4"/>
    </row>
    <row r="19" spans="1:2" ht="15" customHeight="1" thickBot="1" x14ac:dyDescent="0.3">
      <c r="A19" s="61"/>
      <c r="B19" s="60"/>
    </row>
    <row r="20" spans="1:2" ht="14.4" thickBot="1" x14ac:dyDescent="0.3">
      <c r="A20" s="6" t="s">
        <v>61</v>
      </c>
      <c r="B20" s="91">
        <v>0</v>
      </c>
    </row>
    <row r="21" spans="1:2" ht="17.399999999999999" thickBot="1" x14ac:dyDescent="0.3">
      <c r="A21" s="13"/>
      <c r="B21" s="4"/>
    </row>
    <row r="22" spans="1:2" ht="17.399999999999999" thickBot="1" x14ac:dyDescent="0.3">
      <c r="A22" s="6" t="s">
        <v>62</v>
      </c>
      <c r="B22" s="4"/>
    </row>
    <row r="23" spans="1:2" ht="17.399999999999999" thickBot="1" x14ac:dyDescent="0.3">
      <c r="A23" s="6"/>
      <c r="B23" s="62"/>
    </row>
    <row r="24" spans="1:2" ht="14.4" thickBot="1" x14ac:dyDescent="0.3">
      <c r="A24" s="6" t="s">
        <v>63</v>
      </c>
      <c r="B24" s="91">
        <v>0</v>
      </c>
    </row>
    <row r="25" spans="1:2" ht="17.399999999999999" thickBot="1" x14ac:dyDescent="0.3">
      <c r="A25" s="13"/>
      <c r="B25" s="4"/>
    </row>
    <row r="26" spans="1:2" ht="27" thickBot="1" x14ac:dyDescent="0.3">
      <c r="A26" s="6" t="s">
        <v>64</v>
      </c>
      <c r="B26" s="15"/>
    </row>
    <row r="27" spans="1:2" ht="14.4" thickBot="1" x14ac:dyDescent="0.3">
      <c r="A27" s="13" t="s">
        <v>108</v>
      </c>
      <c r="B27" s="92">
        <v>907.84323450551653</v>
      </c>
    </row>
    <row r="28" spans="1:2" ht="14.4" thickBot="1" x14ac:dyDescent="0.3">
      <c r="A28" s="13" t="s">
        <v>134</v>
      </c>
      <c r="B28" s="92">
        <v>816.22470152044048</v>
      </c>
    </row>
    <row r="29" spans="1:2" ht="14.4" thickBot="1" x14ac:dyDescent="0.3">
      <c r="A29" s="13" t="s">
        <v>135</v>
      </c>
      <c r="B29" s="92">
        <v>2638.6551669285814</v>
      </c>
    </row>
    <row r="30" spans="1:2" ht="14.4" thickBot="1" x14ac:dyDescent="0.3">
      <c r="A30" s="13"/>
      <c r="B30" s="92"/>
    </row>
    <row r="31" spans="1:2" ht="14.4" thickBot="1" x14ac:dyDescent="0.3">
      <c r="A31" s="6" t="s">
        <v>65</v>
      </c>
      <c r="B31" s="90">
        <f>SUM(B27:B30)</f>
        <v>4362.7231029545383</v>
      </c>
    </row>
    <row r="32" spans="1:2" ht="17.399999999999999" thickBot="1" x14ac:dyDescent="0.3">
      <c r="A32" s="6"/>
      <c r="B32" s="4"/>
    </row>
    <row r="33" spans="1:2" ht="27" thickBot="1" x14ac:dyDescent="0.3">
      <c r="A33" s="6" t="s">
        <v>66</v>
      </c>
      <c r="B33" s="15"/>
    </row>
    <row r="34" spans="1:2" ht="14.4" thickBot="1" x14ac:dyDescent="0.3">
      <c r="A34" s="13" t="s">
        <v>136</v>
      </c>
      <c r="B34" s="92">
        <v>41.99572197693989</v>
      </c>
    </row>
    <row r="35" spans="1:2" ht="14.4" thickBot="1" x14ac:dyDescent="0.3">
      <c r="A35" s="13" t="s">
        <v>110</v>
      </c>
      <c r="B35" s="92">
        <v>39.033550508251373</v>
      </c>
    </row>
    <row r="36" spans="1:2" ht="14.4" thickBot="1" x14ac:dyDescent="0.3">
      <c r="A36" s="13" t="s">
        <v>135</v>
      </c>
      <c r="B36" s="92">
        <v>1.7841305651857935</v>
      </c>
    </row>
    <row r="37" spans="1:2" ht="14.4" thickBot="1" x14ac:dyDescent="0.3">
      <c r="A37" s="13"/>
      <c r="B37" s="92"/>
    </row>
    <row r="38" spans="1:2" ht="14.4" thickBot="1" x14ac:dyDescent="0.3">
      <c r="A38" s="6" t="s">
        <v>67</v>
      </c>
      <c r="B38" s="90">
        <f>SUM(B34:B37)</f>
        <v>82.813403050377048</v>
      </c>
    </row>
    <row r="39" spans="1:2" ht="17.399999999999999" thickBot="1" x14ac:dyDescent="0.3">
      <c r="A39" s="6"/>
      <c r="B39" s="99"/>
    </row>
    <row r="40" spans="1:2" ht="51" customHeight="1" x14ac:dyDescent="0.25">
      <c r="A40" s="117" t="s">
        <v>68</v>
      </c>
      <c r="B40" s="115"/>
    </row>
    <row r="41" spans="1:2" ht="15" customHeight="1" thickBot="1" x14ac:dyDescent="0.3">
      <c r="A41" s="118"/>
      <c r="B41" s="116"/>
    </row>
    <row r="42" spans="1:2" ht="17.399999999999999" thickBot="1" x14ac:dyDescent="0.3">
      <c r="A42" s="6" t="s">
        <v>69</v>
      </c>
      <c r="B42" s="4"/>
    </row>
    <row r="43" spans="1:2" ht="14.4" thickBot="1" x14ac:dyDescent="0.3">
      <c r="A43" s="13" t="s">
        <v>137</v>
      </c>
      <c r="B43" s="92">
        <v>67.377064403267966</v>
      </c>
    </row>
    <row r="44" spans="1:2" ht="14.4" thickBot="1" x14ac:dyDescent="0.3">
      <c r="A44" s="13" t="s">
        <v>138</v>
      </c>
      <c r="B44" s="92">
        <v>51.627055841076888</v>
      </c>
    </row>
    <row r="45" spans="1:2" ht="18" customHeight="1" thickBot="1" x14ac:dyDescent="0.3">
      <c r="A45" s="13" t="s">
        <v>139</v>
      </c>
      <c r="B45" s="92">
        <v>45.93696479146179</v>
      </c>
    </row>
    <row r="46" spans="1:2" ht="18" customHeight="1" thickBot="1" x14ac:dyDescent="0.3">
      <c r="A46" s="13" t="s">
        <v>140</v>
      </c>
      <c r="B46" s="92">
        <v>2.5270520434426227</v>
      </c>
    </row>
    <row r="47" spans="1:2" ht="18" customHeight="1" thickBot="1" x14ac:dyDescent="0.3">
      <c r="A47" s="13" t="s">
        <v>141</v>
      </c>
      <c r="B47" s="92">
        <v>2.3588844813114749</v>
      </c>
    </row>
    <row r="48" spans="1:2" ht="14.4" thickBot="1" x14ac:dyDescent="0.3">
      <c r="A48" s="6" t="s">
        <v>70</v>
      </c>
      <c r="B48" s="93">
        <f>SUM(B43:B47)</f>
        <v>169.82702156056069</v>
      </c>
    </row>
    <row r="49" spans="1:2" ht="17.399999999999999" thickBot="1" x14ac:dyDescent="0.3">
      <c r="A49" s="6"/>
      <c r="B49" s="4"/>
    </row>
    <row r="50" spans="1:2" ht="20.100000000000001" customHeight="1" x14ac:dyDescent="0.25">
      <c r="A50" s="117" t="s">
        <v>71</v>
      </c>
      <c r="B50" s="115"/>
    </row>
    <row r="51" spans="1:2" ht="18.75" customHeight="1" thickBot="1" x14ac:dyDescent="0.3">
      <c r="A51" s="118"/>
      <c r="B51" s="116"/>
    </row>
    <row r="52" spans="1:2" ht="14.4" thickBot="1" x14ac:dyDescent="0.3">
      <c r="A52" s="13" t="s">
        <v>142</v>
      </c>
      <c r="B52" s="92">
        <v>578.57636633250172</v>
      </c>
    </row>
    <row r="53" spans="1:2" ht="14.4" thickBot="1" x14ac:dyDescent="0.3">
      <c r="A53" s="13" t="s">
        <v>145</v>
      </c>
      <c r="B53" s="92">
        <v>512.23806271316471</v>
      </c>
    </row>
    <row r="54" spans="1:2" ht="14.4" thickBot="1" x14ac:dyDescent="0.3">
      <c r="A54" s="13" t="s">
        <v>143</v>
      </c>
      <c r="B54" s="92">
        <v>384.39175565782921</v>
      </c>
    </row>
    <row r="55" spans="1:2" ht="14.4" thickBot="1" x14ac:dyDescent="0.3">
      <c r="A55" s="13" t="s">
        <v>144</v>
      </c>
      <c r="B55" s="92">
        <v>309.24169388697095</v>
      </c>
    </row>
    <row r="56" spans="1:2" ht="14.4" thickBot="1" x14ac:dyDescent="0.3">
      <c r="A56" s="13" t="s">
        <v>146</v>
      </c>
      <c r="B56" s="92">
        <v>240.4026186411202</v>
      </c>
    </row>
    <row r="57" spans="1:2" ht="15" customHeight="1" thickBot="1" x14ac:dyDescent="0.3">
      <c r="A57" s="13" t="s">
        <v>109</v>
      </c>
      <c r="B57" s="92">
        <v>935.89690715276674</v>
      </c>
    </row>
    <row r="58" spans="1:2" ht="14.4" thickBot="1" x14ac:dyDescent="0.3">
      <c r="A58" s="13"/>
      <c r="B58" s="92"/>
    </row>
    <row r="59" spans="1:2" ht="14.4" thickBot="1" x14ac:dyDescent="0.3">
      <c r="A59" s="6" t="s">
        <v>72</v>
      </c>
      <c r="B59" s="90">
        <f>SUM(B52:B58)</f>
        <v>2960.7474043843536</v>
      </c>
    </row>
    <row r="60" spans="1:2" ht="17.399999999999999" thickBot="1" x14ac:dyDescent="0.3">
      <c r="A60" s="13"/>
      <c r="B60" s="4"/>
    </row>
    <row r="61" spans="1:2" ht="17.399999999999999" thickBot="1" x14ac:dyDescent="0.3">
      <c r="A61" s="6" t="s">
        <v>73</v>
      </c>
      <c r="B61" s="4"/>
    </row>
    <row r="62" spans="1:2" ht="14.4" thickBot="1" x14ac:dyDescent="0.3">
      <c r="A62" s="104" t="s">
        <v>147</v>
      </c>
      <c r="B62" s="92">
        <v>10.3000346752551</v>
      </c>
    </row>
    <row r="63" spans="1:2" ht="15.6" thickBot="1" x14ac:dyDescent="0.3">
      <c r="A63" s="10"/>
      <c r="B63" s="60"/>
    </row>
    <row r="64" spans="1:2" ht="14.4" thickBot="1" x14ac:dyDescent="0.3">
      <c r="A64" s="6" t="s">
        <v>74</v>
      </c>
      <c r="B64" s="90">
        <f>SUM(B62:B63)</f>
        <v>10.3000346752551</v>
      </c>
    </row>
    <row r="65" spans="1:2" ht="17.399999999999999" thickBot="1" x14ac:dyDescent="0.3">
      <c r="A65" s="6"/>
      <c r="B65" s="16"/>
    </row>
    <row r="66" spans="1:2" ht="14.4" thickBot="1" x14ac:dyDescent="0.3">
      <c r="A66" s="6" t="s">
        <v>75</v>
      </c>
      <c r="B66" s="90">
        <f>B10+B16+B20+B24+B31+B38+B48+B59+B62</f>
        <v>24694.073407839362</v>
      </c>
    </row>
    <row r="67" spans="1:2" ht="17.399999999999999" thickBot="1" x14ac:dyDescent="0.3">
      <c r="A67" s="6"/>
      <c r="B67" s="7"/>
    </row>
    <row r="68" spans="1:2" ht="14.4" thickBot="1" x14ac:dyDescent="0.3">
      <c r="A68" s="6" t="s">
        <v>76</v>
      </c>
      <c r="B68" s="5"/>
    </row>
    <row r="69" spans="1:2" ht="14.4" thickBot="1" x14ac:dyDescent="0.3">
      <c r="A69" s="13" t="s">
        <v>148</v>
      </c>
      <c r="B69" s="94">
        <v>2679.163</v>
      </c>
    </row>
    <row r="70" spans="1:2" ht="14.4" thickBot="1" x14ac:dyDescent="0.3">
      <c r="A70" s="13" t="s">
        <v>149</v>
      </c>
      <c r="B70" s="94">
        <v>2185.1985190000005</v>
      </c>
    </row>
    <row r="71" spans="1:2" ht="14.4" thickBot="1" x14ac:dyDescent="0.3">
      <c r="A71" s="13" t="s">
        <v>150</v>
      </c>
      <c r="B71" s="94">
        <v>1552.155906</v>
      </c>
    </row>
    <row r="72" spans="1:2" ht="14.4" thickBot="1" x14ac:dyDescent="0.3">
      <c r="A72" s="13" t="s">
        <v>151</v>
      </c>
      <c r="B72" s="94">
        <v>994.69600000000003</v>
      </c>
    </row>
    <row r="73" spans="1:2" ht="14.4" thickBot="1" x14ac:dyDescent="0.3">
      <c r="A73" s="13" t="s">
        <v>152</v>
      </c>
      <c r="B73" s="92">
        <v>3787.7983140000006</v>
      </c>
    </row>
    <row r="74" spans="1:2" ht="14.4" thickBot="1" x14ac:dyDescent="0.3">
      <c r="A74" s="13"/>
      <c r="B74" s="95"/>
    </row>
    <row r="75" spans="1:2" ht="14.4" thickBot="1" x14ac:dyDescent="0.3">
      <c r="A75" s="6" t="s">
        <v>77</v>
      </c>
      <c r="B75" s="90">
        <f>SUM(B69:B74)</f>
        <v>11199.011739000001</v>
      </c>
    </row>
    <row r="76" spans="1:2" ht="17.399999999999999" thickBot="1" x14ac:dyDescent="0.3">
      <c r="A76" s="6"/>
      <c r="B76" s="7"/>
    </row>
    <row r="77" spans="1:2" ht="14.4" thickBot="1" x14ac:dyDescent="0.3">
      <c r="A77" s="6" t="s">
        <v>78</v>
      </c>
      <c r="B77" s="120">
        <v>21670938.053073756</v>
      </c>
    </row>
  </sheetData>
  <mergeCells count="4">
    <mergeCell ref="B50:B51"/>
    <mergeCell ref="A50:A51"/>
    <mergeCell ref="B40:B41"/>
    <mergeCell ref="A40:A41"/>
  </mergeCells>
  <pageMargins left="0.7" right="0.7" top="0.75" bottom="0.75" header="0.3" footer="0.3"/>
  <pageSetup paperSize="9" scale="5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EDB295D6E134840AE1B63C78AEF0BBA" ma:contentTypeVersion="7" ma:contentTypeDescription="צור מסמך חדש." ma:contentTypeScope="" ma:versionID="3b5c89049cb974e6c8ba5aaae94b191a">
  <xsd:schema xmlns:xsd="http://www.w3.org/2001/XMLSchema" xmlns:xs="http://www.w3.org/2001/XMLSchema" xmlns:p="http://schemas.microsoft.com/office/2006/metadata/properties" xmlns:ns1="http://schemas.microsoft.com/sharepoint/v3" xmlns:ns2="1ca4df27-5183-4bee-9dbd-0c46c9c4aa40" targetNamespace="http://schemas.microsoft.com/office/2006/metadata/properties" ma:root="true" ma:fieldsID="515741898ba7ffbd0ed53f093d27ce9c" ns1:_="" ns2:_="">
    <xsd:import namespace="http://schemas.microsoft.com/sharepoint/v3"/>
    <xsd:import namespace="1ca4df27-5183-4bee-9dbd-0c46c9c4aa4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eWaveListOrderValue" minOccurs="0"/>
                <xsd:element ref="ns2:Order1" minOccurs="0"/>
                <xsd:element ref="ns2:isFileInUse" minOccurs="0"/>
                <xsd:element ref="ns2:IsAccessib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  <xsd:element name="eWaveListOrderValue" ma:index="10" nillable="true" ma:displayName="סידור" ma:decimals="2" ma:internalName="eWaveListOrderValue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4df27-5183-4bee-9dbd-0c46c9c4aa40" elementFormDefault="qualified">
    <xsd:import namespace="http://schemas.microsoft.com/office/2006/documentManagement/types"/>
    <xsd:import namespace="http://schemas.microsoft.com/office/infopath/2007/PartnerControls"/>
    <xsd:element name="Order1" ma:index="11" nillable="true" ma:displayName="Order" ma:internalName="Order1">
      <xsd:simpleType>
        <xsd:restriction base="dms:Number"/>
      </xsd:simpleType>
    </xsd:element>
    <xsd:element name="isFileInUse" ma:index="12" nillable="true" ma:displayName="האם בשימוש" ma:default="0" ma:internalName="isFileInUse">
      <xsd:simpleType>
        <xsd:restriction base="dms:Boolean"/>
      </xsd:simpleType>
    </xsd:element>
    <xsd:element name="IsAccessible" ma:index="13" nillable="true" ma:displayName="האם מונגש" ma:default="לא" ma:format="Dropdown" ma:internalName="IsAccessible">
      <xsd:simpleType>
        <xsd:restriction base="dms:Choice">
          <xsd:enumeration value="כן"/>
          <xsd:enumeration value="לא"/>
          <xsd:enumeration value="ללא צורך בנגישות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1 xmlns="1ca4df27-5183-4bee-9dbd-0c46c9c4aa40" xsi:nil="true"/>
    <isFileInUse xmlns="1ca4df27-5183-4bee-9dbd-0c46c9c4aa40">true</isFileInUse>
    <PublishingExpirationDate xmlns="http://schemas.microsoft.com/sharepoint/v3" xsi:nil="true"/>
    <PublishingStartDate xmlns="http://schemas.microsoft.com/sharepoint/v3" xsi:nil="true"/>
    <IsAccessible xmlns="1ca4df27-5183-4bee-9dbd-0c46c9c4aa40">לא</IsAccessible>
    <eWaveListOrderValu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88122C4-5A58-4594-886C-D0066C3E8CE9}"/>
</file>

<file path=customXml/itemProps2.xml><?xml version="1.0" encoding="utf-8"?>
<ds:datastoreItem xmlns:ds="http://schemas.openxmlformats.org/officeDocument/2006/customXml" ds:itemID="{F1F2488F-1B30-4FE3-9D0A-4A2A1CC61016}"/>
</file>

<file path=customXml/itemProps3.xml><?xml version="1.0" encoding="utf-8"?>
<ds:datastoreItem xmlns:ds="http://schemas.openxmlformats.org/officeDocument/2006/customXml" ds:itemID="{70426FD7-7EC1-49E7-9AD4-C482C2B16E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4</vt:i4>
      </vt:variant>
    </vt:vector>
  </HeadingPairs>
  <TitlesOfParts>
    <vt:vector size="38" baseType="lpstr">
      <vt:lpstr>נספח 1 - מצרפי</vt:lpstr>
      <vt:lpstr>קרן ט</vt:lpstr>
      <vt:lpstr>קרן י</vt:lpstr>
      <vt:lpstr>הכשרה כללי</vt:lpstr>
      <vt:lpstr>הכשרה אגח ממשלות</vt:lpstr>
      <vt:lpstr>הכשרה מניות</vt:lpstr>
      <vt:lpstr>כספי שקלי</vt:lpstr>
      <vt:lpstr>הכשרה לבני 50 ומטה</vt:lpstr>
      <vt:lpstr>הכשרה לבני 50-60</vt:lpstr>
      <vt:lpstr>הכשרה לבני 60 ומעלה</vt:lpstr>
      <vt:lpstr>הכשרה מקבלי קצבה</vt:lpstr>
      <vt:lpstr>הכשרה אשראי ואג"ח</vt:lpstr>
      <vt:lpstr>הכשרה אשראי ואג"ח עד 25%</vt:lpstr>
      <vt:lpstr>הכשרה עוקב מדדים גמיש</vt:lpstr>
      <vt:lpstr>הכשרה משולב סחיר</vt:lpstr>
      <vt:lpstr>אלשטולר כללי</vt:lpstr>
      <vt:lpstr>אלשטושלר מניות</vt:lpstr>
      <vt:lpstr>אלטשולר אג"ח</vt:lpstr>
      <vt:lpstr>ילין כללי</vt:lpstr>
      <vt:lpstr>ילין מניות</vt:lpstr>
      <vt:lpstr>ילין אג"ח</vt:lpstr>
      <vt:lpstr>מיטב כללי</vt:lpstr>
      <vt:lpstr>מיטב מניות</vt:lpstr>
      <vt:lpstr>מיטב אג"ח</vt:lpstr>
      <vt:lpstr>פאסיבי כללי</vt:lpstr>
      <vt:lpstr>הכשרה עוקב מדד SP500</vt:lpstr>
      <vt:lpstr>מור כללי</vt:lpstr>
      <vt:lpstr>מור מניות</vt:lpstr>
      <vt:lpstr>מור אג"ח</vt:lpstr>
      <vt:lpstr>אנליסט כללי</vt:lpstr>
      <vt:lpstr>אנליסט מניות</vt:lpstr>
      <vt:lpstr>אנליסט אג"ח</vt:lpstr>
      <vt:lpstr>נספח 2</vt:lpstr>
      <vt:lpstr>נספח 3</vt:lpstr>
      <vt:lpstr>'נספח 1 - מצרפי'!WPrint_Area_W</vt:lpstr>
      <vt:lpstr>'נספח 2'!WPrint_Area_W</vt:lpstr>
      <vt:lpstr>'נספח 3'!WPrint_Area_W</vt:lpstr>
      <vt:lpstr>'קרן ט'!WPrint_Area_W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הוצאות ישירות בעד ניהול השקעות שנתי מאוחד 31.12.24</dc:title>
  <dc:creator>אילנה יוסופוב</dc:creator>
  <cp:lastModifiedBy>אילנה יוסופוב</cp:lastModifiedBy>
  <cp:lastPrinted>2025-05-13T19:01:38Z</cp:lastPrinted>
  <dcterms:created xsi:type="dcterms:W3CDTF">2024-05-23T10:46:30Z</dcterms:created>
  <dcterms:modified xsi:type="dcterms:W3CDTF">2025-05-18T19:29:38Z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0x0101000EDB295D6E134840AE1B63C78AEF0BBA</vt:lpwstr>
  </property>
</Properties>
</file>