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180" windowWidth="19440" windowHeight="10860" tabRatio="959"/>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אג&quot;ח ממשלות" sheetId="12" r:id="rId13"/>
    <sheet name="מסלול מניות" sheetId="11" r:id="rId14"/>
    <sheet name="הכשרה - עוקב מדד S&amp;P500" sheetId="30" r:id="rId15"/>
    <sheet name="בתי השקעות - כללי" sheetId="24" r:id="rId16"/>
    <sheet name="פיזור ענפי - טיוטא" sheetId="38" state="hidden" r:id="rId17"/>
  </sheets>
  <externalReferences>
    <externalReference r:id="rId18"/>
  </externalReferences>
  <definedNames>
    <definedName name="_xlnm.Print_Area" localSheetId="15">'בתי השקעות - כללי'!$B$1:$K$71</definedName>
    <definedName name="_xlnm.Print_Area" localSheetId="6">'הכשרה - מסלול בסיסי למקבלי קצבה'!$A$1:$J$16</definedName>
    <definedName name="_xlnm.Print_Area" localSheetId="9">'הכשרה - משולב סחיר'!#REF!</definedName>
    <definedName name="_xlnm.Print_Area" localSheetId="14">'הכשרה - עוקב מדד S&amp;P500'!#REF!</definedName>
    <definedName name="_xlnm.Print_Area" localSheetId="8">'הכשרה - עוקב מדדים גמיש'!#REF!</definedName>
  </definedNames>
  <calcPr calcId="162913"/>
</workbook>
</file>

<file path=xl/calcChain.xml><?xml version="1.0" encoding="utf-8"?>
<calcChain xmlns="http://schemas.openxmlformats.org/spreadsheetml/2006/main">
  <c r="A14" i="42" l="1"/>
  <c r="J13" i="42"/>
  <c r="H13" i="42"/>
  <c r="F13" i="42"/>
  <c r="D12" i="42"/>
  <c r="C12" i="42"/>
  <c r="B12" i="42"/>
  <c r="J11" i="42"/>
  <c r="J12" i="42" s="1"/>
  <c r="H11" i="42"/>
  <c r="F11" i="42"/>
  <c r="J9" i="42"/>
  <c r="H9" i="42"/>
  <c r="F9" i="42"/>
  <c r="J7" i="42"/>
  <c r="H7" i="42"/>
  <c r="F7" i="42"/>
  <c r="J4" i="42"/>
  <c r="H4" i="42"/>
  <c r="F4" i="42"/>
  <c r="J3" i="42"/>
  <c r="D3" i="42"/>
  <c r="C3" i="42"/>
  <c r="B3" i="42"/>
  <c r="H25" i="44" l="1"/>
  <c r="F25" i="44"/>
  <c r="H27" i="44"/>
  <c r="F27" i="44"/>
  <c r="D27" i="44"/>
  <c r="H26" i="44"/>
  <c r="F26" i="44"/>
  <c r="D26" i="44"/>
  <c r="D25" i="44"/>
  <c r="F23" i="1"/>
  <c r="H23" i="1"/>
  <c r="D23" i="1"/>
  <c r="H22" i="1"/>
  <c r="F22" i="1"/>
  <c r="D22" i="1"/>
  <c r="H21" i="1"/>
  <c r="F21" i="1"/>
  <c r="D21" i="1"/>
  <c r="F4" i="30" l="1"/>
  <c r="J3" i="30" l="1"/>
  <c r="D3" i="30"/>
  <c r="C3" i="30"/>
  <c r="B3" i="30"/>
  <c r="J4" i="11"/>
  <c r="D4" i="11"/>
  <c r="C4" i="11"/>
  <c r="J16" i="11"/>
  <c r="J14" i="11"/>
  <c r="J13" i="11"/>
  <c r="J12" i="11"/>
  <c r="J10" i="11"/>
  <c r="J8" i="11"/>
  <c r="J5" i="11"/>
  <c r="B29" i="12"/>
  <c r="J28" i="12"/>
  <c r="J27" i="12"/>
  <c r="J26" i="12"/>
  <c r="J24" i="12"/>
  <c r="J22" i="12"/>
  <c r="J18" i="12"/>
  <c r="D18" i="12"/>
  <c r="C18" i="12"/>
  <c r="B17" i="24"/>
  <c r="B71" i="24" s="1"/>
  <c r="A7" i="30"/>
  <c r="A17" i="11"/>
  <c r="A31" i="12"/>
  <c r="A16" i="12"/>
  <c r="A14" i="44"/>
  <c r="A16" i="43"/>
  <c r="A14" i="41"/>
  <c r="A8" i="17"/>
  <c r="A17" i="22"/>
  <c r="A17" i="20"/>
  <c r="A17" i="19"/>
  <c r="A17" i="18"/>
  <c r="A17" i="10"/>
  <c r="A19" i="2"/>
  <c r="J13" i="12"/>
  <c r="J12" i="12"/>
  <c r="J11" i="12"/>
  <c r="J9" i="12"/>
  <c r="J7" i="12"/>
  <c r="J3" i="12"/>
  <c r="D3" i="12"/>
  <c r="C3" i="12"/>
  <c r="J13" i="44"/>
  <c r="J11" i="44"/>
  <c r="J9" i="44"/>
  <c r="J7" i="44"/>
  <c r="J4" i="44"/>
  <c r="J12" i="43"/>
  <c r="H12" i="43"/>
  <c r="F12" i="43"/>
  <c r="B13" i="43"/>
  <c r="J13" i="43"/>
  <c r="J11" i="43"/>
  <c r="J9" i="43"/>
  <c r="J7" i="43"/>
  <c r="J4" i="43"/>
  <c r="J11" i="41"/>
  <c r="J9" i="41"/>
  <c r="J7" i="41"/>
  <c r="J4" i="41"/>
  <c r="J5" i="17"/>
  <c r="J4" i="17"/>
  <c r="B9" i="2"/>
  <c r="B35" i="24" l="1"/>
  <c r="B53" i="24"/>
  <c r="B89" i="24"/>
  <c r="J3" i="44"/>
  <c r="D3" i="44"/>
  <c r="C3" i="44"/>
  <c r="B3" i="44"/>
  <c r="J3" i="43"/>
  <c r="D3" i="43"/>
  <c r="C3" i="43"/>
  <c r="B3" i="43"/>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3" i="24"/>
  <c r="E33" i="24"/>
  <c r="D33" i="24"/>
  <c r="D51" i="24"/>
  <c r="D69" i="24"/>
  <c r="D87" i="24"/>
  <c r="K76" i="24" l="1"/>
  <c r="K58" i="24"/>
  <c r="K40" i="24"/>
  <c r="K22" i="24"/>
  <c r="D76" i="24" l="1"/>
  <c r="C76" i="24"/>
  <c r="D58" i="24"/>
  <c r="C58" i="24"/>
  <c r="D40" i="24"/>
  <c r="C40" i="24"/>
  <c r="C22" i="24"/>
  <c r="D22" i="24"/>
  <c r="E58" i="24"/>
  <c r="E76" i="24"/>
  <c r="E40" i="24"/>
  <c r="E22" i="24"/>
  <c r="H13" i="44" l="1"/>
  <c r="F13" i="44"/>
  <c r="J12" i="44"/>
  <c r="D12" i="44"/>
  <c r="C12" i="44"/>
  <c r="B12" i="44"/>
  <c r="H11" i="44"/>
  <c r="F11"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87" i="24" l="1"/>
  <c r="C69" i="24"/>
  <c r="C51"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86" i="24" l="1"/>
  <c r="I85" i="24"/>
  <c r="I84" i="24"/>
  <c r="I14" i="24"/>
  <c r="I13" i="24"/>
  <c r="I12" i="24"/>
  <c r="I32" i="24"/>
  <c r="I31" i="24"/>
  <c r="I30" i="24"/>
  <c r="I50" i="24"/>
  <c r="I49" i="24"/>
  <c r="I48" i="24"/>
  <c r="I66" i="24"/>
  <c r="I68" i="24"/>
  <c r="I67" i="24"/>
  <c r="I88" i="24" l="1"/>
  <c r="G88" i="24"/>
  <c r="G86" i="24"/>
  <c r="G85" i="24"/>
  <c r="G84" i="24"/>
  <c r="I82" i="24"/>
  <c r="G82" i="24"/>
  <c r="I80" i="24"/>
  <c r="G80" i="24"/>
  <c r="I77" i="24"/>
  <c r="G77" i="24"/>
  <c r="I70" i="24"/>
  <c r="G70" i="24"/>
  <c r="G68" i="24"/>
  <c r="G67" i="24"/>
  <c r="G66" i="24"/>
  <c r="I64" i="24"/>
  <c r="G64" i="24"/>
  <c r="I62" i="24"/>
  <c r="G62" i="24"/>
  <c r="I59" i="24"/>
  <c r="G59" i="24"/>
  <c r="I52" i="24"/>
  <c r="G52" i="24"/>
  <c r="G50" i="24"/>
  <c r="G49" i="24"/>
  <c r="G48" i="24"/>
  <c r="I46" i="24"/>
  <c r="G46" i="24"/>
  <c r="I44" i="24"/>
  <c r="G44" i="24"/>
  <c r="I41" i="24"/>
  <c r="G41" i="24"/>
  <c r="I16" i="24"/>
  <c r="G16" i="24"/>
  <c r="G14" i="24"/>
  <c r="G13" i="24"/>
  <c r="G12" i="24"/>
  <c r="I10" i="24"/>
  <c r="G10" i="24"/>
  <c r="I8" i="24"/>
  <c r="G8" i="24"/>
  <c r="I5" i="24"/>
  <c r="G5" i="24"/>
  <c r="G26" i="24"/>
  <c r="I34" i="24"/>
  <c r="G34" i="24"/>
  <c r="G32" i="24"/>
  <c r="G31" i="24"/>
  <c r="G30" i="24"/>
  <c r="I28" i="24"/>
  <c r="G28" i="24"/>
  <c r="I26" i="24"/>
  <c r="I23" i="24"/>
  <c r="G23"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88" i="24" l="1"/>
  <c r="K80" i="24"/>
  <c r="K77" i="24"/>
  <c r="K86" i="24"/>
  <c r="K85" i="24"/>
  <c r="K84" i="24"/>
  <c r="K82" i="24"/>
  <c r="E87" i="24"/>
  <c r="K87" i="24" s="1"/>
  <c r="C17" i="2"/>
  <c r="J18" i="2" l="1"/>
  <c r="E51" i="24" l="1"/>
  <c r="E69" i="24" l="1"/>
  <c r="J16" i="19" l="1"/>
  <c r="D15" i="22" l="1"/>
  <c r="D15" i="19"/>
  <c r="D15" i="18"/>
  <c r="D17" i="2"/>
  <c r="D15" i="10"/>
  <c r="D15" i="1"/>
  <c r="B15" i="22" l="1"/>
  <c r="B15" i="20"/>
  <c r="B15" i="19"/>
  <c r="B17" i="2"/>
  <c r="B15" i="10"/>
  <c r="K70" i="24" l="1"/>
  <c r="K68" i="24"/>
  <c r="K67" i="24"/>
  <c r="K66" i="24"/>
  <c r="K64" i="24"/>
  <c r="K62" i="24"/>
  <c r="K59" i="24"/>
  <c r="K69" i="24" l="1"/>
  <c r="C15" i="22"/>
  <c r="C15" i="19"/>
  <c r="C15" i="18"/>
  <c r="C15" i="10"/>
  <c r="C15" i="1"/>
  <c r="J16" i="20" l="1"/>
  <c r="J12" i="22" l="1"/>
  <c r="J12" i="19"/>
  <c r="J16" i="10"/>
  <c r="J12" i="10"/>
  <c r="J15" i="10" l="1"/>
  <c r="J14" i="2"/>
  <c r="K31" i="24" l="1"/>
  <c r="K34" i="24" l="1"/>
  <c r="K32" i="24"/>
  <c r="K30" i="24"/>
  <c r="K28" i="24"/>
  <c r="K26" i="24"/>
  <c r="K23" i="24"/>
  <c r="K33" i="24" l="1"/>
  <c r="K16" i="24"/>
  <c r="K14" i="24"/>
  <c r="K13" i="24"/>
  <c r="K12" i="24"/>
  <c r="K10" i="24"/>
  <c r="K8" i="24"/>
  <c r="K5" i="24"/>
  <c r="K52" i="24"/>
  <c r="K50" i="24"/>
  <c r="K49" i="24"/>
  <c r="K48" i="24"/>
  <c r="K46" i="24"/>
  <c r="K44" i="24"/>
  <c r="K41" i="24"/>
  <c r="K51"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<sst xmlns="http://schemas.openxmlformats.org/spreadsheetml/2006/main" count="1589" uniqueCount="478">
  <si>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</si>
  <si>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</si>
  <si>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</si>
  <si>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</si>
  <si>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</si>
  <si>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</si>
  <si>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</si>
  <si>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</si>
  <si>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</si>
  <si>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</si>
  <si>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</si>
  <si>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</si>
  <si>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</si>
  <si>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</si>
  <si>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</si>
  <si>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</si>
  <si>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</si>
  <si>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</si>
  <si>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</si>
  <si>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</si>
  <si>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</si>
  <si>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</si>
  <si>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</si>
  <si>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</si>
  <si>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</si>
  <si>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</si>
  <si>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</si>
  <si>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</si>
  <si>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</si>
  <si>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</si>
  <si>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</si>
  <si>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</si>
  <si>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</si>
  <si>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</si>
  <si>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</si>
  <si>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</si>
  <si>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</si>
  <si>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</si>
  <si>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</si>
  <si>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</si>
  <si>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</si>
  <si>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</si>
  <si>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</si>
  <si>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</si>
  <si>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</si>
  <si>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</si>
  <si>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</si>
  <si>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</si>
  <si>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</si>
  <si>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</si>
  <si>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</si>
  <si>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</si>
  <si>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</si>
  <si>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</si>
  <si>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</si>
  <si>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</si>
  <si>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</si>
  <si>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</si>
  <si>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</si>
  <si>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</si>
  <si>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</si>
  <si>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</si>
  <si>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</si>
  <si>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</si>
  <si>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</si>
  <si>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</si>
  <si>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</si>
  <si>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</si>
  <si>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</si>
  <si>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</si>
  <si>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</si>
  <si>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</si>
  <si>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</si>
  <si>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</si>
  <si>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</si>
  <si>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</si>
  <si>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</si>
  <si>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</si>
  <si>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</si>
  <si>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</si>
  <si>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</si>
  <si>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</si>
  <si>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</si>
  <si>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</si>
  <si>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</si>
  <si>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</si>
  <si>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</si>
  <si>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</si>
  <si>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</si>
  <si>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</si>
  <si>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</si>
  <si>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</si>
  <si>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</si>
  <si>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</si>
  <si>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</si>
  <si>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</si>
  <si>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</si>
  <si>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</si>
  <si>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</si>
  <si>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</si>
  <si>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</si>
  <si>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</si>
  <si>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</si>
  <si>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</si>
  <si>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</si>
  <si>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</si>
  <si>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</si>
  <si>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</si>
  <si>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</si>
  <si>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</si>
  <si>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</si>
  <si>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</si>
  <si>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</si>
  <si>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</si>
  <si>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</si>
  <si>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</si>
  <si>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</si>
  <si>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</si>
  <si>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</si>
  <si>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</si>
  <si>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</si>
  <si>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</si>
  <si>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</si>
  <si>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</si>
  <si>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</si>
  <si>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</si>
  <si>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</si>
  <si>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</si>
  <si>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</si>
  <si>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</si>
  <si>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</si>
  <si>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</si>
  <si>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</si>
  <si>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</si>
  <si>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</si>
  <si>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</si>
  <si>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</si>
  <si>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</si>
  <si>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</si>
  <si>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</si>
  <si>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</si>
  <si>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</si>
  <si>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</si>
  <si>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</si>
  <si>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</si>
  <si>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</si>
  <si>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</si>
  <si>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</si>
  <si>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</si>
  <si>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</si>
  <si>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</si>
  <si>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</si>
  <si>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</si>
  <si>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</si>
  <si>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</si>
  <si>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</si>
  <si>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</si>
  <si>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</si>
  <si>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</si>
  <si>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</si>
  <si>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</si>
  <si>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</si>
  <si>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</si>
  <si>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</si>
  <si>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</si>
  <si>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</si>
  <si>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</si>
  <si>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</si>
  <si>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</si>
  <si>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</si>
  <si>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</si>
  <si>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</si>
  <si>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</si>
  <si>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</si>
  <si>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</si>
  <si>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</si>
  <si>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</si>
  <si>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</si>
  <si>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</si>
  <si>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</si>
  <si>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</si>
  <si>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</si>
  <si>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</si>
  <si>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</si>
  <si>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</si>
  <si>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</si>
  <si>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</si>
  <si>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</si>
  <si>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</si>
  <si>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</si>
  <si>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</si>
  <si>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</si>
  <si>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</si>
  <si>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</si>
  <si>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</si>
  <si>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</si>
  <si>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</si>
  <si>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</si>
  <si>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</si>
  <si>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</si>
  <si>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</si>
  <si>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</si>
  <si>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</si>
  <si>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</si>
  <si>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</si>
  <si>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</si>
  <si>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</si>
  <si>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</si>
  <si>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</si>
  <si>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</si>
  <si>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</si>
  <si>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</si>
  <si>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</si>
  <si>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</si>
  <si>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</si>
  <si>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</si>
  <si>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</si>
  <si>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</si>
  <si>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</si>
  <si>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</si>
  <si>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</si>
  <si>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</si>
  <si>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</si>
  <si>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</si>
  <si>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</si>
  <si>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</si>
  <si>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</si>
  <si>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</si>
  <si>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</si>
  <si>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</si>
  <si>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</si>
  <si>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</si>
  <si>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</si>
  <si>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</si>
  <si>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</si>
  <si>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</si>
  <si>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</si>
  <si>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</si>
  <si>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</si>
  <si>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</si>
  <si>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</si>
  <si>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</si>
  <si>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</si>
  <si>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</si>
  <si>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</si>
  <si>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</si>
  <si>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</si>
  <si>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</si>
  <si>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</si>
  <si>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</si>
  <si>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</si>
  <si>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</si>
  <si>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</si>
  <si>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</si>
  <si>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</si>
  <si>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</si>
  <si>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</si>
  <si>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</si>
  <si>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</si>
  <si>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</si>
  <si>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</si>
  <si>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</si>
  <si>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</si>
  <si>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</si>
  <si>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</si>
  <si>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</si>
  <si>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</si>
  <si>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</si>
  <si>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</si>
  <si>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</si>
  <si>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</si>
  <si>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</si>
  <si>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</si>
  <si>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</si>
  <si>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</si>
  <si>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</si>
  <si>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</si>
  <si>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</si>
  <si>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</si>
  <si>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</si>
  <si>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</si>
  <si>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</si>
  <si>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</si>
  <si>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</si>
  <si>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</si>
  <si>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</si>
  <si>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</si>
  <si>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</si>
  <si>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</si>
  <si>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</si>
  <si>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</si>
  <si>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</si>
  <si>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</si>
  <si>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</si>
  <si>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</si>
  <si>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</si>
  <si>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</si>
  <si>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</si>
  <si>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</si>
  <si>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</si>
  <si>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</si>
  <si>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</si>
  <si>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</si>
  <si>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</si>
  <si>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</si>
  <si>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</si>
  <si>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</si>
  <si>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</si>
  <si>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</si>
  <si>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</si>
  <si>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</si>
  <si>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</si>
  <si>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</si>
  <si>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</si>
  <si>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</si>
  <si>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</si>
  <si>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</si>
  <si>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</si>
  <si>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</si>
  <si>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</si>
  <si>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</si>
  <si>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</si>
  <si>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</si>
  <si>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</si>
  <si>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</si>
  <si>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</si>
  <si>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</si>
  <si>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</si>
  <si>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</si>
  <si>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</si>
  <si>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</si>
  <si>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</si>
  <si>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</si>
  <si>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</si>
  <si>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</si>
  <si>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</si>
  <si>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</si>
  <si>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</si>
  <si>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</si>
  <si>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</si>
  <si>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</si>
  <si>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</si>
  <si>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</si>
  <si>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</si>
  <si>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</si>
  <si>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</si>
  <si>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</si>
  <si>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</si>
  <si>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</si>
  <si>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</si>
  <si>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</si>
  <si>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</si>
  <si>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</si>
  <si>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</si>
  <si>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</si>
  <si>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</si>
  <si>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</si>
  <si>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</si>
  <si>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</si>
  <si>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</si>
  <si>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</si>
  <si>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</si>
  <si>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</si>
  <si>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</si>
  <si>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</si>
  <si>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</si>
  <si>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</si>
  <si>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</si>
  <si>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</si>
  <si>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</si>
  <si>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</si>
  <si>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</si>
  <si>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</si>
  <si>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</si>
  <si>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</si>
  <si>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</si>
  <si>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</si>
  <si>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</si>
  <si>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</si>
  <si>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</si>
  <si>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</si>
  <si>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</si>
  <si>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</si>
  <si>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</si>
  <si>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</si>
  <si>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</si>
  <si>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</si>
  <si>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</si>
  <si>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</si>
  <si>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</si>
  <si>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</si>
  <si>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</si>
  <si>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</si>
  <si>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</si>
  <si>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</si>
  <si>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מסלול משולב סחיר</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</si>
  <si>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</si>
  <si>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</si>
  <si>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</si>
  <si>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</si>
  <si>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</si>
  <si>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</si>
  <si>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</si>
  <si>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</si>
  <si>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</si>
  <si>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</si>
  <si>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</si>
  <si>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</si>
  <si>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</si>
  <si>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</si>
  <si>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</si>
  <si>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</si>
  <si>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</si>
  <si>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</si>
  <si>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</si>
  <si>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</si>
  <si>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</si>
  <si>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</si>
  <si>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</si>
  <si>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</si>
  <si>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</si>
  <si>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</si>
  <si>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</si>
  <si>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</si>
  <si>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</si>
  <si>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</si>
  <si>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</si>
  <si>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</si>
  <si>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</si>
  <si>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</si>
  <si>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</si>
  <si>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</si>
  <si>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</si>
  <si>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</si>
  <si>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</si>
  <si>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</si>
  <si>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</si>
  <si>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</si>
  <si>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</si>
  <si>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</si>
  <si>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</si>
  <si>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</si>
  <si>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</si>
  <si>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</si>
  <si>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</si>
  <si>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</si>
  <si>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</si>
  <si>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</si>
  <si>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</si>
  <si>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</si>
  <si>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</si>
  <si>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</si>
  <si>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</si>
  <si>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</si>
  <si>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</si>
  <si>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</si>
  <si>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</si>
  <si>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</si>
  <si>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מסלול כללי מיטב 2025</t>
  </si>
  <si>
    <t>מסלול כללי ילין 2025</t>
  </si>
  <si>
    <t>מסלול כללי מור 2025</t>
  </si>
  <si>
    <t>מסלול כללי אנליסט 2025</t>
  </si>
  <si>
    <t>שיעור חשיפה מומלץ לשנת 2025</t>
  </si>
  <si>
    <t>שינוי מ- 2024</t>
  </si>
  <si>
    <t>מדיניות השקעות 2024</t>
  </si>
  <si>
    <t>מסלול כללי אלטשולר שחם 2025</t>
  </si>
  <si>
    <t>שינוי ממדיניות 2024</t>
  </si>
  <si>
    <t>שיעור חשיפה ליום 13/12/2024</t>
  </si>
  <si>
    <t>שיעור חשיפה ליום 13/12/2024 (ממוצע כלל המנהלים)</t>
  </si>
  <si>
    <t>מגבלת עמלת ניהול חיצוני לשנת 2025</t>
  </si>
  <si>
    <t xml:space="preserve">שיעור חשיפה ליום 13/12/2024 </t>
  </si>
  <si>
    <t>80% דולר 20% אירו</t>
  </si>
  <si>
    <t xml:space="preserve">35% - ת"א 125 </t>
  </si>
  <si>
    <t>65% - MSCI World</t>
  </si>
  <si>
    <t>מדיניות קודמת</t>
  </si>
  <si>
    <t>שינוי ממדיניות קודמת</t>
  </si>
  <si>
    <t>בתאריך 19.03.2025 אישר הדירקטוריון את השינוי הבא</t>
  </si>
  <si>
    <t>שינוי החל מתאריך 19.03.25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</si>
</sst>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8"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36">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10" fillId="0" borderId="13" xfId="3"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0" fillId="0" borderId="32" xfId="3" applyBorder="1" applyAlignment="1">
      <alignment horizontal="center" vertical="center" wrapText="1"/>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0" fillId="3" borderId="65" xfId="3" applyFont="1" applyFill="1" applyBorder="1" applyAlignment="1">
      <alignment horizontal="center" vertical="center" wrapText="1"/>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0" fontId="0" fillId="3" borderId="65" xfId="3" applyFont="1" applyFill="1" applyBorder="1" applyAlignment="1">
      <alignment horizontal="center" vertical="center" wrapText="1"/>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0" borderId="35" xfId="0" applyNumberFormat="1"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0" fillId="5" borderId="9" xfId="1" applyNumberFormat="1" applyFont="1" applyFill="1" applyBorder="1" applyAlignment="1">
      <alignment horizontal="center" vertical="center"/>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0" fillId="3" borderId="32" xfId="3" applyFont="1" applyFill="1" applyBorder="1" applyAlignment="1">
      <alignment vertical="center" wrapText="1"/>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10" fillId="0" borderId="36" xfId="3"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10" fillId="0" borderId="55" xfId="3"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0" fillId="0" borderId="0" xfId="0" applyNumberFormat="1" applyAlignment="1">
      <alignment horizontal="center" vertical="center" wrapText="1"/>
    </xf>
    <xf numFmtId="0" fontId="7" fillId="9" borderId="1" xfId="3" applyFont="1" applyFill="1" applyBorder="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5" xfId="0" applyNumberFormat="1" applyFill="1" applyBorder="1" applyAlignment="1">
      <alignment horizontal="center" vertical="center"/>
    </xf>
    <xf numFmtId="0" fontId="0" fillId="0" borderId="34" xfId="0" applyFill="1" applyBorder="1" applyAlignment="1">
      <alignment horizontal="center" vertical="center"/>
    </xf>
    <xf numFmtId="9" fontId="15" fillId="9" borderId="36"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34" xfId="0" applyNumberFormat="1" applyFill="1" applyBorder="1" applyAlignment="1">
      <alignment horizontal="center" vertical="center"/>
    </xf>
    <xf numFmtId="9" fontId="0" fillId="0" borderId="39" xfId="0" applyNumberForma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9" fontId="10" fillId="9" borderId="12" xfId="3" applyNumberFormat="1" applyFont="1" applyFill="1" applyBorder="1" applyAlignment="1">
      <alignment horizontal="center" vertical="center" wrapText="1"/>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49" fontId="7" fillId="3" borderId="20" xfId="3" applyNumberFormat="1" applyFont="1" applyFill="1" applyBorder="1" applyAlignment="1">
      <alignment horizontal="center" vertical="center"/>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0" borderId="71" xfId="3" applyNumberFormat="1" applyFont="1" applyFill="1" applyBorder="1" applyAlignment="1">
      <alignment horizontal="center" vertical="center"/>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wrapText="1"/>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9" fontId="10" fillId="0" borderId="34" xfId="3" applyNumberFormat="1" applyFont="1" applyBorder="1" applyAlignment="1">
      <alignment horizontal="center" vertical="center"/>
    </xf>
    <xf numFmtId="164" fontId="0" fillId="2" borderId="36" xfId="1" applyNumberFormat="1" applyFont="1" applyFill="1" applyBorder="1" applyAlignment="1">
      <alignment horizontal="center" vertical="center" wrapText="1"/>
    </xf>
    <xf numFmtId="9" fontId="10" fillId="9" borderId="36" xfId="3" applyNumberFormat="1" applyFill="1" applyBorder="1" applyAlignment="1">
      <alignment horizontal="center" vertical="center"/>
    </xf>
    <xf numFmtId="9" fontId="10" fillId="3" borderId="34" xfId="3" applyNumberFormat="1" applyFont="1" applyFill="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9" fontId="10" fillId="9" borderId="32" xfId="3" applyNumberFormat="1" applyFill="1" applyBorder="1" applyAlignment="1">
      <alignment horizontal="center" vertical="center"/>
    </xf>
    <xf numFmtId="9" fontId="10" fillId="3" borderId="35" xfId="3" applyNumberFormat="1" applyFont="1" applyFill="1" applyBorder="1" applyAlignment="1">
      <alignment horizontal="center" vertical="center"/>
    </xf>
    <xf numFmtId="9" fontId="10" fillId="4" borderId="32" xfId="3" applyNumberFormat="1" applyFill="1" applyBorder="1" applyAlignment="1">
      <alignment horizontal="center" vertical="center"/>
    </xf>
    <xf numFmtId="9" fontId="10" fillId="4" borderId="36" xfId="3" applyNumberFormat="1" applyFill="1" applyBorder="1" applyAlignment="1">
      <alignment horizontal="center" vertical="center"/>
    </xf>
    <xf numFmtId="0" fontId="0" fillId="0" borderId="55" xfId="3" applyFont="1" applyBorder="1" applyAlignment="1">
      <alignment horizontal="center" vertical="center"/>
    </xf>
    <xf numFmtId="0" fontId="10" fillId="0" borderId="55" xfId="3" applyFont="1" applyBorder="1" applyAlignment="1">
      <alignment horizontal="center" vertical="center"/>
    </xf>
    <xf numFmtId="164" fontId="0" fillId="2" borderId="36" xfId="1" applyNumberFormat="1" applyFont="1" applyFill="1" applyBorder="1" applyAlignment="1">
      <alignment horizontal="center" vertical="center"/>
    </xf>
    <xf numFmtId="49" fontId="7" fillId="3" borderId="21" xfId="3" applyNumberFormat="1" applyFont="1" applyFill="1" applyBorder="1" applyAlignment="1">
      <alignment horizontal="center" vertical="center"/>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49" fontId="7" fillId="0" borderId="21" xfId="3" applyNumberFormat="1" applyFont="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49" fontId="7" fillId="3" borderId="58"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0" fontId="0" fillId="0" borderId="36" xfId="3" applyFont="1" applyBorder="1" applyAlignment="1">
      <alignment horizontal="center" vertical="center"/>
    </xf>
    <xf numFmtId="0" fontId="10" fillId="0" borderId="36" xfId="3" applyFont="1" applyBorder="1" applyAlignment="1">
      <alignment horizontal="center" vertical="center"/>
    </xf>
  </cellXfs>
  <cellStyles count="4">
    <cellStyle name="Normal" xfId="0" builtinId="0"/>
    <cellStyle name="Normal 100" xfId="3"/>
    <cellStyle name="Normal 2" xfId="2"/>
    <cellStyle name="Percent" xfId="1" builtinId="5"/>
  </cellStyles>
  <dxfs count="5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2;&#1491;&#1497;&#1504;&#1497;&#1493;&#1514;%20&#1492;&#1513;&#1511;&#1506;&#1492;%202025%20-%20&#1488;&#1514;&#1512;%20&#1492;&#1495;&#1489;&#1512;&#14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כשרה - קרן י"/>
      <sheetName val="הכשרה- קרן ט"/>
      <sheetName val="הכשרה - כללי"/>
      <sheetName val="הכשרה - מסלול לבני 50 ומטה"/>
      <sheetName val="הכשרה - מסלול לבני 50 עד 60"/>
      <sheetName val="הכשרה - מסלול לבני 60 ומעלה"/>
      <sheetName val="הכשרה - מסלול בסיסי למקבלי קצבה"/>
      <sheetName val="הכשרה - כספי (שקלי)"/>
      <sheetName val="הכשרה - עוקב מדדים גמיש"/>
      <sheetName val="הכשרה - משולב סחיר"/>
      <sheetName val="הכשרה אשראי ואג&quot;ח"/>
      <sheetName val="הכשרה אשראי ואג&quot;ח (25% מניות)"/>
      <sheetName val="אג&quot;ח ממשלות"/>
      <sheetName val="מסלול מניות"/>
      <sheetName val="הכשרה - עוקב מדד S&amp;P500"/>
      <sheetName val="בתי השקעות - כללי"/>
      <sheetName val="פיזור ענפי - טיוטא"/>
    </sheetNames>
    <sheetDataSet>
      <sheetData sheetId="0">
        <row r="3">
          <cell r="B3" t="str">
            <v>שיעור חשיפה ליום 13/12/2024</v>
          </cell>
          <cell r="C3" t="str">
            <v>מדיניות השקעות 2024</v>
          </cell>
          <cell r="D3" t="str">
            <v>שיעור חשיפה מומלץ לשנת 2025</v>
          </cell>
          <cell r="J3" t="str">
            <v>שינוי ממדיניות 2024</v>
          </cell>
        </row>
        <row r="17">
          <cell r="A17" t="str">
            <v>מגבלת עמלת ניהול חיצוני לשנת 2025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tabSelected="1" zoomScale="110" zoomScaleNormal="110" workbookViewId="0">
      <selection activeCell="A24" sqref="A24"/>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12" t="s">
        <v>25</v>
      </c>
    </row>
    <row r="2" spans="1:10" ht="15.75" thickTop="1" thickBot="1" x14ac:dyDescent="0.25"/>
    <row r="3" spans="1:10" s="26" customFormat="1" ht="43.5" customHeight="1" thickBot="1" x14ac:dyDescent="0.3">
      <c r="A3" s="105" t="s">
        <v>0</v>
      </c>
      <c r="B3" s="117" t="s">
        <v>467</v>
      </c>
      <c r="C3" s="40" t="s">
        <v>464</v>
      </c>
      <c r="D3" s="39" t="s">
        <v>462</v>
      </c>
      <c r="E3" s="93" t="s">
        <v>1</v>
      </c>
      <c r="F3" s="345" t="s">
        <v>380</v>
      </c>
      <c r="G3" s="345"/>
      <c r="H3" s="346"/>
      <c r="I3" s="110" t="s">
        <v>2</v>
      </c>
      <c r="J3" s="106" t="s">
        <v>466</v>
      </c>
    </row>
    <row r="4" spans="1:10" ht="14.25" customHeight="1" x14ac:dyDescent="0.2">
      <c r="A4" s="382" t="s">
        <v>391</v>
      </c>
      <c r="B4" s="362">
        <v>0.43429099999999998</v>
      </c>
      <c r="C4" s="384">
        <v>0.38</v>
      </c>
      <c r="D4" s="386">
        <v>0.4</v>
      </c>
      <c r="E4" s="388" t="s">
        <v>5</v>
      </c>
      <c r="F4" s="347">
        <f>D4+6%</f>
        <v>0.46</v>
      </c>
      <c r="G4" s="350" t="s">
        <v>396</v>
      </c>
      <c r="H4" s="359">
        <f>IF(D4-6%&lt;0%,0%,D4-6%)</f>
        <v>0.34</v>
      </c>
      <c r="I4" s="150" t="s">
        <v>472</v>
      </c>
      <c r="J4" s="367">
        <f t="shared" ref="J4:J10" si="0">D4-C4</f>
        <v>2.0000000000000018E-2</v>
      </c>
    </row>
    <row r="5" spans="1:10" ht="14.25" customHeight="1" x14ac:dyDescent="0.2">
      <c r="A5" s="383"/>
      <c r="B5" s="363"/>
      <c r="C5" s="385"/>
      <c r="D5" s="387"/>
      <c r="E5" s="371"/>
      <c r="F5" s="348"/>
      <c r="G5" s="351"/>
      <c r="H5" s="360"/>
      <c r="I5" s="28" t="s">
        <v>473</v>
      </c>
      <c r="J5" s="368">
        <f t="shared" si="0"/>
        <v>0</v>
      </c>
    </row>
    <row r="6" spans="1:10" ht="14.25" customHeight="1" x14ac:dyDescent="0.2">
      <c r="A6" s="383"/>
      <c r="B6" s="364"/>
      <c r="C6" s="385"/>
      <c r="D6" s="387"/>
      <c r="E6" s="371"/>
      <c r="F6" s="349"/>
      <c r="G6" s="344"/>
      <c r="H6" s="361"/>
      <c r="I6" s="78"/>
      <c r="J6" s="368">
        <f t="shared" si="0"/>
        <v>0</v>
      </c>
    </row>
    <row r="7" spans="1:10" ht="14.25" customHeight="1" x14ac:dyDescent="0.2">
      <c r="A7" s="115" t="s">
        <v>390</v>
      </c>
      <c r="B7" s="365">
        <v>0.18052020999999999</v>
      </c>
      <c r="C7" s="369">
        <v>0.21</v>
      </c>
      <c r="D7" s="370">
        <v>0.22</v>
      </c>
      <c r="E7" s="371" t="s">
        <v>6</v>
      </c>
      <c r="F7" s="352">
        <f>D7+5%</f>
        <v>0.27</v>
      </c>
      <c r="G7" s="354" t="s">
        <v>396</v>
      </c>
      <c r="H7" s="372">
        <f>IF(D7-5%&lt;0%,0%,D7-5%)</f>
        <v>0.16999999999999998</v>
      </c>
      <c r="I7" s="76" t="s">
        <v>14</v>
      </c>
      <c r="J7" s="374">
        <f t="shared" si="0"/>
        <v>1.0000000000000009E-2</v>
      </c>
    </row>
    <row r="8" spans="1:10" ht="14.25" customHeight="1" x14ac:dyDescent="0.2">
      <c r="A8" s="85"/>
      <c r="B8" s="366"/>
      <c r="C8" s="369"/>
      <c r="D8" s="370"/>
      <c r="E8" s="371"/>
      <c r="F8" s="353"/>
      <c r="G8" s="355"/>
      <c r="H8" s="373"/>
      <c r="I8" s="76" t="s">
        <v>15</v>
      </c>
      <c r="J8" s="368">
        <f t="shared" si="0"/>
        <v>0</v>
      </c>
    </row>
    <row r="9" spans="1:10" ht="14.25" customHeight="1" x14ac:dyDescent="0.2">
      <c r="A9" s="74" t="s">
        <v>388</v>
      </c>
      <c r="B9" s="365">
        <v>0.11577735</v>
      </c>
      <c r="C9" s="369">
        <v>0.12</v>
      </c>
      <c r="D9" s="370">
        <v>0.12</v>
      </c>
      <c r="E9" s="377" t="s">
        <v>5</v>
      </c>
      <c r="F9" s="381">
        <f>D9+6%</f>
        <v>0.18</v>
      </c>
      <c r="G9" s="343" t="s">
        <v>396</v>
      </c>
      <c r="H9" s="379">
        <f>IF(D9-6%&lt;0%,0%,D9-6%)</f>
        <v>0.06</v>
      </c>
      <c r="I9" s="29" t="s">
        <v>16</v>
      </c>
      <c r="J9" s="375">
        <f t="shared" si="0"/>
        <v>0</v>
      </c>
    </row>
    <row r="10" spans="1:10" ht="14.25" customHeight="1" x14ac:dyDescent="0.2">
      <c r="A10" s="73"/>
      <c r="B10" s="366"/>
      <c r="C10" s="389"/>
      <c r="D10" s="376"/>
      <c r="E10" s="378"/>
      <c r="F10" s="349"/>
      <c r="G10" s="344"/>
      <c r="H10" s="380"/>
      <c r="I10" s="77" t="s">
        <v>17</v>
      </c>
      <c r="J10" s="367">
        <f t="shared" si="0"/>
        <v>0</v>
      </c>
    </row>
    <row r="11" spans="1:10" ht="15" x14ac:dyDescent="0.2">
      <c r="A11" s="113" t="s">
        <v>11</v>
      </c>
      <c r="B11" s="271">
        <v>0.10968972</v>
      </c>
      <c r="C11" s="257">
        <v>0.1</v>
      </c>
      <c r="D11" s="260">
        <v>0.1</v>
      </c>
      <c r="E11" s="99" t="s">
        <v>6</v>
      </c>
      <c r="F11" s="173">
        <f>D11+5%</f>
        <v>0.15000000000000002</v>
      </c>
      <c r="G11" s="169" t="s">
        <v>396</v>
      </c>
      <c r="H11" s="174">
        <f>IF(D11-5%&lt;0%,0%,D11-5%)</f>
        <v>0.05</v>
      </c>
      <c r="I11" s="31" t="s">
        <v>382</v>
      </c>
      <c r="J11" s="142">
        <f>D11-C11</f>
        <v>0</v>
      </c>
    </row>
    <row r="12" spans="1:10" s="38" customFormat="1" ht="15" x14ac:dyDescent="0.2">
      <c r="A12" s="69" t="s">
        <v>387</v>
      </c>
      <c r="B12" s="271">
        <v>0.24759125999999998</v>
      </c>
      <c r="C12" s="257">
        <v>0.25</v>
      </c>
      <c r="D12" s="260">
        <v>0.25</v>
      </c>
      <c r="E12" s="99" t="s">
        <v>6</v>
      </c>
      <c r="F12" s="173">
        <f>D12+5%</f>
        <v>0.3</v>
      </c>
      <c r="G12" s="169" t="s">
        <v>396</v>
      </c>
      <c r="H12" s="174">
        <f>IF(D12-5%&lt;0%,0%,D12-5%)</f>
        <v>0.2</v>
      </c>
      <c r="I12" s="47" t="s">
        <v>385</v>
      </c>
      <c r="J12" s="142">
        <f t="shared" ref="J12:J14" si="1">D12-C12</f>
        <v>0</v>
      </c>
    </row>
    <row r="13" spans="1:10" ht="15" x14ac:dyDescent="0.2">
      <c r="A13" s="69" t="s">
        <v>381</v>
      </c>
      <c r="B13" s="272">
        <v>5.5601000000000001E-3</v>
      </c>
      <c r="C13" s="258">
        <v>0.03</v>
      </c>
      <c r="D13" s="261">
        <v>0.03</v>
      </c>
      <c r="E13" s="99" t="s">
        <v>6</v>
      </c>
      <c r="F13" s="173">
        <f>D13+5%</f>
        <v>0.08</v>
      </c>
      <c r="G13" s="169" t="s">
        <v>396</v>
      </c>
      <c r="H13" s="174">
        <f>IF(D13-5%&lt;0%,0%,D13-5%)</f>
        <v>0</v>
      </c>
      <c r="I13" s="79" t="s">
        <v>383</v>
      </c>
      <c r="J13" s="143">
        <f t="shared" si="1"/>
        <v>0</v>
      </c>
    </row>
    <row r="14" spans="1:10" ht="15.75" thickBot="1" x14ac:dyDescent="0.25">
      <c r="A14" s="49" t="s">
        <v>386</v>
      </c>
      <c r="B14" s="273">
        <v>5.7019919999999995E-2</v>
      </c>
      <c r="C14" s="251">
        <v>7.0000000000000007E-2</v>
      </c>
      <c r="D14" s="262">
        <v>0.03</v>
      </c>
      <c r="E14" s="97" t="s">
        <v>6</v>
      </c>
      <c r="F14" s="175">
        <f>D14+5%</f>
        <v>0.08</v>
      </c>
      <c r="G14" s="172" t="s">
        <v>396</v>
      </c>
      <c r="H14" s="176">
        <f>IF(D14-5%&lt;0%,0%,D14-5%)</f>
        <v>0</v>
      </c>
      <c r="I14" s="100" t="s">
        <v>12</v>
      </c>
      <c r="J14" s="144">
        <f t="shared" si="1"/>
        <v>-4.0000000000000008E-2</v>
      </c>
    </row>
    <row r="15" spans="1:10" ht="15.75" thickBot="1" x14ac:dyDescent="0.25">
      <c r="A15" s="70" t="s">
        <v>3</v>
      </c>
      <c r="B15" s="181">
        <f>SUM(B4:B14)</f>
        <v>1.1504495599999998</v>
      </c>
      <c r="C15" s="259">
        <f>SUM(C4:C14)</f>
        <v>1.1600000000000001</v>
      </c>
      <c r="D15" s="263">
        <f>SUM(D4:D14)</f>
        <v>1.1499999999999999</v>
      </c>
      <c r="E15" s="95"/>
      <c r="F15" s="177"/>
      <c r="G15" s="170"/>
      <c r="H15" s="178"/>
      <c r="I15" s="80"/>
      <c r="J15" s="68">
        <f>SUM(J4:J14)</f>
        <v>-9.9999999999999811E-3</v>
      </c>
    </row>
    <row r="16" spans="1:10" ht="15.75" thickBot="1" x14ac:dyDescent="0.25">
      <c r="A16" s="83" t="s">
        <v>4</v>
      </c>
      <c r="B16" s="274">
        <v>0.243509</v>
      </c>
      <c r="C16" s="104">
        <v>0.22</v>
      </c>
      <c r="D16" s="264">
        <v>0.22</v>
      </c>
      <c r="E16" s="96" t="s">
        <v>5</v>
      </c>
      <c r="F16" s="179">
        <f>D16+6%</f>
        <v>0.28000000000000003</v>
      </c>
      <c r="G16" s="171" t="s">
        <v>396</v>
      </c>
      <c r="H16" s="180">
        <f>IF(D16-6%&lt;0%,0%,D16-6%)</f>
        <v>0.16</v>
      </c>
      <c r="I16" s="33" t="s">
        <v>471</v>
      </c>
      <c r="J16" s="36">
        <f>D16-C16</f>
        <v>0</v>
      </c>
    </row>
    <row r="17" spans="1:10" s="38" customFormat="1" ht="39" customHeight="1" thickBot="1" x14ac:dyDescent="0.25">
      <c r="A17" s="161" t="s">
        <v>469</v>
      </c>
      <c r="B17" s="356">
        <v>3.5000000000000001E-3</v>
      </c>
      <c r="C17" s="357"/>
      <c r="D17" s="357"/>
      <c r="E17" s="357"/>
      <c r="F17" s="357"/>
      <c r="G17" s="357"/>
      <c r="H17" s="357"/>
      <c r="I17" s="357"/>
      <c r="J17" s="358"/>
    </row>
    <row r="18" spans="1:10" x14ac:dyDescent="0.2">
      <c r="B18" s="86"/>
    </row>
    <row r="19" spans="1:10" ht="15" x14ac:dyDescent="0.25">
      <c r="A19" s="11" t="s">
        <v>476</v>
      </c>
      <c r="B19" s="25"/>
      <c r="C19" s="336"/>
      <c r="D19" s="38"/>
      <c r="E19" s="26"/>
      <c r="H19" s="38"/>
    </row>
    <row r="20" spans="1:10" ht="30" x14ac:dyDescent="0.2">
      <c r="A20" s="337" t="s">
        <v>0</v>
      </c>
      <c r="B20" s="337" t="s">
        <v>474</v>
      </c>
      <c r="C20" s="337" t="s">
        <v>477</v>
      </c>
      <c r="D20" s="337" t="s">
        <v>475</v>
      </c>
      <c r="E20" s="338" t="s">
        <v>1</v>
      </c>
      <c r="F20" s="342" t="s">
        <v>380</v>
      </c>
      <c r="G20" s="342"/>
      <c r="H20" s="342"/>
    </row>
    <row r="21" spans="1:10" s="38" customFormat="1" ht="15" x14ac:dyDescent="0.2">
      <c r="A21" s="339" t="s">
        <v>391</v>
      </c>
      <c r="B21" s="340">
        <v>0.4</v>
      </c>
      <c r="C21" s="341">
        <v>0.44</v>
      </c>
      <c r="D21" s="341">
        <f t="shared" ref="D21:D22" si="2">C21-B21</f>
        <v>3.999999999999998E-2</v>
      </c>
      <c r="E21" s="328" t="s">
        <v>5</v>
      </c>
      <c r="F21" s="330">
        <f t="shared" ref="F21:F22" si="3">C21+6%</f>
        <v>0.5</v>
      </c>
      <c r="G21" s="331" t="s">
        <v>396</v>
      </c>
      <c r="H21" s="329">
        <f t="shared" ref="H21:H22" si="4">IF(C21-6%&lt;0%,0%,C21-6%)</f>
        <v>0.38</v>
      </c>
    </row>
    <row r="22" spans="1:10" s="38" customFormat="1" ht="15" x14ac:dyDescent="0.2">
      <c r="A22" s="339" t="s">
        <v>388</v>
      </c>
      <c r="B22" s="340">
        <v>0.12</v>
      </c>
      <c r="C22" s="341">
        <v>0.1</v>
      </c>
      <c r="D22" s="341">
        <f t="shared" si="2"/>
        <v>-1.999999999999999E-2</v>
      </c>
      <c r="E22" s="328" t="s">
        <v>5</v>
      </c>
      <c r="F22" s="330">
        <f t="shared" si="3"/>
        <v>0.16</v>
      </c>
      <c r="G22" s="331" t="s">
        <v>396</v>
      </c>
      <c r="H22" s="329">
        <f t="shared" si="4"/>
        <v>4.0000000000000008E-2</v>
      </c>
    </row>
    <row r="23" spans="1:10" s="38" customFormat="1" ht="15" x14ac:dyDescent="0.2">
      <c r="A23" s="339" t="s">
        <v>387</v>
      </c>
      <c r="B23" s="340">
        <v>0.25</v>
      </c>
      <c r="C23" s="341">
        <v>0.21</v>
      </c>
      <c r="D23" s="341">
        <f t="shared" ref="D23" si="5">C23-B23</f>
        <v>-4.0000000000000008E-2</v>
      </c>
      <c r="E23" s="328" t="s">
        <v>6</v>
      </c>
      <c r="F23" s="330">
        <f>C23+5%</f>
        <v>0.26</v>
      </c>
      <c r="G23" s="331" t="s">
        <v>396</v>
      </c>
      <c r="H23" s="329">
        <f>IF(C23-5%&lt;0%,0%,C23-5%)</f>
        <v>0.15999999999999998</v>
      </c>
    </row>
  </sheetData>
  <mergeCells count="28">
    <mergeCell ref="A4:A6"/>
    <mergeCell ref="C4:C6"/>
    <mergeCell ref="D4:D6"/>
    <mergeCell ref="E4:E6"/>
    <mergeCell ref="C9:C10"/>
    <mergeCell ref="J7:J8"/>
    <mergeCell ref="B7:B8"/>
    <mergeCell ref="J9:J10"/>
    <mergeCell ref="D9:D10"/>
    <mergeCell ref="E9:E10"/>
    <mergeCell ref="H9:H10"/>
    <mergeCell ref="F9:F10"/>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 ref="H7:H8"/>
  </mergeCells>
  <phoneticPr fontId="2" type="noConversion"/>
  <conditionalFormatting sqref="J4:J16">
    <cfRule type="cellIs" dxfId="53" priority="1" operator="lessThan">
      <formula>0</formula>
    </cfRule>
    <cfRule type="cellIs" dxfId="52"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I18" sqref="I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12"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5"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ht="15" customHeight="1" x14ac:dyDescent="0.2">
      <c r="A4" s="397" t="s">
        <v>389</v>
      </c>
      <c r="B4" s="407">
        <v>0.44417000000000001</v>
      </c>
      <c r="C4" s="390">
        <v>0.4</v>
      </c>
      <c r="D4" s="406">
        <v>0.41</v>
      </c>
      <c r="E4" s="393" t="s">
        <v>5</v>
      </c>
      <c r="F4" s="347">
        <f>D4+6%</f>
        <v>0.47</v>
      </c>
      <c r="G4" s="350" t="s">
        <v>396</v>
      </c>
      <c r="H4" s="359">
        <f>IF(D4-6%&lt;0%,0%,D4-6%)</f>
        <v>0.35</v>
      </c>
      <c r="I4" s="150" t="s">
        <v>472</v>
      </c>
      <c r="J4" s="394">
        <f t="shared" ref="J4:J13" si="0">D4-C4</f>
        <v>9.9999999999999534E-3</v>
      </c>
    </row>
    <row r="5" spans="1:10" x14ac:dyDescent="0.2">
      <c r="A5" s="383"/>
      <c r="B5" s="399"/>
      <c r="C5" s="391"/>
      <c r="D5" s="405"/>
      <c r="E5" s="371"/>
      <c r="F5" s="348"/>
      <c r="G5" s="351"/>
      <c r="H5" s="360"/>
      <c r="I5" s="28" t="s">
        <v>473</v>
      </c>
      <c r="J5" s="395">
        <f t="shared" si="0"/>
        <v>0</v>
      </c>
    </row>
    <row r="6" spans="1:10" ht="15" thickBot="1" x14ac:dyDescent="0.25">
      <c r="A6" s="398"/>
      <c r="B6" s="399"/>
      <c r="C6" s="392"/>
      <c r="D6" s="405"/>
      <c r="E6" s="371"/>
      <c r="F6" s="349"/>
      <c r="G6" s="344"/>
      <c r="H6" s="361"/>
      <c r="I6" s="28"/>
      <c r="J6" s="395">
        <f t="shared" si="0"/>
        <v>0</v>
      </c>
    </row>
    <row r="7" spans="1:10" ht="15" thickBot="1" x14ac:dyDescent="0.25">
      <c r="A7" s="147" t="s">
        <v>10</v>
      </c>
      <c r="B7" s="400">
        <v>0.41666167999999998</v>
      </c>
      <c r="C7" s="401">
        <v>0.44</v>
      </c>
      <c r="D7" s="403">
        <v>0.41</v>
      </c>
      <c r="E7" s="371" t="s">
        <v>6</v>
      </c>
      <c r="F7" s="352">
        <f>D7+5%</f>
        <v>0.45999999999999996</v>
      </c>
      <c r="G7" s="354" t="s">
        <v>396</v>
      </c>
      <c r="H7" s="372">
        <f>IF(D7-5%&lt;0%,0%,D7-5%)</f>
        <v>0.36</v>
      </c>
      <c r="I7" s="151" t="s">
        <v>14</v>
      </c>
      <c r="J7" s="142">
        <f t="shared" si="0"/>
        <v>-3.0000000000000027E-2</v>
      </c>
    </row>
    <row r="8" spans="1:10" x14ac:dyDescent="0.2">
      <c r="A8" s="148" t="s">
        <v>9</v>
      </c>
      <c r="B8" s="400"/>
      <c r="C8" s="402"/>
      <c r="D8" s="403"/>
      <c r="E8" s="371"/>
      <c r="F8" s="353"/>
      <c r="G8" s="355"/>
      <c r="H8" s="373"/>
      <c r="I8" s="10" t="s">
        <v>15</v>
      </c>
      <c r="J8" s="142">
        <f t="shared" si="0"/>
        <v>0</v>
      </c>
    </row>
    <row r="9" spans="1:10" ht="15" x14ac:dyDescent="0.2">
      <c r="A9" s="102" t="s">
        <v>7</v>
      </c>
      <c r="B9" s="90">
        <f>B7-B10</f>
        <v>7.9561679999999968E-2</v>
      </c>
      <c r="C9" s="30">
        <v>0.13</v>
      </c>
      <c r="D9" s="275">
        <v>0.1</v>
      </c>
      <c r="E9" s="167" t="s">
        <v>6</v>
      </c>
      <c r="F9" s="173">
        <f>D9+5%</f>
        <v>0.15000000000000002</v>
      </c>
      <c r="G9" s="169" t="s">
        <v>396</v>
      </c>
      <c r="H9" s="174">
        <f>IF(D9-5%&lt;0%,0%,D9-5%)</f>
        <v>0.05</v>
      </c>
      <c r="I9" s="10"/>
      <c r="J9" s="152"/>
    </row>
    <row r="10" spans="1:10" ht="15.75" thickBot="1" x14ac:dyDescent="0.25">
      <c r="A10" s="149" t="s">
        <v>8</v>
      </c>
      <c r="B10" s="90">
        <v>0.33710000000000001</v>
      </c>
      <c r="C10" s="87">
        <v>0.31</v>
      </c>
      <c r="D10" s="275">
        <v>0.31</v>
      </c>
      <c r="E10" s="167" t="s">
        <v>6</v>
      </c>
      <c r="F10" s="173">
        <f>D10+5%</f>
        <v>0.36</v>
      </c>
      <c r="G10" s="169" t="s">
        <v>396</v>
      </c>
      <c r="H10" s="174">
        <f>IF(D10-5%&lt;0%,0%,D10-5%)</f>
        <v>0.26</v>
      </c>
      <c r="I10" s="153"/>
      <c r="J10" s="142"/>
    </row>
    <row r="11" spans="1:10" ht="14.25" customHeight="1" x14ac:dyDescent="0.2">
      <c r="A11" s="139" t="s">
        <v>388</v>
      </c>
      <c r="B11" s="399">
        <v>4.1607019999999995E-2</v>
      </c>
      <c r="C11" s="404">
        <v>0.06</v>
      </c>
      <c r="D11" s="405">
        <v>0.06</v>
      </c>
      <c r="E11" s="371" t="s">
        <v>5</v>
      </c>
      <c r="F11" s="381">
        <f>D11+6%</f>
        <v>0.12</v>
      </c>
      <c r="G11" s="343" t="s">
        <v>396</v>
      </c>
      <c r="H11" s="379">
        <f>IF(D11-6%&lt;0%,0%,D11-6%)</f>
        <v>0</v>
      </c>
      <c r="I11" s="151" t="s">
        <v>16</v>
      </c>
      <c r="J11" s="396">
        <f t="shared" si="0"/>
        <v>0</v>
      </c>
    </row>
    <row r="12" spans="1:10" x14ac:dyDescent="0.2">
      <c r="A12" s="75"/>
      <c r="B12" s="399"/>
      <c r="C12" s="392"/>
      <c r="D12" s="405"/>
      <c r="E12" s="371"/>
      <c r="F12" s="349"/>
      <c r="G12" s="344"/>
      <c r="H12" s="380"/>
      <c r="I12" s="10" t="s">
        <v>17</v>
      </c>
      <c r="J12" s="395">
        <f t="shared" si="0"/>
        <v>0</v>
      </c>
    </row>
    <row r="13" spans="1:10" ht="15" x14ac:dyDescent="0.2">
      <c r="A13" s="69" t="s">
        <v>11</v>
      </c>
      <c r="B13" s="137">
        <v>8.4592000000000001E-4</v>
      </c>
      <c r="C13" s="27">
        <v>0.01</v>
      </c>
      <c r="D13" s="276">
        <v>0.01</v>
      </c>
      <c r="E13" s="140" t="s">
        <v>6</v>
      </c>
      <c r="F13" s="173">
        <f>D13+5%</f>
        <v>6.0000000000000005E-2</v>
      </c>
      <c r="G13" s="169" t="s">
        <v>396</v>
      </c>
      <c r="H13" s="174">
        <f>IF(D13-5%&lt;0%,0%,D13-5%)</f>
        <v>0</v>
      </c>
      <c r="I13" s="60" t="s">
        <v>382</v>
      </c>
      <c r="J13" s="143">
        <f t="shared" si="0"/>
        <v>0</v>
      </c>
    </row>
    <row r="14" spans="1:10" s="38" customFormat="1" ht="15" x14ac:dyDescent="0.2">
      <c r="A14" s="134" t="s">
        <v>387</v>
      </c>
      <c r="B14" s="137">
        <v>0.11276166999999999</v>
      </c>
      <c r="C14" s="27">
        <v>0.1</v>
      </c>
      <c r="D14" s="276">
        <v>0.1</v>
      </c>
      <c r="E14" s="140" t="s">
        <v>6</v>
      </c>
      <c r="F14" s="173">
        <f>D14+5%</f>
        <v>0.15000000000000002</v>
      </c>
      <c r="G14" s="169" t="s">
        <v>396</v>
      </c>
      <c r="H14" s="174">
        <f>IF(D14-5%&lt;0%,0%,D14-5%)</f>
        <v>0.05</v>
      </c>
      <c r="I14" s="47" t="s">
        <v>385</v>
      </c>
      <c r="J14" s="142">
        <f>D14-C14</f>
        <v>0</v>
      </c>
    </row>
    <row r="15" spans="1:10" ht="15" x14ac:dyDescent="0.2">
      <c r="A15" s="134" t="s">
        <v>381</v>
      </c>
      <c r="B15" s="138">
        <v>0</v>
      </c>
      <c r="C15" s="87">
        <v>0.02</v>
      </c>
      <c r="D15" s="275">
        <v>0.02</v>
      </c>
      <c r="E15" s="135" t="s">
        <v>6</v>
      </c>
      <c r="F15" s="173">
        <f>D15+5%</f>
        <v>7.0000000000000007E-2</v>
      </c>
      <c r="G15" s="169" t="s">
        <v>396</v>
      </c>
      <c r="H15" s="174">
        <f>IF(D15-5%&lt;0%,0%,D15-5%)</f>
        <v>0</v>
      </c>
      <c r="I15" s="61" t="s">
        <v>383</v>
      </c>
      <c r="J15" s="142">
        <f t="shared" ref="J15:J16" si="1">D15-C15</f>
        <v>0</v>
      </c>
    </row>
    <row r="16" spans="1:10" ht="15.75" thickBot="1" x14ac:dyDescent="0.25">
      <c r="A16" s="83" t="s">
        <v>386</v>
      </c>
      <c r="B16" s="154">
        <v>4.4155930000000003E-2</v>
      </c>
      <c r="C16" s="136">
        <v>7.0000000000000007E-2</v>
      </c>
      <c r="D16" s="277">
        <v>0.03</v>
      </c>
      <c r="E16" s="155" t="s">
        <v>6</v>
      </c>
      <c r="F16" s="173">
        <f>D16+5%</f>
        <v>0.08</v>
      </c>
      <c r="G16" s="169" t="s">
        <v>396</v>
      </c>
      <c r="H16" s="174">
        <f>IF(D16-5%&lt;0%,0%,D16-5%)</f>
        <v>0</v>
      </c>
      <c r="I16" s="51" t="s">
        <v>12</v>
      </c>
      <c r="J16" s="156">
        <f t="shared" si="1"/>
        <v>-4.0000000000000008E-2</v>
      </c>
    </row>
    <row r="17" spans="1:10" ht="15.75" thickBot="1" x14ac:dyDescent="0.25">
      <c r="A17" s="70" t="s">
        <v>3</v>
      </c>
      <c r="B17" s="84">
        <f>B16+B15+B14+B13+B11+B7+B4</f>
        <v>1.0602022199999999</v>
      </c>
      <c r="C17" s="89">
        <f>SUM(C4:C16)-C9-C10</f>
        <v>1.1000000000000001</v>
      </c>
      <c r="D17" s="278">
        <f>SUM(D4:D16)-D9-D10</f>
        <v>1.04</v>
      </c>
      <c r="E17" s="95"/>
      <c r="F17" s="95"/>
      <c r="G17" s="95"/>
      <c r="H17" s="66"/>
      <c r="I17" s="67"/>
      <c r="J17" s="68">
        <f>SUM(J4:J16)</f>
        <v>-6.0000000000000081E-2</v>
      </c>
    </row>
    <row r="18" spans="1:10" ht="15.75" thickBot="1" x14ac:dyDescent="0.25">
      <c r="A18" s="71" t="s">
        <v>4</v>
      </c>
      <c r="B18" s="92">
        <v>0.233429</v>
      </c>
      <c r="C18" s="32">
        <v>0.22</v>
      </c>
      <c r="D18" s="279">
        <v>0.22</v>
      </c>
      <c r="E18" s="96" t="s">
        <v>5</v>
      </c>
      <c r="F18" s="179">
        <f>D18+6%</f>
        <v>0.28000000000000003</v>
      </c>
      <c r="G18" s="171" t="s">
        <v>396</v>
      </c>
      <c r="H18" s="180">
        <f>IF(D18-6%&lt;0%,0%,D18-6%)</f>
        <v>0.16</v>
      </c>
      <c r="I18" s="33" t="s">
        <v>471</v>
      </c>
      <c r="J18" s="36">
        <f>D18-C18</f>
        <v>0</v>
      </c>
    </row>
    <row r="19" spans="1:10" s="38" customFormat="1" ht="39" customHeight="1" thickBot="1" x14ac:dyDescent="0.25">
      <c r="A19" s="161" t="str">
        <f>'הכשרה - קרן י'!$A$17</f>
        <v>מגבלת עמלת ניהול חיצוני לשנת 2025</v>
      </c>
      <c r="B19" s="356">
        <v>2.5000000000000001E-3</v>
      </c>
      <c r="C19" s="357"/>
      <c r="D19" s="357"/>
      <c r="E19" s="357"/>
      <c r="F19" s="357"/>
      <c r="G19" s="357"/>
      <c r="H19" s="357"/>
      <c r="I19" s="357"/>
      <c r="J19" s="358"/>
    </row>
    <row r="20" spans="1:10" x14ac:dyDescent="0.2">
      <c r="A20" s="65"/>
    </row>
    <row r="21" spans="1:10" ht="15" x14ac:dyDescent="0.25">
      <c r="A21" s="11"/>
    </row>
  </sheetData>
  <dataConsolidate link="1"/>
  <mergeCells count="2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 ref="H4:H6"/>
    <mergeCell ref="F3:H3"/>
    <mergeCell ref="F4:F6"/>
    <mergeCell ref="G4:G6"/>
    <mergeCell ref="E4:E6"/>
    <mergeCell ref="F7:F8"/>
    <mergeCell ref="G7:G8"/>
    <mergeCell ref="F11:F12"/>
    <mergeCell ref="G11:G12"/>
    <mergeCell ref="C4:C6"/>
  </mergeCells>
  <phoneticPr fontId="2" type="noConversion"/>
  <conditionalFormatting sqref="J4:J18">
    <cfRule type="cellIs" dxfId="51" priority="1" operator="lessThan">
      <formula>0</formula>
    </cfRule>
    <cfRule type="cellIs" dxfId="50"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8"/>
  <sheetViews>
    <sheetView rightToLeft="1" zoomScale="110" zoomScaleNormal="110" workbookViewId="0">
      <selection activeCell="B18" sqref="B18"/>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12" t="s">
        <v>23</v>
      </c>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ht="15" customHeight="1" x14ac:dyDescent="0.2">
      <c r="A4" s="420" t="s">
        <v>391</v>
      </c>
      <c r="B4" s="416">
        <v>0.48538200000000004</v>
      </c>
      <c r="C4" s="422">
        <v>0.44</v>
      </c>
      <c r="D4" s="386">
        <v>0.45</v>
      </c>
      <c r="E4" s="425" t="s">
        <v>5</v>
      </c>
      <c r="F4" s="347">
        <f>D4+6%</f>
        <v>0.51</v>
      </c>
      <c r="G4" s="350" t="s">
        <v>396</v>
      </c>
      <c r="H4" s="359">
        <f>IF(D4-6%&lt;0%,0%,D4-6%)</f>
        <v>0.39</v>
      </c>
      <c r="I4" s="150" t="s">
        <v>472</v>
      </c>
      <c r="J4" s="430">
        <f t="shared" ref="J4:J11" si="0">D4-C4</f>
        <v>1.0000000000000009E-2</v>
      </c>
    </row>
    <row r="5" spans="1:10" x14ac:dyDescent="0.2">
      <c r="A5" s="421"/>
      <c r="B5" s="417"/>
      <c r="C5" s="423"/>
      <c r="D5" s="387"/>
      <c r="E5" s="425"/>
      <c r="F5" s="348"/>
      <c r="G5" s="351"/>
      <c r="H5" s="360"/>
      <c r="I5" s="28" t="s">
        <v>473</v>
      </c>
      <c r="J5" s="431">
        <f t="shared" si="0"/>
        <v>0</v>
      </c>
    </row>
    <row r="6" spans="1:10" ht="18" customHeight="1" x14ac:dyDescent="0.2">
      <c r="A6" s="382"/>
      <c r="B6" s="413"/>
      <c r="C6" s="424"/>
      <c r="D6" s="387"/>
      <c r="E6" s="426"/>
      <c r="F6" s="349"/>
      <c r="G6" s="344"/>
      <c r="H6" s="361"/>
      <c r="I6" s="42"/>
      <c r="J6" s="415">
        <f t="shared" si="0"/>
        <v>0</v>
      </c>
    </row>
    <row r="7" spans="1:10" x14ac:dyDescent="0.2">
      <c r="A7" s="410" t="s">
        <v>390</v>
      </c>
      <c r="B7" s="418">
        <v>0.24878486</v>
      </c>
      <c r="C7" s="408">
        <v>0.25</v>
      </c>
      <c r="D7" s="370">
        <v>0.27</v>
      </c>
      <c r="E7" s="427" t="s">
        <v>6</v>
      </c>
      <c r="F7" s="352">
        <f>D7+5%</f>
        <v>0.32</v>
      </c>
      <c r="G7" s="354" t="s">
        <v>396</v>
      </c>
      <c r="H7" s="372">
        <f>IF(D7-5%&lt;0%,0%,D7-5%)</f>
        <v>0.22000000000000003</v>
      </c>
      <c r="I7" s="43" t="s">
        <v>14</v>
      </c>
      <c r="J7" s="414">
        <f t="shared" si="0"/>
        <v>2.0000000000000018E-2</v>
      </c>
    </row>
    <row r="8" spans="1:10" x14ac:dyDescent="0.2">
      <c r="A8" s="411"/>
      <c r="B8" s="419"/>
      <c r="C8" s="409"/>
      <c r="D8" s="370"/>
      <c r="E8" s="428"/>
      <c r="F8" s="353"/>
      <c r="G8" s="355"/>
      <c r="H8" s="373"/>
      <c r="I8" s="42" t="s">
        <v>15</v>
      </c>
      <c r="J8" s="415">
        <f t="shared" si="0"/>
        <v>0</v>
      </c>
    </row>
    <row r="9" spans="1:10" ht="14.25" customHeight="1" x14ac:dyDescent="0.2">
      <c r="A9" s="116" t="s">
        <v>388</v>
      </c>
      <c r="B9" s="412">
        <v>0.12984973</v>
      </c>
      <c r="C9" s="408">
        <v>0.11</v>
      </c>
      <c r="D9" s="370">
        <v>0.11</v>
      </c>
      <c r="E9" s="429" t="s">
        <v>5</v>
      </c>
      <c r="F9" s="381">
        <f>D9+6%</f>
        <v>0.16999999999999998</v>
      </c>
      <c r="G9" s="343" t="s">
        <v>396</v>
      </c>
      <c r="H9" s="379">
        <f>IF(D9-6%&lt;0%,0%,D9-6%)</f>
        <v>0.05</v>
      </c>
      <c r="I9" s="43" t="s">
        <v>16</v>
      </c>
      <c r="J9" s="414">
        <f t="shared" si="0"/>
        <v>0</v>
      </c>
    </row>
    <row r="10" spans="1:10" x14ac:dyDescent="0.2">
      <c r="A10" s="81"/>
      <c r="B10" s="413"/>
      <c r="C10" s="409"/>
      <c r="D10" s="376"/>
      <c r="E10" s="426"/>
      <c r="F10" s="349"/>
      <c r="G10" s="344"/>
      <c r="H10" s="380"/>
      <c r="I10" s="44" t="s">
        <v>17</v>
      </c>
      <c r="J10" s="415">
        <f t="shared" si="0"/>
        <v>0</v>
      </c>
    </row>
    <row r="11" spans="1:10" ht="15" x14ac:dyDescent="0.2">
      <c r="A11" s="72" t="s">
        <v>11</v>
      </c>
      <c r="B11" s="182">
        <v>4.8554859999999998E-2</v>
      </c>
      <c r="C11" s="88">
        <v>0.05</v>
      </c>
      <c r="D11" s="267">
        <v>0.05</v>
      </c>
      <c r="E11" s="46" t="s">
        <v>6</v>
      </c>
      <c r="F11" s="173">
        <f>D11+5%</f>
        <v>0.1</v>
      </c>
      <c r="G11" s="169" t="s">
        <v>396</v>
      </c>
      <c r="H11" s="174">
        <f>IF(D11-5%&lt;0%,0%,D11-5%)</f>
        <v>0</v>
      </c>
      <c r="I11" s="60" t="s">
        <v>382</v>
      </c>
      <c r="J11" s="141">
        <f t="shared" si="0"/>
        <v>0</v>
      </c>
    </row>
    <row r="12" spans="1:10" ht="15" x14ac:dyDescent="0.2">
      <c r="A12" s="114" t="s">
        <v>387</v>
      </c>
      <c r="B12" s="187">
        <v>0.18150651000000001</v>
      </c>
      <c r="C12" s="166">
        <v>0.16</v>
      </c>
      <c r="D12" s="267">
        <v>0.16</v>
      </c>
      <c r="E12" s="46" t="s">
        <v>6</v>
      </c>
      <c r="F12" s="173">
        <f>D12+5%</f>
        <v>0.21000000000000002</v>
      </c>
      <c r="G12" s="169" t="s">
        <v>396</v>
      </c>
      <c r="H12" s="174">
        <f>IF(D12-5%&lt;0%,0%,D12-5%)</f>
        <v>0.11</v>
      </c>
      <c r="I12" s="47" t="s">
        <v>385</v>
      </c>
      <c r="J12" s="145">
        <f t="shared" ref="J12:J14" si="1">D12-C12</f>
        <v>0</v>
      </c>
    </row>
    <row r="13" spans="1:10" ht="15" x14ac:dyDescent="0.2">
      <c r="A13" s="114" t="s">
        <v>381</v>
      </c>
      <c r="B13" s="184">
        <v>1.510977E-2</v>
      </c>
      <c r="C13" s="166">
        <v>0.03</v>
      </c>
      <c r="D13" s="261">
        <v>0.03</v>
      </c>
      <c r="E13" s="46" t="s">
        <v>6</v>
      </c>
      <c r="F13" s="173">
        <f>D13+5%</f>
        <v>0.08</v>
      </c>
      <c r="G13" s="169" t="s">
        <v>396</v>
      </c>
      <c r="H13" s="174">
        <f>IF(D13-5%&lt;0%,0%,D13-5%)</f>
        <v>0</v>
      </c>
      <c r="I13" s="61" t="s">
        <v>383</v>
      </c>
      <c r="J13" s="145">
        <f t="shared" si="1"/>
        <v>0</v>
      </c>
    </row>
    <row r="14" spans="1:10" ht="15.75" thickBot="1" x14ac:dyDescent="0.25">
      <c r="A14" s="83" t="s">
        <v>386</v>
      </c>
      <c r="B14" s="183">
        <v>6.5725489999999998E-2</v>
      </c>
      <c r="C14" s="128">
        <v>0.08</v>
      </c>
      <c r="D14" s="261">
        <v>0.05</v>
      </c>
      <c r="E14" s="50" t="s">
        <v>6</v>
      </c>
      <c r="F14" s="175">
        <f>D14+5%</f>
        <v>0.1</v>
      </c>
      <c r="G14" s="172" t="s">
        <v>396</v>
      </c>
      <c r="H14" s="176">
        <f>IF(D14-5%&lt;0%,0%,D14-5%)</f>
        <v>0</v>
      </c>
      <c r="I14" s="51" t="s">
        <v>12</v>
      </c>
      <c r="J14" s="146">
        <f t="shared" si="1"/>
        <v>-0.03</v>
      </c>
    </row>
    <row r="15" spans="1:10" ht="15.75" thickBot="1" x14ac:dyDescent="0.25">
      <c r="A15" s="82" t="s">
        <v>3</v>
      </c>
      <c r="B15" s="185">
        <f>SUM(B4:B14)</f>
        <v>1.1749132199999999</v>
      </c>
      <c r="C15" s="53">
        <f>SUM(C4:C14)</f>
        <v>1.1200000000000001</v>
      </c>
      <c r="D15" s="263">
        <f>SUM(D4:D14)</f>
        <v>1.1200000000000001</v>
      </c>
      <c r="E15" s="54"/>
      <c r="F15" s="177"/>
      <c r="G15" s="170"/>
      <c r="H15" s="178"/>
      <c r="I15" s="55"/>
      <c r="J15" s="56">
        <f>D15-C15</f>
        <v>0</v>
      </c>
    </row>
    <row r="16" spans="1:10" ht="15.75" thickBot="1" x14ac:dyDescent="0.25">
      <c r="A16" s="83" t="s">
        <v>4</v>
      </c>
      <c r="B16" s="186">
        <v>0.233762</v>
      </c>
      <c r="C16" s="57">
        <v>0.21</v>
      </c>
      <c r="D16" s="280">
        <v>0.22</v>
      </c>
      <c r="E16" s="58" t="s">
        <v>5</v>
      </c>
      <c r="F16" s="179">
        <f>D16+6%</f>
        <v>0.28000000000000003</v>
      </c>
      <c r="G16" s="171" t="s">
        <v>396</v>
      </c>
      <c r="H16" s="180">
        <f>IF(D16-6%&lt;0%,0%,D16-6%)</f>
        <v>0.16</v>
      </c>
      <c r="I16" s="33" t="s">
        <v>471</v>
      </c>
      <c r="J16" s="59">
        <f>D16-C16</f>
        <v>1.0000000000000009E-2</v>
      </c>
    </row>
    <row r="17" spans="1:10" s="38" customFormat="1" ht="39" customHeight="1" thickBot="1" x14ac:dyDescent="0.25">
      <c r="A17" s="161" t="str">
        <f>'הכשרה - קרן י'!$A$17</f>
        <v>מגבלת עמלת ניהול חיצוני לשנת 2025</v>
      </c>
      <c r="B17" s="356">
        <v>2.8E-3</v>
      </c>
      <c r="C17" s="357"/>
      <c r="D17" s="357"/>
      <c r="E17" s="357"/>
      <c r="F17" s="357"/>
      <c r="G17" s="357"/>
      <c r="H17" s="357"/>
      <c r="I17" s="357"/>
      <c r="J17" s="358"/>
    </row>
    <row r="18" spans="1:10" x14ac:dyDescent="0.2">
      <c r="A18" s="37"/>
    </row>
  </sheetData>
  <mergeCells count="28">
    <mergeCell ref="E4:E6"/>
    <mergeCell ref="E7:E8"/>
    <mergeCell ref="E9:E10"/>
    <mergeCell ref="J4:J6"/>
    <mergeCell ref="J7:J8"/>
    <mergeCell ref="H7:H8"/>
    <mergeCell ref="H9:H10"/>
    <mergeCell ref="B4:B6"/>
    <mergeCell ref="B7:B8"/>
    <mergeCell ref="A4:A6"/>
    <mergeCell ref="C4:C6"/>
    <mergeCell ref="D4:D6"/>
    <mergeCell ref="B17:J17"/>
    <mergeCell ref="C9:C10"/>
    <mergeCell ref="D9:D10"/>
    <mergeCell ref="A7:A8"/>
    <mergeCell ref="C7:C8"/>
    <mergeCell ref="D7:D8"/>
    <mergeCell ref="B9:B10"/>
    <mergeCell ref="F9:F10"/>
    <mergeCell ref="G9:G10"/>
    <mergeCell ref="J9:J10"/>
    <mergeCell ref="F3:H3"/>
    <mergeCell ref="F4:F6"/>
    <mergeCell ref="G4:G6"/>
    <mergeCell ref="F7:F8"/>
    <mergeCell ref="G7:G8"/>
    <mergeCell ref="H4:H6"/>
  </mergeCells>
  <phoneticPr fontId="2" type="noConversion"/>
  <conditionalFormatting sqref="J4:J16">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C23" sqref="C23"/>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ht="15" customHeight="1" x14ac:dyDescent="0.2">
      <c r="A4" s="420" t="s">
        <v>389</v>
      </c>
      <c r="B4" s="416">
        <v>0.50706000000000007</v>
      </c>
      <c r="C4" s="423">
        <v>0.46</v>
      </c>
      <c r="D4" s="437">
        <v>0.48</v>
      </c>
      <c r="E4" s="439" t="s">
        <v>5</v>
      </c>
      <c r="F4" s="347">
        <f>D4+6%</f>
        <v>0.54</v>
      </c>
      <c r="G4" s="350" t="s">
        <v>396</v>
      </c>
      <c r="H4" s="359">
        <f>IF(D4-6%&lt;0%,0%,D4-6%)</f>
        <v>0.42</v>
      </c>
      <c r="I4" s="150" t="s">
        <v>472</v>
      </c>
      <c r="J4" s="436">
        <f t="shared" ref="J4:J10" si="0">D4-C4</f>
        <v>1.9999999999999962E-2</v>
      </c>
    </row>
    <row r="5" spans="1:10" ht="14.25" customHeight="1" x14ac:dyDescent="0.2">
      <c r="A5" s="421"/>
      <c r="B5" s="417"/>
      <c r="C5" s="423"/>
      <c r="D5" s="437"/>
      <c r="E5" s="440"/>
      <c r="F5" s="348"/>
      <c r="G5" s="351"/>
      <c r="H5" s="360"/>
      <c r="I5" s="28" t="s">
        <v>473</v>
      </c>
      <c r="J5" s="431">
        <f t="shared" si="0"/>
        <v>0</v>
      </c>
    </row>
    <row r="6" spans="1:10" ht="14.25" customHeight="1" x14ac:dyDescent="0.2">
      <c r="A6" s="382"/>
      <c r="B6" s="413"/>
      <c r="C6" s="424"/>
      <c r="D6" s="438"/>
      <c r="E6" s="440"/>
      <c r="F6" s="349"/>
      <c r="G6" s="344"/>
      <c r="H6" s="361"/>
      <c r="I6" s="42"/>
      <c r="J6" s="415">
        <f t="shared" si="0"/>
        <v>0</v>
      </c>
    </row>
    <row r="7" spans="1:10" x14ac:dyDescent="0.2">
      <c r="A7" s="410" t="s">
        <v>390</v>
      </c>
      <c r="B7" s="442">
        <v>0.18847207999999999</v>
      </c>
      <c r="C7" s="408">
        <v>0.2</v>
      </c>
      <c r="D7" s="432">
        <v>0.22</v>
      </c>
      <c r="E7" s="441" t="s">
        <v>6</v>
      </c>
      <c r="F7" s="352">
        <f>D7+5%</f>
        <v>0.27</v>
      </c>
      <c r="G7" s="354" t="s">
        <v>396</v>
      </c>
      <c r="H7" s="372">
        <f>IF(D7-5%&lt;0%,0%,D7-5%)</f>
        <v>0.16999999999999998</v>
      </c>
      <c r="I7" s="43" t="s">
        <v>14</v>
      </c>
      <c r="J7" s="414">
        <f t="shared" si="0"/>
        <v>1.999999999999999E-2</v>
      </c>
    </row>
    <row r="8" spans="1:10" x14ac:dyDescent="0.2">
      <c r="A8" s="411"/>
      <c r="B8" s="443"/>
      <c r="C8" s="409"/>
      <c r="D8" s="433"/>
      <c r="E8" s="441"/>
      <c r="F8" s="353"/>
      <c r="G8" s="355"/>
      <c r="H8" s="373"/>
      <c r="I8" s="42" t="s">
        <v>15</v>
      </c>
      <c r="J8" s="415">
        <f t="shared" si="0"/>
        <v>0</v>
      </c>
    </row>
    <row r="9" spans="1:10" ht="14.25" customHeight="1" x14ac:dyDescent="0.2">
      <c r="A9" s="116" t="s">
        <v>388</v>
      </c>
      <c r="B9" s="434">
        <v>9.1649499999999995E-2</v>
      </c>
      <c r="C9" s="408">
        <v>0.1</v>
      </c>
      <c r="D9" s="432">
        <v>0.1</v>
      </c>
      <c r="E9" s="371" t="s">
        <v>5</v>
      </c>
      <c r="F9" s="381">
        <f>D9+6%</f>
        <v>0.16</v>
      </c>
      <c r="G9" s="343" t="s">
        <v>396</v>
      </c>
      <c r="H9" s="379">
        <f>IF(D9-6%&lt;0%,0%,D9-6%)</f>
        <v>4.0000000000000008E-2</v>
      </c>
      <c r="I9" s="43" t="s">
        <v>16</v>
      </c>
      <c r="J9" s="414">
        <f t="shared" si="0"/>
        <v>0</v>
      </c>
    </row>
    <row r="10" spans="1:10" x14ac:dyDescent="0.2">
      <c r="A10" s="81"/>
      <c r="B10" s="435"/>
      <c r="C10" s="409"/>
      <c r="D10" s="433"/>
      <c r="E10" s="371"/>
      <c r="F10" s="349"/>
      <c r="G10" s="344"/>
      <c r="H10" s="380"/>
      <c r="I10" s="44" t="s">
        <v>17</v>
      </c>
      <c r="J10" s="415">
        <f t="shared" si="0"/>
        <v>0</v>
      </c>
    </row>
    <row r="11" spans="1:10" ht="15" x14ac:dyDescent="0.2">
      <c r="A11" s="72" t="s">
        <v>11</v>
      </c>
      <c r="B11" s="190">
        <v>1.084892E-2</v>
      </c>
      <c r="C11" s="126">
        <v>0.04</v>
      </c>
      <c r="D11" s="281">
        <v>0.04</v>
      </c>
      <c r="E11" s="94" t="s">
        <v>6</v>
      </c>
      <c r="F11" s="173">
        <f>D11+5%</f>
        <v>0.09</v>
      </c>
      <c r="G11" s="169" t="s">
        <v>396</v>
      </c>
      <c r="H11" s="174">
        <f>IF(D11-5%&lt;0%,0%,D11-5%)</f>
        <v>0</v>
      </c>
      <c r="I11" s="60" t="s">
        <v>382</v>
      </c>
      <c r="J11" s="157">
        <f>D11-C11</f>
        <v>0</v>
      </c>
    </row>
    <row r="12" spans="1:10" s="38" customFormat="1" ht="15" x14ac:dyDescent="0.2">
      <c r="A12" s="114" t="s">
        <v>387</v>
      </c>
      <c r="B12" s="190">
        <v>0.21804791999999998</v>
      </c>
      <c r="C12" s="126">
        <v>0.23</v>
      </c>
      <c r="D12" s="281">
        <v>0.22</v>
      </c>
      <c r="E12" s="94" t="s">
        <v>6</v>
      </c>
      <c r="F12" s="173">
        <f>D12+5%</f>
        <v>0.27</v>
      </c>
      <c r="G12" s="169" t="s">
        <v>396</v>
      </c>
      <c r="H12" s="174">
        <f>IF(D12-5%&lt;0%,0%,D12-5%)</f>
        <v>0.16999999999999998</v>
      </c>
      <c r="I12" s="47" t="s">
        <v>385</v>
      </c>
      <c r="J12" s="157">
        <f t="shared" ref="J12:J14" si="1">D12-C12</f>
        <v>-1.0000000000000009E-2</v>
      </c>
    </row>
    <row r="13" spans="1:10" ht="15" x14ac:dyDescent="0.2">
      <c r="A13" s="114" t="s">
        <v>381</v>
      </c>
      <c r="B13" s="190">
        <v>5.9920799999999995E-3</v>
      </c>
      <c r="C13" s="126">
        <v>0.03</v>
      </c>
      <c r="D13" s="281">
        <v>0.03</v>
      </c>
      <c r="E13" s="94" t="s">
        <v>6</v>
      </c>
      <c r="F13" s="173">
        <f>D13+5%</f>
        <v>0.08</v>
      </c>
      <c r="G13" s="169" t="s">
        <v>396</v>
      </c>
      <c r="H13" s="174">
        <f>IF(D13-5%&lt;0%,0%,D13-5%)</f>
        <v>0</v>
      </c>
      <c r="I13" s="61" t="s">
        <v>383</v>
      </c>
      <c r="J13" s="158">
        <f t="shared" si="1"/>
        <v>0</v>
      </c>
    </row>
    <row r="14" spans="1:10" ht="15.75" thickBot="1" x14ac:dyDescent="0.25">
      <c r="A14" s="83" t="s">
        <v>386</v>
      </c>
      <c r="B14" s="189">
        <v>0.10565677000000001</v>
      </c>
      <c r="C14" s="128">
        <v>0.08</v>
      </c>
      <c r="D14" s="282">
        <v>0.05</v>
      </c>
      <c r="E14" s="97" t="s">
        <v>6</v>
      </c>
      <c r="F14" s="175">
        <f>D14+5%</f>
        <v>0.1</v>
      </c>
      <c r="G14" s="172" t="s">
        <v>396</v>
      </c>
      <c r="H14" s="176">
        <f>IF(D14-5%&lt;0%,0%,D14-5%)</f>
        <v>0</v>
      </c>
      <c r="I14" s="51" t="s">
        <v>12</v>
      </c>
      <c r="J14" s="159">
        <f t="shared" si="1"/>
        <v>-0.03</v>
      </c>
    </row>
    <row r="15" spans="1:10" ht="15.75" thickBot="1" x14ac:dyDescent="0.25">
      <c r="A15" s="82" t="s">
        <v>3</v>
      </c>
      <c r="B15" s="84">
        <f>SUM(B4:B14)</f>
        <v>1.1277272699999998</v>
      </c>
      <c r="C15" s="89">
        <f>SUM(C4:C14)</f>
        <v>1.1400000000000001</v>
      </c>
      <c r="D15" s="263">
        <f>SUM(D4:D14)</f>
        <v>1.1400000000000001</v>
      </c>
      <c r="E15" s="95"/>
      <c r="F15" s="177"/>
      <c r="G15" s="170"/>
      <c r="H15" s="178"/>
      <c r="I15" s="55"/>
      <c r="J15" s="34">
        <f>SUM(J4:J14)</f>
        <v>-5.5511151231257827E-17</v>
      </c>
    </row>
    <row r="16" spans="1:10" ht="15.75" thickBot="1" x14ac:dyDescent="0.25">
      <c r="A16" s="83" t="s">
        <v>4</v>
      </c>
      <c r="B16" s="188">
        <v>0.249413</v>
      </c>
      <c r="C16" s="32">
        <v>0.23</v>
      </c>
      <c r="D16" s="264">
        <v>0.23</v>
      </c>
      <c r="E16" s="96" t="s">
        <v>5</v>
      </c>
      <c r="F16" s="179">
        <f>D16+6%</f>
        <v>0.29000000000000004</v>
      </c>
      <c r="G16" s="171" t="s">
        <v>396</v>
      </c>
      <c r="H16" s="180">
        <f>IF(D16-6%&lt;0%,0%,D16-6%)</f>
        <v>0.17</v>
      </c>
      <c r="I16" s="33" t="s">
        <v>471</v>
      </c>
      <c r="J16" s="36">
        <f>D16-C16</f>
        <v>0</v>
      </c>
    </row>
    <row r="17" spans="1:10" s="38" customFormat="1" ht="39" customHeight="1" thickBot="1" x14ac:dyDescent="0.25">
      <c r="A17" s="161" t="str">
        <f>'הכשרה - קרן י'!$A$17</f>
        <v>מגבלת עמלת ניהול חיצוני לשנת 2025</v>
      </c>
      <c r="B17" s="356">
        <v>3.0000000000000001E-3</v>
      </c>
      <c r="C17" s="357"/>
      <c r="D17" s="357"/>
      <c r="E17" s="357"/>
      <c r="F17" s="357"/>
      <c r="G17" s="357"/>
      <c r="H17" s="357"/>
      <c r="I17" s="357"/>
      <c r="J17" s="358"/>
    </row>
    <row r="18" spans="1:10" x14ac:dyDescent="0.2">
      <c r="A18" s="37"/>
    </row>
    <row r="23" spans="1:10" x14ac:dyDescent="0.2">
      <c r="C23" s="38"/>
    </row>
  </sheetData>
  <mergeCells count="28">
    <mergeCell ref="J4:J6"/>
    <mergeCell ref="D7:D8"/>
    <mergeCell ref="J7:J8"/>
    <mergeCell ref="A4:A6"/>
    <mergeCell ref="C4:C6"/>
    <mergeCell ref="D4:D6"/>
    <mergeCell ref="E4:E6"/>
    <mergeCell ref="A7:A8"/>
    <mergeCell ref="C7:C8"/>
    <mergeCell ref="E7:E8"/>
    <mergeCell ref="B7:B8"/>
    <mergeCell ref="B4:B6"/>
    <mergeCell ref="B17:J17"/>
    <mergeCell ref="J9:J10"/>
    <mergeCell ref="C9:C10"/>
    <mergeCell ref="D9:D10"/>
    <mergeCell ref="E9:E10"/>
    <mergeCell ref="H9:H10"/>
    <mergeCell ref="B9:B10"/>
    <mergeCell ref="F9:F10"/>
    <mergeCell ref="G9:G10"/>
    <mergeCell ref="F3:H3"/>
    <mergeCell ref="F4:F6"/>
    <mergeCell ref="G4:G6"/>
    <mergeCell ref="F7:F8"/>
    <mergeCell ref="G7:G8"/>
    <mergeCell ref="H7:H8"/>
    <mergeCell ref="H4:H6"/>
  </mergeCells>
  <conditionalFormatting sqref="J4:J16">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9" sqref="D19"/>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12" t="s">
        <v>20</v>
      </c>
      <c r="B1" s="5"/>
      <c r="C1" s="5"/>
      <c r="D1" s="6"/>
      <c r="E1" s="5"/>
      <c r="F1" s="5"/>
      <c r="G1" s="5"/>
      <c r="H1" s="6"/>
    </row>
    <row r="2" spans="1:10" ht="15.75" thickTop="1" thickBot="1" x14ac:dyDescent="0.25"/>
    <row r="3" spans="1:10" s="107" customFormat="1" ht="4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x14ac:dyDescent="0.2">
      <c r="A4" s="420" t="s">
        <v>389</v>
      </c>
      <c r="B4" s="452">
        <v>0.44946399999999997</v>
      </c>
      <c r="C4" s="448">
        <v>0.4</v>
      </c>
      <c r="D4" s="437">
        <v>0.42</v>
      </c>
      <c r="E4" s="439" t="s">
        <v>5</v>
      </c>
      <c r="F4" s="347">
        <f>D4+6%</f>
        <v>0.48</v>
      </c>
      <c r="G4" s="350" t="s">
        <v>396</v>
      </c>
      <c r="H4" s="359">
        <f>IF(D4-6%&lt;0%,0%,D4-6%)</f>
        <v>0.36</v>
      </c>
      <c r="I4" s="150" t="s">
        <v>472</v>
      </c>
      <c r="J4" s="436">
        <f t="shared" ref="J4:J10" si="0">D4-C4</f>
        <v>1.9999999999999962E-2</v>
      </c>
    </row>
    <row r="5" spans="1:10" x14ac:dyDescent="0.2">
      <c r="A5" s="421"/>
      <c r="B5" s="453"/>
      <c r="C5" s="448"/>
      <c r="D5" s="437"/>
      <c r="E5" s="440"/>
      <c r="F5" s="348"/>
      <c r="G5" s="351"/>
      <c r="H5" s="360"/>
      <c r="I5" s="28" t="s">
        <v>473</v>
      </c>
      <c r="J5" s="431">
        <f t="shared" si="0"/>
        <v>0</v>
      </c>
    </row>
    <row r="6" spans="1:10" x14ac:dyDescent="0.2">
      <c r="A6" s="382"/>
      <c r="B6" s="454"/>
      <c r="C6" s="449"/>
      <c r="D6" s="438"/>
      <c r="E6" s="440"/>
      <c r="F6" s="349"/>
      <c r="G6" s="344"/>
      <c r="H6" s="361"/>
      <c r="I6" s="42"/>
      <c r="J6" s="415">
        <f t="shared" si="0"/>
        <v>0</v>
      </c>
    </row>
    <row r="7" spans="1:10" x14ac:dyDescent="0.2">
      <c r="A7" s="410" t="s">
        <v>390</v>
      </c>
      <c r="B7" s="450">
        <v>0.25347947999999998</v>
      </c>
      <c r="C7" s="446">
        <v>0.22</v>
      </c>
      <c r="D7" s="432">
        <v>0.25</v>
      </c>
      <c r="E7" s="441" t="s">
        <v>6</v>
      </c>
      <c r="F7" s="352">
        <f>D7+5%</f>
        <v>0.3</v>
      </c>
      <c r="G7" s="354" t="s">
        <v>396</v>
      </c>
      <c r="H7" s="372">
        <f>IF(D7-5%&lt;0%,0%,D7-5%)</f>
        <v>0.2</v>
      </c>
      <c r="I7" s="43" t="s">
        <v>14</v>
      </c>
      <c r="J7" s="414">
        <f t="shared" si="0"/>
        <v>0.03</v>
      </c>
    </row>
    <row r="8" spans="1:10" x14ac:dyDescent="0.2">
      <c r="A8" s="411"/>
      <c r="B8" s="451"/>
      <c r="C8" s="447"/>
      <c r="D8" s="433"/>
      <c r="E8" s="441"/>
      <c r="F8" s="353"/>
      <c r="G8" s="355"/>
      <c r="H8" s="373"/>
      <c r="I8" s="42" t="s">
        <v>15</v>
      </c>
      <c r="J8" s="415">
        <f t="shared" si="0"/>
        <v>0</v>
      </c>
    </row>
    <row r="9" spans="1:10" ht="14.25" customHeight="1" x14ac:dyDescent="0.2">
      <c r="A9" s="116" t="s">
        <v>388</v>
      </c>
      <c r="B9" s="444">
        <v>0.15867065</v>
      </c>
      <c r="C9" s="446">
        <v>0.14000000000000001</v>
      </c>
      <c r="D9" s="432">
        <v>0.14000000000000001</v>
      </c>
      <c r="E9" s="371" t="s">
        <v>5</v>
      </c>
      <c r="F9" s="381">
        <f>D9+6%</f>
        <v>0.2</v>
      </c>
      <c r="G9" s="343" t="s">
        <v>396</v>
      </c>
      <c r="H9" s="379">
        <f>IF(D9-6%&lt;0%,0%,D9-6%)</f>
        <v>8.0000000000000016E-2</v>
      </c>
      <c r="I9" s="43" t="s">
        <v>16</v>
      </c>
      <c r="J9" s="414">
        <f t="shared" si="0"/>
        <v>0</v>
      </c>
    </row>
    <row r="10" spans="1:10" x14ac:dyDescent="0.2">
      <c r="A10" s="81"/>
      <c r="B10" s="445"/>
      <c r="C10" s="447"/>
      <c r="D10" s="433"/>
      <c r="E10" s="371"/>
      <c r="F10" s="349"/>
      <c r="G10" s="344"/>
      <c r="H10" s="380"/>
      <c r="I10" s="44" t="s">
        <v>17</v>
      </c>
      <c r="J10" s="415">
        <f t="shared" si="0"/>
        <v>0</v>
      </c>
    </row>
    <row r="11" spans="1:10" ht="15" x14ac:dyDescent="0.2">
      <c r="A11" s="72" t="s">
        <v>11</v>
      </c>
      <c r="B11" s="191">
        <v>5.6894299999999997E-3</v>
      </c>
      <c r="C11" s="127">
        <v>0.04</v>
      </c>
      <c r="D11" s="281">
        <v>0.04</v>
      </c>
      <c r="E11" s="94" t="s">
        <v>6</v>
      </c>
      <c r="F11" s="173">
        <f>D11+5%</f>
        <v>0.09</v>
      </c>
      <c r="G11" s="169" t="s">
        <v>396</v>
      </c>
      <c r="H11" s="174">
        <f>IF(D11-5%&lt;0%,0%,D11-5%)</f>
        <v>0</v>
      </c>
      <c r="I11" s="60" t="s">
        <v>382</v>
      </c>
      <c r="J11" s="157">
        <f>D11-C11</f>
        <v>0</v>
      </c>
    </row>
    <row r="12" spans="1:10" ht="15" x14ac:dyDescent="0.2">
      <c r="A12" s="114" t="s">
        <v>387</v>
      </c>
      <c r="B12" s="191">
        <v>0.11637226000000001</v>
      </c>
      <c r="C12" s="127">
        <v>0.15</v>
      </c>
      <c r="D12" s="281">
        <v>0.12</v>
      </c>
      <c r="E12" s="94" t="s">
        <v>6</v>
      </c>
      <c r="F12" s="173">
        <f>D12+5%</f>
        <v>0.16999999999999998</v>
      </c>
      <c r="G12" s="169" t="s">
        <v>396</v>
      </c>
      <c r="H12" s="174">
        <f>IF(D12-5%&lt;0%,0%,D12-5%)</f>
        <v>6.9999999999999993E-2</v>
      </c>
      <c r="I12" s="47" t="s">
        <v>385</v>
      </c>
      <c r="J12" s="157">
        <f>D12-C12</f>
        <v>-0.03</v>
      </c>
    </row>
    <row r="13" spans="1:10" ht="15" x14ac:dyDescent="0.2">
      <c r="A13" s="114" t="s">
        <v>381</v>
      </c>
      <c r="B13" s="191">
        <v>4.1777300000000002E-3</v>
      </c>
      <c r="C13" s="127">
        <v>0.03</v>
      </c>
      <c r="D13" s="281">
        <v>0.03</v>
      </c>
      <c r="E13" s="94" t="s">
        <v>6</v>
      </c>
      <c r="F13" s="173">
        <f>D13+5%</f>
        <v>0.08</v>
      </c>
      <c r="G13" s="169" t="s">
        <v>396</v>
      </c>
      <c r="H13" s="174">
        <f>IF(D13-5%&lt;0%,0%,D13-5%)</f>
        <v>0</v>
      </c>
      <c r="I13" s="61" t="s">
        <v>383</v>
      </c>
      <c r="J13" s="158">
        <f>D13-C13</f>
        <v>0</v>
      </c>
    </row>
    <row r="14" spans="1:10" ht="15.75" thickBot="1" x14ac:dyDescent="0.25">
      <c r="A14" s="83" t="s">
        <v>386</v>
      </c>
      <c r="B14" s="192">
        <v>9.5783099999999996E-2</v>
      </c>
      <c r="C14" s="129">
        <v>0.09</v>
      </c>
      <c r="D14" s="282">
        <v>0.05</v>
      </c>
      <c r="E14" s="97" t="s">
        <v>6</v>
      </c>
      <c r="F14" s="175">
        <f>D14+5%</f>
        <v>0.1</v>
      </c>
      <c r="G14" s="172" t="s">
        <v>396</v>
      </c>
      <c r="H14" s="176">
        <f>IF(D14-5%&lt;0%,0%,D14-5%)</f>
        <v>0</v>
      </c>
      <c r="I14" s="51" t="s">
        <v>12</v>
      </c>
      <c r="J14" s="158">
        <f>D14-C14</f>
        <v>-3.9999999999999994E-2</v>
      </c>
    </row>
    <row r="15" spans="1:10" ht="15.75" thickBot="1" x14ac:dyDescent="0.25">
      <c r="A15" s="82" t="s">
        <v>3</v>
      </c>
      <c r="B15" s="84">
        <f>SUM(B4:B14)</f>
        <v>1.0836366499999999</v>
      </c>
      <c r="C15" s="103">
        <f>SUM(C4:C14)</f>
        <v>1.07</v>
      </c>
      <c r="D15" s="263">
        <f>SUM(D4:D14)</f>
        <v>1.05</v>
      </c>
      <c r="E15" s="95"/>
      <c r="F15" s="177"/>
      <c r="G15" s="170"/>
      <c r="H15" s="178"/>
      <c r="I15" s="55"/>
      <c r="J15" s="34">
        <f>SUM(J4:J14)</f>
        <v>-2.0000000000000032E-2</v>
      </c>
    </row>
    <row r="16" spans="1:10" ht="15.75" thickBot="1" x14ac:dyDescent="0.25">
      <c r="A16" s="83" t="s">
        <v>4</v>
      </c>
      <c r="B16" s="193">
        <v>0.22610399999999997</v>
      </c>
      <c r="C16" s="104">
        <v>0.22</v>
      </c>
      <c r="D16" s="264">
        <v>0.21</v>
      </c>
      <c r="E16" s="58" t="s">
        <v>5</v>
      </c>
      <c r="F16" s="179">
        <f>D16+6%</f>
        <v>0.27</v>
      </c>
      <c r="G16" s="171" t="s">
        <v>396</v>
      </c>
      <c r="H16" s="180">
        <f>IF(D16-6%&lt;0%,0%,D16-6%)</f>
        <v>0.15</v>
      </c>
      <c r="I16" s="33" t="s">
        <v>471</v>
      </c>
      <c r="J16" s="36">
        <f>D16-C16</f>
        <v>-1.0000000000000009E-2</v>
      </c>
    </row>
    <row r="17" spans="1:10" s="38" customFormat="1" ht="39" customHeight="1" thickBot="1" x14ac:dyDescent="0.25">
      <c r="A17" s="161" t="str">
        <f>'הכשרה - קרן י'!$A$17</f>
        <v>מגבלת עמלת ניהול חיצוני לשנת 2025</v>
      </c>
      <c r="B17" s="356">
        <v>2.5000000000000001E-3</v>
      </c>
      <c r="C17" s="357"/>
      <c r="D17" s="357"/>
      <c r="E17" s="357"/>
      <c r="F17" s="357"/>
      <c r="G17" s="357"/>
      <c r="H17" s="357"/>
      <c r="I17" s="357"/>
      <c r="J17" s="358"/>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I20" sqref="I20"/>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21</v>
      </c>
      <c r="B1" s="5"/>
      <c r="C1" s="5"/>
      <c r="D1" s="5"/>
      <c r="E1" s="6"/>
      <c r="F1" s="6"/>
      <c r="G1" s="6"/>
      <c r="H1" s="5"/>
      <c r="I1" s="6"/>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x14ac:dyDescent="0.2">
      <c r="A4" s="420" t="s">
        <v>389</v>
      </c>
      <c r="B4" s="452">
        <v>0.27351500000000001</v>
      </c>
      <c r="C4" s="423">
        <v>0.23</v>
      </c>
      <c r="D4" s="437">
        <v>0.26</v>
      </c>
      <c r="E4" s="439" t="s">
        <v>5</v>
      </c>
      <c r="F4" s="347">
        <f>D4+6%</f>
        <v>0.32</v>
      </c>
      <c r="G4" s="350" t="s">
        <v>396</v>
      </c>
      <c r="H4" s="359">
        <f>IF(D4-6%&lt;0%,0%,D4-6%)</f>
        <v>0.2</v>
      </c>
      <c r="I4" s="150" t="s">
        <v>472</v>
      </c>
      <c r="J4" s="436">
        <f>D4-C4</f>
        <v>0.03</v>
      </c>
    </row>
    <row r="5" spans="1:10" x14ac:dyDescent="0.2">
      <c r="A5" s="421"/>
      <c r="B5" s="453"/>
      <c r="C5" s="423"/>
      <c r="D5" s="437"/>
      <c r="E5" s="440"/>
      <c r="F5" s="348"/>
      <c r="G5" s="351"/>
      <c r="H5" s="360"/>
      <c r="I5" s="28" t="s">
        <v>473</v>
      </c>
      <c r="J5" s="431"/>
    </row>
    <row r="6" spans="1:10" x14ac:dyDescent="0.2">
      <c r="A6" s="382"/>
      <c r="B6" s="454"/>
      <c r="C6" s="424"/>
      <c r="D6" s="438"/>
      <c r="E6" s="440"/>
      <c r="F6" s="349"/>
      <c r="G6" s="344"/>
      <c r="H6" s="361"/>
      <c r="I6" s="42"/>
      <c r="J6" s="415"/>
    </row>
    <row r="7" spans="1:10" x14ac:dyDescent="0.2">
      <c r="A7" s="410" t="s">
        <v>390</v>
      </c>
      <c r="B7" s="450">
        <v>0.31313868</v>
      </c>
      <c r="C7" s="408">
        <v>0.27</v>
      </c>
      <c r="D7" s="432">
        <v>0.33</v>
      </c>
      <c r="E7" s="441" t="s">
        <v>6</v>
      </c>
      <c r="F7" s="352">
        <f>D7+5%</f>
        <v>0.38</v>
      </c>
      <c r="G7" s="354" t="s">
        <v>396</v>
      </c>
      <c r="H7" s="372">
        <f>IF(D7-5%&lt;0%,0%,D7-5%)</f>
        <v>0.28000000000000003</v>
      </c>
      <c r="I7" s="43" t="s">
        <v>14</v>
      </c>
      <c r="J7" s="414">
        <f>D7-C7</f>
        <v>0.06</v>
      </c>
    </row>
    <row r="8" spans="1:10" x14ac:dyDescent="0.2">
      <c r="A8" s="411"/>
      <c r="B8" s="451"/>
      <c r="C8" s="409"/>
      <c r="D8" s="433"/>
      <c r="E8" s="441"/>
      <c r="F8" s="353"/>
      <c r="G8" s="355"/>
      <c r="H8" s="373"/>
      <c r="I8" s="42" t="s">
        <v>15</v>
      </c>
      <c r="J8" s="415"/>
    </row>
    <row r="9" spans="1:10" ht="14.25" customHeight="1" x14ac:dyDescent="0.2">
      <c r="A9" s="116" t="s">
        <v>388</v>
      </c>
      <c r="B9" s="444">
        <v>0.17825553</v>
      </c>
      <c r="C9" s="408">
        <v>0.19</v>
      </c>
      <c r="D9" s="432">
        <v>0.19</v>
      </c>
      <c r="E9" s="371" t="s">
        <v>5</v>
      </c>
      <c r="F9" s="381">
        <f>D9+6%</f>
        <v>0.25</v>
      </c>
      <c r="G9" s="343" t="s">
        <v>396</v>
      </c>
      <c r="H9" s="379">
        <f>IF(D9-6%&lt;0%,0%,D9-6%)</f>
        <v>0.13</v>
      </c>
      <c r="I9" s="43" t="s">
        <v>16</v>
      </c>
      <c r="J9" s="414">
        <f>D9-C9</f>
        <v>0</v>
      </c>
    </row>
    <row r="10" spans="1:10" x14ac:dyDescent="0.2">
      <c r="A10" s="81"/>
      <c r="B10" s="445"/>
      <c r="C10" s="409"/>
      <c r="D10" s="433"/>
      <c r="E10" s="371"/>
      <c r="F10" s="349"/>
      <c r="G10" s="344"/>
      <c r="H10" s="380"/>
      <c r="I10" s="44" t="s">
        <v>17</v>
      </c>
      <c r="J10" s="415"/>
    </row>
    <row r="11" spans="1:10" ht="15" x14ac:dyDescent="0.2">
      <c r="A11" s="72" t="s">
        <v>11</v>
      </c>
      <c r="B11" s="191">
        <v>4.6486499999999998E-3</v>
      </c>
      <c r="C11" s="126">
        <v>0.04</v>
      </c>
      <c r="D11" s="281">
        <v>0.04</v>
      </c>
      <c r="E11" s="194" t="s">
        <v>6</v>
      </c>
      <c r="F11" s="173">
        <f>D11+5%</f>
        <v>0.09</v>
      </c>
      <c r="G11" s="169" t="s">
        <v>396</v>
      </c>
      <c r="H11" s="174">
        <f>IF(D11-5%&lt;0%,0%,D11-5%)</f>
        <v>0</v>
      </c>
      <c r="I11" s="60" t="s">
        <v>382</v>
      </c>
      <c r="J11" s="157">
        <f t="shared" ref="J11:J16" si="0">D11-C11</f>
        <v>0</v>
      </c>
    </row>
    <row r="12" spans="1:10" s="38" customFormat="1" ht="15" x14ac:dyDescent="0.2">
      <c r="A12" s="114" t="s">
        <v>387</v>
      </c>
      <c r="B12" s="191">
        <v>9.7924289999999997E-2</v>
      </c>
      <c r="C12" s="126">
        <v>0.15</v>
      </c>
      <c r="D12" s="281">
        <v>0.1</v>
      </c>
      <c r="E12" s="194" t="s">
        <v>6</v>
      </c>
      <c r="F12" s="173">
        <f>D12+5%</f>
        <v>0.15000000000000002</v>
      </c>
      <c r="G12" s="169" t="s">
        <v>396</v>
      </c>
      <c r="H12" s="174">
        <f>IF(D12-5%&lt;0%,0%,D12-5%)</f>
        <v>0.05</v>
      </c>
      <c r="I12" s="47" t="s">
        <v>385</v>
      </c>
      <c r="J12" s="157">
        <f t="shared" si="0"/>
        <v>-4.9999999999999989E-2</v>
      </c>
    </row>
    <row r="13" spans="1:10" ht="15" x14ac:dyDescent="0.2">
      <c r="A13" s="114" t="s">
        <v>381</v>
      </c>
      <c r="B13" s="191">
        <v>3.3555200000000003E-3</v>
      </c>
      <c r="C13" s="126">
        <v>0.02</v>
      </c>
      <c r="D13" s="281">
        <v>0.02</v>
      </c>
      <c r="E13" s="194" t="s">
        <v>6</v>
      </c>
      <c r="F13" s="173">
        <f>D13+5%</f>
        <v>7.0000000000000007E-2</v>
      </c>
      <c r="G13" s="169" t="s">
        <v>396</v>
      </c>
      <c r="H13" s="174">
        <f>IF(D13-5%&lt;0%,0%,D13-5%)</f>
        <v>0</v>
      </c>
      <c r="I13" s="61" t="s">
        <v>383</v>
      </c>
      <c r="J13" s="158">
        <f t="shared" si="0"/>
        <v>0</v>
      </c>
    </row>
    <row r="14" spans="1:10" ht="15.75" thickBot="1" x14ac:dyDescent="0.25">
      <c r="A14" s="83" t="s">
        <v>386</v>
      </c>
      <c r="B14" s="192">
        <v>0.13909734000000001</v>
      </c>
      <c r="C14" s="128">
        <v>0.1</v>
      </c>
      <c r="D14" s="282">
        <v>0.06</v>
      </c>
      <c r="E14" s="97" t="s">
        <v>6</v>
      </c>
      <c r="F14" s="175">
        <f>D14+5%</f>
        <v>0.11</v>
      </c>
      <c r="G14" s="172" t="s">
        <v>396</v>
      </c>
      <c r="H14" s="176">
        <f>IF(D14-5%&lt;0%,0%,D14-5%)</f>
        <v>9.999999999999995E-3</v>
      </c>
      <c r="I14" s="51" t="s">
        <v>12</v>
      </c>
      <c r="J14" s="159">
        <f t="shared" si="0"/>
        <v>-4.0000000000000008E-2</v>
      </c>
    </row>
    <row r="15" spans="1:10" ht="15.75" thickBot="1" x14ac:dyDescent="0.25">
      <c r="A15" s="82" t="s">
        <v>3</v>
      </c>
      <c r="B15" s="84">
        <f>SUM(B4:B14)</f>
        <v>1.00993501</v>
      </c>
      <c r="C15" s="89">
        <f>SUM(C4:C14)</f>
        <v>1</v>
      </c>
      <c r="D15" s="263">
        <f>SUM(D4:D14)</f>
        <v>1</v>
      </c>
      <c r="E15" s="35"/>
      <c r="F15" s="177"/>
      <c r="G15" s="170"/>
      <c r="H15" s="178"/>
      <c r="I15" s="55"/>
      <c r="J15" s="160">
        <f t="shared" si="0"/>
        <v>0</v>
      </c>
    </row>
    <row r="16" spans="1:10" ht="15.75" thickBot="1" x14ac:dyDescent="0.25">
      <c r="A16" s="83" t="s">
        <v>4</v>
      </c>
      <c r="B16" s="193">
        <v>0.17641799999999999</v>
      </c>
      <c r="C16" s="101">
        <v>0.19</v>
      </c>
      <c r="D16" s="283">
        <v>0.19</v>
      </c>
      <c r="E16" s="58" t="s">
        <v>5</v>
      </c>
      <c r="F16" s="179">
        <f>D16+6%</f>
        <v>0.25</v>
      </c>
      <c r="G16" s="171" t="s">
        <v>396</v>
      </c>
      <c r="H16" s="180">
        <f>IF(D16-6%&lt;0%,0%,D16-6%)</f>
        <v>0.13</v>
      </c>
      <c r="I16" s="33" t="s">
        <v>471</v>
      </c>
      <c r="J16" s="36">
        <f t="shared" si="0"/>
        <v>0</v>
      </c>
    </row>
    <row r="17" spans="1:10" s="38" customFormat="1" ht="39" customHeight="1" thickBot="1" x14ac:dyDescent="0.25">
      <c r="A17" s="161" t="str">
        <f>'הכשרה - קרן י'!$A$17</f>
        <v>מגבלת עמלת ניהול חיצוני לשנת 2025</v>
      </c>
      <c r="B17" s="356">
        <v>2.5000000000000001E-3</v>
      </c>
      <c r="C17" s="357"/>
      <c r="D17" s="357"/>
      <c r="E17" s="357"/>
      <c r="F17" s="357"/>
      <c r="G17" s="357"/>
      <c r="H17" s="357"/>
      <c r="I17" s="357"/>
      <c r="J17" s="358"/>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I22" sqref="I22"/>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384</v>
      </c>
    </row>
    <row r="2" spans="1:10" ht="13.5" customHeight="1" thickTop="1" thickBot="1" x14ac:dyDescent="0.25"/>
    <row r="3" spans="1:10"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ht="13.5" customHeight="1" x14ac:dyDescent="0.2">
      <c r="A4" s="420" t="s">
        <v>389</v>
      </c>
      <c r="B4" s="452">
        <v>0.233233</v>
      </c>
      <c r="C4" s="423">
        <v>0.26</v>
      </c>
      <c r="D4" s="437">
        <v>0.26</v>
      </c>
      <c r="E4" s="439" t="s">
        <v>5</v>
      </c>
      <c r="F4" s="347">
        <f>D4+6%</f>
        <v>0.32</v>
      </c>
      <c r="G4" s="350" t="s">
        <v>396</v>
      </c>
      <c r="H4" s="359">
        <f>IF(D4-6%&lt;0%,0%,D4-6%)</f>
        <v>0.2</v>
      </c>
      <c r="I4" s="150" t="s">
        <v>472</v>
      </c>
      <c r="J4" s="436">
        <f>D4-C4</f>
        <v>0</v>
      </c>
    </row>
    <row r="5" spans="1:10" ht="13.5" customHeight="1" x14ac:dyDescent="0.2">
      <c r="A5" s="421"/>
      <c r="B5" s="453"/>
      <c r="C5" s="423"/>
      <c r="D5" s="437"/>
      <c r="E5" s="440"/>
      <c r="F5" s="348"/>
      <c r="G5" s="351"/>
      <c r="H5" s="360"/>
      <c r="I5" s="28" t="s">
        <v>473</v>
      </c>
      <c r="J5" s="431"/>
    </row>
    <row r="6" spans="1:10" ht="13.5" customHeight="1" x14ac:dyDescent="0.2">
      <c r="A6" s="382"/>
      <c r="B6" s="454"/>
      <c r="C6" s="424"/>
      <c r="D6" s="438"/>
      <c r="E6" s="440"/>
      <c r="F6" s="349"/>
      <c r="G6" s="344"/>
      <c r="H6" s="361"/>
      <c r="I6" s="42"/>
      <c r="J6" s="415"/>
    </row>
    <row r="7" spans="1:10" ht="13.5" customHeight="1" x14ac:dyDescent="0.2">
      <c r="A7" s="410" t="s">
        <v>390</v>
      </c>
      <c r="B7" s="450">
        <v>0.41786610000000002</v>
      </c>
      <c r="C7" s="408">
        <v>0.37</v>
      </c>
      <c r="D7" s="432">
        <v>0.4</v>
      </c>
      <c r="E7" s="441" t="s">
        <v>6</v>
      </c>
      <c r="F7" s="352">
        <f>D7+5%</f>
        <v>0.45</v>
      </c>
      <c r="G7" s="354" t="s">
        <v>396</v>
      </c>
      <c r="H7" s="372">
        <f>IF(D7-5%&lt;0%,0%,D7-5%)</f>
        <v>0.35000000000000003</v>
      </c>
      <c r="I7" s="43" t="s">
        <v>14</v>
      </c>
      <c r="J7" s="414">
        <f>D7-C7</f>
        <v>3.0000000000000027E-2</v>
      </c>
    </row>
    <row r="8" spans="1:10" ht="13.5" customHeight="1" x14ac:dyDescent="0.2">
      <c r="A8" s="411"/>
      <c r="B8" s="451"/>
      <c r="C8" s="409"/>
      <c r="D8" s="433"/>
      <c r="E8" s="441"/>
      <c r="F8" s="353"/>
      <c r="G8" s="355"/>
      <c r="H8" s="373"/>
      <c r="I8" s="42" t="s">
        <v>15</v>
      </c>
      <c r="J8" s="415"/>
    </row>
    <row r="9" spans="1:10" ht="13.5" customHeight="1" x14ac:dyDescent="0.2">
      <c r="A9" s="116" t="s">
        <v>388</v>
      </c>
      <c r="B9" s="444">
        <v>0.16463567999999998</v>
      </c>
      <c r="C9" s="408">
        <v>0.15</v>
      </c>
      <c r="D9" s="432">
        <v>0.15</v>
      </c>
      <c r="E9" s="371" t="s">
        <v>5</v>
      </c>
      <c r="F9" s="381">
        <f>D9+6%</f>
        <v>0.21</v>
      </c>
      <c r="G9" s="343" t="s">
        <v>396</v>
      </c>
      <c r="H9" s="379">
        <f>IF(D9-6%&lt;0%,0%,D9-6%)</f>
        <v>0.09</v>
      </c>
      <c r="I9" s="43" t="s">
        <v>16</v>
      </c>
      <c r="J9" s="414">
        <f>D9-C9</f>
        <v>0</v>
      </c>
    </row>
    <row r="10" spans="1:10" x14ac:dyDescent="0.2">
      <c r="A10" s="81"/>
      <c r="B10" s="445"/>
      <c r="C10" s="409"/>
      <c r="D10" s="433"/>
      <c r="E10" s="371"/>
      <c r="F10" s="349"/>
      <c r="G10" s="344"/>
      <c r="H10" s="380"/>
      <c r="I10" s="44" t="s">
        <v>17</v>
      </c>
      <c r="J10" s="415"/>
    </row>
    <row r="11" spans="1:10" ht="13.5" customHeight="1" x14ac:dyDescent="0.2">
      <c r="A11" s="72" t="s">
        <v>11</v>
      </c>
      <c r="B11" s="191">
        <v>9.9559999999999996E-3</v>
      </c>
      <c r="C11" s="126">
        <v>0.05</v>
      </c>
      <c r="D11" s="281">
        <v>0.05</v>
      </c>
      <c r="E11" s="194" t="s">
        <v>6</v>
      </c>
      <c r="F11" s="173">
        <f>D11+5%</f>
        <v>0.1</v>
      </c>
      <c r="G11" s="169" t="s">
        <v>396</v>
      </c>
      <c r="H11" s="174">
        <f>IF(D11-5%&lt;0%,0%,D11-5%)</f>
        <v>0</v>
      </c>
      <c r="I11" s="60" t="s">
        <v>382</v>
      </c>
      <c r="J11" s="157">
        <f>D11-C11</f>
        <v>0</v>
      </c>
    </row>
    <row r="12" spans="1:10" s="38" customFormat="1" ht="13.5" customHeight="1" x14ac:dyDescent="0.2">
      <c r="A12" s="114" t="s">
        <v>387</v>
      </c>
      <c r="B12" s="191">
        <v>0.12861918999999999</v>
      </c>
      <c r="C12" s="126">
        <v>0.15</v>
      </c>
      <c r="D12" s="281">
        <v>0.13</v>
      </c>
      <c r="E12" s="194" t="s">
        <v>6</v>
      </c>
      <c r="F12" s="173">
        <f>D12+5%</f>
        <v>0.18</v>
      </c>
      <c r="G12" s="169" t="s">
        <v>396</v>
      </c>
      <c r="H12" s="174">
        <f>IF(D12-5%&lt;0%,0%,D12-5%)</f>
        <v>0.08</v>
      </c>
      <c r="I12" s="47" t="s">
        <v>385</v>
      </c>
      <c r="J12" s="157">
        <f>D12-C12</f>
        <v>-1.999999999999999E-2</v>
      </c>
    </row>
    <row r="13" spans="1:10" ht="13.5" customHeight="1" x14ac:dyDescent="0.2">
      <c r="A13" s="114" t="s">
        <v>381</v>
      </c>
      <c r="B13" s="191">
        <v>6.2228099999999996E-3</v>
      </c>
      <c r="C13" s="126">
        <v>0.02</v>
      </c>
      <c r="D13" s="281">
        <v>0.02</v>
      </c>
      <c r="E13" s="194" t="s">
        <v>6</v>
      </c>
      <c r="F13" s="173">
        <f>D13+5%</f>
        <v>7.0000000000000007E-2</v>
      </c>
      <c r="G13" s="169" t="s">
        <v>396</v>
      </c>
      <c r="H13" s="174">
        <f>IF(D13-5%&lt;0%,0%,D13-5%)</f>
        <v>0</v>
      </c>
      <c r="I13" s="61" t="s">
        <v>383</v>
      </c>
      <c r="J13" s="158">
        <f>D13-C13</f>
        <v>0</v>
      </c>
    </row>
    <row r="14" spans="1:10" ht="13.5" customHeight="1" thickBot="1" x14ac:dyDescent="0.25">
      <c r="A14" s="83" t="s">
        <v>386</v>
      </c>
      <c r="B14" s="192">
        <v>8.484773000000001E-2</v>
      </c>
      <c r="C14" s="128">
        <v>7.0000000000000007E-2</v>
      </c>
      <c r="D14" s="282">
        <v>0.05</v>
      </c>
      <c r="E14" s="97" t="s">
        <v>6</v>
      </c>
      <c r="F14" s="175">
        <f>D14+5%</f>
        <v>0.1</v>
      </c>
      <c r="G14" s="172" t="s">
        <v>396</v>
      </c>
      <c r="H14" s="176">
        <f>IF(D14-5%&lt;0%,0%,D14-5%)</f>
        <v>0</v>
      </c>
      <c r="I14" s="51" t="s">
        <v>12</v>
      </c>
      <c r="J14" s="159">
        <f>D14-C14</f>
        <v>-2.0000000000000004E-2</v>
      </c>
    </row>
    <row r="15" spans="1:10" ht="15.75" thickBot="1" x14ac:dyDescent="0.25">
      <c r="A15" s="82" t="s">
        <v>3</v>
      </c>
      <c r="B15" s="84">
        <f>SUM(B4:B14)</f>
        <v>1.04538051</v>
      </c>
      <c r="C15" s="89">
        <f>SUM(C4:C14)</f>
        <v>1.07</v>
      </c>
      <c r="D15" s="263">
        <f>SUM(D4:D14)</f>
        <v>1.06</v>
      </c>
      <c r="E15" s="35"/>
      <c r="F15" s="177"/>
      <c r="G15" s="170"/>
      <c r="H15" s="178"/>
      <c r="I15" s="55"/>
      <c r="J15" s="34">
        <f>SUM(J4:J14)</f>
        <v>-9.9999999999999672E-3</v>
      </c>
    </row>
    <row r="16" spans="1:10" ht="15.75" thickBot="1" x14ac:dyDescent="0.25">
      <c r="A16" s="83" t="s">
        <v>4</v>
      </c>
      <c r="B16" s="193">
        <v>0.16678699999999999</v>
      </c>
      <c r="C16" s="32">
        <v>0.21</v>
      </c>
      <c r="D16" s="264">
        <v>0.19</v>
      </c>
      <c r="E16" s="58" t="s">
        <v>5</v>
      </c>
      <c r="F16" s="179">
        <f>D16+6%</f>
        <v>0.25</v>
      </c>
      <c r="G16" s="171" t="s">
        <v>396</v>
      </c>
      <c r="H16" s="180">
        <f>IF(D16-6%&lt;0%,0%,D16-6%)</f>
        <v>0.13</v>
      </c>
      <c r="I16" s="33" t="s">
        <v>471</v>
      </c>
      <c r="J16" s="36">
        <f>D16-C16</f>
        <v>-1.999999999999999E-2</v>
      </c>
    </row>
    <row r="17" spans="1:10" s="38" customFormat="1" ht="39" customHeight="1" thickBot="1" x14ac:dyDescent="0.25">
      <c r="A17" s="161" t="str">
        <f>'הכשרה - קרן י'!$A$17</f>
        <v>מגבלת עמלת ניהול חיצוני לשנת 2025</v>
      </c>
      <c r="B17" s="356">
        <v>2.5000000000000001E-3</v>
      </c>
      <c r="C17" s="357"/>
      <c r="D17" s="357"/>
      <c r="E17" s="357"/>
      <c r="F17" s="357"/>
      <c r="G17" s="357"/>
      <c r="H17" s="357"/>
      <c r="I17" s="357"/>
      <c r="J17" s="358"/>
    </row>
    <row r="19" spans="1:10" x14ac:dyDescent="0.2">
      <c r="A19" s="37"/>
    </row>
  </sheetData>
  <mergeCells count="28">
    <mergeCell ref="E7:E8"/>
    <mergeCell ref="H7:H8"/>
    <mergeCell ref="C4:C6"/>
    <mergeCell ref="J4:J6"/>
    <mergeCell ref="J7:J8"/>
    <mergeCell ref="B17:J17"/>
    <mergeCell ref="J9:J10"/>
    <mergeCell ref="D4:D6"/>
    <mergeCell ref="A4:A6"/>
    <mergeCell ref="E4:E6"/>
    <mergeCell ref="B9:B10"/>
    <mergeCell ref="E9:E10"/>
    <mergeCell ref="H9:H10"/>
    <mergeCell ref="C9:C10"/>
    <mergeCell ref="D9:D10"/>
    <mergeCell ref="B4:B6"/>
    <mergeCell ref="A7:A8"/>
    <mergeCell ref="C7:C8"/>
    <mergeCell ref="D7:D8"/>
    <mergeCell ref="B7:B8"/>
    <mergeCell ref="H4:H6"/>
    <mergeCell ref="F9:F10"/>
    <mergeCell ref="G9:G10"/>
    <mergeCell ref="F3:H3"/>
    <mergeCell ref="F4:F6"/>
    <mergeCell ref="G4:G6"/>
    <mergeCell ref="F7:F8"/>
    <mergeCell ref="G7:G8"/>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3"/>
  <sheetViews>
    <sheetView rightToLeft="1" zoomScale="110" zoomScaleNormal="110" workbookViewId="0">
      <selection activeCell="D5" sqref="D5"/>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5.7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414</v>
      </c>
      <c r="B1" s="6"/>
    </row>
    <row r="2" spans="1:10" s="37" customFormat="1" ht="17.25" thickTop="1" thickBot="1" x14ac:dyDescent="0.3">
      <c r="A2" s="217"/>
      <c r="B2" s="218"/>
    </row>
    <row r="3" spans="1:10" s="38" customFormat="1"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s="38" customFormat="1" ht="15" x14ac:dyDescent="0.2">
      <c r="A4" s="210" t="s">
        <v>398</v>
      </c>
      <c r="B4" s="212">
        <v>0.97661823000000003</v>
      </c>
      <c r="C4" s="219">
        <v>0.95</v>
      </c>
      <c r="D4" s="281">
        <v>0.95</v>
      </c>
      <c r="E4" s="211" t="s">
        <v>6</v>
      </c>
      <c r="F4" s="173">
        <f>D4+5%</f>
        <v>1</v>
      </c>
      <c r="G4" s="169" t="s">
        <v>396</v>
      </c>
      <c r="H4" s="174">
        <f>IF(D4-5%&lt;0%,0%,D4-5%)</f>
        <v>0.89999999999999991</v>
      </c>
      <c r="I4" s="61" t="s">
        <v>383</v>
      </c>
      <c r="J4" s="158">
        <f>D4-C4</f>
        <v>0</v>
      </c>
    </row>
    <row r="5" spans="1:10" s="38" customFormat="1" ht="13.5" customHeight="1" thickBot="1" x14ac:dyDescent="0.25">
      <c r="A5" s="83" t="s">
        <v>406</v>
      </c>
      <c r="B5" s="192">
        <v>2.3400000000000001E-2</v>
      </c>
      <c r="C5" s="220">
        <v>0.05</v>
      </c>
      <c r="D5" s="282">
        <v>0.05</v>
      </c>
      <c r="E5" s="215" t="s">
        <v>6</v>
      </c>
      <c r="F5" s="208">
        <f>D5+5%</f>
        <v>0.1</v>
      </c>
      <c r="G5" s="206" t="s">
        <v>396</v>
      </c>
      <c r="H5" s="207">
        <f>IF(D5-5%&lt;0%,0%,D5-5%)</f>
        <v>0</v>
      </c>
      <c r="I5" s="51" t="s">
        <v>12</v>
      </c>
      <c r="J5" s="158">
        <f>D5-C5</f>
        <v>0</v>
      </c>
    </row>
    <row r="6" spans="1:10" s="38" customFormat="1" ht="15.75" thickBot="1" x14ac:dyDescent="0.25">
      <c r="A6" s="82" t="s">
        <v>3</v>
      </c>
      <c r="B6" s="84">
        <f>SUM(B4:B5)</f>
        <v>1.00001823</v>
      </c>
      <c r="C6" s="89">
        <f>SUM(C4:C5)</f>
        <v>1</v>
      </c>
      <c r="D6" s="263">
        <f>SUM(D4:D5)</f>
        <v>1</v>
      </c>
      <c r="E6" s="35"/>
      <c r="F6" s="177"/>
      <c r="G6" s="170"/>
      <c r="H6" s="178"/>
      <c r="I6" s="55"/>
      <c r="J6" s="34">
        <f>SUM(J4:J5)</f>
        <v>0</v>
      </c>
    </row>
    <row r="7" spans="1:10" s="38" customFormat="1" ht="15.75" thickBot="1" x14ac:dyDescent="0.25">
      <c r="A7" s="83" t="s">
        <v>4</v>
      </c>
      <c r="B7" s="193">
        <v>0</v>
      </c>
      <c r="C7" s="32">
        <v>0</v>
      </c>
      <c r="D7" s="264">
        <v>0</v>
      </c>
      <c r="E7" s="455" t="s">
        <v>399</v>
      </c>
      <c r="F7" s="456"/>
      <c r="G7" s="456"/>
      <c r="H7" s="456"/>
      <c r="I7" s="456"/>
      <c r="J7" s="457"/>
    </row>
    <row r="8" spans="1:10" s="38" customFormat="1" ht="39" customHeight="1" thickBot="1" x14ac:dyDescent="0.25">
      <c r="A8" s="161" t="str">
        <f>'הכשרה - קרן י'!$A$17</f>
        <v>מגבלת עמלת ניהול חיצוני לשנת 2025</v>
      </c>
      <c r="B8" s="356">
        <v>1.5E-3</v>
      </c>
      <c r="C8" s="357"/>
      <c r="D8" s="357"/>
      <c r="E8" s="357"/>
      <c r="F8" s="357"/>
      <c r="G8" s="357"/>
      <c r="H8" s="357"/>
      <c r="I8" s="357"/>
      <c r="J8" s="358"/>
    </row>
    <row r="10" spans="1:10" ht="15" x14ac:dyDescent="0.25">
      <c r="A10" s="221" t="s">
        <v>411</v>
      </c>
    </row>
    <row r="11" spans="1:10" ht="15" x14ac:dyDescent="0.25">
      <c r="A11" s="221" t="s">
        <v>412</v>
      </c>
    </row>
    <row r="12" spans="1:10" ht="15" x14ac:dyDescent="0.25">
      <c r="A12" s="222" t="s">
        <v>413</v>
      </c>
    </row>
    <row r="13" spans="1:10" ht="15" x14ac:dyDescent="0.25">
      <c r="A13" s="222"/>
    </row>
  </sheetData>
  <mergeCells count="3">
    <mergeCell ref="B8:J8"/>
    <mergeCell ref="E7:J7"/>
    <mergeCell ref="F3:H3"/>
  </mergeCells>
  <conditionalFormatting sqref="J4:J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8" sqref="A28"/>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394</v>
      </c>
      <c r="B1" s="38"/>
      <c r="C1" s="38"/>
      <c r="D1" s="38"/>
    </row>
    <row r="2" spans="1:10" ht="17.25"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s="165" customFormat="1" x14ac:dyDescent="0.2">
      <c r="A4" s="420" t="s">
        <v>400</v>
      </c>
      <c r="B4" s="452">
        <v>0.30010799999999999</v>
      </c>
      <c r="C4" s="461">
        <v>0.3</v>
      </c>
      <c r="D4" s="437">
        <v>0.3</v>
      </c>
      <c r="E4" s="439" t="s">
        <v>5</v>
      </c>
      <c r="F4" s="347">
        <f>D4+6%</f>
        <v>0.36</v>
      </c>
      <c r="G4" s="350" t="s">
        <v>396</v>
      </c>
      <c r="H4" s="359">
        <f>IF(D4-6%&lt;0%,0%,D4-6%)</f>
        <v>0.24</v>
      </c>
      <c r="I4" s="150" t="s">
        <v>472</v>
      </c>
      <c r="J4" s="436">
        <f>D4-C4</f>
        <v>0</v>
      </c>
    </row>
    <row r="5" spans="1:10" s="165" customFormat="1" x14ac:dyDescent="0.2">
      <c r="A5" s="421"/>
      <c r="B5" s="453"/>
      <c r="C5" s="423"/>
      <c r="D5" s="437"/>
      <c r="E5" s="440"/>
      <c r="F5" s="348"/>
      <c r="G5" s="351"/>
      <c r="H5" s="360"/>
      <c r="I5" s="28" t="s">
        <v>473</v>
      </c>
      <c r="J5" s="431"/>
    </row>
    <row r="6" spans="1:10" s="165" customFormat="1" x14ac:dyDescent="0.2">
      <c r="A6" s="382"/>
      <c r="B6" s="454"/>
      <c r="C6" s="424"/>
      <c r="D6" s="438"/>
      <c r="E6" s="440"/>
      <c r="F6" s="349"/>
      <c r="G6" s="344"/>
      <c r="H6" s="361"/>
      <c r="I6" s="42"/>
      <c r="J6" s="415"/>
    </row>
    <row r="7" spans="1:10" s="165" customFormat="1" x14ac:dyDescent="0.2">
      <c r="A7" s="410" t="s">
        <v>401</v>
      </c>
      <c r="B7" s="450">
        <v>0.37669331</v>
      </c>
      <c r="C7" s="459">
        <v>0.35</v>
      </c>
      <c r="D7" s="460">
        <v>0.35</v>
      </c>
      <c r="E7" s="441" t="s">
        <v>6</v>
      </c>
      <c r="F7" s="352">
        <f>D7+5%</f>
        <v>0.39999999999999997</v>
      </c>
      <c r="G7" s="354" t="s">
        <v>396</v>
      </c>
      <c r="H7" s="372">
        <f>IF(D7-5%&lt;0%,0%,D7-5%)</f>
        <v>0.3</v>
      </c>
      <c r="I7" s="214" t="s">
        <v>14</v>
      </c>
      <c r="J7" s="458">
        <f>D7-C7</f>
        <v>0</v>
      </c>
    </row>
    <row r="8" spans="1:10" s="165" customFormat="1" x14ac:dyDescent="0.2">
      <c r="A8" s="411"/>
      <c r="B8" s="451"/>
      <c r="C8" s="409"/>
      <c r="D8" s="433"/>
      <c r="E8" s="441"/>
      <c r="F8" s="353"/>
      <c r="G8" s="355"/>
      <c r="H8" s="373"/>
      <c r="I8" s="42" t="s">
        <v>15</v>
      </c>
      <c r="J8" s="415"/>
    </row>
    <row r="9" spans="1:10" s="165" customFormat="1" x14ac:dyDescent="0.2">
      <c r="A9" s="125" t="s">
        <v>402</v>
      </c>
      <c r="B9" s="444">
        <v>0.2421179</v>
      </c>
      <c r="C9" s="459">
        <v>0.25</v>
      </c>
      <c r="D9" s="460">
        <v>0.25</v>
      </c>
      <c r="E9" s="371" t="s">
        <v>5</v>
      </c>
      <c r="F9" s="381">
        <f>D9+6%</f>
        <v>0.31</v>
      </c>
      <c r="G9" s="343" t="s">
        <v>396</v>
      </c>
      <c r="H9" s="379">
        <f>IF(D9-6%&lt;0%,0%,D9-6%)</f>
        <v>0.19</v>
      </c>
      <c r="I9" s="214" t="s">
        <v>16</v>
      </c>
      <c r="J9" s="458">
        <f>D9-C9</f>
        <v>0</v>
      </c>
    </row>
    <row r="10" spans="1:10" s="165" customFormat="1" x14ac:dyDescent="0.2">
      <c r="A10" s="209"/>
      <c r="B10" s="445"/>
      <c r="C10" s="409"/>
      <c r="D10" s="433"/>
      <c r="E10" s="371"/>
      <c r="F10" s="349"/>
      <c r="G10" s="344"/>
      <c r="H10" s="380"/>
      <c r="I10" s="44" t="s">
        <v>17</v>
      </c>
      <c r="J10" s="415"/>
    </row>
    <row r="11" spans="1:10" ht="15.75" thickBot="1" x14ac:dyDescent="0.25">
      <c r="A11" s="83" t="s">
        <v>386</v>
      </c>
      <c r="B11" s="192">
        <v>8.1079469999999987E-2</v>
      </c>
      <c r="C11" s="220">
        <v>0.1</v>
      </c>
      <c r="D11" s="282">
        <v>0.1</v>
      </c>
      <c r="E11" s="215" t="s">
        <v>6</v>
      </c>
      <c r="F11" s="208">
        <f>D11+5%</f>
        <v>0.15000000000000002</v>
      </c>
      <c r="G11" s="206" t="s">
        <v>396</v>
      </c>
      <c r="H11" s="207">
        <f>IF(D11-5%&lt;0%,0%,D11-5%)</f>
        <v>0.05</v>
      </c>
      <c r="I11" s="51" t="s">
        <v>12</v>
      </c>
      <c r="J11" s="216">
        <f>D11-C11</f>
        <v>0</v>
      </c>
    </row>
    <row r="12" spans="1:10" ht="15.75" thickBot="1" x14ac:dyDescent="0.25">
      <c r="A12" s="82" t="s">
        <v>3</v>
      </c>
      <c r="B12" s="84">
        <f>SUM(B4:B11)</f>
        <v>0.99999868000000003</v>
      </c>
      <c r="C12" s="89">
        <f>SUM(C4:C11)</f>
        <v>0.99999999999999989</v>
      </c>
      <c r="D12" s="263">
        <f>SUM(D4:D11)</f>
        <v>0.99999999999999989</v>
      </c>
      <c r="E12" s="35"/>
      <c r="F12" s="177"/>
      <c r="G12" s="170"/>
      <c r="H12" s="178"/>
      <c r="I12" s="55"/>
      <c r="J12" s="34">
        <f>SUM(J4:J11)</f>
        <v>0</v>
      </c>
    </row>
    <row r="13" spans="1:10" ht="15.75" thickBot="1" x14ac:dyDescent="0.25">
      <c r="A13" s="83" t="s">
        <v>4</v>
      </c>
      <c r="B13" s="193">
        <v>0.15218699999999999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356">
        <v>1.5E-3</v>
      </c>
      <c r="C14" s="357"/>
      <c r="D14" s="357"/>
      <c r="E14" s="357"/>
      <c r="F14" s="357"/>
      <c r="G14" s="357"/>
      <c r="H14" s="357"/>
      <c r="I14" s="357"/>
      <c r="J14" s="358"/>
    </row>
    <row r="15" spans="1:10" ht="16.5" x14ac:dyDescent="0.25">
      <c r="A15" s="164"/>
      <c r="B15" s="37"/>
      <c r="C15" s="37"/>
      <c r="D15" s="37"/>
      <c r="E15" s="165"/>
      <c r="F15" s="165"/>
      <c r="G15" s="165"/>
      <c r="H15" s="165"/>
      <c r="I15" s="165"/>
      <c r="J15" s="165"/>
    </row>
    <row r="16" spans="1:10" ht="15" x14ac:dyDescent="0.25">
      <c r="A16" s="244" t="s">
        <v>434</v>
      </c>
    </row>
    <row r="17" spans="1:1" ht="15" x14ac:dyDescent="0.25">
      <c r="A17" s="244" t="s">
        <v>435</v>
      </c>
    </row>
    <row r="18" spans="1:1" ht="15" x14ac:dyDescent="0.25">
      <c r="A18" s="244" t="s">
        <v>430</v>
      </c>
    </row>
    <row r="19" spans="1:1" ht="15" x14ac:dyDescent="0.25">
      <c r="A19" s="244" t="s">
        <v>431</v>
      </c>
    </row>
    <row r="20" spans="1:1" ht="15" x14ac:dyDescent="0.25">
      <c r="A20" s="244" t="s">
        <v>432</v>
      </c>
    </row>
    <row r="21" spans="1:1" ht="15" x14ac:dyDescent="0.25">
      <c r="A21" s="244" t="s">
        <v>436</v>
      </c>
    </row>
    <row r="22" spans="1:1" ht="15" x14ac:dyDescent="0.25">
      <c r="A22" s="244" t="s">
        <v>437</v>
      </c>
    </row>
    <row r="23" spans="1:1" ht="15" x14ac:dyDescent="0.25">
      <c r="A23" s="244" t="s">
        <v>438</v>
      </c>
    </row>
    <row r="24" spans="1:1" ht="15" x14ac:dyDescent="0.25">
      <c r="A24" s="244" t="s">
        <v>439</v>
      </c>
    </row>
    <row r="25" spans="1:1" ht="15" x14ac:dyDescent="0.25">
      <c r="A25" s="244" t="s">
        <v>440</v>
      </c>
    </row>
    <row r="26" spans="1:1" ht="15" x14ac:dyDescent="0.25">
      <c r="A26" s="244" t="s">
        <v>441</v>
      </c>
    </row>
    <row r="27" spans="1:1" ht="15" x14ac:dyDescent="0.25">
      <c r="A27" s="244" t="s">
        <v>433</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4:J14"/>
    <mergeCell ref="J4:J6"/>
    <mergeCell ref="F7:F8"/>
    <mergeCell ref="G7:G8"/>
    <mergeCell ref="H7:H8"/>
    <mergeCell ref="J7:J8"/>
    <mergeCell ref="B9:B10"/>
    <mergeCell ref="C9:C10"/>
    <mergeCell ref="D9:D10"/>
    <mergeCell ref="E9:E10"/>
    <mergeCell ref="F9:F10"/>
  </mergeCells>
  <conditionalFormatting sqref="J4:J13">
    <cfRule type="cellIs" dxfId="37" priority="1" operator="lessThan">
      <formula>0</formula>
    </cfRule>
    <cfRule type="cellIs" dxfId="36"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rightToLeft="1" zoomScaleNormal="100" workbookViewId="0">
      <selection activeCell="A23" sqref="A23"/>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395</v>
      </c>
      <c r="B1" s="38"/>
      <c r="C1" s="38"/>
      <c r="D1" s="38"/>
    </row>
    <row r="2" spans="1:10" s="165" customFormat="1" ht="18" thickTop="1" thickBot="1" x14ac:dyDescent="0.3">
      <c r="A2" s="164"/>
      <c r="B2" s="37"/>
      <c r="C2" s="37"/>
      <c r="D2" s="37"/>
    </row>
    <row r="3" spans="1:10" s="165" customFormat="1" ht="45.75" customHeight="1" thickBot="1" x14ac:dyDescent="0.25">
      <c r="A3" s="108" t="s">
        <v>0</v>
      </c>
      <c r="B3" s="91" t="str">
        <f>'[1]הכשרה - קרן י'!$B$3</f>
        <v>שיעור חשיפה ליום 13/12/2024</v>
      </c>
      <c r="C3" s="40" t="str">
        <f>'[1]הכשרה - קרן י'!$C$3</f>
        <v>מדיניות השקעות 2024</v>
      </c>
      <c r="D3" s="39" t="str">
        <f>'[1]הכשרה - קרן י'!$D$3</f>
        <v>שיעור חשיפה מומלץ לשנת 2025</v>
      </c>
      <c r="E3" s="93" t="s">
        <v>1</v>
      </c>
      <c r="F3" s="345" t="s">
        <v>380</v>
      </c>
      <c r="G3" s="345"/>
      <c r="H3" s="346"/>
      <c r="I3" s="110" t="s">
        <v>2</v>
      </c>
      <c r="J3" s="106" t="str">
        <f>'[1]הכשרה - קרן י'!$J$3</f>
        <v>שינוי ממדיניות 2024</v>
      </c>
    </row>
    <row r="4" spans="1:10" s="165" customFormat="1" x14ac:dyDescent="0.2">
      <c r="A4" s="420" t="s">
        <v>400</v>
      </c>
      <c r="B4" s="452">
        <v>0.41965000000000002</v>
      </c>
      <c r="C4" s="461">
        <v>0.42</v>
      </c>
      <c r="D4" s="437">
        <v>0.42</v>
      </c>
      <c r="E4" s="439" t="s">
        <v>5</v>
      </c>
      <c r="F4" s="347">
        <f>D4+6%</f>
        <v>0.48</v>
      </c>
      <c r="G4" s="350" t="s">
        <v>396</v>
      </c>
      <c r="H4" s="359">
        <f>IF(D4-6%&lt;0%,0%,D4-6%)</f>
        <v>0.36</v>
      </c>
      <c r="I4" s="150" t="s">
        <v>472</v>
      </c>
      <c r="J4" s="436">
        <f>D4-C4</f>
        <v>0</v>
      </c>
    </row>
    <row r="5" spans="1:10" s="165" customFormat="1" x14ac:dyDescent="0.2">
      <c r="A5" s="421"/>
      <c r="B5" s="453"/>
      <c r="C5" s="423"/>
      <c r="D5" s="437"/>
      <c r="E5" s="440"/>
      <c r="F5" s="348"/>
      <c r="G5" s="351"/>
      <c r="H5" s="360"/>
      <c r="I5" s="28" t="s">
        <v>473</v>
      </c>
      <c r="J5" s="431"/>
    </row>
    <row r="6" spans="1:10" s="165" customFormat="1" x14ac:dyDescent="0.2">
      <c r="A6" s="382"/>
      <c r="B6" s="454"/>
      <c r="C6" s="424"/>
      <c r="D6" s="438"/>
      <c r="E6" s="440"/>
      <c r="F6" s="349"/>
      <c r="G6" s="344"/>
      <c r="H6" s="361"/>
      <c r="I6" s="42"/>
      <c r="J6" s="415"/>
    </row>
    <row r="7" spans="1:10" s="165" customFormat="1" x14ac:dyDescent="0.2">
      <c r="A7" s="410" t="s">
        <v>401</v>
      </c>
      <c r="B7" s="450">
        <v>6.8409380000000006E-2</v>
      </c>
      <c r="C7" s="459">
        <v>0.1</v>
      </c>
      <c r="D7" s="460">
        <v>0.1</v>
      </c>
      <c r="E7" s="441" t="s">
        <v>6</v>
      </c>
      <c r="F7" s="352">
        <f>D7+5%</f>
        <v>0.15000000000000002</v>
      </c>
      <c r="G7" s="354" t="s">
        <v>396</v>
      </c>
      <c r="H7" s="372">
        <f>IF(D7-5%&lt;0%,0%,D7-5%)</f>
        <v>0.05</v>
      </c>
      <c r="I7" s="214" t="s">
        <v>14</v>
      </c>
      <c r="J7" s="458">
        <f>D7-C7</f>
        <v>0</v>
      </c>
    </row>
    <row r="8" spans="1:10" s="165" customFormat="1" x14ac:dyDescent="0.2">
      <c r="A8" s="411"/>
      <c r="B8" s="451"/>
      <c r="C8" s="409"/>
      <c r="D8" s="433"/>
      <c r="E8" s="441"/>
      <c r="F8" s="353"/>
      <c r="G8" s="355"/>
      <c r="H8" s="373"/>
      <c r="I8" s="42" t="s">
        <v>15</v>
      </c>
      <c r="J8" s="415"/>
    </row>
    <row r="9" spans="1:10" s="165" customFormat="1" x14ac:dyDescent="0.2">
      <c r="A9" s="125" t="s">
        <v>402</v>
      </c>
      <c r="B9" s="444">
        <v>0.37256991999999994</v>
      </c>
      <c r="C9" s="459">
        <v>0.4</v>
      </c>
      <c r="D9" s="460">
        <v>0.4</v>
      </c>
      <c r="E9" s="371" t="s">
        <v>5</v>
      </c>
      <c r="F9" s="381">
        <f>D9+6%</f>
        <v>0.46</v>
      </c>
      <c r="G9" s="343" t="s">
        <v>396</v>
      </c>
      <c r="H9" s="379">
        <f>IF(D9-6%&lt;0%,0%,D9-6%)</f>
        <v>0.34</v>
      </c>
      <c r="I9" s="214" t="s">
        <v>16</v>
      </c>
      <c r="J9" s="458">
        <f>D9-C9</f>
        <v>0</v>
      </c>
    </row>
    <row r="10" spans="1:10" s="165" customFormat="1" x14ac:dyDescent="0.2">
      <c r="A10" s="224"/>
      <c r="B10" s="445"/>
      <c r="C10" s="409"/>
      <c r="D10" s="433"/>
      <c r="E10" s="371"/>
      <c r="F10" s="349"/>
      <c r="G10" s="344"/>
      <c r="H10" s="380"/>
      <c r="I10" s="44" t="s">
        <v>17</v>
      </c>
      <c r="J10" s="415"/>
    </row>
    <row r="11" spans="1:10" ht="15.75" thickBot="1" x14ac:dyDescent="0.25">
      <c r="A11" s="83" t="s">
        <v>386</v>
      </c>
      <c r="B11" s="192">
        <v>0.13937009</v>
      </c>
      <c r="C11" s="220">
        <v>0.18</v>
      </c>
      <c r="D11" s="282">
        <v>0.18</v>
      </c>
      <c r="E11" s="215" t="s">
        <v>6</v>
      </c>
      <c r="F11" s="333">
        <f>D11+5%</f>
        <v>0.22999999999999998</v>
      </c>
      <c r="G11" s="334" t="s">
        <v>396</v>
      </c>
      <c r="H11" s="332">
        <f>IF(D11-5%&lt;0%,0%,D11-5%)</f>
        <v>0.13</v>
      </c>
      <c r="I11" s="51" t="s">
        <v>12</v>
      </c>
      <c r="J11" s="335">
        <f>D11-C11</f>
        <v>0</v>
      </c>
    </row>
    <row r="12" spans="1:10" ht="15.75" thickBot="1" x14ac:dyDescent="0.25">
      <c r="A12" s="82" t="s">
        <v>3</v>
      </c>
      <c r="B12" s="84">
        <f>SUM(B4:B11)</f>
        <v>0.99999939000000004</v>
      </c>
      <c r="C12" s="89">
        <f>SUM(C4:C11)</f>
        <v>1.1000000000000001</v>
      </c>
      <c r="D12" s="263">
        <f>SUM(D4:D11)</f>
        <v>1.1000000000000001</v>
      </c>
      <c r="E12" s="35"/>
      <c r="F12" s="177"/>
      <c r="G12" s="170"/>
      <c r="H12" s="178"/>
      <c r="I12" s="55"/>
      <c r="J12" s="34">
        <f>SUM(J4:J11)</f>
        <v>0</v>
      </c>
    </row>
    <row r="13" spans="1:10" ht="15.75" thickBot="1" x14ac:dyDescent="0.25">
      <c r="A13" s="83" t="s">
        <v>4</v>
      </c>
      <c r="B13" s="193">
        <v>0.13276099999999999</v>
      </c>
      <c r="C13" s="32">
        <v>0.15</v>
      </c>
      <c r="D13" s="264">
        <v>0.15</v>
      </c>
      <c r="E13" s="58" t="s">
        <v>5</v>
      </c>
      <c r="F13" s="179">
        <f>D13+6%</f>
        <v>0.21</v>
      </c>
      <c r="G13" s="233" t="s">
        <v>396</v>
      </c>
      <c r="H13" s="180">
        <f>IF(D13-6%&lt;0%,0%,D13-6%)</f>
        <v>0.09</v>
      </c>
      <c r="I13" s="33" t="s">
        <v>471</v>
      </c>
      <c r="J13" s="36">
        <f>D13-C13</f>
        <v>0</v>
      </c>
    </row>
    <row r="14" spans="1:10" ht="15" thickBot="1" x14ac:dyDescent="0.25">
      <c r="A14" s="161" t="str">
        <f>'[1]הכשרה - קרן י'!$A$17</f>
        <v>מגבלת עמלת ניהול חיצוני לשנת 2025</v>
      </c>
      <c r="B14" s="356">
        <v>1.5E-3</v>
      </c>
      <c r="C14" s="357"/>
      <c r="D14" s="357"/>
      <c r="E14" s="357"/>
      <c r="F14" s="357"/>
      <c r="G14" s="357"/>
      <c r="H14" s="357"/>
      <c r="I14" s="357"/>
      <c r="J14" s="358"/>
    </row>
    <row r="15" spans="1:10" s="165" customFormat="1" ht="16.5" x14ac:dyDescent="0.25">
      <c r="A15" s="164"/>
      <c r="B15" s="37"/>
      <c r="C15" s="37"/>
      <c r="D15" s="37"/>
    </row>
    <row r="16" spans="1:10" ht="15" x14ac:dyDescent="0.25">
      <c r="A16" s="107" t="s">
        <v>403</v>
      </c>
    </row>
    <row r="17" spans="1:1" ht="15" x14ac:dyDescent="0.25">
      <c r="A17" s="107" t="s">
        <v>428</v>
      </c>
    </row>
    <row r="18" spans="1:1" ht="15" x14ac:dyDescent="0.25">
      <c r="A18" s="107" t="s">
        <v>429</v>
      </c>
    </row>
    <row r="21" spans="1:1" ht="45" customHeight="1" x14ac:dyDescent="0.2"/>
  </sheetData>
  <mergeCells count="28">
    <mergeCell ref="J4:J6"/>
    <mergeCell ref="F3:H3"/>
    <mergeCell ref="A4:A6"/>
    <mergeCell ref="B4:B6"/>
    <mergeCell ref="C4:C6"/>
    <mergeCell ref="D4:D6"/>
    <mergeCell ref="E4:E6"/>
    <mergeCell ref="F4:F6"/>
    <mergeCell ref="G4:G6"/>
    <mergeCell ref="H4:H6"/>
    <mergeCell ref="A7:A8"/>
    <mergeCell ref="B7:B8"/>
    <mergeCell ref="C7:C8"/>
    <mergeCell ref="D7:D8"/>
    <mergeCell ref="E7:E8"/>
    <mergeCell ref="F7:F8"/>
    <mergeCell ref="G7:G8"/>
    <mergeCell ref="H7:H8"/>
    <mergeCell ref="J7:J8"/>
    <mergeCell ref="F9:F10"/>
    <mergeCell ref="G9:G10"/>
    <mergeCell ref="H9:H10"/>
    <mergeCell ref="J9:J10"/>
    <mergeCell ref="B14:J14"/>
    <mergeCell ref="B9:B10"/>
    <mergeCell ref="C9:C10"/>
    <mergeCell ref="D9:D10"/>
    <mergeCell ref="E9:E10"/>
  </mergeCells>
  <conditionalFormatting sqref="J4:J6 J9:J13">
    <cfRule type="cellIs" dxfId="3" priority="3" operator="lessThan">
      <formula>0</formula>
    </cfRule>
    <cfRule type="cellIs" dxfId="2" priority="4" operator="greaterThan">
      <formula>0</formula>
    </cfRule>
  </conditionalFormatting>
  <conditionalFormatting sqref="J7:J8">
    <cfRule type="cellIs" dxfId="1" priority="1" operator="lessThan">
      <formula>0</formula>
    </cfRule>
    <cfRule type="cellIs" dxfId="0"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I25" sqref="I25"/>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12" t="s">
        <v>421</v>
      </c>
      <c r="B1" s="38"/>
      <c r="C1" s="38"/>
      <c r="D1" s="38"/>
    </row>
    <row r="2" spans="1:10" ht="16.5" customHeight="1"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s="165" customFormat="1" x14ac:dyDescent="0.2">
      <c r="A4" s="420" t="s">
        <v>408</v>
      </c>
      <c r="B4" s="452">
        <v>3.6053000000000002E-2</v>
      </c>
      <c r="C4" s="461">
        <v>0.01</v>
      </c>
      <c r="D4" s="437">
        <v>0.01</v>
      </c>
      <c r="E4" s="439" t="s">
        <v>5</v>
      </c>
      <c r="F4" s="347">
        <f>D4+6%</f>
        <v>6.9999999999999993E-2</v>
      </c>
      <c r="G4" s="350" t="s">
        <v>396</v>
      </c>
      <c r="H4" s="359">
        <f>IF(D4-6%&lt;0%,0%,D4-6%)</f>
        <v>0</v>
      </c>
      <c r="I4" s="150" t="s">
        <v>472</v>
      </c>
      <c r="J4" s="436">
        <f>D4-C4</f>
        <v>0</v>
      </c>
    </row>
    <row r="5" spans="1:10" s="165" customFormat="1" x14ac:dyDescent="0.2">
      <c r="A5" s="421"/>
      <c r="B5" s="453"/>
      <c r="C5" s="423"/>
      <c r="D5" s="437"/>
      <c r="E5" s="440"/>
      <c r="F5" s="348"/>
      <c r="G5" s="351"/>
      <c r="H5" s="360"/>
      <c r="I5" s="28" t="s">
        <v>473</v>
      </c>
      <c r="J5" s="431"/>
    </row>
    <row r="6" spans="1:10" s="165" customFormat="1" x14ac:dyDescent="0.2">
      <c r="A6" s="382"/>
      <c r="B6" s="454"/>
      <c r="C6" s="424"/>
      <c r="D6" s="438"/>
      <c r="E6" s="440"/>
      <c r="F6" s="349"/>
      <c r="G6" s="344"/>
      <c r="H6" s="361"/>
      <c r="I6" s="42"/>
      <c r="J6" s="415"/>
    </row>
    <row r="7" spans="1:10" s="165" customFormat="1" x14ac:dyDescent="0.2">
      <c r="A7" s="410" t="s">
        <v>409</v>
      </c>
      <c r="B7" s="450">
        <v>0.23970900000000001</v>
      </c>
      <c r="C7" s="459">
        <v>0.25</v>
      </c>
      <c r="D7" s="460">
        <v>0.25</v>
      </c>
      <c r="E7" s="441" t="s">
        <v>6</v>
      </c>
      <c r="F7" s="352">
        <f>D7+5%</f>
        <v>0.3</v>
      </c>
      <c r="G7" s="354" t="s">
        <v>396</v>
      </c>
      <c r="H7" s="372">
        <f>IF(D7-5%&lt;0%,0%,D7-5%)</f>
        <v>0.2</v>
      </c>
      <c r="I7" s="214" t="s">
        <v>14</v>
      </c>
      <c r="J7" s="458">
        <f>D7-C7</f>
        <v>0</v>
      </c>
    </row>
    <row r="8" spans="1:10" s="165" customFormat="1" x14ac:dyDescent="0.2">
      <c r="A8" s="411"/>
      <c r="B8" s="451"/>
      <c r="C8" s="409"/>
      <c r="D8" s="433"/>
      <c r="E8" s="441"/>
      <c r="F8" s="353"/>
      <c r="G8" s="355"/>
      <c r="H8" s="373"/>
      <c r="I8" s="42" t="s">
        <v>15</v>
      </c>
      <c r="J8" s="415"/>
    </row>
    <row r="9" spans="1:10" s="165" customFormat="1" x14ac:dyDescent="0.2">
      <c r="A9" s="125" t="s">
        <v>410</v>
      </c>
      <c r="B9" s="444">
        <v>0.20163055999999999</v>
      </c>
      <c r="C9" s="459">
        <v>0.25</v>
      </c>
      <c r="D9" s="460">
        <v>0.25</v>
      </c>
      <c r="E9" s="371" t="s">
        <v>5</v>
      </c>
      <c r="F9" s="381">
        <f>D9+6%</f>
        <v>0.31</v>
      </c>
      <c r="G9" s="343" t="s">
        <v>396</v>
      </c>
      <c r="H9" s="379">
        <f>IF(D9-6%&lt;0%,0%,D9-6%)</f>
        <v>0.19</v>
      </c>
      <c r="I9" s="214" t="s">
        <v>16</v>
      </c>
      <c r="J9" s="458">
        <f>D9-C9</f>
        <v>0</v>
      </c>
    </row>
    <row r="10" spans="1:10" s="165" customFormat="1" x14ac:dyDescent="0.2">
      <c r="A10" s="81"/>
      <c r="B10" s="445"/>
      <c r="C10" s="409"/>
      <c r="D10" s="433"/>
      <c r="E10" s="371"/>
      <c r="F10" s="349"/>
      <c r="G10" s="344"/>
      <c r="H10" s="380"/>
      <c r="I10" s="44" t="s">
        <v>17</v>
      </c>
      <c r="J10" s="415"/>
    </row>
    <row r="11" spans="1:10" ht="15" x14ac:dyDescent="0.2">
      <c r="A11" s="210" t="s">
        <v>407</v>
      </c>
      <c r="B11" s="212">
        <v>0.51749785000000004</v>
      </c>
      <c r="C11" s="219">
        <v>0.55000000000000004</v>
      </c>
      <c r="D11" s="281">
        <v>0.55000000000000004</v>
      </c>
      <c r="E11" s="211" t="s">
        <v>6</v>
      </c>
      <c r="F11" s="173">
        <f>D11+5%</f>
        <v>0.60000000000000009</v>
      </c>
      <c r="G11" s="169" t="s">
        <v>396</v>
      </c>
      <c r="H11" s="174">
        <f>IF(D11-5%&lt;0%,0%,D11-5%)</f>
        <v>0.5</v>
      </c>
      <c r="I11" s="47" t="s">
        <v>385</v>
      </c>
      <c r="J11" s="223">
        <f>D11-C11</f>
        <v>0</v>
      </c>
    </row>
    <row r="12" spans="1:10" ht="15" x14ac:dyDescent="0.2">
      <c r="A12" s="266" t="s">
        <v>404</v>
      </c>
      <c r="B12" s="270">
        <v>2.2653600000000001E-3</v>
      </c>
      <c r="C12" s="219">
        <v>0</v>
      </c>
      <c r="D12" s="281">
        <v>0.01</v>
      </c>
      <c r="E12" s="269" t="s">
        <v>6</v>
      </c>
      <c r="F12" s="173">
        <f>D12+5%</f>
        <v>6.0000000000000005E-2</v>
      </c>
      <c r="G12" s="169" t="s">
        <v>396</v>
      </c>
      <c r="H12" s="174">
        <f>IF(D12-5%&lt;0%,0%,D12-5%)</f>
        <v>0</v>
      </c>
      <c r="I12" s="61" t="s">
        <v>383</v>
      </c>
      <c r="J12" s="158">
        <f t="shared" ref="J12" si="0">D12-C12</f>
        <v>0.01</v>
      </c>
    </row>
    <row r="13" spans="1:10" ht="15.75" thickBot="1" x14ac:dyDescent="0.25">
      <c r="A13" s="83" t="s">
        <v>405</v>
      </c>
      <c r="B13" s="192">
        <f>1.226761%+2.087979%</f>
        <v>3.31474E-2</v>
      </c>
      <c r="C13" s="220">
        <v>0.05</v>
      </c>
      <c r="D13" s="282">
        <v>0.05</v>
      </c>
      <c r="E13" s="215" t="s">
        <v>6</v>
      </c>
      <c r="F13" s="208">
        <f>D13+5%</f>
        <v>0.1</v>
      </c>
      <c r="G13" s="206" t="s">
        <v>396</v>
      </c>
      <c r="H13" s="207">
        <f>IF(D13-5%&lt;0%,0%,D13-5%)</f>
        <v>0</v>
      </c>
      <c r="I13" s="51" t="s">
        <v>12</v>
      </c>
      <c r="J13" s="216">
        <f>D13-C13</f>
        <v>0</v>
      </c>
    </row>
    <row r="14" spans="1:10" ht="15.75" thickBot="1" x14ac:dyDescent="0.25">
      <c r="A14" s="82" t="s">
        <v>3</v>
      </c>
      <c r="B14" s="84">
        <f>SUM(B4:B13)</f>
        <v>1.03030317</v>
      </c>
      <c r="C14" s="89">
        <f>SUM(C4:C13)</f>
        <v>1.1100000000000001</v>
      </c>
      <c r="D14" s="263">
        <f>SUM(D4:D13)</f>
        <v>1.1200000000000001</v>
      </c>
      <c r="E14" s="35"/>
      <c r="F14" s="177"/>
      <c r="G14" s="170"/>
      <c r="H14" s="178"/>
      <c r="I14" s="55"/>
      <c r="J14" s="34">
        <f>SUM(J4:J13)</f>
        <v>0.01</v>
      </c>
    </row>
    <row r="15" spans="1:10" ht="15.75" thickBot="1" x14ac:dyDescent="0.25">
      <c r="A15" s="83" t="s">
        <v>4</v>
      </c>
      <c r="B15" s="193">
        <v>6.2119000000000001E-2</v>
      </c>
      <c r="C15" s="32">
        <v>0.1</v>
      </c>
      <c r="D15" s="264">
        <v>0.1</v>
      </c>
      <c r="E15" s="58" t="s">
        <v>5</v>
      </c>
      <c r="F15" s="179">
        <f>D15+6%</f>
        <v>0.16</v>
      </c>
      <c r="G15" s="213" t="s">
        <v>396</v>
      </c>
      <c r="H15" s="180">
        <f>IF(D15-6%&lt;0%,0%,D15-6%)</f>
        <v>4.0000000000000008E-2</v>
      </c>
      <c r="I15" s="33" t="s">
        <v>471</v>
      </c>
      <c r="J15" s="36">
        <f>D15-C15</f>
        <v>0</v>
      </c>
    </row>
    <row r="16" spans="1:10" ht="15" thickBot="1" x14ac:dyDescent="0.25">
      <c r="A16" s="161" t="str">
        <f>'הכשרה - קרן י'!$A$17</f>
        <v>מגבלת עמלת ניהול חיצוני לשנת 2025</v>
      </c>
      <c r="B16" s="356">
        <v>5.0000000000000001E-3</v>
      </c>
      <c r="C16" s="357"/>
      <c r="D16" s="357"/>
      <c r="E16" s="357"/>
      <c r="F16" s="357"/>
      <c r="G16" s="357"/>
      <c r="H16" s="357"/>
      <c r="I16" s="357"/>
      <c r="J16" s="358"/>
    </row>
    <row r="17" spans="1:10" ht="16.5" x14ac:dyDescent="0.25">
      <c r="A17" s="164"/>
      <c r="B17" s="37"/>
      <c r="C17" s="37"/>
      <c r="D17" s="37"/>
      <c r="E17" s="165"/>
      <c r="F17" s="165"/>
      <c r="G17" s="165"/>
      <c r="H17" s="165"/>
      <c r="I17" s="165"/>
      <c r="J17" s="165"/>
    </row>
    <row r="18" spans="1:10" ht="16.5" x14ac:dyDescent="0.25">
      <c r="A18" s="164" t="s">
        <v>415</v>
      </c>
    </row>
    <row r="19" spans="1:10" ht="16.5" x14ac:dyDescent="0.25">
      <c r="A19" s="164" t="s">
        <v>416</v>
      </c>
    </row>
    <row r="20" spans="1:10" ht="16.5" x14ac:dyDescent="0.25">
      <c r="A20" s="164" t="s">
        <v>417</v>
      </c>
    </row>
    <row r="21" spans="1:10" ht="16.5" x14ac:dyDescent="0.25">
      <c r="A21" s="164" t="s">
        <v>418</v>
      </c>
    </row>
    <row r="22" spans="1:10" ht="16.5" x14ac:dyDescent="0.25">
      <c r="A22" s="164" t="s">
        <v>419</v>
      </c>
    </row>
    <row r="23" spans="1:10" ht="16.5" x14ac:dyDescent="0.25">
      <c r="A23" s="164" t="s">
        <v>420</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6:J16"/>
    <mergeCell ref="J4:J6"/>
    <mergeCell ref="F7:F8"/>
    <mergeCell ref="G7:G8"/>
    <mergeCell ref="H7:H8"/>
    <mergeCell ref="J7:J8"/>
    <mergeCell ref="B9:B10"/>
    <mergeCell ref="C9:C10"/>
    <mergeCell ref="D9:D10"/>
    <mergeCell ref="E9:E10"/>
    <mergeCell ref="F9:F10"/>
  </mergeCells>
  <conditionalFormatting sqref="J4:J11 J13:J15">
    <cfRule type="cellIs" dxfId="31" priority="5" operator="lessThan">
      <formula>0</formula>
    </cfRule>
    <cfRule type="cellIs" dxfId="30" priority="6" operator="greaterThan">
      <formula>0</formula>
    </cfRule>
  </conditionalFormatting>
  <conditionalFormatting sqref="J12">
    <cfRule type="cellIs" dxfId="29" priority="1" operator="lessThan">
      <formula>0</formula>
    </cfRule>
    <cfRule type="cellIs" dxfId="28"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workbookViewId="0">
      <selection activeCell="A27" sqref="A27"/>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25" t="s">
        <v>457</v>
      </c>
      <c r="B1" s="38"/>
      <c r="C1" s="38"/>
      <c r="D1" s="38"/>
    </row>
    <row r="2" spans="1:10" ht="17.25" thickTop="1" thickBot="1" x14ac:dyDescent="0.3">
      <c r="A2" s="7"/>
      <c r="B2" s="38"/>
      <c r="C2" s="38"/>
      <c r="D2" s="38"/>
    </row>
    <row r="3" spans="1:10"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x14ac:dyDescent="0.2">
      <c r="A4" s="420" t="s">
        <v>408</v>
      </c>
      <c r="B4" s="452">
        <v>0.19167200000000001</v>
      </c>
      <c r="C4" s="461">
        <v>0.19</v>
      </c>
      <c r="D4" s="437">
        <v>0.19</v>
      </c>
      <c r="E4" s="439" t="s">
        <v>5</v>
      </c>
      <c r="F4" s="347">
        <f>D4+6%</f>
        <v>0.25</v>
      </c>
      <c r="G4" s="350" t="s">
        <v>396</v>
      </c>
      <c r="H4" s="359">
        <f>IF(D4-6%&lt;0%,0%,D4-6%)</f>
        <v>0.13</v>
      </c>
      <c r="I4" s="150" t="s">
        <v>472</v>
      </c>
      <c r="J4" s="436">
        <f>D4-C4</f>
        <v>0</v>
      </c>
    </row>
    <row r="5" spans="1:10" x14ac:dyDescent="0.2">
      <c r="A5" s="421"/>
      <c r="B5" s="453"/>
      <c r="C5" s="423"/>
      <c r="D5" s="437"/>
      <c r="E5" s="440"/>
      <c r="F5" s="348"/>
      <c r="G5" s="351"/>
      <c r="H5" s="360"/>
      <c r="I5" s="28" t="s">
        <v>473</v>
      </c>
      <c r="J5" s="431"/>
    </row>
    <row r="6" spans="1:10" x14ac:dyDescent="0.2">
      <c r="A6" s="382"/>
      <c r="B6" s="454"/>
      <c r="C6" s="424"/>
      <c r="D6" s="438"/>
      <c r="E6" s="440"/>
      <c r="F6" s="349"/>
      <c r="G6" s="344"/>
      <c r="H6" s="361"/>
      <c r="I6" s="42"/>
      <c r="J6" s="415"/>
    </row>
    <row r="7" spans="1:10" x14ac:dyDescent="0.2">
      <c r="A7" s="410" t="s">
        <v>409</v>
      </c>
      <c r="B7" s="450">
        <v>0.43430418999999998</v>
      </c>
      <c r="C7" s="459">
        <v>0.4</v>
      </c>
      <c r="D7" s="460">
        <v>0.41</v>
      </c>
      <c r="E7" s="441" t="s">
        <v>6</v>
      </c>
      <c r="F7" s="352">
        <f>D7+5%</f>
        <v>0.45999999999999996</v>
      </c>
      <c r="G7" s="354" t="s">
        <v>396</v>
      </c>
      <c r="H7" s="372">
        <f>IF(D7-5%&lt;0%,0%,D7-5%)</f>
        <v>0.36</v>
      </c>
      <c r="I7" s="214" t="s">
        <v>14</v>
      </c>
      <c r="J7" s="458">
        <f>D7-C7</f>
        <v>9.9999999999999534E-3</v>
      </c>
    </row>
    <row r="8" spans="1:10" x14ac:dyDescent="0.2">
      <c r="A8" s="411"/>
      <c r="B8" s="451"/>
      <c r="C8" s="409"/>
      <c r="D8" s="433"/>
      <c r="E8" s="441"/>
      <c r="F8" s="353"/>
      <c r="G8" s="355"/>
      <c r="H8" s="373"/>
      <c r="I8" s="42" t="s">
        <v>15</v>
      </c>
      <c r="J8" s="415"/>
    </row>
    <row r="9" spans="1:10" x14ac:dyDescent="0.2">
      <c r="A9" s="125" t="s">
        <v>410</v>
      </c>
      <c r="B9" s="462">
        <v>0.31750358000000001</v>
      </c>
      <c r="C9" s="459">
        <v>0.35</v>
      </c>
      <c r="D9" s="460">
        <v>0.35</v>
      </c>
      <c r="E9" s="371" t="s">
        <v>5</v>
      </c>
      <c r="F9" s="381">
        <f>D9+6%</f>
        <v>0.41</v>
      </c>
      <c r="G9" s="343" t="s">
        <v>396</v>
      </c>
      <c r="H9" s="379">
        <f>IF(D9-6%&lt;0%,0%,D9-6%)</f>
        <v>0.28999999999999998</v>
      </c>
      <c r="I9" s="214" t="s">
        <v>16</v>
      </c>
      <c r="J9" s="458">
        <f>D9-C9</f>
        <v>0</v>
      </c>
    </row>
    <row r="10" spans="1:10" x14ac:dyDescent="0.2">
      <c r="A10" s="81"/>
      <c r="B10" s="445"/>
      <c r="C10" s="409"/>
      <c r="D10" s="433"/>
      <c r="E10" s="371"/>
      <c r="F10" s="349"/>
      <c r="G10" s="344"/>
      <c r="H10" s="380"/>
      <c r="I10" s="44" t="s">
        <v>17</v>
      </c>
      <c r="J10" s="415"/>
    </row>
    <row r="11" spans="1:10" ht="15.75" thickBot="1" x14ac:dyDescent="0.25">
      <c r="A11" s="83" t="s">
        <v>405</v>
      </c>
      <c r="B11" s="249">
        <v>5.6518889999999995E-2</v>
      </c>
      <c r="C11" s="220">
        <v>0.06</v>
      </c>
      <c r="D11" s="282">
        <v>0.05</v>
      </c>
      <c r="E11" s="215" t="s">
        <v>6</v>
      </c>
      <c r="F11" s="247">
        <f>D11+5%</f>
        <v>0.1</v>
      </c>
      <c r="G11" s="245" t="s">
        <v>396</v>
      </c>
      <c r="H11" s="246">
        <f>IF(D11-5%&lt;0%,0%,D11-5%)</f>
        <v>0</v>
      </c>
      <c r="I11" s="51" t="s">
        <v>12</v>
      </c>
      <c r="J11" s="248">
        <f>D11-C11</f>
        <v>-9.999999999999995E-3</v>
      </c>
    </row>
    <row r="12" spans="1:10" ht="15.75" thickBot="1" x14ac:dyDescent="0.25">
      <c r="A12" s="82" t="s">
        <v>3</v>
      </c>
      <c r="B12" s="84">
        <f>SUM(B4:B11)</f>
        <v>0.99999866000000004</v>
      </c>
      <c r="C12" s="89">
        <f>SUM(C4:C11)</f>
        <v>1</v>
      </c>
      <c r="D12" s="263">
        <f>SUM(D4:D11)</f>
        <v>1</v>
      </c>
      <c r="E12" s="35"/>
      <c r="F12" s="177"/>
      <c r="G12" s="170"/>
      <c r="H12" s="178"/>
      <c r="I12" s="55"/>
      <c r="J12" s="34">
        <f>SUM(J4:J11)</f>
        <v>-4.163336342344337E-17</v>
      </c>
    </row>
    <row r="13" spans="1:10" ht="15.75" thickBot="1" x14ac:dyDescent="0.25">
      <c r="A13" s="83" t="s">
        <v>4</v>
      </c>
      <c r="B13" s="193">
        <v>9.8057000000000005E-2</v>
      </c>
      <c r="C13" s="32">
        <v>0.1</v>
      </c>
      <c r="D13" s="264">
        <v>0.1</v>
      </c>
      <c r="E13" s="58" t="s">
        <v>5</v>
      </c>
      <c r="F13" s="179">
        <f>D13+6%</f>
        <v>0.16</v>
      </c>
      <c r="G13" s="233" t="s">
        <v>396</v>
      </c>
      <c r="H13" s="180">
        <f>IF(D13-6%&lt;0%,0%,D13-6%)</f>
        <v>4.0000000000000008E-2</v>
      </c>
      <c r="I13" s="33" t="s">
        <v>471</v>
      </c>
      <c r="J13" s="36">
        <f>D13-C13</f>
        <v>0</v>
      </c>
    </row>
    <row r="14" spans="1:10" ht="15" thickBot="1" x14ac:dyDescent="0.25">
      <c r="A14" s="161" t="str">
        <f>'הכשרה - קרן י'!$A$17</f>
        <v>מגבלת עמלת ניהול חיצוני לשנת 2025</v>
      </c>
      <c r="B14" s="356">
        <v>1.5E-3</v>
      </c>
      <c r="C14" s="357"/>
      <c r="D14" s="357"/>
      <c r="E14" s="357"/>
      <c r="F14" s="357"/>
      <c r="G14" s="357"/>
      <c r="H14" s="357"/>
      <c r="I14" s="357"/>
      <c r="J14" s="358"/>
    </row>
    <row r="16" spans="1:10" ht="16.5" x14ac:dyDescent="0.25">
      <c r="A16" s="164" t="s">
        <v>422</v>
      </c>
    </row>
    <row r="17" spans="1:8" ht="16.5" x14ac:dyDescent="0.25">
      <c r="A17" s="164" t="s">
        <v>423</v>
      </c>
    </row>
    <row r="18" spans="1:8" ht="16.5" x14ac:dyDescent="0.25">
      <c r="A18" s="164" t="s">
        <v>424</v>
      </c>
    </row>
    <row r="19" spans="1:8" ht="16.5" x14ac:dyDescent="0.25">
      <c r="A19" s="164" t="s">
        <v>425</v>
      </c>
    </row>
    <row r="20" spans="1:8" ht="16.5" x14ac:dyDescent="0.25">
      <c r="A20" s="164" t="s">
        <v>426</v>
      </c>
    </row>
    <row r="21" spans="1:8" ht="16.5" x14ac:dyDescent="0.25">
      <c r="A21" s="164" t="s">
        <v>427</v>
      </c>
    </row>
    <row r="23" spans="1:8" ht="15" x14ac:dyDescent="0.25">
      <c r="A23" s="11" t="s">
        <v>476</v>
      </c>
      <c r="B23" s="25"/>
      <c r="C23" s="336"/>
      <c r="D23" s="38"/>
      <c r="E23" s="26"/>
      <c r="F23" s="38"/>
      <c r="G23" s="38"/>
      <c r="H23" s="38"/>
    </row>
    <row r="24" spans="1:8" ht="45" x14ac:dyDescent="0.2">
      <c r="A24" s="337" t="s">
        <v>0</v>
      </c>
      <c r="B24" s="337" t="s">
        <v>474</v>
      </c>
      <c r="C24" s="337" t="s">
        <v>477</v>
      </c>
      <c r="D24" s="337" t="s">
        <v>475</v>
      </c>
      <c r="E24" s="338" t="s">
        <v>1</v>
      </c>
      <c r="F24" s="342" t="s">
        <v>380</v>
      </c>
      <c r="G24" s="342"/>
      <c r="H24" s="342"/>
    </row>
    <row r="25" spans="1:8" ht="15" x14ac:dyDescent="0.2">
      <c r="A25" s="339" t="s">
        <v>409</v>
      </c>
      <c r="B25" s="340">
        <v>0.41</v>
      </c>
      <c r="C25" s="341">
        <v>0.36</v>
      </c>
      <c r="D25" s="341">
        <f t="shared" ref="D25:D27" si="0">C25-B25</f>
        <v>-4.9999999999999989E-2</v>
      </c>
      <c r="E25" s="328" t="s">
        <v>6</v>
      </c>
      <c r="F25" s="330">
        <f>C25+5%</f>
        <v>0.41</v>
      </c>
      <c r="G25" s="331" t="s">
        <v>396</v>
      </c>
      <c r="H25" s="329">
        <f>IF(C25-5%&lt;0%,0%,C25-5%)</f>
        <v>0.31</v>
      </c>
    </row>
    <row r="26" spans="1:8" ht="15" x14ac:dyDescent="0.2">
      <c r="A26" s="339" t="s">
        <v>410</v>
      </c>
      <c r="B26" s="340">
        <v>0.35</v>
      </c>
      <c r="C26" s="341">
        <v>0.3</v>
      </c>
      <c r="D26" s="341">
        <f t="shared" si="0"/>
        <v>-4.9999999999999989E-2</v>
      </c>
      <c r="E26" s="328" t="s">
        <v>5</v>
      </c>
      <c r="F26" s="330">
        <f t="shared" ref="F26" si="1">C26+6%</f>
        <v>0.36</v>
      </c>
      <c r="G26" s="331" t="s">
        <v>396</v>
      </c>
      <c r="H26" s="329">
        <f t="shared" ref="H26" si="2">IF(C26-6%&lt;0%,0%,C26-6%)</f>
        <v>0.24</v>
      </c>
    </row>
    <row r="27" spans="1:8" ht="15" x14ac:dyDescent="0.2">
      <c r="A27" s="339" t="s">
        <v>407</v>
      </c>
      <c r="B27" s="340">
        <v>0</v>
      </c>
      <c r="C27" s="341">
        <v>0.14000000000000001</v>
      </c>
      <c r="D27" s="341">
        <f t="shared" si="0"/>
        <v>0.14000000000000001</v>
      </c>
      <c r="E27" s="328" t="s">
        <v>6</v>
      </c>
      <c r="F27" s="330">
        <f>C27+5%</f>
        <v>0.19</v>
      </c>
      <c r="G27" s="331" t="s">
        <v>396</v>
      </c>
      <c r="H27" s="329">
        <f>IF(C27-5%&lt;0%,0%,C27-5%)</f>
        <v>9.0000000000000011E-2</v>
      </c>
    </row>
  </sheetData>
  <mergeCells count="29">
    <mergeCell ref="F3:H3"/>
    <mergeCell ref="A4:A6"/>
    <mergeCell ref="B4:B6"/>
    <mergeCell ref="C4:C6"/>
    <mergeCell ref="D4:D6"/>
    <mergeCell ref="E4:E6"/>
    <mergeCell ref="F4:F6"/>
    <mergeCell ref="G4:G6"/>
    <mergeCell ref="H4:H6"/>
    <mergeCell ref="J4:J6"/>
    <mergeCell ref="A7:A8"/>
    <mergeCell ref="B7:B8"/>
    <mergeCell ref="C7:C8"/>
    <mergeCell ref="D7:D8"/>
    <mergeCell ref="E7:E8"/>
    <mergeCell ref="F7:F8"/>
    <mergeCell ref="G7:G8"/>
    <mergeCell ref="H7:H8"/>
    <mergeCell ref="J7:J8"/>
    <mergeCell ref="F24:H24"/>
    <mergeCell ref="H9:H10"/>
    <mergeCell ref="J9:J10"/>
    <mergeCell ref="B14:J14"/>
    <mergeCell ref="B9:B10"/>
    <mergeCell ref="C9:C10"/>
    <mergeCell ref="D9:D10"/>
    <mergeCell ref="E9:E10"/>
    <mergeCell ref="F9:F10"/>
    <mergeCell ref="G9:G10"/>
  </mergeCells>
  <conditionalFormatting sqref="J4:J13">
    <cfRule type="cellIs" dxfId="27" priority="1" operator="lessThan">
      <formula>0</formula>
    </cfRule>
    <cfRule type="cellIs" dxfId="26"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36"/>
  <sheetViews>
    <sheetView rightToLeft="1" zoomScale="110" zoomScaleNormal="110" workbookViewId="0">
      <selection activeCell="H4" sqref="H4:H6"/>
    </sheetView>
  </sheetViews>
  <sheetFormatPr defaultColWidth="9" defaultRowHeight="16.5" x14ac:dyDescent="0.25"/>
  <cols>
    <col min="1" max="1" width="61.375" style="130" customWidth="1"/>
    <col min="2" max="2" width="20.125" style="130" customWidth="1"/>
    <col min="3" max="3" width="14" style="130" customWidth="1"/>
    <col min="4" max="4" width="11.75" style="130" bestFit="1" customWidth="1"/>
    <col min="5" max="5" width="9" style="130"/>
    <col min="6" max="6" width="4.625" style="130" bestFit="1" customWidth="1"/>
    <col min="7" max="7" width="1.625" style="130" bestFit="1" customWidth="1"/>
    <col min="8" max="8" width="4.625" style="130" bestFit="1" customWidth="1"/>
    <col min="9" max="9" width="31.875" style="130" bestFit="1" customWidth="1"/>
    <col min="10" max="10" width="16.5" style="130" customWidth="1"/>
    <col min="11" max="16384" width="9" style="130"/>
  </cols>
  <sheetData>
    <row r="1" spans="1:10" ht="17.25" thickBot="1" x14ac:dyDescent="0.3"/>
    <row r="2" spans="1:10" ht="22.5" customHeight="1" thickBot="1" x14ac:dyDescent="0.3">
      <c r="A2" s="463" t="s">
        <v>452</v>
      </c>
      <c r="B2" s="464"/>
    </row>
    <row r="3" spans="1:10" s="38" customFormat="1" ht="46.5" customHeight="1" thickBot="1" x14ac:dyDescent="0.25">
      <c r="A3" s="108" t="s">
        <v>0</v>
      </c>
      <c r="B3" s="91" t="s">
        <v>468</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s="38" customFormat="1" ht="14.25" x14ac:dyDescent="0.2">
      <c r="A4" s="420" t="s">
        <v>389</v>
      </c>
      <c r="B4" s="452">
        <v>5.6011999999999998E-3</v>
      </c>
      <c r="C4" s="423">
        <v>0.01</v>
      </c>
      <c r="D4" s="437">
        <v>0.01</v>
      </c>
      <c r="E4" s="439" t="s">
        <v>5</v>
      </c>
      <c r="F4" s="347">
        <f>D4+6%</f>
        <v>6.9999999999999993E-2</v>
      </c>
      <c r="G4" s="350" t="s">
        <v>396</v>
      </c>
      <c r="H4" s="359">
        <f>IF(D4-6%&lt;0%,0%,D4-6%)</f>
        <v>0</v>
      </c>
      <c r="I4" s="150" t="s">
        <v>472</v>
      </c>
      <c r="J4" s="436">
        <f>D4-C4</f>
        <v>0</v>
      </c>
    </row>
    <row r="5" spans="1:10" s="38" customFormat="1" ht="14.25" x14ac:dyDescent="0.2">
      <c r="A5" s="421"/>
      <c r="B5" s="453"/>
      <c r="C5" s="423"/>
      <c r="D5" s="437"/>
      <c r="E5" s="440"/>
      <c r="F5" s="348"/>
      <c r="G5" s="351"/>
      <c r="H5" s="360"/>
      <c r="I5" s="28" t="s">
        <v>473</v>
      </c>
      <c r="J5" s="431"/>
    </row>
    <row r="6" spans="1:10" s="38" customFormat="1" ht="14.25" x14ac:dyDescent="0.2">
      <c r="A6" s="382"/>
      <c r="B6" s="454"/>
      <c r="C6" s="424"/>
      <c r="D6" s="438"/>
      <c r="E6" s="440"/>
      <c r="F6" s="349"/>
      <c r="G6" s="344"/>
      <c r="H6" s="361"/>
      <c r="I6" s="42"/>
      <c r="J6" s="415"/>
    </row>
    <row r="7" spans="1:10" s="38" customFormat="1" ht="14.25" x14ac:dyDescent="0.2">
      <c r="A7" s="410" t="s">
        <v>390</v>
      </c>
      <c r="B7" s="450">
        <v>0.83102600000000004</v>
      </c>
      <c r="C7" s="459">
        <v>0.85</v>
      </c>
      <c r="D7" s="460">
        <v>0.85</v>
      </c>
      <c r="E7" s="441" t="s">
        <v>6</v>
      </c>
      <c r="F7" s="352">
        <f>D7+5%</f>
        <v>0.9</v>
      </c>
      <c r="G7" s="354" t="s">
        <v>396</v>
      </c>
      <c r="H7" s="372">
        <f>IF(D7-5%&lt;0%,0%,D7-5%)</f>
        <v>0.79999999999999993</v>
      </c>
      <c r="I7" s="214" t="s">
        <v>14</v>
      </c>
      <c r="J7" s="458">
        <f>D7-C7</f>
        <v>0</v>
      </c>
    </row>
    <row r="8" spans="1:10" s="38" customFormat="1" ht="14.25" x14ac:dyDescent="0.2">
      <c r="A8" s="411"/>
      <c r="B8" s="451"/>
      <c r="C8" s="409"/>
      <c r="D8" s="433"/>
      <c r="E8" s="441"/>
      <c r="F8" s="353"/>
      <c r="G8" s="355"/>
      <c r="H8" s="373"/>
      <c r="I8" s="42" t="s">
        <v>15</v>
      </c>
      <c r="J8" s="415"/>
    </row>
    <row r="9" spans="1:10" s="38" customFormat="1" ht="14.25" x14ac:dyDescent="0.2">
      <c r="A9" s="125" t="s">
        <v>388</v>
      </c>
      <c r="B9" s="444">
        <v>0.15878900000000001</v>
      </c>
      <c r="C9" s="459">
        <v>0.15</v>
      </c>
      <c r="D9" s="460">
        <v>0.15</v>
      </c>
      <c r="E9" s="371" t="s">
        <v>5</v>
      </c>
      <c r="F9" s="381">
        <f>D9+6%</f>
        <v>0.21</v>
      </c>
      <c r="G9" s="343" t="s">
        <v>396</v>
      </c>
      <c r="H9" s="379">
        <f>IF(D9-6%&lt;0%,0%,D9-6%)</f>
        <v>0.09</v>
      </c>
      <c r="I9" s="214" t="s">
        <v>16</v>
      </c>
      <c r="J9" s="458">
        <f>D9-C9</f>
        <v>0</v>
      </c>
    </row>
    <row r="10" spans="1:10" s="38" customFormat="1" ht="14.25" x14ac:dyDescent="0.2">
      <c r="A10" s="81"/>
      <c r="B10" s="445"/>
      <c r="C10" s="409"/>
      <c r="D10" s="433"/>
      <c r="E10" s="371"/>
      <c r="F10" s="349"/>
      <c r="G10" s="344"/>
      <c r="H10" s="380"/>
      <c r="I10" s="44" t="s">
        <v>17</v>
      </c>
      <c r="J10" s="415"/>
    </row>
    <row r="11" spans="1:10" s="38" customFormat="1" ht="15" x14ac:dyDescent="0.2">
      <c r="A11" s="210" t="s">
        <v>387</v>
      </c>
      <c r="B11" s="212">
        <v>5.8710000000000004E-3</v>
      </c>
      <c r="C11" s="219">
        <v>0.05</v>
      </c>
      <c r="D11" s="281">
        <v>0.05</v>
      </c>
      <c r="E11" s="211" t="s">
        <v>6</v>
      </c>
      <c r="F11" s="173">
        <f>D11+5%</f>
        <v>0.1</v>
      </c>
      <c r="G11" s="169" t="s">
        <v>396</v>
      </c>
      <c r="H11" s="174">
        <f>IF(D11-5%&lt;0%,0%,D11-5%)</f>
        <v>0</v>
      </c>
      <c r="I11" s="47" t="s">
        <v>385</v>
      </c>
      <c r="J11" s="223">
        <f>D11-C11</f>
        <v>0</v>
      </c>
    </row>
    <row r="12" spans="1:10" s="38" customFormat="1" ht="15" x14ac:dyDescent="0.2">
      <c r="A12" s="210" t="s">
        <v>381</v>
      </c>
      <c r="B12" s="212">
        <v>7.8949999999999992E-3</v>
      </c>
      <c r="C12" s="219">
        <v>0.01</v>
      </c>
      <c r="D12" s="281">
        <v>0.01</v>
      </c>
      <c r="E12" s="211" t="s">
        <v>6</v>
      </c>
      <c r="F12" s="173">
        <f>D12+5%</f>
        <v>6.0000000000000005E-2</v>
      </c>
      <c r="G12" s="169" t="s">
        <v>396</v>
      </c>
      <c r="H12" s="174">
        <f>IF(D12-5%&lt;0%,0%,D12-5%)</f>
        <v>0</v>
      </c>
      <c r="I12" s="61" t="s">
        <v>383</v>
      </c>
      <c r="J12" s="158">
        <f>D12-C12</f>
        <v>0</v>
      </c>
    </row>
    <row r="13" spans="1:10" s="38" customFormat="1" ht="15.75" thickBot="1" x14ac:dyDescent="0.25">
      <c r="A13" s="83" t="s">
        <v>405</v>
      </c>
      <c r="B13" s="192">
        <v>3.0494899999999998E-2</v>
      </c>
      <c r="C13" s="220">
        <v>0.05</v>
      </c>
      <c r="D13" s="282">
        <v>0.05</v>
      </c>
      <c r="E13" s="215" t="s">
        <v>6</v>
      </c>
      <c r="F13" s="208">
        <f>D13+5%</f>
        <v>0.1</v>
      </c>
      <c r="G13" s="206" t="s">
        <v>396</v>
      </c>
      <c r="H13" s="207">
        <f>IF(D13-5%&lt;0%,0%,D13-5%)</f>
        <v>0</v>
      </c>
      <c r="I13" s="51" t="s">
        <v>12</v>
      </c>
      <c r="J13" s="216">
        <f>D13-C13</f>
        <v>0</v>
      </c>
    </row>
    <row r="14" spans="1:10" s="38" customFormat="1" ht="15.75" thickBot="1" x14ac:dyDescent="0.25">
      <c r="A14" s="82" t="s">
        <v>3</v>
      </c>
      <c r="B14" s="84">
        <f>SUM(B4:B13)</f>
        <v>1.0396771</v>
      </c>
      <c r="C14" s="89">
        <f>SUM(C4:C13)</f>
        <v>1.1200000000000001</v>
      </c>
      <c r="D14" s="263">
        <f>SUM(D4:D13)</f>
        <v>1.1200000000000001</v>
      </c>
      <c r="E14" s="35"/>
      <c r="F14" s="177"/>
      <c r="G14" s="170"/>
      <c r="H14" s="178"/>
      <c r="I14" s="55"/>
      <c r="J14" s="34">
        <f>SUM(J4:J13)</f>
        <v>0</v>
      </c>
    </row>
    <row r="15" spans="1:10" s="38" customFormat="1" ht="15.75" thickBot="1" x14ac:dyDescent="0.25">
      <c r="A15" s="83" t="s">
        <v>4</v>
      </c>
      <c r="B15" s="193">
        <v>5.5657999999999999E-2</v>
      </c>
      <c r="C15" s="32">
        <v>0.06</v>
      </c>
      <c r="D15" s="264">
        <v>0.06</v>
      </c>
      <c r="E15" s="58" t="s">
        <v>5</v>
      </c>
      <c r="F15" s="179">
        <f>D15+6%</f>
        <v>0.12</v>
      </c>
      <c r="G15" s="213" t="s">
        <v>396</v>
      </c>
      <c r="H15" s="180">
        <f>IF(D15-6%&lt;0%,0%,D15-6%)</f>
        <v>0</v>
      </c>
      <c r="I15" s="33" t="s">
        <v>471</v>
      </c>
      <c r="J15" s="36">
        <f>D15-C15</f>
        <v>0</v>
      </c>
    </row>
    <row r="16" spans="1:10" s="38" customFormat="1" ht="15" thickBot="1" x14ac:dyDescent="0.25">
      <c r="A16" s="161" t="str">
        <f>'הכשרה - קרן י'!$A$17</f>
        <v>מגבלת עמלת ניהול חיצוני לשנת 2025</v>
      </c>
      <c r="B16" s="356">
        <v>1.5E-3</v>
      </c>
      <c r="C16" s="357"/>
      <c r="D16" s="357"/>
      <c r="E16" s="357"/>
      <c r="F16" s="357"/>
      <c r="G16" s="357"/>
      <c r="H16" s="357"/>
      <c r="I16" s="357"/>
      <c r="J16" s="358"/>
    </row>
    <row r="17" spans="1:10" s="38" customFormat="1" thickBot="1" x14ac:dyDescent="0.3">
      <c r="A17" s="288" t="s">
        <v>451</v>
      </c>
      <c r="B17" s="235"/>
      <c r="C17" s="235"/>
      <c r="D17" s="235"/>
      <c r="E17" s="235"/>
      <c r="F17" s="235"/>
      <c r="G17" s="235"/>
      <c r="H17" s="235"/>
      <c r="I17" s="235"/>
      <c r="J17" s="235"/>
    </row>
    <row r="18" spans="1:10" s="38" customFormat="1" ht="46.5" customHeight="1" thickBot="1" x14ac:dyDescent="0.25">
      <c r="A18" s="287" t="s">
        <v>0</v>
      </c>
      <c r="B18" s="91" t="s">
        <v>470</v>
      </c>
      <c r="C18" s="40" t="str">
        <f>'הכשרה - קרן י'!$C$3</f>
        <v>מדיניות השקעות 2024</v>
      </c>
      <c r="D18" s="39" t="str">
        <f>'הכשרה - קרן י'!$D$3</f>
        <v>שיעור חשיפה מומלץ לשנת 2025</v>
      </c>
      <c r="E18" s="93" t="s">
        <v>1</v>
      </c>
      <c r="F18" s="345" t="s">
        <v>380</v>
      </c>
      <c r="G18" s="345"/>
      <c r="H18" s="346"/>
      <c r="I18" s="110" t="s">
        <v>2</v>
      </c>
      <c r="J18" s="106" t="str">
        <f>'הכשרה - קרן י'!$J$3</f>
        <v>שינוי ממדיניות 2024</v>
      </c>
    </row>
    <row r="19" spans="1:10" s="38" customFormat="1" ht="14.25" x14ac:dyDescent="0.2">
      <c r="A19" s="420" t="s">
        <v>389</v>
      </c>
      <c r="B19" s="452">
        <v>5.4109999999999998E-2</v>
      </c>
      <c r="C19" s="423">
        <v>0.01</v>
      </c>
      <c r="D19" s="437">
        <v>0.01</v>
      </c>
      <c r="E19" s="439" t="s">
        <v>5</v>
      </c>
      <c r="F19" s="347">
        <f>D19+6%</f>
        <v>6.9999999999999993E-2</v>
      </c>
      <c r="G19" s="350" t="s">
        <v>396</v>
      </c>
      <c r="H19" s="359">
        <f>IF(D19-6%&lt;0%,0%,D19-6%)</f>
        <v>0</v>
      </c>
      <c r="I19" s="150" t="s">
        <v>472</v>
      </c>
      <c r="J19" s="436">
        <f>D19-C19</f>
        <v>0</v>
      </c>
    </row>
    <row r="20" spans="1:10" s="38" customFormat="1" ht="14.25" x14ac:dyDescent="0.2">
      <c r="A20" s="421"/>
      <c r="B20" s="453"/>
      <c r="C20" s="423"/>
      <c r="D20" s="437"/>
      <c r="E20" s="440"/>
      <c r="F20" s="348"/>
      <c r="G20" s="351"/>
      <c r="H20" s="360"/>
      <c r="I20" s="28" t="s">
        <v>473</v>
      </c>
      <c r="J20" s="431"/>
    </row>
    <row r="21" spans="1:10" s="38" customFormat="1" ht="14.25" x14ac:dyDescent="0.2">
      <c r="A21" s="382"/>
      <c r="B21" s="454"/>
      <c r="C21" s="424"/>
      <c r="D21" s="438"/>
      <c r="E21" s="440"/>
      <c r="F21" s="349"/>
      <c r="G21" s="344"/>
      <c r="H21" s="361"/>
      <c r="I21" s="42"/>
      <c r="J21" s="415"/>
    </row>
    <row r="22" spans="1:10" s="38" customFormat="1" ht="14.25" x14ac:dyDescent="0.2">
      <c r="A22" s="410" t="s">
        <v>390</v>
      </c>
      <c r="B22" s="450">
        <v>0.86471242000000004</v>
      </c>
      <c r="C22" s="459">
        <v>0.9</v>
      </c>
      <c r="D22" s="460">
        <v>0.87</v>
      </c>
      <c r="E22" s="441" t="s">
        <v>6</v>
      </c>
      <c r="F22" s="352">
        <f>D22+5%</f>
        <v>0.92</v>
      </c>
      <c r="G22" s="354" t="s">
        <v>396</v>
      </c>
      <c r="H22" s="372">
        <f>IF(D22-5%&lt;0%,0%,D22-5%)</f>
        <v>0.82</v>
      </c>
      <c r="I22" s="214" t="s">
        <v>14</v>
      </c>
      <c r="J22" s="458">
        <f>D22-C22</f>
        <v>-3.0000000000000027E-2</v>
      </c>
    </row>
    <row r="23" spans="1:10" s="38" customFormat="1" ht="14.25" x14ac:dyDescent="0.2">
      <c r="A23" s="411"/>
      <c r="B23" s="451"/>
      <c r="C23" s="409"/>
      <c r="D23" s="433"/>
      <c r="E23" s="441"/>
      <c r="F23" s="353"/>
      <c r="G23" s="355"/>
      <c r="H23" s="373"/>
      <c r="I23" s="42" t="s">
        <v>15</v>
      </c>
      <c r="J23" s="415"/>
    </row>
    <row r="24" spans="1:10" s="38" customFormat="1" ht="14.25" x14ac:dyDescent="0.2">
      <c r="A24" s="125" t="s">
        <v>388</v>
      </c>
      <c r="B24" s="444">
        <v>7.6809669999999997E-2</v>
      </c>
      <c r="C24" s="459">
        <v>0.12</v>
      </c>
      <c r="D24" s="460">
        <v>0.09</v>
      </c>
      <c r="E24" s="371" t="s">
        <v>5</v>
      </c>
      <c r="F24" s="381">
        <f>D24+6%</f>
        <v>0.15</v>
      </c>
      <c r="G24" s="343" t="s">
        <v>396</v>
      </c>
      <c r="H24" s="379">
        <f>IF(D24-6%&lt;0%,0%,D24-6%)</f>
        <v>0.03</v>
      </c>
      <c r="I24" s="214" t="s">
        <v>16</v>
      </c>
      <c r="J24" s="458">
        <f>D24-C24</f>
        <v>-0.03</v>
      </c>
    </row>
    <row r="25" spans="1:10" s="38" customFormat="1" ht="14.25" x14ac:dyDescent="0.2">
      <c r="A25" s="81"/>
      <c r="B25" s="445"/>
      <c r="C25" s="409"/>
      <c r="D25" s="433"/>
      <c r="E25" s="371"/>
      <c r="F25" s="349"/>
      <c r="G25" s="344"/>
      <c r="H25" s="380"/>
      <c r="I25" s="44" t="s">
        <v>17</v>
      </c>
      <c r="J25" s="415"/>
    </row>
    <row r="26" spans="1:10" s="38" customFormat="1" ht="15" x14ac:dyDescent="0.2">
      <c r="A26" s="226" t="s">
        <v>387</v>
      </c>
      <c r="B26" s="231">
        <v>8.2075659999999995E-2</v>
      </c>
      <c r="C26" s="219">
        <v>0.05</v>
      </c>
      <c r="D26" s="281">
        <v>0.05</v>
      </c>
      <c r="E26" s="230" t="s">
        <v>6</v>
      </c>
      <c r="F26" s="173">
        <f>D26+5%</f>
        <v>0.1</v>
      </c>
      <c r="G26" s="169" t="s">
        <v>396</v>
      </c>
      <c r="H26" s="174">
        <f>IF(D26-5%&lt;0%,0%,D26-5%)</f>
        <v>0</v>
      </c>
      <c r="I26" s="47" t="s">
        <v>385</v>
      </c>
      <c r="J26" s="223">
        <f>D26-C26</f>
        <v>0</v>
      </c>
    </row>
    <row r="27" spans="1:10" s="38" customFormat="1" ht="15" x14ac:dyDescent="0.2">
      <c r="A27" s="226" t="s">
        <v>381</v>
      </c>
      <c r="B27" s="231">
        <v>9.0580399999999998E-3</v>
      </c>
      <c r="C27" s="219">
        <v>0.01</v>
      </c>
      <c r="D27" s="281">
        <v>0.01</v>
      </c>
      <c r="E27" s="230" t="s">
        <v>6</v>
      </c>
      <c r="F27" s="173">
        <f>D27+5%</f>
        <v>6.0000000000000005E-2</v>
      </c>
      <c r="G27" s="169" t="s">
        <v>396</v>
      </c>
      <c r="H27" s="174">
        <f>IF(D27-5%&lt;0%,0%,D27-5%)</f>
        <v>0</v>
      </c>
      <c r="I27" s="61" t="s">
        <v>383</v>
      </c>
      <c r="J27" s="158">
        <f>D27-C27</f>
        <v>0</v>
      </c>
    </row>
    <row r="28" spans="1:10" ht="17.25" thickBot="1" x14ac:dyDescent="0.3">
      <c r="A28" s="83" t="s">
        <v>405</v>
      </c>
      <c r="B28" s="192">
        <v>1.937256E-2</v>
      </c>
      <c r="C28" s="220">
        <v>0.05</v>
      </c>
      <c r="D28" s="282">
        <v>0.05</v>
      </c>
      <c r="E28" s="215" t="s">
        <v>6</v>
      </c>
      <c r="F28" s="228">
        <f>D28+5%</f>
        <v>0.1</v>
      </c>
      <c r="G28" s="229" t="s">
        <v>396</v>
      </c>
      <c r="H28" s="227">
        <f>IF(D28-5%&lt;0%,0%,D28-5%)</f>
        <v>0</v>
      </c>
      <c r="I28" s="51" t="s">
        <v>12</v>
      </c>
      <c r="J28" s="232">
        <f>D28-C28</f>
        <v>0</v>
      </c>
    </row>
    <row r="29" spans="1:10" ht="17.25" thickBot="1" x14ac:dyDescent="0.3">
      <c r="A29" s="82" t="s">
        <v>3</v>
      </c>
      <c r="B29" s="84">
        <f>SUM(B19:B28)</f>
        <v>1.1061383500000002</v>
      </c>
      <c r="C29" s="89">
        <f>SUM(C19:C28)</f>
        <v>1.1400000000000001</v>
      </c>
      <c r="D29" s="263">
        <f>SUM(D19:D28)</f>
        <v>1.08</v>
      </c>
      <c r="E29" s="35"/>
      <c r="F29" s="177"/>
      <c r="G29" s="170"/>
      <c r="H29" s="178"/>
      <c r="I29" s="55"/>
      <c r="J29" s="34">
        <f>SUM(J19:J28)</f>
        <v>-6.0000000000000026E-2</v>
      </c>
    </row>
    <row r="30" spans="1:10" ht="17.25" thickBot="1" x14ac:dyDescent="0.3">
      <c r="A30" s="83" t="s">
        <v>4</v>
      </c>
      <c r="B30" s="193">
        <v>5.2874999999999998E-2</v>
      </c>
      <c r="C30" s="32">
        <v>0.06</v>
      </c>
      <c r="D30" s="264">
        <v>0.06</v>
      </c>
      <c r="E30" s="58" t="s">
        <v>5</v>
      </c>
      <c r="F30" s="179">
        <f>D30+6%</f>
        <v>0.12</v>
      </c>
      <c r="G30" s="233" t="s">
        <v>396</v>
      </c>
      <c r="H30" s="180">
        <f>IF(D30-6%&lt;0%,0%,D30-6%)</f>
        <v>0</v>
      </c>
      <c r="I30" s="33" t="s">
        <v>471</v>
      </c>
      <c r="J30" s="36">
        <f>D30-C30</f>
        <v>0</v>
      </c>
    </row>
    <row r="31" spans="1:10" ht="17.25" thickBot="1" x14ac:dyDescent="0.3">
      <c r="A31" s="161" t="str">
        <f>'הכשרה - קרן י'!$A$17</f>
        <v>מגבלת עמלת ניהול חיצוני לשנת 2025</v>
      </c>
      <c r="B31" s="356">
        <v>1.5E-3</v>
      </c>
      <c r="C31" s="357"/>
      <c r="D31" s="357"/>
      <c r="E31" s="357"/>
      <c r="F31" s="357"/>
      <c r="G31" s="357"/>
      <c r="H31" s="357"/>
      <c r="I31" s="357"/>
      <c r="J31" s="358"/>
    </row>
    <row r="32" spans="1:10" x14ac:dyDescent="0.25">
      <c r="A32" s="234"/>
      <c r="B32" s="235"/>
      <c r="C32" s="235"/>
      <c r="D32" s="235"/>
      <c r="E32" s="235"/>
      <c r="F32" s="235"/>
      <c r="G32" s="235"/>
      <c r="H32" s="235"/>
      <c r="I32" s="235"/>
      <c r="J32" s="235"/>
    </row>
    <row r="33" spans="1:1" x14ac:dyDescent="0.25">
      <c r="A33" s="222" t="s">
        <v>453</v>
      </c>
    </row>
    <row r="34" spans="1:1" x14ac:dyDescent="0.25">
      <c r="A34" s="222" t="s">
        <v>454</v>
      </c>
    </row>
    <row r="35" spans="1:1" x14ac:dyDescent="0.25">
      <c r="A35" s="222" t="s">
        <v>413</v>
      </c>
    </row>
    <row r="36" spans="1:1" x14ac:dyDescent="0.25">
      <c r="A36" s="222" t="s">
        <v>420</v>
      </c>
    </row>
  </sheetData>
  <mergeCells count="57">
    <mergeCell ref="G24:G25"/>
    <mergeCell ref="H24:H25"/>
    <mergeCell ref="J24:J25"/>
    <mergeCell ref="B31:J31"/>
    <mergeCell ref="B24:B25"/>
    <mergeCell ref="C24:C25"/>
    <mergeCell ref="D24:D25"/>
    <mergeCell ref="E24:E25"/>
    <mergeCell ref="F24:F25"/>
    <mergeCell ref="J19:J21"/>
    <mergeCell ref="A22:A23"/>
    <mergeCell ref="B22:B23"/>
    <mergeCell ref="C22:C23"/>
    <mergeCell ref="D22:D23"/>
    <mergeCell ref="E22:E23"/>
    <mergeCell ref="F22:F23"/>
    <mergeCell ref="G22:G23"/>
    <mergeCell ref="H22:H23"/>
    <mergeCell ref="J22:J23"/>
    <mergeCell ref="F18:H18"/>
    <mergeCell ref="A19:A21"/>
    <mergeCell ref="B19:B21"/>
    <mergeCell ref="C19:C21"/>
    <mergeCell ref="D19:D21"/>
    <mergeCell ref="E19:E21"/>
    <mergeCell ref="F19:F21"/>
    <mergeCell ref="G19:G21"/>
    <mergeCell ref="H19:H21"/>
    <mergeCell ref="E9:E10"/>
    <mergeCell ref="F9:F10"/>
    <mergeCell ref="G9:G10"/>
    <mergeCell ref="F3:H3"/>
    <mergeCell ref="A4:A6"/>
    <mergeCell ref="B4:B6"/>
    <mergeCell ref="C4:C6"/>
    <mergeCell ref="D4:D6"/>
    <mergeCell ref="E4:E6"/>
    <mergeCell ref="F4:F6"/>
    <mergeCell ref="G4:G6"/>
    <mergeCell ref="H4:H6"/>
    <mergeCell ref="H9:H10"/>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D9:D10"/>
  </mergeCells>
  <phoneticPr fontId="2" type="noConversion"/>
  <conditionalFormatting sqref="J4:J15">
    <cfRule type="cellIs" dxfId="25" priority="3" operator="lessThan">
      <formula>0</formula>
    </cfRule>
    <cfRule type="cellIs" dxfId="24" priority="4" operator="greaterThan">
      <formula>0</formula>
    </cfRule>
  </conditionalFormatting>
  <conditionalFormatting sqref="J19:J30">
    <cfRule type="cellIs" dxfId="23" priority="1" operator="lessThan">
      <formula>0</formula>
    </cfRule>
    <cfRule type="cellIs" dxfId="22"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2"/>
  <sheetViews>
    <sheetView rightToLeft="1" zoomScale="110" zoomScaleNormal="110" workbookViewId="0">
      <selection activeCell="D1" sqref="D1"/>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25" t="s">
        <v>22</v>
      </c>
    </row>
    <row r="2" spans="1:10" ht="17.25" thickTop="1" x14ac:dyDescent="0.25">
      <c r="A2" s="131" t="s">
        <v>392</v>
      </c>
    </row>
    <row r="3" spans="1:10" s="38" customFormat="1" ht="17.25" thickBot="1" x14ac:dyDescent="0.3">
      <c r="A3" s="131"/>
    </row>
    <row r="4" spans="1:10" s="38" customFormat="1" ht="60.75" customHeight="1" thickBot="1" x14ac:dyDescent="0.25">
      <c r="A4" s="108" t="s">
        <v>0</v>
      </c>
      <c r="B4" s="91" t="s">
        <v>468</v>
      </c>
      <c r="C4" s="40" t="str">
        <f>'הכשרה - קרן י'!$C$3</f>
        <v>מדיניות השקעות 2024</v>
      </c>
      <c r="D4" s="39" t="str">
        <f>'הכשרה - קרן י'!$D$3</f>
        <v>שיעור חשיפה מומלץ לשנת 2025</v>
      </c>
      <c r="E4" s="93" t="s">
        <v>1</v>
      </c>
      <c r="F4" s="345" t="s">
        <v>380</v>
      </c>
      <c r="G4" s="345"/>
      <c r="H4" s="346"/>
      <c r="I4" s="110" t="s">
        <v>2</v>
      </c>
      <c r="J4" s="106" t="str">
        <f>'הכשרה - קרן י'!$J$3</f>
        <v>שינוי ממדיניות 2024</v>
      </c>
    </row>
    <row r="5" spans="1:10" s="38" customFormat="1" x14ac:dyDescent="0.2">
      <c r="A5" s="420" t="s">
        <v>389</v>
      </c>
      <c r="B5" s="452">
        <v>0.935751</v>
      </c>
      <c r="C5" s="461">
        <v>0.92</v>
      </c>
      <c r="D5" s="437">
        <v>0.94</v>
      </c>
      <c r="E5" s="439" t="s">
        <v>5</v>
      </c>
      <c r="F5" s="347">
        <f>D5+6%</f>
        <v>1</v>
      </c>
      <c r="G5" s="350" t="s">
        <v>396</v>
      </c>
      <c r="H5" s="359">
        <f>IF(D5-6%&lt;0%,0%,D5-6%)</f>
        <v>0.87999999999999989</v>
      </c>
      <c r="I5" s="150" t="s">
        <v>472</v>
      </c>
      <c r="J5" s="436">
        <f>D5-C5</f>
        <v>1.9999999999999907E-2</v>
      </c>
    </row>
    <row r="6" spans="1:10" s="38" customFormat="1" x14ac:dyDescent="0.2">
      <c r="A6" s="421"/>
      <c r="B6" s="453"/>
      <c r="C6" s="423"/>
      <c r="D6" s="437"/>
      <c r="E6" s="440"/>
      <c r="F6" s="348"/>
      <c r="G6" s="351"/>
      <c r="H6" s="360"/>
      <c r="I6" s="28" t="s">
        <v>473</v>
      </c>
      <c r="J6" s="431"/>
    </row>
    <row r="7" spans="1:10" s="38" customFormat="1" x14ac:dyDescent="0.2">
      <c r="A7" s="382"/>
      <c r="B7" s="454"/>
      <c r="C7" s="424"/>
      <c r="D7" s="438"/>
      <c r="E7" s="440"/>
      <c r="F7" s="349"/>
      <c r="G7" s="344"/>
      <c r="H7" s="361"/>
      <c r="I7" s="42"/>
      <c r="J7" s="415"/>
    </row>
    <row r="8" spans="1:10" s="38" customFormat="1" ht="17.25" customHeight="1" x14ac:dyDescent="0.2">
      <c r="A8" s="410" t="s">
        <v>390</v>
      </c>
      <c r="B8" s="450">
        <v>9.3826999999999994E-2</v>
      </c>
      <c r="C8" s="459">
        <v>0.1</v>
      </c>
      <c r="D8" s="460">
        <v>0.06</v>
      </c>
      <c r="E8" s="441" t="s">
        <v>6</v>
      </c>
      <c r="F8" s="352">
        <f>D8+5%</f>
        <v>0.11</v>
      </c>
      <c r="G8" s="354" t="s">
        <v>396</v>
      </c>
      <c r="H8" s="372">
        <f>IF(D8-5%&lt;0%,0%,D8-5%)</f>
        <v>9.999999999999995E-3</v>
      </c>
      <c r="I8" s="214" t="s">
        <v>14</v>
      </c>
      <c r="J8" s="458">
        <f>D8-C8</f>
        <v>-4.0000000000000008E-2</v>
      </c>
    </row>
    <row r="9" spans="1:10" s="38" customFormat="1" ht="17.25" customHeight="1" x14ac:dyDescent="0.2">
      <c r="A9" s="411"/>
      <c r="B9" s="451"/>
      <c r="C9" s="409"/>
      <c r="D9" s="433"/>
      <c r="E9" s="441"/>
      <c r="F9" s="353"/>
      <c r="G9" s="355"/>
      <c r="H9" s="373"/>
      <c r="I9" s="42" t="s">
        <v>15</v>
      </c>
      <c r="J9" s="415"/>
    </row>
    <row r="10" spans="1:10" s="38" customFormat="1" x14ac:dyDescent="0.2">
      <c r="A10" s="125" t="s">
        <v>388</v>
      </c>
      <c r="B10" s="444">
        <v>2.0947E-2</v>
      </c>
      <c r="C10" s="459">
        <v>0.01</v>
      </c>
      <c r="D10" s="460">
        <v>0.01</v>
      </c>
      <c r="E10" s="371" t="s">
        <v>5</v>
      </c>
      <c r="F10" s="381">
        <f>D10+6%</f>
        <v>6.9999999999999993E-2</v>
      </c>
      <c r="G10" s="343" t="s">
        <v>396</v>
      </c>
      <c r="H10" s="379">
        <f>IF(D10-6%&lt;0%,0%,D10-6%)</f>
        <v>0</v>
      </c>
      <c r="I10" s="214" t="s">
        <v>16</v>
      </c>
      <c r="J10" s="458">
        <f>D10-C10</f>
        <v>0</v>
      </c>
    </row>
    <row r="11" spans="1:10" s="38" customFormat="1" x14ac:dyDescent="0.2">
      <c r="A11" s="81"/>
      <c r="B11" s="445"/>
      <c r="C11" s="409"/>
      <c r="D11" s="433"/>
      <c r="E11" s="371"/>
      <c r="F11" s="349"/>
      <c r="G11" s="344"/>
      <c r="H11" s="380"/>
      <c r="I11" s="44" t="s">
        <v>17</v>
      </c>
      <c r="J11" s="415"/>
    </row>
    <row r="12" spans="1:10" s="38" customFormat="1" ht="15" x14ac:dyDescent="0.2">
      <c r="A12" s="210" t="s">
        <v>387</v>
      </c>
      <c r="B12" s="212">
        <v>3.7776999999999998E-2</v>
      </c>
      <c r="C12" s="219">
        <v>0.05</v>
      </c>
      <c r="D12" s="281">
        <v>0.05</v>
      </c>
      <c r="E12" s="211" t="s">
        <v>6</v>
      </c>
      <c r="F12" s="173">
        <f>D12+5%</f>
        <v>0.1</v>
      </c>
      <c r="G12" s="169" t="s">
        <v>396</v>
      </c>
      <c r="H12" s="174">
        <f>IF(D12-5%&lt;0%,0%,D12-5%)</f>
        <v>0</v>
      </c>
      <c r="I12" s="47" t="s">
        <v>385</v>
      </c>
      <c r="J12" s="223">
        <f>D12-C12</f>
        <v>0</v>
      </c>
    </row>
    <row r="13" spans="1:10" s="38" customFormat="1" ht="15" x14ac:dyDescent="0.2">
      <c r="A13" s="210" t="s">
        <v>404</v>
      </c>
      <c r="B13" s="212">
        <v>5.2859999999999999E-3</v>
      </c>
      <c r="C13" s="219">
        <v>0.01</v>
      </c>
      <c r="D13" s="281">
        <v>0.01</v>
      </c>
      <c r="E13" s="211" t="s">
        <v>6</v>
      </c>
      <c r="F13" s="173">
        <f>D13+5%</f>
        <v>6.0000000000000005E-2</v>
      </c>
      <c r="G13" s="169" t="s">
        <v>396</v>
      </c>
      <c r="H13" s="174">
        <f>IF(D13-5%&lt;0%,0%,D13-5%)</f>
        <v>0</v>
      </c>
      <c r="I13" s="61" t="s">
        <v>383</v>
      </c>
      <c r="J13" s="158">
        <f>D13-C13</f>
        <v>0</v>
      </c>
    </row>
    <row r="14" spans="1:10" s="38" customFormat="1" ht="15.75" thickBot="1" x14ac:dyDescent="0.25">
      <c r="A14" s="83" t="s">
        <v>405</v>
      </c>
      <c r="B14" s="192">
        <v>9.0207999999999997E-2</v>
      </c>
      <c r="C14" s="220">
        <v>0.11</v>
      </c>
      <c r="D14" s="282">
        <v>0.13</v>
      </c>
      <c r="E14" s="215" t="s">
        <v>6</v>
      </c>
      <c r="F14" s="208">
        <f>D14+5%</f>
        <v>0.18</v>
      </c>
      <c r="G14" s="206" t="s">
        <v>396</v>
      </c>
      <c r="H14" s="207">
        <f>IF(D14-5%&lt;0%,0%,D14-5%)</f>
        <v>0.08</v>
      </c>
      <c r="I14" s="51" t="s">
        <v>12</v>
      </c>
      <c r="J14" s="216">
        <f>D14-C14</f>
        <v>2.0000000000000004E-2</v>
      </c>
    </row>
    <row r="15" spans="1:10" s="38" customFormat="1" ht="15.75" thickBot="1" x14ac:dyDescent="0.25">
      <c r="A15" s="82" t="s">
        <v>3</v>
      </c>
      <c r="B15" s="84">
        <f>SUM(B5:B14)</f>
        <v>1.1837959999999998</v>
      </c>
      <c r="C15" s="89">
        <f>SUM(C5:C14)</f>
        <v>1.2000000000000002</v>
      </c>
      <c r="D15" s="263">
        <f>SUM(D5:D14)</f>
        <v>1.2000000000000002</v>
      </c>
      <c r="E15" s="35"/>
      <c r="F15" s="177"/>
      <c r="G15" s="170"/>
      <c r="H15" s="178"/>
      <c r="I15" s="55"/>
      <c r="J15" s="34">
        <f>SUM(J5:J14)</f>
        <v>-9.7144514654701197E-17</v>
      </c>
    </row>
    <row r="16" spans="1:10" s="38" customFormat="1" ht="15.75" thickBot="1" x14ac:dyDescent="0.25">
      <c r="A16" s="83" t="s">
        <v>4</v>
      </c>
      <c r="B16" s="193">
        <v>0.376772</v>
      </c>
      <c r="C16" s="32">
        <v>0.38</v>
      </c>
      <c r="D16" s="264">
        <v>0.38</v>
      </c>
      <c r="E16" s="58" t="s">
        <v>5</v>
      </c>
      <c r="F16" s="179">
        <f>D16+6%</f>
        <v>0.44</v>
      </c>
      <c r="G16" s="213" t="s">
        <v>396</v>
      </c>
      <c r="H16" s="180">
        <f>IF(D16-6%&lt;0%,0%,D16-6%)</f>
        <v>0.32</v>
      </c>
      <c r="I16" s="33" t="s">
        <v>471</v>
      </c>
      <c r="J16" s="36">
        <f>D16-C16</f>
        <v>0</v>
      </c>
    </row>
    <row r="17" spans="1:10" s="38" customFormat="1" ht="15" thickBot="1" x14ac:dyDescent="0.25">
      <c r="A17" s="161" t="str">
        <f>'הכשרה - קרן י'!$A$17</f>
        <v>מגבלת עמלת ניהול חיצוני לשנת 2025</v>
      </c>
      <c r="B17" s="356">
        <v>2.5000000000000001E-3</v>
      </c>
      <c r="C17" s="357"/>
      <c r="D17" s="357"/>
      <c r="E17" s="357"/>
      <c r="F17" s="357"/>
      <c r="G17" s="357"/>
      <c r="H17" s="357"/>
      <c r="I17" s="357"/>
      <c r="J17" s="358"/>
    </row>
    <row r="18" spans="1:10" ht="15.75" x14ac:dyDescent="0.25">
      <c r="A18" s="9"/>
    </row>
    <row r="19" spans="1:10" ht="15" x14ac:dyDescent="0.25">
      <c r="A19" s="222" t="s">
        <v>13</v>
      </c>
    </row>
    <row r="20" spans="1:10" ht="15" x14ac:dyDescent="0.25">
      <c r="A20" s="222" t="s">
        <v>455</v>
      </c>
    </row>
    <row r="21" spans="1:10" ht="15" x14ac:dyDescent="0.25">
      <c r="A21" s="222" t="s">
        <v>413</v>
      </c>
    </row>
    <row r="22" spans="1:10" ht="15" x14ac:dyDescent="0.25">
      <c r="A22" s="222" t="s">
        <v>456</v>
      </c>
    </row>
  </sheetData>
  <mergeCells count="28">
    <mergeCell ref="F10:F11"/>
    <mergeCell ref="G10:G11"/>
    <mergeCell ref="F4:H4"/>
    <mergeCell ref="A5:A7"/>
    <mergeCell ref="B5:B7"/>
    <mergeCell ref="C5:C7"/>
    <mergeCell ref="D5:D7"/>
    <mergeCell ref="E5:E7"/>
    <mergeCell ref="F5:F7"/>
    <mergeCell ref="G5:G7"/>
    <mergeCell ref="H5:H7"/>
    <mergeCell ref="H10:H11"/>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s>
  <phoneticPr fontId="2" type="noConversion"/>
  <conditionalFormatting sqref="J5:J16">
    <cfRule type="cellIs" dxfId="21" priority="1" operator="lessThan">
      <formula>0</formula>
    </cfRule>
    <cfRule type="cellIs" dxfId="20"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4" sqref="H4"/>
    </sheetView>
  </sheetViews>
  <sheetFormatPr defaultColWidth="9" defaultRowHeight="16.5" x14ac:dyDescent="0.25"/>
  <cols>
    <col min="1" max="1" width="29" style="132" customWidth="1"/>
    <col min="2" max="2" width="14.75" style="132" bestFit="1" customWidth="1"/>
    <col min="3" max="3" width="14.625" style="132" bestFit="1" customWidth="1"/>
    <col min="4" max="5" width="13.5" style="132" customWidth="1"/>
    <col min="6" max="6" width="5.5" style="132" bestFit="1" customWidth="1"/>
    <col min="7" max="7" width="1.5" style="132" bestFit="1" customWidth="1"/>
    <col min="8" max="8" width="5.75" style="132" customWidth="1"/>
    <col min="9" max="9" width="28.25" style="132" bestFit="1" customWidth="1"/>
    <col min="10" max="10" width="16.5" style="132" bestFit="1" customWidth="1"/>
    <col min="11" max="16384" width="9" style="132"/>
  </cols>
  <sheetData>
    <row r="1" spans="1:10" ht="17.25" thickBot="1" x14ac:dyDescent="0.3">
      <c r="A1" s="112" t="s">
        <v>442</v>
      </c>
      <c r="B1" s="195"/>
      <c r="C1" s="195"/>
    </row>
    <row r="2" spans="1:10" ht="18" thickTop="1" thickBot="1" x14ac:dyDescent="0.3"/>
    <row r="3" spans="1:10" ht="45.75" customHeight="1" thickBot="1" x14ac:dyDescent="0.3">
      <c r="A3" s="196" t="s">
        <v>24</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45" t="s">
        <v>380</v>
      </c>
      <c r="G3" s="345"/>
      <c r="H3" s="346"/>
      <c r="I3" s="110" t="s">
        <v>2</v>
      </c>
      <c r="J3" s="106" t="str">
        <f>'הכשרה - קרן י'!$J$3</f>
        <v>שינוי ממדיניות 2024</v>
      </c>
    </row>
    <row r="4" spans="1:10" ht="17.25" thickBot="1" x14ac:dyDescent="0.3">
      <c r="A4" s="242" t="s">
        <v>42</v>
      </c>
      <c r="B4" s="243">
        <v>1</v>
      </c>
      <c r="C4" s="241">
        <v>1</v>
      </c>
      <c r="D4" s="284">
        <v>1</v>
      </c>
      <c r="E4" s="236" t="s">
        <v>5</v>
      </c>
      <c r="F4" s="237">
        <f>D4</f>
        <v>1</v>
      </c>
      <c r="G4" s="238" t="s">
        <v>396</v>
      </c>
      <c r="H4" s="239">
        <f>IF(D4-6%&lt;0%,0%,D4-6%)</f>
        <v>0.94</v>
      </c>
      <c r="I4" s="203" t="s">
        <v>443</v>
      </c>
      <c r="J4" s="240">
        <f>D4-C4</f>
        <v>0</v>
      </c>
    </row>
    <row r="5" spans="1:10" s="38" customFormat="1" ht="15.75" thickBot="1" x14ac:dyDescent="0.25">
      <c r="A5" s="82" t="s">
        <v>3</v>
      </c>
      <c r="B5" s="84">
        <f>SUM(B4)</f>
        <v>1</v>
      </c>
      <c r="C5" s="89">
        <f>SUM(C4)</f>
        <v>1</v>
      </c>
      <c r="D5" s="285">
        <f>SUM(D4)</f>
        <v>1</v>
      </c>
      <c r="E5" s="200"/>
      <c r="F5" s="197"/>
      <c r="G5" s="170"/>
      <c r="H5" s="56"/>
      <c r="I5" s="204"/>
      <c r="J5" s="56">
        <f>SUM(J4)</f>
        <v>0</v>
      </c>
    </row>
    <row r="6" spans="1:10" ht="17.25" thickBot="1" x14ac:dyDescent="0.3">
      <c r="A6" s="83" t="s">
        <v>4</v>
      </c>
      <c r="B6" s="193">
        <v>0.98887400000000003</v>
      </c>
      <c r="C6" s="32">
        <v>1</v>
      </c>
      <c r="D6" s="286">
        <v>1</v>
      </c>
      <c r="E6" s="201" t="s">
        <v>5</v>
      </c>
      <c r="F6" s="198">
        <f>D6+6%</f>
        <v>1.06</v>
      </c>
      <c r="G6" s="171" t="s">
        <v>396</v>
      </c>
      <c r="H6" s="199">
        <f>IF(D6-6%&lt;0%,0%,D6-6%)</f>
        <v>0.94</v>
      </c>
      <c r="I6" s="205" t="s">
        <v>397</v>
      </c>
      <c r="J6" s="202">
        <f>D6-C6</f>
        <v>0</v>
      </c>
    </row>
    <row r="7" spans="1:10" ht="17.25" thickBot="1" x14ac:dyDescent="0.3">
      <c r="A7" s="161" t="str">
        <f>'הכשרה - קרן י'!$A$17</f>
        <v>מגבלת עמלת ניהול חיצוני לשנת 2025</v>
      </c>
      <c r="B7" s="356">
        <v>2.5000000000000001E-3</v>
      </c>
      <c r="C7" s="357"/>
      <c r="D7" s="357">
        <v>2.5000000000000001E-3</v>
      </c>
      <c r="E7" s="357"/>
      <c r="F7" s="357"/>
      <c r="G7" s="357"/>
      <c r="H7" s="357"/>
      <c r="I7" s="357"/>
      <c r="J7" s="358"/>
    </row>
    <row r="8" spans="1:10" x14ac:dyDescent="0.25">
      <c r="I8" s="133"/>
    </row>
    <row r="9" spans="1:10" x14ac:dyDescent="0.25">
      <c r="A9" s="244" t="s">
        <v>446</v>
      </c>
      <c r="B9" s="162"/>
      <c r="C9" s="162"/>
      <c r="D9" s="162"/>
      <c r="E9" s="162"/>
      <c r="F9" s="162"/>
      <c r="G9" s="162"/>
      <c r="H9" s="162"/>
      <c r="I9" s="162"/>
    </row>
    <row r="10" spans="1:10" x14ac:dyDescent="0.25">
      <c r="A10" s="244" t="s">
        <v>447</v>
      </c>
      <c r="B10" s="162"/>
      <c r="C10" s="162"/>
      <c r="D10" s="162"/>
      <c r="E10" s="162"/>
      <c r="F10" s="162"/>
      <c r="G10" s="162"/>
      <c r="H10" s="162"/>
      <c r="I10" s="162"/>
    </row>
    <row r="11" spans="1:10" x14ac:dyDescent="0.25">
      <c r="A11" s="244" t="s">
        <v>431</v>
      </c>
      <c r="B11" s="162"/>
      <c r="C11" s="162"/>
      <c r="D11" s="162"/>
      <c r="E11" s="162"/>
      <c r="F11" s="162"/>
      <c r="G11" s="162"/>
      <c r="H11" s="162"/>
      <c r="I11" s="162"/>
    </row>
    <row r="12" spans="1:10" x14ac:dyDescent="0.25">
      <c r="A12" s="244" t="s">
        <v>445</v>
      </c>
    </row>
    <row r="13" spans="1:10" x14ac:dyDescent="0.25">
      <c r="A13" s="244" t="s">
        <v>448</v>
      </c>
      <c r="B13" s="163"/>
      <c r="C13" s="163"/>
    </row>
    <row r="14" spans="1:10" x14ac:dyDescent="0.25">
      <c r="A14" s="244" t="s">
        <v>437</v>
      </c>
    </row>
    <row r="15" spans="1:10" x14ac:dyDescent="0.25">
      <c r="A15" s="244" t="s">
        <v>449</v>
      </c>
    </row>
    <row r="16" spans="1:10" x14ac:dyDescent="0.25">
      <c r="A16" s="244" t="s">
        <v>450</v>
      </c>
    </row>
    <row r="17" spans="1:1" x14ac:dyDescent="0.25">
      <c r="A17" s="244" t="s">
        <v>440</v>
      </c>
    </row>
    <row r="18" spans="1:1" x14ac:dyDescent="0.25">
      <c r="A18" s="244" t="s">
        <v>441</v>
      </c>
    </row>
    <row r="19" spans="1:1" x14ac:dyDescent="0.25">
      <c r="A19" s="244" t="s">
        <v>444</v>
      </c>
    </row>
  </sheetData>
  <mergeCells count="2">
    <mergeCell ref="F3:H3"/>
    <mergeCell ref="B7:J7"/>
  </mergeCells>
  <conditionalFormatting sqref="J5">
    <cfRule type="cellIs" dxfId="19" priority="3" operator="lessThan">
      <formula>0</formula>
    </cfRule>
    <cfRule type="cellIs" dxfId="18" priority="4" operator="greaterThan">
      <formula>0</formula>
    </cfRule>
  </conditionalFormatting>
  <conditionalFormatting sqref="J6">
    <cfRule type="cellIs" dxfId="17" priority="1" operator="lessThan">
      <formula>0</formula>
    </cfRule>
    <cfRule type="cellIs" dxfId="16" priority="2" operator="greaterThan">
      <formula>0</formula>
    </cfRule>
  </conditionalFormatting>
  <pageMargins left="0.7" right="0.7" top="0.75" bottom="0.75" header="0.3" footer="0.3"/>
  <pageSetup paperSize="9" scale="8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95"/>
  <sheetViews>
    <sheetView rightToLeft="1" zoomScale="90" zoomScaleNormal="90" zoomScaleSheetLayoutView="85" workbookViewId="0">
      <selection activeCell="B74" sqref="B74:K75"/>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512" t="s">
        <v>465</v>
      </c>
      <c r="C2" s="513"/>
      <c r="D2" s="513"/>
      <c r="E2" s="513"/>
      <c r="F2" s="513"/>
      <c r="G2" s="513"/>
      <c r="H2" s="513"/>
      <c r="I2" s="513"/>
      <c r="J2" s="513"/>
      <c r="K2" s="514"/>
    </row>
    <row r="3" spans="2:11" s="12" customFormat="1" ht="14.25" customHeight="1" thickBot="1" x14ac:dyDescent="0.25">
      <c r="B3" s="515"/>
      <c r="C3" s="516"/>
      <c r="D3" s="516"/>
      <c r="E3" s="516"/>
      <c r="F3" s="516"/>
      <c r="G3" s="516"/>
      <c r="H3" s="516"/>
      <c r="I3" s="516"/>
      <c r="J3" s="516"/>
      <c r="K3" s="517"/>
    </row>
    <row r="4" spans="2:11" s="12" customFormat="1" ht="30.75" thickBot="1" x14ac:dyDescent="0.25">
      <c r="B4" s="122" t="s">
        <v>0</v>
      </c>
      <c r="C4" s="117" t="s">
        <v>467</v>
      </c>
      <c r="D4" s="40" t="s">
        <v>464</v>
      </c>
      <c r="E4" s="39" t="s">
        <v>462</v>
      </c>
      <c r="F4" s="41" t="s">
        <v>1</v>
      </c>
      <c r="G4" s="345" t="s">
        <v>380</v>
      </c>
      <c r="H4" s="345"/>
      <c r="I4" s="346"/>
      <c r="J4" s="109" t="s">
        <v>2</v>
      </c>
      <c r="K4" s="111" t="s">
        <v>463</v>
      </c>
    </row>
    <row r="5" spans="2:11" s="12" customFormat="1" ht="14.25" customHeight="1" x14ac:dyDescent="0.2">
      <c r="B5" s="268" t="s">
        <v>389</v>
      </c>
      <c r="C5" s="498">
        <v>0.45072099999999998</v>
      </c>
      <c r="D5" s="500">
        <v>0.46</v>
      </c>
      <c r="E5" s="502">
        <v>0.46</v>
      </c>
      <c r="F5" s="511" t="s">
        <v>5</v>
      </c>
      <c r="G5" s="347">
        <f>E5+6%</f>
        <v>0.52</v>
      </c>
      <c r="H5" s="350" t="s">
        <v>396</v>
      </c>
      <c r="I5" s="359">
        <f>IF(E5-6%&lt;0%,0%,E5-6%)</f>
        <v>0.4</v>
      </c>
      <c r="J5" s="150" t="s">
        <v>472</v>
      </c>
      <c r="K5" s="524">
        <f>E5-D5</f>
        <v>0</v>
      </c>
    </row>
    <row r="6" spans="2:11" s="12" customFormat="1" ht="14.25" customHeight="1" x14ac:dyDescent="0.2">
      <c r="B6" s="268"/>
      <c r="C6" s="498"/>
      <c r="D6" s="501"/>
      <c r="E6" s="503"/>
      <c r="F6" s="425"/>
      <c r="G6" s="348"/>
      <c r="H6" s="351"/>
      <c r="I6" s="360"/>
      <c r="J6" s="28" t="s">
        <v>473</v>
      </c>
      <c r="K6" s="524"/>
    </row>
    <row r="7" spans="2:11" s="12" customFormat="1" ht="14.25" customHeight="1" x14ac:dyDescent="0.2">
      <c r="B7" s="265"/>
      <c r="C7" s="499"/>
      <c r="D7" s="484"/>
      <c r="E7" s="486"/>
      <c r="F7" s="426"/>
      <c r="G7" s="349"/>
      <c r="H7" s="344"/>
      <c r="I7" s="361"/>
      <c r="J7" s="42"/>
      <c r="K7" s="525"/>
    </row>
    <row r="8" spans="2:11" s="12" customFormat="1" ht="14.25" customHeight="1" x14ac:dyDescent="0.2">
      <c r="B8" s="410" t="s">
        <v>390</v>
      </c>
      <c r="C8" s="518">
        <v>0.44857249000000005</v>
      </c>
      <c r="D8" s="504">
        <v>0.41</v>
      </c>
      <c r="E8" s="505">
        <v>0.44</v>
      </c>
      <c r="F8" s="427" t="s">
        <v>6</v>
      </c>
      <c r="G8" s="352">
        <f>E8+5%</f>
        <v>0.49</v>
      </c>
      <c r="H8" s="354" t="s">
        <v>396</v>
      </c>
      <c r="I8" s="372">
        <f>IF(E8-5%&lt;0%,0%,E8-5%)</f>
        <v>0.39</v>
      </c>
      <c r="J8" s="43" t="s">
        <v>14</v>
      </c>
      <c r="K8" s="526">
        <f>E8-D8</f>
        <v>3.0000000000000027E-2</v>
      </c>
    </row>
    <row r="9" spans="2:11" s="12" customFormat="1" ht="14.25" customHeight="1" x14ac:dyDescent="0.2">
      <c r="B9" s="411"/>
      <c r="C9" s="519"/>
      <c r="D9" s="484"/>
      <c r="E9" s="486"/>
      <c r="F9" s="428"/>
      <c r="G9" s="353"/>
      <c r="H9" s="355"/>
      <c r="I9" s="373"/>
      <c r="J9" s="42" t="s">
        <v>15</v>
      </c>
      <c r="K9" s="525"/>
    </row>
    <row r="10" spans="2:11" s="12" customFormat="1" ht="14.25" customHeight="1" x14ac:dyDescent="0.2">
      <c r="B10" s="116" t="s">
        <v>388</v>
      </c>
      <c r="C10" s="509">
        <v>0.13515207000000001</v>
      </c>
      <c r="D10" s="504">
        <v>0.17</v>
      </c>
      <c r="E10" s="505">
        <v>0.13</v>
      </c>
      <c r="F10" s="429" t="s">
        <v>5</v>
      </c>
      <c r="G10" s="381">
        <f>E10+6%</f>
        <v>0.19</v>
      </c>
      <c r="H10" s="343" t="s">
        <v>396</v>
      </c>
      <c r="I10" s="379">
        <f>IF(E10-6%&lt;0%,0%,E10-6%)</f>
        <v>7.0000000000000007E-2</v>
      </c>
      <c r="J10" s="43" t="s">
        <v>16</v>
      </c>
      <c r="K10" s="507">
        <f>E10-D10</f>
        <v>-4.0000000000000008E-2</v>
      </c>
    </row>
    <row r="11" spans="2:11" s="12" customFormat="1" ht="14.25" customHeight="1" x14ac:dyDescent="0.2">
      <c r="B11" s="81"/>
      <c r="C11" s="510"/>
      <c r="D11" s="484"/>
      <c r="E11" s="486"/>
      <c r="F11" s="426"/>
      <c r="G11" s="349"/>
      <c r="H11" s="344"/>
      <c r="I11" s="380"/>
      <c r="J11" s="44" t="s">
        <v>17</v>
      </c>
      <c r="K11" s="508"/>
    </row>
    <row r="12" spans="2:11" s="12" customFormat="1" x14ac:dyDescent="0.2">
      <c r="B12" s="114" t="s">
        <v>387</v>
      </c>
      <c r="C12" s="118">
        <v>0</v>
      </c>
      <c r="D12" s="45">
        <v>0</v>
      </c>
      <c r="E12" s="253">
        <v>0</v>
      </c>
      <c r="F12" s="46" t="s">
        <v>6</v>
      </c>
      <c r="G12" s="173">
        <f>E12+5%</f>
        <v>0.05</v>
      </c>
      <c r="H12" s="169" t="s">
        <v>396</v>
      </c>
      <c r="I12" s="174">
        <f>IF(E12-5%&lt;0%,0%,E12-5%)</f>
        <v>0</v>
      </c>
      <c r="J12" s="47" t="s">
        <v>385</v>
      </c>
      <c r="K12" s="48">
        <f>E12-D12</f>
        <v>0</v>
      </c>
    </row>
    <row r="13" spans="2:11" s="38" customFormat="1" x14ac:dyDescent="0.2">
      <c r="B13" s="114" t="s">
        <v>381</v>
      </c>
      <c r="C13" s="118">
        <v>2.4627620000000003E-2</v>
      </c>
      <c r="D13" s="45">
        <v>0.01</v>
      </c>
      <c r="E13" s="253">
        <v>0.01</v>
      </c>
      <c r="F13" s="46" t="s">
        <v>6</v>
      </c>
      <c r="G13" s="173">
        <f>E13+5%</f>
        <v>6.0000000000000005E-2</v>
      </c>
      <c r="H13" s="169" t="s">
        <v>396</v>
      </c>
      <c r="I13" s="174">
        <f>IF(E13-5%&lt;0%,0%,E13-5%)</f>
        <v>0</v>
      </c>
      <c r="J13" s="63" t="s">
        <v>383</v>
      </c>
      <c r="K13" s="48">
        <f>E13-D13</f>
        <v>0</v>
      </c>
    </row>
    <row r="14" spans="2:11" s="12" customFormat="1" ht="15.75" thickBot="1" x14ac:dyDescent="0.25">
      <c r="B14" s="123" t="s">
        <v>386</v>
      </c>
      <c r="C14" s="119">
        <v>8.9641310000000002E-2</v>
      </c>
      <c r="D14" s="45">
        <v>0.09</v>
      </c>
      <c r="E14" s="254">
        <v>0.09</v>
      </c>
      <c r="F14" s="50" t="s">
        <v>6</v>
      </c>
      <c r="G14" s="175">
        <f>E14+5%</f>
        <v>0.14000000000000001</v>
      </c>
      <c r="H14" s="168" t="s">
        <v>396</v>
      </c>
      <c r="I14" s="176">
        <f>IF(E14-5%&lt;0%,0%,E14-5%)</f>
        <v>3.9999999999999994E-2</v>
      </c>
      <c r="J14" s="51" t="s">
        <v>12</v>
      </c>
      <c r="K14" s="52">
        <f>E14-D14</f>
        <v>0</v>
      </c>
    </row>
    <row r="15" spans="2:11" s="12" customFormat="1" ht="15.75" thickBot="1" x14ac:dyDescent="0.25">
      <c r="B15" s="82" t="s">
        <v>3</v>
      </c>
      <c r="C15" s="120">
        <f>SUM(C5:C14)</f>
        <v>1.1487144899999999</v>
      </c>
      <c r="D15" s="53">
        <f>SUM(D5:D14)</f>
        <v>1.1400000000000001</v>
      </c>
      <c r="E15" s="256">
        <f>SUM(E5:E14)</f>
        <v>1.1300000000000001</v>
      </c>
      <c r="F15" s="54"/>
      <c r="G15" s="177"/>
      <c r="H15" s="170"/>
      <c r="I15" s="178"/>
      <c r="J15" s="55"/>
      <c r="K15" s="56">
        <f>E15-D15</f>
        <v>-1.0000000000000009E-2</v>
      </c>
    </row>
    <row r="16" spans="2:11" s="12" customFormat="1" ht="15.75" thickBot="1" x14ac:dyDescent="0.25">
      <c r="B16" s="83" t="s">
        <v>4</v>
      </c>
      <c r="C16" s="121">
        <v>0.23583300000000001</v>
      </c>
      <c r="D16" s="98">
        <v>0.24</v>
      </c>
      <c r="E16" s="255">
        <v>0.24</v>
      </c>
      <c r="F16" s="58" t="s">
        <v>5</v>
      </c>
      <c r="G16" s="179">
        <f>E16+6%</f>
        <v>0.3</v>
      </c>
      <c r="H16" s="171" t="s">
        <v>396</v>
      </c>
      <c r="I16" s="180">
        <f>IF(E16-6%&lt;0%,0%,E16-6%)</f>
        <v>0.18</v>
      </c>
      <c r="J16" s="33" t="s">
        <v>471</v>
      </c>
      <c r="K16" s="59">
        <f>E16-D16</f>
        <v>0</v>
      </c>
    </row>
    <row r="17" spans="2:11" s="38" customFormat="1" ht="31.5" customHeight="1" thickBot="1" x14ac:dyDescent="0.25">
      <c r="B17" s="161" t="str">
        <f>'הכשרה - קרן י'!$A$17</f>
        <v>מגבלת עמלת ניהול חיצוני לשנת 2025</v>
      </c>
      <c r="C17" s="356">
        <v>2.5000000000000001E-3</v>
      </c>
      <c r="D17" s="357"/>
      <c r="E17" s="357"/>
      <c r="F17" s="357"/>
      <c r="G17" s="357"/>
      <c r="H17" s="357"/>
      <c r="I17" s="357"/>
      <c r="J17" s="357"/>
      <c r="K17" s="358"/>
    </row>
    <row r="18" spans="2:11" s="38" customFormat="1" ht="15" customHeight="1" x14ac:dyDescent="0.25">
      <c r="C18" s="25"/>
      <c r="F18" s="26"/>
      <c r="G18" s="26"/>
      <c r="H18" s="26"/>
    </row>
    <row r="19" spans="2:11" ht="15.75" thickBot="1" x14ac:dyDescent="0.3"/>
    <row r="20" spans="2:11" s="12" customFormat="1" ht="14.25" customHeight="1" x14ac:dyDescent="0.2">
      <c r="B20" s="512" t="s">
        <v>458</v>
      </c>
      <c r="C20" s="513"/>
      <c r="D20" s="513"/>
      <c r="E20" s="513"/>
      <c r="F20" s="513"/>
      <c r="G20" s="513"/>
      <c r="H20" s="513"/>
      <c r="I20" s="513"/>
      <c r="J20" s="513"/>
      <c r="K20" s="514"/>
    </row>
    <row r="21" spans="2:11" s="12" customFormat="1" ht="14.25" customHeight="1" thickBot="1" x14ac:dyDescent="0.25">
      <c r="B21" s="515"/>
      <c r="C21" s="516"/>
      <c r="D21" s="516"/>
      <c r="E21" s="516"/>
      <c r="F21" s="516"/>
      <c r="G21" s="516"/>
      <c r="H21" s="516"/>
      <c r="I21" s="516"/>
      <c r="J21" s="516"/>
      <c r="K21" s="517"/>
    </row>
    <row r="22" spans="2:11" s="12" customFormat="1" ht="30.75" thickBot="1" x14ac:dyDescent="0.25">
      <c r="B22" s="122" t="s">
        <v>0</v>
      </c>
      <c r="C22" s="117" t="str">
        <f>$C$4</f>
        <v>שיעור חשיפה ליום 13/12/2024</v>
      </c>
      <c r="D22" s="40" t="str">
        <f>$D$4</f>
        <v>מדיניות השקעות 2024</v>
      </c>
      <c r="E22" s="39" t="str">
        <f>$E$4</f>
        <v>שיעור חשיפה מומלץ לשנת 2025</v>
      </c>
      <c r="F22" s="250" t="s">
        <v>1</v>
      </c>
      <c r="G22" s="345" t="s">
        <v>380</v>
      </c>
      <c r="H22" s="345"/>
      <c r="I22" s="346"/>
      <c r="J22" s="109" t="s">
        <v>2</v>
      </c>
      <c r="K22" s="252" t="str">
        <f>$K$4</f>
        <v>שינוי מ- 2024</v>
      </c>
    </row>
    <row r="23" spans="2:11" s="12" customFormat="1" ht="14.25" customHeight="1" x14ac:dyDescent="0.2">
      <c r="B23" s="421" t="s">
        <v>389</v>
      </c>
      <c r="C23" s="498">
        <v>0.44338099999999997</v>
      </c>
      <c r="D23" s="500">
        <v>0.41</v>
      </c>
      <c r="E23" s="502">
        <v>0.42</v>
      </c>
      <c r="F23" s="425" t="s">
        <v>5</v>
      </c>
      <c r="G23" s="347">
        <f>E23+6%</f>
        <v>0.48</v>
      </c>
      <c r="H23" s="350" t="s">
        <v>396</v>
      </c>
      <c r="I23" s="359">
        <f>IF(E23-6%&lt;0%,0%,E23-6%)</f>
        <v>0.36</v>
      </c>
      <c r="J23" s="150" t="s">
        <v>472</v>
      </c>
      <c r="K23" s="523">
        <f>E23-D23</f>
        <v>1.0000000000000009E-2</v>
      </c>
    </row>
    <row r="24" spans="2:11" s="12" customFormat="1" ht="14.25" customHeight="1" x14ac:dyDescent="0.2">
      <c r="B24" s="421"/>
      <c r="C24" s="498"/>
      <c r="D24" s="501"/>
      <c r="E24" s="503"/>
      <c r="F24" s="425"/>
      <c r="G24" s="348"/>
      <c r="H24" s="351"/>
      <c r="I24" s="360"/>
      <c r="J24" s="28" t="s">
        <v>473</v>
      </c>
      <c r="K24" s="523"/>
    </row>
    <row r="25" spans="2:11" s="12" customFormat="1" ht="14.25" customHeight="1" x14ac:dyDescent="0.2">
      <c r="B25" s="382"/>
      <c r="C25" s="499"/>
      <c r="D25" s="484"/>
      <c r="E25" s="486"/>
      <c r="F25" s="426"/>
      <c r="G25" s="349"/>
      <c r="H25" s="344"/>
      <c r="I25" s="361"/>
      <c r="J25" s="42"/>
      <c r="K25" s="508"/>
    </row>
    <row r="26" spans="2:11" s="12" customFormat="1" ht="14.25" customHeight="1" x14ac:dyDescent="0.2">
      <c r="B26" s="410" t="s">
        <v>390</v>
      </c>
      <c r="C26" s="518">
        <v>0.29024814999999998</v>
      </c>
      <c r="D26" s="504">
        <v>0.31</v>
      </c>
      <c r="E26" s="505">
        <v>0.3</v>
      </c>
      <c r="F26" s="506" t="s">
        <v>6</v>
      </c>
      <c r="G26" s="352">
        <f>E26+5%</f>
        <v>0.35</v>
      </c>
      <c r="H26" s="354" t="s">
        <v>396</v>
      </c>
      <c r="I26" s="372">
        <f>IF(E26-5%&lt;0%,0%,E26-5%)</f>
        <v>0.25</v>
      </c>
      <c r="J26" s="43" t="s">
        <v>14</v>
      </c>
      <c r="K26" s="521">
        <f>E26-D26</f>
        <v>-1.0000000000000009E-2</v>
      </c>
    </row>
    <row r="27" spans="2:11" s="12" customFormat="1" ht="14.25" customHeight="1" x14ac:dyDescent="0.2">
      <c r="B27" s="411"/>
      <c r="C27" s="519"/>
      <c r="D27" s="484"/>
      <c r="E27" s="486"/>
      <c r="F27" s="428"/>
      <c r="G27" s="353"/>
      <c r="H27" s="355"/>
      <c r="I27" s="373"/>
      <c r="J27" s="42" t="s">
        <v>15</v>
      </c>
      <c r="K27" s="522"/>
    </row>
    <row r="28" spans="2:11" s="12" customFormat="1" ht="14.25" customHeight="1" x14ac:dyDescent="0.2">
      <c r="B28" s="116" t="s">
        <v>388</v>
      </c>
      <c r="C28" s="509">
        <v>0.20597190999999998</v>
      </c>
      <c r="D28" s="504">
        <v>0.22</v>
      </c>
      <c r="E28" s="505">
        <v>0.22</v>
      </c>
      <c r="F28" s="520" t="s">
        <v>5</v>
      </c>
      <c r="G28" s="381">
        <f>E28+6%</f>
        <v>0.28000000000000003</v>
      </c>
      <c r="H28" s="343" t="s">
        <v>396</v>
      </c>
      <c r="I28" s="379">
        <f>IF(E28-6%&lt;0%,0%,E28-6%)</f>
        <v>0.16</v>
      </c>
      <c r="J28" s="43" t="s">
        <v>16</v>
      </c>
      <c r="K28" s="507">
        <f>E28-D28</f>
        <v>0</v>
      </c>
    </row>
    <row r="29" spans="2:11" s="12" customFormat="1" ht="14.25" customHeight="1" x14ac:dyDescent="0.2">
      <c r="B29" s="81"/>
      <c r="C29" s="510"/>
      <c r="D29" s="484"/>
      <c r="E29" s="486"/>
      <c r="F29" s="426"/>
      <c r="G29" s="349"/>
      <c r="H29" s="344"/>
      <c r="I29" s="380"/>
      <c r="J29" s="44" t="s">
        <v>17</v>
      </c>
      <c r="K29" s="508"/>
    </row>
    <row r="30" spans="2:11" s="38" customFormat="1" ht="14.25" customHeight="1" x14ac:dyDescent="0.2">
      <c r="B30" s="114" t="s">
        <v>387</v>
      </c>
      <c r="C30" s="118">
        <v>0</v>
      </c>
      <c r="D30" s="45">
        <v>0</v>
      </c>
      <c r="E30" s="253">
        <v>0</v>
      </c>
      <c r="F30" s="46" t="s">
        <v>6</v>
      </c>
      <c r="G30" s="173">
        <f>E30+5%</f>
        <v>0.05</v>
      </c>
      <c r="H30" s="169" t="s">
        <v>396</v>
      </c>
      <c r="I30" s="174">
        <f>IF(E30-5%&lt;0%,0%,E30-5%)</f>
        <v>0</v>
      </c>
      <c r="J30" s="47" t="s">
        <v>385</v>
      </c>
      <c r="K30" s="48">
        <f>E30-D30</f>
        <v>0</v>
      </c>
    </row>
    <row r="31" spans="2:11" s="12" customFormat="1" x14ac:dyDescent="0.2">
      <c r="B31" s="114" t="s">
        <v>381</v>
      </c>
      <c r="C31" s="118">
        <v>1.2387539999999999E-2</v>
      </c>
      <c r="D31" s="45">
        <v>0.02</v>
      </c>
      <c r="E31" s="253">
        <v>0.02</v>
      </c>
      <c r="F31" s="62" t="s">
        <v>6</v>
      </c>
      <c r="G31" s="173">
        <f>E31+5%</f>
        <v>7.0000000000000007E-2</v>
      </c>
      <c r="H31" s="169" t="s">
        <v>396</v>
      </c>
      <c r="I31" s="174">
        <f>IF(E31-5%&lt;0%,0%,E31-5%)</f>
        <v>0</v>
      </c>
      <c r="J31" s="63" t="s">
        <v>383</v>
      </c>
      <c r="K31" s="64">
        <f>E31-D31</f>
        <v>0</v>
      </c>
    </row>
    <row r="32" spans="2:11" s="12" customFormat="1" ht="15.75" thickBot="1" x14ac:dyDescent="0.25">
      <c r="B32" s="123" t="s">
        <v>386</v>
      </c>
      <c r="C32" s="119">
        <v>4.800952E-2</v>
      </c>
      <c r="D32" s="45">
        <v>0.04</v>
      </c>
      <c r="E32" s="254">
        <v>0.04</v>
      </c>
      <c r="F32" s="50" t="s">
        <v>6</v>
      </c>
      <c r="G32" s="175">
        <f>E32+5%</f>
        <v>0.09</v>
      </c>
      <c r="H32" s="168" t="s">
        <v>396</v>
      </c>
      <c r="I32" s="176">
        <f>IF(E32-5%&lt;0%,0%,E32-5%)</f>
        <v>0</v>
      </c>
      <c r="J32" s="51" t="s">
        <v>12</v>
      </c>
      <c r="K32" s="52">
        <f>E32-D32</f>
        <v>0</v>
      </c>
    </row>
    <row r="33" spans="2:11" s="12" customFormat="1" ht="15.75" thickBot="1" x14ac:dyDescent="0.25">
      <c r="B33" s="82" t="s">
        <v>3</v>
      </c>
      <c r="C33" s="120">
        <f>SUM(C23:C32)</f>
        <v>0.99999811999999999</v>
      </c>
      <c r="D33" s="53">
        <f>SUM(D23:D32)</f>
        <v>1</v>
      </c>
      <c r="E33" s="256">
        <f>SUM(E23:E32)</f>
        <v>1</v>
      </c>
      <c r="F33" s="54"/>
      <c r="G33" s="177"/>
      <c r="H33" s="170"/>
      <c r="I33" s="178"/>
      <c r="J33" s="55"/>
      <c r="K33" s="56">
        <f>E33-D33</f>
        <v>0</v>
      </c>
    </row>
    <row r="34" spans="2:11" s="12" customFormat="1" ht="15.75" thickBot="1" x14ac:dyDescent="0.25">
      <c r="B34" s="83" t="s">
        <v>4</v>
      </c>
      <c r="C34" s="121">
        <v>0.185859</v>
      </c>
      <c r="D34" s="98">
        <v>0.18</v>
      </c>
      <c r="E34" s="255">
        <v>0.18</v>
      </c>
      <c r="F34" s="58" t="s">
        <v>5</v>
      </c>
      <c r="G34" s="179">
        <f>E34+6%</f>
        <v>0.24</v>
      </c>
      <c r="H34" s="171" t="s">
        <v>396</v>
      </c>
      <c r="I34" s="180">
        <f>IF(E34-6%&lt;0%,0%,E34-6%)</f>
        <v>0.12</v>
      </c>
      <c r="J34" s="33" t="s">
        <v>471</v>
      </c>
      <c r="K34" s="59">
        <f>E34-D34</f>
        <v>0</v>
      </c>
    </row>
    <row r="35" spans="2:11" s="38" customFormat="1" ht="31.5" customHeight="1" thickBot="1" x14ac:dyDescent="0.25">
      <c r="B35" s="161" t="str">
        <f>$B$17</f>
        <v>מגבלת עמלת ניהול חיצוני לשנת 2025</v>
      </c>
      <c r="C35" s="356">
        <v>2.5000000000000001E-3</v>
      </c>
      <c r="D35" s="357"/>
      <c r="E35" s="357"/>
      <c r="F35" s="357"/>
      <c r="G35" s="357"/>
      <c r="H35" s="357"/>
      <c r="I35" s="357"/>
      <c r="J35" s="357"/>
      <c r="K35" s="358"/>
    </row>
    <row r="36" spans="2:11" s="38" customFormat="1" x14ac:dyDescent="0.25">
      <c r="C36" s="25"/>
      <c r="F36" s="26"/>
      <c r="G36" s="26"/>
      <c r="H36" s="26"/>
    </row>
    <row r="37" spans="2:11" ht="15.75" thickBot="1" x14ac:dyDescent="0.3"/>
    <row r="38" spans="2:11" s="12" customFormat="1" ht="14.25" customHeight="1" x14ac:dyDescent="0.2">
      <c r="B38" s="512" t="s">
        <v>459</v>
      </c>
      <c r="C38" s="513"/>
      <c r="D38" s="513"/>
      <c r="E38" s="513"/>
      <c r="F38" s="513"/>
      <c r="G38" s="513"/>
      <c r="H38" s="513"/>
      <c r="I38" s="513"/>
      <c r="J38" s="513"/>
      <c r="K38" s="514"/>
    </row>
    <row r="39" spans="2:11" s="12" customFormat="1" ht="14.25" customHeight="1" thickBot="1" x14ac:dyDescent="0.25">
      <c r="B39" s="515"/>
      <c r="C39" s="516"/>
      <c r="D39" s="516"/>
      <c r="E39" s="516"/>
      <c r="F39" s="516"/>
      <c r="G39" s="516"/>
      <c r="H39" s="516"/>
      <c r="I39" s="516"/>
      <c r="J39" s="516"/>
      <c r="K39" s="517"/>
    </row>
    <row r="40" spans="2:11" s="12" customFormat="1" ht="30.75" thickBot="1" x14ac:dyDescent="0.25">
      <c r="B40" s="122" t="s">
        <v>0</v>
      </c>
      <c r="C40" s="117" t="str">
        <f>$C$4</f>
        <v>שיעור חשיפה ליום 13/12/2024</v>
      </c>
      <c r="D40" s="40" t="str">
        <f>$D$4</f>
        <v>מדיניות השקעות 2024</v>
      </c>
      <c r="E40" s="39" t="str">
        <f>$E$4</f>
        <v>שיעור חשיפה מומלץ לשנת 2025</v>
      </c>
      <c r="F40" s="41" t="s">
        <v>1</v>
      </c>
      <c r="G40" s="345" t="s">
        <v>380</v>
      </c>
      <c r="H40" s="345"/>
      <c r="I40" s="346"/>
      <c r="J40" s="109" t="s">
        <v>2</v>
      </c>
      <c r="K40" s="252" t="str">
        <f>$K$4</f>
        <v>שינוי מ- 2024</v>
      </c>
    </row>
    <row r="41" spans="2:11" s="12" customFormat="1" ht="14.25" customHeight="1" x14ac:dyDescent="0.2">
      <c r="B41" s="421" t="s">
        <v>389</v>
      </c>
      <c r="C41" s="498">
        <v>0.45961599999999997</v>
      </c>
      <c r="D41" s="500">
        <v>0.45</v>
      </c>
      <c r="E41" s="502">
        <v>0.46</v>
      </c>
      <c r="F41" s="425" t="s">
        <v>5</v>
      </c>
      <c r="G41" s="347">
        <f>E41+6%</f>
        <v>0.52</v>
      </c>
      <c r="H41" s="350" t="s">
        <v>396</v>
      </c>
      <c r="I41" s="359">
        <f>IF(E41-6%&lt;0%,0%,E41-6%)</f>
        <v>0.4</v>
      </c>
      <c r="J41" s="150" t="s">
        <v>472</v>
      </c>
      <c r="K41" s="523">
        <f>E41-D41</f>
        <v>1.0000000000000009E-2</v>
      </c>
    </row>
    <row r="42" spans="2:11" s="12" customFormat="1" ht="14.25" customHeight="1" x14ac:dyDescent="0.2">
      <c r="B42" s="421"/>
      <c r="C42" s="498"/>
      <c r="D42" s="501"/>
      <c r="E42" s="503"/>
      <c r="F42" s="425"/>
      <c r="G42" s="348"/>
      <c r="H42" s="351"/>
      <c r="I42" s="360"/>
      <c r="J42" s="28" t="s">
        <v>473</v>
      </c>
      <c r="K42" s="523"/>
    </row>
    <row r="43" spans="2:11" s="12" customFormat="1" ht="14.25" customHeight="1" x14ac:dyDescent="0.2">
      <c r="B43" s="382"/>
      <c r="C43" s="499"/>
      <c r="D43" s="484"/>
      <c r="E43" s="486"/>
      <c r="F43" s="426"/>
      <c r="G43" s="349"/>
      <c r="H43" s="344"/>
      <c r="I43" s="361"/>
      <c r="J43" s="42"/>
      <c r="K43" s="508"/>
    </row>
    <row r="44" spans="2:11" s="12" customFormat="1" ht="14.25" customHeight="1" x14ac:dyDescent="0.2">
      <c r="B44" s="410" t="s">
        <v>390</v>
      </c>
      <c r="C44" s="518">
        <v>0.40045831999999998</v>
      </c>
      <c r="D44" s="504">
        <v>0.39</v>
      </c>
      <c r="E44" s="505">
        <v>0.42</v>
      </c>
      <c r="F44" s="506" t="s">
        <v>6</v>
      </c>
      <c r="G44" s="352">
        <f>E44+5%</f>
        <v>0.47</v>
      </c>
      <c r="H44" s="354" t="s">
        <v>396</v>
      </c>
      <c r="I44" s="372">
        <f>IF(E44-5%&lt;0%,0%,E44-5%)</f>
        <v>0.37</v>
      </c>
      <c r="J44" s="43" t="s">
        <v>14</v>
      </c>
      <c r="K44" s="521">
        <f>E44-D44</f>
        <v>2.9999999999999971E-2</v>
      </c>
    </row>
    <row r="45" spans="2:11" s="12" customFormat="1" ht="14.25" customHeight="1" x14ac:dyDescent="0.2">
      <c r="B45" s="411"/>
      <c r="C45" s="519"/>
      <c r="D45" s="484"/>
      <c r="E45" s="486"/>
      <c r="F45" s="428"/>
      <c r="G45" s="353"/>
      <c r="H45" s="355"/>
      <c r="I45" s="373"/>
      <c r="J45" s="42" t="s">
        <v>15</v>
      </c>
      <c r="K45" s="522"/>
    </row>
    <row r="46" spans="2:11" s="12" customFormat="1" ht="14.25" customHeight="1" x14ac:dyDescent="0.2">
      <c r="B46" s="116" t="s">
        <v>388</v>
      </c>
      <c r="C46" s="509">
        <v>0.23951910999999998</v>
      </c>
      <c r="D46" s="504">
        <v>0.25</v>
      </c>
      <c r="E46" s="505">
        <v>0.24</v>
      </c>
      <c r="F46" s="520" t="s">
        <v>5</v>
      </c>
      <c r="G46" s="381">
        <f>E46+6%</f>
        <v>0.3</v>
      </c>
      <c r="H46" s="343" t="s">
        <v>396</v>
      </c>
      <c r="I46" s="379">
        <f>IF(E46-6%&lt;0%,0%,E46-6%)</f>
        <v>0.18</v>
      </c>
      <c r="J46" s="43" t="s">
        <v>16</v>
      </c>
      <c r="K46" s="507">
        <f>E46-D46</f>
        <v>-1.0000000000000009E-2</v>
      </c>
    </row>
    <row r="47" spans="2:11" s="12" customFormat="1" ht="14.25" customHeight="1" x14ac:dyDescent="0.2">
      <c r="B47" s="81"/>
      <c r="C47" s="510"/>
      <c r="D47" s="484"/>
      <c r="E47" s="486"/>
      <c r="F47" s="426"/>
      <c r="G47" s="349"/>
      <c r="H47" s="344"/>
      <c r="I47" s="380"/>
      <c r="J47" s="44" t="s">
        <v>17</v>
      </c>
      <c r="K47" s="508"/>
    </row>
    <row r="48" spans="2:11" s="12" customFormat="1" x14ac:dyDescent="0.2">
      <c r="B48" s="114" t="s">
        <v>387</v>
      </c>
      <c r="C48" s="118">
        <v>3.4039599999999997E-3</v>
      </c>
      <c r="D48" s="45">
        <v>0.01</v>
      </c>
      <c r="E48" s="253">
        <v>0.01</v>
      </c>
      <c r="F48" s="46" t="s">
        <v>6</v>
      </c>
      <c r="G48" s="173">
        <f>E48+5%</f>
        <v>6.0000000000000005E-2</v>
      </c>
      <c r="H48" s="169" t="s">
        <v>396</v>
      </c>
      <c r="I48" s="174">
        <f>IF(E48-5%&lt;0%,0%,E48-5%)</f>
        <v>0</v>
      </c>
      <c r="J48" s="47" t="s">
        <v>385</v>
      </c>
      <c r="K48" s="48">
        <f>E48-D48</f>
        <v>0</v>
      </c>
    </row>
    <row r="49" spans="2:11" s="38" customFormat="1" x14ac:dyDescent="0.2">
      <c r="B49" s="114" t="s">
        <v>381</v>
      </c>
      <c r="C49" s="118">
        <v>1.5212730000000001E-2</v>
      </c>
      <c r="D49" s="45">
        <v>0.02</v>
      </c>
      <c r="E49" s="253">
        <v>0.02</v>
      </c>
      <c r="F49" s="46" t="s">
        <v>6</v>
      </c>
      <c r="G49" s="173">
        <f>E49+5%</f>
        <v>7.0000000000000007E-2</v>
      </c>
      <c r="H49" s="169" t="s">
        <v>396</v>
      </c>
      <c r="I49" s="174">
        <f>IF(E49-5%&lt;0%,0%,E49-5%)</f>
        <v>0</v>
      </c>
      <c r="J49" s="63" t="s">
        <v>383</v>
      </c>
      <c r="K49" s="48">
        <f>E49-D49</f>
        <v>0</v>
      </c>
    </row>
    <row r="50" spans="2:11" s="12" customFormat="1" ht="15.75" thickBot="1" x14ac:dyDescent="0.25">
      <c r="B50" s="123" t="s">
        <v>386</v>
      </c>
      <c r="C50" s="119">
        <v>8.2116879999999989E-2</v>
      </c>
      <c r="D50" s="45">
        <v>0.06</v>
      </c>
      <c r="E50" s="254">
        <v>0.06</v>
      </c>
      <c r="F50" s="50" t="s">
        <v>6</v>
      </c>
      <c r="G50" s="175">
        <f>E50+5%</f>
        <v>0.11</v>
      </c>
      <c r="H50" s="168" t="s">
        <v>396</v>
      </c>
      <c r="I50" s="176">
        <f>IF(E50-5%&lt;0%,0%,E50-5%)</f>
        <v>9.999999999999995E-3</v>
      </c>
      <c r="J50" s="51" t="s">
        <v>12</v>
      </c>
      <c r="K50" s="52">
        <f>E50-D50</f>
        <v>0</v>
      </c>
    </row>
    <row r="51" spans="2:11" s="12" customFormat="1" ht="15.75" thickBot="1" x14ac:dyDescent="0.25">
      <c r="B51" s="82" t="s">
        <v>3</v>
      </c>
      <c r="C51" s="120">
        <f>SUM(C41:C50)</f>
        <v>1.2003269999999999</v>
      </c>
      <c r="D51" s="53">
        <f>SUM(D41:D50)</f>
        <v>1.1800000000000002</v>
      </c>
      <c r="E51" s="256">
        <f>SUM(E41:E50)</f>
        <v>1.2100000000000002</v>
      </c>
      <c r="F51" s="54"/>
      <c r="G51" s="177"/>
      <c r="H51" s="170"/>
      <c r="I51" s="178"/>
      <c r="J51" s="55"/>
      <c r="K51" s="56">
        <f>E51-D51</f>
        <v>3.0000000000000027E-2</v>
      </c>
    </row>
    <row r="52" spans="2:11" s="12" customFormat="1" ht="15.75" thickBot="1" x14ac:dyDescent="0.25">
      <c r="B52" s="83" t="s">
        <v>4</v>
      </c>
      <c r="C52" s="121">
        <v>0.27162799999999998</v>
      </c>
      <c r="D52" s="98">
        <v>0.24</v>
      </c>
      <c r="E52" s="255">
        <v>0.26</v>
      </c>
      <c r="F52" s="58" t="s">
        <v>5</v>
      </c>
      <c r="G52" s="179">
        <f>E52+6%</f>
        <v>0.32</v>
      </c>
      <c r="H52" s="171" t="s">
        <v>396</v>
      </c>
      <c r="I52" s="180">
        <f>IF(E52-6%&lt;0%,0%,E52-6%)</f>
        <v>0.2</v>
      </c>
      <c r="J52" s="33" t="s">
        <v>471</v>
      </c>
      <c r="K52" s="59">
        <f>E52-D52</f>
        <v>2.0000000000000018E-2</v>
      </c>
    </row>
    <row r="53" spans="2:11" s="38" customFormat="1" ht="31.5" customHeight="1" thickBot="1" x14ac:dyDescent="0.25">
      <c r="B53" s="161" t="str">
        <f>$B$17</f>
        <v>מגבלת עמלת ניהול חיצוני לשנת 2025</v>
      </c>
      <c r="C53" s="356">
        <v>2.5000000000000001E-3</v>
      </c>
      <c r="D53" s="357"/>
      <c r="E53" s="357"/>
      <c r="F53" s="357"/>
      <c r="G53" s="357"/>
      <c r="H53" s="357"/>
      <c r="I53" s="357"/>
      <c r="J53" s="357"/>
      <c r="K53" s="358"/>
    </row>
    <row r="54" spans="2:11" s="38" customFormat="1" x14ac:dyDescent="0.25">
      <c r="C54" s="25"/>
      <c r="F54" s="26"/>
      <c r="G54" s="26"/>
      <c r="H54" s="26"/>
    </row>
    <row r="55" spans="2:11" ht="15.75" thickBot="1" x14ac:dyDescent="0.3"/>
    <row r="56" spans="2:11" ht="15" customHeight="1" x14ac:dyDescent="0.2">
      <c r="B56" s="474" t="s">
        <v>460</v>
      </c>
      <c r="C56" s="475"/>
      <c r="D56" s="475"/>
      <c r="E56" s="475"/>
      <c r="F56" s="475"/>
      <c r="G56" s="475"/>
      <c r="H56" s="475"/>
      <c r="I56" s="475"/>
      <c r="J56" s="475"/>
      <c r="K56" s="476"/>
    </row>
    <row r="57" spans="2:11" ht="15.75" customHeight="1" thickBot="1" x14ac:dyDescent="0.25">
      <c r="B57" s="477"/>
      <c r="C57" s="478"/>
      <c r="D57" s="478"/>
      <c r="E57" s="478"/>
      <c r="F57" s="478"/>
      <c r="G57" s="478"/>
      <c r="H57" s="478"/>
      <c r="I57" s="478"/>
      <c r="J57" s="478"/>
      <c r="K57" s="479"/>
    </row>
    <row r="58" spans="2:11" ht="30.75" thickBot="1" x14ac:dyDescent="0.25">
      <c r="B58" s="122" t="s">
        <v>0</v>
      </c>
      <c r="C58" s="303" t="str">
        <f>$C$4</f>
        <v>שיעור חשיפה ליום 13/12/2024</v>
      </c>
      <c r="D58" s="40" t="str">
        <f>$D$4</f>
        <v>מדיניות השקעות 2024</v>
      </c>
      <c r="E58" s="39" t="str">
        <f>$E$4</f>
        <v>שיעור חשיפה מומלץ לשנת 2025</v>
      </c>
      <c r="F58" s="290" t="s">
        <v>1</v>
      </c>
      <c r="G58" s="531" t="s">
        <v>380</v>
      </c>
      <c r="H58" s="531"/>
      <c r="I58" s="531"/>
      <c r="J58" s="109" t="s">
        <v>2</v>
      </c>
      <c r="K58" s="301" t="str">
        <f>$K$4</f>
        <v>שינוי מ- 2024</v>
      </c>
    </row>
    <row r="59" spans="2:11" ht="14.25" customHeight="1" x14ac:dyDescent="0.2">
      <c r="B59" s="382" t="s">
        <v>389</v>
      </c>
      <c r="C59" s="482">
        <v>0.45172199999999996</v>
      </c>
      <c r="D59" s="484">
        <v>0.4</v>
      </c>
      <c r="E59" s="486">
        <v>0.44</v>
      </c>
      <c r="F59" s="426" t="s">
        <v>5</v>
      </c>
      <c r="G59" s="532">
        <f>E59+6%</f>
        <v>0.5</v>
      </c>
      <c r="H59" s="533" t="s">
        <v>396</v>
      </c>
      <c r="I59" s="492">
        <f>IF(E59-6%&lt;0%,0%,E59-6%)</f>
        <v>0.38</v>
      </c>
      <c r="J59" s="150" t="s">
        <v>472</v>
      </c>
      <c r="K59" s="485">
        <f>E59-D59</f>
        <v>3.999999999999998E-2</v>
      </c>
    </row>
    <row r="60" spans="2:11" ht="14.25" customHeight="1" x14ac:dyDescent="0.2">
      <c r="B60" s="383"/>
      <c r="C60" s="483"/>
      <c r="D60" s="472"/>
      <c r="E60" s="487"/>
      <c r="F60" s="491"/>
      <c r="G60" s="529"/>
      <c r="H60" s="530"/>
      <c r="I60" s="493"/>
      <c r="J60" s="28" t="s">
        <v>473</v>
      </c>
      <c r="K60" s="473"/>
    </row>
    <row r="61" spans="2:11" ht="14.25" customHeight="1" x14ac:dyDescent="0.2">
      <c r="B61" s="383"/>
      <c r="C61" s="483"/>
      <c r="D61" s="472"/>
      <c r="E61" s="487"/>
      <c r="F61" s="491"/>
      <c r="G61" s="529"/>
      <c r="H61" s="530"/>
      <c r="I61" s="493"/>
      <c r="J61" s="42"/>
      <c r="K61" s="473"/>
    </row>
    <row r="62" spans="2:11" ht="14.25" customHeight="1" x14ac:dyDescent="0.2">
      <c r="B62" s="534" t="s">
        <v>390</v>
      </c>
      <c r="C62" s="490">
        <v>0.28268727999999999</v>
      </c>
      <c r="D62" s="472">
        <v>0.33</v>
      </c>
      <c r="E62" s="487">
        <v>0.28000000000000003</v>
      </c>
      <c r="F62" s="497" t="s">
        <v>6</v>
      </c>
      <c r="G62" s="527">
        <f>E62+5%</f>
        <v>0.33</v>
      </c>
      <c r="H62" s="528" t="s">
        <v>396</v>
      </c>
      <c r="I62" s="494">
        <f>IF(E62-5%&lt;0%,0%,E62-5%)</f>
        <v>0.23000000000000004</v>
      </c>
      <c r="J62" s="43" t="s">
        <v>14</v>
      </c>
      <c r="K62" s="470">
        <f>E62-D62</f>
        <v>-4.9999999999999989E-2</v>
      </c>
    </row>
    <row r="63" spans="2:11" ht="14.25" customHeight="1" x14ac:dyDescent="0.2">
      <c r="B63" s="535"/>
      <c r="C63" s="490"/>
      <c r="D63" s="472"/>
      <c r="E63" s="487"/>
      <c r="F63" s="497"/>
      <c r="G63" s="527"/>
      <c r="H63" s="528"/>
      <c r="I63" s="495"/>
      <c r="J63" s="42" t="s">
        <v>15</v>
      </c>
      <c r="K63" s="470"/>
    </row>
    <row r="64" spans="2:11" ht="14.25" customHeight="1" x14ac:dyDescent="0.2">
      <c r="B64" s="289" t="s">
        <v>388</v>
      </c>
      <c r="C64" s="471">
        <v>0.27534337000000003</v>
      </c>
      <c r="D64" s="472">
        <v>0.25</v>
      </c>
      <c r="E64" s="487">
        <v>0.3</v>
      </c>
      <c r="F64" s="491" t="s">
        <v>5</v>
      </c>
      <c r="G64" s="529">
        <f>E64+6%</f>
        <v>0.36</v>
      </c>
      <c r="H64" s="530" t="s">
        <v>396</v>
      </c>
      <c r="I64" s="493">
        <f>IF(E64-6%&lt;0%,0%,E64-6%)</f>
        <v>0.24</v>
      </c>
      <c r="J64" s="43" t="s">
        <v>16</v>
      </c>
      <c r="K64" s="473">
        <f>E64-D64</f>
        <v>4.9999999999999989E-2</v>
      </c>
    </row>
    <row r="65" spans="2:11" ht="14.25" customHeight="1" x14ac:dyDescent="0.2">
      <c r="B65" s="302"/>
      <c r="C65" s="471"/>
      <c r="D65" s="472"/>
      <c r="E65" s="487"/>
      <c r="F65" s="491"/>
      <c r="G65" s="529"/>
      <c r="H65" s="530"/>
      <c r="I65" s="496"/>
      <c r="J65" s="44" t="s">
        <v>17</v>
      </c>
      <c r="K65" s="473"/>
    </row>
    <row r="66" spans="2:11" x14ac:dyDescent="0.2">
      <c r="B66" s="289" t="s">
        <v>387</v>
      </c>
      <c r="C66" s="304">
        <v>5.5922899999999998E-3</v>
      </c>
      <c r="D66" s="45">
        <v>0.01</v>
      </c>
      <c r="E66" s="253">
        <v>0.01</v>
      </c>
      <c r="F66" s="46" t="s">
        <v>6</v>
      </c>
      <c r="G66" s="297">
        <f>E66+5%</f>
        <v>6.0000000000000005E-2</v>
      </c>
      <c r="H66" s="296" t="s">
        <v>396</v>
      </c>
      <c r="I66" s="298">
        <f>IF(E66-5%&lt;0%,0%,E66-5%)</f>
        <v>0</v>
      </c>
      <c r="J66" s="47" t="s">
        <v>385</v>
      </c>
      <c r="K66" s="299">
        <f>E66-D66</f>
        <v>0</v>
      </c>
    </row>
    <row r="67" spans="2:11" x14ac:dyDescent="0.2">
      <c r="B67" s="289" t="s">
        <v>381</v>
      </c>
      <c r="C67" s="304">
        <v>1.9978409999999999E-2</v>
      </c>
      <c r="D67" s="45">
        <v>0.05</v>
      </c>
      <c r="E67" s="253">
        <v>0.05</v>
      </c>
      <c r="F67" s="46" t="s">
        <v>6</v>
      </c>
      <c r="G67" s="297">
        <f>E67+5%</f>
        <v>0.1</v>
      </c>
      <c r="H67" s="296" t="s">
        <v>396</v>
      </c>
      <c r="I67" s="298">
        <f>IF(E67-5%&lt;0%,0%,E67-5%)</f>
        <v>0</v>
      </c>
      <c r="J67" s="63" t="s">
        <v>383</v>
      </c>
      <c r="K67" s="299">
        <f>E67-D67</f>
        <v>0</v>
      </c>
    </row>
    <row r="68" spans="2:11" ht="15.75" thickBot="1" x14ac:dyDescent="0.25">
      <c r="B68" s="291" t="s">
        <v>386</v>
      </c>
      <c r="C68" s="295">
        <v>9.2599940000000006E-2</v>
      </c>
      <c r="D68" s="292">
        <v>0.12</v>
      </c>
      <c r="E68" s="293">
        <v>0.08</v>
      </c>
      <c r="F68" s="294" t="s">
        <v>6</v>
      </c>
      <c r="G68" s="305">
        <f>E68+5%</f>
        <v>0.13</v>
      </c>
      <c r="H68" s="306" t="s">
        <v>396</v>
      </c>
      <c r="I68" s="307">
        <f>IF(E68-5%&lt;0%,0%,E68-5%)</f>
        <v>0.03</v>
      </c>
      <c r="J68" s="51" t="s">
        <v>12</v>
      </c>
      <c r="K68" s="308">
        <f>E68-D68</f>
        <v>-3.9999999999999994E-2</v>
      </c>
    </row>
    <row r="69" spans="2:11" ht="15.75" thickBot="1" x14ac:dyDescent="0.25">
      <c r="B69" s="82" t="s">
        <v>3</v>
      </c>
      <c r="C69" s="309">
        <f>SUM(C59:C68)</f>
        <v>1.12792329</v>
      </c>
      <c r="D69" s="53">
        <f>SUM(D59:D68)</f>
        <v>1.1600000000000001</v>
      </c>
      <c r="E69" s="256">
        <f>SUM(E59:E68)</f>
        <v>1.1600000000000001</v>
      </c>
      <c r="F69" s="54"/>
      <c r="G69" s="310"/>
      <c r="H69" s="311"/>
      <c r="I69" s="312"/>
      <c r="J69" s="55"/>
      <c r="K69" s="34">
        <f>E69-D69</f>
        <v>0</v>
      </c>
    </row>
    <row r="70" spans="2:11" ht="15.75" thickBot="1" x14ac:dyDescent="0.25">
      <c r="B70" s="313" t="s">
        <v>4</v>
      </c>
      <c r="C70" s="314">
        <v>0.224798</v>
      </c>
      <c r="D70" s="57">
        <v>0.2</v>
      </c>
      <c r="E70" s="315">
        <v>0.2</v>
      </c>
      <c r="F70" s="316" t="s">
        <v>5</v>
      </c>
      <c r="G70" s="317">
        <f>E70+6%</f>
        <v>0.26</v>
      </c>
      <c r="H70" s="318" t="s">
        <v>396</v>
      </c>
      <c r="I70" s="319">
        <f>IF(E70-6%&lt;0%,0%,E70-6%)</f>
        <v>0.14000000000000001</v>
      </c>
      <c r="J70" s="320" t="s">
        <v>471</v>
      </c>
      <c r="K70" s="321">
        <f>E70-D70</f>
        <v>0</v>
      </c>
    </row>
    <row r="71" spans="2:11" s="38" customFormat="1" ht="31.5" customHeight="1" thickBot="1" x14ac:dyDescent="0.25">
      <c r="B71" s="300" t="str">
        <f>$B$17</f>
        <v>מגבלת עמלת ניהול חיצוני לשנת 2025</v>
      </c>
      <c r="C71" s="465">
        <v>2.5000000000000001E-3</v>
      </c>
      <c r="D71" s="465"/>
      <c r="E71" s="465"/>
      <c r="F71" s="465"/>
      <c r="G71" s="465"/>
      <c r="H71" s="465"/>
      <c r="I71" s="465"/>
      <c r="J71" s="465"/>
      <c r="K71" s="466"/>
    </row>
    <row r="72" spans="2:11" s="38" customFormat="1" x14ac:dyDescent="0.25">
      <c r="C72" s="25"/>
      <c r="F72" s="26"/>
      <c r="G72" s="26"/>
      <c r="H72" s="26"/>
    </row>
    <row r="73" spans="2:11" ht="15.75" thickBot="1" x14ac:dyDescent="0.3"/>
    <row r="74" spans="2:11" s="38" customFormat="1" ht="15" customHeight="1" x14ac:dyDescent="0.2">
      <c r="B74" s="474" t="s">
        <v>461</v>
      </c>
      <c r="C74" s="475"/>
      <c r="D74" s="475"/>
      <c r="E74" s="475"/>
      <c r="F74" s="475"/>
      <c r="G74" s="475"/>
      <c r="H74" s="475"/>
      <c r="I74" s="475"/>
      <c r="J74" s="475"/>
      <c r="K74" s="476"/>
    </row>
    <row r="75" spans="2:11" s="38" customFormat="1" ht="15.75" customHeight="1" thickBot="1" x14ac:dyDescent="0.25">
      <c r="B75" s="477"/>
      <c r="C75" s="478"/>
      <c r="D75" s="478"/>
      <c r="E75" s="478"/>
      <c r="F75" s="478"/>
      <c r="G75" s="478"/>
      <c r="H75" s="478"/>
      <c r="I75" s="478"/>
      <c r="J75" s="478"/>
      <c r="K75" s="479"/>
    </row>
    <row r="76" spans="2:11" s="38" customFormat="1" ht="30.75" thickBot="1" x14ac:dyDescent="0.25">
      <c r="B76" s="322" t="s">
        <v>0</v>
      </c>
      <c r="C76" s="303" t="str">
        <f>$C$4</f>
        <v>שיעור חשיפה ליום 13/12/2024</v>
      </c>
      <c r="D76" s="40" t="str">
        <f>$D$4</f>
        <v>מדיניות השקעות 2024</v>
      </c>
      <c r="E76" s="39" t="str">
        <f>$E$4</f>
        <v>שיעור חשיפה מומלץ לשנת 2025</v>
      </c>
      <c r="F76" s="290" t="s">
        <v>1</v>
      </c>
      <c r="G76" s="531" t="s">
        <v>380</v>
      </c>
      <c r="H76" s="531"/>
      <c r="I76" s="531"/>
      <c r="J76" s="109" t="s">
        <v>2</v>
      </c>
      <c r="K76" s="301" t="str">
        <f>$K$4</f>
        <v>שינוי מ- 2024</v>
      </c>
    </row>
    <row r="77" spans="2:11" s="38" customFormat="1" ht="14.25" customHeight="1" x14ac:dyDescent="0.2">
      <c r="B77" s="480" t="s">
        <v>389</v>
      </c>
      <c r="C77" s="482">
        <v>0.45598500000000003</v>
      </c>
      <c r="D77" s="484">
        <v>0.45</v>
      </c>
      <c r="E77" s="486">
        <v>0.46</v>
      </c>
      <c r="F77" s="426" t="s">
        <v>5</v>
      </c>
      <c r="G77" s="532">
        <f>E77+6%</f>
        <v>0.52</v>
      </c>
      <c r="H77" s="533" t="s">
        <v>396</v>
      </c>
      <c r="I77" s="492">
        <f>IF(E77-6%&lt;0%,0%,E77-6%)</f>
        <v>0.4</v>
      </c>
      <c r="J77" s="150" t="s">
        <v>472</v>
      </c>
      <c r="K77" s="485">
        <f>E77-D77</f>
        <v>1.0000000000000009E-2</v>
      </c>
    </row>
    <row r="78" spans="2:11" s="38" customFormat="1" ht="14.25" customHeight="1" x14ac:dyDescent="0.2">
      <c r="B78" s="481"/>
      <c r="C78" s="483"/>
      <c r="D78" s="472"/>
      <c r="E78" s="487"/>
      <c r="F78" s="491"/>
      <c r="G78" s="529"/>
      <c r="H78" s="530"/>
      <c r="I78" s="493"/>
      <c r="J78" s="28" t="s">
        <v>473</v>
      </c>
      <c r="K78" s="473"/>
    </row>
    <row r="79" spans="2:11" s="38" customFormat="1" ht="14.25" customHeight="1" x14ac:dyDescent="0.2">
      <c r="B79" s="481"/>
      <c r="C79" s="483"/>
      <c r="D79" s="472"/>
      <c r="E79" s="487"/>
      <c r="F79" s="491"/>
      <c r="G79" s="529"/>
      <c r="H79" s="530"/>
      <c r="I79" s="493"/>
      <c r="J79" s="42"/>
      <c r="K79" s="473"/>
    </row>
    <row r="80" spans="2:11" s="38" customFormat="1" ht="14.25" customHeight="1" x14ac:dyDescent="0.2">
      <c r="B80" s="488" t="s">
        <v>390</v>
      </c>
      <c r="C80" s="490">
        <v>0.29437484000000003</v>
      </c>
      <c r="D80" s="472">
        <v>0.31</v>
      </c>
      <c r="E80" s="487">
        <v>0.32</v>
      </c>
      <c r="F80" s="497" t="s">
        <v>6</v>
      </c>
      <c r="G80" s="527">
        <f>E80+5%</f>
        <v>0.37</v>
      </c>
      <c r="H80" s="528" t="s">
        <v>396</v>
      </c>
      <c r="I80" s="494">
        <f>IF(E80-5%&lt;0%,0%,E80-5%)</f>
        <v>0.27</v>
      </c>
      <c r="J80" s="43" t="s">
        <v>14</v>
      </c>
      <c r="K80" s="470">
        <f>E80-D80</f>
        <v>1.0000000000000009E-2</v>
      </c>
    </row>
    <row r="81" spans="2:11" s="38" customFormat="1" ht="14.25" customHeight="1" x14ac:dyDescent="0.2">
      <c r="B81" s="489"/>
      <c r="C81" s="490"/>
      <c r="D81" s="472"/>
      <c r="E81" s="487"/>
      <c r="F81" s="497"/>
      <c r="G81" s="527"/>
      <c r="H81" s="528"/>
      <c r="I81" s="495"/>
      <c r="J81" s="42" t="s">
        <v>15</v>
      </c>
      <c r="K81" s="470"/>
    </row>
    <row r="82" spans="2:11" s="38" customFormat="1" ht="14.25" customHeight="1" x14ac:dyDescent="0.2">
      <c r="B82" s="323" t="s">
        <v>388</v>
      </c>
      <c r="C82" s="471">
        <v>0.22177116000000002</v>
      </c>
      <c r="D82" s="472">
        <v>0.25</v>
      </c>
      <c r="E82" s="487">
        <v>0.25</v>
      </c>
      <c r="F82" s="491" t="s">
        <v>5</v>
      </c>
      <c r="G82" s="529">
        <f>E82+6%</f>
        <v>0.31</v>
      </c>
      <c r="H82" s="530" t="s">
        <v>396</v>
      </c>
      <c r="I82" s="493">
        <f>IF(E82-6%&lt;0%,0%,E82-6%)</f>
        <v>0.19</v>
      </c>
      <c r="J82" s="43" t="s">
        <v>16</v>
      </c>
      <c r="K82" s="473">
        <f>E82-D82</f>
        <v>0</v>
      </c>
    </row>
    <row r="83" spans="2:11" s="38" customFormat="1" ht="14.25" customHeight="1" x14ac:dyDescent="0.2">
      <c r="B83" s="324"/>
      <c r="C83" s="471"/>
      <c r="D83" s="472"/>
      <c r="E83" s="487"/>
      <c r="F83" s="491"/>
      <c r="G83" s="529"/>
      <c r="H83" s="530"/>
      <c r="I83" s="496"/>
      <c r="J83" s="44" t="s">
        <v>17</v>
      </c>
      <c r="K83" s="473"/>
    </row>
    <row r="84" spans="2:11" s="38" customFormat="1" x14ac:dyDescent="0.2">
      <c r="B84" s="323" t="s">
        <v>387</v>
      </c>
      <c r="C84" s="304">
        <v>0</v>
      </c>
      <c r="D84" s="45">
        <v>0</v>
      </c>
      <c r="E84" s="253">
        <v>0</v>
      </c>
      <c r="F84" s="46" t="s">
        <v>6</v>
      </c>
      <c r="G84" s="297">
        <f>E84+5%</f>
        <v>0.05</v>
      </c>
      <c r="H84" s="296" t="s">
        <v>396</v>
      </c>
      <c r="I84" s="298">
        <f>IF(E84-5%&lt;0%,0%,E84-5%)</f>
        <v>0</v>
      </c>
      <c r="J84" s="47" t="s">
        <v>385</v>
      </c>
      <c r="K84" s="299">
        <f>E84-D84</f>
        <v>0</v>
      </c>
    </row>
    <row r="85" spans="2:11" s="38" customFormat="1" x14ac:dyDescent="0.2">
      <c r="B85" s="323" t="s">
        <v>381</v>
      </c>
      <c r="C85" s="304">
        <v>0</v>
      </c>
      <c r="D85" s="45">
        <v>0.01</v>
      </c>
      <c r="E85" s="253">
        <v>0.01</v>
      </c>
      <c r="F85" s="46" t="s">
        <v>6</v>
      </c>
      <c r="G85" s="297">
        <f>E85+5%</f>
        <v>6.0000000000000005E-2</v>
      </c>
      <c r="H85" s="296" t="s">
        <v>396</v>
      </c>
      <c r="I85" s="298">
        <f>IF(E85-5%&lt;0%,0%,E85-5%)</f>
        <v>0</v>
      </c>
      <c r="J85" s="63" t="s">
        <v>383</v>
      </c>
      <c r="K85" s="299">
        <f>E85-D85</f>
        <v>0</v>
      </c>
    </row>
    <row r="86" spans="2:11" s="38" customFormat="1" ht="15.75" thickBot="1" x14ac:dyDescent="0.25">
      <c r="B86" s="325" t="s">
        <v>386</v>
      </c>
      <c r="C86" s="295">
        <v>8.2721940000000008E-2</v>
      </c>
      <c r="D86" s="292">
        <v>0.1</v>
      </c>
      <c r="E86" s="293">
        <v>0.09</v>
      </c>
      <c r="F86" s="294" t="s">
        <v>6</v>
      </c>
      <c r="G86" s="305">
        <f>E86+5%</f>
        <v>0.14000000000000001</v>
      </c>
      <c r="H86" s="306" t="s">
        <v>396</v>
      </c>
      <c r="I86" s="307">
        <f>IF(E86-5%&lt;0%,0%,E86-5%)</f>
        <v>3.9999999999999994E-2</v>
      </c>
      <c r="J86" s="51" t="s">
        <v>12</v>
      </c>
      <c r="K86" s="308">
        <f>E86-D86</f>
        <v>-1.0000000000000009E-2</v>
      </c>
    </row>
    <row r="87" spans="2:11" s="38" customFormat="1" ht="15.75" thickBot="1" x14ac:dyDescent="0.25">
      <c r="B87" s="326" t="s">
        <v>3</v>
      </c>
      <c r="C87" s="309">
        <f>SUM(C77:C86)</f>
        <v>1.0548529400000002</v>
      </c>
      <c r="D87" s="53">
        <f>SUM(D77:D86)</f>
        <v>1.1200000000000001</v>
      </c>
      <c r="E87" s="256">
        <f>SUM(E77:E86)</f>
        <v>1.1300000000000001</v>
      </c>
      <c r="F87" s="54"/>
      <c r="G87" s="310"/>
      <c r="H87" s="311"/>
      <c r="I87" s="312"/>
      <c r="J87" s="55"/>
      <c r="K87" s="34">
        <f>E87-D87</f>
        <v>1.0000000000000009E-2</v>
      </c>
    </row>
    <row r="88" spans="2:11" s="38" customFormat="1" ht="15.75" thickBot="1" x14ac:dyDescent="0.25">
      <c r="B88" s="327" t="s">
        <v>4</v>
      </c>
      <c r="C88" s="314">
        <v>0.19715699999999997</v>
      </c>
      <c r="D88" s="57">
        <v>0.2</v>
      </c>
      <c r="E88" s="315">
        <v>0.2</v>
      </c>
      <c r="F88" s="316" t="s">
        <v>5</v>
      </c>
      <c r="G88" s="317">
        <f>E88+6%</f>
        <v>0.26</v>
      </c>
      <c r="H88" s="318" t="s">
        <v>396</v>
      </c>
      <c r="I88" s="319">
        <f>IF(E88-6%&lt;0%,0%,E88-6%)</f>
        <v>0.14000000000000001</v>
      </c>
      <c r="J88" s="320" t="s">
        <v>471</v>
      </c>
      <c r="K88" s="321">
        <f>E88-D88</f>
        <v>0</v>
      </c>
    </row>
    <row r="89" spans="2:11" s="38" customFormat="1" ht="31.5" customHeight="1" thickBot="1" x14ac:dyDescent="0.25">
      <c r="B89" s="300" t="str">
        <f>$B$17</f>
        <v>מגבלת עמלת ניהול חיצוני לשנת 2025</v>
      </c>
      <c r="C89" s="467">
        <v>2.5000000000000001E-3</v>
      </c>
      <c r="D89" s="468"/>
      <c r="E89" s="468"/>
      <c r="F89" s="468"/>
      <c r="G89" s="468"/>
      <c r="H89" s="468"/>
      <c r="I89" s="468"/>
      <c r="J89" s="468"/>
      <c r="K89" s="469"/>
    </row>
    <row r="90" spans="2:11" x14ac:dyDescent="0.25">
      <c r="B90" s="124"/>
    </row>
    <row r="95" spans="2:11" x14ac:dyDescent="0.25">
      <c r="D95" s="8" t="s">
        <v>393</v>
      </c>
    </row>
  </sheetData>
  <mergeCells count="144">
    <mergeCell ref="G76:I76"/>
    <mergeCell ref="G77:G79"/>
    <mergeCell ref="H77:H79"/>
    <mergeCell ref="G80:G81"/>
    <mergeCell ref="H80:H81"/>
    <mergeCell ref="G82:G83"/>
    <mergeCell ref="H82:H83"/>
    <mergeCell ref="G40:I40"/>
    <mergeCell ref="G41:G43"/>
    <mergeCell ref="H41:H43"/>
    <mergeCell ref="G44:G45"/>
    <mergeCell ref="H44:H45"/>
    <mergeCell ref="G46:G47"/>
    <mergeCell ref="H46:H47"/>
    <mergeCell ref="G58:I58"/>
    <mergeCell ref="G59:G61"/>
    <mergeCell ref="H59:H61"/>
    <mergeCell ref="B56:K57"/>
    <mergeCell ref="B59:B61"/>
    <mergeCell ref="B62:B63"/>
    <mergeCell ref="D59:D61"/>
    <mergeCell ref="D62:D63"/>
    <mergeCell ref="E64:E65"/>
    <mergeCell ref="F59:F61"/>
    <mergeCell ref="G22:I22"/>
    <mergeCell ref="G23:G25"/>
    <mergeCell ref="H23:H25"/>
    <mergeCell ref="G26:G27"/>
    <mergeCell ref="H26:H27"/>
    <mergeCell ref="G28:G29"/>
    <mergeCell ref="H28:H29"/>
    <mergeCell ref="G4:I4"/>
    <mergeCell ref="G5:G7"/>
    <mergeCell ref="H5:H7"/>
    <mergeCell ref="G8:G9"/>
    <mergeCell ref="H8:H9"/>
    <mergeCell ref="G10:G11"/>
    <mergeCell ref="H10:H11"/>
    <mergeCell ref="I26:I27"/>
    <mergeCell ref="I59:I61"/>
    <mergeCell ref="I62:I63"/>
    <mergeCell ref="F62:F63"/>
    <mergeCell ref="F64:F65"/>
    <mergeCell ref="I64:I65"/>
    <mergeCell ref="G62:G63"/>
    <mergeCell ref="H62:H63"/>
    <mergeCell ref="G64:G65"/>
    <mergeCell ref="H64:H65"/>
    <mergeCell ref="F23:F25"/>
    <mergeCell ref="B2:K3"/>
    <mergeCell ref="B38:K39"/>
    <mergeCell ref="K59:K61"/>
    <mergeCell ref="B23:B25"/>
    <mergeCell ref="C23:C25"/>
    <mergeCell ref="D23:D25"/>
    <mergeCell ref="D26:D27"/>
    <mergeCell ref="E26:E27"/>
    <mergeCell ref="F26:F27"/>
    <mergeCell ref="C28:C29"/>
    <mergeCell ref="C8:C9"/>
    <mergeCell ref="B8:B9"/>
    <mergeCell ref="I5:I7"/>
    <mergeCell ref="I10:I11"/>
    <mergeCell ref="C5:C7"/>
    <mergeCell ref="D5:D7"/>
    <mergeCell ref="C10:C11"/>
    <mergeCell ref="D10:D11"/>
    <mergeCell ref="D8:D9"/>
    <mergeCell ref="K5:K7"/>
    <mergeCell ref="K8:K9"/>
    <mergeCell ref="I8:I9"/>
    <mergeCell ref="F46:F47"/>
    <mergeCell ref="K10:K11"/>
    <mergeCell ref="E5:E7"/>
    <mergeCell ref="E8:E9"/>
    <mergeCell ref="F10:F11"/>
    <mergeCell ref="F5:F7"/>
    <mergeCell ref="F8:F9"/>
    <mergeCell ref="E10:E11"/>
    <mergeCell ref="B44:B45"/>
    <mergeCell ref="B20:K21"/>
    <mergeCell ref="C44:C45"/>
    <mergeCell ref="F28:F29"/>
    <mergeCell ref="B26:B27"/>
    <mergeCell ref="C26:C27"/>
    <mergeCell ref="K44:K45"/>
    <mergeCell ref="K26:K27"/>
    <mergeCell ref="E23:E25"/>
    <mergeCell ref="D28:D29"/>
    <mergeCell ref="E28:E29"/>
    <mergeCell ref="K41:K43"/>
    <mergeCell ref="I23:I25"/>
    <mergeCell ref="K23:K25"/>
    <mergeCell ref="I28:I29"/>
    <mergeCell ref="K28:K29"/>
    <mergeCell ref="C17:K17"/>
    <mergeCell ref="F82:F83"/>
    <mergeCell ref="I41:I43"/>
    <mergeCell ref="B41:B43"/>
    <mergeCell ref="C41:C43"/>
    <mergeCell ref="D41:D43"/>
    <mergeCell ref="E41:E43"/>
    <mergeCell ref="F41:F43"/>
    <mergeCell ref="K62:K63"/>
    <mergeCell ref="D44:D45"/>
    <mergeCell ref="E44:E45"/>
    <mergeCell ref="F44:F45"/>
    <mergeCell ref="I44:I45"/>
    <mergeCell ref="E59:E61"/>
    <mergeCell ref="E62:E63"/>
    <mergeCell ref="K64:K65"/>
    <mergeCell ref="C59:C61"/>
    <mergeCell ref="C62:C63"/>
    <mergeCell ref="C64:C65"/>
    <mergeCell ref="K46:K47"/>
    <mergeCell ref="D64:D65"/>
    <mergeCell ref="I46:I47"/>
    <mergeCell ref="C46:C47"/>
    <mergeCell ref="D46:D47"/>
    <mergeCell ref="E46:E47"/>
    <mergeCell ref="C35:K35"/>
    <mergeCell ref="C53:K53"/>
    <mergeCell ref="C71:K71"/>
    <mergeCell ref="C89:K89"/>
    <mergeCell ref="K80:K81"/>
    <mergeCell ref="C82:C83"/>
    <mergeCell ref="D82:D83"/>
    <mergeCell ref="K82:K83"/>
    <mergeCell ref="B74:K75"/>
    <mergeCell ref="B77:B79"/>
    <mergeCell ref="C77:C79"/>
    <mergeCell ref="D77:D79"/>
    <mergeCell ref="K77:K79"/>
    <mergeCell ref="E77:E79"/>
    <mergeCell ref="E80:E81"/>
    <mergeCell ref="E82:E83"/>
    <mergeCell ref="B80:B81"/>
    <mergeCell ref="C80:C81"/>
    <mergeCell ref="D80:D81"/>
    <mergeCell ref="F77:F79"/>
    <mergeCell ref="I77:I79"/>
    <mergeCell ref="I80:I81"/>
    <mergeCell ref="I82:I83"/>
    <mergeCell ref="F80:F81"/>
  </mergeCells>
  <conditionalFormatting sqref="K5:K14 K16">
    <cfRule type="cellIs" dxfId="15" priority="13" operator="lessThan">
      <formula>0</formula>
    </cfRule>
    <cfRule type="cellIs" dxfId="14" priority="14" operator="greaterThan">
      <formula>0</formula>
    </cfRule>
  </conditionalFormatting>
  <conditionalFormatting sqref="K23:K34">
    <cfRule type="cellIs" dxfId="13" priority="11" operator="lessThan">
      <formula>0</formula>
    </cfRule>
    <cfRule type="cellIs" dxfId="12" priority="12" operator="greaterThan">
      <formula>0</formula>
    </cfRule>
  </conditionalFormatting>
  <conditionalFormatting sqref="K41:K52">
    <cfRule type="cellIs" dxfId="11" priority="9" operator="lessThan">
      <formula>0</formula>
    </cfRule>
    <cfRule type="cellIs" dxfId="10" priority="10" operator="greaterThan">
      <formula>0</formula>
    </cfRule>
  </conditionalFormatting>
  <conditionalFormatting sqref="K59:K70">
    <cfRule type="cellIs" dxfId="9" priority="5" operator="lessThan">
      <formula>0</formula>
    </cfRule>
    <cfRule type="cellIs" dxfId="8" priority="6" operator="greaterThan">
      <formula>0</formula>
    </cfRule>
  </conditionalFormatting>
  <conditionalFormatting sqref="K77:K88">
    <cfRule type="cellIs" dxfId="7" priority="3" operator="lessThan">
      <formula>0</formula>
    </cfRule>
    <cfRule type="cellIs" dxfId="6" priority="4" operator="greaterThan">
      <formula>0</formula>
    </cfRule>
  </conditionalFormatting>
  <conditionalFormatting sqref="K15">
    <cfRule type="cellIs" dxfId="5" priority="1" operator="lessThan">
      <formula>0</formula>
    </cfRule>
    <cfRule type="cellIs" dxfId="4"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Order1 xmlns="1ca4df27-5183-4bee-9dbd-0c46c9c4aa40" xsi:nil="true"/>
    <isFileInUse xmlns="1ca4df27-5183-4bee-9dbd-0c46c9c4aa40">true</isFileInUse>
    <IsAccessible xmlns="1ca4df27-5183-4bee-9dbd-0c46c9c4aa40">לא</IsAccessible>
  </documentManagement>
</p:properties>
</file>

<file path=customXml/item2.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7" ma:contentTypeDescription="צור מסמך חדש." ma:contentTypeScope="" ma:versionID="3b5c89049cb974e6c8ba5aaae94b191a">
  <xsd:schema xmlns:xsd="http://www.w3.org/2001/XMLSchema" xmlns:xs="http://www.w3.org/2001/XMLSchema" xmlns:p="http://schemas.microsoft.com/office/2006/metadata/properties" xmlns:ns1="http://schemas.microsoft.com/sharepoint/v3" xmlns:ns2="1ca4df27-5183-4bee-9dbd-0c46c9c4aa40" targetNamespace="http://schemas.microsoft.com/office/2006/metadata/properties" ma:root="true" ma:fieldsID="515741898ba7ffbd0ed53f093d27ce9c" ns1:_="" ns2:_="">
    <xsd:import namespace="http://schemas.microsoft.com/sharepoint/v3"/>
    <xsd:import namespace="1ca4df27-5183-4bee-9dbd-0c46c9c4aa40"/>
    <xsd:element name="properties">
      <xsd:complexType>
        <xsd:sequence>
          <xsd:element name="documentManagement">
            <xsd:complexType>
              <xsd:all>
                <xsd:element ref="ns1:PublishingStartDate" minOccurs="0"/>
                <xsd:element ref="ns1:PublishingExpirationDate" minOccurs="0"/>
                <xsd:element ref="ns1:eWaveListOrderValue" minOccurs="0"/>
                <xsd:element ref="ns2:Order1" minOccurs="0"/>
                <xsd:element ref="ns2:isFileInUse" minOccurs="0"/>
                <xsd:element ref="ns2:IsAccessib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1ca4df27-5183-4bee-9dbd-0c46c9c4aa40" elementFormDefault="qualified">
    <xsd:import namespace="http://schemas.microsoft.com/office/2006/documentManagement/types"/>
    <xsd:import namespace="http://schemas.microsoft.com/office/infopath/2007/PartnerControls"/>
    <xsd:element name="Order1" ma:index="11" nillable="true" ma:displayName="Order" ma:internalName="Order1">
      <xsd:simpleType>
        <xsd:restriction base="dms:Number"/>
      </xsd:simpleType>
    </xsd:element>
    <xsd:element name="isFileInUse" ma:index="12" nillable="true" ma:displayName="האם בשימוש" ma:default="0" ma:internalName="isFileInUse">
      <xsd:simpleType>
        <xsd:restriction base="dms:Boolean"/>
      </xsd:simpleType>
    </xsd:element>
    <xsd:element name="IsAccessible" ma:index="13" nillable="true" ma:displayName="האם מונגש" ma:default="לא" ma:format="Dropdown" ma:internalName="IsAccessible">
      <xsd:simpleType>
        <xsd:restriction base="dms:Choice">
          <xsd:enumeration value="כן"/>
          <xsd:enumeration value="לא"/>
          <xsd:enumeration value="ללא צורך בנגישות"/>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D16F68-D097-4C58-8C3F-2E497934F597}">
  <ds:schemaRefs>
    <ds:schemaRef ds:uri="http://schemas.microsoft.com/office/2006/metadata/properties"/>
    <ds:schemaRef ds:uri="http://purl.org/dc/terms/"/>
    <ds:schemaRef ds:uri="http://schemas.microsoft.com/sharepoint/v3"/>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3B7C2CA-0BC2-4A62-B264-7AB42FFA5483}"/>
</file>

<file path=customXml/itemProps3.xml><?xml version="1.0" encoding="utf-8"?>
<ds:datastoreItem xmlns:ds="http://schemas.openxmlformats.org/officeDocument/2006/customXml" ds:itemID="{35B30A68-F7AA-4EEC-BC91-7867DA87A2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2</vt:i4>
      </vt:variant>
    </vt:vector>
  </HeadingPairs>
  <TitlesOfParts>
    <vt:vector size="19"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2025 - אתר החברה 19.3.25</dc:title>
  <dc:creator/>
  <cp:lastModifiedBy/>
  <dcterms:created xsi:type="dcterms:W3CDTF">2006-09-13T11:28:12Z</dcterms:created>
  <dcterms:modified xsi:type="dcterms:W3CDTF">2025-03-19T05:40:35Z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