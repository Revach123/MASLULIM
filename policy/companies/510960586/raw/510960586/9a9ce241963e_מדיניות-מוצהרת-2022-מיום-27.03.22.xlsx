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028"/>
  <workbookPr defaultThemeVersion="124226"/>
  <mc:AlternateContent xmlns:mc="http://schemas.openxmlformats.org/markup-compatibility/2006">
    <mc:Choice Requires="x15">
      <x15ac:absPath xmlns:x15ac="http://schemas.microsoft.com/office/spreadsheetml/2010/11/ac" url="U:\hanoch\ועדות\ועדת השקעות\"/>
    </mc:Choice>
  </mc:AlternateContent>
  <xr:revisionPtr revIDLastSave="0" documentId="13_ncr:1_{286191A4-742C-48CF-8314-8CD3A103E0B1}" xr6:coauthVersionLast="47" xr6:coauthVersionMax="47" xr10:uidLastSave="{00000000-0000-0000-0000-000000000000}"/>
  <bookViews>
    <workbookView xWindow="-120" yWindow="-120" windowWidth="29040" windowHeight="15840" xr2:uid="{00000000-000D-0000-FFFF-FFFF00000000}"/>
  </bookViews>
  <sheets>
    <sheet name="עד 50 " sheetId="8" r:id="rId1"/>
    <sheet name="50-60" sheetId="5" r:id="rId2"/>
    <sheet name="60 ומעלה " sheetId="4" r:id="rId3"/>
    <sheet name="מסלול מנייתי" sheetId="6" r:id="rId4"/>
    <sheet name="פיצויים" sheetId="2" r:id="rId5"/>
    <sheet name="השתלמות" sheetId="3" r:id="rId6"/>
    <sheet name="קופת גמל להשקעה כללי" sheetId="9" r:id="rId7"/>
    <sheet name="קופת גמל להשקעה מניות" sheetId="10" r:id="rId8"/>
    <sheet name="היבטים של השקעות אחראיות" sheetId="7" r:id="rId9"/>
  </sheet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K17" i="9" l="1"/>
  <c r="I8" i="8"/>
  <c r="I17" i="9" l="1"/>
  <c r="I10" i="9"/>
  <c r="K19" i="9"/>
  <c r="K8" i="9"/>
  <c r="G23" i="9"/>
  <c r="K25" i="9"/>
  <c r="I25" i="9"/>
  <c r="K21" i="9"/>
  <c r="I21" i="9"/>
  <c r="I19" i="9"/>
  <c r="K10" i="9"/>
  <c r="I8" i="9"/>
  <c r="K6" i="9"/>
  <c r="I6" i="9"/>
  <c r="G22" i="4"/>
  <c r="G22" i="5"/>
  <c r="K20" i="5"/>
  <c r="I20" i="5"/>
  <c r="I18" i="5"/>
  <c r="I16" i="8" l="1"/>
  <c r="K24" i="3" l="1"/>
  <c r="I24" i="3"/>
  <c r="G22" i="3"/>
  <c r="K20" i="3"/>
  <c r="I20" i="3"/>
  <c r="K18" i="3"/>
  <c r="I18" i="3"/>
  <c r="K16" i="3"/>
  <c r="I16" i="3"/>
  <c r="K10" i="3"/>
  <c r="I10" i="3"/>
  <c r="K8" i="3"/>
  <c r="I8" i="3"/>
  <c r="K6" i="3"/>
  <c r="I6" i="3"/>
  <c r="K18" i="2"/>
  <c r="I18" i="2"/>
  <c r="K24" i="2"/>
  <c r="I24" i="2"/>
  <c r="G22" i="2"/>
  <c r="K20" i="2"/>
  <c r="I20" i="2"/>
  <c r="K16" i="2"/>
  <c r="I16" i="2"/>
  <c r="K10" i="2"/>
  <c r="I10" i="2"/>
  <c r="K8" i="2"/>
  <c r="I8" i="2"/>
  <c r="K6" i="2"/>
  <c r="I6" i="2"/>
  <c r="K20" i="4" l="1"/>
  <c r="I20" i="4"/>
  <c r="I18" i="4"/>
  <c r="K24" i="4"/>
  <c r="I24" i="4"/>
  <c r="K16" i="4"/>
  <c r="I16" i="4"/>
  <c r="K10" i="4"/>
  <c r="I10" i="4"/>
  <c r="K8" i="4"/>
  <c r="I8" i="4"/>
  <c r="K6" i="4"/>
  <c r="I6" i="4"/>
  <c r="I21" i="8"/>
  <c r="K21" i="8"/>
  <c r="K19" i="8"/>
  <c r="I19" i="8"/>
  <c r="I6" i="8"/>
  <c r="K6" i="8"/>
  <c r="K8" i="8"/>
  <c r="I10" i="8"/>
  <c r="K10" i="8"/>
  <c r="K16" i="8"/>
  <c r="G23" i="8"/>
  <c r="I25" i="8"/>
  <c r="K25" i="8"/>
  <c r="K16" i="5" l="1"/>
  <c r="K24" i="5" l="1"/>
  <c r="I24" i="5"/>
  <c r="I16" i="5"/>
  <c r="K10" i="5"/>
  <c r="I10" i="5"/>
  <c r="K8" i="5"/>
  <c r="I8" i="5"/>
  <c r="K6" i="5"/>
  <c r="I6" i="5"/>
</calcChain>
</file>

<file path=xl/sharedStrings.xml><?xml version="1.0" encoding="utf-8"?>
<sst xmlns="http://schemas.openxmlformats.org/spreadsheetml/2006/main" count="313" uniqueCount="59">
  <si>
    <t>אפיק ההשקעה</t>
  </si>
  <si>
    <t>טווח הסטיה</t>
  </si>
  <si>
    <t>גבולות שיעור החשיפה הצפויה</t>
  </si>
  <si>
    <t>מדד ייחוס</t>
  </si>
  <si>
    <t>אג"ח ממשלתי</t>
  </si>
  <si>
    <t>+/- 5%</t>
  </si>
  <si>
    <t>אג"ח חברות</t>
  </si>
  <si>
    <t>+/- 6%</t>
  </si>
  <si>
    <t>מניות</t>
  </si>
  <si>
    <t>*</t>
  </si>
  <si>
    <t xml:space="preserve">נדל"ן </t>
  </si>
  <si>
    <t>השקעות אלטרנטיביות</t>
  </si>
  <si>
    <t>סה"כ</t>
  </si>
  <si>
    <t>חשיפה למט"ח</t>
  </si>
  <si>
    <t>-</t>
  </si>
  <si>
    <t>מדד מחירי הדירות בבעלות</t>
  </si>
  <si>
    <t>מק"מ</t>
  </si>
  <si>
    <t>מדיניות השקעה</t>
  </si>
  <si>
    <t xml:space="preserve">הנכסים במסלול זה יושקעו בארץ או בחו"ל. </t>
  </si>
  <si>
    <t xml:space="preserve">בכפוף למגבלות ולתנאים שנקבעו בתקנות ההשקעה. </t>
  </si>
  <si>
    <t xml:space="preserve">יתרת הנכסים במסלול יושקעו על פי שיקול דעתו של הגוף המוסדי </t>
  </si>
  <si>
    <t xml:space="preserve">מסלול מנייתי - לפחות 75% מהנכסים יושקעו במניות. </t>
  </si>
  <si>
    <t>**</t>
  </si>
  <si>
    <t xml:space="preserve">מדיניות השקעות אחראיות </t>
  </si>
  <si>
    <t xml:space="preserve">במסגרת פעילות ההשקעות של החברה, יישקלו שיקולים הנוגעים להשקעות אחראיות כמפורט להלן: </t>
  </si>
  <si>
    <t xml:space="preserve">•        במסגרת שיקולי ההשקעה יילקחו בחשבון שיקולים הנוגעים לאיכות הממשל התאגידי בתאגיד נשוא ההשקעה (בין אם מדובר בהשקעות אקוויטי ובין אם מדובר בהשקעות חוב). היישום בפועל של היבטי ממשל תאגידי יבוצע בהתאם לאמות המידה תחום הממשל התאגידי אותו אימצה ועדת ההשקעות של החברה וכן במסגרת אפשרויות השפעה המוקנות לחברה במסגרת השתתפות באסיפות כלליות של בעלי המניות ו/או אסיפות חוב. </t>
  </si>
  <si>
    <t xml:space="preserve">•        החברה תשאף לשיפור באיכות הממשל התאגידי בתאגידים המוחזקים בתיק ההשקעות ובהתאם לעקרונות המודל המיושם בחברה, תיזום פגישות עם תאגידים המדורגים בדירוגים הנמוכים ותנסה להפעיל את השפעתה לשיפור איכות הממשל התאגידי. </t>
  </si>
  <si>
    <t xml:space="preserve">•      במסגרת בחינת השקעות לא סחירות או ביצוע השקעה מהותית בתחום הסחיר (הקצאת פרטית, רכישת נתח משמעותי וכיו"ב), במסגרת הדיון בהצעת ההשקעה, יימסר גילוי בפני ועדת ההשקעות על הרקע של בעלי השליטה בתאגיד, בנוסף לגילוי בנוגע לאיכות הממשל התאגידי בתאגיד נשוא ההשקעה. </t>
  </si>
  <si>
    <t xml:space="preserve">•        כמו כן ובהתייחס להיבטים נוספים של השקעות אחראיות, ובפרט בתחום איכות הסביבה, החברה תבחן במסגרת כל החלטת השקעה את ההשפעה הסביבתית ואת ההשלכות הכלכליות שלה על שווי ההשקעה. במקרה ותובא לפתחה של החברה הצעות השקעה בעלות מאפיינים כלכליים דומים או זהים – תינתן עדיפות להשקעות הטומנות בחובן גם ערכים מתחום עולם ההשקעות האחראיות (לדוגמה מתן העדפה השקעה בתחום האנרגיה המתחדשת אל מול השקעה בחברות מתחום האנרגיות המסורתיות בתשואה דומה או זהה). </t>
  </si>
  <si>
    <t xml:space="preserve">•      זאת ועוד, החברה תבחן ותעמיק את מדיניותה בנוגע ליישום שיקולים הנוגעים להשקעות אחראיות, מדי שנה, ותביא לאישור של ועדת ההשקות את ההצעות לשינויים במדיניותה. </t>
  </si>
  <si>
    <t>•      עיקרי השיקולים כאמור יפורסמו במסגרת הצהרת המדיניות השנתית של החברה באתר האינטרנט של החברה ובדיוור הישיר לציבור העמיתים.</t>
  </si>
  <si>
    <t>מזומן (שקל ומט"ח)</t>
  </si>
  <si>
    <t>מדד אג"ח ממשלתי כללי</t>
  </si>
  <si>
    <t>מתוכו: מניות ישראליות</t>
  </si>
  <si>
    <t>מתוכו: מניות חו"ל</t>
  </si>
  <si>
    <t>ללא טווח סטייה</t>
  </si>
  <si>
    <t>***</t>
  </si>
  <si>
    <t>* כולל הלוואות, פקדונות והלוואות עמיתים</t>
  </si>
  <si>
    <t>מדד ת"א 125 -  20%</t>
  </si>
  <si>
    <t>80% -  MSCI AC</t>
  </si>
  <si>
    <t>30% - iBoxx USD Liquid High Yield</t>
  </si>
  <si>
    <t>מדד תל בונד 60 - 70%</t>
  </si>
  <si>
    <t xml:space="preserve"> Burgiss Private Equity</t>
  </si>
  <si>
    <t>מדיניות ההשקעות לשנת 2022 -  עד גיל 50</t>
  </si>
  <si>
    <t>מדיניות 2021</t>
  </si>
  <si>
    <t>שיעור חשיפה צפוי לשנת 2022</t>
  </si>
  <si>
    <t>מדיניות ההשקעות לשנת 2022 -  גילאי 50-60</t>
  </si>
  <si>
    <t>מדיניות ההשקעות לשנת 2022 -  60 ומעלה</t>
  </si>
  <si>
    <t>מדיניות ההשקעות לשנת 2022 -  המסלול המנייתי</t>
  </si>
  <si>
    <t>מדיניות ההשקעות לשנת 2022 -  קופת הפיצויים</t>
  </si>
  <si>
    <t>מדיניות ההשקעות לשנת 2022 -  קרן ההשתלמות</t>
  </si>
  <si>
    <t>מדיניות ההשקעות לשנת 2022 -  קופת גמל להשקעה מסלול כללי</t>
  </si>
  <si>
    <t>מדיניות ההשקעות לשנת 2022 -  קופת גמל להשקעה מסלול מניות</t>
  </si>
  <si>
    <t>שיעור החשיפה 22.12.2021</t>
  </si>
  <si>
    <t>כולל קרנות השקעה, קרנות גידור לא מנייתיות, מניות לא סחירות והון סיכון***</t>
  </si>
  <si>
    <t>כולל קרנות סל, קרנות מחקות, ETF , קרנות גידור מניות  **</t>
  </si>
  <si>
    <t>כולל קרנות סל, קרנות מחקות, ETF , קרנות גידור מניות **</t>
  </si>
  <si>
    <t>כולל קרנות סל, קרנות מחקות, ETF, קרנות גידור מניות **</t>
  </si>
  <si>
    <t>כולל קרנות סל, קרנות מחקות, ETF , קרנות גידור מניות**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</si>
</sst>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0"/>
      <name val="Arial"/>
      <charset val="177"/>
    </font>
    <font>
      <sz val="10"/>
      <name val="Arial"/>
      <family val="2"/>
    </font>
    <font>
      <sz val="12"/>
      <name val="Arial"/>
      <family val="2"/>
    </font>
    <font>
      <b/>
      <sz val="12"/>
      <name val="Arial"/>
      <family val="2"/>
    </font>
    <font>
      <u/>
      <sz val="12"/>
      <name val="Arial"/>
      <family val="2"/>
    </font>
    <font>
      <i/>
      <sz val="12"/>
      <name val="Arial"/>
      <family val="2"/>
    </font>
    <font>
      <b/>
      <sz val="14"/>
      <name val="Arial"/>
      <family val="2"/>
    </font>
    <font>
      <sz val="14"/>
      <name val="Arial"/>
      <family val="2"/>
    </font>
    <font>
      <sz val="16"/>
      <name val="Arial"/>
      <family val="2"/>
    </font>
    <font>
      <b/>
      <sz val="16"/>
      <name val="Arial"/>
      <family val="2"/>
    </font>
    <font>
      <sz val="11"/>
      <name val="Symbol"/>
      <family val="1"/>
      <charset val="2"/>
    </font>
    <font>
      <sz val="12"/>
      <color theme="1"/>
      <name val="Arial"/>
      <family val="2"/>
      <scheme val="minor"/>
    </font>
    <font>
      <b/>
      <u/>
      <sz val="14"/>
      <name val="Arial"/>
      <family val="2"/>
    </font>
  </fonts>
  <fills count="5">
    <fill>
      <patternFill patternType="none"/>
    </fill>
    <fill>
      <patternFill patternType="gray125"/>
    </fill>
    <fill>
      <patternFill patternType="solid">
        <fgColor theme="8" tint="0.59999389629810485"/>
        <bgColor indexed="64"/>
      </patternFill>
    </fill>
    <fill>
      <patternFill patternType="solid">
        <fgColor theme="6" tint="0.39997558519241921"/>
        <bgColor indexed="64"/>
      </patternFill>
    </fill>
    <fill>
      <patternFill patternType="solid">
        <fgColor theme="0"/>
        <bgColor indexed="64"/>
      </patternFill>
    </fill>
  </fills>
  <borders count="14">
    <border>
      <left/>
      <right/>
      <top/>
      <bottom/>
      <diagonal/>
    </border>
    <border>
      <left/>
      <right/>
      <top style="thin">
        <color indexed="64"/>
      </top>
      <bottom style="medium">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1" fillId="0" borderId="0"/>
  </cellStyleXfs>
  <cellXfs count="223">
    <xf numFmtId="0" fontId="0" fillId="0" borderId="0" xfId="0"/>
    <xf numFmtId="0" fontId="0" fillId="0" borderId="0" xfId="0" applyAlignment="1">
      <alignment vertical="top" wrapText="1"/>
    </xf>
    <xf numFmtId="0" fontId="0" fillId="0" borderId="0" xfId="0" applyBorder="1"/>
    <xf numFmtId="0" fontId="2" fillId="0" borderId="0" xfId="0" applyFont="1"/>
    <xf numFmtId="0" fontId="2" fillId="0" borderId="0" xfId="0" applyFont="1" applyBorder="1"/>
    <xf numFmtId="0" fontId="3" fillId="0" borderId="0" xfId="0" applyFont="1" applyBorder="1" applyAlignment="1">
      <alignment horizontal="center" vertical="top" wrapText="1"/>
    </xf>
    <xf numFmtId="0" fontId="3" fillId="0" borderId="0" xfId="0" applyFont="1"/>
    <xf numFmtId="0" fontId="2" fillId="0" borderId="0" xfId="0" applyFont="1" applyAlignment="1">
      <alignment horizontal="center"/>
    </xf>
    <xf numFmtId="9" fontId="2" fillId="0" borderId="0" xfId="0" applyNumberFormat="1" applyFont="1" applyAlignment="1">
      <alignment horizontal="center"/>
    </xf>
    <xf numFmtId="9" fontId="2" fillId="0" borderId="0" xfId="0" applyNumberFormat="1" applyFont="1" applyBorder="1" applyAlignment="1">
      <alignment horizontal="center"/>
    </xf>
    <xf numFmtId="49" fontId="2" fillId="0" borderId="0" xfId="0" applyNumberFormat="1" applyFont="1" applyAlignment="1">
      <alignment horizontal="center"/>
    </xf>
    <xf numFmtId="9" fontId="2" fillId="0" borderId="0" xfId="0" applyNumberFormat="1" applyFont="1" applyAlignment="1">
      <alignment horizontal="left"/>
    </xf>
    <xf numFmtId="0" fontId="2" fillId="0" borderId="0" xfId="0" applyFont="1" applyBorder="1" applyAlignment="1">
      <alignment horizontal="center"/>
    </xf>
    <xf numFmtId="0" fontId="5" fillId="0" borderId="0" xfId="0" applyFont="1"/>
    <xf numFmtId="0" fontId="5" fillId="0" borderId="0" xfId="0" applyFont="1" applyBorder="1"/>
    <xf numFmtId="9" fontId="5" fillId="0" borderId="0" xfId="0" applyNumberFormat="1" applyFont="1" applyAlignment="1">
      <alignment horizontal="center"/>
    </xf>
    <xf numFmtId="9" fontId="5" fillId="0" borderId="2" xfId="0" applyNumberFormat="1" applyFont="1" applyBorder="1" applyAlignment="1">
      <alignment horizontal="center"/>
    </xf>
    <xf numFmtId="9" fontId="2" fillId="0" borderId="2" xfId="0" applyNumberFormat="1" applyFont="1" applyBorder="1" applyAlignment="1">
      <alignment horizontal="left"/>
    </xf>
    <xf numFmtId="9" fontId="2" fillId="0" borderId="2" xfId="0" applyNumberFormat="1" applyFont="1" applyBorder="1" applyAlignment="1">
      <alignment horizontal="center"/>
    </xf>
    <xf numFmtId="9" fontId="2" fillId="0" borderId="2" xfId="0" applyNumberFormat="1" applyFont="1" applyBorder="1" applyAlignment="1">
      <alignment horizontal="right"/>
    </xf>
    <xf numFmtId="9" fontId="2" fillId="0" borderId="0" xfId="0" applyNumberFormat="1" applyFont="1" applyAlignment="1">
      <alignment horizontal="right"/>
    </xf>
    <xf numFmtId="9" fontId="5" fillId="0" borderId="0" xfId="0" applyNumberFormat="1" applyFont="1" applyAlignment="1">
      <alignment horizontal="left"/>
    </xf>
    <xf numFmtId="9" fontId="5" fillId="0" borderId="0" xfId="0" applyNumberFormat="1" applyFont="1" applyAlignment="1">
      <alignment horizontal="right"/>
    </xf>
    <xf numFmtId="9" fontId="5" fillId="0" borderId="2" xfId="0" applyNumberFormat="1" applyFont="1" applyBorder="1" applyAlignment="1">
      <alignment horizontal="left"/>
    </xf>
    <xf numFmtId="9" fontId="5" fillId="0" borderId="2" xfId="0" applyNumberFormat="1" applyFont="1" applyBorder="1" applyAlignment="1">
      <alignment horizontal="right"/>
    </xf>
    <xf numFmtId="9" fontId="5" fillId="0" borderId="0" xfId="1" applyFont="1" applyBorder="1" applyAlignment="1">
      <alignment horizontal="center"/>
    </xf>
    <xf numFmtId="0" fontId="2" fillId="0" borderId="2" xfId="0" applyFont="1" applyBorder="1"/>
    <xf numFmtId="9" fontId="2" fillId="0" borderId="0" xfId="0" applyNumberFormat="1" applyFont="1" applyBorder="1"/>
    <xf numFmtId="49" fontId="2" fillId="0" borderId="2" xfId="0" applyNumberFormat="1" applyFont="1" applyBorder="1" applyAlignment="1">
      <alignment horizontal="center"/>
    </xf>
    <xf numFmtId="9" fontId="2" fillId="0" borderId="0" xfId="1" applyFont="1" applyBorder="1" applyAlignment="1">
      <alignment horizontal="center"/>
    </xf>
    <xf numFmtId="0" fontId="3" fillId="2" borderId="0" xfId="0" applyFont="1" applyFill="1" applyBorder="1" applyAlignment="1">
      <alignment horizontal="center" vertical="top" wrapText="1"/>
    </xf>
    <xf numFmtId="9" fontId="2" fillId="2" borderId="0" xfId="0" applyNumberFormat="1" applyFont="1" applyFill="1" applyAlignment="1">
      <alignment horizontal="center"/>
    </xf>
    <xf numFmtId="0" fontId="2" fillId="2" borderId="0" xfId="0" applyFont="1" applyFill="1" applyAlignment="1">
      <alignment horizontal="center"/>
    </xf>
    <xf numFmtId="0" fontId="2" fillId="2" borderId="0" xfId="0" applyFont="1" applyFill="1"/>
    <xf numFmtId="9" fontId="2" fillId="2" borderId="2" xfId="0" applyNumberFormat="1" applyFont="1" applyFill="1" applyBorder="1" applyAlignment="1">
      <alignment horizontal="center"/>
    </xf>
    <xf numFmtId="9" fontId="2" fillId="2" borderId="2" xfId="1" applyFont="1" applyFill="1" applyBorder="1" applyAlignment="1">
      <alignment horizontal="center"/>
    </xf>
    <xf numFmtId="0" fontId="3" fillId="3" borderId="0" xfId="0" applyFont="1" applyFill="1" applyBorder="1" applyAlignment="1">
      <alignment horizontal="center" vertical="top" wrapText="1"/>
    </xf>
    <xf numFmtId="9" fontId="2" fillId="3" borderId="0" xfId="0" applyNumberFormat="1" applyFont="1" applyFill="1" applyAlignment="1">
      <alignment horizontal="center"/>
    </xf>
    <xf numFmtId="0" fontId="2" fillId="3" borderId="0" xfId="0" applyFont="1" applyFill="1" applyAlignment="1">
      <alignment horizontal="center"/>
    </xf>
    <xf numFmtId="0" fontId="5" fillId="3" borderId="0" xfId="0" applyFont="1" applyFill="1"/>
    <xf numFmtId="9" fontId="5" fillId="3" borderId="0" xfId="1" applyFont="1" applyFill="1" applyAlignment="1">
      <alignment horizontal="center"/>
    </xf>
    <xf numFmtId="9" fontId="5" fillId="3" borderId="2" xfId="1" applyFont="1" applyFill="1" applyBorder="1" applyAlignment="1">
      <alignment horizontal="center"/>
    </xf>
    <xf numFmtId="9" fontId="2" fillId="3" borderId="0" xfId="0" applyNumberFormat="1" applyFont="1" applyFill="1"/>
    <xf numFmtId="0" fontId="2" fillId="3" borderId="0" xfId="0" applyFont="1" applyFill="1"/>
    <xf numFmtId="9" fontId="2" fillId="3" borderId="2" xfId="1" applyFont="1" applyFill="1" applyBorder="1" applyAlignment="1">
      <alignment horizontal="center"/>
    </xf>
    <xf numFmtId="9" fontId="6" fillId="0" borderId="0" xfId="0" applyNumberFormat="1" applyFont="1" applyAlignment="1">
      <alignment horizontal="center"/>
    </xf>
    <xf numFmtId="9" fontId="6" fillId="0" borderId="2" xfId="0" applyNumberFormat="1" applyFont="1" applyBorder="1" applyAlignment="1">
      <alignment horizontal="center"/>
    </xf>
    <xf numFmtId="0" fontId="6" fillId="0" borderId="0" xfId="0" applyFont="1"/>
    <xf numFmtId="0" fontId="7" fillId="0" borderId="0" xfId="0" applyFont="1" applyAlignment="1">
      <alignment horizontal="center"/>
    </xf>
    <xf numFmtId="9" fontId="2" fillId="3" borderId="2" xfId="0" applyNumberFormat="1" applyFont="1" applyFill="1" applyBorder="1" applyAlignment="1">
      <alignment horizontal="center"/>
    </xf>
    <xf numFmtId="9" fontId="2" fillId="3" borderId="2" xfId="1" applyNumberFormat="1" applyFont="1" applyFill="1" applyBorder="1" applyAlignment="1">
      <alignment horizontal="center"/>
    </xf>
    <xf numFmtId="0" fontId="3" fillId="0" borderId="1" xfId="0" applyFont="1" applyBorder="1" applyAlignment="1">
      <alignment horizontal="center" vertical="top" wrapText="1"/>
    </xf>
    <xf numFmtId="0" fontId="6" fillId="0" borderId="0" xfId="0" applyFont="1" applyAlignment="1">
      <alignment horizontal="center"/>
    </xf>
    <xf numFmtId="0" fontId="6" fillId="0" borderId="0" xfId="0" applyFont="1" applyAlignment="1">
      <alignment horizontal="center"/>
    </xf>
    <xf numFmtId="0" fontId="7" fillId="0" borderId="0" xfId="0" applyFont="1" applyAlignment="1">
      <alignment horizontal="right" wrapText="1"/>
    </xf>
    <xf numFmtId="0" fontId="10" fillId="0" borderId="0" xfId="0" applyFont="1" applyAlignment="1">
      <alignment horizontal="right" vertical="center" readingOrder="2"/>
    </xf>
    <xf numFmtId="0" fontId="3" fillId="0" borderId="1" xfId="0" applyFont="1" applyBorder="1" applyAlignment="1">
      <alignment horizontal="center" vertical="top" wrapText="1"/>
    </xf>
    <xf numFmtId="0" fontId="6" fillId="0" borderId="0" xfId="0" applyFont="1" applyAlignment="1">
      <alignment horizontal="center"/>
    </xf>
    <xf numFmtId="164" fontId="2" fillId="3" borderId="2" xfId="0" applyNumberFormat="1" applyFont="1" applyFill="1" applyBorder="1" applyAlignment="1">
      <alignment horizontal="center"/>
    </xf>
    <xf numFmtId="0" fontId="1" fillId="0" borderId="0" xfId="2"/>
    <xf numFmtId="0" fontId="1" fillId="0" borderId="0" xfId="2" applyBorder="1"/>
    <xf numFmtId="0" fontId="2" fillId="0" borderId="2" xfId="2" applyFont="1" applyBorder="1"/>
    <xf numFmtId="9" fontId="2" fillId="0" borderId="2" xfId="2" applyNumberFormat="1" applyFont="1" applyBorder="1" applyAlignment="1">
      <alignment horizontal="right"/>
    </xf>
    <xf numFmtId="9" fontId="2" fillId="0" borderId="2" xfId="2" applyNumberFormat="1" applyFont="1" applyBorder="1" applyAlignment="1">
      <alignment horizontal="center"/>
    </xf>
    <xf numFmtId="9" fontId="2" fillId="0" borderId="2" xfId="2" applyNumberFormat="1" applyFont="1" applyBorder="1" applyAlignment="1">
      <alignment horizontal="left"/>
    </xf>
    <xf numFmtId="49" fontId="2" fillId="0" borderId="2" xfId="2" applyNumberFormat="1" applyFont="1" applyBorder="1" applyAlignment="1">
      <alignment horizontal="center"/>
    </xf>
    <xf numFmtId="9" fontId="6" fillId="0" borderId="2" xfId="2" applyNumberFormat="1" applyFont="1" applyBorder="1" applyAlignment="1">
      <alignment horizontal="center"/>
    </xf>
    <xf numFmtId="0" fontId="2" fillId="0" borderId="0" xfId="2" applyFont="1" applyBorder="1"/>
    <xf numFmtId="0" fontId="3" fillId="0" borderId="2" xfId="2" applyFont="1" applyBorder="1"/>
    <xf numFmtId="0" fontId="2" fillId="0" borderId="0" xfId="2" applyFont="1"/>
    <xf numFmtId="0" fontId="2" fillId="3" borderId="0" xfId="2" applyFont="1" applyFill="1"/>
    <xf numFmtId="0" fontId="2" fillId="2" borderId="0" xfId="2" applyFont="1" applyFill="1"/>
    <xf numFmtId="9" fontId="2" fillId="3" borderId="2" xfId="2" applyNumberFormat="1" applyFont="1" applyFill="1" applyBorder="1" applyAlignment="1">
      <alignment horizontal="center"/>
    </xf>
    <xf numFmtId="9" fontId="2" fillId="2" borderId="2" xfId="2" applyNumberFormat="1" applyFont="1" applyFill="1" applyBorder="1" applyAlignment="1">
      <alignment horizontal="center"/>
    </xf>
    <xf numFmtId="0" fontId="2" fillId="0" borderId="2" xfId="2" applyFont="1" applyBorder="1" applyAlignment="1">
      <alignment horizontal="center"/>
    </xf>
    <xf numFmtId="9" fontId="5" fillId="0" borderId="2" xfId="2" applyNumberFormat="1" applyFont="1" applyBorder="1" applyAlignment="1">
      <alignment horizontal="right"/>
    </xf>
    <xf numFmtId="9" fontId="11" fillId="4" borderId="0" xfId="2" applyNumberFormat="1" applyFont="1" applyFill="1"/>
    <xf numFmtId="0" fontId="11" fillId="4" borderId="2" xfId="2" applyFont="1" applyFill="1" applyBorder="1" applyAlignment="1">
      <alignment horizontal="center" vertical="center"/>
    </xf>
    <xf numFmtId="0" fontId="11" fillId="4" borderId="0" xfId="2" applyFont="1" applyFill="1" applyAlignment="1">
      <alignment horizontal="center" vertical="center"/>
    </xf>
    <xf numFmtId="9" fontId="2" fillId="0" borderId="0" xfId="2" applyNumberFormat="1" applyFont="1" applyBorder="1"/>
    <xf numFmtId="9" fontId="2" fillId="3" borderId="0" xfId="2" applyNumberFormat="1" applyFont="1" applyFill="1"/>
    <xf numFmtId="9" fontId="5" fillId="0" borderId="2" xfId="2" applyNumberFormat="1" applyFont="1" applyBorder="1" applyAlignment="1">
      <alignment horizontal="center"/>
    </xf>
    <xf numFmtId="9" fontId="5" fillId="0" borderId="2" xfId="2" applyNumberFormat="1" applyFont="1" applyBorder="1" applyAlignment="1">
      <alignment horizontal="left"/>
    </xf>
    <xf numFmtId="49" fontId="2" fillId="0" borderId="0" xfId="2" applyNumberFormat="1" applyFont="1" applyAlignment="1">
      <alignment horizontal="center"/>
    </xf>
    <xf numFmtId="9" fontId="5" fillId="0" borderId="0" xfId="2" applyNumberFormat="1" applyFont="1" applyAlignment="1">
      <alignment horizontal="right"/>
    </xf>
    <xf numFmtId="9" fontId="5" fillId="0" borderId="0" xfId="2" applyNumberFormat="1" applyFont="1" applyAlignment="1">
      <alignment horizontal="center"/>
    </xf>
    <xf numFmtId="9" fontId="5" fillId="0" borderId="0" xfId="2" applyNumberFormat="1" applyFont="1" applyAlignment="1">
      <alignment horizontal="left"/>
    </xf>
    <xf numFmtId="9" fontId="2" fillId="2" borderId="0" xfId="2" applyNumberFormat="1" applyFont="1" applyFill="1" applyAlignment="1">
      <alignment horizontal="center"/>
    </xf>
    <xf numFmtId="0" fontId="5" fillId="0" borderId="0" xfId="2" applyFont="1"/>
    <xf numFmtId="0" fontId="5" fillId="0" borderId="0" xfId="2" applyFont="1" applyBorder="1"/>
    <xf numFmtId="0" fontId="2" fillId="3" borderId="0" xfId="2" applyFont="1" applyFill="1" applyAlignment="1">
      <alignment horizontal="center"/>
    </xf>
    <xf numFmtId="9" fontId="2" fillId="0" borderId="0" xfId="2" applyNumberFormat="1" applyFont="1" applyAlignment="1">
      <alignment horizontal="right"/>
    </xf>
    <xf numFmtId="9" fontId="2" fillId="0" borderId="0" xfId="2" applyNumberFormat="1" applyFont="1" applyAlignment="1">
      <alignment horizontal="center"/>
    </xf>
    <xf numFmtId="9" fontId="2" fillId="0" borderId="0" xfId="2" applyNumberFormat="1" applyFont="1" applyAlignment="1">
      <alignment horizontal="left"/>
    </xf>
    <xf numFmtId="0" fontId="2" fillId="0" borderId="0" xfId="2" applyFont="1" applyAlignment="1">
      <alignment horizontal="center"/>
    </xf>
    <xf numFmtId="0" fontId="2" fillId="0" borderId="0" xfId="2" applyFont="1" applyBorder="1" applyAlignment="1">
      <alignment horizontal="center"/>
    </xf>
    <xf numFmtId="0" fontId="2" fillId="2" borderId="0" xfId="2" applyFont="1" applyFill="1" applyAlignment="1">
      <alignment horizontal="center"/>
    </xf>
    <xf numFmtId="0" fontId="4" fillId="0" borderId="0" xfId="2" applyFont="1" applyBorder="1"/>
    <xf numFmtId="0" fontId="4" fillId="0" borderId="0" xfId="2" applyFont="1"/>
    <xf numFmtId="9" fontId="6" fillId="0" borderId="0" xfId="2" applyNumberFormat="1" applyFont="1" applyAlignment="1">
      <alignment horizontal="center"/>
    </xf>
    <xf numFmtId="9" fontId="2" fillId="0" borderId="0" xfId="2" applyNumberFormat="1" applyFont="1" applyBorder="1" applyAlignment="1">
      <alignment horizontal="center"/>
    </xf>
    <xf numFmtId="9" fontId="2" fillId="3" borderId="0" xfId="2" applyNumberFormat="1" applyFont="1" applyFill="1" applyAlignment="1">
      <alignment horizontal="center"/>
    </xf>
    <xf numFmtId="0" fontId="3" fillId="0" borderId="0" xfId="2" applyFont="1"/>
    <xf numFmtId="0" fontId="1" fillId="0" borderId="0" xfId="2" applyAlignment="1">
      <alignment vertical="top" wrapText="1"/>
    </xf>
    <xf numFmtId="0" fontId="3" fillId="0" borderId="0" xfId="2" applyFont="1" applyBorder="1" applyAlignment="1">
      <alignment horizontal="center" vertical="top" wrapText="1"/>
    </xf>
    <xf numFmtId="0" fontId="3" fillId="3" borderId="0" xfId="2" applyFont="1" applyFill="1" applyBorder="1" applyAlignment="1">
      <alignment horizontal="center" vertical="top" wrapText="1"/>
    </xf>
    <xf numFmtId="0" fontId="3" fillId="2" borderId="0" xfId="2" applyFont="1" applyFill="1" applyBorder="1" applyAlignment="1">
      <alignment horizontal="center" vertical="top" wrapText="1"/>
    </xf>
    <xf numFmtId="0" fontId="3" fillId="0" borderId="1" xfId="2" applyFont="1" applyBorder="1" applyAlignment="1">
      <alignment horizontal="center" vertical="top" wrapText="1"/>
    </xf>
    <xf numFmtId="0" fontId="3" fillId="0" borderId="1" xfId="2" applyFont="1" applyBorder="1" applyAlignment="1">
      <alignment horizontal="center" vertical="top" wrapText="1"/>
    </xf>
    <xf numFmtId="0" fontId="3" fillId="3" borderId="1" xfId="2" applyFont="1" applyFill="1" applyBorder="1" applyAlignment="1">
      <alignment horizontal="center" vertical="top" wrapText="1"/>
    </xf>
    <xf numFmtId="0" fontId="3" fillId="2" borderId="1" xfId="2" applyFont="1" applyFill="1" applyBorder="1" applyAlignment="1">
      <alignment horizontal="center" vertical="top" wrapText="1"/>
    </xf>
    <xf numFmtId="0" fontId="7" fillId="0" borderId="0" xfId="2" applyFont="1" applyAlignment="1">
      <alignment horizontal="center"/>
    </xf>
    <xf numFmtId="164" fontId="2" fillId="0" borderId="2" xfId="2" applyNumberFormat="1" applyFont="1" applyBorder="1" applyAlignment="1">
      <alignment horizontal="left"/>
    </xf>
    <xf numFmtId="164" fontId="5" fillId="3" borderId="0" xfId="1" applyNumberFormat="1" applyFont="1" applyFill="1" applyAlignment="1">
      <alignment horizontal="center"/>
    </xf>
    <xf numFmtId="164" fontId="5" fillId="3" borderId="2" xfId="1" applyNumberFormat="1" applyFont="1" applyFill="1" applyBorder="1" applyAlignment="1">
      <alignment horizontal="center"/>
    </xf>
    <xf numFmtId="164" fontId="2" fillId="3" borderId="2" xfId="1" applyNumberFormat="1" applyFont="1" applyFill="1" applyBorder="1" applyAlignment="1">
      <alignment horizontal="center"/>
    </xf>
    <xf numFmtId="164" fontId="2" fillId="3" borderId="0" xfId="0" applyNumberFormat="1" applyFont="1" applyFill="1" applyAlignment="1">
      <alignment horizontal="center"/>
    </xf>
    <xf numFmtId="0" fontId="6" fillId="0" borderId="0" xfId="0" applyFont="1" applyBorder="1" applyAlignment="1">
      <alignment horizontal="center"/>
    </xf>
    <xf numFmtId="49" fontId="8" fillId="4" borderId="4" xfId="0" applyNumberFormat="1" applyFont="1" applyFill="1" applyBorder="1" applyAlignment="1"/>
    <xf numFmtId="49" fontId="8" fillId="4" borderId="3" xfId="0" applyNumberFormat="1" applyFont="1" applyFill="1" applyBorder="1" applyAlignment="1"/>
    <xf numFmtId="49" fontId="8" fillId="4" borderId="5" xfId="0" applyNumberFormat="1" applyFont="1" applyFill="1" applyBorder="1" applyAlignment="1"/>
    <xf numFmtId="0" fontId="8" fillId="4" borderId="6" xfId="0" applyFont="1" applyFill="1" applyBorder="1" applyAlignment="1"/>
    <xf numFmtId="0" fontId="8" fillId="4" borderId="0" xfId="0" applyFont="1" applyFill="1" applyBorder="1" applyAlignment="1"/>
    <xf numFmtId="0" fontId="8" fillId="4" borderId="7" xfId="0" applyFont="1" applyFill="1" applyBorder="1" applyAlignment="1"/>
    <xf numFmtId="49" fontId="8" fillId="4" borderId="6" xfId="0" applyNumberFormat="1" applyFont="1" applyFill="1" applyBorder="1" applyAlignment="1">
      <alignment horizontal="right"/>
    </xf>
    <xf numFmtId="49" fontId="8" fillId="4" borderId="0" xfId="0" applyNumberFormat="1" applyFont="1" applyFill="1" applyBorder="1" applyAlignment="1"/>
    <xf numFmtId="49" fontId="8" fillId="4" borderId="7" xfId="0" applyNumberFormat="1" applyFont="1" applyFill="1" applyBorder="1" applyAlignment="1"/>
    <xf numFmtId="0" fontId="9" fillId="4" borderId="8" xfId="0" applyFont="1" applyFill="1" applyBorder="1" applyAlignment="1">
      <alignment horizontal="center"/>
    </xf>
    <xf numFmtId="0" fontId="9" fillId="4" borderId="2" xfId="0" applyFont="1" applyFill="1" applyBorder="1" applyAlignment="1">
      <alignment horizontal="center"/>
    </xf>
    <xf numFmtId="0" fontId="9" fillId="4" borderId="9" xfId="0" applyFont="1" applyFill="1" applyBorder="1" applyAlignment="1">
      <alignment horizontal="center"/>
    </xf>
    <xf numFmtId="0" fontId="1" fillId="0" borderId="0" xfId="2" applyAlignment="1">
      <alignment readingOrder="2"/>
    </xf>
    <xf numFmtId="0" fontId="1" fillId="0" borderId="0" xfId="2" applyAlignment="1">
      <alignment horizontal="right" readingOrder="2"/>
    </xf>
    <xf numFmtId="0" fontId="3" fillId="0" borderId="1" xfId="2" applyFont="1" applyBorder="1" applyAlignment="1">
      <alignment horizontal="center" vertical="top" wrapText="1"/>
    </xf>
    <xf numFmtId="0" fontId="0" fillId="0" borderId="0" xfId="0" applyAlignment="1">
      <alignment readingOrder="1"/>
    </xf>
    <xf numFmtId="0" fontId="11" fillId="4" borderId="0" xfId="2" applyFont="1" applyFill="1" applyBorder="1" applyAlignment="1">
      <alignment horizontal="center" vertical="center"/>
    </xf>
    <xf numFmtId="9" fontId="11" fillId="4" borderId="0" xfId="2" applyNumberFormat="1" applyFont="1" applyFill="1" applyBorder="1"/>
    <xf numFmtId="0" fontId="2" fillId="4" borderId="0" xfId="2" applyFont="1" applyFill="1" applyBorder="1"/>
    <xf numFmtId="0" fontId="1" fillId="4" borderId="0" xfId="2" applyFill="1" applyBorder="1"/>
    <xf numFmtId="0" fontId="7" fillId="4" borderId="0" xfId="2" applyFont="1" applyFill="1" applyBorder="1" applyAlignment="1">
      <alignment horizontal="center"/>
    </xf>
    <xf numFmtId="0" fontId="3" fillId="4" borderId="0" xfId="2" applyFont="1" applyFill="1" applyBorder="1" applyAlignment="1">
      <alignment horizontal="center" vertical="top" wrapText="1"/>
    </xf>
    <xf numFmtId="0" fontId="1" fillId="4" borderId="0" xfId="2" applyFill="1" applyBorder="1" applyAlignment="1">
      <alignment vertical="top" wrapText="1"/>
    </xf>
    <xf numFmtId="0" fontId="3" fillId="4" borderId="0" xfId="2" applyFont="1" applyFill="1" applyBorder="1"/>
    <xf numFmtId="9" fontId="2" fillId="4" borderId="0" xfId="2" applyNumberFormat="1" applyFont="1" applyFill="1" applyBorder="1" applyAlignment="1">
      <alignment horizontal="center"/>
    </xf>
    <xf numFmtId="9" fontId="6" fillId="4" borderId="0" xfId="2" applyNumberFormat="1" applyFont="1" applyFill="1" applyBorder="1" applyAlignment="1">
      <alignment horizontal="center"/>
    </xf>
    <xf numFmtId="49" fontId="2" fillId="4" borderId="0" xfId="2" applyNumberFormat="1" applyFont="1" applyFill="1" applyBorder="1" applyAlignment="1">
      <alignment horizontal="center"/>
    </xf>
    <xf numFmtId="9" fontId="2" fillId="4" borderId="0" xfId="2" applyNumberFormat="1" applyFont="1" applyFill="1" applyBorder="1" applyAlignment="1">
      <alignment horizontal="left"/>
    </xf>
    <xf numFmtId="9" fontId="2" fillId="4" borderId="0" xfId="2" applyNumberFormat="1" applyFont="1" applyFill="1" applyBorder="1" applyAlignment="1">
      <alignment horizontal="right"/>
    </xf>
    <xf numFmtId="0" fontId="2" fillId="4" borderId="0" xfId="2" applyFont="1" applyFill="1" applyBorder="1" applyAlignment="1">
      <alignment horizontal="center"/>
    </xf>
    <xf numFmtId="0" fontId="4" fillId="4" borderId="0" xfId="2" applyFont="1" applyFill="1" applyBorder="1"/>
    <xf numFmtId="0" fontId="5" fillId="4" borderId="0" xfId="2" applyFont="1" applyFill="1" applyBorder="1"/>
    <xf numFmtId="9" fontId="5" fillId="4" borderId="0" xfId="2" applyNumberFormat="1" applyFont="1" applyFill="1" applyBorder="1" applyAlignment="1">
      <alignment horizontal="left"/>
    </xf>
    <xf numFmtId="9" fontId="5" fillId="4" borderId="0" xfId="2" applyNumberFormat="1" applyFont="1" applyFill="1" applyBorder="1" applyAlignment="1">
      <alignment horizontal="center"/>
    </xf>
    <xf numFmtId="9" fontId="5" fillId="4" borderId="0" xfId="2" applyNumberFormat="1" applyFont="1" applyFill="1" applyBorder="1" applyAlignment="1">
      <alignment horizontal="right"/>
    </xf>
    <xf numFmtId="9" fontId="5" fillId="4" borderId="0" xfId="1" applyFont="1" applyFill="1" applyBorder="1" applyAlignment="1">
      <alignment horizontal="center"/>
    </xf>
    <xf numFmtId="9" fontId="2" fillId="4" borderId="0" xfId="2" applyNumberFormat="1" applyFont="1" applyFill="1" applyBorder="1"/>
    <xf numFmtId="9" fontId="2" fillId="4" borderId="0" xfId="1" applyFont="1" applyFill="1" applyBorder="1" applyAlignment="1">
      <alignment horizontal="center"/>
    </xf>
    <xf numFmtId="0" fontId="0" fillId="4" borderId="0" xfId="0" applyFill="1" applyBorder="1"/>
    <xf numFmtId="0" fontId="1" fillId="4" borderId="0" xfId="2" applyFill="1" applyBorder="1" applyAlignment="1">
      <alignment horizontal="right" readingOrder="2"/>
    </xf>
    <xf numFmtId="0" fontId="0" fillId="4" borderId="0" xfId="0" applyFill="1" applyBorder="1" applyAlignment="1">
      <alignment readingOrder="1"/>
    </xf>
    <xf numFmtId="0" fontId="1" fillId="4" borderId="0" xfId="2" applyFill="1" applyBorder="1" applyAlignment="1">
      <alignment readingOrder="2"/>
    </xf>
    <xf numFmtId="0" fontId="3" fillId="4" borderId="11" xfId="2" applyFont="1" applyFill="1" applyBorder="1" applyAlignment="1">
      <alignment horizontal="center" vertical="top" wrapText="1"/>
    </xf>
    <xf numFmtId="9" fontId="6" fillId="4" borderId="3" xfId="2" applyNumberFormat="1" applyFont="1" applyFill="1" applyBorder="1" applyAlignment="1">
      <alignment horizontal="center"/>
    </xf>
    <xf numFmtId="9" fontId="6" fillId="4" borderId="2" xfId="2" applyNumberFormat="1" applyFont="1" applyFill="1" applyBorder="1" applyAlignment="1">
      <alignment horizontal="center"/>
    </xf>
    <xf numFmtId="49" fontId="2" fillId="4" borderId="3" xfId="2" applyNumberFormat="1" applyFont="1" applyFill="1" applyBorder="1" applyAlignment="1">
      <alignment horizontal="center"/>
    </xf>
    <xf numFmtId="9" fontId="2" fillId="4" borderId="3" xfId="2" applyNumberFormat="1" applyFont="1" applyFill="1" applyBorder="1" applyAlignment="1">
      <alignment horizontal="left"/>
    </xf>
    <xf numFmtId="9" fontId="2" fillId="4" borderId="3" xfId="2" applyNumberFormat="1" applyFont="1" applyFill="1" applyBorder="1" applyAlignment="1">
      <alignment horizontal="center"/>
    </xf>
    <xf numFmtId="9" fontId="2" fillId="4" borderId="3" xfId="2" applyNumberFormat="1" applyFont="1" applyFill="1" applyBorder="1" applyAlignment="1">
      <alignment horizontal="right"/>
    </xf>
    <xf numFmtId="0" fontId="2" fillId="4" borderId="3" xfId="2" applyFont="1" applyFill="1" applyBorder="1" applyAlignment="1">
      <alignment horizontal="center"/>
    </xf>
    <xf numFmtId="0" fontId="2" fillId="4" borderId="2" xfId="2" applyFont="1" applyFill="1" applyBorder="1" applyAlignment="1">
      <alignment horizontal="center"/>
    </xf>
    <xf numFmtId="0" fontId="3" fillId="4" borderId="3" xfId="2" applyFont="1" applyFill="1" applyBorder="1"/>
    <xf numFmtId="0" fontId="2" fillId="4" borderId="2" xfId="2" applyFont="1" applyFill="1" applyBorder="1"/>
    <xf numFmtId="49" fontId="2" fillId="4" borderId="2" xfId="2" applyNumberFormat="1" applyFont="1" applyFill="1" applyBorder="1" applyAlignment="1">
      <alignment horizontal="center"/>
    </xf>
    <xf numFmtId="164" fontId="2" fillId="4" borderId="2" xfId="2" applyNumberFormat="1" applyFont="1" applyFill="1" applyBorder="1" applyAlignment="1">
      <alignment horizontal="left"/>
    </xf>
    <xf numFmtId="9" fontId="2" fillId="4" borderId="2" xfId="2" applyNumberFormat="1" applyFont="1" applyFill="1" applyBorder="1" applyAlignment="1">
      <alignment horizontal="center"/>
    </xf>
    <xf numFmtId="9" fontId="5" fillId="4" borderId="2" xfId="2" applyNumberFormat="1" applyFont="1" applyFill="1" applyBorder="1" applyAlignment="1">
      <alignment horizontal="right"/>
    </xf>
    <xf numFmtId="9" fontId="2" fillId="4" borderId="2" xfId="2" applyNumberFormat="1" applyFont="1" applyFill="1" applyBorder="1" applyAlignment="1">
      <alignment horizontal="left"/>
    </xf>
    <xf numFmtId="0" fontId="3" fillId="4" borderId="2" xfId="2" applyFont="1" applyFill="1" applyBorder="1"/>
    <xf numFmtId="9" fontId="2" fillId="4" borderId="2" xfId="2" applyNumberFormat="1" applyFont="1" applyFill="1" applyBorder="1" applyAlignment="1">
      <alignment horizontal="right"/>
    </xf>
    <xf numFmtId="0" fontId="1" fillId="4" borderId="3" xfId="2" applyFill="1" applyBorder="1"/>
    <xf numFmtId="0" fontId="6" fillId="4" borderId="0" xfId="0" applyFont="1" applyFill="1" applyAlignment="1">
      <alignment horizontal="center"/>
    </xf>
    <xf numFmtId="0" fontId="0" fillId="4" borderId="0" xfId="0" applyFill="1"/>
    <xf numFmtId="0" fontId="6" fillId="4" borderId="0" xfId="0" applyFont="1" applyFill="1" applyBorder="1" applyAlignment="1">
      <alignment horizontal="center"/>
    </xf>
    <xf numFmtId="9" fontId="2" fillId="2" borderId="0" xfId="0" applyNumberFormat="1" applyFont="1" applyFill="1" applyBorder="1" applyAlignment="1">
      <alignment horizontal="center"/>
    </xf>
    <xf numFmtId="9" fontId="2" fillId="2" borderId="3" xfId="0" applyNumberFormat="1" applyFont="1" applyFill="1" applyBorder="1" applyAlignment="1">
      <alignment horizontal="center"/>
    </xf>
    <xf numFmtId="0" fontId="3" fillId="4" borderId="11" xfId="2" applyFont="1" applyFill="1" applyBorder="1" applyAlignment="1">
      <alignment horizontal="center" vertical="top" wrapText="1"/>
    </xf>
    <xf numFmtId="9" fontId="2" fillId="3" borderId="2" xfId="0" applyNumberFormat="1" applyFont="1" applyFill="1" applyBorder="1"/>
    <xf numFmtId="164" fontId="2" fillId="3" borderId="3" xfId="0" applyNumberFormat="1" applyFont="1" applyFill="1" applyBorder="1" applyAlignment="1">
      <alignment horizontal="center"/>
    </xf>
    <xf numFmtId="0" fontId="0" fillId="3" borderId="0" xfId="0" applyFill="1"/>
    <xf numFmtId="0" fontId="3" fillId="0" borderId="1" xfId="2" applyFont="1" applyBorder="1" applyAlignment="1">
      <alignment horizontal="center" vertical="top" wrapText="1"/>
    </xf>
    <xf numFmtId="0" fontId="6" fillId="0" borderId="0" xfId="2" applyFont="1" applyAlignment="1">
      <alignment horizontal="center"/>
    </xf>
    <xf numFmtId="0" fontId="6" fillId="0" borderId="0" xfId="0" applyFont="1" applyAlignment="1">
      <alignment horizontal="center"/>
    </xf>
    <xf numFmtId="0" fontId="3" fillId="0" borderId="1" xfId="0" applyFont="1" applyBorder="1" applyAlignment="1">
      <alignment horizontal="center" vertical="top" wrapText="1"/>
    </xf>
    <xf numFmtId="0" fontId="8" fillId="0" borderId="6" xfId="0" applyFont="1" applyBorder="1" applyAlignment="1">
      <alignment horizontal="center" vertical="top" wrapText="1"/>
    </xf>
    <xf numFmtId="0" fontId="8" fillId="0" borderId="0" xfId="0" applyFont="1" applyBorder="1" applyAlignment="1">
      <alignment horizontal="center" vertical="top" wrapText="1"/>
    </xf>
    <xf numFmtId="0" fontId="8" fillId="0" borderId="7" xfId="0" applyFont="1" applyBorder="1" applyAlignment="1">
      <alignment horizontal="center" vertical="top" wrapText="1"/>
    </xf>
    <xf numFmtId="0" fontId="8" fillId="0" borderId="8" xfId="0" applyFont="1" applyBorder="1" applyAlignment="1">
      <alignment horizontal="center" vertical="top" wrapText="1"/>
    </xf>
    <xf numFmtId="0" fontId="8" fillId="0" borderId="2" xfId="0" applyFont="1" applyBorder="1" applyAlignment="1">
      <alignment horizontal="center" vertical="top" wrapText="1"/>
    </xf>
    <xf numFmtId="0" fontId="8" fillId="0" borderId="9" xfId="0" applyFont="1" applyBorder="1" applyAlignment="1">
      <alignment horizontal="center" vertical="top" wrapText="1"/>
    </xf>
    <xf numFmtId="0" fontId="6" fillId="0" borderId="10" xfId="0" applyFont="1" applyBorder="1" applyAlignment="1">
      <alignment horizontal="center"/>
    </xf>
    <xf numFmtId="0" fontId="6" fillId="0" borderId="11" xfId="0" applyFont="1" applyBorder="1" applyAlignment="1">
      <alignment horizontal="center"/>
    </xf>
    <xf numFmtId="0" fontId="6" fillId="0" borderId="12" xfId="0" applyFont="1" applyBorder="1" applyAlignment="1">
      <alignment horizontal="center"/>
    </xf>
    <xf numFmtId="0" fontId="3" fillId="0" borderId="13" xfId="0" applyFont="1" applyBorder="1" applyAlignment="1">
      <alignment horizontal="center" vertical="top" wrapText="1"/>
    </xf>
    <xf numFmtId="0" fontId="8" fillId="0" borderId="4" xfId="0" applyFont="1" applyBorder="1" applyAlignment="1">
      <alignment horizontal="center" vertical="top" wrapText="1"/>
    </xf>
    <xf numFmtId="0" fontId="8" fillId="0" borderId="3" xfId="0" applyFont="1" applyBorder="1" applyAlignment="1">
      <alignment horizontal="center" vertical="top" wrapText="1"/>
    </xf>
    <xf numFmtId="0" fontId="8" fillId="0" borderId="5" xfId="0" applyFont="1" applyBorder="1" applyAlignment="1">
      <alignment horizontal="center" vertical="top" wrapText="1"/>
    </xf>
    <xf numFmtId="0" fontId="6" fillId="4" borderId="0" xfId="2" applyFont="1" applyFill="1" applyBorder="1" applyAlignment="1">
      <alignment horizontal="center"/>
    </xf>
    <xf numFmtId="0" fontId="3" fillId="4" borderId="11" xfId="2" applyFont="1" applyFill="1" applyBorder="1" applyAlignment="1">
      <alignment horizontal="center" vertical="top" wrapText="1"/>
    </xf>
    <xf numFmtId="0" fontId="8" fillId="4" borderId="8" xfId="0" applyFont="1" applyFill="1" applyBorder="1" applyAlignment="1">
      <alignment horizontal="center" vertical="top" wrapText="1"/>
    </xf>
    <xf numFmtId="0" fontId="8" fillId="4" borderId="2" xfId="0" applyFont="1" applyFill="1" applyBorder="1" applyAlignment="1">
      <alignment horizontal="center" vertical="top" wrapText="1"/>
    </xf>
    <xf numFmtId="0" fontId="8" fillId="4" borderId="9" xfId="0" applyFont="1" applyFill="1" applyBorder="1" applyAlignment="1">
      <alignment horizontal="center" vertical="top" wrapText="1"/>
    </xf>
    <xf numFmtId="0" fontId="12" fillId="4" borderId="0" xfId="0" applyFont="1" applyFill="1" applyAlignment="1">
      <alignment horizontal="center"/>
    </xf>
    <xf numFmtId="0" fontId="6" fillId="4" borderId="10" xfId="0" applyFont="1" applyFill="1" applyBorder="1" applyAlignment="1">
      <alignment horizontal="center"/>
    </xf>
    <xf numFmtId="0" fontId="6" fillId="4" borderId="11" xfId="0" applyFont="1" applyFill="1" applyBorder="1" applyAlignment="1">
      <alignment horizontal="center"/>
    </xf>
    <xf numFmtId="0" fontId="6" fillId="4" borderId="12" xfId="0" applyFont="1" applyFill="1" applyBorder="1" applyAlignment="1">
      <alignment horizontal="center"/>
    </xf>
    <xf numFmtId="0" fontId="3" fillId="4" borderId="13" xfId="0" applyFont="1" applyFill="1" applyBorder="1" applyAlignment="1">
      <alignment horizontal="center" vertical="top" wrapText="1"/>
    </xf>
    <xf numFmtId="0" fontId="8" fillId="4" borderId="4" xfId="0" applyFont="1" applyFill="1" applyBorder="1" applyAlignment="1">
      <alignment horizontal="center" vertical="top" wrapText="1"/>
    </xf>
    <xf numFmtId="0" fontId="8" fillId="4" borderId="3" xfId="0" applyFont="1" applyFill="1" applyBorder="1" applyAlignment="1">
      <alignment horizontal="center" vertical="top" wrapText="1"/>
    </xf>
    <xf numFmtId="0" fontId="8" fillId="4" borderId="5" xfId="0" applyFont="1" applyFill="1" applyBorder="1" applyAlignment="1">
      <alignment horizontal="center" vertical="top" wrapText="1"/>
    </xf>
    <xf numFmtId="0" fontId="8" fillId="4" borderId="6" xfId="0" applyFont="1" applyFill="1" applyBorder="1" applyAlignment="1">
      <alignment horizontal="center" vertical="top" wrapText="1"/>
    </xf>
    <xf numFmtId="0" fontId="8" fillId="4" borderId="0" xfId="0" applyFont="1" applyFill="1" applyBorder="1" applyAlignment="1">
      <alignment horizontal="center" vertical="top" wrapText="1"/>
    </xf>
    <xf numFmtId="0" fontId="8" fillId="4" borderId="7" xfId="0" applyFont="1" applyFill="1" applyBorder="1" applyAlignment="1">
      <alignment horizontal="center" vertical="top" wrapText="1"/>
    </xf>
    <xf numFmtId="0" fontId="2" fillId="0" borderId="0" xfId="0" applyFont="1" applyAlignment="1">
      <alignment horizontal="right" readingOrder="2"/>
    </xf>
    <xf numFmtId="0" fontId="2" fillId="0" borderId="0" xfId="0" applyFont="1" applyAlignment="1">
      <alignment horizontal="right" vertical="top" wrapText="1" readingOrder="2"/>
    </xf>
  </cellXfs>
  <cellStyles count="3">
    <cellStyle name="Normal" xfId="0" builtinId="0"/>
    <cellStyle name="Normal 2" xfId="2" xr:uid="{00000000-0005-0000-0000-00000100000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N33"/>
  <sheetViews>
    <sheetView showGridLines="0" rightToLeft="1" tabSelected="1" zoomScale="92" zoomScaleNormal="100" workbookViewId="0">
      <selection activeCell="B31" sqref="B31"/>
    </sheetView>
  </sheetViews>
  <sheetFormatPr defaultRowHeight="12.75" x14ac:dyDescent="0.2"/>
  <cols>
    <col min="1" max="1" width="4.42578125" style="59" customWidth="1"/>
    <col min="2" max="2" width="29.140625" style="59" customWidth="1"/>
    <col min="3" max="3" width="4.140625" style="60" customWidth="1"/>
    <col min="4" max="4" width="13.5703125" style="59" customWidth="1"/>
    <col min="5" max="5" width="15.42578125" style="59" customWidth="1"/>
    <col min="6" max="6" width="2.42578125" style="60" customWidth="1"/>
    <col min="7" max="7" width="17" style="59" customWidth="1"/>
    <col min="8" max="8" width="14.28515625" style="59" bestFit="1" customWidth="1"/>
    <col min="9" max="9" width="9" style="59" bestFit="1" customWidth="1"/>
    <col min="10" max="10" width="2" style="59" customWidth="1"/>
    <col min="11" max="11" width="20" style="59" customWidth="1"/>
    <col min="12" max="12" width="36.42578125" style="59" customWidth="1"/>
    <col min="13" max="13" width="18.5703125" style="59" customWidth="1"/>
    <col min="14" max="14" width="24.140625" style="59" customWidth="1"/>
    <col min="15" max="15" width="18.5703125" style="59" customWidth="1"/>
    <col min="16" max="16384" width="9.140625" style="59"/>
  </cols>
  <sheetData>
    <row r="2" spans="1:14" ht="18" x14ac:dyDescent="0.25">
      <c r="A2" s="69"/>
      <c r="B2" s="189" t="s">
        <v>43</v>
      </c>
      <c r="C2" s="189"/>
      <c r="D2" s="189"/>
      <c r="E2" s="189"/>
      <c r="F2" s="189"/>
      <c r="G2" s="189"/>
      <c r="H2" s="189"/>
      <c r="I2" s="189"/>
      <c r="J2" s="189"/>
      <c r="K2" s="189"/>
      <c r="L2" s="189"/>
    </row>
    <row r="3" spans="1:14" ht="18" x14ac:dyDescent="0.25">
      <c r="A3" s="69"/>
      <c r="B3" s="111"/>
      <c r="C3" s="111"/>
      <c r="D3" s="111"/>
      <c r="E3" s="111"/>
      <c r="F3" s="111"/>
      <c r="G3" s="111"/>
      <c r="H3" s="111"/>
      <c r="I3" s="111"/>
      <c r="J3" s="111"/>
      <c r="K3" s="111"/>
      <c r="L3" s="111"/>
    </row>
    <row r="4" spans="1:14" ht="48" thickBot="1" x14ac:dyDescent="0.25">
      <c r="A4" s="69"/>
      <c r="B4" s="107" t="s">
        <v>0</v>
      </c>
      <c r="C4" s="104"/>
      <c r="D4" s="110" t="s">
        <v>44</v>
      </c>
      <c r="E4" s="109" t="s">
        <v>53</v>
      </c>
      <c r="F4" s="104"/>
      <c r="G4" s="107" t="s">
        <v>45</v>
      </c>
      <c r="H4" s="107" t="s">
        <v>1</v>
      </c>
      <c r="I4" s="188" t="s">
        <v>2</v>
      </c>
      <c r="J4" s="188"/>
      <c r="K4" s="188"/>
      <c r="L4" s="107" t="s">
        <v>3</v>
      </c>
      <c r="M4" s="103"/>
      <c r="N4" s="103"/>
    </row>
    <row r="5" spans="1:14" ht="15.75" x14ac:dyDescent="0.2">
      <c r="A5" s="69"/>
      <c r="B5" s="104"/>
      <c r="C5" s="104"/>
      <c r="D5" s="106"/>
      <c r="E5" s="105"/>
      <c r="F5" s="104"/>
      <c r="G5" s="104"/>
      <c r="H5" s="104"/>
      <c r="I5" s="104"/>
      <c r="J5" s="104"/>
      <c r="K5" s="104"/>
      <c r="L5" s="104"/>
      <c r="M5" s="103"/>
    </row>
    <row r="6" spans="1:14" ht="18" x14ac:dyDescent="0.25">
      <c r="A6" s="69"/>
      <c r="B6" s="102" t="s">
        <v>4</v>
      </c>
      <c r="C6" s="67"/>
      <c r="D6" s="87">
        <v>0.1</v>
      </c>
      <c r="E6" s="101">
        <v>0.08</v>
      </c>
      <c r="F6" s="100"/>
      <c r="G6" s="99">
        <v>0.08</v>
      </c>
      <c r="H6" s="83" t="s">
        <v>5</v>
      </c>
      <c r="I6" s="93">
        <f>G6+5%</f>
        <v>0.13</v>
      </c>
      <c r="J6" s="92" t="s">
        <v>14</v>
      </c>
      <c r="K6" s="91">
        <f>G6-5%</f>
        <v>0.03</v>
      </c>
      <c r="L6" s="94" t="s">
        <v>32</v>
      </c>
    </row>
    <row r="7" spans="1:14" ht="15" x14ac:dyDescent="0.2">
      <c r="A7" s="69"/>
      <c r="B7" s="69"/>
      <c r="C7" s="67"/>
      <c r="D7" s="96"/>
      <c r="E7" s="90"/>
      <c r="F7" s="95"/>
      <c r="G7" s="94"/>
      <c r="H7" s="94"/>
      <c r="I7" s="94"/>
      <c r="J7" s="94"/>
      <c r="K7" s="94"/>
      <c r="L7" s="94"/>
    </row>
    <row r="8" spans="1:14" ht="18" x14ac:dyDescent="0.25">
      <c r="A8" s="69"/>
      <c r="B8" s="102" t="s">
        <v>6</v>
      </c>
      <c r="C8" s="67" t="s">
        <v>9</v>
      </c>
      <c r="D8" s="87">
        <v>0.12</v>
      </c>
      <c r="E8" s="101">
        <v>0.1</v>
      </c>
      <c r="F8" s="100"/>
      <c r="G8" s="99">
        <v>0.08</v>
      </c>
      <c r="H8" s="83" t="s">
        <v>7</v>
      </c>
      <c r="I8" s="93">
        <f>G8+6%</f>
        <v>0.14000000000000001</v>
      </c>
      <c r="J8" s="92" t="s">
        <v>14</v>
      </c>
      <c r="K8" s="91">
        <f>G8-6%</f>
        <v>2.0000000000000004E-2</v>
      </c>
      <c r="L8" s="94" t="s">
        <v>41</v>
      </c>
    </row>
    <row r="9" spans="1:14" ht="15" x14ac:dyDescent="0.2">
      <c r="A9" s="69"/>
      <c r="B9" s="69"/>
      <c r="C9" s="67"/>
      <c r="D9" s="96"/>
      <c r="E9" s="90"/>
      <c r="F9" s="95"/>
      <c r="G9" s="94"/>
      <c r="H9" s="94"/>
      <c r="I9" s="94"/>
      <c r="J9" s="94"/>
      <c r="K9" s="94"/>
      <c r="L9" s="78" t="s">
        <v>40</v>
      </c>
    </row>
    <row r="10" spans="1:14" ht="18" x14ac:dyDescent="0.25">
      <c r="A10" s="69"/>
      <c r="B10" s="102" t="s">
        <v>8</v>
      </c>
      <c r="C10" s="67" t="s">
        <v>22</v>
      </c>
      <c r="D10" s="87">
        <v>0.49</v>
      </c>
      <c r="E10" s="101">
        <v>0.52</v>
      </c>
      <c r="F10" s="100"/>
      <c r="G10" s="99">
        <v>0.52</v>
      </c>
      <c r="H10" s="83" t="s">
        <v>7</v>
      </c>
      <c r="I10" s="93">
        <f>G10+6%</f>
        <v>0.58000000000000007</v>
      </c>
      <c r="J10" s="92" t="s">
        <v>14</v>
      </c>
      <c r="K10" s="91">
        <f>G10-6%</f>
        <v>0.46</v>
      </c>
    </row>
    <row r="11" spans="1:14" ht="15" x14ac:dyDescent="0.2">
      <c r="A11" s="69"/>
      <c r="B11" s="98"/>
      <c r="C11" s="97"/>
      <c r="D11" s="96"/>
      <c r="E11" s="90"/>
      <c r="F11" s="95"/>
      <c r="G11" s="94"/>
      <c r="H11" s="94"/>
      <c r="I11" s="93"/>
      <c r="J11" s="92"/>
      <c r="K11" s="91"/>
      <c r="L11" s="83" t="s">
        <v>38</v>
      </c>
    </row>
    <row r="12" spans="1:14" ht="15" x14ac:dyDescent="0.2">
      <c r="A12" s="69"/>
      <c r="B12" s="69"/>
      <c r="C12" s="67"/>
      <c r="D12" s="71"/>
      <c r="E12" s="90"/>
      <c r="F12" s="89"/>
      <c r="G12" s="88"/>
      <c r="H12" s="88"/>
      <c r="I12" s="86"/>
      <c r="J12" s="85"/>
      <c r="K12" s="84"/>
      <c r="L12" s="83" t="s">
        <v>39</v>
      </c>
    </row>
    <row r="13" spans="1:14" ht="15" x14ac:dyDescent="0.2">
      <c r="A13" s="69"/>
      <c r="B13" s="69" t="s">
        <v>33</v>
      </c>
      <c r="C13" s="67"/>
      <c r="D13" s="87">
        <v>0.1</v>
      </c>
      <c r="E13" s="40"/>
      <c r="F13" s="25"/>
      <c r="G13" s="85">
        <v>0.1</v>
      </c>
      <c r="H13" s="83" t="s">
        <v>35</v>
      </c>
      <c r="I13" s="86"/>
      <c r="J13" s="85"/>
      <c r="K13" s="84"/>
      <c r="L13" s="69"/>
    </row>
    <row r="14" spans="1:14" ht="15.75" customHeight="1" x14ac:dyDescent="0.2">
      <c r="A14" s="69"/>
      <c r="B14" s="61" t="s">
        <v>34</v>
      </c>
      <c r="C14" s="67"/>
      <c r="D14" s="73">
        <v>0.39</v>
      </c>
      <c r="E14" s="41"/>
      <c r="F14" s="25"/>
      <c r="G14" s="81">
        <v>0.42</v>
      </c>
      <c r="H14" s="65" t="s">
        <v>35</v>
      </c>
      <c r="I14" s="82"/>
      <c r="J14" s="81"/>
      <c r="K14" s="75"/>
      <c r="L14" s="61"/>
    </row>
    <row r="15" spans="1:14" ht="15" x14ac:dyDescent="0.2">
      <c r="A15" s="69"/>
      <c r="B15" s="69"/>
      <c r="C15" s="67"/>
      <c r="D15" s="71"/>
      <c r="E15" s="80"/>
      <c r="F15" s="79"/>
      <c r="G15" s="69"/>
      <c r="H15" s="69"/>
      <c r="I15" s="69"/>
      <c r="J15" s="69"/>
      <c r="K15" s="69"/>
      <c r="L15" s="69"/>
    </row>
    <row r="16" spans="1:14" ht="18" x14ac:dyDescent="0.25">
      <c r="A16" s="69"/>
      <c r="B16" s="68" t="s">
        <v>10</v>
      </c>
      <c r="C16" s="67"/>
      <c r="D16" s="73">
        <v>0.15</v>
      </c>
      <c r="E16" s="72">
        <v>0.15</v>
      </c>
      <c r="F16" s="67"/>
      <c r="G16" s="66">
        <v>0.15</v>
      </c>
      <c r="H16" s="63">
        <v>-0.05</v>
      </c>
      <c r="I16" s="64">
        <f>G16</f>
        <v>0.15</v>
      </c>
      <c r="J16" s="63" t="s">
        <v>14</v>
      </c>
      <c r="K16" s="75">
        <f>G16-5%</f>
        <v>9.9999999999999992E-2</v>
      </c>
      <c r="L16" s="74" t="s">
        <v>15</v>
      </c>
    </row>
    <row r="17" spans="1:13" ht="15" x14ac:dyDescent="0.2">
      <c r="A17" s="69"/>
      <c r="B17" s="69"/>
      <c r="C17" s="67"/>
      <c r="D17" s="71"/>
      <c r="E17" s="70"/>
      <c r="F17" s="67"/>
      <c r="G17" s="69"/>
      <c r="H17" s="69"/>
      <c r="I17" s="69"/>
      <c r="J17" s="69"/>
      <c r="K17" s="69"/>
      <c r="L17" s="69"/>
    </row>
    <row r="18" spans="1:13" ht="15" x14ac:dyDescent="0.2">
      <c r="A18" s="69"/>
      <c r="B18" s="69"/>
      <c r="C18" s="67"/>
      <c r="D18" s="71"/>
      <c r="E18" s="70"/>
      <c r="F18" s="67"/>
      <c r="G18" s="69"/>
      <c r="H18" s="69"/>
      <c r="I18" s="69"/>
      <c r="J18" s="69"/>
      <c r="K18" s="69"/>
      <c r="L18" s="78"/>
      <c r="M18" s="76"/>
    </row>
    <row r="19" spans="1:13" ht="18" x14ac:dyDescent="0.25">
      <c r="A19" s="69"/>
      <c r="B19" s="68" t="s">
        <v>11</v>
      </c>
      <c r="C19" s="67" t="s">
        <v>36</v>
      </c>
      <c r="D19" s="73">
        <v>0.13</v>
      </c>
      <c r="E19" s="44">
        <v>0.13</v>
      </c>
      <c r="F19" s="29"/>
      <c r="G19" s="66">
        <v>0.17</v>
      </c>
      <c r="H19" s="65" t="s">
        <v>5</v>
      </c>
      <c r="I19" s="64">
        <f>G19+5%</f>
        <v>0.22000000000000003</v>
      </c>
      <c r="J19" s="63" t="s">
        <v>14</v>
      </c>
      <c r="K19" s="75">
        <f>G19-5%</f>
        <v>0.12000000000000001</v>
      </c>
      <c r="L19" s="77" t="s">
        <v>42</v>
      </c>
      <c r="M19" s="76"/>
    </row>
    <row r="20" spans="1:13" ht="15" x14ac:dyDescent="0.2">
      <c r="A20" s="69"/>
      <c r="B20" s="69"/>
      <c r="C20" s="67"/>
      <c r="D20" s="71"/>
      <c r="E20" s="70"/>
      <c r="F20" s="67"/>
      <c r="G20" s="69"/>
      <c r="H20" s="69"/>
      <c r="I20" s="69"/>
      <c r="J20" s="69"/>
      <c r="K20" s="69"/>
    </row>
    <row r="21" spans="1:13" ht="18" x14ac:dyDescent="0.25">
      <c r="A21" s="69"/>
      <c r="B21" s="68" t="s">
        <v>31</v>
      </c>
      <c r="C21" s="67"/>
      <c r="D21" s="73">
        <v>0.06</v>
      </c>
      <c r="E21" s="44">
        <v>0.03</v>
      </c>
      <c r="F21" s="29"/>
      <c r="G21" s="66">
        <v>0.05</v>
      </c>
      <c r="H21" s="65" t="s">
        <v>5</v>
      </c>
      <c r="I21" s="112">
        <f>G21+5%</f>
        <v>0.1</v>
      </c>
      <c r="J21" s="63" t="s">
        <v>14</v>
      </c>
      <c r="K21" s="75">
        <f>G21-5%</f>
        <v>0</v>
      </c>
      <c r="L21" s="74" t="s">
        <v>16</v>
      </c>
    </row>
    <row r="22" spans="1:13" ht="15" x14ac:dyDescent="0.2">
      <c r="A22" s="69"/>
      <c r="B22" s="69"/>
      <c r="C22" s="67"/>
      <c r="D22" s="71"/>
      <c r="E22" s="70"/>
      <c r="F22" s="67"/>
      <c r="G22" s="69"/>
      <c r="H22" s="69"/>
      <c r="I22" s="69"/>
      <c r="J22" s="69"/>
      <c r="K22" s="69"/>
      <c r="L22" s="69"/>
    </row>
    <row r="23" spans="1:13" ht="18" x14ac:dyDescent="0.25">
      <c r="A23" s="69"/>
      <c r="B23" s="68" t="s">
        <v>12</v>
      </c>
      <c r="C23" s="67"/>
      <c r="D23" s="73">
        <v>1.05</v>
      </c>
      <c r="E23" s="72">
        <v>1.04</v>
      </c>
      <c r="F23" s="67"/>
      <c r="G23" s="66">
        <f>G6+G8+G10+G16+G19+G21</f>
        <v>1.05</v>
      </c>
      <c r="H23" s="61"/>
      <c r="I23" s="61"/>
      <c r="J23" s="61"/>
      <c r="K23" s="61"/>
      <c r="L23" s="61"/>
    </row>
    <row r="24" spans="1:13" ht="15" x14ac:dyDescent="0.2">
      <c r="A24" s="69"/>
      <c r="B24" s="69"/>
      <c r="C24" s="67"/>
      <c r="D24" s="71"/>
      <c r="E24" s="70"/>
      <c r="F24" s="67"/>
      <c r="G24" s="69"/>
      <c r="H24" s="69"/>
      <c r="I24" s="69"/>
      <c r="J24" s="69"/>
      <c r="K24" s="69"/>
      <c r="L24" s="69"/>
    </row>
    <row r="25" spans="1:13" ht="18" x14ac:dyDescent="0.25">
      <c r="A25" s="69"/>
      <c r="B25" s="68" t="s">
        <v>13</v>
      </c>
      <c r="C25" s="59"/>
      <c r="D25" s="35">
        <v>0.4</v>
      </c>
      <c r="E25" s="44">
        <v>0.41</v>
      </c>
      <c r="F25" s="59"/>
      <c r="G25" s="66">
        <v>0.42</v>
      </c>
      <c r="H25" s="65" t="s">
        <v>7</v>
      </c>
      <c r="I25" s="64">
        <f>G25+6%</f>
        <v>0.48</v>
      </c>
      <c r="J25" s="63" t="s">
        <v>14</v>
      </c>
      <c r="K25" s="62">
        <f>G25-6%</f>
        <v>0.36</v>
      </c>
      <c r="L25" s="61"/>
    </row>
    <row r="26" spans="1:13" x14ac:dyDescent="0.2">
      <c r="C26" s="59"/>
      <c r="F26" s="59"/>
      <c r="J26"/>
    </row>
    <row r="27" spans="1:13" x14ac:dyDescent="0.2">
      <c r="B27" s="131" t="s">
        <v>37</v>
      </c>
      <c r="C27" s="59"/>
      <c r="D27"/>
      <c r="F27" s="59"/>
      <c r="J27"/>
    </row>
    <row r="28" spans="1:13" x14ac:dyDescent="0.2">
      <c r="B28" s="133" t="s">
        <v>55</v>
      </c>
      <c r="C28" s="59"/>
      <c r="D28"/>
      <c r="F28" s="59"/>
      <c r="J28"/>
    </row>
    <row r="29" spans="1:13" x14ac:dyDescent="0.2">
      <c r="B29" s="133" t="s">
        <v>54</v>
      </c>
      <c r="C29" s="59"/>
      <c r="D29"/>
      <c r="F29" s="59"/>
      <c r="J29"/>
    </row>
    <row r="30" spans="1:13" x14ac:dyDescent="0.2">
      <c r="B30" s="130"/>
      <c r="C30" s="59"/>
      <c r="F30" s="59"/>
    </row>
    <row r="31" spans="1:13" x14ac:dyDescent="0.2">
      <c r="C31" s="59"/>
      <c r="F31" s="59"/>
    </row>
    <row r="32" spans="1:13" x14ac:dyDescent="0.2">
      <c r="C32" s="59"/>
      <c r="F32" s="59"/>
    </row>
    <row r="33" s="59" customFormat="1" x14ac:dyDescent="0.2"/>
  </sheetData>
  <mergeCells count="2">
    <mergeCell ref="I4:K4"/>
    <mergeCell ref="B2:L2"/>
  </mergeCells>
  <pageMargins left="0.74803149606299213" right="0.74803149606299213" top="0.98425196850393704" bottom="0.98425196850393704" header="0.51181102362204722" footer="0.51181102362204722"/>
  <pageSetup paperSize="9" scale="73"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O34"/>
  <sheetViews>
    <sheetView showGridLines="0" rightToLeft="1" zoomScaleNormal="100" workbookViewId="0">
      <selection activeCell="B29" sqref="B29"/>
    </sheetView>
  </sheetViews>
  <sheetFormatPr defaultRowHeight="12.75" x14ac:dyDescent="0.2"/>
  <cols>
    <col min="1" max="1" width="4.42578125" customWidth="1"/>
    <col min="2" max="2" width="29.140625" style="59" customWidth="1"/>
    <col min="3" max="3" width="4.140625" style="60" customWidth="1"/>
    <col min="4" max="4" width="23.7109375" customWidth="1"/>
    <col min="5" max="5" width="15" style="2" customWidth="1"/>
    <col min="6" max="6" width="4" style="2" customWidth="1"/>
    <col min="7" max="7" width="17" customWidth="1"/>
    <col min="8" max="8" width="14.28515625" bestFit="1" customWidth="1"/>
    <col min="9" max="9" width="9" bestFit="1" customWidth="1"/>
    <col min="10" max="10" width="2" customWidth="1"/>
    <col min="11" max="11" width="14" customWidth="1"/>
    <col min="12" max="12" width="33.42578125" customWidth="1"/>
    <col min="13" max="13" width="18.5703125" customWidth="1"/>
    <col min="14" max="14" width="24.140625" customWidth="1"/>
    <col min="15" max="15" width="18.5703125" customWidth="1"/>
  </cols>
  <sheetData>
    <row r="2" spans="1:14" ht="18" x14ac:dyDescent="0.25">
      <c r="A2" s="3"/>
      <c r="B2" s="190" t="s">
        <v>46</v>
      </c>
      <c r="C2" s="190"/>
      <c r="D2" s="190"/>
      <c r="E2" s="190"/>
      <c r="F2" s="190"/>
      <c r="G2" s="190"/>
      <c r="H2" s="190"/>
      <c r="I2" s="190"/>
      <c r="J2" s="190"/>
      <c r="K2" s="190"/>
      <c r="L2" s="190"/>
    </row>
    <row r="3" spans="1:14" ht="18" x14ac:dyDescent="0.25">
      <c r="A3" s="3"/>
      <c r="B3" s="111"/>
      <c r="C3" s="111"/>
      <c r="D3" s="48"/>
      <c r="E3" s="48"/>
      <c r="F3" s="48"/>
      <c r="G3" s="48"/>
      <c r="H3" s="48"/>
      <c r="I3" s="48"/>
      <c r="J3" s="48"/>
      <c r="K3" s="48"/>
      <c r="L3" s="48"/>
    </row>
    <row r="4" spans="1:14" ht="48" thickBot="1" x14ac:dyDescent="0.25">
      <c r="A4" s="3"/>
      <c r="B4" s="108" t="s">
        <v>0</v>
      </c>
      <c r="C4" s="104"/>
      <c r="D4" s="110" t="s">
        <v>44</v>
      </c>
      <c r="E4" s="109" t="s">
        <v>53</v>
      </c>
      <c r="F4" s="5"/>
      <c r="G4" s="132" t="s">
        <v>45</v>
      </c>
      <c r="H4" s="51" t="s">
        <v>1</v>
      </c>
      <c r="I4" s="191" t="s">
        <v>2</v>
      </c>
      <c r="J4" s="191"/>
      <c r="K4" s="191"/>
      <c r="L4" s="51" t="s">
        <v>3</v>
      </c>
      <c r="M4" s="1"/>
      <c r="N4" s="1"/>
    </row>
    <row r="5" spans="1:14" ht="15.75" x14ac:dyDescent="0.2">
      <c r="A5" s="3"/>
      <c r="B5" s="104"/>
      <c r="C5" s="104"/>
      <c r="D5" s="30"/>
      <c r="E5" s="36"/>
      <c r="F5" s="5"/>
      <c r="G5" s="5"/>
      <c r="H5" s="5"/>
      <c r="I5" s="5"/>
      <c r="J5" s="5"/>
      <c r="K5" s="5"/>
      <c r="L5" s="104"/>
      <c r="M5" s="1"/>
    </row>
    <row r="6" spans="1:14" ht="18" x14ac:dyDescent="0.25">
      <c r="A6" s="3"/>
      <c r="B6" s="102" t="s">
        <v>4</v>
      </c>
      <c r="C6" s="67"/>
      <c r="D6" s="31">
        <v>0.24</v>
      </c>
      <c r="E6" s="37">
        <v>0.21</v>
      </c>
      <c r="F6" s="9"/>
      <c r="G6" s="45">
        <v>0.22</v>
      </c>
      <c r="H6" s="10" t="s">
        <v>5</v>
      </c>
      <c r="I6" s="11">
        <f>G6+5%</f>
        <v>0.27</v>
      </c>
      <c r="J6" s="8" t="s">
        <v>14</v>
      </c>
      <c r="K6" s="20">
        <f>G6-5%</f>
        <v>0.16999999999999998</v>
      </c>
      <c r="L6" s="94" t="s">
        <v>32</v>
      </c>
    </row>
    <row r="7" spans="1:14" ht="15" x14ac:dyDescent="0.2">
      <c r="A7" s="3"/>
      <c r="B7" s="69"/>
      <c r="C7" s="67"/>
      <c r="D7" s="32"/>
      <c r="E7" s="38"/>
      <c r="F7" s="12"/>
      <c r="G7" s="7"/>
      <c r="H7" s="7"/>
      <c r="I7" s="7"/>
      <c r="J7" s="7"/>
      <c r="K7" s="7"/>
      <c r="L7" s="94"/>
    </row>
    <row r="8" spans="1:14" ht="18" x14ac:dyDescent="0.25">
      <c r="A8" s="3"/>
      <c r="B8" s="102" t="s">
        <v>6</v>
      </c>
      <c r="C8" s="67" t="s">
        <v>9</v>
      </c>
      <c r="D8" s="31">
        <v>0.27</v>
      </c>
      <c r="E8" s="37">
        <v>0.23</v>
      </c>
      <c r="F8" s="9"/>
      <c r="G8" s="45">
        <v>0.21</v>
      </c>
      <c r="H8" s="10" t="s">
        <v>7</v>
      </c>
      <c r="I8" s="11">
        <f>G8+6%</f>
        <v>0.27</v>
      </c>
      <c r="J8" s="8" t="s">
        <v>14</v>
      </c>
      <c r="K8" s="20">
        <f>G8-6%</f>
        <v>0.15</v>
      </c>
      <c r="L8" s="94" t="s">
        <v>41</v>
      </c>
    </row>
    <row r="9" spans="1:14" ht="15" x14ac:dyDescent="0.2">
      <c r="A9" s="3"/>
      <c r="B9" s="69"/>
      <c r="C9" s="67"/>
      <c r="D9" s="32"/>
      <c r="E9" s="38"/>
      <c r="F9" s="12"/>
      <c r="G9" s="7"/>
      <c r="H9" s="7"/>
      <c r="I9" s="7"/>
      <c r="J9" s="7"/>
      <c r="K9" s="7"/>
      <c r="L9" s="78" t="s">
        <v>40</v>
      </c>
    </row>
    <row r="10" spans="1:14" ht="18" x14ac:dyDescent="0.25">
      <c r="A10" s="3"/>
      <c r="B10" s="102" t="s">
        <v>8</v>
      </c>
      <c r="C10" s="67" t="s">
        <v>22</v>
      </c>
      <c r="D10" s="31">
        <v>0.49</v>
      </c>
      <c r="E10" s="37">
        <v>0.5</v>
      </c>
      <c r="F10" s="9"/>
      <c r="G10" s="45">
        <v>0.52</v>
      </c>
      <c r="H10" s="10" t="s">
        <v>7</v>
      </c>
      <c r="I10" s="11">
        <f>G10+6%</f>
        <v>0.58000000000000007</v>
      </c>
      <c r="J10" s="8" t="s">
        <v>14</v>
      </c>
      <c r="K10" s="20">
        <f>G10-6%</f>
        <v>0.46</v>
      </c>
      <c r="L10" s="59"/>
    </row>
    <row r="11" spans="1:14" ht="15" x14ac:dyDescent="0.2">
      <c r="A11" s="3"/>
      <c r="B11" s="98"/>
      <c r="C11" s="97"/>
      <c r="D11" s="33"/>
      <c r="E11" s="39"/>
      <c r="F11" s="14"/>
      <c r="G11" s="13"/>
      <c r="H11" s="13"/>
      <c r="I11" s="21"/>
      <c r="J11" s="15"/>
      <c r="K11" s="22"/>
      <c r="L11" s="83" t="s">
        <v>38</v>
      </c>
    </row>
    <row r="12" spans="1:14" ht="15" x14ac:dyDescent="0.2">
      <c r="A12" s="3"/>
      <c r="B12" s="69"/>
      <c r="C12" s="67"/>
      <c r="D12" s="33"/>
      <c r="E12" s="39"/>
      <c r="F12" s="14"/>
      <c r="G12" s="13"/>
      <c r="H12" s="13"/>
      <c r="I12" s="21"/>
      <c r="J12" s="15"/>
      <c r="K12" s="22"/>
      <c r="L12" s="83" t="s">
        <v>39</v>
      </c>
    </row>
    <row r="13" spans="1:14" ht="15" x14ac:dyDescent="0.2">
      <c r="A13" s="3"/>
      <c r="B13" s="69" t="s">
        <v>33</v>
      </c>
      <c r="C13" s="67"/>
      <c r="D13" s="31">
        <v>0.1</v>
      </c>
      <c r="E13" s="113"/>
      <c r="F13" s="25"/>
      <c r="G13" s="15">
        <v>0.1</v>
      </c>
      <c r="H13" s="83" t="s">
        <v>35</v>
      </c>
      <c r="I13" s="21"/>
      <c r="J13" s="15"/>
      <c r="K13" s="22"/>
      <c r="L13" s="69"/>
    </row>
    <row r="14" spans="1:14" ht="15.75" customHeight="1" x14ac:dyDescent="0.2">
      <c r="A14" s="3"/>
      <c r="B14" s="61" t="s">
        <v>34</v>
      </c>
      <c r="C14" s="67"/>
      <c r="D14" s="34">
        <v>0.39</v>
      </c>
      <c r="E14" s="114"/>
      <c r="F14" s="25"/>
      <c r="G14" s="16">
        <v>0.42</v>
      </c>
      <c r="H14" s="65" t="s">
        <v>35</v>
      </c>
      <c r="I14" s="23"/>
      <c r="J14" s="16"/>
      <c r="K14" s="24"/>
      <c r="L14" s="61"/>
    </row>
    <row r="15" spans="1:14" ht="15" x14ac:dyDescent="0.2">
      <c r="A15" s="3"/>
      <c r="B15" s="69"/>
      <c r="C15" s="67"/>
      <c r="D15" s="33"/>
      <c r="E15" s="42"/>
      <c r="F15" s="27"/>
      <c r="G15" s="3"/>
      <c r="H15" s="3"/>
      <c r="I15" s="3"/>
      <c r="J15" s="3"/>
      <c r="K15" s="3"/>
      <c r="L15" s="69"/>
    </row>
    <row r="16" spans="1:14" ht="18" x14ac:dyDescent="0.25">
      <c r="A16" s="3"/>
      <c r="B16" s="68" t="s">
        <v>10</v>
      </c>
      <c r="C16" s="67"/>
      <c r="D16" s="34">
        <v>0.05</v>
      </c>
      <c r="E16" s="49">
        <v>0</v>
      </c>
      <c r="F16" s="4"/>
      <c r="G16" s="46">
        <v>0.05</v>
      </c>
      <c r="H16" s="28" t="s">
        <v>5</v>
      </c>
      <c r="I16" s="17">
        <f>G16+5%</f>
        <v>0.1</v>
      </c>
      <c r="J16" s="18" t="s">
        <v>14</v>
      </c>
      <c r="K16" s="24">
        <f>0%</f>
        <v>0</v>
      </c>
      <c r="L16" s="74" t="s">
        <v>15</v>
      </c>
    </row>
    <row r="17" spans="1:15" ht="15" x14ac:dyDescent="0.2">
      <c r="A17" s="3"/>
      <c r="B17" s="69"/>
      <c r="C17" s="67"/>
      <c r="D17" s="33"/>
      <c r="E17" s="43"/>
      <c r="F17" s="4"/>
      <c r="G17" s="3"/>
      <c r="H17" s="3"/>
      <c r="I17" s="3"/>
      <c r="J17" s="3"/>
      <c r="K17" s="3"/>
      <c r="L17" s="78"/>
    </row>
    <row r="18" spans="1:15" ht="18" x14ac:dyDescent="0.25">
      <c r="A18" s="3"/>
      <c r="B18" s="68" t="s">
        <v>11</v>
      </c>
      <c r="C18" s="67"/>
      <c r="D18" s="34">
        <v>0</v>
      </c>
      <c r="E18" s="44">
        <v>0</v>
      </c>
      <c r="F18" s="29"/>
      <c r="G18" s="46">
        <v>0</v>
      </c>
      <c r="H18" s="28" t="s">
        <v>5</v>
      </c>
      <c r="I18" s="17">
        <f>G18+5%</f>
        <v>0.05</v>
      </c>
      <c r="J18" s="18" t="s">
        <v>14</v>
      </c>
      <c r="K18" s="24">
        <v>0</v>
      </c>
      <c r="L18" s="77" t="s">
        <v>42</v>
      </c>
    </row>
    <row r="19" spans="1:15" ht="15" x14ac:dyDescent="0.2">
      <c r="A19" s="3"/>
      <c r="B19" s="69"/>
      <c r="C19" s="67" t="s">
        <v>36</v>
      </c>
      <c r="D19" s="33"/>
      <c r="E19" s="43"/>
      <c r="F19" s="4"/>
      <c r="G19" s="3"/>
      <c r="H19" s="3"/>
      <c r="I19" s="3"/>
      <c r="J19" s="3"/>
      <c r="K19" s="3"/>
      <c r="L19" s="59"/>
    </row>
    <row r="20" spans="1:15" ht="18" x14ac:dyDescent="0.25">
      <c r="A20" s="3"/>
      <c r="B20" s="68" t="s">
        <v>31</v>
      </c>
      <c r="C20" s="67"/>
      <c r="D20" s="34">
        <v>0.05</v>
      </c>
      <c r="E20" s="115">
        <v>0.05</v>
      </c>
      <c r="F20" s="29"/>
      <c r="G20" s="46">
        <v>0.05</v>
      </c>
      <c r="H20" s="28" t="s">
        <v>5</v>
      </c>
      <c r="I20" s="17">
        <f>G20+5%</f>
        <v>0.1</v>
      </c>
      <c r="J20" s="18" t="s">
        <v>14</v>
      </c>
      <c r="K20" s="24">
        <f>G20-5%</f>
        <v>0</v>
      </c>
      <c r="L20" s="74" t="s">
        <v>16</v>
      </c>
    </row>
    <row r="21" spans="1:15" ht="15" x14ac:dyDescent="0.2">
      <c r="A21" s="3"/>
      <c r="B21" s="69"/>
      <c r="C21" s="67"/>
      <c r="D21" s="33"/>
      <c r="E21" s="43"/>
      <c r="F21" s="4"/>
      <c r="G21" s="3"/>
      <c r="H21" s="3"/>
      <c r="I21" s="3"/>
      <c r="J21" s="3"/>
      <c r="K21" s="3"/>
      <c r="L21" s="69"/>
    </row>
    <row r="22" spans="1:15" ht="18" x14ac:dyDescent="0.25">
      <c r="A22" s="3"/>
      <c r="B22" s="68" t="s">
        <v>12</v>
      </c>
      <c r="C22" s="67"/>
      <c r="D22" s="34">
        <v>1.1000000000000001</v>
      </c>
      <c r="E22" s="49">
        <v>1</v>
      </c>
      <c r="F22" s="4"/>
      <c r="G22" s="46">
        <f>G6+G8+G10+G16+G18+G20</f>
        <v>1.05</v>
      </c>
      <c r="H22" s="26"/>
      <c r="I22" s="26"/>
      <c r="J22" s="26"/>
      <c r="K22" s="26"/>
      <c r="L22" s="61"/>
    </row>
    <row r="23" spans="1:15" ht="15" x14ac:dyDescent="0.2">
      <c r="A23" s="3"/>
      <c r="B23" s="69"/>
      <c r="C23" s="67"/>
      <c r="D23" s="33"/>
      <c r="E23" s="43"/>
      <c r="F23" s="4"/>
      <c r="G23" s="3"/>
      <c r="H23" s="3"/>
      <c r="I23" s="3"/>
      <c r="J23" s="3"/>
      <c r="K23" s="3"/>
      <c r="L23" s="69"/>
    </row>
    <row r="24" spans="1:15" ht="18" x14ac:dyDescent="0.25">
      <c r="A24" s="3"/>
      <c r="B24" s="68" t="s">
        <v>13</v>
      </c>
      <c r="C24" s="67"/>
      <c r="D24" s="35">
        <v>0.4</v>
      </c>
      <c r="E24" s="115">
        <v>0.37</v>
      </c>
      <c r="F24" s="29"/>
      <c r="G24" s="46">
        <v>0.42</v>
      </c>
      <c r="H24" s="28" t="s">
        <v>7</v>
      </c>
      <c r="I24" s="17">
        <f>G24+6%</f>
        <v>0.48</v>
      </c>
      <c r="J24" s="18" t="s">
        <v>14</v>
      </c>
      <c r="K24" s="19">
        <f>G24-6%</f>
        <v>0.36</v>
      </c>
      <c r="L24" s="61"/>
    </row>
    <row r="25" spans="1:15" ht="15" x14ac:dyDescent="0.2">
      <c r="C25" s="67"/>
    </row>
    <row r="26" spans="1:15" x14ac:dyDescent="0.2">
      <c r="C26" s="59"/>
    </row>
    <row r="27" spans="1:15" ht="18" x14ac:dyDescent="0.25">
      <c r="B27" s="131" t="s">
        <v>37</v>
      </c>
      <c r="C27" s="59"/>
      <c r="M27" s="47"/>
      <c r="N27" s="52"/>
      <c r="O27" s="52"/>
    </row>
    <row r="28" spans="1:15" x14ac:dyDescent="0.2">
      <c r="B28" s="133" t="s">
        <v>55</v>
      </c>
      <c r="C28" s="59"/>
    </row>
    <row r="29" spans="1:15" x14ac:dyDescent="0.2">
      <c r="B29" s="133" t="s">
        <v>54</v>
      </c>
      <c r="C29" s="59"/>
    </row>
    <row r="30" spans="1:15" x14ac:dyDescent="0.2">
      <c r="B30" s="130"/>
      <c r="C30" s="59"/>
    </row>
    <row r="31" spans="1:15" x14ac:dyDescent="0.2">
      <c r="C31" s="59"/>
    </row>
    <row r="32" spans="1:15" x14ac:dyDescent="0.2">
      <c r="C32" s="59"/>
    </row>
    <row r="33" spans="3:3" x14ac:dyDescent="0.2">
      <c r="C33" s="59"/>
    </row>
    <row r="34" spans="3:3" x14ac:dyDescent="0.2">
      <c r="C34" s="59"/>
    </row>
  </sheetData>
  <mergeCells count="2">
    <mergeCell ref="B2:L2"/>
    <mergeCell ref="I4:K4"/>
  </mergeCells>
  <pageMargins left="0.74803149606299213" right="0.74803149606299213" top="0.98425196850393704" bottom="0.98425196850393704" header="0.51181102362204722" footer="0.51181102362204722"/>
  <pageSetup paperSize="9" scale="79"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O34"/>
  <sheetViews>
    <sheetView showGridLines="0" rightToLeft="1" zoomScaleNormal="100" workbookViewId="0">
      <selection activeCell="B31" sqref="B31"/>
    </sheetView>
  </sheetViews>
  <sheetFormatPr defaultRowHeight="12.75" x14ac:dyDescent="0.2"/>
  <cols>
    <col min="1" max="1" width="2.140625" customWidth="1"/>
    <col min="2" max="2" width="29.140625" style="59" customWidth="1"/>
    <col min="3" max="3" width="4.140625" style="60" customWidth="1"/>
    <col min="4" max="4" width="12.7109375" customWidth="1"/>
    <col min="5" max="5" width="13.42578125" bestFit="1" customWidth="1"/>
    <col min="6" max="6" width="2.42578125" style="2" customWidth="1"/>
    <col min="7" max="7" width="15" customWidth="1"/>
    <col min="8" max="8" width="14.28515625" bestFit="1" customWidth="1"/>
    <col min="9" max="9" width="9.42578125" customWidth="1"/>
    <col min="10" max="10" width="1.7109375" customWidth="1"/>
    <col min="11" max="11" width="20.28515625" customWidth="1"/>
    <col min="12" max="12" width="35.42578125" bestFit="1" customWidth="1"/>
    <col min="252" max="252" width="2.140625" customWidth="1"/>
    <col min="253" max="253" width="19.85546875" customWidth="1"/>
    <col min="254" max="254" width="3.140625" bestFit="1" customWidth="1"/>
    <col min="255" max="255" width="11.7109375" customWidth="1"/>
    <col min="256" max="256" width="13" customWidth="1"/>
    <col min="257" max="257" width="2.42578125" customWidth="1"/>
    <col min="258" max="258" width="15" customWidth="1"/>
    <col min="260" max="260" width="9.42578125" customWidth="1"/>
    <col min="261" max="261" width="1.7109375" customWidth="1"/>
    <col min="262" max="262" width="8" customWidth="1"/>
    <col min="263" max="263" width="26.7109375" bestFit="1" customWidth="1"/>
    <col min="508" max="508" width="2.140625" customWidth="1"/>
    <col min="509" max="509" width="19.85546875" customWidth="1"/>
    <col min="510" max="510" width="3.140625" bestFit="1" customWidth="1"/>
    <col min="511" max="511" width="11.7109375" customWidth="1"/>
    <col min="512" max="512" width="13" customWidth="1"/>
    <col min="513" max="513" width="2.42578125" customWidth="1"/>
    <col min="514" max="514" width="15" customWidth="1"/>
    <col min="516" max="516" width="9.42578125" customWidth="1"/>
    <col min="517" max="517" width="1.7109375" customWidth="1"/>
    <col min="518" max="518" width="8" customWidth="1"/>
    <col min="519" max="519" width="26.7109375" bestFit="1" customWidth="1"/>
    <col min="764" max="764" width="2.140625" customWidth="1"/>
    <col min="765" max="765" width="19.85546875" customWidth="1"/>
    <col min="766" max="766" width="3.140625" bestFit="1" customWidth="1"/>
    <col min="767" max="767" width="11.7109375" customWidth="1"/>
    <col min="768" max="768" width="13" customWidth="1"/>
    <col min="769" max="769" width="2.42578125" customWidth="1"/>
    <col min="770" max="770" width="15" customWidth="1"/>
    <col min="772" max="772" width="9.42578125" customWidth="1"/>
    <col min="773" max="773" width="1.7109375" customWidth="1"/>
    <col min="774" max="774" width="8" customWidth="1"/>
    <col min="775" max="775" width="26.7109375" bestFit="1" customWidth="1"/>
    <col min="1020" max="1020" width="2.140625" customWidth="1"/>
    <col min="1021" max="1021" width="19.85546875" customWidth="1"/>
    <col min="1022" max="1022" width="3.140625" bestFit="1" customWidth="1"/>
    <col min="1023" max="1023" width="11.7109375" customWidth="1"/>
    <col min="1024" max="1024" width="13" customWidth="1"/>
    <col min="1025" max="1025" width="2.42578125" customWidth="1"/>
    <col min="1026" max="1026" width="15" customWidth="1"/>
    <col min="1028" max="1028" width="9.42578125" customWidth="1"/>
    <col min="1029" max="1029" width="1.7109375" customWidth="1"/>
    <col min="1030" max="1030" width="8" customWidth="1"/>
    <col min="1031" max="1031" width="26.7109375" bestFit="1" customWidth="1"/>
    <col min="1276" max="1276" width="2.140625" customWidth="1"/>
    <col min="1277" max="1277" width="19.85546875" customWidth="1"/>
    <col min="1278" max="1278" width="3.140625" bestFit="1" customWidth="1"/>
    <col min="1279" max="1279" width="11.7109375" customWidth="1"/>
    <col min="1280" max="1280" width="13" customWidth="1"/>
    <col min="1281" max="1281" width="2.42578125" customWidth="1"/>
    <col min="1282" max="1282" width="15" customWidth="1"/>
    <col min="1284" max="1284" width="9.42578125" customWidth="1"/>
    <col min="1285" max="1285" width="1.7109375" customWidth="1"/>
    <col min="1286" max="1286" width="8" customWidth="1"/>
    <col min="1287" max="1287" width="26.7109375" bestFit="1" customWidth="1"/>
    <col min="1532" max="1532" width="2.140625" customWidth="1"/>
    <col min="1533" max="1533" width="19.85546875" customWidth="1"/>
    <col min="1534" max="1534" width="3.140625" bestFit="1" customWidth="1"/>
    <col min="1535" max="1535" width="11.7109375" customWidth="1"/>
    <col min="1536" max="1536" width="13" customWidth="1"/>
    <col min="1537" max="1537" width="2.42578125" customWidth="1"/>
    <col min="1538" max="1538" width="15" customWidth="1"/>
    <col min="1540" max="1540" width="9.42578125" customWidth="1"/>
    <col min="1541" max="1541" width="1.7109375" customWidth="1"/>
    <col min="1542" max="1542" width="8" customWidth="1"/>
    <col min="1543" max="1543" width="26.7109375" bestFit="1" customWidth="1"/>
    <col min="1788" max="1788" width="2.140625" customWidth="1"/>
    <col min="1789" max="1789" width="19.85546875" customWidth="1"/>
    <col min="1790" max="1790" width="3.140625" bestFit="1" customWidth="1"/>
    <col min="1791" max="1791" width="11.7109375" customWidth="1"/>
    <col min="1792" max="1792" width="13" customWidth="1"/>
    <col min="1793" max="1793" width="2.42578125" customWidth="1"/>
    <col min="1794" max="1794" width="15" customWidth="1"/>
    <col min="1796" max="1796" width="9.42578125" customWidth="1"/>
    <col min="1797" max="1797" width="1.7109375" customWidth="1"/>
    <col min="1798" max="1798" width="8" customWidth="1"/>
    <col min="1799" max="1799" width="26.7109375" bestFit="1" customWidth="1"/>
    <col min="2044" max="2044" width="2.140625" customWidth="1"/>
    <col min="2045" max="2045" width="19.85546875" customWidth="1"/>
    <col min="2046" max="2046" width="3.140625" bestFit="1" customWidth="1"/>
    <col min="2047" max="2047" width="11.7109375" customWidth="1"/>
    <col min="2048" max="2048" width="13" customWidth="1"/>
    <col min="2049" max="2049" width="2.42578125" customWidth="1"/>
    <col min="2050" max="2050" width="15" customWidth="1"/>
    <col min="2052" max="2052" width="9.42578125" customWidth="1"/>
    <col min="2053" max="2053" width="1.7109375" customWidth="1"/>
    <col min="2054" max="2054" width="8" customWidth="1"/>
    <col min="2055" max="2055" width="26.7109375" bestFit="1" customWidth="1"/>
    <col min="2300" max="2300" width="2.140625" customWidth="1"/>
    <col min="2301" max="2301" width="19.85546875" customWidth="1"/>
    <col min="2302" max="2302" width="3.140625" bestFit="1" customWidth="1"/>
    <col min="2303" max="2303" width="11.7109375" customWidth="1"/>
    <col min="2304" max="2304" width="13" customWidth="1"/>
    <col min="2305" max="2305" width="2.42578125" customWidth="1"/>
    <col min="2306" max="2306" width="15" customWidth="1"/>
    <col min="2308" max="2308" width="9.42578125" customWidth="1"/>
    <col min="2309" max="2309" width="1.7109375" customWidth="1"/>
    <col min="2310" max="2310" width="8" customWidth="1"/>
    <col min="2311" max="2311" width="26.7109375" bestFit="1" customWidth="1"/>
    <col min="2556" max="2556" width="2.140625" customWidth="1"/>
    <col min="2557" max="2557" width="19.85546875" customWidth="1"/>
    <col min="2558" max="2558" width="3.140625" bestFit="1" customWidth="1"/>
    <col min="2559" max="2559" width="11.7109375" customWidth="1"/>
    <col min="2560" max="2560" width="13" customWidth="1"/>
    <col min="2561" max="2561" width="2.42578125" customWidth="1"/>
    <col min="2562" max="2562" width="15" customWidth="1"/>
    <col min="2564" max="2564" width="9.42578125" customWidth="1"/>
    <col min="2565" max="2565" width="1.7109375" customWidth="1"/>
    <col min="2566" max="2566" width="8" customWidth="1"/>
    <col min="2567" max="2567" width="26.7109375" bestFit="1" customWidth="1"/>
    <col min="2812" max="2812" width="2.140625" customWidth="1"/>
    <col min="2813" max="2813" width="19.85546875" customWidth="1"/>
    <col min="2814" max="2814" width="3.140625" bestFit="1" customWidth="1"/>
    <col min="2815" max="2815" width="11.7109375" customWidth="1"/>
    <col min="2816" max="2816" width="13" customWidth="1"/>
    <col min="2817" max="2817" width="2.42578125" customWidth="1"/>
    <col min="2818" max="2818" width="15" customWidth="1"/>
    <col min="2820" max="2820" width="9.42578125" customWidth="1"/>
    <col min="2821" max="2821" width="1.7109375" customWidth="1"/>
    <col min="2822" max="2822" width="8" customWidth="1"/>
    <col min="2823" max="2823" width="26.7109375" bestFit="1" customWidth="1"/>
    <col min="3068" max="3068" width="2.140625" customWidth="1"/>
    <col min="3069" max="3069" width="19.85546875" customWidth="1"/>
    <col min="3070" max="3070" width="3.140625" bestFit="1" customWidth="1"/>
    <col min="3071" max="3071" width="11.7109375" customWidth="1"/>
    <col min="3072" max="3072" width="13" customWidth="1"/>
    <col min="3073" max="3073" width="2.42578125" customWidth="1"/>
    <col min="3074" max="3074" width="15" customWidth="1"/>
    <col min="3076" max="3076" width="9.42578125" customWidth="1"/>
    <col min="3077" max="3077" width="1.7109375" customWidth="1"/>
    <col min="3078" max="3078" width="8" customWidth="1"/>
    <col min="3079" max="3079" width="26.7109375" bestFit="1" customWidth="1"/>
    <col min="3324" max="3324" width="2.140625" customWidth="1"/>
    <col min="3325" max="3325" width="19.85546875" customWidth="1"/>
    <col min="3326" max="3326" width="3.140625" bestFit="1" customWidth="1"/>
    <col min="3327" max="3327" width="11.7109375" customWidth="1"/>
    <col min="3328" max="3328" width="13" customWidth="1"/>
    <col min="3329" max="3329" width="2.42578125" customWidth="1"/>
    <col min="3330" max="3330" width="15" customWidth="1"/>
    <col min="3332" max="3332" width="9.42578125" customWidth="1"/>
    <col min="3333" max="3333" width="1.7109375" customWidth="1"/>
    <col min="3334" max="3334" width="8" customWidth="1"/>
    <col min="3335" max="3335" width="26.7109375" bestFit="1" customWidth="1"/>
    <col min="3580" max="3580" width="2.140625" customWidth="1"/>
    <col min="3581" max="3581" width="19.85546875" customWidth="1"/>
    <col min="3582" max="3582" width="3.140625" bestFit="1" customWidth="1"/>
    <col min="3583" max="3583" width="11.7109375" customWidth="1"/>
    <col min="3584" max="3584" width="13" customWidth="1"/>
    <col min="3585" max="3585" width="2.42578125" customWidth="1"/>
    <col min="3586" max="3586" width="15" customWidth="1"/>
    <col min="3588" max="3588" width="9.42578125" customWidth="1"/>
    <col min="3589" max="3589" width="1.7109375" customWidth="1"/>
    <col min="3590" max="3590" width="8" customWidth="1"/>
    <col min="3591" max="3591" width="26.7109375" bestFit="1" customWidth="1"/>
    <col min="3836" max="3836" width="2.140625" customWidth="1"/>
    <col min="3837" max="3837" width="19.85546875" customWidth="1"/>
    <col min="3838" max="3838" width="3.140625" bestFit="1" customWidth="1"/>
    <col min="3839" max="3839" width="11.7109375" customWidth="1"/>
    <col min="3840" max="3840" width="13" customWidth="1"/>
    <col min="3841" max="3841" width="2.42578125" customWidth="1"/>
    <col min="3842" max="3842" width="15" customWidth="1"/>
    <col min="3844" max="3844" width="9.42578125" customWidth="1"/>
    <col min="3845" max="3845" width="1.7109375" customWidth="1"/>
    <col min="3846" max="3846" width="8" customWidth="1"/>
    <col min="3847" max="3847" width="26.7109375" bestFit="1" customWidth="1"/>
    <col min="4092" max="4092" width="2.140625" customWidth="1"/>
    <col min="4093" max="4093" width="19.85546875" customWidth="1"/>
    <col min="4094" max="4094" width="3.140625" bestFit="1" customWidth="1"/>
    <col min="4095" max="4095" width="11.7109375" customWidth="1"/>
    <col min="4096" max="4096" width="13" customWidth="1"/>
    <col min="4097" max="4097" width="2.42578125" customWidth="1"/>
    <col min="4098" max="4098" width="15" customWidth="1"/>
    <col min="4100" max="4100" width="9.42578125" customWidth="1"/>
    <col min="4101" max="4101" width="1.7109375" customWidth="1"/>
    <col min="4102" max="4102" width="8" customWidth="1"/>
    <col min="4103" max="4103" width="26.7109375" bestFit="1" customWidth="1"/>
    <col min="4348" max="4348" width="2.140625" customWidth="1"/>
    <col min="4349" max="4349" width="19.85546875" customWidth="1"/>
    <col min="4350" max="4350" width="3.140625" bestFit="1" customWidth="1"/>
    <col min="4351" max="4351" width="11.7109375" customWidth="1"/>
    <col min="4352" max="4352" width="13" customWidth="1"/>
    <col min="4353" max="4353" width="2.42578125" customWidth="1"/>
    <col min="4354" max="4354" width="15" customWidth="1"/>
    <col min="4356" max="4356" width="9.42578125" customWidth="1"/>
    <col min="4357" max="4357" width="1.7109375" customWidth="1"/>
    <col min="4358" max="4358" width="8" customWidth="1"/>
    <col min="4359" max="4359" width="26.7109375" bestFit="1" customWidth="1"/>
    <col min="4604" max="4604" width="2.140625" customWidth="1"/>
    <col min="4605" max="4605" width="19.85546875" customWidth="1"/>
    <col min="4606" max="4606" width="3.140625" bestFit="1" customWidth="1"/>
    <col min="4607" max="4607" width="11.7109375" customWidth="1"/>
    <col min="4608" max="4608" width="13" customWidth="1"/>
    <col min="4609" max="4609" width="2.42578125" customWidth="1"/>
    <col min="4610" max="4610" width="15" customWidth="1"/>
    <col min="4612" max="4612" width="9.42578125" customWidth="1"/>
    <col min="4613" max="4613" width="1.7109375" customWidth="1"/>
    <col min="4614" max="4614" width="8" customWidth="1"/>
    <col min="4615" max="4615" width="26.7109375" bestFit="1" customWidth="1"/>
    <col min="4860" max="4860" width="2.140625" customWidth="1"/>
    <col min="4861" max="4861" width="19.85546875" customWidth="1"/>
    <col min="4862" max="4862" width="3.140625" bestFit="1" customWidth="1"/>
    <col min="4863" max="4863" width="11.7109375" customWidth="1"/>
    <col min="4864" max="4864" width="13" customWidth="1"/>
    <col min="4865" max="4865" width="2.42578125" customWidth="1"/>
    <col min="4866" max="4866" width="15" customWidth="1"/>
    <col min="4868" max="4868" width="9.42578125" customWidth="1"/>
    <col min="4869" max="4869" width="1.7109375" customWidth="1"/>
    <col min="4870" max="4870" width="8" customWidth="1"/>
    <col min="4871" max="4871" width="26.7109375" bestFit="1" customWidth="1"/>
    <col min="5116" max="5116" width="2.140625" customWidth="1"/>
    <col min="5117" max="5117" width="19.85546875" customWidth="1"/>
    <col min="5118" max="5118" width="3.140625" bestFit="1" customWidth="1"/>
    <col min="5119" max="5119" width="11.7109375" customWidth="1"/>
    <col min="5120" max="5120" width="13" customWidth="1"/>
    <col min="5121" max="5121" width="2.42578125" customWidth="1"/>
    <col min="5122" max="5122" width="15" customWidth="1"/>
    <col min="5124" max="5124" width="9.42578125" customWidth="1"/>
    <col min="5125" max="5125" width="1.7109375" customWidth="1"/>
    <col min="5126" max="5126" width="8" customWidth="1"/>
    <col min="5127" max="5127" width="26.7109375" bestFit="1" customWidth="1"/>
    <col min="5372" max="5372" width="2.140625" customWidth="1"/>
    <col min="5373" max="5373" width="19.85546875" customWidth="1"/>
    <col min="5374" max="5374" width="3.140625" bestFit="1" customWidth="1"/>
    <col min="5375" max="5375" width="11.7109375" customWidth="1"/>
    <col min="5376" max="5376" width="13" customWidth="1"/>
    <col min="5377" max="5377" width="2.42578125" customWidth="1"/>
    <col min="5378" max="5378" width="15" customWidth="1"/>
    <col min="5380" max="5380" width="9.42578125" customWidth="1"/>
    <col min="5381" max="5381" width="1.7109375" customWidth="1"/>
    <col min="5382" max="5382" width="8" customWidth="1"/>
    <col min="5383" max="5383" width="26.7109375" bestFit="1" customWidth="1"/>
    <col min="5628" max="5628" width="2.140625" customWidth="1"/>
    <col min="5629" max="5629" width="19.85546875" customWidth="1"/>
    <col min="5630" max="5630" width="3.140625" bestFit="1" customWidth="1"/>
    <col min="5631" max="5631" width="11.7109375" customWidth="1"/>
    <col min="5632" max="5632" width="13" customWidth="1"/>
    <col min="5633" max="5633" width="2.42578125" customWidth="1"/>
    <col min="5634" max="5634" width="15" customWidth="1"/>
    <col min="5636" max="5636" width="9.42578125" customWidth="1"/>
    <col min="5637" max="5637" width="1.7109375" customWidth="1"/>
    <col min="5638" max="5638" width="8" customWidth="1"/>
    <col min="5639" max="5639" width="26.7109375" bestFit="1" customWidth="1"/>
    <col min="5884" max="5884" width="2.140625" customWidth="1"/>
    <col min="5885" max="5885" width="19.85546875" customWidth="1"/>
    <col min="5886" max="5886" width="3.140625" bestFit="1" customWidth="1"/>
    <col min="5887" max="5887" width="11.7109375" customWidth="1"/>
    <col min="5888" max="5888" width="13" customWidth="1"/>
    <col min="5889" max="5889" width="2.42578125" customWidth="1"/>
    <col min="5890" max="5890" width="15" customWidth="1"/>
    <col min="5892" max="5892" width="9.42578125" customWidth="1"/>
    <col min="5893" max="5893" width="1.7109375" customWidth="1"/>
    <col min="5894" max="5894" width="8" customWidth="1"/>
    <col min="5895" max="5895" width="26.7109375" bestFit="1" customWidth="1"/>
    <col min="6140" max="6140" width="2.140625" customWidth="1"/>
    <col min="6141" max="6141" width="19.85546875" customWidth="1"/>
    <col min="6142" max="6142" width="3.140625" bestFit="1" customWidth="1"/>
    <col min="6143" max="6143" width="11.7109375" customWidth="1"/>
    <col min="6144" max="6144" width="13" customWidth="1"/>
    <col min="6145" max="6145" width="2.42578125" customWidth="1"/>
    <col min="6146" max="6146" width="15" customWidth="1"/>
    <col min="6148" max="6148" width="9.42578125" customWidth="1"/>
    <col min="6149" max="6149" width="1.7109375" customWidth="1"/>
    <col min="6150" max="6150" width="8" customWidth="1"/>
    <col min="6151" max="6151" width="26.7109375" bestFit="1" customWidth="1"/>
    <col min="6396" max="6396" width="2.140625" customWidth="1"/>
    <col min="6397" max="6397" width="19.85546875" customWidth="1"/>
    <col min="6398" max="6398" width="3.140625" bestFit="1" customWidth="1"/>
    <col min="6399" max="6399" width="11.7109375" customWidth="1"/>
    <col min="6400" max="6400" width="13" customWidth="1"/>
    <col min="6401" max="6401" width="2.42578125" customWidth="1"/>
    <col min="6402" max="6402" width="15" customWidth="1"/>
    <col min="6404" max="6404" width="9.42578125" customWidth="1"/>
    <col min="6405" max="6405" width="1.7109375" customWidth="1"/>
    <col min="6406" max="6406" width="8" customWidth="1"/>
    <col min="6407" max="6407" width="26.7109375" bestFit="1" customWidth="1"/>
    <col min="6652" max="6652" width="2.140625" customWidth="1"/>
    <col min="6653" max="6653" width="19.85546875" customWidth="1"/>
    <col min="6654" max="6654" width="3.140625" bestFit="1" customWidth="1"/>
    <col min="6655" max="6655" width="11.7109375" customWidth="1"/>
    <col min="6656" max="6656" width="13" customWidth="1"/>
    <col min="6657" max="6657" width="2.42578125" customWidth="1"/>
    <col min="6658" max="6658" width="15" customWidth="1"/>
    <col min="6660" max="6660" width="9.42578125" customWidth="1"/>
    <col min="6661" max="6661" width="1.7109375" customWidth="1"/>
    <col min="6662" max="6662" width="8" customWidth="1"/>
    <col min="6663" max="6663" width="26.7109375" bestFit="1" customWidth="1"/>
    <col min="6908" max="6908" width="2.140625" customWidth="1"/>
    <col min="6909" max="6909" width="19.85546875" customWidth="1"/>
    <col min="6910" max="6910" width="3.140625" bestFit="1" customWidth="1"/>
    <col min="6911" max="6911" width="11.7109375" customWidth="1"/>
    <col min="6912" max="6912" width="13" customWidth="1"/>
    <col min="6913" max="6913" width="2.42578125" customWidth="1"/>
    <col min="6914" max="6914" width="15" customWidth="1"/>
    <col min="6916" max="6916" width="9.42578125" customWidth="1"/>
    <col min="6917" max="6917" width="1.7109375" customWidth="1"/>
    <col min="6918" max="6918" width="8" customWidth="1"/>
    <col min="6919" max="6919" width="26.7109375" bestFit="1" customWidth="1"/>
    <col min="7164" max="7164" width="2.140625" customWidth="1"/>
    <col min="7165" max="7165" width="19.85546875" customWidth="1"/>
    <col min="7166" max="7166" width="3.140625" bestFit="1" customWidth="1"/>
    <col min="7167" max="7167" width="11.7109375" customWidth="1"/>
    <col min="7168" max="7168" width="13" customWidth="1"/>
    <col min="7169" max="7169" width="2.42578125" customWidth="1"/>
    <col min="7170" max="7170" width="15" customWidth="1"/>
    <col min="7172" max="7172" width="9.42578125" customWidth="1"/>
    <col min="7173" max="7173" width="1.7109375" customWidth="1"/>
    <col min="7174" max="7174" width="8" customWidth="1"/>
    <col min="7175" max="7175" width="26.7109375" bestFit="1" customWidth="1"/>
    <col min="7420" max="7420" width="2.140625" customWidth="1"/>
    <col min="7421" max="7421" width="19.85546875" customWidth="1"/>
    <col min="7422" max="7422" width="3.140625" bestFit="1" customWidth="1"/>
    <col min="7423" max="7423" width="11.7109375" customWidth="1"/>
    <col min="7424" max="7424" width="13" customWidth="1"/>
    <col min="7425" max="7425" width="2.42578125" customWidth="1"/>
    <col min="7426" max="7426" width="15" customWidth="1"/>
    <col min="7428" max="7428" width="9.42578125" customWidth="1"/>
    <col min="7429" max="7429" width="1.7109375" customWidth="1"/>
    <col min="7430" max="7430" width="8" customWidth="1"/>
    <col min="7431" max="7431" width="26.7109375" bestFit="1" customWidth="1"/>
    <col min="7676" max="7676" width="2.140625" customWidth="1"/>
    <col min="7677" max="7677" width="19.85546875" customWidth="1"/>
    <col min="7678" max="7678" width="3.140625" bestFit="1" customWidth="1"/>
    <col min="7679" max="7679" width="11.7109375" customWidth="1"/>
    <col min="7680" max="7680" width="13" customWidth="1"/>
    <col min="7681" max="7681" width="2.42578125" customWidth="1"/>
    <col min="7682" max="7682" width="15" customWidth="1"/>
    <col min="7684" max="7684" width="9.42578125" customWidth="1"/>
    <col min="7685" max="7685" width="1.7109375" customWidth="1"/>
    <col min="7686" max="7686" width="8" customWidth="1"/>
    <col min="7687" max="7687" width="26.7109375" bestFit="1" customWidth="1"/>
    <col min="7932" max="7932" width="2.140625" customWidth="1"/>
    <col min="7933" max="7933" width="19.85546875" customWidth="1"/>
    <col min="7934" max="7934" width="3.140625" bestFit="1" customWidth="1"/>
    <col min="7935" max="7935" width="11.7109375" customWidth="1"/>
    <col min="7936" max="7936" width="13" customWidth="1"/>
    <col min="7937" max="7937" width="2.42578125" customWidth="1"/>
    <col min="7938" max="7938" width="15" customWidth="1"/>
    <col min="7940" max="7940" width="9.42578125" customWidth="1"/>
    <col min="7941" max="7941" width="1.7109375" customWidth="1"/>
    <col min="7942" max="7942" width="8" customWidth="1"/>
    <col min="7943" max="7943" width="26.7109375" bestFit="1" customWidth="1"/>
    <col min="8188" max="8188" width="2.140625" customWidth="1"/>
    <col min="8189" max="8189" width="19.85546875" customWidth="1"/>
    <col min="8190" max="8190" width="3.140625" bestFit="1" customWidth="1"/>
    <col min="8191" max="8191" width="11.7109375" customWidth="1"/>
    <col min="8192" max="8192" width="13" customWidth="1"/>
    <col min="8193" max="8193" width="2.42578125" customWidth="1"/>
    <col min="8194" max="8194" width="15" customWidth="1"/>
    <col min="8196" max="8196" width="9.42578125" customWidth="1"/>
    <col min="8197" max="8197" width="1.7109375" customWidth="1"/>
    <col min="8198" max="8198" width="8" customWidth="1"/>
    <col min="8199" max="8199" width="26.7109375" bestFit="1" customWidth="1"/>
    <col min="8444" max="8444" width="2.140625" customWidth="1"/>
    <col min="8445" max="8445" width="19.85546875" customWidth="1"/>
    <col min="8446" max="8446" width="3.140625" bestFit="1" customWidth="1"/>
    <col min="8447" max="8447" width="11.7109375" customWidth="1"/>
    <col min="8448" max="8448" width="13" customWidth="1"/>
    <col min="8449" max="8449" width="2.42578125" customWidth="1"/>
    <col min="8450" max="8450" width="15" customWidth="1"/>
    <col min="8452" max="8452" width="9.42578125" customWidth="1"/>
    <col min="8453" max="8453" width="1.7109375" customWidth="1"/>
    <col min="8454" max="8454" width="8" customWidth="1"/>
    <col min="8455" max="8455" width="26.7109375" bestFit="1" customWidth="1"/>
    <col min="8700" max="8700" width="2.140625" customWidth="1"/>
    <col min="8701" max="8701" width="19.85546875" customWidth="1"/>
    <col min="8702" max="8702" width="3.140625" bestFit="1" customWidth="1"/>
    <col min="8703" max="8703" width="11.7109375" customWidth="1"/>
    <col min="8704" max="8704" width="13" customWidth="1"/>
    <col min="8705" max="8705" width="2.42578125" customWidth="1"/>
    <col min="8706" max="8706" width="15" customWidth="1"/>
    <col min="8708" max="8708" width="9.42578125" customWidth="1"/>
    <col min="8709" max="8709" width="1.7109375" customWidth="1"/>
    <col min="8710" max="8710" width="8" customWidth="1"/>
    <col min="8711" max="8711" width="26.7109375" bestFit="1" customWidth="1"/>
    <col min="8956" max="8956" width="2.140625" customWidth="1"/>
    <col min="8957" max="8957" width="19.85546875" customWidth="1"/>
    <col min="8958" max="8958" width="3.140625" bestFit="1" customWidth="1"/>
    <col min="8959" max="8959" width="11.7109375" customWidth="1"/>
    <col min="8960" max="8960" width="13" customWidth="1"/>
    <col min="8961" max="8961" width="2.42578125" customWidth="1"/>
    <col min="8962" max="8962" width="15" customWidth="1"/>
    <col min="8964" max="8964" width="9.42578125" customWidth="1"/>
    <col min="8965" max="8965" width="1.7109375" customWidth="1"/>
    <col min="8966" max="8966" width="8" customWidth="1"/>
    <col min="8967" max="8967" width="26.7109375" bestFit="1" customWidth="1"/>
    <col min="9212" max="9212" width="2.140625" customWidth="1"/>
    <col min="9213" max="9213" width="19.85546875" customWidth="1"/>
    <col min="9214" max="9214" width="3.140625" bestFit="1" customWidth="1"/>
    <col min="9215" max="9215" width="11.7109375" customWidth="1"/>
    <col min="9216" max="9216" width="13" customWidth="1"/>
    <col min="9217" max="9217" width="2.42578125" customWidth="1"/>
    <col min="9218" max="9218" width="15" customWidth="1"/>
    <col min="9220" max="9220" width="9.42578125" customWidth="1"/>
    <col min="9221" max="9221" width="1.7109375" customWidth="1"/>
    <col min="9222" max="9222" width="8" customWidth="1"/>
    <col min="9223" max="9223" width="26.7109375" bestFit="1" customWidth="1"/>
    <col min="9468" max="9468" width="2.140625" customWidth="1"/>
    <col min="9469" max="9469" width="19.85546875" customWidth="1"/>
    <col min="9470" max="9470" width="3.140625" bestFit="1" customWidth="1"/>
    <col min="9471" max="9471" width="11.7109375" customWidth="1"/>
    <col min="9472" max="9472" width="13" customWidth="1"/>
    <col min="9473" max="9473" width="2.42578125" customWidth="1"/>
    <col min="9474" max="9474" width="15" customWidth="1"/>
    <col min="9476" max="9476" width="9.42578125" customWidth="1"/>
    <col min="9477" max="9477" width="1.7109375" customWidth="1"/>
    <col min="9478" max="9478" width="8" customWidth="1"/>
    <col min="9479" max="9479" width="26.7109375" bestFit="1" customWidth="1"/>
    <col min="9724" max="9724" width="2.140625" customWidth="1"/>
    <col min="9725" max="9725" width="19.85546875" customWidth="1"/>
    <col min="9726" max="9726" width="3.140625" bestFit="1" customWidth="1"/>
    <col min="9727" max="9727" width="11.7109375" customWidth="1"/>
    <col min="9728" max="9728" width="13" customWidth="1"/>
    <col min="9729" max="9729" width="2.42578125" customWidth="1"/>
    <col min="9730" max="9730" width="15" customWidth="1"/>
    <col min="9732" max="9732" width="9.42578125" customWidth="1"/>
    <col min="9733" max="9733" width="1.7109375" customWidth="1"/>
    <col min="9734" max="9734" width="8" customWidth="1"/>
    <col min="9735" max="9735" width="26.7109375" bestFit="1" customWidth="1"/>
    <col min="9980" max="9980" width="2.140625" customWidth="1"/>
    <col min="9981" max="9981" width="19.85546875" customWidth="1"/>
    <col min="9982" max="9982" width="3.140625" bestFit="1" customWidth="1"/>
    <col min="9983" max="9983" width="11.7109375" customWidth="1"/>
    <col min="9984" max="9984" width="13" customWidth="1"/>
    <col min="9985" max="9985" width="2.42578125" customWidth="1"/>
    <col min="9986" max="9986" width="15" customWidth="1"/>
    <col min="9988" max="9988" width="9.42578125" customWidth="1"/>
    <col min="9989" max="9989" width="1.7109375" customWidth="1"/>
    <col min="9990" max="9990" width="8" customWidth="1"/>
    <col min="9991" max="9991" width="26.7109375" bestFit="1" customWidth="1"/>
    <col min="10236" max="10236" width="2.140625" customWidth="1"/>
    <col min="10237" max="10237" width="19.85546875" customWidth="1"/>
    <col min="10238" max="10238" width="3.140625" bestFit="1" customWidth="1"/>
    <col min="10239" max="10239" width="11.7109375" customWidth="1"/>
    <col min="10240" max="10240" width="13" customWidth="1"/>
    <col min="10241" max="10241" width="2.42578125" customWidth="1"/>
    <col min="10242" max="10242" width="15" customWidth="1"/>
    <col min="10244" max="10244" width="9.42578125" customWidth="1"/>
    <col min="10245" max="10245" width="1.7109375" customWidth="1"/>
    <col min="10246" max="10246" width="8" customWidth="1"/>
    <col min="10247" max="10247" width="26.7109375" bestFit="1" customWidth="1"/>
    <col min="10492" max="10492" width="2.140625" customWidth="1"/>
    <col min="10493" max="10493" width="19.85546875" customWidth="1"/>
    <col min="10494" max="10494" width="3.140625" bestFit="1" customWidth="1"/>
    <col min="10495" max="10495" width="11.7109375" customWidth="1"/>
    <col min="10496" max="10496" width="13" customWidth="1"/>
    <col min="10497" max="10497" width="2.42578125" customWidth="1"/>
    <col min="10498" max="10498" width="15" customWidth="1"/>
    <col min="10500" max="10500" width="9.42578125" customWidth="1"/>
    <col min="10501" max="10501" width="1.7109375" customWidth="1"/>
    <col min="10502" max="10502" width="8" customWidth="1"/>
    <col min="10503" max="10503" width="26.7109375" bestFit="1" customWidth="1"/>
    <col min="10748" max="10748" width="2.140625" customWidth="1"/>
    <col min="10749" max="10749" width="19.85546875" customWidth="1"/>
    <col min="10750" max="10750" width="3.140625" bestFit="1" customWidth="1"/>
    <col min="10751" max="10751" width="11.7109375" customWidth="1"/>
    <col min="10752" max="10752" width="13" customWidth="1"/>
    <col min="10753" max="10753" width="2.42578125" customWidth="1"/>
    <col min="10754" max="10754" width="15" customWidth="1"/>
    <col min="10756" max="10756" width="9.42578125" customWidth="1"/>
    <col min="10757" max="10757" width="1.7109375" customWidth="1"/>
    <col min="10758" max="10758" width="8" customWidth="1"/>
    <col min="10759" max="10759" width="26.7109375" bestFit="1" customWidth="1"/>
    <col min="11004" max="11004" width="2.140625" customWidth="1"/>
    <col min="11005" max="11005" width="19.85546875" customWidth="1"/>
    <col min="11006" max="11006" width="3.140625" bestFit="1" customWidth="1"/>
    <col min="11007" max="11007" width="11.7109375" customWidth="1"/>
    <col min="11008" max="11008" width="13" customWidth="1"/>
    <col min="11009" max="11009" width="2.42578125" customWidth="1"/>
    <col min="11010" max="11010" width="15" customWidth="1"/>
    <col min="11012" max="11012" width="9.42578125" customWidth="1"/>
    <col min="11013" max="11013" width="1.7109375" customWidth="1"/>
    <col min="11014" max="11014" width="8" customWidth="1"/>
    <col min="11015" max="11015" width="26.7109375" bestFit="1" customWidth="1"/>
    <col min="11260" max="11260" width="2.140625" customWidth="1"/>
    <col min="11261" max="11261" width="19.85546875" customWidth="1"/>
    <col min="11262" max="11262" width="3.140625" bestFit="1" customWidth="1"/>
    <col min="11263" max="11263" width="11.7109375" customWidth="1"/>
    <col min="11264" max="11264" width="13" customWidth="1"/>
    <col min="11265" max="11265" width="2.42578125" customWidth="1"/>
    <col min="11266" max="11266" width="15" customWidth="1"/>
    <col min="11268" max="11268" width="9.42578125" customWidth="1"/>
    <col min="11269" max="11269" width="1.7109375" customWidth="1"/>
    <col min="11270" max="11270" width="8" customWidth="1"/>
    <col min="11271" max="11271" width="26.7109375" bestFit="1" customWidth="1"/>
    <col min="11516" max="11516" width="2.140625" customWidth="1"/>
    <col min="11517" max="11517" width="19.85546875" customWidth="1"/>
    <col min="11518" max="11518" width="3.140625" bestFit="1" customWidth="1"/>
    <col min="11519" max="11519" width="11.7109375" customWidth="1"/>
    <col min="11520" max="11520" width="13" customWidth="1"/>
    <col min="11521" max="11521" width="2.42578125" customWidth="1"/>
    <col min="11522" max="11522" width="15" customWidth="1"/>
    <col min="11524" max="11524" width="9.42578125" customWidth="1"/>
    <col min="11525" max="11525" width="1.7109375" customWidth="1"/>
    <col min="11526" max="11526" width="8" customWidth="1"/>
    <col min="11527" max="11527" width="26.7109375" bestFit="1" customWidth="1"/>
    <col min="11772" max="11772" width="2.140625" customWidth="1"/>
    <col min="11773" max="11773" width="19.85546875" customWidth="1"/>
    <col min="11774" max="11774" width="3.140625" bestFit="1" customWidth="1"/>
    <col min="11775" max="11775" width="11.7109375" customWidth="1"/>
    <col min="11776" max="11776" width="13" customWidth="1"/>
    <col min="11777" max="11777" width="2.42578125" customWidth="1"/>
    <col min="11778" max="11778" width="15" customWidth="1"/>
    <col min="11780" max="11780" width="9.42578125" customWidth="1"/>
    <col min="11781" max="11781" width="1.7109375" customWidth="1"/>
    <col min="11782" max="11782" width="8" customWidth="1"/>
    <col min="11783" max="11783" width="26.7109375" bestFit="1" customWidth="1"/>
    <col min="12028" max="12028" width="2.140625" customWidth="1"/>
    <col min="12029" max="12029" width="19.85546875" customWidth="1"/>
    <col min="12030" max="12030" width="3.140625" bestFit="1" customWidth="1"/>
    <col min="12031" max="12031" width="11.7109375" customWidth="1"/>
    <col min="12032" max="12032" width="13" customWidth="1"/>
    <col min="12033" max="12033" width="2.42578125" customWidth="1"/>
    <col min="12034" max="12034" width="15" customWidth="1"/>
    <col min="12036" max="12036" width="9.42578125" customWidth="1"/>
    <col min="12037" max="12037" width="1.7109375" customWidth="1"/>
    <col min="12038" max="12038" width="8" customWidth="1"/>
    <col min="12039" max="12039" width="26.7109375" bestFit="1" customWidth="1"/>
    <col min="12284" max="12284" width="2.140625" customWidth="1"/>
    <col min="12285" max="12285" width="19.85546875" customWidth="1"/>
    <col min="12286" max="12286" width="3.140625" bestFit="1" customWidth="1"/>
    <col min="12287" max="12287" width="11.7109375" customWidth="1"/>
    <col min="12288" max="12288" width="13" customWidth="1"/>
    <col min="12289" max="12289" width="2.42578125" customWidth="1"/>
    <col min="12290" max="12290" width="15" customWidth="1"/>
    <col min="12292" max="12292" width="9.42578125" customWidth="1"/>
    <col min="12293" max="12293" width="1.7109375" customWidth="1"/>
    <col min="12294" max="12294" width="8" customWidth="1"/>
    <col min="12295" max="12295" width="26.7109375" bestFit="1" customWidth="1"/>
    <col min="12540" max="12540" width="2.140625" customWidth="1"/>
    <col min="12541" max="12541" width="19.85546875" customWidth="1"/>
    <col min="12542" max="12542" width="3.140625" bestFit="1" customWidth="1"/>
    <col min="12543" max="12543" width="11.7109375" customWidth="1"/>
    <col min="12544" max="12544" width="13" customWidth="1"/>
    <col min="12545" max="12545" width="2.42578125" customWidth="1"/>
    <col min="12546" max="12546" width="15" customWidth="1"/>
    <col min="12548" max="12548" width="9.42578125" customWidth="1"/>
    <col min="12549" max="12549" width="1.7109375" customWidth="1"/>
    <col min="12550" max="12550" width="8" customWidth="1"/>
    <col min="12551" max="12551" width="26.7109375" bestFit="1" customWidth="1"/>
    <col min="12796" max="12796" width="2.140625" customWidth="1"/>
    <col min="12797" max="12797" width="19.85546875" customWidth="1"/>
    <col min="12798" max="12798" width="3.140625" bestFit="1" customWidth="1"/>
    <col min="12799" max="12799" width="11.7109375" customWidth="1"/>
    <col min="12800" max="12800" width="13" customWidth="1"/>
    <col min="12801" max="12801" width="2.42578125" customWidth="1"/>
    <col min="12802" max="12802" width="15" customWidth="1"/>
    <col min="12804" max="12804" width="9.42578125" customWidth="1"/>
    <col min="12805" max="12805" width="1.7109375" customWidth="1"/>
    <col min="12806" max="12806" width="8" customWidth="1"/>
    <col min="12807" max="12807" width="26.7109375" bestFit="1" customWidth="1"/>
    <col min="13052" max="13052" width="2.140625" customWidth="1"/>
    <col min="13053" max="13053" width="19.85546875" customWidth="1"/>
    <col min="13054" max="13054" width="3.140625" bestFit="1" customWidth="1"/>
    <col min="13055" max="13055" width="11.7109375" customWidth="1"/>
    <col min="13056" max="13056" width="13" customWidth="1"/>
    <col min="13057" max="13057" width="2.42578125" customWidth="1"/>
    <col min="13058" max="13058" width="15" customWidth="1"/>
    <col min="13060" max="13060" width="9.42578125" customWidth="1"/>
    <col min="13061" max="13061" width="1.7109375" customWidth="1"/>
    <col min="13062" max="13062" width="8" customWidth="1"/>
    <col min="13063" max="13063" width="26.7109375" bestFit="1" customWidth="1"/>
    <col min="13308" max="13308" width="2.140625" customWidth="1"/>
    <col min="13309" max="13309" width="19.85546875" customWidth="1"/>
    <col min="13310" max="13310" width="3.140625" bestFit="1" customWidth="1"/>
    <col min="13311" max="13311" width="11.7109375" customWidth="1"/>
    <col min="13312" max="13312" width="13" customWidth="1"/>
    <col min="13313" max="13313" width="2.42578125" customWidth="1"/>
    <col min="13314" max="13314" width="15" customWidth="1"/>
    <col min="13316" max="13316" width="9.42578125" customWidth="1"/>
    <col min="13317" max="13317" width="1.7109375" customWidth="1"/>
    <col min="13318" max="13318" width="8" customWidth="1"/>
    <col min="13319" max="13319" width="26.7109375" bestFit="1" customWidth="1"/>
    <col min="13564" max="13564" width="2.140625" customWidth="1"/>
    <col min="13565" max="13565" width="19.85546875" customWidth="1"/>
    <col min="13566" max="13566" width="3.140625" bestFit="1" customWidth="1"/>
    <col min="13567" max="13567" width="11.7109375" customWidth="1"/>
    <col min="13568" max="13568" width="13" customWidth="1"/>
    <col min="13569" max="13569" width="2.42578125" customWidth="1"/>
    <col min="13570" max="13570" width="15" customWidth="1"/>
    <col min="13572" max="13572" width="9.42578125" customWidth="1"/>
    <col min="13573" max="13573" width="1.7109375" customWidth="1"/>
    <col min="13574" max="13574" width="8" customWidth="1"/>
    <col min="13575" max="13575" width="26.7109375" bestFit="1" customWidth="1"/>
    <col min="13820" max="13820" width="2.140625" customWidth="1"/>
    <col min="13821" max="13821" width="19.85546875" customWidth="1"/>
    <col min="13822" max="13822" width="3.140625" bestFit="1" customWidth="1"/>
    <col min="13823" max="13823" width="11.7109375" customWidth="1"/>
    <col min="13824" max="13824" width="13" customWidth="1"/>
    <col min="13825" max="13825" width="2.42578125" customWidth="1"/>
    <col min="13826" max="13826" width="15" customWidth="1"/>
    <col min="13828" max="13828" width="9.42578125" customWidth="1"/>
    <col min="13829" max="13829" width="1.7109375" customWidth="1"/>
    <col min="13830" max="13830" width="8" customWidth="1"/>
    <col min="13831" max="13831" width="26.7109375" bestFit="1" customWidth="1"/>
    <col min="14076" max="14076" width="2.140625" customWidth="1"/>
    <col min="14077" max="14077" width="19.85546875" customWidth="1"/>
    <col min="14078" max="14078" width="3.140625" bestFit="1" customWidth="1"/>
    <col min="14079" max="14079" width="11.7109375" customWidth="1"/>
    <col min="14080" max="14080" width="13" customWidth="1"/>
    <col min="14081" max="14081" width="2.42578125" customWidth="1"/>
    <col min="14082" max="14082" width="15" customWidth="1"/>
    <col min="14084" max="14084" width="9.42578125" customWidth="1"/>
    <col min="14085" max="14085" width="1.7109375" customWidth="1"/>
    <col min="14086" max="14086" width="8" customWidth="1"/>
    <col min="14087" max="14087" width="26.7109375" bestFit="1" customWidth="1"/>
    <col min="14332" max="14332" width="2.140625" customWidth="1"/>
    <col min="14333" max="14333" width="19.85546875" customWidth="1"/>
    <col min="14334" max="14334" width="3.140625" bestFit="1" customWidth="1"/>
    <col min="14335" max="14335" width="11.7109375" customWidth="1"/>
    <col min="14336" max="14336" width="13" customWidth="1"/>
    <col min="14337" max="14337" width="2.42578125" customWidth="1"/>
    <col min="14338" max="14338" width="15" customWidth="1"/>
    <col min="14340" max="14340" width="9.42578125" customWidth="1"/>
    <col min="14341" max="14341" width="1.7109375" customWidth="1"/>
    <col min="14342" max="14342" width="8" customWidth="1"/>
    <col min="14343" max="14343" width="26.7109375" bestFit="1" customWidth="1"/>
    <col min="14588" max="14588" width="2.140625" customWidth="1"/>
    <col min="14589" max="14589" width="19.85546875" customWidth="1"/>
    <col min="14590" max="14590" width="3.140625" bestFit="1" customWidth="1"/>
    <col min="14591" max="14591" width="11.7109375" customWidth="1"/>
    <col min="14592" max="14592" width="13" customWidth="1"/>
    <col min="14593" max="14593" width="2.42578125" customWidth="1"/>
    <col min="14594" max="14594" width="15" customWidth="1"/>
    <col min="14596" max="14596" width="9.42578125" customWidth="1"/>
    <col min="14597" max="14597" width="1.7109375" customWidth="1"/>
    <col min="14598" max="14598" width="8" customWidth="1"/>
    <col min="14599" max="14599" width="26.7109375" bestFit="1" customWidth="1"/>
    <col min="14844" max="14844" width="2.140625" customWidth="1"/>
    <col min="14845" max="14845" width="19.85546875" customWidth="1"/>
    <col min="14846" max="14846" width="3.140625" bestFit="1" customWidth="1"/>
    <col min="14847" max="14847" width="11.7109375" customWidth="1"/>
    <col min="14848" max="14848" width="13" customWidth="1"/>
    <col min="14849" max="14849" width="2.42578125" customWidth="1"/>
    <col min="14850" max="14850" width="15" customWidth="1"/>
    <col min="14852" max="14852" width="9.42578125" customWidth="1"/>
    <col min="14853" max="14853" width="1.7109375" customWidth="1"/>
    <col min="14854" max="14854" width="8" customWidth="1"/>
    <col min="14855" max="14855" width="26.7109375" bestFit="1" customWidth="1"/>
    <col min="15100" max="15100" width="2.140625" customWidth="1"/>
    <col min="15101" max="15101" width="19.85546875" customWidth="1"/>
    <col min="15102" max="15102" width="3.140625" bestFit="1" customWidth="1"/>
    <col min="15103" max="15103" width="11.7109375" customWidth="1"/>
    <col min="15104" max="15104" width="13" customWidth="1"/>
    <col min="15105" max="15105" width="2.42578125" customWidth="1"/>
    <col min="15106" max="15106" width="15" customWidth="1"/>
    <col min="15108" max="15108" width="9.42578125" customWidth="1"/>
    <col min="15109" max="15109" width="1.7109375" customWidth="1"/>
    <col min="15110" max="15110" width="8" customWidth="1"/>
    <col min="15111" max="15111" width="26.7109375" bestFit="1" customWidth="1"/>
    <col min="15356" max="15356" width="2.140625" customWidth="1"/>
    <col min="15357" max="15357" width="19.85546875" customWidth="1"/>
    <col min="15358" max="15358" width="3.140625" bestFit="1" customWidth="1"/>
    <col min="15359" max="15359" width="11.7109375" customWidth="1"/>
    <col min="15360" max="15360" width="13" customWidth="1"/>
    <col min="15361" max="15361" width="2.42578125" customWidth="1"/>
    <col min="15362" max="15362" width="15" customWidth="1"/>
    <col min="15364" max="15364" width="9.42578125" customWidth="1"/>
    <col min="15365" max="15365" width="1.7109375" customWidth="1"/>
    <col min="15366" max="15366" width="8" customWidth="1"/>
    <col min="15367" max="15367" width="26.7109375" bestFit="1" customWidth="1"/>
    <col min="15612" max="15612" width="2.140625" customWidth="1"/>
    <col min="15613" max="15613" width="19.85546875" customWidth="1"/>
    <col min="15614" max="15614" width="3.140625" bestFit="1" customWidth="1"/>
    <col min="15615" max="15615" width="11.7109375" customWidth="1"/>
    <col min="15616" max="15616" width="13" customWidth="1"/>
    <col min="15617" max="15617" width="2.42578125" customWidth="1"/>
    <col min="15618" max="15618" width="15" customWidth="1"/>
    <col min="15620" max="15620" width="9.42578125" customWidth="1"/>
    <col min="15621" max="15621" width="1.7109375" customWidth="1"/>
    <col min="15622" max="15622" width="8" customWidth="1"/>
    <col min="15623" max="15623" width="26.7109375" bestFit="1" customWidth="1"/>
    <col min="15868" max="15868" width="2.140625" customWidth="1"/>
    <col min="15869" max="15869" width="19.85546875" customWidth="1"/>
    <col min="15870" max="15870" width="3.140625" bestFit="1" customWidth="1"/>
    <col min="15871" max="15871" width="11.7109375" customWidth="1"/>
    <col min="15872" max="15872" width="13" customWidth="1"/>
    <col min="15873" max="15873" width="2.42578125" customWidth="1"/>
    <col min="15874" max="15874" width="15" customWidth="1"/>
    <col min="15876" max="15876" width="9.42578125" customWidth="1"/>
    <col min="15877" max="15877" width="1.7109375" customWidth="1"/>
    <col min="15878" max="15878" width="8" customWidth="1"/>
    <col min="15879" max="15879" width="26.7109375" bestFit="1" customWidth="1"/>
    <col min="16124" max="16124" width="2.140625" customWidth="1"/>
    <col min="16125" max="16125" width="19.85546875" customWidth="1"/>
    <col min="16126" max="16126" width="3.140625" bestFit="1" customWidth="1"/>
    <col min="16127" max="16127" width="11.7109375" customWidth="1"/>
    <col min="16128" max="16128" width="13" customWidth="1"/>
    <col min="16129" max="16129" width="2.42578125" customWidth="1"/>
    <col min="16130" max="16130" width="15" customWidth="1"/>
    <col min="16132" max="16132" width="9.42578125" customWidth="1"/>
    <col min="16133" max="16133" width="1.7109375" customWidth="1"/>
    <col min="16134" max="16134" width="8" customWidth="1"/>
    <col min="16135" max="16135" width="26.7109375" bestFit="1" customWidth="1"/>
  </cols>
  <sheetData>
    <row r="2" spans="1:14" ht="18" x14ac:dyDescent="0.25">
      <c r="B2" s="190" t="s">
        <v>47</v>
      </c>
      <c r="C2" s="190"/>
      <c r="D2" s="190"/>
      <c r="E2" s="190"/>
      <c r="F2" s="190"/>
      <c r="G2" s="190"/>
      <c r="H2" s="190"/>
      <c r="I2" s="190"/>
      <c r="J2" s="190"/>
      <c r="K2" s="190"/>
      <c r="L2" s="190"/>
    </row>
    <row r="3" spans="1:14" ht="18" x14ac:dyDescent="0.25">
      <c r="B3" s="111"/>
      <c r="C3" s="111"/>
      <c r="D3" s="48"/>
      <c r="E3" s="48"/>
      <c r="F3" s="48"/>
      <c r="G3" s="48"/>
      <c r="H3" s="48"/>
      <c r="I3" s="48"/>
      <c r="J3" s="48"/>
      <c r="K3" s="48"/>
      <c r="L3" s="48"/>
    </row>
    <row r="4" spans="1:14" ht="48" thickBot="1" x14ac:dyDescent="0.25">
      <c r="A4" s="3"/>
      <c r="B4" s="108" t="s">
        <v>0</v>
      </c>
      <c r="C4" s="104"/>
      <c r="D4" s="110" t="s">
        <v>44</v>
      </c>
      <c r="E4" s="109" t="s">
        <v>53</v>
      </c>
      <c r="F4" s="5"/>
      <c r="G4" s="132" t="s">
        <v>45</v>
      </c>
      <c r="H4" s="56" t="s">
        <v>1</v>
      </c>
      <c r="I4" s="191" t="s">
        <v>2</v>
      </c>
      <c r="J4" s="191"/>
      <c r="K4" s="191"/>
      <c r="L4" s="56" t="s">
        <v>3</v>
      </c>
      <c r="M4" s="1"/>
      <c r="N4" s="1"/>
    </row>
    <row r="5" spans="1:14" ht="15.75" x14ac:dyDescent="0.2">
      <c r="A5" s="3"/>
      <c r="B5" s="104"/>
      <c r="C5" s="104"/>
      <c r="D5" s="30"/>
      <c r="E5" s="36"/>
      <c r="F5" s="5"/>
      <c r="G5" s="5"/>
      <c r="H5" s="5"/>
      <c r="I5" s="5"/>
      <c r="J5" s="5"/>
      <c r="K5" s="5"/>
      <c r="L5" s="104"/>
      <c r="M5" s="1"/>
    </row>
    <row r="6" spans="1:14" ht="18" x14ac:dyDescent="0.25">
      <c r="A6" s="3"/>
      <c r="B6" s="102" t="s">
        <v>4</v>
      </c>
      <c r="C6" s="67"/>
      <c r="D6" s="31">
        <v>0.4</v>
      </c>
      <c r="E6" s="37">
        <v>0.39</v>
      </c>
      <c r="F6" s="9"/>
      <c r="G6" s="45">
        <v>0.32</v>
      </c>
      <c r="H6" s="10" t="s">
        <v>5</v>
      </c>
      <c r="I6" s="11">
        <f>G6+5%</f>
        <v>0.37</v>
      </c>
      <c r="J6" s="8" t="s">
        <v>14</v>
      </c>
      <c r="K6" s="20">
        <f>G6-5%</f>
        <v>0.27</v>
      </c>
      <c r="L6" s="94" t="s">
        <v>32</v>
      </c>
    </row>
    <row r="7" spans="1:14" ht="15" x14ac:dyDescent="0.2">
      <c r="A7" s="3"/>
      <c r="B7" s="69"/>
      <c r="C7" s="67"/>
      <c r="D7" s="32"/>
      <c r="E7" s="38"/>
      <c r="F7" s="12"/>
      <c r="G7" s="7"/>
      <c r="H7" s="7"/>
      <c r="I7" s="7"/>
      <c r="J7" s="7"/>
      <c r="K7" s="7"/>
      <c r="L7" s="94"/>
    </row>
    <row r="8" spans="1:14" ht="18" x14ac:dyDescent="0.25">
      <c r="A8" s="3"/>
      <c r="B8" s="102" t="s">
        <v>6</v>
      </c>
      <c r="C8" s="67" t="s">
        <v>9</v>
      </c>
      <c r="D8" s="31">
        <v>0.31</v>
      </c>
      <c r="E8" s="37">
        <v>0.25</v>
      </c>
      <c r="F8" s="9"/>
      <c r="G8" s="45">
        <v>0.28000000000000003</v>
      </c>
      <c r="H8" s="10" t="s">
        <v>7</v>
      </c>
      <c r="I8" s="11">
        <f>G8+6%</f>
        <v>0.34</v>
      </c>
      <c r="J8" s="8" t="s">
        <v>14</v>
      </c>
      <c r="K8" s="20">
        <f>G8-6%</f>
        <v>0.22000000000000003</v>
      </c>
      <c r="L8" s="94" t="s">
        <v>41</v>
      </c>
    </row>
    <row r="9" spans="1:14" ht="15" x14ac:dyDescent="0.2">
      <c r="A9" s="3"/>
      <c r="B9" s="69"/>
      <c r="C9" s="67"/>
      <c r="D9" s="32"/>
      <c r="E9" s="38"/>
      <c r="F9" s="12"/>
      <c r="G9" s="7"/>
      <c r="H9" s="7"/>
      <c r="I9" s="7"/>
      <c r="J9" s="7"/>
      <c r="K9" s="7"/>
      <c r="L9" s="78" t="s">
        <v>40</v>
      </c>
    </row>
    <row r="10" spans="1:14" ht="18" x14ac:dyDescent="0.25">
      <c r="A10" s="3"/>
      <c r="B10" s="102" t="s">
        <v>8</v>
      </c>
      <c r="C10" s="67" t="s">
        <v>22</v>
      </c>
      <c r="D10" s="31">
        <v>0.25</v>
      </c>
      <c r="E10" s="37">
        <v>0.27</v>
      </c>
      <c r="F10" s="9"/>
      <c r="G10" s="45">
        <v>0.3</v>
      </c>
      <c r="H10" s="10" t="s">
        <v>7</v>
      </c>
      <c r="I10" s="11">
        <f>G10+6%</f>
        <v>0.36</v>
      </c>
      <c r="J10" s="8" t="s">
        <v>14</v>
      </c>
      <c r="K10" s="20">
        <f>G10-6%</f>
        <v>0.24</v>
      </c>
      <c r="L10" s="59"/>
    </row>
    <row r="11" spans="1:14" ht="15" x14ac:dyDescent="0.2">
      <c r="A11" s="3"/>
      <c r="B11" s="98"/>
      <c r="C11" s="97"/>
      <c r="D11" s="33"/>
      <c r="E11" s="39"/>
      <c r="F11" s="14"/>
      <c r="G11" s="13"/>
      <c r="H11" s="13"/>
      <c r="I11" s="21"/>
      <c r="J11" s="15"/>
      <c r="K11" s="22"/>
      <c r="L11" s="83" t="s">
        <v>38</v>
      </c>
    </row>
    <row r="12" spans="1:14" ht="15" x14ac:dyDescent="0.2">
      <c r="A12" s="3"/>
      <c r="B12" s="69"/>
      <c r="C12" s="67"/>
      <c r="D12" s="33"/>
      <c r="E12" s="39"/>
      <c r="F12" s="14"/>
      <c r="G12" s="13"/>
      <c r="H12" s="13"/>
      <c r="I12" s="21"/>
      <c r="J12" s="15"/>
      <c r="K12" s="22"/>
      <c r="L12" s="83" t="s">
        <v>39</v>
      </c>
    </row>
    <row r="13" spans="1:14" ht="15" x14ac:dyDescent="0.2">
      <c r="A13" s="3"/>
      <c r="B13" s="69" t="s">
        <v>33</v>
      </c>
      <c r="C13" s="67"/>
      <c r="D13" s="31">
        <v>0.05</v>
      </c>
      <c r="E13" s="113"/>
      <c r="F13" s="25"/>
      <c r="G13" s="15">
        <v>0.06</v>
      </c>
      <c r="H13" s="83" t="s">
        <v>35</v>
      </c>
      <c r="I13" s="21"/>
      <c r="J13" s="15"/>
      <c r="K13" s="22"/>
      <c r="L13" s="69"/>
    </row>
    <row r="14" spans="1:14" ht="15.75" customHeight="1" x14ac:dyDescent="0.2">
      <c r="A14" s="3"/>
      <c r="B14" s="61" t="s">
        <v>34</v>
      </c>
      <c r="C14" s="67"/>
      <c r="D14" s="34">
        <v>0.2</v>
      </c>
      <c r="E14" s="114"/>
      <c r="F14" s="25"/>
      <c r="G14" s="16">
        <v>0.24</v>
      </c>
      <c r="H14" s="65" t="s">
        <v>35</v>
      </c>
      <c r="I14" s="23"/>
      <c r="J14" s="16"/>
      <c r="K14" s="24"/>
      <c r="L14" s="61"/>
    </row>
    <row r="15" spans="1:14" ht="15" x14ac:dyDescent="0.2">
      <c r="A15" s="3"/>
      <c r="B15" s="69"/>
      <c r="C15" s="67"/>
      <c r="D15" s="33"/>
      <c r="E15" s="42"/>
      <c r="F15" s="27"/>
      <c r="G15" s="3"/>
      <c r="H15" s="3"/>
      <c r="I15" s="3"/>
      <c r="J15" s="3"/>
      <c r="K15" s="3"/>
      <c r="L15" s="69"/>
    </row>
    <row r="16" spans="1:14" ht="18" x14ac:dyDescent="0.25">
      <c r="A16" s="3"/>
      <c r="B16" s="68" t="s">
        <v>10</v>
      </c>
      <c r="C16" s="67"/>
      <c r="D16" s="34">
        <v>0.05</v>
      </c>
      <c r="E16" s="49">
        <v>0</v>
      </c>
      <c r="F16" s="4"/>
      <c r="G16" s="46">
        <v>0.05</v>
      </c>
      <c r="H16" s="28" t="s">
        <v>5</v>
      </c>
      <c r="I16" s="17">
        <f>G16+5%</f>
        <v>0.1</v>
      </c>
      <c r="J16" s="18" t="s">
        <v>14</v>
      </c>
      <c r="K16" s="24">
        <f>0%</f>
        <v>0</v>
      </c>
      <c r="L16" s="74" t="s">
        <v>15</v>
      </c>
    </row>
    <row r="17" spans="1:15" ht="15" x14ac:dyDescent="0.2">
      <c r="A17" s="3"/>
      <c r="B17" s="69"/>
      <c r="C17" s="67"/>
      <c r="D17" s="33"/>
      <c r="E17" s="42"/>
      <c r="F17" s="4"/>
      <c r="G17" s="3"/>
      <c r="H17" s="3"/>
      <c r="I17" s="3"/>
      <c r="J17" s="3"/>
      <c r="K17" s="3"/>
      <c r="L17" s="78"/>
    </row>
    <row r="18" spans="1:15" ht="18" x14ac:dyDescent="0.25">
      <c r="A18" s="3"/>
      <c r="B18" s="68" t="s">
        <v>11</v>
      </c>
      <c r="C18" s="67"/>
      <c r="D18" s="34">
        <v>0.04</v>
      </c>
      <c r="E18" s="50">
        <v>0.04</v>
      </c>
      <c r="F18" s="29"/>
      <c r="G18" s="46">
        <v>0.05</v>
      </c>
      <c r="H18" s="28" t="s">
        <v>5</v>
      </c>
      <c r="I18" s="17">
        <f>G18+5%</f>
        <v>0.1</v>
      </c>
      <c r="J18" s="18" t="s">
        <v>14</v>
      </c>
      <c r="K18" s="24">
        <v>0</v>
      </c>
      <c r="L18" s="77" t="s">
        <v>42</v>
      </c>
    </row>
    <row r="19" spans="1:15" ht="15" x14ac:dyDescent="0.2">
      <c r="A19" s="3"/>
      <c r="B19" s="69"/>
      <c r="C19" s="67" t="s">
        <v>36</v>
      </c>
      <c r="D19" s="33"/>
      <c r="E19" s="42"/>
      <c r="F19" s="4"/>
      <c r="G19" s="3"/>
      <c r="H19" s="3"/>
      <c r="I19" s="3"/>
      <c r="J19" s="3"/>
      <c r="K19" s="3"/>
      <c r="L19" s="59"/>
    </row>
    <row r="20" spans="1:15" ht="18" x14ac:dyDescent="0.25">
      <c r="A20" s="3"/>
      <c r="B20" s="68" t="s">
        <v>31</v>
      </c>
      <c r="C20" s="67"/>
      <c r="D20" s="34">
        <v>0.05</v>
      </c>
      <c r="E20" s="50">
        <v>0.02</v>
      </c>
      <c r="F20" s="29"/>
      <c r="G20" s="46">
        <v>0.05</v>
      </c>
      <c r="H20" s="28" t="s">
        <v>5</v>
      </c>
      <c r="I20" s="17">
        <f>G20+5%</f>
        <v>0.1</v>
      </c>
      <c r="J20" s="18" t="s">
        <v>14</v>
      </c>
      <c r="K20" s="24">
        <f>G20-5%</f>
        <v>0</v>
      </c>
      <c r="L20" s="74" t="s">
        <v>16</v>
      </c>
    </row>
    <row r="21" spans="1:15" ht="15" x14ac:dyDescent="0.2">
      <c r="A21" s="3"/>
      <c r="B21" s="69"/>
      <c r="C21" s="67"/>
      <c r="D21" s="33"/>
      <c r="E21" s="43"/>
      <c r="F21" s="4"/>
      <c r="G21" s="3"/>
      <c r="H21" s="3"/>
      <c r="I21" s="3"/>
      <c r="J21" s="3"/>
      <c r="K21" s="3"/>
      <c r="L21" s="69"/>
    </row>
    <row r="22" spans="1:15" ht="18" x14ac:dyDescent="0.25">
      <c r="A22" s="3"/>
      <c r="B22" s="68" t="s">
        <v>12</v>
      </c>
      <c r="C22" s="67"/>
      <c r="D22" s="34">
        <v>1.1000000000000001</v>
      </c>
      <c r="E22" s="50">
        <v>1</v>
      </c>
      <c r="F22" s="4"/>
      <c r="G22" s="46">
        <f>G6+G8+G10+G16+G18+G20</f>
        <v>1.0500000000000003</v>
      </c>
      <c r="H22" s="26"/>
      <c r="I22" s="26"/>
      <c r="J22" s="26"/>
      <c r="K22" s="26"/>
      <c r="L22" s="61"/>
    </row>
    <row r="23" spans="1:15" ht="15" x14ac:dyDescent="0.2">
      <c r="A23" s="3"/>
      <c r="B23" s="69"/>
      <c r="C23" s="67"/>
      <c r="D23" s="33"/>
      <c r="E23" s="43"/>
      <c r="F23" s="4"/>
      <c r="G23" s="3"/>
      <c r="H23" s="3"/>
      <c r="I23" s="3"/>
      <c r="J23" s="3"/>
      <c r="K23" s="3"/>
      <c r="L23" s="69"/>
    </row>
    <row r="24" spans="1:15" ht="18" x14ac:dyDescent="0.25">
      <c r="A24" s="3"/>
      <c r="B24" s="68" t="s">
        <v>13</v>
      </c>
      <c r="C24" s="67"/>
      <c r="D24" s="35">
        <v>0.21</v>
      </c>
      <c r="E24" s="115">
        <v>0.22</v>
      </c>
      <c r="F24" s="29"/>
      <c r="G24" s="46">
        <v>0.24</v>
      </c>
      <c r="H24" s="28" t="s">
        <v>7</v>
      </c>
      <c r="I24" s="17">
        <f>G24+6%</f>
        <v>0.3</v>
      </c>
      <c r="J24" s="18" t="s">
        <v>14</v>
      </c>
      <c r="K24" s="19">
        <f>G24-6%</f>
        <v>0.18</v>
      </c>
      <c r="L24" s="61"/>
    </row>
    <row r="25" spans="1:15" ht="15" x14ac:dyDescent="0.2">
      <c r="C25" s="67"/>
      <c r="E25" s="2"/>
    </row>
    <row r="26" spans="1:15" ht="18" x14ac:dyDescent="0.25">
      <c r="B26" s="131" t="s">
        <v>37</v>
      </c>
      <c r="C26" s="59"/>
      <c r="E26" s="2"/>
      <c r="M26" s="47"/>
      <c r="N26" s="57"/>
      <c r="O26" s="57"/>
    </row>
    <row r="27" spans="1:15" x14ac:dyDescent="0.2">
      <c r="B27" s="133" t="s">
        <v>57</v>
      </c>
      <c r="C27" s="59"/>
    </row>
    <row r="28" spans="1:15" x14ac:dyDescent="0.2">
      <c r="B28" s="133" t="s">
        <v>54</v>
      </c>
      <c r="C28" s="59"/>
    </row>
    <row r="29" spans="1:15" x14ac:dyDescent="0.2">
      <c r="B29" s="130"/>
      <c r="C29" s="59"/>
    </row>
    <row r="30" spans="1:15" x14ac:dyDescent="0.2">
      <c r="C30" s="59"/>
    </row>
    <row r="31" spans="1:15" x14ac:dyDescent="0.2">
      <c r="C31" s="59"/>
    </row>
    <row r="32" spans="1:15" x14ac:dyDescent="0.2">
      <c r="C32" s="59"/>
    </row>
    <row r="33" spans="3:3" x14ac:dyDescent="0.2">
      <c r="C33" s="59"/>
    </row>
    <row r="34" spans="3:3" x14ac:dyDescent="0.2">
      <c r="C34" s="59"/>
    </row>
  </sheetData>
  <mergeCells count="2">
    <mergeCell ref="I4:K4"/>
    <mergeCell ref="B2:L2"/>
  </mergeCells>
  <pageMargins left="0.74803149606299213" right="0.74803149606299213" top="0.98425196850393704" bottom="0.98425196850393704" header="0.51181102362204722" footer="0.51181102362204722"/>
  <pageSetup paperSize="9" scale="82"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M9"/>
  <sheetViews>
    <sheetView showGridLines="0" rightToLeft="1" zoomScale="85" zoomScaleNormal="85" workbookViewId="0">
      <selection activeCell="B2" sqref="B2"/>
    </sheetView>
  </sheetViews>
  <sheetFormatPr defaultRowHeight="12.75" x14ac:dyDescent="0.2"/>
  <cols>
    <col min="1" max="1" width="4.42578125" customWidth="1"/>
    <col min="2" max="2" width="23.7109375" customWidth="1"/>
    <col min="3" max="3" width="4.140625" style="2" customWidth="1"/>
    <col min="4" max="4" width="2.42578125" style="2" customWidth="1"/>
    <col min="5" max="5" width="17" customWidth="1"/>
    <col min="7" max="7" width="6.7109375" bestFit="1" customWidth="1"/>
    <col min="8" max="8" width="2" customWidth="1"/>
    <col min="9" max="9" width="12.5703125" customWidth="1"/>
    <col min="10" max="10" width="32.85546875" bestFit="1" customWidth="1"/>
    <col min="11" max="11" width="18.5703125" customWidth="1"/>
    <col min="12" max="12" width="24.140625" customWidth="1"/>
    <col min="13" max="13" width="18.5703125" customWidth="1"/>
  </cols>
  <sheetData>
    <row r="1" spans="1:13" ht="18" x14ac:dyDescent="0.25">
      <c r="A1" s="3"/>
      <c r="B1" s="190" t="s">
        <v>48</v>
      </c>
      <c r="C1" s="190"/>
      <c r="D1" s="190"/>
      <c r="E1" s="190"/>
      <c r="F1" s="190"/>
      <c r="G1" s="190"/>
      <c r="H1" s="190"/>
      <c r="I1" s="190"/>
      <c r="J1" s="190"/>
      <c r="K1" s="190"/>
      <c r="L1" s="57"/>
      <c r="M1" s="57"/>
    </row>
    <row r="2" spans="1:13" ht="24" customHeight="1" x14ac:dyDescent="0.25">
      <c r="A2" s="3"/>
      <c r="B2" s="117"/>
      <c r="C2" s="117"/>
      <c r="D2" s="117"/>
      <c r="E2" s="117"/>
      <c r="F2" s="117"/>
      <c r="G2" s="117"/>
      <c r="H2" s="117"/>
      <c r="I2" s="117"/>
      <c r="J2" s="117"/>
      <c r="K2" s="117"/>
      <c r="L2" s="117"/>
      <c r="M2" s="117"/>
    </row>
    <row r="3" spans="1:13" ht="24" customHeight="1" x14ac:dyDescent="0.25">
      <c r="A3" s="3"/>
      <c r="B3" s="198" t="s">
        <v>17</v>
      </c>
      <c r="C3" s="199"/>
      <c r="D3" s="199"/>
      <c r="E3" s="199"/>
      <c r="F3" s="199"/>
      <c r="G3" s="199"/>
      <c r="H3" s="199"/>
      <c r="I3" s="199"/>
      <c r="J3" s="200"/>
      <c r="K3" s="201" t="s">
        <v>3</v>
      </c>
      <c r="L3" s="201"/>
      <c r="M3" s="201"/>
    </row>
    <row r="4" spans="1:13" ht="26.25" customHeight="1" x14ac:dyDescent="0.3">
      <c r="A4" s="3"/>
      <c r="B4" s="202" t="s">
        <v>21</v>
      </c>
      <c r="C4" s="203"/>
      <c r="D4" s="203"/>
      <c r="E4" s="203"/>
      <c r="F4" s="203"/>
      <c r="G4" s="203"/>
      <c r="H4" s="203"/>
      <c r="I4" s="203"/>
      <c r="J4" s="204"/>
      <c r="K4" s="118" t="s">
        <v>38</v>
      </c>
      <c r="L4" s="119"/>
      <c r="M4" s="120"/>
    </row>
    <row r="5" spans="1:13" ht="24" customHeight="1" x14ac:dyDescent="0.3">
      <c r="A5" s="3"/>
      <c r="B5" s="192" t="s">
        <v>20</v>
      </c>
      <c r="C5" s="193"/>
      <c r="D5" s="193"/>
      <c r="E5" s="193"/>
      <c r="F5" s="193"/>
      <c r="G5" s="193"/>
      <c r="H5" s="193"/>
      <c r="I5" s="193"/>
      <c r="J5" s="194"/>
      <c r="K5" s="121"/>
      <c r="L5" s="122"/>
      <c r="M5" s="123"/>
    </row>
    <row r="6" spans="1:13" ht="27" customHeight="1" x14ac:dyDescent="0.3">
      <c r="A6" s="3"/>
      <c r="B6" s="192" t="s">
        <v>19</v>
      </c>
      <c r="C6" s="193"/>
      <c r="D6" s="193"/>
      <c r="E6" s="193"/>
      <c r="F6" s="193"/>
      <c r="G6" s="193"/>
      <c r="H6" s="193"/>
      <c r="I6" s="193"/>
      <c r="J6" s="194"/>
      <c r="K6" s="124" t="s">
        <v>39</v>
      </c>
      <c r="L6" s="125"/>
      <c r="M6" s="126"/>
    </row>
    <row r="7" spans="1:13" ht="17.25" customHeight="1" x14ac:dyDescent="0.3">
      <c r="A7" s="3"/>
      <c r="B7" s="195" t="s">
        <v>18</v>
      </c>
      <c r="C7" s="196"/>
      <c r="D7" s="196"/>
      <c r="E7" s="196"/>
      <c r="F7" s="196"/>
      <c r="G7" s="196"/>
      <c r="H7" s="196"/>
      <c r="I7" s="196"/>
      <c r="J7" s="197"/>
      <c r="K7" s="127"/>
      <c r="L7" s="128"/>
      <c r="M7" s="129"/>
    </row>
    <row r="8" spans="1:13" ht="18" customHeight="1" x14ac:dyDescent="0.25">
      <c r="A8" s="3"/>
      <c r="B8" s="54"/>
      <c r="C8" s="54"/>
      <c r="D8" s="54"/>
      <c r="E8" s="54"/>
      <c r="F8" s="54"/>
      <c r="G8" s="54"/>
      <c r="H8" s="54"/>
      <c r="I8" s="54"/>
      <c r="J8" s="53"/>
    </row>
    <row r="9" spans="1:13" ht="18" x14ac:dyDescent="0.25">
      <c r="A9" s="3"/>
      <c r="B9" s="54"/>
      <c r="C9" s="54"/>
      <c r="D9" s="54"/>
      <c r="E9" s="54"/>
      <c r="F9" s="54"/>
      <c r="G9" s="54"/>
      <c r="H9" s="54"/>
      <c r="I9" s="54"/>
      <c r="J9" s="53"/>
    </row>
  </sheetData>
  <mergeCells count="7">
    <mergeCell ref="B6:J6"/>
    <mergeCell ref="B7:J7"/>
    <mergeCell ref="B1:K1"/>
    <mergeCell ref="B3:J3"/>
    <mergeCell ref="K3:M3"/>
    <mergeCell ref="B4:J4"/>
    <mergeCell ref="B5:J5"/>
  </mergeCells>
  <pageMargins left="0.74803149606299213" right="0.74803149606299213" top="0.98425196850393704" bottom="0.98425196850393704" header="0.51181102362204722" footer="0.51181102362204722"/>
  <pageSetup paperSize="9" scale="75"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2:O33"/>
  <sheetViews>
    <sheetView showGridLines="0" rightToLeft="1" zoomScaleNormal="100" workbookViewId="0">
      <selection activeCell="B30" sqref="B30"/>
    </sheetView>
  </sheetViews>
  <sheetFormatPr defaultRowHeight="12.75" x14ac:dyDescent="0.2"/>
  <cols>
    <col min="1" max="1" width="3.140625" bestFit="1" customWidth="1"/>
    <col min="2" max="2" width="29.140625" style="59" customWidth="1"/>
    <col min="3" max="3" width="4.140625" style="60" customWidth="1"/>
    <col min="4" max="4" width="11.7109375" customWidth="1"/>
    <col min="5" max="5" width="13" customWidth="1"/>
    <col min="6" max="6" width="2.42578125" style="2" customWidth="1"/>
    <col min="7" max="7" width="15" customWidth="1"/>
    <col min="8" max="8" width="14.28515625" bestFit="1" customWidth="1"/>
    <col min="9" max="9" width="9.42578125" customWidth="1"/>
    <col min="10" max="10" width="1.7109375" customWidth="1"/>
    <col min="11" max="11" width="16.42578125" customWidth="1"/>
    <col min="12" max="12" width="33" customWidth="1"/>
    <col min="16" max="16" width="23.7109375" bestFit="1" customWidth="1"/>
    <col min="257" max="257" width="3.140625" bestFit="1" customWidth="1"/>
    <col min="258" max="258" width="19.85546875" customWidth="1"/>
    <col min="259" max="259" width="3.140625" bestFit="1" customWidth="1"/>
    <col min="260" max="260" width="11.7109375" customWidth="1"/>
    <col min="261" max="261" width="13" customWidth="1"/>
    <col min="262" max="262" width="2.42578125" customWidth="1"/>
    <col min="263" max="263" width="15" customWidth="1"/>
    <col min="265" max="265" width="9.42578125" customWidth="1"/>
    <col min="266" max="266" width="1.7109375" customWidth="1"/>
    <col min="267" max="267" width="8" customWidth="1"/>
    <col min="268" max="268" width="26.7109375" bestFit="1" customWidth="1"/>
    <col min="513" max="513" width="3.140625" bestFit="1" customWidth="1"/>
    <col min="514" max="514" width="19.85546875" customWidth="1"/>
    <col min="515" max="515" width="3.140625" bestFit="1" customWidth="1"/>
    <col min="516" max="516" width="11.7109375" customWidth="1"/>
    <col min="517" max="517" width="13" customWidth="1"/>
    <col min="518" max="518" width="2.42578125" customWidth="1"/>
    <col min="519" max="519" width="15" customWidth="1"/>
    <col min="521" max="521" width="9.42578125" customWidth="1"/>
    <col min="522" max="522" width="1.7109375" customWidth="1"/>
    <col min="523" max="523" width="8" customWidth="1"/>
    <col min="524" max="524" width="26.7109375" bestFit="1" customWidth="1"/>
    <col min="769" max="769" width="3.140625" bestFit="1" customWidth="1"/>
    <col min="770" max="770" width="19.85546875" customWidth="1"/>
    <col min="771" max="771" width="3.140625" bestFit="1" customWidth="1"/>
    <col min="772" max="772" width="11.7109375" customWidth="1"/>
    <col min="773" max="773" width="13" customWidth="1"/>
    <col min="774" max="774" width="2.42578125" customWidth="1"/>
    <col min="775" max="775" width="15" customWidth="1"/>
    <col min="777" max="777" width="9.42578125" customWidth="1"/>
    <col min="778" max="778" width="1.7109375" customWidth="1"/>
    <col min="779" max="779" width="8" customWidth="1"/>
    <col min="780" max="780" width="26.7109375" bestFit="1" customWidth="1"/>
    <col min="1025" max="1025" width="3.140625" bestFit="1" customWidth="1"/>
    <col min="1026" max="1026" width="19.85546875" customWidth="1"/>
    <col min="1027" max="1027" width="3.140625" bestFit="1" customWidth="1"/>
    <col min="1028" max="1028" width="11.7109375" customWidth="1"/>
    <col min="1029" max="1029" width="13" customWidth="1"/>
    <col min="1030" max="1030" width="2.42578125" customWidth="1"/>
    <col min="1031" max="1031" width="15" customWidth="1"/>
    <col min="1033" max="1033" width="9.42578125" customWidth="1"/>
    <col min="1034" max="1034" width="1.7109375" customWidth="1"/>
    <col min="1035" max="1035" width="8" customWidth="1"/>
    <col min="1036" max="1036" width="26.7109375" bestFit="1" customWidth="1"/>
    <col min="1281" max="1281" width="3.140625" bestFit="1" customWidth="1"/>
    <col min="1282" max="1282" width="19.85546875" customWidth="1"/>
    <col min="1283" max="1283" width="3.140625" bestFit="1" customWidth="1"/>
    <col min="1284" max="1284" width="11.7109375" customWidth="1"/>
    <col min="1285" max="1285" width="13" customWidth="1"/>
    <col min="1286" max="1286" width="2.42578125" customWidth="1"/>
    <col min="1287" max="1287" width="15" customWidth="1"/>
    <col min="1289" max="1289" width="9.42578125" customWidth="1"/>
    <col min="1290" max="1290" width="1.7109375" customWidth="1"/>
    <col min="1291" max="1291" width="8" customWidth="1"/>
    <col min="1292" max="1292" width="26.7109375" bestFit="1" customWidth="1"/>
    <col min="1537" max="1537" width="3.140625" bestFit="1" customWidth="1"/>
    <col min="1538" max="1538" width="19.85546875" customWidth="1"/>
    <col min="1539" max="1539" width="3.140625" bestFit="1" customWidth="1"/>
    <col min="1540" max="1540" width="11.7109375" customWidth="1"/>
    <col min="1541" max="1541" width="13" customWidth="1"/>
    <col min="1542" max="1542" width="2.42578125" customWidth="1"/>
    <col min="1543" max="1543" width="15" customWidth="1"/>
    <col min="1545" max="1545" width="9.42578125" customWidth="1"/>
    <col min="1546" max="1546" width="1.7109375" customWidth="1"/>
    <col min="1547" max="1547" width="8" customWidth="1"/>
    <col min="1548" max="1548" width="26.7109375" bestFit="1" customWidth="1"/>
    <col min="1793" max="1793" width="3.140625" bestFit="1" customWidth="1"/>
    <col min="1794" max="1794" width="19.85546875" customWidth="1"/>
    <col min="1795" max="1795" width="3.140625" bestFit="1" customWidth="1"/>
    <col min="1796" max="1796" width="11.7109375" customWidth="1"/>
    <col min="1797" max="1797" width="13" customWidth="1"/>
    <col min="1798" max="1798" width="2.42578125" customWidth="1"/>
    <col min="1799" max="1799" width="15" customWidth="1"/>
    <col min="1801" max="1801" width="9.42578125" customWidth="1"/>
    <col min="1802" max="1802" width="1.7109375" customWidth="1"/>
    <col min="1803" max="1803" width="8" customWidth="1"/>
    <col min="1804" max="1804" width="26.7109375" bestFit="1" customWidth="1"/>
    <col min="2049" max="2049" width="3.140625" bestFit="1" customWidth="1"/>
    <col min="2050" max="2050" width="19.85546875" customWidth="1"/>
    <col min="2051" max="2051" width="3.140625" bestFit="1" customWidth="1"/>
    <col min="2052" max="2052" width="11.7109375" customWidth="1"/>
    <col min="2053" max="2053" width="13" customWidth="1"/>
    <col min="2054" max="2054" width="2.42578125" customWidth="1"/>
    <col min="2055" max="2055" width="15" customWidth="1"/>
    <col min="2057" max="2057" width="9.42578125" customWidth="1"/>
    <col min="2058" max="2058" width="1.7109375" customWidth="1"/>
    <col min="2059" max="2059" width="8" customWidth="1"/>
    <col min="2060" max="2060" width="26.7109375" bestFit="1" customWidth="1"/>
    <col min="2305" max="2305" width="3.140625" bestFit="1" customWidth="1"/>
    <col min="2306" max="2306" width="19.85546875" customWidth="1"/>
    <col min="2307" max="2307" width="3.140625" bestFit="1" customWidth="1"/>
    <col min="2308" max="2308" width="11.7109375" customWidth="1"/>
    <col min="2309" max="2309" width="13" customWidth="1"/>
    <col min="2310" max="2310" width="2.42578125" customWidth="1"/>
    <col min="2311" max="2311" width="15" customWidth="1"/>
    <col min="2313" max="2313" width="9.42578125" customWidth="1"/>
    <col min="2314" max="2314" width="1.7109375" customWidth="1"/>
    <col min="2315" max="2315" width="8" customWidth="1"/>
    <col min="2316" max="2316" width="26.7109375" bestFit="1" customWidth="1"/>
    <col min="2561" max="2561" width="3.140625" bestFit="1" customWidth="1"/>
    <col min="2562" max="2562" width="19.85546875" customWidth="1"/>
    <col min="2563" max="2563" width="3.140625" bestFit="1" customWidth="1"/>
    <col min="2564" max="2564" width="11.7109375" customWidth="1"/>
    <col min="2565" max="2565" width="13" customWidth="1"/>
    <col min="2566" max="2566" width="2.42578125" customWidth="1"/>
    <col min="2567" max="2567" width="15" customWidth="1"/>
    <col min="2569" max="2569" width="9.42578125" customWidth="1"/>
    <col min="2570" max="2570" width="1.7109375" customWidth="1"/>
    <col min="2571" max="2571" width="8" customWidth="1"/>
    <col min="2572" max="2572" width="26.7109375" bestFit="1" customWidth="1"/>
    <col min="2817" max="2817" width="3.140625" bestFit="1" customWidth="1"/>
    <col min="2818" max="2818" width="19.85546875" customWidth="1"/>
    <col min="2819" max="2819" width="3.140625" bestFit="1" customWidth="1"/>
    <col min="2820" max="2820" width="11.7109375" customWidth="1"/>
    <col min="2821" max="2821" width="13" customWidth="1"/>
    <col min="2822" max="2822" width="2.42578125" customWidth="1"/>
    <col min="2823" max="2823" width="15" customWidth="1"/>
    <col min="2825" max="2825" width="9.42578125" customWidth="1"/>
    <col min="2826" max="2826" width="1.7109375" customWidth="1"/>
    <col min="2827" max="2827" width="8" customWidth="1"/>
    <col min="2828" max="2828" width="26.7109375" bestFit="1" customWidth="1"/>
    <col min="3073" max="3073" width="3.140625" bestFit="1" customWidth="1"/>
    <col min="3074" max="3074" width="19.85546875" customWidth="1"/>
    <col min="3075" max="3075" width="3.140625" bestFit="1" customWidth="1"/>
    <col min="3076" max="3076" width="11.7109375" customWidth="1"/>
    <col min="3077" max="3077" width="13" customWidth="1"/>
    <col min="3078" max="3078" width="2.42578125" customWidth="1"/>
    <col min="3079" max="3079" width="15" customWidth="1"/>
    <col min="3081" max="3081" width="9.42578125" customWidth="1"/>
    <col min="3082" max="3082" width="1.7109375" customWidth="1"/>
    <col min="3083" max="3083" width="8" customWidth="1"/>
    <col min="3084" max="3084" width="26.7109375" bestFit="1" customWidth="1"/>
    <col min="3329" max="3329" width="3.140625" bestFit="1" customWidth="1"/>
    <col min="3330" max="3330" width="19.85546875" customWidth="1"/>
    <col min="3331" max="3331" width="3.140625" bestFit="1" customWidth="1"/>
    <col min="3332" max="3332" width="11.7109375" customWidth="1"/>
    <col min="3333" max="3333" width="13" customWidth="1"/>
    <col min="3334" max="3334" width="2.42578125" customWidth="1"/>
    <col min="3335" max="3335" width="15" customWidth="1"/>
    <col min="3337" max="3337" width="9.42578125" customWidth="1"/>
    <col min="3338" max="3338" width="1.7109375" customWidth="1"/>
    <col min="3339" max="3339" width="8" customWidth="1"/>
    <col min="3340" max="3340" width="26.7109375" bestFit="1" customWidth="1"/>
    <col min="3585" max="3585" width="3.140625" bestFit="1" customWidth="1"/>
    <col min="3586" max="3586" width="19.85546875" customWidth="1"/>
    <col min="3587" max="3587" width="3.140625" bestFit="1" customWidth="1"/>
    <col min="3588" max="3588" width="11.7109375" customWidth="1"/>
    <col min="3589" max="3589" width="13" customWidth="1"/>
    <col min="3590" max="3590" width="2.42578125" customWidth="1"/>
    <col min="3591" max="3591" width="15" customWidth="1"/>
    <col min="3593" max="3593" width="9.42578125" customWidth="1"/>
    <col min="3594" max="3594" width="1.7109375" customWidth="1"/>
    <col min="3595" max="3595" width="8" customWidth="1"/>
    <col min="3596" max="3596" width="26.7109375" bestFit="1" customWidth="1"/>
    <col min="3841" max="3841" width="3.140625" bestFit="1" customWidth="1"/>
    <col min="3842" max="3842" width="19.85546875" customWidth="1"/>
    <col min="3843" max="3843" width="3.140625" bestFit="1" customWidth="1"/>
    <col min="3844" max="3844" width="11.7109375" customWidth="1"/>
    <col min="3845" max="3845" width="13" customWidth="1"/>
    <col min="3846" max="3846" width="2.42578125" customWidth="1"/>
    <col min="3847" max="3847" width="15" customWidth="1"/>
    <col min="3849" max="3849" width="9.42578125" customWidth="1"/>
    <col min="3850" max="3850" width="1.7109375" customWidth="1"/>
    <col min="3851" max="3851" width="8" customWidth="1"/>
    <col min="3852" max="3852" width="26.7109375" bestFit="1" customWidth="1"/>
    <col min="4097" max="4097" width="3.140625" bestFit="1" customWidth="1"/>
    <col min="4098" max="4098" width="19.85546875" customWidth="1"/>
    <col min="4099" max="4099" width="3.140625" bestFit="1" customWidth="1"/>
    <col min="4100" max="4100" width="11.7109375" customWidth="1"/>
    <col min="4101" max="4101" width="13" customWidth="1"/>
    <col min="4102" max="4102" width="2.42578125" customWidth="1"/>
    <col min="4103" max="4103" width="15" customWidth="1"/>
    <col min="4105" max="4105" width="9.42578125" customWidth="1"/>
    <col min="4106" max="4106" width="1.7109375" customWidth="1"/>
    <col min="4107" max="4107" width="8" customWidth="1"/>
    <col min="4108" max="4108" width="26.7109375" bestFit="1" customWidth="1"/>
    <col min="4353" max="4353" width="3.140625" bestFit="1" customWidth="1"/>
    <col min="4354" max="4354" width="19.85546875" customWidth="1"/>
    <col min="4355" max="4355" width="3.140625" bestFit="1" customWidth="1"/>
    <col min="4356" max="4356" width="11.7109375" customWidth="1"/>
    <col min="4357" max="4357" width="13" customWidth="1"/>
    <col min="4358" max="4358" width="2.42578125" customWidth="1"/>
    <col min="4359" max="4359" width="15" customWidth="1"/>
    <col min="4361" max="4361" width="9.42578125" customWidth="1"/>
    <col min="4362" max="4362" width="1.7109375" customWidth="1"/>
    <col min="4363" max="4363" width="8" customWidth="1"/>
    <col min="4364" max="4364" width="26.7109375" bestFit="1" customWidth="1"/>
    <col min="4609" max="4609" width="3.140625" bestFit="1" customWidth="1"/>
    <col min="4610" max="4610" width="19.85546875" customWidth="1"/>
    <col min="4611" max="4611" width="3.140625" bestFit="1" customWidth="1"/>
    <col min="4612" max="4612" width="11.7109375" customWidth="1"/>
    <col min="4613" max="4613" width="13" customWidth="1"/>
    <col min="4614" max="4614" width="2.42578125" customWidth="1"/>
    <col min="4615" max="4615" width="15" customWidth="1"/>
    <col min="4617" max="4617" width="9.42578125" customWidth="1"/>
    <col min="4618" max="4618" width="1.7109375" customWidth="1"/>
    <col min="4619" max="4619" width="8" customWidth="1"/>
    <col min="4620" max="4620" width="26.7109375" bestFit="1" customWidth="1"/>
    <col min="4865" max="4865" width="3.140625" bestFit="1" customWidth="1"/>
    <col min="4866" max="4866" width="19.85546875" customWidth="1"/>
    <col min="4867" max="4867" width="3.140625" bestFit="1" customWidth="1"/>
    <col min="4868" max="4868" width="11.7109375" customWidth="1"/>
    <col min="4869" max="4869" width="13" customWidth="1"/>
    <col min="4870" max="4870" width="2.42578125" customWidth="1"/>
    <col min="4871" max="4871" width="15" customWidth="1"/>
    <col min="4873" max="4873" width="9.42578125" customWidth="1"/>
    <col min="4874" max="4874" width="1.7109375" customWidth="1"/>
    <col min="4875" max="4875" width="8" customWidth="1"/>
    <col min="4876" max="4876" width="26.7109375" bestFit="1" customWidth="1"/>
    <col min="5121" max="5121" width="3.140625" bestFit="1" customWidth="1"/>
    <col min="5122" max="5122" width="19.85546875" customWidth="1"/>
    <col min="5123" max="5123" width="3.140625" bestFit="1" customWidth="1"/>
    <col min="5124" max="5124" width="11.7109375" customWidth="1"/>
    <col min="5125" max="5125" width="13" customWidth="1"/>
    <col min="5126" max="5126" width="2.42578125" customWidth="1"/>
    <col min="5127" max="5127" width="15" customWidth="1"/>
    <col min="5129" max="5129" width="9.42578125" customWidth="1"/>
    <col min="5130" max="5130" width="1.7109375" customWidth="1"/>
    <col min="5131" max="5131" width="8" customWidth="1"/>
    <col min="5132" max="5132" width="26.7109375" bestFit="1" customWidth="1"/>
    <col min="5377" max="5377" width="3.140625" bestFit="1" customWidth="1"/>
    <col min="5378" max="5378" width="19.85546875" customWidth="1"/>
    <col min="5379" max="5379" width="3.140625" bestFit="1" customWidth="1"/>
    <col min="5380" max="5380" width="11.7109375" customWidth="1"/>
    <col min="5381" max="5381" width="13" customWidth="1"/>
    <col min="5382" max="5382" width="2.42578125" customWidth="1"/>
    <col min="5383" max="5383" width="15" customWidth="1"/>
    <col min="5385" max="5385" width="9.42578125" customWidth="1"/>
    <col min="5386" max="5386" width="1.7109375" customWidth="1"/>
    <col min="5387" max="5387" width="8" customWidth="1"/>
    <col min="5388" max="5388" width="26.7109375" bestFit="1" customWidth="1"/>
    <col min="5633" max="5633" width="3.140625" bestFit="1" customWidth="1"/>
    <col min="5634" max="5634" width="19.85546875" customWidth="1"/>
    <col min="5635" max="5635" width="3.140625" bestFit="1" customWidth="1"/>
    <col min="5636" max="5636" width="11.7109375" customWidth="1"/>
    <col min="5637" max="5637" width="13" customWidth="1"/>
    <col min="5638" max="5638" width="2.42578125" customWidth="1"/>
    <col min="5639" max="5639" width="15" customWidth="1"/>
    <col min="5641" max="5641" width="9.42578125" customWidth="1"/>
    <col min="5642" max="5642" width="1.7109375" customWidth="1"/>
    <col min="5643" max="5643" width="8" customWidth="1"/>
    <col min="5644" max="5644" width="26.7109375" bestFit="1" customWidth="1"/>
    <col min="5889" max="5889" width="3.140625" bestFit="1" customWidth="1"/>
    <col min="5890" max="5890" width="19.85546875" customWidth="1"/>
    <col min="5891" max="5891" width="3.140625" bestFit="1" customWidth="1"/>
    <col min="5892" max="5892" width="11.7109375" customWidth="1"/>
    <col min="5893" max="5893" width="13" customWidth="1"/>
    <col min="5894" max="5894" width="2.42578125" customWidth="1"/>
    <col min="5895" max="5895" width="15" customWidth="1"/>
    <col min="5897" max="5897" width="9.42578125" customWidth="1"/>
    <col min="5898" max="5898" width="1.7109375" customWidth="1"/>
    <col min="5899" max="5899" width="8" customWidth="1"/>
    <col min="5900" max="5900" width="26.7109375" bestFit="1" customWidth="1"/>
    <col min="6145" max="6145" width="3.140625" bestFit="1" customWidth="1"/>
    <col min="6146" max="6146" width="19.85546875" customWidth="1"/>
    <col min="6147" max="6147" width="3.140625" bestFit="1" customWidth="1"/>
    <col min="6148" max="6148" width="11.7109375" customWidth="1"/>
    <col min="6149" max="6149" width="13" customWidth="1"/>
    <col min="6150" max="6150" width="2.42578125" customWidth="1"/>
    <col min="6151" max="6151" width="15" customWidth="1"/>
    <col min="6153" max="6153" width="9.42578125" customWidth="1"/>
    <col min="6154" max="6154" width="1.7109375" customWidth="1"/>
    <col min="6155" max="6155" width="8" customWidth="1"/>
    <col min="6156" max="6156" width="26.7109375" bestFit="1" customWidth="1"/>
    <col min="6401" max="6401" width="3.140625" bestFit="1" customWidth="1"/>
    <col min="6402" max="6402" width="19.85546875" customWidth="1"/>
    <col min="6403" max="6403" width="3.140625" bestFit="1" customWidth="1"/>
    <col min="6404" max="6404" width="11.7109375" customWidth="1"/>
    <col min="6405" max="6405" width="13" customWidth="1"/>
    <col min="6406" max="6406" width="2.42578125" customWidth="1"/>
    <col min="6407" max="6407" width="15" customWidth="1"/>
    <col min="6409" max="6409" width="9.42578125" customWidth="1"/>
    <col min="6410" max="6410" width="1.7109375" customWidth="1"/>
    <col min="6411" max="6411" width="8" customWidth="1"/>
    <col min="6412" max="6412" width="26.7109375" bestFit="1" customWidth="1"/>
    <col min="6657" max="6657" width="3.140625" bestFit="1" customWidth="1"/>
    <col min="6658" max="6658" width="19.85546875" customWidth="1"/>
    <col min="6659" max="6659" width="3.140625" bestFit="1" customWidth="1"/>
    <col min="6660" max="6660" width="11.7109375" customWidth="1"/>
    <col min="6661" max="6661" width="13" customWidth="1"/>
    <col min="6662" max="6662" width="2.42578125" customWidth="1"/>
    <col min="6663" max="6663" width="15" customWidth="1"/>
    <col min="6665" max="6665" width="9.42578125" customWidth="1"/>
    <col min="6666" max="6666" width="1.7109375" customWidth="1"/>
    <col min="6667" max="6667" width="8" customWidth="1"/>
    <col min="6668" max="6668" width="26.7109375" bestFit="1" customWidth="1"/>
    <col min="6913" max="6913" width="3.140625" bestFit="1" customWidth="1"/>
    <col min="6914" max="6914" width="19.85546875" customWidth="1"/>
    <col min="6915" max="6915" width="3.140625" bestFit="1" customWidth="1"/>
    <col min="6916" max="6916" width="11.7109375" customWidth="1"/>
    <col min="6917" max="6917" width="13" customWidth="1"/>
    <col min="6918" max="6918" width="2.42578125" customWidth="1"/>
    <col min="6919" max="6919" width="15" customWidth="1"/>
    <col min="6921" max="6921" width="9.42578125" customWidth="1"/>
    <col min="6922" max="6922" width="1.7109375" customWidth="1"/>
    <col min="6923" max="6923" width="8" customWidth="1"/>
    <col min="6924" max="6924" width="26.7109375" bestFit="1" customWidth="1"/>
    <col min="7169" max="7169" width="3.140625" bestFit="1" customWidth="1"/>
    <col min="7170" max="7170" width="19.85546875" customWidth="1"/>
    <col min="7171" max="7171" width="3.140625" bestFit="1" customWidth="1"/>
    <col min="7172" max="7172" width="11.7109375" customWidth="1"/>
    <col min="7173" max="7173" width="13" customWidth="1"/>
    <col min="7174" max="7174" width="2.42578125" customWidth="1"/>
    <col min="7175" max="7175" width="15" customWidth="1"/>
    <col min="7177" max="7177" width="9.42578125" customWidth="1"/>
    <col min="7178" max="7178" width="1.7109375" customWidth="1"/>
    <col min="7179" max="7179" width="8" customWidth="1"/>
    <col min="7180" max="7180" width="26.7109375" bestFit="1" customWidth="1"/>
    <col min="7425" max="7425" width="3.140625" bestFit="1" customWidth="1"/>
    <col min="7426" max="7426" width="19.85546875" customWidth="1"/>
    <col min="7427" max="7427" width="3.140625" bestFit="1" customWidth="1"/>
    <col min="7428" max="7428" width="11.7109375" customWidth="1"/>
    <col min="7429" max="7429" width="13" customWidth="1"/>
    <col min="7430" max="7430" width="2.42578125" customWidth="1"/>
    <col min="7431" max="7431" width="15" customWidth="1"/>
    <col min="7433" max="7433" width="9.42578125" customWidth="1"/>
    <col min="7434" max="7434" width="1.7109375" customWidth="1"/>
    <col min="7435" max="7435" width="8" customWidth="1"/>
    <col min="7436" max="7436" width="26.7109375" bestFit="1" customWidth="1"/>
    <col min="7681" max="7681" width="3.140625" bestFit="1" customWidth="1"/>
    <col min="7682" max="7682" width="19.85546875" customWidth="1"/>
    <col min="7683" max="7683" width="3.140625" bestFit="1" customWidth="1"/>
    <col min="7684" max="7684" width="11.7109375" customWidth="1"/>
    <col min="7685" max="7685" width="13" customWidth="1"/>
    <col min="7686" max="7686" width="2.42578125" customWidth="1"/>
    <col min="7687" max="7687" width="15" customWidth="1"/>
    <col min="7689" max="7689" width="9.42578125" customWidth="1"/>
    <col min="7690" max="7690" width="1.7109375" customWidth="1"/>
    <col min="7691" max="7691" width="8" customWidth="1"/>
    <col min="7692" max="7692" width="26.7109375" bestFit="1" customWidth="1"/>
    <col min="7937" max="7937" width="3.140625" bestFit="1" customWidth="1"/>
    <col min="7938" max="7938" width="19.85546875" customWidth="1"/>
    <col min="7939" max="7939" width="3.140625" bestFit="1" customWidth="1"/>
    <col min="7940" max="7940" width="11.7109375" customWidth="1"/>
    <col min="7941" max="7941" width="13" customWidth="1"/>
    <col min="7942" max="7942" width="2.42578125" customWidth="1"/>
    <col min="7943" max="7943" width="15" customWidth="1"/>
    <col min="7945" max="7945" width="9.42578125" customWidth="1"/>
    <col min="7946" max="7946" width="1.7109375" customWidth="1"/>
    <col min="7947" max="7947" width="8" customWidth="1"/>
    <col min="7948" max="7948" width="26.7109375" bestFit="1" customWidth="1"/>
    <col min="8193" max="8193" width="3.140625" bestFit="1" customWidth="1"/>
    <col min="8194" max="8194" width="19.85546875" customWidth="1"/>
    <col min="8195" max="8195" width="3.140625" bestFit="1" customWidth="1"/>
    <col min="8196" max="8196" width="11.7109375" customWidth="1"/>
    <col min="8197" max="8197" width="13" customWidth="1"/>
    <col min="8198" max="8198" width="2.42578125" customWidth="1"/>
    <col min="8199" max="8199" width="15" customWidth="1"/>
    <col min="8201" max="8201" width="9.42578125" customWidth="1"/>
    <col min="8202" max="8202" width="1.7109375" customWidth="1"/>
    <col min="8203" max="8203" width="8" customWidth="1"/>
    <col min="8204" max="8204" width="26.7109375" bestFit="1" customWidth="1"/>
    <col min="8449" max="8449" width="3.140625" bestFit="1" customWidth="1"/>
    <col min="8450" max="8450" width="19.85546875" customWidth="1"/>
    <col min="8451" max="8451" width="3.140625" bestFit="1" customWidth="1"/>
    <col min="8452" max="8452" width="11.7109375" customWidth="1"/>
    <col min="8453" max="8453" width="13" customWidth="1"/>
    <col min="8454" max="8454" width="2.42578125" customWidth="1"/>
    <col min="8455" max="8455" width="15" customWidth="1"/>
    <col min="8457" max="8457" width="9.42578125" customWidth="1"/>
    <col min="8458" max="8458" width="1.7109375" customWidth="1"/>
    <col min="8459" max="8459" width="8" customWidth="1"/>
    <col min="8460" max="8460" width="26.7109375" bestFit="1" customWidth="1"/>
    <col min="8705" max="8705" width="3.140625" bestFit="1" customWidth="1"/>
    <col min="8706" max="8706" width="19.85546875" customWidth="1"/>
    <col min="8707" max="8707" width="3.140625" bestFit="1" customWidth="1"/>
    <col min="8708" max="8708" width="11.7109375" customWidth="1"/>
    <col min="8709" max="8709" width="13" customWidth="1"/>
    <col min="8710" max="8710" width="2.42578125" customWidth="1"/>
    <col min="8711" max="8711" width="15" customWidth="1"/>
    <col min="8713" max="8713" width="9.42578125" customWidth="1"/>
    <col min="8714" max="8714" width="1.7109375" customWidth="1"/>
    <col min="8715" max="8715" width="8" customWidth="1"/>
    <col min="8716" max="8716" width="26.7109375" bestFit="1" customWidth="1"/>
    <col min="8961" max="8961" width="3.140625" bestFit="1" customWidth="1"/>
    <col min="8962" max="8962" width="19.85546875" customWidth="1"/>
    <col min="8963" max="8963" width="3.140625" bestFit="1" customWidth="1"/>
    <col min="8964" max="8964" width="11.7109375" customWidth="1"/>
    <col min="8965" max="8965" width="13" customWidth="1"/>
    <col min="8966" max="8966" width="2.42578125" customWidth="1"/>
    <col min="8967" max="8967" width="15" customWidth="1"/>
    <col min="8969" max="8969" width="9.42578125" customWidth="1"/>
    <col min="8970" max="8970" width="1.7109375" customWidth="1"/>
    <col min="8971" max="8971" width="8" customWidth="1"/>
    <col min="8972" max="8972" width="26.7109375" bestFit="1" customWidth="1"/>
    <col min="9217" max="9217" width="3.140625" bestFit="1" customWidth="1"/>
    <col min="9218" max="9218" width="19.85546875" customWidth="1"/>
    <col min="9219" max="9219" width="3.140625" bestFit="1" customWidth="1"/>
    <col min="9220" max="9220" width="11.7109375" customWidth="1"/>
    <col min="9221" max="9221" width="13" customWidth="1"/>
    <col min="9222" max="9222" width="2.42578125" customWidth="1"/>
    <col min="9223" max="9223" width="15" customWidth="1"/>
    <col min="9225" max="9225" width="9.42578125" customWidth="1"/>
    <col min="9226" max="9226" width="1.7109375" customWidth="1"/>
    <col min="9227" max="9227" width="8" customWidth="1"/>
    <col min="9228" max="9228" width="26.7109375" bestFit="1" customWidth="1"/>
    <col min="9473" max="9473" width="3.140625" bestFit="1" customWidth="1"/>
    <col min="9474" max="9474" width="19.85546875" customWidth="1"/>
    <col min="9475" max="9475" width="3.140625" bestFit="1" customWidth="1"/>
    <col min="9476" max="9476" width="11.7109375" customWidth="1"/>
    <col min="9477" max="9477" width="13" customWidth="1"/>
    <col min="9478" max="9478" width="2.42578125" customWidth="1"/>
    <col min="9479" max="9479" width="15" customWidth="1"/>
    <col min="9481" max="9481" width="9.42578125" customWidth="1"/>
    <col min="9482" max="9482" width="1.7109375" customWidth="1"/>
    <col min="9483" max="9483" width="8" customWidth="1"/>
    <col min="9484" max="9484" width="26.7109375" bestFit="1" customWidth="1"/>
    <col min="9729" max="9729" width="3.140625" bestFit="1" customWidth="1"/>
    <col min="9730" max="9730" width="19.85546875" customWidth="1"/>
    <col min="9731" max="9731" width="3.140625" bestFit="1" customWidth="1"/>
    <col min="9732" max="9732" width="11.7109375" customWidth="1"/>
    <col min="9733" max="9733" width="13" customWidth="1"/>
    <col min="9734" max="9734" width="2.42578125" customWidth="1"/>
    <col min="9735" max="9735" width="15" customWidth="1"/>
    <col min="9737" max="9737" width="9.42578125" customWidth="1"/>
    <col min="9738" max="9738" width="1.7109375" customWidth="1"/>
    <col min="9739" max="9739" width="8" customWidth="1"/>
    <col min="9740" max="9740" width="26.7109375" bestFit="1" customWidth="1"/>
    <col min="9985" max="9985" width="3.140625" bestFit="1" customWidth="1"/>
    <col min="9986" max="9986" width="19.85546875" customWidth="1"/>
    <col min="9987" max="9987" width="3.140625" bestFit="1" customWidth="1"/>
    <col min="9988" max="9988" width="11.7109375" customWidth="1"/>
    <col min="9989" max="9989" width="13" customWidth="1"/>
    <col min="9990" max="9990" width="2.42578125" customWidth="1"/>
    <col min="9991" max="9991" width="15" customWidth="1"/>
    <col min="9993" max="9993" width="9.42578125" customWidth="1"/>
    <col min="9994" max="9994" width="1.7109375" customWidth="1"/>
    <col min="9995" max="9995" width="8" customWidth="1"/>
    <col min="9996" max="9996" width="26.7109375" bestFit="1" customWidth="1"/>
    <col min="10241" max="10241" width="3.140625" bestFit="1" customWidth="1"/>
    <col min="10242" max="10242" width="19.85546875" customWidth="1"/>
    <col min="10243" max="10243" width="3.140625" bestFit="1" customWidth="1"/>
    <col min="10244" max="10244" width="11.7109375" customWidth="1"/>
    <col min="10245" max="10245" width="13" customWidth="1"/>
    <col min="10246" max="10246" width="2.42578125" customWidth="1"/>
    <col min="10247" max="10247" width="15" customWidth="1"/>
    <col min="10249" max="10249" width="9.42578125" customWidth="1"/>
    <col min="10250" max="10250" width="1.7109375" customWidth="1"/>
    <col min="10251" max="10251" width="8" customWidth="1"/>
    <col min="10252" max="10252" width="26.7109375" bestFit="1" customWidth="1"/>
    <col min="10497" max="10497" width="3.140625" bestFit="1" customWidth="1"/>
    <col min="10498" max="10498" width="19.85546875" customWidth="1"/>
    <col min="10499" max="10499" width="3.140625" bestFit="1" customWidth="1"/>
    <col min="10500" max="10500" width="11.7109375" customWidth="1"/>
    <col min="10501" max="10501" width="13" customWidth="1"/>
    <col min="10502" max="10502" width="2.42578125" customWidth="1"/>
    <col min="10503" max="10503" width="15" customWidth="1"/>
    <col min="10505" max="10505" width="9.42578125" customWidth="1"/>
    <col min="10506" max="10506" width="1.7109375" customWidth="1"/>
    <col min="10507" max="10507" width="8" customWidth="1"/>
    <col min="10508" max="10508" width="26.7109375" bestFit="1" customWidth="1"/>
    <col min="10753" max="10753" width="3.140625" bestFit="1" customWidth="1"/>
    <col min="10754" max="10754" width="19.85546875" customWidth="1"/>
    <col min="10755" max="10755" width="3.140625" bestFit="1" customWidth="1"/>
    <col min="10756" max="10756" width="11.7109375" customWidth="1"/>
    <col min="10757" max="10757" width="13" customWidth="1"/>
    <col min="10758" max="10758" width="2.42578125" customWidth="1"/>
    <col min="10759" max="10759" width="15" customWidth="1"/>
    <col min="10761" max="10761" width="9.42578125" customWidth="1"/>
    <col min="10762" max="10762" width="1.7109375" customWidth="1"/>
    <col min="10763" max="10763" width="8" customWidth="1"/>
    <col min="10764" max="10764" width="26.7109375" bestFit="1" customWidth="1"/>
    <col min="11009" max="11009" width="3.140625" bestFit="1" customWidth="1"/>
    <col min="11010" max="11010" width="19.85546875" customWidth="1"/>
    <col min="11011" max="11011" width="3.140625" bestFit="1" customWidth="1"/>
    <col min="11012" max="11012" width="11.7109375" customWidth="1"/>
    <col min="11013" max="11013" width="13" customWidth="1"/>
    <col min="11014" max="11014" width="2.42578125" customWidth="1"/>
    <col min="11015" max="11015" width="15" customWidth="1"/>
    <col min="11017" max="11017" width="9.42578125" customWidth="1"/>
    <col min="11018" max="11018" width="1.7109375" customWidth="1"/>
    <col min="11019" max="11019" width="8" customWidth="1"/>
    <col min="11020" max="11020" width="26.7109375" bestFit="1" customWidth="1"/>
    <col min="11265" max="11265" width="3.140625" bestFit="1" customWidth="1"/>
    <col min="11266" max="11266" width="19.85546875" customWidth="1"/>
    <col min="11267" max="11267" width="3.140625" bestFit="1" customWidth="1"/>
    <col min="11268" max="11268" width="11.7109375" customWidth="1"/>
    <col min="11269" max="11269" width="13" customWidth="1"/>
    <col min="11270" max="11270" width="2.42578125" customWidth="1"/>
    <col min="11271" max="11271" width="15" customWidth="1"/>
    <col min="11273" max="11273" width="9.42578125" customWidth="1"/>
    <col min="11274" max="11274" width="1.7109375" customWidth="1"/>
    <col min="11275" max="11275" width="8" customWidth="1"/>
    <col min="11276" max="11276" width="26.7109375" bestFit="1" customWidth="1"/>
    <col min="11521" max="11521" width="3.140625" bestFit="1" customWidth="1"/>
    <col min="11522" max="11522" width="19.85546875" customWidth="1"/>
    <col min="11523" max="11523" width="3.140625" bestFit="1" customWidth="1"/>
    <col min="11524" max="11524" width="11.7109375" customWidth="1"/>
    <col min="11525" max="11525" width="13" customWidth="1"/>
    <col min="11526" max="11526" width="2.42578125" customWidth="1"/>
    <col min="11527" max="11527" width="15" customWidth="1"/>
    <col min="11529" max="11529" width="9.42578125" customWidth="1"/>
    <col min="11530" max="11530" width="1.7109375" customWidth="1"/>
    <col min="11531" max="11531" width="8" customWidth="1"/>
    <col min="11532" max="11532" width="26.7109375" bestFit="1" customWidth="1"/>
    <col min="11777" max="11777" width="3.140625" bestFit="1" customWidth="1"/>
    <col min="11778" max="11778" width="19.85546875" customWidth="1"/>
    <col min="11779" max="11779" width="3.140625" bestFit="1" customWidth="1"/>
    <col min="11780" max="11780" width="11.7109375" customWidth="1"/>
    <col min="11781" max="11781" width="13" customWidth="1"/>
    <col min="11782" max="11782" width="2.42578125" customWidth="1"/>
    <col min="11783" max="11783" width="15" customWidth="1"/>
    <col min="11785" max="11785" width="9.42578125" customWidth="1"/>
    <col min="11786" max="11786" width="1.7109375" customWidth="1"/>
    <col min="11787" max="11787" width="8" customWidth="1"/>
    <col min="11788" max="11788" width="26.7109375" bestFit="1" customWidth="1"/>
    <col min="12033" max="12033" width="3.140625" bestFit="1" customWidth="1"/>
    <col min="12034" max="12034" width="19.85546875" customWidth="1"/>
    <col min="12035" max="12035" width="3.140625" bestFit="1" customWidth="1"/>
    <col min="12036" max="12036" width="11.7109375" customWidth="1"/>
    <col min="12037" max="12037" width="13" customWidth="1"/>
    <col min="12038" max="12038" width="2.42578125" customWidth="1"/>
    <col min="12039" max="12039" width="15" customWidth="1"/>
    <col min="12041" max="12041" width="9.42578125" customWidth="1"/>
    <col min="12042" max="12042" width="1.7109375" customWidth="1"/>
    <col min="12043" max="12043" width="8" customWidth="1"/>
    <col min="12044" max="12044" width="26.7109375" bestFit="1" customWidth="1"/>
    <col min="12289" max="12289" width="3.140625" bestFit="1" customWidth="1"/>
    <col min="12290" max="12290" width="19.85546875" customWidth="1"/>
    <col min="12291" max="12291" width="3.140625" bestFit="1" customWidth="1"/>
    <col min="12292" max="12292" width="11.7109375" customWidth="1"/>
    <col min="12293" max="12293" width="13" customWidth="1"/>
    <col min="12294" max="12294" width="2.42578125" customWidth="1"/>
    <col min="12295" max="12295" width="15" customWidth="1"/>
    <col min="12297" max="12297" width="9.42578125" customWidth="1"/>
    <col min="12298" max="12298" width="1.7109375" customWidth="1"/>
    <col min="12299" max="12299" width="8" customWidth="1"/>
    <col min="12300" max="12300" width="26.7109375" bestFit="1" customWidth="1"/>
    <col min="12545" max="12545" width="3.140625" bestFit="1" customWidth="1"/>
    <col min="12546" max="12546" width="19.85546875" customWidth="1"/>
    <col min="12547" max="12547" width="3.140625" bestFit="1" customWidth="1"/>
    <col min="12548" max="12548" width="11.7109375" customWidth="1"/>
    <col min="12549" max="12549" width="13" customWidth="1"/>
    <col min="12550" max="12550" width="2.42578125" customWidth="1"/>
    <col min="12551" max="12551" width="15" customWidth="1"/>
    <col min="12553" max="12553" width="9.42578125" customWidth="1"/>
    <col min="12554" max="12554" width="1.7109375" customWidth="1"/>
    <col min="12555" max="12555" width="8" customWidth="1"/>
    <col min="12556" max="12556" width="26.7109375" bestFit="1" customWidth="1"/>
    <col min="12801" max="12801" width="3.140625" bestFit="1" customWidth="1"/>
    <col min="12802" max="12802" width="19.85546875" customWidth="1"/>
    <col min="12803" max="12803" width="3.140625" bestFit="1" customWidth="1"/>
    <col min="12804" max="12804" width="11.7109375" customWidth="1"/>
    <col min="12805" max="12805" width="13" customWidth="1"/>
    <col min="12806" max="12806" width="2.42578125" customWidth="1"/>
    <col min="12807" max="12807" width="15" customWidth="1"/>
    <col min="12809" max="12809" width="9.42578125" customWidth="1"/>
    <col min="12810" max="12810" width="1.7109375" customWidth="1"/>
    <col min="12811" max="12811" width="8" customWidth="1"/>
    <col min="12812" max="12812" width="26.7109375" bestFit="1" customWidth="1"/>
    <col min="13057" max="13057" width="3.140625" bestFit="1" customWidth="1"/>
    <col min="13058" max="13058" width="19.85546875" customWidth="1"/>
    <col min="13059" max="13059" width="3.140625" bestFit="1" customWidth="1"/>
    <col min="13060" max="13060" width="11.7109375" customWidth="1"/>
    <col min="13061" max="13061" width="13" customWidth="1"/>
    <col min="13062" max="13062" width="2.42578125" customWidth="1"/>
    <col min="13063" max="13063" width="15" customWidth="1"/>
    <col min="13065" max="13065" width="9.42578125" customWidth="1"/>
    <col min="13066" max="13066" width="1.7109375" customWidth="1"/>
    <col min="13067" max="13067" width="8" customWidth="1"/>
    <col min="13068" max="13068" width="26.7109375" bestFit="1" customWidth="1"/>
    <col min="13313" max="13313" width="3.140625" bestFit="1" customWidth="1"/>
    <col min="13314" max="13314" width="19.85546875" customWidth="1"/>
    <col min="13315" max="13315" width="3.140625" bestFit="1" customWidth="1"/>
    <col min="13316" max="13316" width="11.7109375" customWidth="1"/>
    <col min="13317" max="13317" width="13" customWidth="1"/>
    <col min="13318" max="13318" width="2.42578125" customWidth="1"/>
    <col min="13319" max="13319" width="15" customWidth="1"/>
    <col min="13321" max="13321" width="9.42578125" customWidth="1"/>
    <col min="13322" max="13322" width="1.7109375" customWidth="1"/>
    <col min="13323" max="13323" width="8" customWidth="1"/>
    <col min="13324" max="13324" width="26.7109375" bestFit="1" customWidth="1"/>
    <col min="13569" max="13569" width="3.140625" bestFit="1" customWidth="1"/>
    <col min="13570" max="13570" width="19.85546875" customWidth="1"/>
    <col min="13571" max="13571" width="3.140625" bestFit="1" customWidth="1"/>
    <col min="13572" max="13572" width="11.7109375" customWidth="1"/>
    <col min="13573" max="13573" width="13" customWidth="1"/>
    <col min="13574" max="13574" width="2.42578125" customWidth="1"/>
    <col min="13575" max="13575" width="15" customWidth="1"/>
    <col min="13577" max="13577" width="9.42578125" customWidth="1"/>
    <col min="13578" max="13578" width="1.7109375" customWidth="1"/>
    <col min="13579" max="13579" width="8" customWidth="1"/>
    <col min="13580" max="13580" width="26.7109375" bestFit="1" customWidth="1"/>
    <col min="13825" max="13825" width="3.140625" bestFit="1" customWidth="1"/>
    <col min="13826" max="13826" width="19.85546875" customWidth="1"/>
    <col min="13827" max="13827" width="3.140625" bestFit="1" customWidth="1"/>
    <col min="13828" max="13828" width="11.7109375" customWidth="1"/>
    <col min="13829" max="13829" width="13" customWidth="1"/>
    <col min="13830" max="13830" width="2.42578125" customWidth="1"/>
    <col min="13831" max="13831" width="15" customWidth="1"/>
    <col min="13833" max="13833" width="9.42578125" customWidth="1"/>
    <col min="13834" max="13834" width="1.7109375" customWidth="1"/>
    <col min="13835" max="13835" width="8" customWidth="1"/>
    <col min="13836" max="13836" width="26.7109375" bestFit="1" customWidth="1"/>
    <col min="14081" max="14081" width="3.140625" bestFit="1" customWidth="1"/>
    <col min="14082" max="14082" width="19.85546875" customWidth="1"/>
    <col min="14083" max="14083" width="3.140625" bestFit="1" customWidth="1"/>
    <col min="14084" max="14084" width="11.7109375" customWidth="1"/>
    <col min="14085" max="14085" width="13" customWidth="1"/>
    <col min="14086" max="14086" width="2.42578125" customWidth="1"/>
    <col min="14087" max="14087" width="15" customWidth="1"/>
    <col min="14089" max="14089" width="9.42578125" customWidth="1"/>
    <col min="14090" max="14090" width="1.7109375" customWidth="1"/>
    <col min="14091" max="14091" width="8" customWidth="1"/>
    <col min="14092" max="14092" width="26.7109375" bestFit="1" customWidth="1"/>
    <col min="14337" max="14337" width="3.140625" bestFit="1" customWidth="1"/>
    <col min="14338" max="14338" width="19.85546875" customWidth="1"/>
    <col min="14339" max="14339" width="3.140625" bestFit="1" customWidth="1"/>
    <col min="14340" max="14340" width="11.7109375" customWidth="1"/>
    <col min="14341" max="14341" width="13" customWidth="1"/>
    <col min="14342" max="14342" width="2.42578125" customWidth="1"/>
    <col min="14343" max="14343" width="15" customWidth="1"/>
    <col min="14345" max="14345" width="9.42578125" customWidth="1"/>
    <col min="14346" max="14346" width="1.7109375" customWidth="1"/>
    <col min="14347" max="14347" width="8" customWidth="1"/>
    <col min="14348" max="14348" width="26.7109375" bestFit="1" customWidth="1"/>
    <col min="14593" max="14593" width="3.140625" bestFit="1" customWidth="1"/>
    <col min="14594" max="14594" width="19.85546875" customWidth="1"/>
    <col min="14595" max="14595" width="3.140625" bestFit="1" customWidth="1"/>
    <col min="14596" max="14596" width="11.7109375" customWidth="1"/>
    <col min="14597" max="14597" width="13" customWidth="1"/>
    <col min="14598" max="14598" width="2.42578125" customWidth="1"/>
    <col min="14599" max="14599" width="15" customWidth="1"/>
    <col min="14601" max="14601" width="9.42578125" customWidth="1"/>
    <col min="14602" max="14602" width="1.7109375" customWidth="1"/>
    <col min="14603" max="14603" width="8" customWidth="1"/>
    <col min="14604" max="14604" width="26.7109375" bestFit="1" customWidth="1"/>
    <col min="14849" max="14849" width="3.140625" bestFit="1" customWidth="1"/>
    <col min="14850" max="14850" width="19.85546875" customWidth="1"/>
    <col min="14851" max="14851" width="3.140625" bestFit="1" customWidth="1"/>
    <col min="14852" max="14852" width="11.7109375" customWidth="1"/>
    <col min="14853" max="14853" width="13" customWidth="1"/>
    <col min="14854" max="14854" width="2.42578125" customWidth="1"/>
    <col min="14855" max="14855" width="15" customWidth="1"/>
    <col min="14857" max="14857" width="9.42578125" customWidth="1"/>
    <col min="14858" max="14858" width="1.7109375" customWidth="1"/>
    <col min="14859" max="14859" width="8" customWidth="1"/>
    <col min="14860" max="14860" width="26.7109375" bestFit="1" customWidth="1"/>
    <col min="15105" max="15105" width="3.140625" bestFit="1" customWidth="1"/>
    <col min="15106" max="15106" width="19.85546875" customWidth="1"/>
    <col min="15107" max="15107" width="3.140625" bestFit="1" customWidth="1"/>
    <col min="15108" max="15108" width="11.7109375" customWidth="1"/>
    <col min="15109" max="15109" width="13" customWidth="1"/>
    <col min="15110" max="15110" width="2.42578125" customWidth="1"/>
    <col min="15111" max="15111" width="15" customWidth="1"/>
    <col min="15113" max="15113" width="9.42578125" customWidth="1"/>
    <col min="15114" max="15114" width="1.7109375" customWidth="1"/>
    <col min="15115" max="15115" width="8" customWidth="1"/>
    <col min="15116" max="15116" width="26.7109375" bestFit="1" customWidth="1"/>
    <col min="15361" max="15361" width="3.140625" bestFit="1" customWidth="1"/>
    <col min="15362" max="15362" width="19.85546875" customWidth="1"/>
    <col min="15363" max="15363" width="3.140625" bestFit="1" customWidth="1"/>
    <col min="15364" max="15364" width="11.7109375" customWidth="1"/>
    <col min="15365" max="15365" width="13" customWidth="1"/>
    <col min="15366" max="15366" width="2.42578125" customWidth="1"/>
    <col min="15367" max="15367" width="15" customWidth="1"/>
    <col min="15369" max="15369" width="9.42578125" customWidth="1"/>
    <col min="15370" max="15370" width="1.7109375" customWidth="1"/>
    <col min="15371" max="15371" width="8" customWidth="1"/>
    <col min="15372" max="15372" width="26.7109375" bestFit="1" customWidth="1"/>
    <col min="15617" max="15617" width="3.140625" bestFit="1" customWidth="1"/>
    <col min="15618" max="15618" width="19.85546875" customWidth="1"/>
    <col min="15619" max="15619" width="3.140625" bestFit="1" customWidth="1"/>
    <col min="15620" max="15620" width="11.7109375" customWidth="1"/>
    <col min="15621" max="15621" width="13" customWidth="1"/>
    <col min="15622" max="15622" width="2.42578125" customWidth="1"/>
    <col min="15623" max="15623" width="15" customWidth="1"/>
    <col min="15625" max="15625" width="9.42578125" customWidth="1"/>
    <col min="15626" max="15626" width="1.7109375" customWidth="1"/>
    <col min="15627" max="15627" width="8" customWidth="1"/>
    <col min="15628" max="15628" width="26.7109375" bestFit="1" customWidth="1"/>
    <col min="15873" max="15873" width="3.140625" bestFit="1" customWidth="1"/>
    <col min="15874" max="15874" width="19.85546875" customWidth="1"/>
    <col min="15875" max="15875" width="3.140625" bestFit="1" customWidth="1"/>
    <col min="15876" max="15876" width="11.7109375" customWidth="1"/>
    <col min="15877" max="15877" width="13" customWidth="1"/>
    <col min="15878" max="15878" width="2.42578125" customWidth="1"/>
    <col min="15879" max="15879" width="15" customWidth="1"/>
    <col min="15881" max="15881" width="9.42578125" customWidth="1"/>
    <col min="15882" max="15882" width="1.7109375" customWidth="1"/>
    <col min="15883" max="15883" width="8" customWidth="1"/>
    <col min="15884" max="15884" width="26.7109375" bestFit="1" customWidth="1"/>
    <col min="16129" max="16129" width="3.140625" bestFit="1" customWidth="1"/>
    <col min="16130" max="16130" width="19.85546875" customWidth="1"/>
    <col min="16131" max="16131" width="3.140625" bestFit="1" customWidth="1"/>
    <col min="16132" max="16132" width="11.7109375" customWidth="1"/>
    <col min="16133" max="16133" width="13" customWidth="1"/>
    <col min="16134" max="16134" width="2.42578125" customWidth="1"/>
    <col min="16135" max="16135" width="15" customWidth="1"/>
    <col min="16137" max="16137" width="9.42578125" customWidth="1"/>
    <col min="16138" max="16138" width="1.7109375" customWidth="1"/>
    <col min="16139" max="16139" width="8" customWidth="1"/>
    <col min="16140" max="16140" width="26.7109375" bestFit="1" customWidth="1"/>
  </cols>
  <sheetData>
    <row r="2" spans="1:14" ht="18" x14ac:dyDescent="0.25">
      <c r="B2" s="190" t="s">
        <v>49</v>
      </c>
      <c r="C2" s="190"/>
      <c r="D2" s="190"/>
      <c r="E2" s="190"/>
      <c r="F2" s="190"/>
      <c r="G2" s="190"/>
      <c r="H2" s="190"/>
      <c r="I2" s="190"/>
      <c r="J2" s="190"/>
      <c r="K2" s="190"/>
      <c r="L2" s="190"/>
    </row>
    <row r="3" spans="1:14" ht="18" x14ac:dyDescent="0.25">
      <c r="B3" s="111"/>
      <c r="C3" s="111"/>
      <c r="D3" s="48"/>
      <c r="E3" s="48"/>
      <c r="F3" s="48"/>
      <c r="G3" s="48"/>
      <c r="H3" s="48"/>
      <c r="I3" s="48"/>
      <c r="J3" s="48"/>
      <c r="K3" s="48"/>
      <c r="L3" s="48"/>
    </row>
    <row r="4" spans="1:14" ht="48" thickBot="1" x14ac:dyDescent="0.25">
      <c r="A4" s="3"/>
      <c r="B4" s="108" t="s">
        <v>0</v>
      </c>
      <c r="C4" s="104"/>
      <c r="D4" s="110" t="s">
        <v>44</v>
      </c>
      <c r="E4" s="109" t="s">
        <v>53</v>
      </c>
      <c r="F4" s="5"/>
      <c r="G4" s="132" t="s">
        <v>45</v>
      </c>
      <c r="H4" s="56" t="s">
        <v>1</v>
      </c>
      <c r="I4" s="191" t="s">
        <v>2</v>
      </c>
      <c r="J4" s="191"/>
      <c r="K4" s="191"/>
      <c r="L4" s="56" t="s">
        <v>3</v>
      </c>
      <c r="M4" s="1"/>
      <c r="N4" s="1"/>
    </row>
    <row r="5" spans="1:14" ht="15.75" x14ac:dyDescent="0.2">
      <c r="A5" s="3"/>
      <c r="B5" s="104"/>
      <c r="C5" s="104"/>
      <c r="D5" s="30"/>
      <c r="E5" s="36"/>
      <c r="F5" s="5"/>
      <c r="G5" s="5"/>
      <c r="H5" s="5"/>
      <c r="I5" s="5"/>
      <c r="J5" s="5"/>
      <c r="K5" s="5"/>
      <c r="L5" s="104"/>
      <c r="M5" s="1"/>
    </row>
    <row r="6" spans="1:14" ht="18" x14ac:dyDescent="0.25">
      <c r="A6" s="3"/>
      <c r="B6" s="102" t="s">
        <v>4</v>
      </c>
      <c r="C6" s="67"/>
      <c r="D6" s="31">
        <v>0.25</v>
      </c>
      <c r="E6" s="116">
        <v>0.2</v>
      </c>
      <c r="F6" s="9"/>
      <c r="G6" s="45">
        <v>0.22</v>
      </c>
      <c r="H6" s="10" t="s">
        <v>5</v>
      </c>
      <c r="I6" s="11">
        <f>G6+5%</f>
        <v>0.27</v>
      </c>
      <c r="J6" s="8" t="s">
        <v>14</v>
      </c>
      <c r="K6" s="20">
        <f>G6-5%</f>
        <v>0.16999999999999998</v>
      </c>
      <c r="L6" s="94" t="s">
        <v>32</v>
      </c>
    </row>
    <row r="7" spans="1:14" ht="15" x14ac:dyDescent="0.2">
      <c r="A7" s="3"/>
      <c r="B7" s="69"/>
      <c r="C7" s="67"/>
      <c r="D7" s="32"/>
      <c r="E7" s="38"/>
      <c r="F7" s="12"/>
      <c r="G7" s="7"/>
      <c r="H7" s="7"/>
      <c r="I7" s="7"/>
      <c r="J7" s="7"/>
      <c r="K7" s="7"/>
      <c r="L7" s="94"/>
    </row>
    <row r="8" spans="1:14" ht="18" x14ac:dyDescent="0.25">
      <c r="A8" s="3"/>
      <c r="B8" s="102" t="s">
        <v>6</v>
      </c>
      <c r="C8" s="67" t="s">
        <v>9</v>
      </c>
      <c r="D8" s="31">
        <v>0.17</v>
      </c>
      <c r="E8" s="116">
        <v>0.12</v>
      </c>
      <c r="F8" s="9"/>
      <c r="G8" s="45">
        <v>0.12</v>
      </c>
      <c r="H8" s="10" t="s">
        <v>7</v>
      </c>
      <c r="I8" s="11">
        <f>G8+6%</f>
        <v>0.18</v>
      </c>
      <c r="J8" s="8" t="s">
        <v>14</v>
      </c>
      <c r="K8" s="20">
        <f>G8-6%</f>
        <v>0.06</v>
      </c>
      <c r="L8" s="94" t="s">
        <v>41</v>
      </c>
    </row>
    <row r="9" spans="1:14" ht="15" x14ac:dyDescent="0.2">
      <c r="A9" s="3"/>
      <c r="B9" s="69"/>
      <c r="C9" s="67"/>
      <c r="D9" s="32"/>
      <c r="E9" s="38"/>
      <c r="F9" s="12"/>
      <c r="G9" s="7"/>
      <c r="H9" s="7"/>
      <c r="I9" s="7"/>
      <c r="J9" s="7"/>
      <c r="K9" s="7"/>
      <c r="L9" s="78" t="s">
        <v>40</v>
      </c>
    </row>
    <row r="10" spans="1:14" ht="18" x14ac:dyDescent="0.25">
      <c r="A10" s="3"/>
      <c r="B10" s="102" t="s">
        <v>8</v>
      </c>
      <c r="C10" s="67" t="s">
        <v>22</v>
      </c>
      <c r="D10" s="31">
        <v>0.49</v>
      </c>
      <c r="E10" s="116">
        <v>0.54</v>
      </c>
      <c r="F10" s="9"/>
      <c r="G10" s="45">
        <v>0.52</v>
      </c>
      <c r="H10" s="10" t="s">
        <v>7</v>
      </c>
      <c r="I10" s="11">
        <f>G10+6%</f>
        <v>0.58000000000000007</v>
      </c>
      <c r="J10" s="8" t="s">
        <v>14</v>
      </c>
      <c r="K10" s="20">
        <f>G10-6%</f>
        <v>0.46</v>
      </c>
      <c r="L10" s="59"/>
    </row>
    <row r="11" spans="1:14" ht="15" x14ac:dyDescent="0.2">
      <c r="A11" s="3"/>
      <c r="B11" s="98"/>
      <c r="C11" s="97"/>
      <c r="D11" s="33"/>
      <c r="E11" s="39"/>
      <c r="F11" s="14"/>
      <c r="G11" s="13"/>
      <c r="H11" s="13"/>
      <c r="I11" s="21"/>
      <c r="J11" s="15"/>
      <c r="K11" s="22"/>
      <c r="L11" s="83" t="s">
        <v>38</v>
      </c>
    </row>
    <row r="12" spans="1:14" ht="15" x14ac:dyDescent="0.2">
      <c r="A12" s="3"/>
      <c r="B12" s="69"/>
      <c r="C12" s="67"/>
      <c r="D12" s="33"/>
      <c r="E12" s="39"/>
      <c r="F12" s="14"/>
      <c r="G12" s="13"/>
      <c r="H12" s="13"/>
      <c r="I12" s="21"/>
      <c r="J12" s="15"/>
      <c r="K12" s="22"/>
      <c r="L12" s="83" t="s">
        <v>39</v>
      </c>
    </row>
    <row r="13" spans="1:14" ht="15" x14ac:dyDescent="0.2">
      <c r="A13" s="3"/>
      <c r="B13" s="69" t="s">
        <v>33</v>
      </c>
      <c r="C13" s="67"/>
      <c r="D13" s="31">
        <v>0.1</v>
      </c>
      <c r="E13" s="116"/>
      <c r="F13" s="25"/>
      <c r="G13" s="15">
        <v>0.1</v>
      </c>
      <c r="H13" s="83" t="s">
        <v>35</v>
      </c>
      <c r="I13" s="21"/>
      <c r="J13" s="15"/>
      <c r="K13" s="22"/>
      <c r="L13" s="69"/>
    </row>
    <row r="14" spans="1:14" ht="15.75" customHeight="1" x14ac:dyDescent="0.2">
      <c r="A14" s="3"/>
      <c r="B14" s="61" t="s">
        <v>34</v>
      </c>
      <c r="C14" s="67"/>
      <c r="D14" s="34">
        <v>0.39</v>
      </c>
      <c r="E14" s="116"/>
      <c r="F14" s="25"/>
      <c r="G14" s="16">
        <v>0.42</v>
      </c>
      <c r="H14" s="65" t="s">
        <v>35</v>
      </c>
      <c r="I14" s="23"/>
      <c r="J14" s="16"/>
      <c r="K14" s="24"/>
      <c r="L14" s="61"/>
    </row>
    <row r="15" spans="1:14" ht="15" x14ac:dyDescent="0.2">
      <c r="A15" s="3"/>
      <c r="B15" s="69"/>
      <c r="C15" s="67"/>
      <c r="D15" s="33"/>
      <c r="E15" s="42"/>
      <c r="F15" s="27"/>
      <c r="G15" s="3"/>
      <c r="H15" s="3"/>
      <c r="I15" s="3"/>
      <c r="J15" s="3"/>
      <c r="K15" s="3"/>
      <c r="L15" s="69"/>
    </row>
    <row r="16" spans="1:14" ht="18" x14ac:dyDescent="0.25">
      <c r="A16" s="3"/>
      <c r="B16" s="68" t="s">
        <v>10</v>
      </c>
      <c r="C16" s="67"/>
      <c r="D16" s="34">
        <v>0.05</v>
      </c>
      <c r="E16" s="116">
        <v>0</v>
      </c>
      <c r="F16" s="4"/>
      <c r="G16" s="46">
        <v>0</v>
      </c>
      <c r="H16" s="28" t="s">
        <v>5</v>
      </c>
      <c r="I16" s="17">
        <f>G16+5%</f>
        <v>0.05</v>
      </c>
      <c r="J16" s="18" t="s">
        <v>14</v>
      </c>
      <c r="K16" s="24">
        <f>0%</f>
        <v>0</v>
      </c>
      <c r="L16" s="74" t="s">
        <v>15</v>
      </c>
    </row>
    <row r="17" spans="1:15" ht="15" x14ac:dyDescent="0.2">
      <c r="A17" s="3"/>
      <c r="B17" s="69"/>
      <c r="C17" s="67"/>
      <c r="D17" s="33"/>
      <c r="E17" s="43"/>
      <c r="F17" s="4"/>
      <c r="G17" s="3"/>
      <c r="H17" s="3"/>
      <c r="I17" s="3"/>
      <c r="J17" s="3"/>
      <c r="K17" s="3"/>
      <c r="L17" s="78"/>
    </row>
    <row r="18" spans="1:15" ht="18" x14ac:dyDescent="0.25">
      <c r="A18" s="3"/>
      <c r="B18" s="68" t="s">
        <v>11</v>
      </c>
      <c r="C18" s="67"/>
      <c r="D18" s="34">
        <v>0.09</v>
      </c>
      <c r="E18" s="116">
        <v>0.13</v>
      </c>
      <c r="F18" s="29"/>
      <c r="G18" s="46">
        <v>0.14000000000000001</v>
      </c>
      <c r="H18" s="28" t="s">
        <v>5</v>
      </c>
      <c r="I18" s="17">
        <f>G18+5%</f>
        <v>0.19</v>
      </c>
      <c r="J18" s="18" t="s">
        <v>14</v>
      </c>
      <c r="K18" s="24">
        <f>G18-5%</f>
        <v>9.0000000000000011E-2</v>
      </c>
      <c r="L18" s="77" t="s">
        <v>42</v>
      </c>
    </row>
    <row r="19" spans="1:15" ht="15" x14ac:dyDescent="0.2">
      <c r="A19" s="3"/>
      <c r="B19" s="69"/>
      <c r="C19" s="67" t="s">
        <v>36</v>
      </c>
      <c r="D19" s="33"/>
      <c r="E19" s="43"/>
      <c r="F19" s="4"/>
      <c r="G19" s="3"/>
      <c r="H19" s="3"/>
      <c r="I19" s="3"/>
      <c r="J19" s="3"/>
      <c r="K19" s="3"/>
      <c r="L19" s="59"/>
    </row>
    <row r="20" spans="1:15" ht="18" x14ac:dyDescent="0.25">
      <c r="A20" s="3"/>
      <c r="B20" s="68" t="s">
        <v>31</v>
      </c>
      <c r="C20" s="67"/>
      <c r="D20" s="34">
        <v>0.05</v>
      </c>
      <c r="E20" s="116">
        <v>0.01</v>
      </c>
      <c r="F20" s="29"/>
      <c r="G20" s="46">
        <v>0.05</v>
      </c>
      <c r="H20" s="28" t="s">
        <v>5</v>
      </c>
      <c r="I20" s="17">
        <f>G20+5%</f>
        <v>0.1</v>
      </c>
      <c r="J20" s="18" t="s">
        <v>14</v>
      </c>
      <c r="K20" s="24">
        <f>G20-5%</f>
        <v>0</v>
      </c>
      <c r="L20" s="74" t="s">
        <v>16</v>
      </c>
    </row>
    <row r="21" spans="1:15" ht="15" x14ac:dyDescent="0.2">
      <c r="A21" s="3"/>
      <c r="B21" s="69"/>
      <c r="C21" s="67"/>
      <c r="D21" s="33"/>
      <c r="E21" s="43"/>
      <c r="F21" s="4"/>
      <c r="G21" s="3"/>
      <c r="H21" s="3"/>
      <c r="I21" s="3"/>
      <c r="J21" s="3"/>
      <c r="K21" s="3"/>
      <c r="L21" s="69"/>
    </row>
    <row r="22" spans="1:15" ht="18" x14ac:dyDescent="0.25">
      <c r="A22" s="3"/>
      <c r="B22" s="68" t="s">
        <v>12</v>
      </c>
      <c r="C22" s="67"/>
      <c r="D22" s="34">
        <v>1.1000000000000001</v>
      </c>
      <c r="E22" s="50">
        <v>1.02</v>
      </c>
      <c r="F22" s="4"/>
      <c r="G22" s="46">
        <f>G6+G8+G10+G16+G18+G20</f>
        <v>1.05</v>
      </c>
      <c r="H22" s="26"/>
      <c r="I22" s="26"/>
      <c r="J22" s="26"/>
      <c r="K22" s="26"/>
      <c r="L22" s="61"/>
    </row>
    <row r="23" spans="1:15" ht="15" x14ac:dyDescent="0.2">
      <c r="A23" s="3"/>
      <c r="B23" s="69"/>
      <c r="C23" s="67"/>
      <c r="D23" s="33"/>
      <c r="E23" s="43"/>
      <c r="F23" s="4"/>
      <c r="G23" s="3"/>
      <c r="H23" s="3"/>
      <c r="I23" s="3"/>
      <c r="J23" s="3"/>
      <c r="K23" s="3"/>
      <c r="L23" s="69"/>
    </row>
    <row r="24" spans="1:15" ht="18" x14ac:dyDescent="0.25">
      <c r="B24" s="68" t="s">
        <v>13</v>
      </c>
      <c r="C24" s="67"/>
      <c r="D24" s="35">
        <v>0.4</v>
      </c>
      <c r="E24" s="58">
        <v>0.41</v>
      </c>
      <c r="F24" s="29"/>
      <c r="G24" s="46">
        <v>0.42</v>
      </c>
      <c r="H24" s="28" t="s">
        <v>7</v>
      </c>
      <c r="I24" s="17">
        <f>G24+6%</f>
        <v>0.48</v>
      </c>
      <c r="J24" s="18" t="s">
        <v>14</v>
      </c>
      <c r="K24" s="19">
        <f>G24-6%</f>
        <v>0.36</v>
      </c>
      <c r="L24" s="61"/>
    </row>
    <row r="25" spans="1:15" ht="15" x14ac:dyDescent="0.2">
      <c r="C25" s="67"/>
      <c r="E25" s="2"/>
    </row>
    <row r="26" spans="1:15" x14ac:dyDescent="0.2">
      <c r="C26" s="59"/>
      <c r="E26" s="2"/>
    </row>
    <row r="27" spans="1:15" ht="18" x14ac:dyDescent="0.25">
      <c r="B27" s="131" t="s">
        <v>37</v>
      </c>
      <c r="C27" s="59"/>
      <c r="E27" s="2"/>
      <c r="M27" s="47"/>
      <c r="N27" s="57"/>
      <c r="O27" s="57"/>
    </row>
    <row r="28" spans="1:15" x14ac:dyDescent="0.2">
      <c r="B28" s="133" t="s">
        <v>55</v>
      </c>
      <c r="C28" s="59"/>
    </row>
    <row r="29" spans="1:15" x14ac:dyDescent="0.2">
      <c r="B29" s="133" t="s">
        <v>54</v>
      </c>
      <c r="C29" s="59"/>
    </row>
    <row r="30" spans="1:15" x14ac:dyDescent="0.2">
      <c r="B30" s="130"/>
      <c r="C30" s="59"/>
    </row>
    <row r="31" spans="1:15" x14ac:dyDescent="0.2">
      <c r="C31" s="59"/>
    </row>
    <row r="32" spans="1:15" x14ac:dyDescent="0.2">
      <c r="C32" s="59"/>
    </row>
    <row r="33" spans="3:3" x14ac:dyDescent="0.2">
      <c r="C33" s="59"/>
    </row>
  </sheetData>
  <mergeCells count="2">
    <mergeCell ref="I4:K4"/>
    <mergeCell ref="B2:L2"/>
  </mergeCells>
  <pageMargins left="0.74803149606299213" right="0.74803149606299213" top="0.98425196850393704" bottom="0.98425196850393704" header="0.51181102362204722" footer="0.51181102362204722"/>
  <pageSetup paperSize="9" scale="86"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2:O33"/>
  <sheetViews>
    <sheetView showGridLines="0" rightToLeft="1" topLeftCell="B1" zoomScaleNormal="100" workbookViewId="0">
      <selection activeCell="B30" sqref="B30"/>
    </sheetView>
  </sheetViews>
  <sheetFormatPr defaultRowHeight="12.75" x14ac:dyDescent="0.2"/>
  <cols>
    <col min="1" max="1" width="2.140625" customWidth="1"/>
    <col min="2" max="2" width="29.140625" style="59" customWidth="1"/>
    <col min="3" max="3" width="4.140625" style="60" customWidth="1"/>
    <col min="4" max="4" width="11.7109375" customWidth="1"/>
    <col min="5" max="5" width="13" customWidth="1"/>
    <col min="6" max="6" width="2.42578125" style="2" customWidth="1"/>
    <col min="7" max="7" width="15" customWidth="1"/>
    <col min="8" max="8" width="14.28515625" bestFit="1" customWidth="1"/>
    <col min="9" max="9" width="9.42578125" customWidth="1"/>
    <col min="10" max="10" width="1.7109375" customWidth="1"/>
    <col min="11" max="11" width="18.7109375" customWidth="1"/>
    <col min="12" max="12" width="39.28515625" bestFit="1" customWidth="1"/>
    <col min="14" max="14" width="17.42578125" bestFit="1" customWidth="1"/>
    <col min="15" max="15" width="14.5703125" customWidth="1"/>
    <col min="16" max="16" width="4.7109375" customWidth="1"/>
    <col min="257" max="257" width="2.140625" customWidth="1"/>
    <col min="258" max="258" width="19.85546875" customWidth="1"/>
    <col min="259" max="259" width="3.140625" bestFit="1" customWidth="1"/>
    <col min="260" max="260" width="11.7109375" customWidth="1"/>
    <col min="261" max="261" width="13" customWidth="1"/>
    <col min="262" max="262" width="2.42578125" customWidth="1"/>
    <col min="263" max="263" width="15" customWidth="1"/>
    <col min="265" max="265" width="9.42578125" customWidth="1"/>
    <col min="266" max="266" width="1.7109375" customWidth="1"/>
    <col min="267" max="267" width="8" customWidth="1"/>
    <col min="268" max="268" width="26.7109375" bestFit="1" customWidth="1"/>
    <col min="513" max="513" width="2.140625" customWidth="1"/>
    <col min="514" max="514" width="19.85546875" customWidth="1"/>
    <col min="515" max="515" width="3.140625" bestFit="1" customWidth="1"/>
    <col min="516" max="516" width="11.7109375" customWidth="1"/>
    <col min="517" max="517" width="13" customWidth="1"/>
    <col min="518" max="518" width="2.42578125" customWidth="1"/>
    <col min="519" max="519" width="15" customWidth="1"/>
    <col min="521" max="521" width="9.42578125" customWidth="1"/>
    <col min="522" max="522" width="1.7109375" customWidth="1"/>
    <col min="523" max="523" width="8" customWidth="1"/>
    <col min="524" max="524" width="26.7109375" bestFit="1" customWidth="1"/>
    <col min="769" max="769" width="2.140625" customWidth="1"/>
    <col min="770" max="770" width="19.85546875" customWidth="1"/>
    <col min="771" max="771" width="3.140625" bestFit="1" customWidth="1"/>
    <col min="772" max="772" width="11.7109375" customWidth="1"/>
    <col min="773" max="773" width="13" customWidth="1"/>
    <col min="774" max="774" width="2.42578125" customWidth="1"/>
    <col min="775" max="775" width="15" customWidth="1"/>
    <col min="777" max="777" width="9.42578125" customWidth="1"/>
    <col min="778" max="778" width="1.7109375" customWidth="1"/>
    <col min="779" max="779" width="8" customWidth="1"/>
    <col min="780" max="780" width="26.7109375" bestFit="1" customWidth="1"/>
    <col min="1025" max="1025" width="2.140625" customWidth="1"/>
    <col min="1026" max="1026" width="19.85546875" customWidth="1"/>
    <col min="1027" max="1027" width="3.140625" bestFit="1" customWidth="1"/>
    <col min="1028" max="1028" width="11.7109375" customWidth="1"/>
    <col min="1029" max="1029" width="13" customWidth="1"/>
    <col min="1030" max="1030" width="2.42578125" customWidth="1"/>
    <col min="1031" max="1031" width="15" customWidth="1"/>
    <col min="1033" max="1033" width="9.42578125" customWidth="1"/>
    <col min="1034" max="1034" width="1.7109375" customWidth="1"/>
    <col min="1035" max="1035" width="8" customWidth="1"/>
    <col min="1036" max="1036" width="26.7109375" bestFit="1" customWidth="1"/>
    <col min="1281" max="1281" width="2.140625" customWidth="1"/>
    <col min="1282" max="1282" width="19.85546875" customWidth="1"/>
    <col min="1283" max="1283" width="3.140625" bestFit="1" customWidth="1"/>
    <col min="1284" max="1284" width="11.7109375" customWidth="1"/>
    <col min="1285" max="1285" width="13" customWidth="1"/>
    <col min="1286" max="1286" width="2.42578125" customWidth="1"/>
    <col min="1287" max="1287" width="15" customWidth="1"/>
    <col min="1289" max="1289" width="9.42578125" customWidth="1"/>
    <col min="1290" max="1290" width="1.7109375" customWidth="1"/>
    <col min="1291" max="1291" width="8" customWidth="1"/>
    <col min="1292" max="1292" width="26.7109375" bestFit="1" customWidth="1"/>
    <col min="1537" max="1537" width="2.140625" customWidth="1"/>
    <col min="1538" max="1538" width="19.85546875" customWidth="1"/>
    <col min="1539" max="1539" width="3.140625" bestFit="1" customWidth="1"/>
    <col min="1540" max="1540" width="11.7109375" customWidth="1"/>
    <col min="1541" max="1541" width="13" customWidth="1"/>
    <col min="1542" max="1542" width="2.42578125" customWidth="1"/>
    <col min="1543" max="1543" width="15" customWidth="1"/>
    <col min="1545" max="1545" width="9.42578125" customWidth="1"/>
    <col min="1546" max="1546" width="1.7109375" customWidth="1"/>
    <col min="1547" max="1547" width="8" customWidth="1"/>
    <col min="1548" max="1548" width="26.7109375" bestFit="1" customWidth="1"/>
    <col min="1793" max="1793" width="2.140625" customWidth="1"/>
    <col min="1794" max="1794" width="19.85546875" customWidth="1"/>
    <col min="1795" max="1795" width="3.140625" bestFit="1" customWidth="1"/>
    <col min="1796" max="1796" width="11.7109375" customWidth="1"/>
    <col min="1797" max="1797" width="13" customWidth="1"/>
    <col min="1798" max="1798" width="2.42578125" customWidth="1"/>
    <col min="1799" max="1799" width="15" customWidth="1"/>
    <col min="1801" max="1801" width="9.42578125" customWidth="1"/>
    <col min="1802" max="1802" width="1.7109375" customWidth="1"/>
    <col min="1803" max="1803" width="8" customWidth="1"/>
    <col min="1804" max="1804" width="26.7109375" bestFit="1" customWidth="1"/>
    <col min="2049" max="2049" width="2.140625" customWidth="1"/>
    <col min="2050" max="2050" width="19.85546875" customWidth="1"/>
    <col min="2051" max="2051" width="3.140625" bestFit="1" customWidth="1"/>
    <col min="2052" max="2052" width="11.7109375" customWidth="1"/>
    <col min="2053" max="2053" width="13" customWidth="1"/>
    <col min="2054" max="2054" width="2.42578125" customWidth="1"/>
    <col min="2055" max="2055" width="15" customWidth="1"/>
    <col min="2057" max="2057" width="9.42578125" customWidth="1"/>
    <col min="2058" max="2058" width="1.7109375" customWidth="1"/>
    <col min="2059" max="2059" width="8" customWidth="1"/>
    <col min="2060" max="2060" width="26.7109375" bestFit="1" customWidth="1"/>
    <col min="2305" max="2305" width="2.140625" customWidth="1"/>
    <col min="2306" max="2306" width="19.85546875" customWidth="1"/>
    <col min="2307" max="2307" width="3.140625" bestFit="1" customWidth="1"/>
    <col min="2308" max="2308" width="11.7109375" customWidth="1"/>
    <col min="2309" max="2309" width="13" customWidth="1"/>
    <col min="2310" max="2310" width="2.42578125" customWidth="1"/>
    <col min="2311" max="2311" width="15" customWidth="1"/>
    <col min="2313" max="2313" width="9.42578125" customWidth="1"/>
    <col min="2314" max="2314" width="1.7109375" customWidth="1"/>
    <col min="2315" max="2315" width="8" customWidth="1"/>
    <col min="2316" max="2316" width="26.7109375" bestFit="1" customWidth="1"/>
    <col min="2561" max="2561" width="2.140625" customWidth="1"/>
    <col min="2562" max="2562" width="19.85546875" customWidth="1"/>
    <col min="2563" max="2563" width="3.140625" bestFit="1" customWidth="1"/>
    <col min="2564" max="2564" width="11.7109375" customWidth="1"/>
    <col min="2565" max="2565" width="13" customWidth="1"/>
    <col min="2566" max="2566" width="2.42578125" customWidth="1"/>
    <col min="2567" max="2567" width="15" customWidth="1"/>
    <col min="2569" max="2569" width="9.42578125" customWidth="1"/>
    <col min="2570" max="2570" width="1.7109375" customWidth="1"/>
    <col min="2571" max="2571" width="8" customWidth="1"/>
    <col min="2572" max="2572" width="26.7109375" bestFit="1" customWidth="1"/>
    <col min="2817" max="2817" width="2.140625" customWidth="1"/>
    <col min="2818" max="2818" width="19.85546875" customWidth="1"/>
    <col min="2819" max="2819" width="3.140625" bestFit="1" customWidth="1"/>
    <col min="2820" max="2820" width="11.7109375" customWidth="1"/>
    <col min="2821" max="2821" width="13" customWidth="1"/>
    <col min="2822" max="2822" width="2.42578125" customWidth="1"/>
    <col min="2823" max="2823" width="15" customWidth="1"/>
    <col min="2825" max="2825" width="9.42578125" customWidth="1"/>
    <col min="2826" max="2826" width="1.7109375" customWidth="1"/>
    <col min="2827" max="2827" width="8" customWidth="1"/>
    <col min="2828" max="2828" width="26.7109375" bestFit="1" customWidth="1"/>
    <col min="3073" max="3073" width="2.140625" customWidth="1"/>
    <col min="3074" max="3074" width="19.85546875" customWidth="1"/>
    <col min="3075" max="3075" width="3.140625" bestFit="1" customWidth="1"/>
    <col min="3076" max="3076" width="11.7109375" customWidth="1"/>
    <col min="3077" max="3077" width="13" customWidth="1"/>
    <col min="3078" max="3078" width="2.42578125" customWidth="1"/>
    <col min="3079" max="3079" width="15" customWidth="1"/>
    <col min="3081" max="3081" width="9.42578125" customWidth="1"/>
    <col min="3082" max="3082" width="1.7109375" customWidth="1"/>
    <col min="3083" max="3083" width="8" customWidth="1"/>
    <col min="3084" max="3084" width="26.7109375" bestFit="1" customWidth="1"/>
    <col min="3329" max="3329" width="2.140625" customWidth="1"/>
    <col min="3330" max="3330" width="19.85546875" customWidth="1"/>
    <col min="3331" max="3331" width="3.140625" bestFit="1" customWidth="1"/>
    <col min="3332" max="3332" width="11.7109375" customWidth="1"/>
    <col min="3333" max="3333" width="13" customWidth="1"/>
    <col min="3334" max="3334" width="2.42578125" customWidth="1"/>
    <col min="3335" max="3335" width="15" customWidth="1"/>
    <col min="3337" max="3337" width="9.42578125" customWidth="1"/>
    <col min="3338" max="3338" width="1.7109375" customWidth="1"/>
    <col min="3339" max="3339" width="8" customWidth="1"/>
    <col min="3340" max="3340" width="26.7109375" bestFit="1" customWidth="1"/>
    <col min="3585" max="3585" width="2.140625" customWidth="1"/>
    <col min="3586" max="3586" width="19.85546875" customWidth="1"/>
    <col min="3587" max="3587" width="3.140625" bestFit="1" customWidth="1"/>
    <col min="3588" max="3588" width="11.7109375" customWidth="1"/>
    <col min="3589" max="3589" width="13" customWidth="1"/>
    <col min="3590" max="3590" width="2.42578125" customWidth="1"/>
    <col min="3591" max="3591" width="15" customWidth="1"/>
    <col min="3593" max="3593" width="9.42578125" customWidth="1"/>
    <col min="3594" max="3594" width="1.7109375" customWidth="1"/>
    <col min="3595" max="3595" width="8" customWidth="1"/>
    <col min="3596" max="3596" width="26.7109375" bestFit="1" customWidth="1"/>
    <col min="3841" max="3841" width="2.140625" customWidth="1"/>
    <col min="3842" max="3842" width="19.85546875" customWidth="1"/>
    <col min="3843" max="3843" width="3.140625" bestFit="1" customWidth="1"/>
    <col min="3844" max="3844" width="11.7109375" customWidth="1"/>
    <col min="3845" max="3845" width="13" customWidth="1"/>
    <col min="3846" max="3846" width="2.42578125" customWidth="1"/>
    <col min="3847" max="3847" width="15" customWidth="1"/>
    <col min="3849" max="3849" width="9.42578125" customWidth="1"/>
    <col min="3850" max="3850" width="1.7109375" customWidth="1"/>
    <col min="3851" max="3851" width="8" customWidth="1"/>
    <col min="3852" max="3852" width="26.7109375" bestFit="1" customWidth="1"/>
    <col min="4097" max="4097" width="2.140625" customWidth="1"/>
    <col min="4098" max="4098" width="19.85546875" customWidth="1"/>
    <col min="4099" max="4099" width="3.140625" bestFit="1" customWidth="1"/>
    <col min="4100" max="4100" width="11.7109375" customWidth="1"/>
    <col min="4101" max="4101" width="13" customWidth="1"/>
    <col min="4102" max="4102" width="2.42578125" customWidth="1"/>
    <col min="4103" max="4103" width="15" customWidth="1"/>
    <col min="4105" max="4105" width="9.42578125" customWidth="1"/>
    <col min="4106" max="4106" width="1.7109375" customWidth="1"/>
    <col min="4107" max="4107" width="8" customWidth="1"/>
    <col min="4108" max="4108" width="26.7109375" bestFit="1" customWidth="1"/>
    <col min="4353" max="4353" width="2.140625" customWidth="1"/>
    <col min="4354" max="4354" width="19.85546875" customWidth="1"/>
    <col min="4355" max="4355" width="3.140625" bestFit="1" customWidth="1"/>
    <col min="4356" max="4356" width="11.7109375" customWidth="1"/>
    <col min="4357" max="4357" width="13" customWidth="1"/>
    <col min="4358" max="4358" width="2.42578125" customWidth="1"/>
    <col min="4359" max="4359" width="15" customWidth="1"/>
    <col min="4361" max="4361" width="9.42578125" customWidth="1"/>
    <col min="4362" max="4362" width="1.7109375" customWidth="1"/>
    <col min="4363" max="4363" width="8" customWidth="1"/>
    <col min="4364" max="4364" width="26.7109375" bestFit="1" customWidth="1"/>
    <col min="4609" max="4609" width="2.140625" customWidth="1"/>
    <col min="4610" max="4610" width="19.85546875" customWidth="1"/>
    <col min="4611" max="4611" width="3.140625" bestFit="1" customWidth="1"/>
    <col min="4612" max="4612" width="11.7109375" customWidth="1"/>
    <col min="4613" max="4613" width="13" customWidth="1"/>
    <col min="4614" max="4614" width="2.42578125" customWidth="1"/>
    <col min="4615" max="4615" width="15" customWidth="1"/>
    <col min="4617" max="4617" width="9.42578125" customWidth="1"/>
    <col min="4618" max="4618" width="1.7109375" customWidth="1"/>
    <col min="4619" max="4619" width="8" customWidth="1"/>
    <col min="4620" max="4620" width="26.7109375" bestFit="1" customWidth="1"/>
    <col min="4865" max="4865" width="2.140625" customWidth="1"/>
    <col min="4866" max="4866" width="19.85546875" customWidth="1"/>
    <col min="4867" max="4867" width="3.140625" bestFit="1" customWidth="1"/>
    <col min="4868" max="4868" width="11.7109375" customWidth="1"/>
    <col min="4869" max="4869" width="13" customWidth="1"/>
    <col min="4870" max="4870" width="2.42578125" customWidth="1"/>
    <col min="4871" max="4871" width="15" customWidth="1"/>
    <col min="4873" max="4873" width="9.42578125" customWidth="1"/>
    <col min="4874" max="4874" width="1.7109375" customWidth="1"/>
    <col min="4875" max="4875" width="8" customWidth="1"/>
    <col min="4876" max="4876" width="26.7109375" bestFit="1" customWidth="1"/>
    <col min="5121" max="5121" width="2.140625" customWidth="1"/>
    <col min="5122" max="5122" width="19.85546875" customWidth="1"/>
    <col min="5123" max="5123" width="3.140625" bestFit="1" customWidth="1"/>
    <col min="5124" max="5124" width="11.7109375" customWidth="1"/>
    <col min="5125" max="5125" width="13" customWidth="1"/>
    <col min="5126" max="5126" width="2.42578125" customWidth="1"/>
    <col min="5127" max="5127" width="15" customWidth="1"/>
    <col min="5129" max="5129" width="9.42578125" customWidth="1"/>
    <col min="5130" max="5130" width="1.7109375" customWidth="1"/>
    <col min="5131" max="5131" width="8" customWidth="1"/>
    <col min="5132" max="5132" width="26.7109375" bestFit="1" customWidth="1"/>
    <col min="5377" max="5377" width="2.140625" customWidth="1"/>
    <col min="5378" max="5378" width="19.85546875" customWidth="1"/>
    <col min="5379" max="5379" width="3.140625" bestFit="1" customWidth="1"/>
    <col min="5380" max="5380" width="11.7109375" customWidth="1"/>
    <col min="5381" max="5381" width="13" customWidth="1"/>
    <col min="5382" max="5382" width="2.42578125" customWidth="1"/>
    <col min="5383" max="5383" width="15" customWidth="1"/>
    <col min="5385" max="5385" width="9.42578125" customWidth="1"/>
    <col min="5386" max="5386" width="1.7109375" customWidth="1"/>
    <col min="5387" max="5387" width="8" customWidth="1"/>
    <col min="5388" max="5388" width="26.7109375" bestFit="1" customWidth="1"/>
    <col min="5633" max="5633" width="2.140625" customWidth="1"/>
    <col min="5634" max="5634" width="19.85546875" customWidth="1"/>
    <col min="5635" max="5635" width="3.140625" bestFit="1" customWidth="1"/>
    <col min="5636" max="5636" width="11.7109375" customWidth="1"/>
    <col min="5637" max="5637" width="13" customWidth="1"/>
    <col min="5638" max="5638" width="2.42578125" customWidth="1"/>
    <col min="5639" max="5639" width="15" customWidth="1"/>
    <col min="5641" max="5641" width="9.42578125" customWidth="1"/>
    <col min="5642" max="5642" width="1.7109375" customWidth="1"/>
    <col min="5643" max="5643" width="8" customWidth="1"/>
    <col min="5644" max="5644" width="26.7109375" bestFit="1" customWidth="1"/>
    <col min="5889" max="5889" width="2.140625" customWidth="1"/>
    <col min="5890" max="5890" width="19.85546875" customWidth="1"/>
    <col min="5891" max="5891" width="3.140625" bestFit="1" customWidth="1"/>
    <col min="5892" max="5892" width="11.7109375" customWidth="1"/>
    <col min="5893" max="5893" width="13" customWidth="1"/>
    <col min="5894" max="5894" width="2.42578125" customWidth="1"/>
    <col min="5895" max="5895" width="15" customWidth="1"/>
    <col min="5897" max="5897" width="9.42578125" customWidth="1"/>
    <col min="5898" max="5898" width="1.7109375" customWidth="1"/>
    <col min="5899" max="5899" width="8" customWidth="1"/>
    <col min="5900" max="5900" width="26.7109375" bestFit="1" customWidth="1"/>
    <col min="6145" max="6145" width="2.140625" customWidth="1"/>
    <col min="6146" max="6146" width="19.85546875" customWidth="1"/>
    <col min="6147" max="6147" width="3.140625" bestFit="1" customWidth="1"/>
    <col min="6148" max="6148" width="11.7109375" customWidth="1"/>
    <col min="6149" max="6149" width="13" customWidth="1"/>
    <col min="6150" max="6150" width="2.42578125" customWidth="1"/>
    <col min="6151" max="6151" width="15" customWidth="1"/>
    <col min="6153" max="6153" width="9.42578125" customWidth="1"/>
    <col min="6154" max="6154" width="1.7109375" customWidth="1"/>
    <col min="6155" max="6155" width="8" customWidth="1"/>
    <col min="6156" max="6156" width="26.7109375" bestFit="1" customWidth="1"/>
    <col min="6401" max="6401" width="2.140625" customWidth="1"/>
    <col min="6402" max="6402" width="19.85546875" customWidth="1"/>
    <col min="6403" max="6403" width="3.140625" bestFit="1" customWidth="1"/>
    <col min="6404" max="6404" width="11.7109375" customWidth="1"/>
    <col min="6405" max="6405" width="13" customWidth="1"/>
    <col min="6406" max="6406" width="2.42578125" customWidth="1"/>
    <col min="6407" max="6407" width="15" customWidth="1"/>
    <col min="6409" max="6409" width="9.42578125" customWidth="1"/>
    <col min="6410" max="6410" width="1.7109375" customWidth="1"/>
    <col min="6411" max="6411" width="8" customWidth="1"/>
    <col min="6412" max="6412" width="26.7109375" bestFit="1" customWidth="1"/>
    <col min="6657" max="6657" width="2.140625" customWidth="1"/>
    <col min="6658" max="6658" width="19.85546875" customWidth="1"/>
    <col min="6659" max="6659" width="3.140625" bestFit="1" customWidth="1"/>
    <col min="6660" max="6660" width="11.7109375" customWidth="1"/>
    <col min="6661" max="6661" width="13" customWidth="1"/>
    <col min="6662" max="6662" width="2.42578125" customWidth="1"/>
    <col min="6663" max="6663" width="15" customWidth="1"/>
    <col min="6665" max="6665" width="9.42578125" customWidth="1"/>
    <col min="6666" max="6666" width="1.7109375" customWidth="1"/>
    <col min="6667" max="6667" width="8" customWidth="1"/>
    <col min="6668" max="6668" width="26.7109375" bestFit="1" customWidth="1"/>
    <col min="6913" max="6913" width="2.140625" customWidth="1"/>
    <col min="6914" max="6914" width="19.85546875" customWidth="1"/>
    <col min="6915" max="6915" width="3.140625" bestFit="1" customWidth="1"/>
    <col min="6916" max="6916" width="11.7109375" customWidth="1"/>
    <col min="6917" max="6917" width="13" customWidth="1"/>
    <col min="6918" max="6918" width="2.42578125" customWidth="1"/>
    <col min="6919" max="6919" width="15" customWidth="1"/>
    <col min="6921" max="6921" width="9.42578125" customWidth="1"/>
    <col min="6922" max="6922" width="1.7109375" customWidth="1"/>
    <col min="6923" max="6923" width="8" customWidth="1"/>
    <col min="6924" max="6924" width="26.7109375" bestFit="1" customWidth="1"/>
    <col min="7169" max="7169" width="2.140625" customWidth="1"/>
    <col min="7170" max="7170" width="19.85546875" customWidth="1"/>
    <col min="7171" max="7171" width="3.140625" bestFit="1" customWidth="1"/>
    <col min="7172" max="7172" width="11.7109375" customWidth="1"/>
    <col min="7173" max="7173" width="13" customWidth="1"/>
    <col min="7174" max="7174" width="2.42578125" customWidth="1"/>
    <col min="7175" max="7175" width="15" customWidth="1"/>
    <col min="7177" max="7177" width="9.42578125" customWidth="1"/>
    <col min="7178" max="7178" width="1.7109375" customWidth="1"/>
    <col min="7179" max="7179" width="8" customWidth="1"/>
    <col min="7180" max="7180" width="26.7109375" bestFit="1" customWidth="1"/>
    <col min="7425" max="7425" width="2.140625" customWidth="1"/>
    <col min="7426" max="7426" width="19.85546875" customWidth="1"/>
    <col min="7427" max="7427" width="3.140625" bestFit="1" customWidth="1"/>
    <col min="7428" max="7428" width="11.7109375" customWidth="1"/>
    <col min="7429" max="7429" width="13" customWidth="1"/>
    <col min="7430" max="7430" width="2.42578125" customWidth="1"/>
    <col min="7431" max="7431" width="15" customWidth="1"/>
    <col min="7433" max="7433" width="9.42578125" customWidth="1"/>
    <col min="7434" max="7434" width="1.7109375" customWidth="1"/>
    <col min="7435" max="7435" width="8" customWidth="1"/>
    <col min="7436" max="7436" width="26.7109375" bestFit="1" customWidth="1"/>
    <col min="7681" max="7681" width="2.140625" customWidth="1"/>
    <col min="7682" max="7682" width="19.85546875" customWidth="1"/>
    <col min="7683" max="7683" width="3.140625" bestFit="1" customWidth="1"/>
    <col min="7684" max="7684" width="11.7109375" customWidth="1"/>
    <col min="7685" max="7685" width="13" customWidth="1"/>
    <col min="7686" max="7686" width="2.42578125" customWidth="1"/>
    <col min="7687" max="7687" width="15" customWidth="1"/>
    <col min="7689" max="7689" width="9.42578125" customWidth="1"/>
    <col min="7690" max="7690" width="1.7109375" customWidth="1"/>
    <col min="7691" max="7691" width="8" customWidth="1"/>
    <col min="7692" max="7692" width="26.7109375" bestFit="1" customWidth="1"/>
    <col min="7937" max="7937" width="2.140625" customWidth="1"/>
    <col min="7938" max="7938" width="19.85546875" customWidth="1"/>
    <col min="7939" max="7939" width="3.140625" bestFit="1" customWidth="1"/>
    <col min="7940" max="7940" width="11.7109375" customWidth="1"/>
    <col min="7941" max="7941" width="13" customWidth="1"/>
    <col min="7942" max="7942" width="2.42578125" customWidth="1"/>
    <col min="7943" max="7943" width="15" customWidth="1"/>
    <col min="7945" max="7945" width="9.42578125" customWidth="1"/>
    <col min="7946" max="7946" width="1.7109375" customWidth="1"/>
    <col min="7947" max="7947" width="8" customWidth="1"/>
    <col min="7948" max="7948" width="26.7109375" bestFit="1" customWidth="1"/>
    <col min="8193" max="8193" width="2.140625" customWidth="1"/>
    <col min="8194" max="8194" width="19.85546875" customWidth="1"/>
    <col min="8195" max="8195" width="3.140625" bestFit="1" customWidth="1"/>
    <col min="8196" max="8196" width="11.7109375" customWidth="1"/>
    <col min="8197" max="8197" width="13" customWidth="1"/>
    <col min="8198" max="8198" width="2.42578125" customWidth="1"/>
    <col min="8199" max="8199" width="15" customWidth="1"/>
    <col min="8201" max="8201" width="9.42578125" customWidth="1"/>
    <col min="8202" max="8202" width="1.7109375" customWidth="1"/>
    <col min="8203" max="8203" width="8" customWidth="1"/>
    <col min="8204" max="8204" width="26.7109375" bestFit="1" customWidth="1"/>
    <col min="8449" max="8449" width="2.140625" customWidth="1"/>
    <col min="8450" max="8450" width="19.85546875" customWidth="1"/>
    <col min="8451" max="8451" width="3.140625" bestFit="1" customWidth="1"/>
    <col min="8452" max="8452" width="11.7109375" customWidth="1"/>
    <col min="8453" max="8453" width="13" customWidth="1"/>
    <col min="8454" max="8454" width="2.42578125" customWidth="1"/>
    <col min="8455" max="8455" width="15" customWidth="1"/>
    <col min="8457" max="8457" width="9.42578125" customWidth="1"/>
    <col min="8458" max="8458" width="1.7109375" customWidth="1"/>
    <col min="8459" max="8459" width="8" customWidth="1"/>
    <col min="8460" max="8460" width="26.7109375" bestFit="1" customWidth="1"/>
    <col min="8705" max="8705" width="2.140625" customWidth="1"/>
    <col min="8706" max="8706" width="19.85546875" customWidth="1"/>
    <col min="8707" max="8707" width="3.140625" bestFit="1" customWidth="1"/>
    <col min="8708" max="8708" width="11.7109375" customWidth="1"/>
    <col min="8709" max="8709" width="13" customWidth="1"/>
    <col min="8710" max="8710" width="2.42578125" customWidth="1"/>
    <col min="8711" max="8711" width="15" customWidth="1"/>
    <col min="8713" max="8713" width="9.42578125" customWidth="1"/>
    <col min="8714" max="8714" width="1.7109375" customWidth="1"/>
    <col min="8715" max="8715" width="8" customWidth="1"/>
    <col min="8716" max="8716" width="26.7109375" bestFit="1" customWidth="1"/>
    <col min="8961" max="8961" width="2.140625" customWidth="1"/>
    <col min="8962" max="8962" width="19.85546875" customWidth="1"/>
    <col min="8963" max="8963" width="3.140625" bestFit="1" customWidth="1"/>
    <col min="8964" max="8964" width="11.7109375" customWidth="1"/>
    <col min="8965" max="8965" width="13" customWidth="1"/>
    <col min="8966" max="8966" width="2.42578125" customWidth="1"/>
    <col min="8967" max="8967" width="15" customWidth="1"/>
    <col min="8969" max="8969" width="9.42578125" customWidth="1"/>
    <col min="8970" max="8970" width="1.7109375" customWidth="1"/>
    <col min="8971" max="8971" width="8" customWidth="1"/>
    <col min="8972" max="8972" width="26.7109375" bestFit="1" customWidth="1"/>
    <col min="9217" max="9217" width="2.140625" customWidth="1"/>
    <col min="9218" max="9218" width="19.85546875" customWidth="1"/>
    <col min="9219" max="9219" width="3.140625" bestFit="1" customWidth="1"/>
    <col min="9220" max="9220" width="11.7109375" customWidth="1"/>
    <col min="9221" max="9221" width="13" customWidth="1"/>
    <col min="9222" max="9222" width="2.42578125" customWidth="1"/>
    <col min="9223" max="9223" width="15" customWidth="1"/>
    <col min="9225" max="9225" width="9.42578125" customWidth="1"/>
    <col min="9226" max="9226" width="1.7109375" customWidth="1"/>
    <col min="9227" max="9227" width="8" customWidth="1"/>
    <col min="9228" max="9228" width="26.7109375" bestFit="1" customWidth="1"/>
    <col min="9473" max="9473" width="2.140625" customWidth="1"/>
    <col min="9474" max="9474" width="19.85546875" customWidth="1"/>
    <col min="9475" max="9475" width="3.140625" bestFit="1" customWidth="1"/>
    <col min="9476" max="9476" width="11.7109375" customWidth="1"/>
    <col min="9477" max="9477" width="13" customWidth="1"/>
    <col min="9478" max="9478" width="2.42578125" customWidth="1"/>
    <col min="9479" max="9479" width="15" customWidth="1"/>
    <col min="9481" max="9481" width="9.42578125" customWidth="1"/>
    <col min="9482" max="9482" width="1.7109375" customWidth="1"/>
    <col min="9483" max="9483" width="8" customWidth="1"/>
    <col min="9484" max="9484" width="26.7109375" bestFit="1" customWidth="1"/>
    <col min="9729" max="9729" width="2.140625" customWidth="1"/>
    <col min="9730" max="9730" width="19.85546875" customWidth="1"/>
    <col min="9731" max="9731" width="3.140625" bestFit="1" customWidth="1"/>
    <col min="9732" max="9732" width="11.7109375" customWidth="1"/>
    <col min="9733" max="9733" width="13" customWidth="1"/>
    <col min="9734" max="9734" width="2.42578125" customWidth="1"/>
    <col min="9735" max="9735" width="15" customWidth="1"/>
    <col min="9737" max="9737" width="9.42578125" customWidth="1"/>
    <col min="9738" max="9738" width="1.7109375" customWidth="1"/>
    <col min="9739" max="9739" width="8" customWidth="1"/>
    <col min="9740" max="9740" width="26.7109375" bestFit="1" customWidth="1"/>
    <col min="9985" max="9985" width="2.140625" customWidth="1"/>
    <col min="9986" max="9986" width="19.85546875" customWidth="1"/>
    <col min="9987" max="9987" width="3.140625" bestFit="1" customWidth="1"/>
    <col min="9988" max="9988" width="11.7109375" customWidth="1"/>
    <col min="9989" max="9989" width="13" customWidth="1"/>
    <col min="9990" max="9990" width="2.42578125" customWidth="1"/>
    <col min="9991" max="9991" width="15" customWidth="1"/>
    <col min="9993" max="9993" width="9.42578125" customWidth="1"/>
    <col min="9994" max="9994" width="1.7109375" customWidth="1"/>
    <col min="9995" max="9995" width="8" customWidth="1"/>
    <col min="9996" max="9996" width="26.7109375" bestFit="1" customWidth="1"/>
    <col min="10241" max="10241" width="2.140625" customWidth="1"/>
    <col min="10242" max="10242" width="19.85546875" customWidth="1"/>
    <col min="10243" max="10243" width="3.140625" bestFit="1" customWidth="1"/>
    <col min="10244" max="10244" width="11.7109375" customWidth="1"/>
    <col min="10245" max="10245" width="13" customWidth="1"/>
    <col min="10246" max="10246" width="2.42578125" customWidth="1"/>
    <col min="10247" max="10247" width="15" customWidth="1"/>
    <col min="10249" max="10249" width="9.42578125" customWidth="1"/>
    <col min="10250" max="10250" width="1.7109375" customWidth="1"/>
    <col min="10251" max="10251" width="8" customWidth="1"/>
    <col min="10252" max="10252" width="26.7109375" bestFit="1" customWidth="1"/>
    <col min="10497" max="10497" width="2.140625" customWidth="1"/>
    <col min="10498" max="10498" width="19.85546875" customWidth="1"/>
    <col min="10499" max="10499" width="3.140625" bestFit="1" customWidth="1"/>
    <col min="10500" max="10500" width="11.7109375" customWidth="1"/>
    <col min="10501" max="10501" width="13" customWidth="1"/>
    <col min="10502" max="10502" width="2.42578125" customWidth="1"/>
    <col min="10503" max="10503" width="15" customWidth="1"/>
    <col min="10505" max="10505" width="9.42578125" customWidth="1"/>
    <col min="10506" max="10506" width="1.7109375" customWidth="1"/>
    <col min="10507" max="10507" width="8" customWidth="1"/>
    <col min="10508" max="10508" width="26.7109375" bestFit="1" customWidth="1"/>
    <col min="10753" max="10753" width="2.140625" customWidth="1"/>
    <col min="10754" max="10754" width="19.85546875" customWidth="1"/>
    <col min="10755" max="10755" width="3.140625" bestFit="1" customWidth="1"/>
    <col min="10756" max="10756" width="11.7109375" customWidth="1"/>
    <col min="10757" max="10757" width="13" customWidth="1"/>
    <col min="10758" max="10758" width="2.42578125" customWidth="1"/>
    <col min="10759" max="10759" width="15" customWidth="1"/>
    <col min="10761" max="10761" width="9.42578125" customWidth="1"/>
    <col min="10762" max="10762" width="1.7109375" customWidth="1"/>
    <col min="10763" max="10763" width="8" customWidth="1"/>
    <col min="10764" max="10764" width="26.7109375" bestFit="1" customWidth="1"/>
    <col min="11009" max="11009" width="2.140625" customWidth="1"/>
    <col min="11010" max="11010" width="19.85546875" customWidth="1"/>
    <col min="11011" max="11011" width="3.140625" bestFit="1" customWidth="1"/>
    <col min="11012" max="11012" width="11.7109375" customWidth="1"/>
    <col min="11013" max="11013" width="13" customWidth="1"/>
    <col min="11014" max="11014" width="2.42578125" customWidth="1"/>
    <col min="11015" max="11015" width="15" customWidth="1"/>
    <col min="11017" max="11017" width="9.42578125" customWidth="1"/>
    <col min="11018" max="11018" width="1.7109375" customWidth="1"/>
    <col min="11019" max="11019" width="8" customWidth="1"/>
    <col min="11020" max="11020" width="26.7109375" bestFit="1" customWidth="1"/>
    <col min="11265" max="11265" width="2.140625" customWidth="1"/>
    <col min="11266" max="11266" width="19.85546875" customWidth="1"/>
    <col min="11267" max="11267" width="3.140625" bestFit="1" customWidth="1"/>
    <col min="11268" max="11268" width="11.7109375" customWidth="1"/>
    <col min="11269" max="11269" width="13" customWidth="1"/>
    <col min="11270" max="11270" width="2.42578125" customWidth="1"/>
    <col min="11271" max="11271" width="15" customWidth="1"/>
    <col min="11273" max="11273" width="9.42578125" customWidth="1"/>
    <col min="11274" max="11274" width="1.7109375" customWidth="1"/>
    <col min="11275" max="11275" width="8" customWidth="1"/>
    <col min="11276" max="11276" width="26.7109375" bestFit="1" customWidth="1"/>
    <col min="11521" max="11521" width="2.140625" customWidth="1"/>
    <col min="11522" max="11522" width="19.85546875" customWidth="1"/>
    <col min="11523" max="11523" width="3.140625" bestFit="1" customWidth="1"/>
    <col min="11524" max="11524" width="11.7109375" customWidth="1"/>
    <col min="11525" max="11525" width="13" customWidth="1"/>
    <col min="11526" max="11526" width="2.42578125" customWidth="1"/>
    <col min="11527" max="11527" width="15" customWidth="1"/>
    <col min="11529" max="11529" width="9.42578125" customWidth="1"/>
    <col min="11530" max="11530" width="1.7109375" customWidth="1"/>
    <col min="11531" max="11531" width="8" customWidth="1"/>
    <col min="11532" max="11532" width="26.7109375" bestFit="1" customWidth="1"/>
    <col min="11777" max="11777" width="2.140625" customWidth="1"/>
    <col min="11778" max="11778" width="19.85546875" customWidth="1"/>
    <col min="11779" max="11779" width="3.140625" bestFit="1" customWidth="1"/>
    <col min="11780" max="11780" width="11.7109375" customWidth="1"/>
    <col min="11781" max="11781" width="13" customWidth="1"/>
    <col min="11782" max="11782" width="2.42578125" customWidth="1"/>
    <col min="11783" max="11783" width="15" customWidth="1"/>
    <col min="11785" max="11785" width="9.42578125" customWidth="1"/>
    <col min="11786" max="11786" width="1.7109375" customWidth="1"/>
    <col min="11787" max="11787" width="8" customWidth="1"/>
    <col min="11788" max="11788" width="26.7109375" bestFit="1" customWidth="1"/>
    <col min="12033" max="12033" width="2.140625" customWidth="1"/>
    <col min="12034" max="12034" width="19.85546875" customWidth="1"/>
    <col min="12035" max="12035" width="3.140625" bestFit="1" customWidth="1"/>
    <col min="12036" max="12036" width="11.7109375" customWidth="1"/>
    <col min="12037" max="12037" width="13" customWidth="1"/>
    <col min="12038" max="12038" width="2.42578125" customWidth="1"/>
    <col min="12039" max="12039" width="15" customWidth="1"/>
    <col min="12041" max="12041" width="9.42578125" customWidth="1"/>
    <col min="12042" max="12042" width="1.7109375" customWidth="1"/>
    <col min="12043" max="12043" width="8" customWidth="1"/>
    <col min="12044" max="12044" width="26.7109375" bestFit="1" customWidth="1"/>
    <col min="12289" max="12289" width="2.140625" customWidth="1"/>
    <col min="12290" max="12290" width="19.85546875" customWidth="1"/>
    <col min="12291" max="12291" width="3.140625" bestFit="1" customWidth="1"/>
    <col min="12292" max="12292" width="11.7109375" customWidth="1"/>
    <col min="12293" max="12293" width="13" customWidth="1"/>
    <col min="12294" max="12294" width="2.42578125" customWidth="1"/>
    <col min="12295" max="12295" width="15" customWidth="1"/>
    <col min="12297" max="12297" width="9.42578125" customWidth="1"/>
    <col min="12298" max="12298" width="1.7109375" customWidth="1"/>
    <col min="12299" max="12299" width="8" customWidth="1"/>
    <col min="12300" max="12300" width="26.7109375" bestFit="1" customWidth="1"/>
    <col min="12545" max="12545" width="2.140625" customWidth="1"/>
    <col min="12546" max="12546" width="19.85546875" customWidth="1"/>
    <col min="12547" max="12547" width="3.140625" bestFit="1" customWidth="1"/>
    <col min="12548" max="12548" width="11.7109375" customWidth="1"/>
    <col min="12549" max="12549" width="13" customWidth="1"/>
    <col min="12550" max="12550" width="2.42578125" customWidth="1"/>
    <col min="12551" max="12551" width="15" customWidth="1"/>
    <col min="12553" max="12553" width="9.42578125" customWidth="1"/>
    <col min="12554" max="12554" width="1.7109375" customWidth="1"/>
    <col min="12555" max="12555" width="8" customWidth="1"/>
    <col min="12556" max="12556" width="26.7109375" bestFit="1" customWidth="1"/>
    <col min="12801" max="12801" width="2.140625" customWidth="1"/>
    <col min="12802" max="12802" width="19.85546875" customWidth="1"/>
    <col min="12803" max="12803" width="3.140625" bestFit="1" customWidth="1"/>
    <col min="12804" max="12804" width="11.7109375" customWidth="1"/>
    <col min="12805" max="12805" width="13" customWidth="1"/>
    <col min="12806" max="12806" width="2.42578125" customWidth="1"/>
    <col min="12807" max="12807" width="15" customWidth="1"/>
    <col min="12809" max="12809" width="9.42578125" customWidth="1"/>
    <col min="12810" max="12810" width="1.7109375" customWidth="1"/>
    <col min="12811" max="12811" width="8" customWidth="1"/>
    <col min="12812" max="12812" width="26.7109375" bestFit="1" customWidth="1"/>
    <col min="13057" max="13057" width="2.140625" customWidth="1"/>
    <col min="13058" max="13058" width="19.85546875" customWidth="1"/>
    <col min="13059" max="13059" width="3.140625" bestFit="1" customWidth="1"/>
    <col min="13060" max="13060" width="11.7109375" customWidth="1"/>
    <col min="13061" max="13061" width="13" customWidth="1"/>
    <col min="13062" max="13062" width="2.42578125" customWidth="1"/>
    <col min="13063" max="13063" width="15" customWidth="1"/>
    <col min="13065" max="13065" width="9.42578125" customWidth="1"/>
    <col min="13066" max="13066" width="1.7109375" customWidth="1"/>
    <col min="13067" max="13067" width="8" customWidth="1"/>
    <col min="13068" max="13068" width="26.7109375" bestFit="1" customWidth="1"/>
    <col min="13313" max="13313" width="2.140625" customWidth="1"/>
    <col min="13314" max="13314" width="19.85546875" customWidth="1"/>
    <col min="13315" max="13315" width="3.140625" bestFit="1" customWidth="1"/>
    <col min="13316" max="13316" width="11.7109375" customWidth="1"/>
    <col min="13317" max="13317" width="13" customWidth="1"/>
    <col min="13318" max="13318" width="2.42578125" customWidth="1"/>
    <col min="13319" max="13319" width="15" customWidth="1"/>
    <col min="13321" max="13321" width="9.42578125" customWidth="1"/>
    <col min="13322" max="13322" width="1.7109375" customWidth="1"/>
    <col min="13323" max="13323" width="8" customWidth="1"/>
    <col min="13324" max="13324" width="26.7109375" bestFit="1" customWidth="1"/>
    <col min="13569" max="13569" width="2.140625" customWidth="1"/>
    <col min="13570" max="13570" width="19.85546875" customWidth="1"/>
    <col min="13571" max="13571" width="3.140625" bestFit="1" customWidth="1"/>
    <col min="13572" max="13572" width="11.7109375" customWidth="1"/>
    <col min="13573" max="13573" width="13" customWidth="1"/>
    <col min="13574" max="13574" width="2.42578125" customWidth="1"/>
    <col min="13575" max="13575" width="15" customWidth="1"/>
    <col min="13577" max="13577" width="9.42578125" customWidth="1"/>
    <col min="13578" max="13578" width="1.7109375" customWidth="1"/>
    <col min="13579" max="13579" width="8" customWidth="1"/>
    <col min="13580" max="13580" width="26.7109375" bestFit="1" customWidth="1"/>
    <col min="13825" max="13825" width="2.140625" customWidth="1"/>
    <col min="13826" max="13826" width="19.85546875" customWidth="1"/>
    <col min="13827" max="13827" width="3.140625" bestFit="1" customWidth="1"/>
    <col min="13828" max="13828" width="11.7109375" customWidth="1"/>
    <col min="13829" max="13829" width="13" customWidth="1"/>
    <col min="13830" max="13830" width="2.42578125" customWidth="1"/>
    <col min="13831" max="13831" width="15" customWidth="1"/>
    <col min="13833" max="13833" width="9.42578125" customWidth="1"/>
    <col min="13834" max="13834" width="1.7109375" customWidth="1"/>
    <col min="13835" max="13835" width="8" customWidth="1"/>
    <col min="13836" max="13836" width="26.7109375" bestFit="1" customWidth="1"/>
    <col min="14081" max="14081" width="2.140625" customWidth="1"/>
    <col min="14082" max="14082" width="19.85546875" customWidth="1"/>
    <col min="14083" max="14083" width="3.140625" bestFit="1" customWidth="1"/>
    <col min="14084" max="14084" width="11.7109375" customWidth="1"/>
    <col min="14085" max="14085" width="13" customWidth="1"/>
    <col min="14086" max="14086" width="2.42578125" customWidth="1"/>
    <col min="14087" max="14087" width="15" customWidth="1"/>
    <col min="14089" max="14089" width="9.42578125" customWidth="1"/>
    <col min="14090" max="14090" width="1.7109375" customWidth="1"/>
    <col min="14091" max="14091" width="8" customWidth="1"/>
    <col min="14092" max="14092" width="26.7109375" bestFit="1" customWidth="1"/>
    <col min="14337" max="14337" width="2.140625" customWidth="1"/>
    <col min="14338" max="14338" width="19.85546875" customWidth="1"/>
    <col min="14339" max="14339" width="3.140625" bestFit="1" customWidth="1"/>
    <col min="14340" max="14340" width="11.7109375" customWidth="1"/>
    <col min="14341" max="14341" width="13" customWidth="1"/>
    <col min="14342" max="14342" width="2.42578125" customWidth="1"/>
    <col min="14343" max="14343" width="15" customWidth="1"/>
    <col min="14345" max="14345" width="9.42578125" customWidth="1"/>
    <col min="14346" max="14346" width="1.7109375" customWidth="1"/>
    <col min="14347" max="14347" width="8" customWidth="1"/>
    <col min="14348" max="14348" width="26.7109375" bestFit="1" customWidth="1"/>
    <col min="14593" max="14593" width="2.140625" customWidth="1"/>
    <col min="14594" max="14594" width="19.85546875" customWidth="1"/>
    <col min="14595" max="14595" width="3.140625" bestFit="1" customWidth="1"/>
    <col min="14596" max="14596" width="11.7109375" customWidth="1"/>
    <col min="14597" max="14597" width="13" customWidth="1"/>
    <col min="14598" max="14598" width="2.42578125" customWidth="1"/>
    <col min="14599" max="14599" width="15" customWidth="1"/>
    <col min="14601" max="14601" width="9.42578125" customWidth="1"/>
    <col min="14602" max="14602" width="1.7109375" customWidth="1"/>
    <col min="14603" max="14603" width="8" customWidth="1"/>
    <col min="14604" max="14604" width="26.7109375" bestFit="1" customWidth="1"/>
    <col min="14849" max="14849" width="2.140625" customWidth="1"/>
    <col min="14850" max="14850" width="19.85546875" customWidth="1"/>
    <col min="14851" max="14851" width="3.140625" bestFit="1" customWidth="1"/>
    <col min="14852" max="14852" width="11.7109375" customWidth="1"/>
    <col min="14853" max="14853" width="13" customWidth="1"/>
    <col min="14854" max="14854" width="2.42578125" customWidth="1"/>
    <col min="14855" max="14855" width="15" customWidth="1"/>
    <col min="14857" max="14857" width="9.42578125" customWidth="1"/>
    <col min="14858" max="14858" width="1.7109375" customWidth="1"/>
    <col min="14859" max="14859" width="8" customWidth="1"/>
    <col min="14860" max="14860" width="26.7109375" bestFit="1" customWidth="1"/>
    <col min="15105" max="15105" width="2.140625" customWidth="1"/>
    <col min="15106" max="15106" width="19.85546875" customWidth="1"/>
    <col min="15107" max="15107" width="3.140625" bestFit="1" customWidth="1"/>
    <col min="15108" max="15108" width="11.7109375" customWidth="1"/>
    <col min="15109" max="15109" width="13" customWidth="1"/>
    <col min="15110" max="15110" width="2.42578125" customWidth="1"/>
    <col min="15111" max="15111" width="15" customWidth="1"/>
    <col min="15113" max="15113" width="9.42578125" customWidth="1"/>
    <col min="15114" max="15114" width="1.7109375" customWidth="1"/>
    <col min="15115" max="15115" width="8" customWidth="1"/>
    <col min="15116" max="15116" width="26.7109375" bestFit="1" customWidth="1"/>
    <col min="15361" max="15361" width="2.140625" customWidth="1"/>
    <col min="15362" max="15362" width="19.85546875" customWidth="1"/>
    <col min="15363" max="15363" width="3.140625" bestFit="1" customWidth="1"/>
    <col min="15364" max="15364" width="11.7109375" customWidth="1"/>
    <col min="15365" max="15365" width="13" customWidth="1"/>
    <col min="15366" max="15366" width="2.42578125" customWidth="1"/>
    <col min="15367" max="15367" width="15" customWidth="1"/>
    <col min="15369" max="15369" width="9.42578125" customWidth="1"/>
    <col min="15370" max="15370" width="1.7109375" customWidth="1"/>
    <col min="15371" max="15371" width="8" customWidth="1"/>
    <col min="15372" max="15372" width="26.7109375" bestFit="1" customWidth="1"/>
    <col min="15617" max="15617" width="2.140625" customWidth="1"/>
    <col min="15618" max="15618" width="19.85546875" customWidth="1"/>
    <col min="15619" max="15619" width="3.140625" bestFit="1" customWidth="1"/>
    <col min="15620" max="15620" width="11.7109375" customWidth="1"/>
    <col min="15621" max="15621" width="13" customWidth="1"/>
    <col min="15622" max="15622" width="2.42578125" customWidth="1"/>
    <col min="15623" max="15623" width="15" customWidth="1"/>
    <col min="15625" max="15625" width="9.42578125" customWidth="1"/>
    <col min="15626" max="15626" width="1.7109375" customWidth="1"/>
    <col min="15627" max="15627" width="8" customWidth="1"/>
    <col min="15628" max="15628" width="26.7109375" bestFit="1" customWidth="1"/>
    <col min="15873" max="15873" width="2.140625" customWidth="1"/>
    <col min="15874" max="15874" width="19.85546875" customWidth="1"/>
    <col min="15875" max="15875" width="3.140625" bestFit="1" customWidth="1"/>
    <col min="15876" max="15876" width="11.7109375" customWidth="1"/>
    <col min="15877" max="15877" width="13" customWidth="1"/>
    <col min="15878" max="15878" width="2.42578125" customWidth="1"/>
    <col min="15879" max="15879" width="15" customWidth="1"/>
    <col min="15881" max="15881" width="9.42578125" customWidth="1"/>
    <col min="15882" max="15882" width="1.7109375" customWidth="1"/>
    <col min="15883" max="15883" width="8" customWidth="1"/>
    <col min="15884" max="15884" width="26.7109375" bestFit="1" customWidth="1"/>
    <col min="16129" max="16129" width="2.140625" customWidth="1"/>
    <col min="16130" max="16130" width="19.85546875" customWidth="1"/>
    <col min="16131" max="16131" width="3.140625" bestFit="1" customWidth="1"/>
    <col min="16132" max="16132" width="11.7109375" customWidth="1"/>
    <col min="16133" max="16133" width="13" customWidth="1"/>
    <col min="16134" max="16134" width="2.42578125" customWidth="1"/>
    <col min="16135" max="16135" width="15" customWidth="1"/>
    <col min="16137" max="16137" width="9.42578125" customWidth="1"/>
    <col min="16138" max="16138" width="1.7109375" customWidth="1"/>
    <col min="16139" max="16139" width="8" customWidth="1"/>
    <col min="16140" max="16140" width="26.7109375" bestFit="1" customWidth="1"/>
  </cols>
  <sheetData>
    <row r="2" spans="1:14" ht="18" x14ac:dyDescent="0.25">
      <c r="B2" s="190" t="s">
        <v>50</v>
      </c>
      <c r="C2" s="190"/>
      <c r="D2" s="190"/>
      <c r="E2" s="190"/>
      <c r="F2" s="190"/>
      <c r="G2" s="190"/>
      <c r="H2" s="190"/>
      <c r="I2" s="190"/>
      <c r="J2" s="190"/>
      <c r="K2" s="190"/>
      <c r="L2" s="190"/>
    </row>
    <row r="3" spans="1:14" ht="18" x14ac:dyDescent="0.25">
      <c r="B3" s="111"/>
      <c r="C3" s="111"/>
      <c r="D3" s="48"/>
      <c r="E3" s="48"/>
      <c r="F3" s="48"/>
      <c r="G3" s="48"/>
      <c r="H3" s="48"/>
      <c r="I3" s="48"/>
      <c r="J3" s="48"/>
      <c r="K3" s="48"/>
      <c r="L3" s="48"/>
    </row>
    <row r="4" spans="1:14" ht="48" thickBot="1" x14ac:dyDescent="0.25">
      <c r="A4" s="3"/>
      <c r="B4" s="108" t="s">
        <v>0</v>
      </c>
      <c r="C4" s="104"/>
      <c r="D4" s="110" t="s">
        <v>44</v>
      </c>
      <c r="E4" s="109" t="s">
        <v>53</v>
      </c>
      <c r="F4" s="5"/>
      <c r="G4" s="132" t="s">
        <v>45</v>
      </c>
      <c r="H4" s="56" t="s">
        <v>1</v>
      </c>
      <c r="I4" s="191" t="s">
        <v>2</v>
      </c>
      <c r="J4" s="191"/>
      <c r="K4" s="191"/>
      <c r="L4" s="56" t="s">
        <v>3</v>
      </c>
      <c r="M4" s="1"/>
      <c r="N4" s="1"/>
    </row>
    <row r="5" spans="1:14" ht="15.75" x14ac:dyDescent="0.2">
      <c r="A5" s="3"/>
      <c r="B5" s="104"/>
      <c r="C5" s="104"/>
      <c r="D5" s="30"/>
      <c r="E5" s="36"/>
      <c r="F5" s="5"/>
      <c r="G5" s="5"/>
      <c r="H5" s="5"/>
      <c r="I5" s="5"/>
      <c r="J5" s="5"/>
      <c r="K5" s="5"/>
      <c r="L5" s="104"/>
      <c r="M5" s="1"/>
    </row>
    <row r="6" spans="1:14" ht="18" x14ac:dyDescent="0.25">
      <c r="A6" s="3"/>
      <c r="B6" s="102" t="s">
        <v>4</v>
      </c>
      <c r="C6" s="67"/>
      <c r="D6" s="31">
        <v>0.17</v>
      </c>
      <c r="E6" s="37">
        <v>0.15</v>
      </c>
      <c r="F6" s="9"/>
      <c r="G6" s="45">
        <v>0.11</v>
      </c>
      <c r="H6" s="10" t="s">
        <v>5</v>
      </c>
      <c r="I6" s="11">
        <f>G6+5%</f>
        <v>0.16</v>
      </c>
      <c r="J6" s="8" t="s">
        <v>14</v>
      </c>
      <c r="K6" s="20">
        <f>G6-5%</f>
        <v>0.06</v>
      </c>
      <c r="L6" s="94" t="s">
        <v>32</v>
      </c>
    </row>
    <row r="7" spans="1:14" ht="15" x14ac:dyDescent="0.2">
      <c r="A7" s="3"/>
      <c r="B7" s="69"/>
      <c r="C7" s="67"/>
      <c r="D7" s="32"/>
      <c r="E7" s="37"/>
      <c r="F7" s="12"/>
      <c r="G7" s="7"/>
      <c r="H7" s="7"/>
      <c r="I7" s="7"/>
      <c r="J7" s="7"/>
      <c r="K7" s="7"/>
      <c r="L7" s="94"/>
    </row>
    <row r="8" spans="1:14" ht="18" x14ac:dyDescent="0.25">
      <c r="A8" s="3"/>
      <c r="B8" s="102" t="s">
        <v>6</v>
      </c>
      <c r="C8" s="67" t="s">
        <v>9</v>
      </c>
      <c r="D8" s="31">
        <v>0.15</v>
      </c>
      <c r="E8" s="37">
        <v>0.11</v>
      </c>
      <c r="F8" s="9"/>
      <c r="G8" s="45">
        <v>0.1</v>
      </c>
      <c r="H8" s="10" t="s">
        <v>7</v>
      </c>
      <c r="I8" s="11">
        <f>G8+6%</f>
        <v>0.16</v>
      </c>
      <c r="J8" s="8" t="s">
        <v>14</v>
      </c>
      <c r="K8" s="20">
        <f>G8-6%</f>
        <v>4.0000000000000008E-2</v>
      </c>
      <c r="L8" s="94" t="s">
        <v>41</v>
      </c>
    </row>
    <row r="9" spans="1:14" ht="15" x14ac:dyDescent="0.2">
      <c r="A9" s="3"/>
      <c r="B9" s="69"/>
      <c r="C9" s="67"/>
      <c r="D9" s="32"/>
      <c r="E9" s="38"/>
      <c r="F9" s="12"/>
      <c r="G9" s="7"/>
      <c r="H9" s="7"/>
      <c r="I9" s="7"/>
      <c r="J9" s="7"/>
      <c r="K9" s="7"/>
      <c r="L9" s="78" t="s">
        <v>40</v>
      </c>
    </row>
    <row r="10" spans="1:14" ht="18" x14ac:dyDescent="0.25">
      <c r="A10" s="3"/>
      <c r="B10" s="102" t="s">
        <v>8</v>
      </c>
      <c r="C10" s="67" t="s">
        <v>22</v>
      </c>
      <c r="D10" s="31">
        <v>0.5</v>
      </c>
      <c r="E10" s="37">
        <v>0.52</v>
      </c>
      <c r="F10" s="9"/>
      <c r="G10" s="45">
        <v>0.52</v>
      </c>
      <c r="H10" s="10" t="s">
        <v>7</v>
      </c>
      <c r="I10" s="11">
        <f>G10+6%</f>
        <v>0.58000000000000007</v>
      </c>
      <c r="J10" s="8" t="s">
        <v>14</v>
      </c>
      <c r="K10" s="20">
        <f>G10-6%</f>
        <v>0.46</v>
      </c>
      <c r="L10" s="59"/>
    </row>
    <row r="11" spans="1:14" ht="15" x14ac:dyDescent="0.2">
      <c r="A11" s="3"/>
      <c r="B11" s="98"/>
      <c r="C11" s="97"/>
      <c r="D11" s="33"/>
      <c r="E11" s="39"/>
      <c r="F11" s="14"/>
      <c r="G11" s="13"/>
      <c r="H11" s="13"/>
      <c r="I11" s="21"/>
      <c r="J11" s="15"/>
      <c r="K11" s="22"/>
      <c r="L11" s="83" t="s">
        <v>38</v>
      </c>
    </row>
    <row r="12" spans="1:14" ht="15" x14ac:dyDescent="0.2">
      <c r="A12" s="3"/>
      <c r="B12" s="69"/>
      <c r="C12" s="67"/>
      <c r="D12" s="33"/>
      <c r="E12" s="39"/>
      <c r="F12" s="14"/>
      <c r="G12" s="13"/>
      <c r="H12" s="13"/>
      <c r="I12" s="21"/>
      <c r="J12" s="15"/>
      <c r="K12" s="22"/>
      <c r="L12" s="83" t="s">
        <v>39</v>
      </c>
    </row>
    <row r="13" spans="1:14" ht="15" x14ac:dyDescent="0.2">
      <c r="A13" s="3"/>
      <c r="B13" s="69" t="s">
        <v>33</v>
      </c>
      <c r="C13" s="67"/>
      <c r="D13" s="31">
        <v>0.1</v>
      </c>
      <c r="E13" s="37"/>
      <c r="F13" s="25"/>
      <c r="G13" s="15">
        <v>0.1</v>
      </c>
      <c r="H13" s="83" t="s">
        <v>35</v>
      </c>
      <c r="I13" s="21"/>
      <c r="J13" s="15"/>
      <c r="K13" s="22"/>
      <c r="L13" s="69"/>
    </row>
    <row r="14" spans="1:14" ht="15.75" customHeight="1" x14ac:dyDescent="0.2">
      <c r="A14" s="3"/>
      <c r="B14" s="61" t="s">
        <v>34</v>
      </c>
      <c r="C14" s="67"/>
      <c r="D14" s="34">
        <v>0.4</v>
      </c>
      <c r="E14" s="37"/>
      <c r="F14" s="25"/>
      <c r="G14" s="16">
        <v>0.42</v>
      </c>
      <c r="H14" s="65" t="s">
        <v>35</v>
      </c>
      <c r="I14" s="23"/>
      <c r="J14" s="16"/>
      <c r="K14" s="24"/>
      <c r="L14" s="61"/>
    </row>
    <row r="15" spans="1:14" ht="15" x14ac:dyDescent="0.2">
      <c r="A15" s="3"/>
      <c r="B15" s="69"/>
      <c r="C15" s="67"/>
      <c r="D15" s="33"/>
      <c r="E15" s="42"/>
      <c r="F15" s="27"/>
      <c r="G15" s="3"/>
      <c r="H15" s="3"/>
      <c r="I15" s="3"/>
      <c r="J15" s="3"/>
      <c r="K15" s="3"/>
      <c r="L15" s="69"/>
    </row>
    <row r="16" spans="1:14" ht="18" x14ac:dyDescent="0.25">
      <c r="A16" s="3"/>
      <c r="B16" s="68" t="s">
        <v>10</v>
      </c>
      <c r="C16" s="67"/>
      <c r="D16" s="34">
        <v>0.05</v>
      </c>
      <c r="E16" s="37">
        <v>0</v>
      </c>
      <c r="F16" s="4"/>
      <c r="G16" s="46">
        <v>0.05</v>
      </c>
      <c r="H16" s="28" t="s">
        <v>5</v>
      </c>
      <c r="I16" s="17">
        <f>G16+5%</f>
        <v>0.1</v>
      </c>
      <c r="J16" s="18" t="s">
        <v>14</v>
      </c>
      <c r="K16" s="24">
        <f>0%</f>
        <v>0</v>
      </c>
      <c r="L16" s="74" t="s">
        <v>15</v>
      </c>
    </row>
    <row r="17" spans="1:15" ht="15" x14ac:dyDescent="0.2">
      <c r="A17" s="3"/>
      <c r="B17" s="69"/>
      <c r="C17" s="67"/>
      <c r="D17" s="33"/>
      <c r="E17" s="42"/>
      <c r="F17" s="4"/>
      <c r="G17" s="3"/>
      <c r="H17" s="3"/>
      <c r="I17" s="3"/>
      <c r="J17" s="3"/>
      <c r="K17" s="3"/>
      <c r="L17" s="78"/>
    </row>
    <row r="18" spans="1:15" ht="18" x14ac:dyDescent="0.25">
      <c r="A18" s="3"/>
      <c r="B18" s="68" t="s">
        <v>11</v>
      </c>
      <c r="C18" s="67"/>
      <c r="D18" s="34">
        <v>0.17</v>
      </c>
      <c r="E18" s="37">
        <v>0.18</v>
      </c>
      <c r="F18" s="29"/>
      <c r="G18" s="46">
        <v>0.22</v>
      </c>
      <c r="H18" s="28" t="s">
        <v>5</v>
      </c>
      <c r="I18" s="17">
        <f>G18+5%</f>
        <v>0.27</v>
      </c>
      <c r="J18" s="18" t="s">
        <v>14</v>
      </c>
      <c r="K18" s="24">
        <f>G18-5%</f>
        <v>0.16999999999999998</v>
      </c>
      <c r="L18" s="77" t="s">
        <v>42</v>
      </c>
    </row>
    <row r="19" spans="1:15" ht="15" x14ac:dyDescent="0.2">
      <c r="A19" s="3"/>
      <c r="B19" s="69"/>
      <c r="C19" s="67" t="s">
        <v>36</v>
      </c>
      <c r="D19" s="33"/>
      <c r="E19" s="42"/>
      <c r="F19" s="4"/>
      <c r="G19" s="3"/>
      <c r="H19" s="3"/>
      <c r="I19" s="3"/>
      <c r="J19" s="3"/>
      <c r="K19" s="3"/>
      <c r="L19" s="59"/>
    </row>
    <row r="20" spans="1:15" ht="18" x14ac:dyDescent="0.25">
      <c r="A20" s="3"/>
      <c r="B20" s="68" t="s">
        <v>31</v>
      </c>
      <c r="C20" s="67"/>
      <c r="D20" s="34">
        <v>0.06</v>
      </c>
      <c r="E20" s="37">
        <v>0.06</v>
      </c>
      <c r="F20" s="29"/>
      <c r="G20" s="46">
        <v>0.05</v>
      </c>
      <c r="H20" s="28" t="s">
        <v>5</v>
      </c>
      <c r="I20" s="17">
        <f>G20+5%</f>
        <v>0.1</v>
      </c>
      <c r="J20" s="18" t="s">
        <v>14</v>
      </c>
      <c r="K20" s="24">
        <f>G20-5%</f>
        <v>0</v>
      </c>
      <c r="L20" s="74" t="s">
        <v>16</v>
      </c>
    </row>
    <row r="21" spans="1:15" ht="15" x14ac:dyDescent="0.2">
      <c r="A21" s="3"/>
      <c r="B21" s="69"/>
      <c r="C21" s="67"/>
      <c r="D21" s="33"/>
      <c r="E21" s="43"/>
      <c r="F21" s="4"/>
      <c r="G21" s="3"/>
      <c r="H21" s="3"/>
      <c r="I21" s="3"/>
      <c r="J21" s="3"/>
      <c r="K21" s="3"/>
      <c r="L21" s="69"/>
    </row>
    <row r="22" spans="1:15" ht="18" x14ac:dyDescent="0.25">
      <c r="A22" s="3"/>
      <c r="B22" s="68" t="s">
        <v>12</v>
      </c>
      <c r="C22" s="67"/>
      <c r="D22" s="34">
        <v>1.1000000000000001</v>
      </c>
      <c r="E22" s="50">
        <v>1.04</v>
      </c>
      <c r="F22" s="4"/>
      <c r="G22" s="46">
        <f>G6+G8+G10+G16+G18+G20</f>
        <v>1.05</v>
      </c>
      <c r="H22" s="26"/>
      <c r="I22" s="26"/>
      <c r="J22" s="26"/>
      <c r="K22" s="26"/>
      <c r="L22" s="61"/>
    </row>
    <row r="23" spans="1:15" ht="15" x14ac:dyDescent="0.2">
      <c r="A23" s="3"/>
      <c r="B23" s="69"/>
      <c r="C23" s="67"/>
      <c r="D23" s="33"/>
      <c r="E23" s="43"/>
      <c r="F23" s="4"/>
      <c r="G23" s="3"/>
      <c r="H23" s="3"/>
      <c r="I23" s="3"/>
      <c r="J23" s="3"/>
      <c r="K23" s="3"/>
      <c r="L23" s="69"/>
    </row>
    <row r="24" spans="1:15" ht="18" x14ac:dyDescent="0.25">
      <c r="A24" s="3"/>
      <c r="B24" s="68" t="s">
        <v>13</v>
      </c>
      <c r="C24" s="67"/>
      <c r="D24" s="35">
        <v>0.4</v>
      </c>
      <c r="E24" s="49">
        <v>0.42</v>
      </c>
      <c r="F24" s="29"/>
      <c r="G24" s="46">
        <v>0.42</v>
      </c>
      <c r="H24" s="28" t="s">
        <v>7</v>
      </c>
      <c r="I24" s="17">
        <f>G24+6%</f>
        <v>0.48</v>
      </c>
      <c r="J24" s="18" t="s">
        <v>14</v>
      </c>
      <c r="K24" s="19">
        <f>G24-6%</f>
        <v>0.36</v>
      </c>
      <c r="L24" s="61"/>
    </row>
    <row r="25" spans="1:15" ht="15" x14ac:dyDescent="0.2">
      <c r="C25" s="67"/>
      <c r="E25" s="2"/>
    </row>
    <row r="26" spans="1:15" x14ac:dyDescent="0.2">
      <c r="C26" s="59"/>
      <c r="E26" s="2"/>
    </row>
    <row r="27" spans="1:15" ht="18" x14ac:dyDescent="0.25">
      <c r="B27" s="131" t="s">
        <v>37</v>
      </c>
      <c r="C27" s="59"/>
      <c r="E27" s="2"/>
      <c r="M27" s="47"/>
      <c r="N27" s="57"/>
      <c r="O27" s="57"/>
    </row>
    <row r="28" spans="1:15" x14ac:dyDescent="0.2">
      <c r="B28" s="133" t="s">
        <v>56</v>
      </c>
      <c r="C28" s="59"/>
    </row>
    <row r="29" spans="1:15" x14ac:dyDescent="0.2">
      <c r="B29" s="133" t="s">
        <v>54</v>
      </c>
      <c r="C29" s="59"/>
    </row>
    <row r="30" spans="1:15" x14ac:dyDescent="0.2">
      <c r="B30" s="130"/>
      <c r="C30" s="59"/>
    </row>
    <row r="31" spans="1:15" x14ac:dyDescent="0.2">
      <c r="C31" s="59"/>
    </row>
    <row r="32" spans="1:15" x14ac:dyDescent="0.2">
      <c r="C32" s="59"/>
    </row>
    <row r="33" spans="3:3" x14ac:dyDescent="0.2">
      <c r="C33" s="59"/>
    </row>
  </sheetData>
  <mergeCells count="2">
    <mergeCell ref="I4:K4"/>
    <mergeCell ref="B2:L2"/>
  </mergeCells>
  <pageMargins left="0.74803149606299213" right="0.74803149606299213" top="0.98425196850393704" bottom="0.98425196850393704" header="0.51181102362204722" footer="0.51181102362204722"/>
  <pageSetup paperSize="9" scale="82"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56E16-968A-475E-8B30-1890CA4D6916}">
  <dimension ref="A2:N30"/>
  <sheetViews>
    <sheetView rightToLeft="1" topLeftCell="B1" workbookViewId="0">
      <selection activeCell="G35" sqref="G35"/>
    </sheetView>
  </sheetViews>
  <sheetFormatPr defaultRowHeight="12.75" x14ac:dyDescent="0.2"/>
  <cols>
    <col min="1" max="1" width="4.42578125" style="137" customWidth="1"/>
    <col min="2" max="2" width="29.140625" style="137" customWidth="1"/>
    <col min="3" max="3" width="4.140625" style="137" customWidth="1"/>
    <col min="4" max="4" width="11.7109375" customWidth="1"/>
    <col min="5" max="5" width="12.85546875" customWidth="1"/>
    <col min="6" max="6" width="2.42578125" style="137" customWidth="1"/>
    <col min="7" max="7" width="17" style="137" customWidth="1"/>
    <col min="8" max="8" width="14.28515625" style="137" bestFit="1" customWidth="1"/>
    <col min="9" max="9" width="9" style="137" bestFit="1" customWidth="1"/>
    <col min="10" max="10" width="2" style="137" customWidth="1"/>
    <col min="11" max="11" width="20" style="137" customWidth="1"/>
    <col min="12" max="12" width="36.42578125" style="137" customWidth="1"/>
    <col min="13" max="13" width="18.5703125" style="137" customWidth="1"/>
    <col min="14" max="14" width="24.140625" style="137" customWidth="1"/>
    <col min="15" max="15" width="18.5703125" style="137" customWidth="1"/>
    <col min="16" max="16384" width="9.140625" style="137"/>
  </cols>
  <sheetData>
    <row r="2" spans="1:14" ht="18" x14ac:dyDescent="0.25">
      <c r="A2" s="136"/>
      <c r="B2" s="205" t="s">
        <v>51</v>
      </c>
      <c r="C2" s="205"/>
      <c r="D2" s="205"/>
      <c r="E2" s="205"/>
      <c r="F2" s="205"/>
      <c r="G2" s="205"/>
      <c r="H2" s="205"/>
      <c r="I2" s="205"/>
      <c r="J2" s="205"/>
      <c r="K2" s="205"/>
      <c r="L2" s="205"/>
    </row>
    <row r="3" spans="1:14" ht="18" x14ac:dyDescent="0.25">
      <c r="A3" s="136"/>
      <c r="B3" s="138"/>
      <c r="C3" s="138"/>
      <c r="D3" s="48"/>
      <c r="E3" s="48"/>
      <c r="F3" s="138"/>
      <c r="G3" s="138"/>
      <c r="H3" s="138"/>
      <c r="I3" s="138"/>
      <c r="J3" s="138"/>
      <c r="K3" s="138"/>
      <c r="L3" s="138"/>
    </row>
    <row r="4" spans="1:14" ht="48" thickBot="1" x14ac:dyDescent="0.25">
      <c r="A4" s="136"/>
      <c r="B4" s="160" t="s">
        <v>0</v>
      </c>
      <c r="C4" s="139"/>
      <c r="D4" s="110" t="s">
        <v>44</v>
      </c>
      <c r="E4" s="109" t="s">
        <v>53</v>
      </c>
      <c r="F4" s="139"/>
      <c r="G4" s="184" t="s">
        <v>45</v>
      </c>
      <c r="H4" s="184" t="s">
        <v>1</v>
      </c>
      <c r="I4" s="206" t="s">
        <v>2</v>
      </c>
      <c r="J4" s="206"/>
      <c r="K4" s="206"/>
      <c r="L4" s="184" t="s">
        <v>3</v>
      </c>
      <c r="M4" s="140"/>
      <c r="N4" s="140"/>
    </row>
    <row r="5" spans="1:14" ht="15.75" x14ac:dyDescent="0.2">
      <c r="A5" s="136"/>
      <c r="B5" s="139"/>
      <c r="C5" s="139"/>
      <c r="D5" s="30"/>
      <c r="E5" s="36"/>
      <c r="F5" s="139"/>
      <c r="G5" s="139"/>
      <c r="H5" s="139"/>
      <c r="I5" s="139"/>
      <c r="J5" s="139"/>
      <c r="K5" s="139"/>
      <c r="L5" s="139"/>
      <c r="M5" s="140"/>
    </row>
    <row r="6" spans="1:14" ht="18" x14ac:dyDescent="0.25">
      <c r="A6" s="136"/>
      <c r="B6" s="169" t="s">
        <v>4</v>
      </c>
      <c r="C6" s="136"/>
      <c r="D6" s="183">
        <v>0.24</v>
      </c>
      <c r="E6" s="186">
        <v>0.2</v>
      </c>
      <c r="F6" s="142"/>
      <c r="G6" s="161">
        <v>0.22</v>
      </c>
      <c r="H6" s="163" t="s">
        <v>5</v>
      </c>
      <c r="I6" s="164">
        <f>G6+5%</f>
        <v>0.27</v>
      </c>
      <c r="J6" s="165" t="s">
        <v>14</v>
      </c>
      <c r="K6" s="166">
        <f>G6-5%</f>
        <v>0.16999999999999998</v>
      </c>
      <c r="L6" s="167" t="s">
        <v>32</v>
      </c>
    </row>
    <row r="7" spans="1:14" ht="15" x14ac:dyDescent="0.2">
      <c r="A7" s="136"/>
      <c r="B7" s="136"/>
      <c r="C7" s="136"/>
      <c r="D7" s="32"/>
      <c r="E7" s="38"/>
      <c r="F7" s="147"/>
      <c r="G7" s="147"/>
      <c r="H7" s="147"/>
      <c r="I7" s="147"/>
      <c r="J7" s="147"/>
      <c r="K7" s="147"/>
      <c r="L7" s="147"/>
    </row>
    <row r="8" spans="1:14" ht="18" x14ac:dyDescent="0.25">
      <c r="A8" s="136"/>
      <c r="B8" s="141" t="s">
        <v>6</v>
      </c>
      <c r="C8" s="136" t="s">
        <v>9</v>
      </c>
      <c r="D8" s="31">
        <v>0.24</v>
      </c>
      <c r="E8" s="116">
        <v>0.18</v>
      </c>
      <c r="F8" s="142"/>
      <c r="G8" s="143">
        <v>0.16</v>
      </c>
      <c r="H8" s="144" t="s">
        <v>7</v>
      </c>
      <c r="I8" s="145">
        <f>G8+6%</f>
        <v>0.22</v>
      </c>
      <c r="J8" s="142" t="s">
        <v>14</v>
      </c>
      <c r="K8" s="146">
        <f>G8-6%</f>
        <v>0.1</v>
      </c>
      <c r="L8" s="147" t="s">
        <v>41</v>
      </c>
    </row>
    <row r="9" spans="1:14" ht="15" x14ac:dyDescent="0.2">
      <c r="A9" s="136"/>
      <c r="B9" s="136"/>
      <c r="C9" s="136"/>
      <c r="D9" s="32"/>
      <c r="E9" s="38"/>
      <c r="F9" s="147"/>
      <c r="G9" s="147"/>
      <c r="H9" s="147"/>
      <c r="I9" s="147"/>
      <c r="J9" s="147"/>
      <c r="K9" s="147"/>
      <c r="L9" s="134" t="s">
        <v>40</v>
      </c>
    </row>
    <row r="10" spans="1:14" ht="18" x14ac:dyDescent="0.25">
      <c r="A10" s="136"/>
      <c r="B10" s="141" t="s">
        <v>8</v>
      </c>
      <c r="C10" s="136" t="s">
        <v>22</v>
      </c>
      <c r="D10" s="31">
        <v>0.49</v>
      </c>
      <c r="E10" s="37">
        <v>0.49</v>
      </c>
      <c r="F10" s="142"/>
      <c r="G10" s="143">
        <v>0.52</v>
      </c>
      <c r="H10" s="144" t="s">
        <v>7</v>
      </c>
      <c r="I10" s="145">
        <f>G10+6%</f>
        <v>0.58000000000000007</v>
      </c>
      <c r="J10" s="142" t="s">
        <v>14</v>
      </c>
      <c r="K10" s="146">
        <f>G10-6%</f>
        <v>0.46</v>
      </c>
    </row>
    <row r="11" spans="1:14" ht="15" x14ac:dyDescent="0.2">
      <c r="A11" s="136"/>
      <c r="B11" s="148"/>
      <c r="C11" s="148"/>
      <c r="D11" s="33"/>
      <c r="E11" s="39"/>
      <c r="F11" s="147"/>
      <c r="G11" s="147"/>
      <c r="H11" s="147"/>
      <c r="I11" s="145"/>
      <c r="J11" s="142"/>
      <c r="K11" s="146"/>
      <c r="L11" s="144" t="s">
        <v>38</v>
      </c>
    </row>
    <row r="12" spans="1:14" ht="15" x14ac:dyDescent="0.2">
      <c r="A12" s="136"/>
      <c r="B12" s="136"/>
      <c r="C12" s="136"/>
      <c r="D12" s="33"/>
      <c r="E12" s="39"/>
      <c r="F12" s="149"/>
      <c r="G12" s="149"/>
      <c r="H12" s="149"/>
      <c r="I12" s="150"/>
      <c r="J12" s="151"/>
      <c r="K12" s="152"/>
      <c r="L12" s="144" t="s">
        <v>39</v>
      </c>
    </row>
    <row r="13" spans="1:14" ht="15" x14ac:dyDescent="0.2">
      <c r="A13" s="136"/>
      <c r="B13" s="136" t="s">
        <v>33</v>
      </c>
      <c r="C13" s="136"/>
      <c r="D13" s="31">
        <v>0.1</v>
      </c>
      <c r="E13" s="37">
        <v>0.1</v>
      </c>
      <c r="F13" s="153"/>
      <c r="G13" s="151">
        <v>0.1</v>
      </c>
      <c r="H13" s="144" t="s">
        <v>35</v>
      </c>
      <c r="I13" s="150"/>
      <c r="J13" s="151"/>
      <c r="K13" s="152"/>
      <c r="L13" s="136"/>
    </row>
    <row r="14" spans="1:14" ht="15.75" customHeight="1" x14ac:dyDescent="0.2">
      <c r="A14" s="136"/>
      <c r="B14" s="136" t="s">
        <v>34</v>
      </c>
      <c r="C14" s="136"/>
      <c r="D14" s="182">
        <v>0.39</v>
      </c>
      <c r="E14" s="37">
        <v>0.39</v>
      </c>
      <c r="F14" s="153"/>
      <c r="G14" s="151">
        <v>0.42</v>
      </c>
      <c r="H14" s="144" t="s">
        <v>35</v>
      </c>
      <c r="I14" s="150"/>
      <c r="J14" s="151"/>
      <c r="K14" s="152"/>
      <c r="L14" s="136"/>
    </row>
    <row r="15" spans="1:14" ht="15" x14ac:dyDescent="0.2">
      <c r="A15" s="136"/>
      <c r="B15" s="136"/>
      <c r="C15" s="136"/>
      <c r="D15" s="34"/>
      <c r="E15" s="185"/>
      <c r="F15" s="154"/>
      <c r="G15" s="136"/>
      <c r="H15" s="136"/>
      <c r="I15" s="136"/>
      <c r="J15" s="136"/>
      <c r="K15" s="136"/>
      <c r="L15" s="136"/>
    </row>
    <row r="16" spans="1:14" ht="15" x14ac:dyDescent="0.2">
      <c r="B16" s="178"/>
      <c r="D16" s="33"/>
      <c r="E16" s="187"/>
      <c r="G16" s="178"/>
      <c r="H16" s="178"/>
      <c r="I16" s="178"/>
      <c r="J16" s="178"/>
      <c r="K16" s="178"/>
      <c r="L16" s="178"/>
    </row>
    <row r="17" spans="1:13" ht="18" x14ac:dyDescent="0.25">
      <c r="A17" s="136"/>
      <c r="B17" s="176" t="s">
        <v>10</v>
      </c>
      <c r="C17" s="136"/>
      <c r="D17" s="34">
        <v>0.05</v>
      </c>
      <c r="E17" s="58">
        <v>0</v>
      </c>
      <c r="F17" s="136"/>
      <c r="G17" s="162">
        <v>0</v>
      </c>
      <c r="H17" s="173" t="s">
        <v>5</v>
      </c>
      <c r="I17" s="175">
        <f>G17+5%</f>
        <v>0.05</v>
      </c>
      <c r="J17" s="173" t="s">
        <v>14</v>
      </c>
      <c r="K17" s="174">
        <f>0</f>
        <v>0</v>
      </c>
      <c r="L17" s="168" t="s">
        <v>15</v>
      </c>
    </row>
    <row r="18" spans="1:13" ht="15" x14ac:dyDescent="0.2">
      <c r="A18" s="136"/>
      <c r="B18" s="136"/>
      <c r="C18" s="136"/>
      <c r="D18" s="33"/>
      <c r="E18" s="43"/>
      <c r="F18" s="136"/>
      <c r="G18" s="136"/>
      <c r="H18" s="136"/>
      <c r="I18" s="136"/>
      <c r="J18" s="136"/>
      <c r="K18" s="136"/>
      <c r="L18" s="134"/>
      <c r="M18" s="135"/>
    </row>
    <row r="19" spans="1:13" ht="18" x14ac:dyDescent="0.25">
      <c r="A19" s="136"/>
      <c r="B19" s="176" t="s">
        <v>11</v>
      </c>
      <c r="C19" s="136" t="s">
        <v>36</v>
      </c>
      <c r="D19" s="34">
        <v>0.03</v>
      </c>
      <c r="E19" s="58">
        <v>0</v>
      </c>
      <c r="F19" s="155"/>
      <c r="G19" s="162">
        <v>0.05</v>
      </c>
      <c r="H19" s="171" t="s">
        <v>5</v>
      </c>
      <c r="I19" s="175">
        <f>G19+5%</f>
        <v>0.1</v>
      </c>
      <c r="J19" s="173" t="s">
        <v>14</v>
      </c>
      <c r="K19" s="174">
        <f>0%-0%</f>
        <v>0</v>
      </c>
      <c r="L19" s="77" t="s">
        <v>42</v>
      </c>
      <c r="M19" s="135"/>
    </row>
    <row r="20" spans="1:13" ht="15" x14ac:dyDescent="0.2">
      <c r="A20" s="136"/>
      <c r="B20" s="136"/>
      <c r="C20" s="136"/>
      <c r="D20" s="33"/>
      <c r="E20" s="43"/>
      <c r="F20" s="136"/>
      <c r="G20" s="136"/>
      <c r="H20" s="136"/>
      <c r="I20" s="136"/>
      <c r="J20" s="136"/>
      <c r="K20" s="136"/>
    </row>
    <row r="21" spans="1:13" ht="18" x14ac:dyDescent="0.25">
      <c r="A21" s="136"/>
      <c r="B21" s="176" t="s">
        <v>31</v>
      </c>
      <c r="C21" s="136"/>
      <c r="D21" s="34">
        <v>0.05</v>
      </c>
      <c r="E21" s="58">
        <v>0.12</v>
      </c>
      <c r="F21" s="155"/>
      <c r="G21" s="162">
        <v>0.05</v>
      </c>
      <c r="H21" s="171" t="s">
        <v>5</v>
      </c>
      <c r="I21" s="172">
        <f>G21+5%</f>
        <v>0.1</v>
      </c>
      <c r="J21" s="173" t="s">
        <v>14</v>
      </c>
      <c r="K21" s="174">
        <f>G21-5%</f>
        <v>0</v>
      </c>
      <c r="L21" s="168" t="s">
        <v>16</v>
      </c>
    </row>
    <row r="22" spans="1:13" ht="15" x14ac:dyDescent="0.2">
      <c r="A22" s="136"/>
      <c r="B22" s="136"/>
      <c r="C22" s="136"/>
      <c r="D22" s="33"/>
      <c r="E22" s="43"/>
      <c r="F22" s="136"/>
      <c r="G22" s="136"/>
      <c r="H22" s="136"/>
      <c r="I22" s="136"/>
      <c r="J22" s="136"/>
      <c r="K22" s="136"/>
      <c r="L22" s="136"/>
    </row>
    <row r="23" spans="1:13" ht="18" x14ac:dyDescent="0.25">
      <c r="A23" s="136"/>
      <c r="B23" s="176" t="s">
        <v>12</v>
      </c>
      <c r="C23" s="136"/>
      <c r="D23" s="34">
        <v>1.1000000000000001</v>
      </c>
      <c r="E23" s="50">
        <v>1</v>
      </c>
      <c r="F23" s="136"/>
      <c r="G23" s="162">
        <f>G6+G8+G10+G17+G19+G21</f>
        <v>1</v>
      </c>
      <c r="H23" s="170"/>
      <c r="I23" s="170"/>
      <c r="J23" s="170"/>
      <c r="K23" s="170"/>
      <c r="L23" s="170"/>
    </row>
    <row r="24" spans="1:13" ht="15" x14ac:dyDescent="0.2">
      <c r="A24" s="136"/>
      <c r="B24" s="136"/>
      <c r="C24" s="136"/>
      <c r="D24" s="33"/>
      <c r="E24" s="43"/>
      <c r="F24" s="136"/>
      <c r="G24" s="136"/>
      <c r="H24" s="136"/>
      <c r="I24" s="136"/>
      <c r="J24" s="136"/>
      <c r="K24" s="136"/>
      <c r="L24" s="136"/>
    </row>
    <row r="25" spans="1:13" ht="18" x14ac:dyDescent="0.25">
      <c r="A25" s="136"/>
      <c r="B25" s="176" t="s">
        <v>13</v>
      </c>
      <c r="D25" s="35">
        <v>0.4</v>
      </c>
      <c r="E25" s="58">
        <v>0.35</v>
      </c>
      <c r="G25" s="162">
        <v>0.42</v>
      </c>
      <c r="H25" s="171" t="s">
        <v>7</v>
      </c>
      <c r="I25" s="175">
        <f>G25+6%</f>
        <v>0.48</v>
      </c>
      <c r="J25" s="173" t="s">
        <v>14</v>
      </c>
      <c r="K25" s="177">
        <f>G25-6%</f>
        <v>0.36</v>
      </c>
      <c r="L25" s="170"/>
    </row>
    <row r="26" spans="1:13" x14ac:dyDescent="0.2">
      <c r="J26" s="156"/>
    </row>
    <row r="27" spans="1:13" x14ac:dyDescent="0.2">
      <c r="B27" s="157" t="s">
        <v>37</v>
      </c>
      <c r="J27" s="156"/>
    </row>
    <row r="28" spans="1:13" x14ac:dyDescent="0.2">
      <c r="B28" s="158" t="s">
        <v>58</v>
      </c>
      <c r="J28" s="156"/>
    </row>
    <row r="29" spans="1:13" x14ac:dyDescent="0.2">
      <c r="B29" s="158" t="s">
        <v>54</v>
      </c>
      <c r="J29" s="156"/>
    </row>
    <row r="30" spans="1:13" x14ac:dyDescent="0.2">
      <c r="B30" s="159"/>
    </row>
  </sheetData>
  <mergeCells count="2">
    <mergeCell ref="B2:L2"/>
    <mergeCell ref="I4:K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7292C-C774-471D-AB09-D4726D2EBC57}">
  <dimension ref="A1:L7"/>
  <sheetViews>
    <sheetView rightToLeft="1" workbookViewId="0">
      <selection activeCell="A2" sqref="A2"/>
    </sheetView>
  </sheetViews>
  <sheetFormatPr defaultRowHeight="12.75" x14ac:dyDescent="0.2"/>
  <cols>
    <col min="1" max="16384" width="9.140625" style="180"/>
  </cols>
  <sheetData>
    <row r="1" spans="1:12" ht="18" x14ac:dyDescent="0.25">
      <c r="A1" s="210" t="s">
        <v>52</v>
      </c>
      <c r="B1" s="210"/>
      <c r="C1" s="210"/>
      <c r="D1" s="210"/>
      <c r="E1" s="210"/>
      <c r="F1" s="210"/>
      <c r="G1" s="210"/>
      <c r="H1" s="210"/>
      <c r="I1" s="210"/>
      <c r="J1" s="210"/>
      <c r="K1" s="179"/>
      <c r="L1" s="179"/>
    </row>
    <row r="2" spans="1:12" ht="18" x14ac:dyDescent="0.25">
      <c r="A2" s="181"/>
      <c r="B2" s="181"/>
      <c r="C2" s="181"/>
      <c r="D2" s="181"/>
      <c r="E2" s="181"/>
      <c r="F2" s="181"/>
      <c r="G2" s="181"/>
      <c r="H2" s="181"/>
      <c r="I2" s="181"/>
      <c r="J2" s="181"/>
      <c r="K2" s="181"/>
      <c r="L2" s="181"/>
    </row>
    <row r="3" spans="1:12" ht="18" x14ac:dyDescent="0.25">
      <c r="A3" s="211" t="s">
        <v>17</v>
      </c>
      <c r="B3" s="212"/>
      <c r="C3" s="212"/>
      <c r="D3" s="212"/>
      <c r="E3" s="212"/>
      <c r="F3" s="212"/>
      <c r="G3" s="212"/>
      <c r="H3" s="212"/>
      <c r="I3" s="213"/>
      <c r="J3" s="214" t="s">
        <v>3</v>
      </c>
      <c r="K3" s="214"/>
      <c r="L3" s="214"/>
    </row>
    <row r="4" spans="1:12" ht="20.25" x14ac:dyDescent="0.3">
      <c r="A4" s="215" t="s">
        <v>21</v>
      </c>
      <c r="B4" s="216"/>
      <c r="C4" s="216"/>
      <c r="D4" s="216"/>
      <c r="E4" s="216"/>
      <c r="F4" s="216"/>
      <c r="G4" s="216"/>
      <c r="H4" s="216"/>
      <c r="I4" s="217"/>
      <c r="J4" s="118" t="s">
        <v>38</v>
      </c>
      <c r="K4" s="119"/>
      <c r="L4" s="120"/>
    </row>
    <row r="5" spans="1:12" ht="20.25" x14ac:dyDescent="0.3">
      <c r="A5" s="218" t="s">
        <v>20</v>
      </c>
      <c r="B5" s="219"/>
      <c r="C5" s="219"/>
      <c r="D5" s="219"/>
      <c r="E5" s="219"/>
      <c r="F5" s="219"/>
      <c r="G5" s="219"/>
      <c r="H5" s="219"/>
      <c r="I5" s="220"/>
      <c r="J5" s="121"/>
      <c r="K5" s="122"/>
      <c r="L5" s="123"/>
    </row>
    <row r="6" spans="1:12" ht="20.25" x14ac:dyDescent="0.3">
      <c r="A6" s="218" t="s">
        <v>19</v>
      </c>
      <c r="B6" s="219"/>
      <c r="C6" s="219"/>
      <c r="D6" s="219"/>
      <c r="E6" s="219"/>
      <c r="F6" s="219"/>
      <c r="G6" s="219"/>
      <c r="H6" s="219"/>
      <c r="I6" s="220"/>
      <c r="J6" s="124" t="s">
        <v>39</v>
      </c>
      <c r="K6" s="125"/>
      <c r="L6" s="126"/>
    </row>
    <row r="7" spans="1:12" ht="20.25" x14ac:dyDescent="0.3">
      <c r="A7" s="207" t="s">
        <v>18</v>
      </c>
      <c r="B7" s="208"/>
      <c r="C7" s="208"/>
      <c r="D7" s="208"/>
      <c r="E7" s="208"/>
      <c r="F7" s="208"/>
      <c r="G7" s="208"/>
      <c r="H7" s="208"/>
      <c r="I7" s="209"/>
      <c r="J7" s="127"/>
      <c r="K7" s="128"/>
      <c r="L7" s="129"/>
    </row>
  </sheetData>
  <mergeCells count="7">
    <mergeCell ref="A7:I7"/>
    <mergeCell ref="A1:J1"/>
    <mergeCell ref="A3:I3"/>
    <mergeCell ref="J3:L3"/>
    <mergeCell ref="A4:I4"/>
    <mergeCell ref="A5:I5"/>
    <mergeCell ref="A6:I6"/>
  </mergeCells>
  <pageMargins left="0.7" right="0.7" top="0.75" bottom="0.75" header="0.3" footer="0.3"/>
  <pageSetup paperSize="9" orientation="portrait" horizontalDpi="4294967295" verticalDpi="4294967295"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4:Z27"/>
  <sheetViews>
    <sheetView showGridLines="0" rightToLeft="1" workbookViewId="0">
      <selection activeCell="C17" sqref="C17:Y17"/>
    </sheetView>
  </sheetViews>
  <sheetFormatPr defaultRowHeight="12.75" x14ac:dyDescent="0.2"/>
  <sheetData>
    <row r="4" spans="3:26" s="3" customFormat="1" ht="15.75" x14ac:dyDescent="0.25">
      <c r="C4" s="6" t="s">
        <v>23</v>
      </c>
      <c r="D4" s="6"/>
      <c r="E4" s="6"/>
    </row>
    <row r="5" spans="3:26" s="3" customFormat="1" ht="15" x14ac:dyDescent="0.2"/>
    <row r="6" spans="3:26" s="3" customFormat="1" ht="15" x14ac:dyDescent="0.2">
      <c r="C6" s="3" t="s">
        <v>24</v>
      </c>
    </row>
    <row r="7" spans="3:26" s="3" customFormat="1" ht="15" x14ac:dyDescent="0.2"/>
    <row r="8" spans="3:26" s="3" customFormat="1" ht="48.75" customHeight="1" x14ac:dyDescent="0.2">
      <c r="C8" s="222" t="s">
        <v>25</v>
      </c>
      <c r="D8" s="222"/>
      <c r="E8" s="222"/>
      <c r="F8" s="222"/>
      <c r="G8" s="222"/>
      <c r="H8" s="222"/>
      <c r="I8" s="222"/>
      <c r="J8" s="222"/>
      <c r="K8" s="222"/>
      <c r="L8" s="222"/>
      <c r="M8" s="222"/>
      <c r="N8" s="222"/>
      <c r="O8" s="222"/>
      <c r="P8" s="222"/>
      <c r="Q8" s="222"/>
      <c r="R8" s="222"/>
      <c r="S8" s="222"/>
      <c r="T8" s="222"/>
      <c r="U8" s="222"/>
      <c r="V8" s="222"/>
      <c r="W8" s="222"/>
      <c r="X8" s="222"/>
      <c r="Y8" s="222"/>
      <c r="Z8" s="222"/>
    </row>
    <row r="9" spans="3:26" s="3" customFormat="1" ht="15" x14ac:dyDescent="0.2"/>
    <row r="10" spans="3:26" s="3" customFormat="1" ht="18.75" customHeight="1" x14ac:dyDescent="0.2">
      <c r="C10" s="222" t="s">
        <v>26</v>
      </c>
      <c r="D10" s="222"/>
      <c r="E10" s="222"/>
      <c r="F10" s="222"/>
      <c r="G10" s="222"/>
      <c r="H10" s="222"/>
      <c r="I10" s="222"/>
      <c r="J10" s="222"/>
      <c r="K10" s="222"/>
      <c r="L10" s="222"/>
      <c r="M10" s="222"/>
      <c r="N10" s="222"/>
      <c r="O10" s="222"/>
      <c r="P10" s="222"/>
      <c r="Q10" s="222"/>
      <c r="R10" s="222"/>
      <c r="S10" s="222"/>
      <c r="T10" s="222"/>
      <c r="U10" s="222"/>
      <c r="V10" s="222"/>
      <c r="W10" s="222"/>
      <c r="X10" s="222"/>
      <c r="Y10" s="222"/>
      <c r="Z10" s="222"/>
    </row>
    <row r="11" spans="3:26" s="3" customFormat="1" ht="15" x14ac:dyDescent="0.2"/>
    <row r="12" spans="3:26" s="3" customFormat="1" ht="36.75" customHeight="1" x14ac:dyDescent="0.2">
      <c r="C12" s="222" t="s">
        <v>27</v>
      </c>
      <c r="D12" s="222"/>
      <c r="E12" s="222"/>
      <c r="F12" s="222"/>
      <c r="G12" s="222"/>
      <c r="H12" s="222"/>
      <c r="I12" s="222"/>
      <c r="J12" s="222"/>
      <c r="K12" s="222"/>
      <c r="L12" s="222"/>
      <c r="M12" s="222"/>
      <c r="N12" s="222"/>
      <c r="O12" s="222"/>
      <c r="P12" s="222"/>
      <c r="Q12" s="222"/>
      <c r="R12" s="222"/>
      <c r="S12" s="222"/>
      <c r="T12" s="222"/>
      <c r="U12" s="222"/>
      <c r="V12" s="222"/>
      <c r="W12" s="222"/>
      <c r="X12" s="222"/>
      <c r="Y12" s="222"/>
      <c r="Z12" s="222"/>
    </row>
    <row r="13" spans="3:26" s="3" customFormat="1" ht="15" x14ac:dyDescent="0.2"/>
    <row r="14" spans="3:26" s="3" customFormat="1" ht="52.5" customHeight="1" x14ac:dyDescent="0.2">
      <c r="C14" s="222" t="s">
        <v>28</v>
      </c>
      <c r="D14" s="222"/>
      <c r="E14" s="222"/>
      <c r="F14" s="222"/>
      <c r="G14" s="222"/>
      <c r="H14" s="222"/>
      <c r="I14" s="222"/>
      <c r="J14" s="222"/>
      <c r="K14" s="222"/>
      <c r="L14" s="222"/>
      <c r="M14" s="222"/>
      <c r="N14" s="222"/>
      <c r="O14" s="222"/>
      <c r="P14" s="222"/>
      <c r="Q14" s="222"/>
      <c r="R14" s="222"/>
      <c r="S14" s="222"/>
      <c r="T14" s="222"/>
      <c r="U14" s="222"/>
      <c r="V14" s="222"/>
      <c r="W14" s="222"/>
      <c r="X14" s="222"/>
      <c r="Y14" s="222"/>
      <c r="Z14" s="222"/>
    </row>
    <row r="15" spans="3:26" s="3" customFormat="1" ht="15" x14ac:dyDescent="0.2"/>
    <row r="16" spans="3:26" s="3" customFormat="1" ht="24" customHeight="1" x14ac:dyDescent="0.2">
      <c r="C16" s="222" t="s">
        <v>29</v>
      </c>
      <c r="D16" s="222"/>
      <c r="E16" s="222"/>
      <c r="F16" s="222"/>
      <c r="G16" s="222"/>
      <c r="H16" s="222"/>
      <c r="I16" s="222"/>
      <c r="J16" s="222"/>
      <c r="K16" s="222"/>
      <c r="L16" s="222"/>
      <c r="M16" s="222"/>
      <c r="N16" s="222"/>
      <c r="O16" s="222"/>
      <c r="P16" s="222"/>
      <c r="Q16" s="222"/>
      <c r="R16" s="222"/>
      <c r="S16" s="222"/>
      <c r="T16" s="222"/>
      <c r="U16" s="222"/>
      <c r="V16" s="222"/>
      <c r="W16" s="222"/>
      <c r="X16" s="222"/>
      <c r="Y16" s="222"/>
      <c r="Z16" s="222"/>
    </row>
    <row r="17" spans="3:25" ht="15" x14ac:dyDescent="0.2">
      <c r="C17" s="221" t="s">
        <v>30</v>
      </c>
      <c r="D17" s="221"/>
      <c r="E17" s="221"/>
      <c r="F17" s="221"/>
      <c r="G17" s="221"/>
      <c r="H17" s="221"/>
      <c r="I17" s="221"/>
      <c r="J17" s="221"/>
      <c r="K17" s="221"/>
      <c r="L17" s="221"/>
      <c r="M17" s="221"/>
      <c r="N17" s="221"/>
      <c r="O17" s="221"/>
      <c r="P17" s="221"/>
      <c r="Q17" s="221"/>
      <c r="R17" s="221"/>
      <c r="S17" s="221"/>
      <c r="T17" s="221"/>
      <c r="U17" s="221"/>
      <c r="V17" s="221"/>
      <c r="W17" s="221"/>
      <c r="X17" s="221"/>
      <c r="Y17" s="221"/>
    </row>
    <row r="27" spans="3:25" ht="15" x14ac:dyDescent="0.2">
      <c r="H27" s="55"/>
    </row>
  </sheetData>
  <mergeCells count="6">
    <mergeCell ref="C17:Y17"/>
    <mergeCell ref="C16:Z16"/>
    <mergeCell ref="C8:Z8"/>
    <mergeCell ref="C10:Z10"/>
    <mergeCell ref="C12:Z12"/>
    <mergeCell ref="C14:Z1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9</vt:i4>
      </vt:variant>
    </vt:vector>
  </HeadingPairs>
  <TitlesOfParts>
    <vt:vector size="9" baseType="lpstr">
      <vt:lpstr>עד 50 </vt:lpstr>
      <vt:lpstr>50-60</vt:lpstr>
      <vt:lpstr>60 ומעלה </vt:lpstr>
      <vt:lpstr>מסלול מנייתי</vt:lpstr>
      <vt:lpstr>פיצויים</vt:lpstr>
      <vt:lpstr>השתלמות</vt:lpstr>
      <vt:lpstr>קופת גמל להשקעה כללי</vt:lpstr>
      <vt:lpstr>קופת גמל להשקעה מניות</vt:lpstr>
      <vt:lpstr>היבטים של השקעות אחראיות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Kupat Tagmulim</dc:creator>
  <cp:lastModifiedBy>Yakir</cp:lastModifiedBy>
  <cp:lastPrinted>2020-01-13T06:51:35Z</cp:lastPrinted>
  <dcterms:created xsi:type="dcterms:W3CDTF">2010-01-07T15:08:59Z</dcterms:created>
  <dcterms:modified xsi:type="dcterms:W3CDTF">2022-04-07T13:31:10Z</dcterms:modified>
</cp:coreProperties>
</file>