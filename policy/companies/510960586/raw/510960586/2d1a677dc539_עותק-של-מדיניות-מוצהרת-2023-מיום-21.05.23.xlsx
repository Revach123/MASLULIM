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nati\Desktop\"/>
    </mc:Choice>
  </mc:AlternateContent>
  <xr:revisionPtr revIDLastSave="0" documentId="8_{CF82895D-0C96-4C93-BCE4-85CB612CD200}" xr6:coauthVersionLast="47" xr6:coauthVersionMax="47" xr10:uidLastSave="{00000000-0000-0000-0000-000000000000}"/>
  <bookViews>
    <workbookView xWindow="-120" yWindow="-120" windowWidth="29040" windowHeight="15840" xr2:uid="{00000000-000D-0000-FFFF-FFFF00000000}"/>
  </bookViews>
  <sheets>
    <sheet name="עד 50 " sheetId="8" r:id="rId1"/>
    <sheet name="50-60" sheetId="5" r:id="rId2"/>
    <sheet name="60 ומעלה " sheetId="4" r:id="rId3"/>
    <sheet name="מסלול מנייתי" sheetId="6" r:id="rId4"/>
    <sheet name="פיצויים" sheetId="2" r:id="rId5"/>
    <sheet name="השתלמות" sheetId="3" r:id="rId6"/>
    <sheet name="קופת גמל להשקעה כללי" sheetId="9" r:id="rId7"/>
    <sheet name="קופת גמל להשקעה מניות" sheetId="10" r:id="rId8"/>
    <sheet name="היבטים של השקעות אחראיות" sheetId="7" r:id="rId9"/>
  </sheets>
  <calcPr calcId="191029"/>
</workbook>
</file>

<file path=xl/calcChain.xml><?xml version="1.0" encoding="utf-8"?>
<calcChain xmlns="http://schemas.openxmlformats.org/spreadsheetml/2006/main">
  <c r="K17" i="9" l="1"/>
  <c r="I17" i="9"/>
  <c r="I10" i="9"/>
  <c r="K18" i="4" l="1"/>
  <c r="I18" i="4"/>
  <c r="G23" i="9"/>
  <c r="E23" i="9"/>
  <c r="D23" i="9"/>
  <c r="E22" i="3"/>
  <c r="D22" i="3"/>
  <c r="E22" i="2"/>
  <c r="D22" i="2"/>
  <c r="G22" i="4"/>
  <c r="E22" i="4"/>
  <c r="D22" i="4"/>
  <c r="D23" i="8"/>
  <c r="D22" i="5"/>
  <c r="E22" i="5"/>
  <c r="E23" i="8"/>
  <c r="G22" i="3" l="1"/>
  <c r="I16" i="3"/>
  <c r="I8" i="8" l="1"/>
  <c r="K19" i="9" l="1"/>
  <c r="K8" i="9"/>
  <c r="K25" i="9"/>
  <c r="I25" i="9"/>
  <c r="K21" i="9"/>
  <c r="I21" i="9"/>
  <c r="I19" i="9"/>
  <c r="K10" i="9"/>
  <c r="I8" i="9"/>
  <c r="K6" i="9"/>
  <c r="I6" i="9"/>
  <c r="G22" i="5"/>
  <c r="K20" i="5"/>
  <c r="I20" i="5"/>
  <c r="I18" i="5"/>
  <c r="I16" i="8" l="1"/>
  <c r="K24" i="3" l="1"/>
  <c r="I24" i="3"/>
  <c r="K20" i="3"/>
  <c r="I20" i="3"/>
  <c r="K18" i="3"/>
  <c r="I18" i="3"/>
  <c r="K10" i="3"/>
  <c r="I10" i="3"/>
  <c r="K8" i="3"/>
  <c r="I8" i="3"/>
  <c r="K6" i="3"/>
  <c r="I6" i="3"/>
  <c r="K18" i="2"/>
  <c r="I18" i="2"/>
  <c r="K24" i="2"/>
  <c r="I24" i="2"/>
  <c r="G22" i="2"/>
  <c r="K20" i="2"/>
  <c r="I20" i="2"/>
  <c r="K16" i="2"/>
  <c r="I16" i="2"/>
  <c r="K10" i="2"/>
  <c r="I10" i="2"/>
  <c r="K8" i="2"/>
  <c r="I8" i="2"/>
  <c r="K6" i="2"/>
  <c r="I6" i="2"/>
  <c r="K20" i="4" l="1"/>
  <c r="I20" i="4"/>
  <c r="K24" i="4"/>
  <c r="I24" i="4"/>
  <c r="K10" i="4"/>
  <c r="I10" i="4"/>
  <c r="K8" i="4"/>
  <c r="I8" i="4"/>
  <c r="K6" i="4"/>
  <c r="I6" i="4"/>
  <c r="I21" i="8"/>
  <c r="K21" i="8"/>
  <c r="K19" i="8"/>
  <c r="I19" i="8"/>
  <c r="I6" i="8"/>
  <c r="K6" i="8"/>
  <c r="K8" i="8"/>
  <c r="I10" i="8"/>
  <c r="K10" i="8"/>
  <c r="K16" i="8"/>
  <c r="G23" i="8"/>
  <c r="I25" i="8"/>
  <c r="K25" i="8"/>
  <c r="K16" i="5" l="1"/>
  <c r="K24" i="5" l="1"/>
  <c r="I24" i="5"/>
  <c r="I16" i="5"/>
  <c r="K10" i="5"/>
  <c r="I10" i="5"/>
  <c r="K8" i="5"/>
  <c r="I8" i="5"/>
  <c r="K6" i="5"/>
  <c r="I6" i="5"/>
</calcChain>
</file>

<file path=xl/sharedStrings.xml><?xml version="1.0" encoding="utf-8"?>
<sst xmlns="http://schemas.openxmlformats.org/spreadsheetml/2006/main" count="328" uniqueCount="70">
  <si>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</si>
  <si>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</si>
  <si>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</si>
  <si>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</si>
  <si>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</si>
  <si>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</si>
  <si>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</si>
  <si>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</si>
  <si>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</si>
  <si>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</si>
  <si>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</si>
  <si>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</si>
  <si>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</si>
  <si>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</si>
  <si>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</si>
  <si>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</si>
  <si>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</si>
  <si>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מדיניות השקעה</t>
  </si>
  <si>
    <t xml:space="preserve">הנכסים במסלול זה יושקעו בארץ או בחו"ל. </t>
  </si>
  <si>
    <t xml:space="preserve">בכפוף למגבלות ולתנאים שנקבעו בתקנות ההשקעה. </t>
  </si>
  <si>
    <t xml:space="preserve">יתרת הנכסים במסלול יושקעו על פי שיקול דעתו של הגוף המוסדי </t>
  </si>
  <si>
    <t xml:space="preserve">מסלול מנייתי - לפחות 75% מהנכסים יושקעו במניות. </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</si>
  <si>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</si>
  <si>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</si>
  <si>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</si>
  <si>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</si>
  <si>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</si>
  <si>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</si>
  <si>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</si>
  <si>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</si>
  <si>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</si>
  <si>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</si>
  <si>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מדד אג"ח ממשלתי כללי</t>
  </si>
  <si>
    <t>מתוכו: מניות ישראליות</t>
  </si>
  <si>
    <t>מתוכו: מניות חו"ל</t>
  </si>
  <si>
    <t>ללא טווח סטייה</t>
  </si>
  <si>
    <t>***</t>
  </si>
  <si>
    <t>* כולל הלוואות, פקדונות והלוואות עמיתים</t>
  </si>
  <si>
    <t>מדד ת"א 125 -  20%</t>
  </si>
  <si>
    <t>80% -  MSCI AC</t>
  </si>
  <si>
    <t>30% - iBoxx USD Liquid High Yield</t>
  </si>
  <si>
    <t>מדד תל בונד 60 - 70%</t>
  </si>
  <si>
    <t xml:space="preserve"> Burgiss Private Equity</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</si>
  <si>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</si>
  <si>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</si>
  <si>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</si>
  <si>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</si>
  <si>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</si>
  <si>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- 5%</t>
  </si>
  <si>
    <t>מדיניות 2022</t>
  </si>
  <si>
    <t>שיעור החשיפה 05.12.22</t>
  </si>
  <si>
    <t>שיעור חשיפה צפוי לשנת 2023</t>
  </si>
  <si>
    <t>מדיניות ההשקעות לשנת 2023 -  עד גיל 50</t>
  </si>
  <si>
    <t>מדיניות ההשקעות לשנת 2023 -  גילאי 50-60</t>
  </si>
  <si>
    <t>מדיניות ההשקעות לשנת 2023 -  המסלול המנייתי</t>
  </si>
  <si>
    <t>מדיניות ההשקעות לשנת 2023 -  60 ומעלה</t>
  </si>
  <si>
    <t>מדיניות ההשקעות לשנת 2023 -  קופת הפיצויים</t>
  </si>
  <si>
    <t>מדיניות ההשקעות לשנת 2023 -  קרן ההשתלמות</t>
  </si>
  <si>
    <t>מדיניות ההשקעות לשנת 2023 -  קופת גמל להשקעה מסלול מניות</t>
  </si>
  <si>
    <t>מדיניות ההשקעות לשנת 2023 -  קופת גמל להשקעה מסלול כללי</t>
  </si>
  <si>
    <t>שינוי מדיניות</t>
  </si>
  <si>
    <t>אפיק</t>
  </si>
  <si>
    <t>מדיניות קודמת</t>
  </si>
  <si>
    <t>מדיניות חדשה</t>
  </si>
  <si>
    <t>נדל''ן</t>
  </si>
  <si>
    <t>10% - 15% - 15%</t>
  </si>
  <si>
    <t>ביום 21/05/2023 שונתה המדיניות לגבי החשיפה לנדל''ן:</t>
  </si>
  <si>
    <t>5% - 10% - 15%</t>
  </si>
  <si>
    <t>מגבלת עמלת ניהול חיצוני</t>
  </si>
  <si>
    <t>עמלת ניהול חיצוני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</si>
</sst>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6"/>
      <name val="Arial"/>
      <family val="2"/>
    </font>
    <font>
      <b/>
      <sz val="16"/>
      <name val="Arial"/>
      <family val="2"/>
    </font>
    <font>
      <sz val="11"/>
      <name val="Symbol"/>
      <family val="1"/>
      <charset val="2"/>
    </font>
    <font>
      <sz val="12"/>
      <color theme="1"/>
      <name val="Arial"/>
      <family val="2"/>
      <scheme val="minor"/>
    </font>
    <font>
      <b/>
      <u/>
      <sz val="14"/>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22">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 fillId="0" borderId="0"/>
  </cellStyleXfs>
  <cellXfs count="229">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5" fillId="0" borderId="0" xfId="0" applyFont="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7" fillId="0" borderId="0" xfId="0" applyFont="1" applyAlignment="1">
      <alignment horizontal="right" wrapText="1"/>
    </xf>
    <xf numFmtId="0" fontId="10" fillId="0" borderId="0" xfId="0" applyFont="1" applyAlignment="1">
      <alignment horizontal="right" vertical="center" readingOrder="2"/>
    </xf>
    <xf numFmtId="0" fontId="1" fillId="0" borderId="0" xfId="2"/>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xf numFmtId="0" fontId="3" fillId="0" borderId="2" xfId="2" applyFont="1" applyBorder="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11" fillId="4" borderId="0" xfId="2" applyNumberFormat="1" applyFont="1" applyFill="1"/>
    <xf numFmtId="0" fontId="11" fillId="4" borderId="2" xfId="2" applyFont="1" applyFill="1" applyBorder="1" applyAlignment="1">
      <alignment horizontal="center" vertical="center"/>
    </xf>
    <xf numFmtId="0" fontId="11" fillId="4" borderId="0" xfId="2" applyFont="1" applyFill="1" applyAlignment="1">
      <alignment horizontal="center" vertical="center"/>
    </xf>
    <xf numFmtId="9" fontId="2" fillId="0" borderId="0" xfId="2" applyNumberFormat="1" applyFont="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2" borderId="0" xfId="2" applyFont="1" applyFill="1" applyAlignment="1">
      <alignment horizontal="center"/>
    </xf>
    <xf numFmtId="0" fontId="4" fillId="0" borderId="0" xfId="2" applyFont="1"/>
    <xf numFmtId="9" fontId="6" fillId="0" borderId="0" xfId="2" applyNumberFormat="1" applyFont="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Alignment="1">
      <alignment horizontal="center" vertical="top" wrapText="1"/>
    </xf>
    <xf numFmtId="0" fontId="3" fillId="3" borderId="0" xfId="2" applyFont="1" applyFill="1" applyAlignment="1">
      <alignment horizontal="center"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5" fillId="3" borderId="0" xfId="1" applyNumberFormat="1" applyFont="1" applyFill="1" applyAlignment="1">
      <alignment horizontal="center"/>
    </xf>
    <xf numFmtId="164" fontId="5" fillId="3" borderId="2" xfId="1" applyNumberFormat="1" applyFont="1" applyFill="1" applyBorder="1" applyAlignment="1">
      <alignment horizontal="center"/>
    </xf>
    <xf numFmtId="164" fontId="2" fillId="3" borderId="2" xfId="1" applyNumberFormat="1" applyFont="1" applyFill="1" applyBorder="1" applyAlignment="1">
      <alignment horizontal="center"/>
    </xf>
    <xf numFmtId="49" fontId="8" fillId="4" borderId="4" xfId="0" applyNumberFormat="1" applyFont="1" applyFill="1" applyBorder="1"/>
    <xf numFmtId="49" fontId="8" fillId="4" borderId="3" xfId="0" applyNumberFormat="1" applyFont="1" applyFill="1" applyBorder="1"/>
    <xf numFmtId="49" fontId="8" fillId="4" borderId="5" xfId="0" applyNumberFormat="1" applyFont="1" applyFill="1" applyBorder="1"/>
    <xf numFmtId="0" fontId="8" fillId="4" borderId="6" xfId="0" applyFont="1" applyFill="1" applyBorder="1"/>
    <xf numFmtId="0" fontId="8" fillId="4" borderId="0" xfId="0" applyFont="1" applyFill="1"/>
    <xf numFmtId="0" fontId="8" fillId="4" borderId="7" xfId="0" applyFont="1" applyFill="1" applyBorder="1"/>
    <xf numFmtId="49" fontId="8" fillId="4" borderId="6" xfId="0" applyNumberFormat="1" applyFont="1" applyFill="1" applyBorder="1" applyAlignment="1">
      <alignment horizontal="right"/>
    </xf>
    <xf numFmtId="49" fontId="8" fillId="4" borderId="0" xfId="0" applyNumberFormat="1" applyFont="1" applyFill="1"/>
    <xf numFmtId="49" fontId="8" fillId="4" borderId="7" xfId="0" applyNumberFormat="1" applyFont="1" applyFill="1" applyBorder="1"/>
    <xf numFmtId="0" fontId="9" fillId="4" borderId="8" xfId="0" applyFont="1" applyFill="1" applyBorder="1" applyAlignment="1">
      <alignment horizontal="center"/>
    </xf>
    <xf numFmtId="0" fontId="9" fillId="4" borderId="2" xfId="0" applyFont="1" applyFill="1" applyBorder="1" applyAlignment="1">
      <alignment horizontal="center"/>
    </xf>
    <xf numFmtId="0" fontId="9" fillId="4" borderId="9" xfId="0"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0" fillId="0" borderId="0" xfId="0" applyAlignment="1">
      <alignment readingOrder="1"/>
    </xf>
    <xf numFmtId="0" fontId="2" fillId="4" borderId="0" xfId="2" applyFont="1" applyFill="1"/>
    <xf numFmtId="0" fontId="1" fillId="4" borderId="0" xfId="2" applyFill="1"/>
    <xf numFmtId="0" fontId="7" fillId="4" borderId="0" xfId="2" applyFont="1" applyFill="1" applyAlignment="1">
      <alignment horizontal="center"/>
    </xf>
    <xf numFmtId="0" fontId="3" fillId="4" borderId="0" xfId="2" applyFont="1" applyFill="1" applyAlignment="1">
      <alignment horizontal="center" vertical="top" wrapText="1"/>
    </xf>
    <xf numFmtId="0" fontId="1" fillId="4" borderId="0" xfId="2" applyFill="1" applyAlignment="1">
      <alignment vertical="top" wrapText="1"/>
    </xf>
    <xf numFmtId="0" fontId="3" fillId="4" borderId="0" xfId="2" applyFont="1" applyFill="1"/>
    <xf numFmtId="9" fontId="2" fillId="4" borderId="0" xfId="2" applyNumberFormat="1" applyFont="1" applyFill="1" applyAlignment="1">
      <alignment horizontal="center"/>
    </xf>
    <xf numFmtId="9" fontId="6" fillId="4" borderId="0" xfId="2" applyNumberFormat="1" applyFont="1" applyFill="1" applyAlignment="1">
      <alignment horizontal="center"/>
    </xf>
    <xf numFmtId="49" fontId="2" fillId="4" borderId="0" xfId="2" applyNumberFormat="1" applyFont="1" applyFill="1" applyAlignment="1">
      <alignment horizontal="center"/>
    </xf>
    <xf numFmtId="9" fontId="2" fillId="4" borderId="0" xfId="2" applyNumberFormat="1" applyFont="1" applyFill="1" applyAlignment="1">
      <alignment horizontal="left"/>
    </xf>
    <xf numFmtId="9" fontId="2" fillId="4" borderId="0" xfId="2" applyNumberFormat="1" applyFont="1" applyFill="1" applyAlignment="1">
      <alignment horizontal="right"/>
    </xf>
    <xf numFmtId="0" fontId="2" fillId="4" borderId="0" xfId="2" applyFont="1" applyFill="1" applyAlignment="1">
      <alignment horizontal="center"/>
    </xf>
    <xf numFmtId="0" fontId="4" fillId="4" borderId="0" xfId="2" applyFont="1" applyFill="1"/>
    <xf numFmtId="0" fontId="5" fillId="4" borderId="0" xfId="2" applyFont="1" applyFill="1"/>
    <xf numFmtId="9" fontId="5" fillId="4" borderId="0" xfId="2" applyNumberFormat="1" applyFont="1" applyFill="1" applyAlignment="1">
      <alignment horizontal="left"/>
    </xf>
    <xf numFmtId="9" fontId="5" fillId="4" borderId="0" xfId="2" applyNumberFormat="1" applyFont="1" applyFill="1" applyAlignment="1">
      <alignment horizontal="center"/>
    </xf>
    <xf numFmtId="9" fontId="5" fillId="4" borderId="0" xfId="2" applyNumberFormat="1" applyFont="1" applyFill="1" applyAlignment="1">
      <alignment horizontal="right"/>
    </xf>
    <xf numFmtId="9" fontId="5" fillId="4" borderId="0" xfId="1" applyFont="1" applyFill="1" applyBorder="1" applyAlignment="1">
      <alignment horizontal="center"/>
    </xf>
    <xf numFmtId="9" fontId="2" fillId="4" borderId="0" xfId="2" applyNumberFormat="1" applyFont="1" applyFill="1"/>
    <xf numFmtId="9" fontId="2" fillId="4" borderId="0" xfId="1" applyFont="1" applyFill="1" applyBorder="1" applyAlignment="1">
      <alignment horizontal="center"/>
    </xf>
    <xf numFmtId="0" fontId="0" fillId="4" borderId="0" xfId="0" applyFill="1"/>
    <xf numFmtId="0" fontId="1" fillId="4" borderId="0" xfId="2" applyFill="1" applyAlignment="1">
      <alignment horizontal="right" readingOrder="2"/>
    </xf>
    <xf numFmtId="0" fontId="0" fillId="4" borderId="0" xfId="0" applyFill="1" applyAlignment="1">
      <alignment readingOrder="1"/>
    </xf>
    <xf numFmtId="0" fontId="1" fillId="4" borderId="0" xfId="2" applyFill="1" applyAlignment="1">
      <alignment readingOrder="2"/>
    </xf>
    <xf numFmtId="0" fontId="3" fillId="4" borderId="11" xfId="2" applyFont="1" applyFill="1" applyBorder="1" applyAlignment="1">
      <alignment horizontal="center" vertical="top" wrapText="1"/>
    </xf>
    <xf numFmtId="9" fontId="6" fillId="4" borderId="3" xfId="2" applyNumberFormat="1" applyFont="1" applyFill="1" applyBorder="1" applyAlignment="1">
      <alignment horizontal="center"/>
    </xf>
    <xf numFmtId="9" fontId="6" fillId="4" borderId="2" xfId="2" applyNumberFormat="1" applyFont="1" applyFill="1" applyBorder="1" applyAlignment="1">
      <alignment horizontal="center"/>
    </xf>
    <xf numFmtId="49" fontId="2" fillId="4" borderId="3" xfId="2" applyNumberFormat="1" applyFont="1" applyFill="1" applyBorder="1" applyAlignment="1">
      <alignment horizontal="center"/>
    </xf>
    <xf numFmtId="9" fontId="2" fillId="4" borderId="3" xfId="2" applyNumberFormat="1" applyFont="1" applyFill="1" applyBorder="1" applyAlignment="1">
      <alignment horizontal="left"/>
    </xf>
    <xf numFmtId="9" fontId="2" fillId="4" borderId="3" xfId="2" applyNumberFormat="1" applyFont="1" applyFill="1" applyBorder="1" applyAlignment="1">
      <alignment horizontal="center"/>
    </xf>
    <xf numFmtId="9" fontId="2" fillId="4" borderId="3" xfId="2" applyNumberFormat="1" applyFont="1" applyFill="1" applyBorder="1" applyAlignment="1">
      <alignment horizontal="right"/>
    </xf>
    <xf numFmtId="0" fontId="2" fillId="4" borderId="3" xfId="2" applyFont="1" applyFill="1" applyBorder="1" applyAlignment="1">
      <alignment horizontal="center"/>
    </xf>
    <xf numFmtId="0" fontId="2" fillId="4" borderId="2" xfId="2" applyFont="1" applyFill="1" applyBorder="1" applyAlignment="1">
      <alignment horizontal="center"/>
    </xf>
    <xf numFmtId="0" fontId="3" fillId="4" borderId="3" xfId="2" applyFont="1" applyFill="1" applyBorder="1"/>
    <xf numFmtId="0" fontId="2" fillId="4" borderId="2" xfId="2" applyFont="1" applyFill="1" applyBorder="1"/>
    <xf numFmtId="49" fontId="2" fillId="4" borderId="2" xfId="2" applyNumberFormat="1" applyFont="1" applyFill="1" applyBorder="1" applyAlignment="1">
      <alignment horizontal="center"/>
    </xf>
    <xf numFmtId="164" fontId="2" fillId="4" borderId="2" xfId="2" applyNumberFormat="1" applyFont="1" applyFill="1" applyBorder="1" applyAlignment="1">
      <alignment horizontal="left"/>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0" fontId="6" fillId="4" borderId="0" xfId="0" applyFont="1" applyFill="1" applyAlignment="1">
      <alignment horizontal="center"/>
    </xf>
    <xf numFmtId="9" fontId="2" fillId="2" borderId="3" xfId="0" applyNumberFormat="1" applyFont="1" applyFill="1" applyBorder="1" applyAlignment="1">
      <alignment horizontal="center"/>
    </xf>
    <xf numFmtId="9" fontId="2" fillId="3" borderId="2" xfId="0" applyNumberFormat="1" applyFont="1" applyFill="1" applyBorder="1"/>
    <xf numFmtId="0" fontId="2" fillId="0" borderId="0" xfId="0" applyFont="1" applyAlignment="1">
      <alignment vertical="top"/>
    </xf>
    <xf numFmtId="9" fontId="2" fillId="0" borderId="2" xfId="1" applyFont="1" applyBorder="1" applyAlignment="1">
      <alignment horizontal="center"/>
    </xf>
    <xf numFmtId="9" fontId="5" fillId="3" borderId="0" xfId="0" applyNumberFormat="1" applyFont="1" applyFill="1"/>
    <xf numFmtId="9" fontId="2" fillId="3" borderId="3" xfId="0" applyNumberFormat="1" applyFont="1" applyFill="1" applyBorder="1" applyAlignment="1">
      <alignment horizontal="center"/>
    </xf>
    <xf numFmtId="9" fontId="0" fillId="3" borderId="0" xfId="0" applyNumberFormat="1" applyFill="1"/>
    <xf numFmtId="0" fontId="1" fillId="4" borderId="16" xfId="2" applyFill="1" applyBorder="1"/>
    <xf numFmtId="0" fontId="1" fillId="4" borderId="18" xfId="2" applyFill="1" applyBorder="1"/>
    <xf numFmtId="0" fontId="6" fillId="4" borderId="17" xfId="2" applyFont="1" applyFill="1" applyBorder="1"/>
    <xf numFmtId="0" fontId="3" fillId="4" borderId="17" xfId="2" applyFont="1" applyFill="1" applyBorder="1"/>
    <xf numFmtId="0" fontId="3" fillId="4" borderId="18" xfId="2" applyFont="1" applyFill="1" applyBorder="1"/>
    <xf numFmtId="0" fontId="3" fillId="4" borderId="19" xfId="2" applyFont="1" applyFill="1" applyBorder="1"/>
    <xf numFmtId="0" fontId="3" fillId="4" borderId="20" xfId="2" applyFont="1" applyFill="1" applyBorder="1" applyAlignment="1">
      <alignment horizontal="center"/>
    </xf>
    <xf numFmtId="0" fontId="6" fillId="4" borderId="0" xfId="2" applyFont="1" applyFill="1"/>
    <xf numFmtId="0" fontId="3" fillId="4" borderId="0" xfId="2" applyFont="1" applyFill="1" applyAlignment="1">
      <alignment horizontal="center"/>
    </xf>
    <xf numFmtId="0" fontId="3" fillId="4" borderId="21" xfId="2" applyFont="1" applyFill="1" applyBorder="1"/>
    <xf numFmtId="9" fontId="2" fillId="2" borderId="0" xfId="1" applyFont="1" applyFill="1" applyBorder="1" applyAlignment="1">
      <alignment horizontal="center"/>
    </xf>
    <xf numFmtId="164" fontId="2" fillId="3" borderId="0" xfId="1" applyNumberFormat="1" applyFont="1" applyFill="1" applyBorder="1" applyAlignment="1">
      <alignment horizontal="center"/>
    </xf>
    <xf numFmtId="9" fontId="2" fillId="3" borderId="0" xfId="1" applyFont="1" applyFill="1" applyBorder="1" applyAlignment="1">
      <alignment horizontal="center"/>
    </xf>
    <xf numFmtId="0" fontId="3" fillId="0" borderId="1" xfId="2" applyFont="1" applyBorder="1" applyAlignment="1">
      <alignment horizontal="center" vertical="top" wrapText="1"/>
    </xf>
    <xf numFmtId="0" fontId="6" fillId="0" borderId="0" xfId="2" applyFont="1" applyAlignment="1">
      <alignment horizontal="center"/>
    </xf>
    <xf numFmtId="0" fontId="6" fillId="0" borderId="0" xfId="0" applyFont="1" applyAlignment="1">
      <alignment horizontal="center"/>
    </xf>
    <xf numFmtId="0" fontId="3" fillId="0" borderId="1" xfId="0" applyFont="1" applyBorder="1" applyAlignment="1">
      <alignment horizontal="center" vertical="top" wrapText="1"/>
    </xf>
    <xf numFmtId="0" fontId="2" fillId="0" borderId="0" xfId="0" applyFont="1" applyAlignment="1">
      <alignment horizontal="center" vertical="top"/>
    </xf>
    <xf numFmtId="0" fontId="3" fillId="4" borderId="10" xfId="2" applyFont="1" applyFill="1" applyBorder="1" applyAlignment="1">
      <alignment horizontal="center"/>
    </xf>
    <xf numFmtId="0" fontId="3" fillId="4" borderId="11" xfId="2" applyFont="1" applyFill="1" applyBorder="1" applyAlignment="1">
      <alignment horizontal="center"/>
    </xf>
    <xf numFmtId="0" fontId="3" fillId="4" borderId="12" xfId="2" applyFont="1" applyFill="1" applyBorder="1" applyAlignment="1">
      <alignment horizontal="center"/>
    </xf>
    <xf numFmtId="0" fontId="8" fillId="0" borderId="6" xfId="0" applyFont="1" applyBorder="1" applyAlignment="1">
      <alignment horizontal="center" vertical="top" wrapText="1"/>
    </xf>
    <xf numFmtId="0" fontId="8" fillId="0" borderId="0" xfId="0" applyFont="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center" vertical="top" wrapText="1"/>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3" fillId="0" borderId="13" xfId="0" applyFont="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0" borderId="5" xfId="0" applyFont="1" applyBorder="1" applyAlignment="1">
      <alignment horizontal="center" vertical="top" wrapText="1"/>
    </xf>
    <xf numFmtId="0" fontId="3" fillId="4" borderId="0" xfId="2" applyFont="1" applyFill="1" applyAlignment="1">
      <alignment horizontal="center"/>
    </xf>
    <xf numFmtId="0" fontId="3" fillId="4" borderId="18" xfId="2" applyFont="1" applyFill="1" applyBorder="1" applyAlignment="1">
      <alignment horizontal="center"/>
    </xf>
    <xf numFmtId="0" fontId="6" fillId="4" borderId="0" xfId="2" applyFont="1" applyFill="1" applyAlignment="1">
      <alignment horizontal="center"/>
    </xf>
    <xf numFmtId="0" fontId="3" fillId="4" borderId="11" xfId="2" applyFont="1" applyFill="1" applyBorder="1" applyAlignment="1">
      <alignment horizontal="center" vertical="top" wrapText="1"/>
    </xf>
    <xf numFmtId="0" fontId="8" fillId="0" borderId="14" xfId="0" applyFont="1" applyBorder="1" applyAlignment="1">
      <alignment horizontal="center" vertical="top"/>
    </xf>
    <xf numFmtId="0" fontId="8" fillId="0" borderId="15" xfId="0" applyFont="1" applyBorder="1" applyAlignment="1">
      <alignment horizontal="center" vertical="top"/>
    </xf>
    <xf numFmtId="0" fontId="2" fillId="0" borderId="17" xfId="0" applyFont="1" applyBorder="1" applyAlignment="1">
      <alignment horizontal="center" vertical="top"/>
    </xf>
    <xf numFmtId="0" fontId="6" fillId="4" borderId="18" xfId="2" applyFont="1" applyFill="1" applyBorder="1" applyAlignment="1">
      <alignment horizontal="center"/>
    </xf>
    <xf numFmtId="0" fontId="8" fillId="4" borderId="8"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9" xfId="0" applyFont="1" applyFill="1" applyBorder="1" applyAlignment="1">
      <alignment horizontal="center" vertical="top" wrapText="1"/>
    </xf>
    <xf numFmtId="0" fontId="12" fillId="4" borderId="0" xfId="0" applyFont="1" applyFill="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4" borderId="12" xfId="0" applyFont="1" applyFill="1" applyBorder="1" applyAlignment="1">
      <alignment horizontal="center"/>
    </xf>
    <xf numFmtId="0" fontId="3" fillId="4" borderId="13" xfId="0" applyFont="1" applyFill="1" applyBorder="1" applyAlignment="1">
      <alignment horizontal="center" vertical="top" wrapText="1"/>
    </xf>
    <xf numFmtId="0" fontId="8" fillId="4" borderId="4"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6" xfId="0" applyFont="1" applyFill="1" applyBorder="1" applyAlignment="1">
      <alignment horizontal="center" vertical="top" wrapText="1"/>
    </xf>
    <xf numFmtId="0" fontId="8" fillId="4" borderId="0" xfId="0" applyFont="1" applyFill="1" applyAlignment="1">
      <alignment horizontal="center" vertical="top" wrapText="1"/>
    </xf>
    <xf numFmtId="0" fontId="8" fillId="4" borderId="7" xfId="0" applyFont="1" applyFill="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xf numFmtId="10" fontId="6" fillId="4" borderId="10" xfId="2" applyNumberFormat="1" applyFont="1" applyFill="1" applyBorder="1" applyAlignment="1">
      <alignment horizontal="center"/>
    </xf>
    <xf numFmtId="10" fontId="6" fillId="4" borderId="11" xfId="2" applyNumberFormat="1" applyFont="1" applyFill="1" applyBorder="1" applyAlignment="1">
      <alignment horizontal="center"/>
    </xf>
    <xf numFmtId="10" fontId="6" fillId="4" borderId="12" xfId="2" applyNumberFormat="1" applyFont="1" applyFill="1" applyBorder="1" applyAlignment="1">
      <alignment horizontal="center"/>
    </xf>
    <xf numFmtId="10" fontId="6" fillId="4" borderId="0" xfId="2" applyNumberFormat="1" applyFont="1" applyFill="1" applyAlignment="1">
      <alignment horizontal="center"/>
    </xf>
    <xf numFmtId="10" fontId="6" fillId="0" borderId="0" xfId="0" applyNumberFormat="1" applyFont="1" applyAlignment="1">
      <alignment horizontal="center"/>
    </xf>
    <xf numFmtId="10" fontId="6" fillId="0" borderId="0" xfId="2" applyNumberFormat="1" applyFont="1" applyAlignment="1">
      <alignment horizontal="center"/>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2"/>
  <sheetViews>
    <sheetView showGridLines="0" rightToLeft="1" tabSelected="1" zoomScale="92" zoomScaleNormal="100" workbookViewId="0">
      <selection activeCell="G27" sqref="G27"/>
    </sheetView>
  </sheetViews>
  <sheetFormatPr defaultRowHeight="12.75" x14ac:dyDescent="0.2"/>
  <cols>
    <col min="1" max="1" width="4.42578125" style="49" customWidth="1"/>
    <col min="2" max="2" width="29.140625" style="49" customWidth="1"/>
    <col min="3" max="3" width="4.140625" style="49" customWidth="1"/>
    <col min="4" max="4" width="13.5703125" style="49" customWidth="1"/>
    <col min="5" max="5" width="15.42578125" style="49" customWidth="1"/>
    <col min="6" max="6" width="2.42578125" style="49" customWidth="1"/>
    <col min="7" max="7" width="17" style="49" customWidth="1"/>
    <col min="8" max="8" width="14.28515625" style="49" bestFit="1" customWidth="1"/>
    <col min="9" max="9" width="9" style="49" bestFit="1" customWidth="1"/>
    <col min="10" max="10" width="2" style="49" customWidth="1"/>
    <col min="11" max="11" width="20" style="49" customWidth="1"/>
    <col min="12" max="12" width="36.42578125" style="49" customWidth="1"/>
    <col min="13" max="13" width="18.5703125" style="49" customWidth="1"/>
    <col min="14" max="14" width="24.140625" style="49" customWidth="1"/>
    <col min="15" max="15" width="18.5703125" style="49" customWidth="1"/>
    <col min="16" max="16384" width="9.140625" style="49"/>
  </cols>
  <sheetData>
    <row r="2" spans="1:14" ht="18" x14ac:dyDescent="0.25">
      <c r="A2" s="56"/>
      <c r="B2" s="179" t="s">
        <v>52</v>
      </c>
      <c r="C2" s="179"/>
      <c r="D2" s="179"/>
      <c r="E2" s="179"/>
      <c r="F2" s="179"/>
      <c r="G2" s="179"/>
      <c r="H2" s="179"/>
      <c r="I2" s="179"/>
      <c r="J2" s="179"/>
      <c r="K2" s="179"/>
      <c r="L2" s="179"/>
    </row>
    <row r="3" spans="1:14" ht="18" x14ac:dyDescent="0.25">
      <c r="A3" s="56"/>
      <c r="B3" s="94"/>
      <c r="C3" s="94"/>
      <c r="D3" s="94"/>
      <c r="E3" s="94"/>
      <c r="F3" s="94"/>
      <c r="G3" s="94"/>
      <c r="H3" s="94"/>
      <c r="I3" s="94"/>
      <c r="J3" s="94"/>
      <c r="K3" s="94"/>
      <c r="L3" s="94"/>
    </row>
    <row r="4" spans="1:14" ht="48" thickBot="1" x14ac:dyDescent="0.25">
      <c r="A4" s="56"/>
      <c r="B4" s="91" t="s">
        <v>0</v>
      </c>
      <c r="C4" s="88"/>
      <c r="D4" s="93" t="s">
        <v>49</v>
      </c>
      <c r="E4" s="92" t="s">
        <v>50</v>
      </c>
      <c r="F4" s="88"/>
      <c r="G4" s="91" t="s">
        <v>51</v>
      </c>
      <c r="H4" s="91" t="s">
        <v>1</v>
      </c>
      <c r="I4" s="178" t="s">
        <v>2</v>
      </c>
      <c r="J4" s="178"/>
      <c r="K4" s="178"/>
      <c r="L4" s="91" t="s">
        <v>3</v>
      </c>
      <c r="M4" s="87"/>
      <c r="N4" s="87"/>
    </row>
    <row r="5" spans="1:14" ht="15.75" x14ac:dyDescent="0.2">
      <c r="A5" s="56"/>
      <c r="B5" s="88"/>
      <c r="C5" s="88"/>
      <c r="D5" s="90"/>
      <c r="E5" s="89"/>
      <c r="F5" s="88"/>
      <c r="G5" s="88"/>
      <c r="H5" s="88"/>
      <c r="I5" s="88"/>
      <c r="J5" s="88"/>
      <c r="K5" s="88"/>
      <c r="L5" s="88"/>
      <c r="M5" s="87"/>
    </row>
    <row r="6" spans="1:14" ht="18" x14ac:dyDescent="0.25">
      <c r="A6" s="56"/>
      <c r="B6" s="86" t="s">
        <v>4</v>
      </c>
      <c r="C6" s="56"/>
      <c r="D6" s="75">
        <v>0.08</v>
      </c>
      <c r="E6" s="85">
        <v>0.05</v>
      </c>
      <c r="F6" s="79"/>
      <c r="G6" s="84">
        <v>0.14000000000000001</v>
      </c>
      <c r="H6" s="71" t="s">
        <v>5</v>
      </c>
      <c r="I6" s="80">
        <f>G6+5%</f>
        <v>0.19</v>
      </c>
      <c r="J6" s="79" t="s">
        <v>14</v>
      </c>
      <c r="K6" s="78">
        <f>G6-5%</f>
        <v>9.0000000000000011E-2</v>
      </c>
      <c r="L6" s="81" t="s">
        <v>32</v>
      </c>
    </row>
    <row r="7" spans="1:14" ht="15" x14ac:dyDescent="0.2">
      <c r="A7" s="56"/>
      <c r="B7" s="56"/>
      <c r="C7" s="56"/>
      <c r="D7" s="82"/>
      <c r="E7" s="77"/>
      <c r="F7" s="81"/>
      <c r="G7" s="81"/>
      <c r="H7" s="81"/>
      <c r="I7" s="81"/>
      <c r="J7" s="81"/>
      <c r="K7" s="81"/>
      <c r="L7" s="81"/>
    </row>
    <row r="8" spans="1:14" ht="18" x14ac:dyDescent="0.25">
      <c r="A8" s="56"/>
      <c r="B8" s="86" t="s">
        <v>6</v>
      </c>
      <c r="C8" s="56" t="s">
        <v>9</v>
      </c>
      <c r="D8" s="75">
        <v>0.08</v>
      </c>
      <c r="E8" s="85">
        <v>0.11</v>
      </c>
      <c r="F8" s="79"/>
      <c r="G8" s="84">
        <v>0.17</v>
      </c>
      <c r="H8" s="71" t="s">
        <v>7</v>
      </c>
      <c r="I8" s="80">
        <f>G8+6%</f>
        <v>0.23</v>
      </c>
      <c r="J8" s="79" t="s">
        <v>14</v>
      </c>
      <c r="K8" s="78">
        <f>G8-6%</f>
        <v>0.11000000000000001</v>
      </c>
      <c r="L8" s="81" t="s">
        <v>41</v>
      </c>
    </row>
    <row r="9" spans="1:14" ht="15" x14ac:dyDescent="0.2">
      <c r="A9" s="56"/>
      <c r="B9" s="56"/>
      <c r="C9" s="56"/>
      <c r="D9" s="82"/>
      <c r="E9" s="77"/>
      <c r="F9" s="81"/>
      <c r="G9" s="81"/>
      <c r="H9" s="81"/>
      <c r="I9" s="81"/>
      <c r="J9" s="81"/>
      <c r="K9" s="81"/>
      <c r="L9" s="66" t="s">
        <v>40</v>
      </c>
    </row>
    <row r="10" spans="1:14" ht="18" x14ac:dyDescent="0.25">
      <c r="A10" s="56"/>
      <c r="B10" s="86" t="s">
        <v>8</v>
      </c>
      <c r="C10" s="56" t="s">
        <v>22</v>
      </c>
      <c r="D10" s="75">
        <v>0.52</v>
      </c>
      <c r="E10" s="85">
        <v>0.49</v>
      </c>
      <c r="F10" s="79"/>
      <c r="G10" s="84">
        <v>0.47</v>
      </c>
      <c r="H10" s="71" t="s">
        <v>7</v>
      </c>
      <c r="I10" s="80">
        <f>G10+6%</f>
        <v>0.53</v>
      </c>
      <c r="J10" s="79" t="s">
        <v>14</v>
      </c>
      <c r="K10" s="78">
        <f>G10-6%</f>
        <v>0.41</v>
      </c>
    </row>
    <row r="11" spans="1:14" ht="15" x14ac:dyDescent="0.2">
      <c r="A11" s="56"/>
      <c r="B11" s="83"/>
      <c r="C11" s="83"/>
      <c r="D11" s="82"/>
      <c r="E11" s="77"/>
      <c r="F11" s="81"/>
      <c r="G11" s="81"/>
      <c r="H11" s="81"/>
      <c r="I11" s="80"/>
      <c r="J11" s="79"/>
      <c r="K11" s="78"/>
      <c r="L11" s="71" t="s">
        <v>38</v>
      </c>
    </row>
    <row r="12" spans="1:14" ht="15" x14ac:dyDescent="0.2">
      <c r="A12" s="56"/>
      <c r="B12" s="56"/>
      <c r="C12" s="56"/>
      <c r="D12" s="59"/>
      <c r="E12" s="77"/>
      <c r="F12" s="76"/>
      <c r="G12" s="76"/>
      <c r="H12" s="76"/>
      <c r="I12" s="74"/>
      <c r="J12" s="73"/>
      <c r="K12" s="72"/>
      <c r="L12" s="71" t="s">
        <v>39</v>
      </c>
    </row>
    <row r="13" spans="1:14" ht="15" x14ac:dyDescent="0.2">
      <c r="A13" s="56"/>
      <c r="B13" s="56" t="s">
        <v>33</v>
      </c>
      <c r="C13" s="56"/>
      <c r="D13" s="75">
        <v>0.1</v>
      </c>
      <c r="E13" s="35"/>
      <c r="F13" s="20"/>
      <c r="G13" s="73">
        <v>0.09</v>
      </c>
      <c r="H13" s="71" t="s">
        <v>35</v>
      </c>
      <c r="I13" s="74"/>
      <c r="J13" s="73"/>
      <c r="K13" s="72"/>
      <c r="L13" s="56"/>
    </row>
    <row r="14" spans="1:14" ht="15.75" customHeight="1" x14ac:dyDescent="0.2">
      <c r="A14" s="56"/>
      <c r="B14" s="50" t="s">
        <v>34</v>
      </c>
      <c r="C14" s="56"/>
      <c r="D14" s="61">
        <v>0.42</v>
      </c>
      <c r="E14" s="36"/>
      <c r="F14" s="20"/>
      <c r="G14" s="69">
        <v>0.38</v>
      </c>
      <c r="H14" s="54" t="s">
        <v>35</v>
      </c>
      <c r="I14" s="70"/>
      <c r="J14" s="69"/>
      <c r="K14" s="63"/>
      <c r="L14" s="50"/>
    </row>
    <row r="15" spans="1:14" ht="15" x14ac:dyDescent="0.2">
      <c r="A15" s="56"/>
      <c r="B15" s="56"/>
      <c r="C15" s="56"/>
      <c r="D15" s="59"/>
      <c r="E15" s="68"/>
      <c r="F15" s="67"/>
      <c r="G15" s="56"/>
      <c r="H15" s="56"/>
      <c r="I15" s="56"/>
      <c r="J15" s="56"/>
      <c r="K15" s="56"/>
      <c r="L15" s="56"/>
    </row>
    <row r="16" spans="1:14" ht="18" x14ac:dyDescent="0.25">
      <c r="A16" s="56"/>
      <c r="B16" s="57" t="s">
        <v>10</v>
      </c>
      <c r="C16" s="56"/>
      <c r="D16" s="61">
        <v>0.15</v>
      </c>
      <c r="E16" s="60">
        <v>0.15</v>
      </c>
      <c r="F16" s="56"/>
      <c r="G16" s="55">
        <v>0.15</v>
      </c>
      <c r="H16" s="52">
        <v>-0.05</v>
      </c>
      <c r="I16" s="53">
        <f>G16</f>
        <v>0.15</v>
      </c>
      <c r="J16" s="52" t="s">
        <v>14</v>
      </c>
      <c r="K16" s="63">
        <f>G16-5%</f>
        <v>9.9999999999999992E-2</v>
      </c>
      <c r="L16" s="62" t="s">
        <v>15</v>
      </c>
    </row>
    <row r="17" spans="1:13" ht="15" x14ac:dyDescent="0.2">
      <c r="A17" s="56"/>
      <c r="B17" s="56"/>
      <c r="C17" s="56"/>
      <c r="D17" s="59"/>
      <c r="E17" s="58"/>
      <c r="F17" s="56"/>
      <c r="G17" s="56"/>
      <c r="H17" s="56"/>
      <c r="I17" s="56"/>
      <c r="J17" s="56"/>
      <c r="K17" s="56"/>
      <c r="L17" s="56"/>
    </row>
    <row r="18" spans="1:13" ht="15" x14ac:dyDescent="0.2">
      <c r="A18" s="56"/>
      <c r="B18" s="56"/>
      <c r="C18" s="56"/>
      <c r="D18" s="59"/>
      <c r="E18" s="58"/>
      <c r="F18" s="56"/>
      <c r="G18" s="56"/>
      <c r="H18" s="56"/>
      <c r="I18" s="56"/>
      <c r="J18" s="56"/>
      <c r="K18" s="56"/>
      <c r="L18" s="66"/>
      <c r="M18" s="64"/>
    </row>
    <row r="19" spans="1:13" ht="18" x14ac:dyDescent="0.25">
      <c r="A19" s="56"/>
      <c r="B19" s="57" t="s">
        <v>11</v>
      </c>
      <c r="C19" s="56" t="s">
        <v>36</v>
      </c>
      <c r="D19" s="61">
        <v>0.17</v>
      </c>
      <c r="E19" s="39">
        <v>0.2</v>
      </c>
      <c r="F19" s="24"/>
      <c r="G19" s="55">
        <v>0.17</v>
      </c>
      <c r="H19" s="54" t="s">
        <v>5</v>
      </c>
      <c r="I19" s="53">
        <f>G19+5%</f>
        <v>0.22000000000000003</v>
      </c>
      <c r="J19" s="52" t="s">
        <v>14</v>
      </c>
      <c r="K19" s="63">
        <f>G19-5%</f>
        <v>0.12000000000000001</v>
      </c>
      <c r="L19" s="65" t="s">
        <v>42</v>
      </c>
      <c r="M19" s="64"/>
    </row>
    <row r="20" spans="1:13" ht="15" x14ac:dyDescent="0.2">
      <c r="A20" s="56"/>
      <c r="B20" s="56"/>
      <c r="C20" s="56"/>
      <c r="D20" s="59"/>
      <c r="E20" s="58"/>
      <c r="F20" s="56"/>
      <c r="G20" s="56"/>
      <c r="H20" s="56"/>
      <c r="I20" s="56"/>
      <c r="J20" s="56"/>
      <c r="K20" s="56"/>
    </row>
    <row r="21" spans="1:13" ht="18" x14ac:dyDescent="0.25">
      <c r="A21" s="56"/>
      <c r="B21" s="57" t="s">
        <v>31</v>
      </c>
      <c r="C21" s="56"/>
      <c r="D21" s="61">
        <v>0.05</v>
      </c>
      <c r="E21" s="39">
        <v>0.05</v>
      </c>
      <c r="F21" s="24"/>
      <c r="G21" s="55">
        <v>0.05</v>
      </c>
      <c r="H21" s="54" t="s">
        <v>5</v>
      </c>
      <c r="I21" s="95">
        <f>G21+5%</f>
        <v>0.1</v>
      </c>
      <c r="J21" s="52" t="s">
        <v>14</v>
      </c>
      <c r="K21" s="63">
        <f>G21-5%</f>
        <v>0</v>
      </c>
      <c r="L21" s="62" t="s">
        <v>16</v>
      </c>
    </row>
    <row r="22" spans="1:13" ht="15" x14ac:dyDescent="0.2">
      <c r="A22" s="56"/>
      <c r="B22" s="56"/>
      <c r="C22" s="56"/>
      <c r="D22" s="59"/>
      <c r="E22" s="58"/>
      <c r="F22" s="56"/>
      <c r="G22" s="56"/>
      <c r="H22" s="56"/>
      <c r="I22" s="56"/>
      <c r="J22" s="56"/>
      <c r="K22" s="56"/>
      <c r="L22" s="56"/>
    </row>
    <row r="23" spans="1:13" ht="18" x14ac:dyDescent="0.25">
      <c r="A23" s="56"/>
      <c r="B23" s="57" t="s">
        <v>12</v>
      </c>
      <c r="C23" s="56"/>
      <c r="D23" s="61">
        <f>D6+D8+D10+D16+D19+D21</f>
        <v>1.05</v>
      </c>
      <c r="E23" s="60">
        <f>E6+E8+E10+E16+E19+E21</f>
        <v>1.05</v>
      </c>
      <c r="F23" s="56"/>
      <c r="G23" s="55">
        <f>G6+G8+G10+G16+G19+G21</f>
        <v>1.1500000000000001</v>
      </c>
      <c r="H23" s="50"/>
      <c r="I23" s="50"/>
      <c r="J23" s="50"/>
      <c r="K23" s="50"/>
      <c r="L23" s="50"/>
    </row>
    <row r="24" spans="1:13" ht="15" x14ac:dyDescent="0.2">
      <c r="A24" s="56"/>
      <c r="B24" s="56"/>
      <c r="C24" s="56"/>
      <c r="D24" s="59"/>
      <c r="E24" s="58"/>
      <c r="F24" s="56"/>
      <c r="G24" s="56"/>
      <c r="H24" s="56"/>
      <c r="I24" s="56"/>
      <c r="J24" s="56"/>
      <c r="K24" s="56"/>
      <c r="L24" s="56"/>
    </row>
    <row r="25" spans="1:13" ht="18" x14ac:dyDescent="0.25">
      <c r="A25" s="56"/>
      <c r="B25" s="57" t="s">
        <v>13</v>
      </c>
      <c r="D25" s="30">
        <v>0.42</v>
      </c>
      <c r="E25" s="39">
        <v>0.39</v>
      </c>
      <c r="G25" s="55">
        <v>0.39</v>
      </c>
      <c r="H25" s="54" t="s">
        <v>7</v>
      </c>
      <c r="I25" s="53">
        <f>G25+6%</f>
        <v>0.45</v>
      </c>
      <c r="J25" s="52" t="s">
        <v>14</v>
      </c>
      <c r="K25" s="51">
        <f>G25-6%</f>
        <v>0.33</v>
      </c>
      <c r="L25" s="50"/>
    </row>
    <row r="26" spans="1:13" ht="18" x14ac:dyDescent="0.25">
      <c r="A26" s="56"/>
      <c r="B26" s="86"/>
      <c r="D26" s="175"/>
      <c r="E26" s="177"/>
      <c r="G26" s="84"/>
      <c r="H26" s="71"/>
      <c r="I26" s="80"/>
      <c r="J26" s="79"/>
      <c r="K26" s="78"/>
      <c r="L26" s="56"/>
    </row>
    <row r="27" spans="1:13" ht="18" x14ac:dyDescent="0.25">
      <c r="A27" s="56"/>
      <c r="B27" s="86" t="s">
        <v>68</v>
      </c>
      <c r="D27" s="175"/>
      <c r="E27" s="177"/>
      <c r="G27" s="228">
        <v>5.0000000000000001E-3</v>
      </c>
      <c r="H27" s="71"/>
      <c r="I27" s="80"/>
      <c r="J27" s="79"/>
      <c r="K27" s="78"/>
      <c r="L27" s="56"/>
    </row>
    <row r="28" spans="1:13" x14ac:dyDescent="0.2">
      <c r="J28"/>
    </row>
    <row r="29" spans="1:13" x14ac:dyDescent="0.2">
      <c r="B29" s="112" t="s">
        <v>37</v>
      </c>
      <c r="D29"/>
      <c r="J29"/>
    </row>
    <row r="30" spans="1:13" x14ac:dyDescent="0.2">
      <c r="B30" s="113" t="s">
        <v>44</v>
      </c>
      <c r="D30"/>
      <c r="J30"/>
    </row>
    <row r="31" spans="1:13" x14ac:dyDescent="0.2">
      <c r="B31" s="113" t="s">
        <v>43</v>
      </c>
      <c r="D31"/>
      <c r="J31"/>
    </row>
    <row r="32" spans="1:13" x14ac:dyDescent="0.2">
      <c r="B32" s="111"/>
    </row>
  </sheetData>
  <mergeCells count="2">
    <mergeCell ref="I4:K4"/>
    <mergeCell ref="B2:L2"/>
  </mergeCells>
  <pageMargins left="0.74803149606299213" right="0.74803149606299213" top="0.98425196850393704" bottom="0.98425196850393704" header="0.51181102362204722" footer="0.51181102362204722"/>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2"/>
  <sheetViews>
    <sheetView showGridLines="0" rightToLeft="1" zoomScaleNormal="100" workbookViewId="0">
      <selection activeCell="G26" sqref="G26"/>
    </sheetView>
  </sheetViews>
  <sheetFormatPr defaultRowHeight="12.75" x14ac:dyDescent="0.2"/>
  <cols>
    <col min="1" max="1" width="4.42578125" customWidth="1"/>
    <col min="2" max="2" width="29.140625" style="49" customWidth="1"/>
    <col min="3" max="3" width="4.140625" style="49"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33.42578125" customWidth="1"/>
    <col min="13" max="13" width="18.5703125" customWidth="1"/>
    <col min="14" max="14" width="24.140625" customWidth="1"/>
    <col min="15" max="15" width="18.5703125" customWidth="1"/>
  </cols>
  <sheetData>
    <row r="2" spans="1:14" ht="18" x14ac:dyDescent="0.25">
      <c r="A2" s="2"/>
      <c r="B2" s="180" t="s">
        <v>53</v>
      </c>
      <c r="C2" s="180"/>
      <c r="D2" s="180"/>
      <c r="E2" s="180"/>
      <c r="F2" s="180"/>
      <c r="G2" s="180"/>
      <c r="H2" s="180"/>
      <c r="I2" s="180"/>
      <c r="J2" s="180"/>
      <c r="K2" s="180"/>
      <c r="L2" s="180"/>
    </row>
    <row r="3" spans="1:14" ht="18" x14ac:dyDescent="0.25">
      <c r="A3" s="2"/>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81" t="s">
        <v>2</v>
      </c>
      <c r="J4" s="181"/>
      <c r="K4" s="181"/>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0.22</v>
      </c>
      <c r="E6" s="32">
        <v>0.25</v>
      </c>
      <c r="F6" s="6"/>
      <c r="G6" s="40">
        <v>0.25</v>
      </c>
      <c r="H6" s="7" t="s">
        <v>5</v>
      </c>
      <c r="I6" s="8">
        <f>G6+5%</f>
        <v>0.3</v>
      </c>
      <c r="J6" s="6" t="s">
        <v>14</v>
      </c>
      <c r="K6" s="15">
        <f>G6-5%</f>
        <v>0.2</v>
      </c>
      <c r="L6" s="81" t="s">
        <v>32</v>
      </c>
    </row>
    <row r="7" spans="1:14" ht="15" x14ac:dyDescent="0.2">
      <c r="A7" s="2"/>
      <c r="B7" s="56"/>
      <c r="C7" s="56"/>
      <c r="D7" s="27"/>
      <c r="E7" s="33"/>
      <c r="F7" s="5"/>
      <c r="G7" s="5"/>
      <c r="H7" s="5"/>
      <c r="I7" s="5"/>
      <c r="J7" s="5"/>
      <c r="K7" s="5"/>
      <c r="L7" s="81"/>
    </row>
    <row r="8" spans="1:14" ht="18" x14ac:dyDescent="0.25">
      <c r="A8" s="2"/>
      <c r="B8" s="86" t="s">
        <v>6</v>
      </c>
      <c r="C8" s="56" t="s">
        <v>9</v>
      </c>
      <c r="D8" s="26">
        <v>0.21</v>
      </c>
      <c r="E8" s="32">
        <v>0.2</v>
      </c>
      <c r="F8" s="6"/>
      <c r="G8" s="40">
        <v>0.3</v>
      </c>
      <c r="H8" s="7" t="s">
        <v>7</v>
      </c>
      <c r="I8" s="8">
        <f>G8+6%</f>
        <v>0.36</v>
      </c>
      <c r="J8" s="6" t="s">
        <v>14</v>
      </c>
      <c r="K8" s="15">
        <f>G8-6%</f>
        <v>0.24</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0.52</v>
      </c>
      <c r="E10" s="32">
        <v>0.47</v>
      </c>
      <c r="F10" s="6"/>
      <c r="G10" s="40">
        <v>0.5</v>
      </c>
      <c r="H10" s="7" t="s">
        <v>7</v>
      </c>
      <c r="I10" s="8">
        <f>G10+6%</f>
        <v>0.56000000000000005</v>
      </c>
      <c r="J10" s="6" t="s">
        <v>14</v>
      </c>
      <c r="K10" s="15">
        <f>G10-6%</f>
        <v>0.44</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0.1</v>
      </c>
      <c r="E13" s="96"/>
      <c r="F13" s="20"/>
      <c r="G13" s="10">
        <v>0.1</v>
      </c>
      <c r="H13" s="71" t="s">
        <v>35</v>
      </c>
      <c r="I13" s="16"/>
      <c r="J13" s="10"/>
      <c r="K13" s="17"/>
      <c r="L13" s="56"/>
    </row>
    <row r="14" spans="1:14" ht="15.75" customHeight="1" x14ac:dyDescent="0.2">
      <c r="A14" s="2"/>
      <c r="B14" s="50" t="s">
        <v>34</v>
      </c>
      <c r="C14" s="56"/>
      <c r="D14" s="29">
        <v>0.42</v>
      </c>
      <c r="E14" s="97"/>
      <c r="F14" s="20"/>
      <c r="G14" s="11">
        <v>0.4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0.05</v>
      </c>
      <c r="E16" s="44">
        <v>0</v>
      </c>
      <c r="F16" s="2"/>
      <c r="G16" s="41">
        <v>0</v>
      </c>
      <c r="H16" s="23" t="s">
        <v>5</v>
      </c>
      <c r="I16" s="12">
        <f>G16+5%</f>
        <v>0.05</v>
      </c>
      <c r="J16" s="13" t="s">
        <v>14</v>
      </c>
      <c r="K16" s="19">
        <f>0%</f>
        <v>0</v>
      </c>
      <c r="L16" s="62" t="s">
        <v>15</v>
      </c>
    </row>
    <row r="17" spans="1:15" ht="15" x14ac:dyDescent="0.2">
      <c r="A17" s="2"/>
      <c r="B17" s="56"/>
      <c r="C17" s="56"/>
      <c r="D17" s="28"/>
      <c r="E17" s="38"/>
      <c r="F17" s="2"/>
      <c r="G17" s="2"/>
      <c r="H17" s="2"/>
      <c r="I17" s="2"/>
      <c r="J17" s="2"/>
      <c r="K17" s="2"/>
      <c r="L17" s="66"/>
    </row>
    <row r="18" spans="1:15" ht="18" x14ac:dyDescent="0.25">
      <c r="A18" s="2"/>
      <c r="B18" s="57" t="s">
        <v>11</v>
      </c>
      <c r="C18" s="56"/>
      <c r="D18" s="29">
        <v>0</v>
      </c>
      <c r="E18" s="39">
        <v>0</v>
      </c>
      <c r="F18" s="24"/>
      <c r="G18" s="41">
        <v>0</v>
      </c>
      <c r="H18" s="23" t="s">
        <v>5</v>
      </c>
      <c r="I18" s="12">
        <f>G18+5%</f>
        <v>0.05</v>
      </c>
      <c r="J18" s="13" t="s">
        <v>14</v>
      </c>
      <c r="K18" s="19">
        <v>0</v>
      </c>
      <c r="L18" s="65" t="s">
        <v>42</v>
      </c>
    </row>
    <row r="19" spans="1:15" ht="15" x14ac:dyDescent="0.2">
      <c r="A19" s="2"/>
      <c r="B19" s="56"/>
      <c r="C19" s="56" t="s">
        <v>36</v>
      </c>
      <c r="D19" s="28"/>
      <c r="E19" s="38"/>
      <c r="F19" s="2"/>
      <c r="G19" s="2"/>
      <c r="H19" s="2"/>
      <c r="I19" s="2"/>
      <c r="J19" s="2"/>
      <c r="K19" s="2"/>
      <c r="L19" s="49"/>
    </row>
    <row r="20" spans="1:15" ht="18" x14ac:dyDescent="0.25">
      <c r="A20" s="2"/>
      <c r="B20" s="57" t="s">
        <v>31</v>
      </c>
      <c r="C20" s="56"/>
      <c r="D20" s="29">
        <v>0.05</v>
      </c>
      <c r="E20" s="98">
        <v>0.08</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1.05</v>
      </c>
      <c r="E22" s="44">
        <f>E6+E8+E10+E16+E18+E20</f>
        <v>0.99999999999999989</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0.42</v>
      </c>
      <c r="E24" s="98">
        <v>0.38</v>
      </c>
      <c r="F24" s="24"/>
      <c r="G24" s="41">
        <v>0.42</v>
      </c>
      <c r="H24" s="23" t="s">
        <v>7</v>
      </c>
      <c r="I24" s="12">
        <f>G24+6%</f>
        <v>0.48</v>
      </c>
      <c r="J24" s="13" t="s">
        <v>14</v>
      </c>
      <c r="K24" s="14">
        <f>G24-6%</f>
        <v>0.36</v>
      </c>
      <c r="L24" s="50"/>
    </row>
    <row r="25" spans="1:15" ht="18" x14ac:dyDescent="0.25">
      <c r="A25" s="2"/>
      <c r="B25" s="86"/>
      <c r="C25" s="56"/>
      <c r="D25" s="175"/>
      <c r="E25" s="176"/>
      <c r="F25" s="24"/>
      <c r="G25" s="40"/>
      <c r="H25" s="7"/>
      <c r="I25" s="8"/>
      <c r="J25" s="6"/>
      <c r="K25" s="15"/>
      <c r="L25" s="56"/>
    </row>
    <row r="26" spans="1:15" ht="18" x14ac:dyDescent="0.25">
      <c r="A26" s="2"/>
      <c r="B26" s="86" t="s">
        <v>68</v>
      </c>
      <c r="C26" s="56"/>
      <c r="D26" s="175"/>
      <c r="E26" s="176"/>
      <c r="F26" s="24"/>
      <c r="G26" s="227">
        <v>5.0000000000000001E-3</v>
      </c>
      <c r="H26" s="7"/>
      <c r="I26" s="8"/>
      <c r="J26" s="6"/>
      <c r="K26" s="15"/>
      <c r="L26" s="56"/>
    </row>
    <row r="27" spans="1:15" ht="15" x14ac:dyDescent="0.2">
      <c r="C27" s="56"/>
    </row>
    <row r="29" spans="1:15" ht="18" x14ac:dyDescent="0.25">
      <c r="B29" s="112" t="s">
        <v>37</v>
      </c>
      <c r="M29" s="42"/>
      <c r="N29" s="46"/>
      <c r="O29" s="46"/>
    </row>
    <row r="30" spans="1:15" x14ac:dyDescent="0.2">
      <c r="B30" s="113" t="s">
        <v>44</v>
      </c>
    </row>
    <row r="31" spans="1:15" x14ac:dyDescent="0.2">
      <c r="B31" s="113" t="s">
        <v>43</v>
      </c>
    </row>
    <row r="32" spans="1:15" x14ac:dyDescent="0.2">
      <c r="B32" s="111"/>
    </row>
  </sheetData>
  <mergeCells count="2">
    <mergeCell ref="B2:L2"/>
    <mergeCell ref="I4:K4"/>
  </mergeCells>
  <pageMargins left="0.74803149606299213" right="0.74803149606299213" top="0.98425196850393704" bottom="0.98425196850393704" header="0.51181102362204722" footer="0.51181102362204722"/>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4"/>
  <sheetViews>
    <sheetView showGridLines="0" rightToLeft="1" zoomScaleNormal="100" workbookViewId="0">
      <selection activeCell="G26" sqref="G26"/>
    </sheetView>
  </sheetViews>
  <sheetFormatPr defaultRowHeight="12.75" x14ac:dyDescent="0.2"/>
  <cols>
    <col min="1" max="1" width="2.140625" customWidth="1"/>
    <col min="2" max="2" width="29.140625" style="49" customWidth="1"/>
    <col min="3" max="3" width="4.140625" style="49"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35.425781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80" t="s">
        <v>55</v>
      </c>
      <c r="C2" s="180"/>
      <c r="D2" s="180"/>
      <c r="E2" s="180"/>
      <c r="F2" s="180"/>
      <c r="G2" s="180"/>
      <c r="H2" s="180"/>
      <c r="I2" s="180"/>
      <c r="J2" s="180"/>
      <c r="K2" s="180"/>
      <c r="L2" s="180"/>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81" t="s">
        <v>2</v>
      </c>
      <c r="J4" s="181"/>
      <c r="K4" s="181"/>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0.24</v>
      </c>
      <c r="E6" s="32">
        <v>0.21</v>
      </c>
      <c r="F6" s="6"/>
      <c r="G6" s="40">
        <v>0.25</v>
      </c>
      <c r="H6" s="7" t="s">
        <v>5</v>
      </c>
      <c r="I6" s="8">
        <f>G6+5%</f>
        <v>0.3</v>
      </c>
      <c r="J6" s="6" t="s">
        <v>14</v>
      </c>
      <c r="K6" s="15">
        <f>G6-5%</f>
        <v>0.2</v>
      </c>
      <c r="L6" s="81" t="s">
        <v>32</v>
      </c>
    </row>
    <row r="7" spans="1:14" ht="15" x14ac:dyDescent="0.2">
      <c r="A7" s="2"/>
      <c r="B7" s="56"/>
      <c r="C7" s="56"/>
      <c r="D7" s="27"/>
      <c r="E7" s="33"/>
      <c r="F7" s="5"/>
      <c r="G7" s="5"/>
      <c r="H7" s="5"/>
      <c r="I7" s="5"/>
      <c r="J7" s="5"/>
      <c r="K7" s="5"/>
      <c r="L7" s="81"/>
    </row>
    <row r="8" spans="1:14" ht="18" x14ac:dyDescent="0.25">
      <c r="A8" s="2"/>
      <c r="B8" s="86" t="s">
        <v>6</v>
      </c>
      <c r="C8" s="56" t="s">
        <v>9</v>
      </c>
      <c r="D8" s="26">
        <v>0.23</v>
      </c>
      <c r="E8" s="32">
        <v>0.23</v>
      </c>
      <c r="F8" s="6"/>
      <c r="G8" s="40">
        <v>0.25</v>
      </c>
      <c r="H8" s="7" t="s">
        <v>7</v>
      </c>
      <c r="I8" s="8">
        <f>G8+6%</f>
        <v>0.31</v>
      </c>
      <c r="J8" s="6" t="s">
        <v>14</v>
      </c>
      <c r="K8" s="15">
        <f>G8-6%</f>
        <v>0.19</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0.3</v>
      </c>
      <c r="E10" s="32">
        <v>0.32</v>
      </c>
      <c r="F10" s="6"/>
      <c r="G10" s="40">
        <v>0.3</v>
      </c>
      <c r="H10" s="7" t="s">
        <v>7</v>
      </c>
      <c r="I10" s="8">
        <f>G10+6%</f>
        <v>0.36</v>
      </c>
      <c r="J10" s="6" t="s">
        <v>14</v>
      </c>
      <c r="K10" s="15">
        <f>G10-6%</f>
        <v>0.24</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0.06</v>
      </c>
      <c r="E13" s="96"/>
      <c r="F13" s="20"/>
      <c r="G13" s="10">
        <v>0.06</v>
      </c>
      <c r="H13" s="71" t="s">
        <v>35</v>
      </c>
      <c r="I13" s="16"/>
      <c r="J13" s="10"/>
      <c r="K13" s="17"/>
      <c r="L13" s="56"/>
    </row>
    <row r="14" spans="1:14" ht="15.75" customHeight="1" x14ac:dyDescent="0.2">
      <c r="A14" s="2"/>
      <c r="B14" s="50" t="s">
        <v>34</v>
      </c>
      <c r="C14" s="56"/>
      <c r="D14" s="29">
        <v>0.24</v>
      </c>
      <c r="E14" s="97"/>
      <c r="F14" s="20"/>
      <c r="G14" s="11">
        <v>0.24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0.15</v>
      </c>
      <c r="E16" s="44">
        <v>0.15</v>
      </c>
      <c r="F16" s="2"/>
      <c r="G16" s="41">
        <v>0.15</v>
      </c>
      <c r="H16" s="161">
        <v>-0.05</v>
      </c>
      <c r="I16" s="12">
        <v>0.15</v>
      </c>
      <c r="J16" s="13" t="s">
        <v>14</v>
      </c>
      <c r="K16" s="19">
        <v>0.1</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0.05</v>
      </c>
      <c r="E18" s="39">
        <v>0.08</v>
      </c>
      <c r="F18" s="24"/>
      <c r="G18" s="41">
        <v>0.1</v>
      </c>
      <c r="H18" s="23" t="s">
        <v>5</v>
      </c>
      <c r="I18" s="12">
        <f>G18+5%</f>
        <v>0.15000000000000002</v>
      </c>
      <c r="J18" s="13" t="s">
        <v>14</v>
      </c>
      <c r="K18" s="19">
        <f>G18-5%</f>
        <v>0.05</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9">
        <v>0.01</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1.02</v>
      </c>
      <c r="E22" s="39">
        <f>E6+E8+E10+E16+E18+E20</f>
        <v>1</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0.24</v>
      </c>
      <c r="E24" s="98">
        <v>0.22</v>
      </c>
      <c r="F24" s="24"/>
      <c r="G24" s="41">
        <v>0.26</v>
      </c>
      <c r="H24" s="23" t="s">
        <v>7</v>
      </c>
      <c r="I24" s="12">
        <f>G24+6%</f>
        <v>0.32</v>
      </c>
      <c r="J24" s="13" t="s">
        <v>14</v>
      </c>
      <c r="K24" s="14">
        <f>G24-6%</f>
        <v>0.2</v>
      </c>
      <c r="L24" s="50"/>
    </row>
    <row r="25" spans="1:15" ht="18" x14ac:dyDescent="0.25">
      <c r="A25" s="2"/>
      <c r="B25" s="86"/>
      <c r="C25" s="56"/>
      <c r="D25" s="175"/>
      <c r="E25" s="176"/>
      <c r="F25" s="24"/>
      <c r="G25" s="40"/>
      <c r="H25" s="7"/>
      <c r="I25" s="8"/>
      <c r="J25" s="6"/>
      <c r="K25" s="15"/>
      <c r="L25" s="56"/>
    </row>
    <row r="26" spans="1:15" ht="18" x14ac:dyDescent="0.25">
      <c r="A26" s="2"/>
      <c r="B26" s="86" t="s">
        <v>68</v>
      </c>
      <c r="C26" s="56"/>
      <c r="D26" s="175"/>
      <c r="E26" s="176"/>
      <c r="F26" s="24"/>
      <c r="G26" s="227">
        <v>5.0000000000000001E-3</v>
      </c>
      <c r="H26" s="7"/>
      <c r="I26" s="8"/>
      <c r="J26" s="6"/>
      <c r="K26" s="15"/>
      <c r="L26" s="56"/>
    </row>
    <row r="27" spans="1:15" ht="14.25" customHeight="1" x14ac:dyDescent="0.2">
      <c r="C27" s="56"/>
    </row>
    <row r="28" spans="1:15" ht="18" x14ac:dyDescent="0.25">
      <c r="B28" s="112" t="s">
        <v>37</v>
      </c>
      <c r="M28" s="42"/>
      <c r="N28" s="46"/>
      <c r="O28" s="46"/>
    </row>
    <row r="29" spans="1:15" x14ac:dyDescent="0.2">
      <c r="B29" s="113" t="s">
        <v>46</v>
      </c>
    </row>
    <row r="30" spans="1:15" x14ac:dyDescent="0.2">
      <c r="B30" s="113" t="s">
        <v>43</v>
      </c>
    </row>
    <row r="31" spans="1:15" x14ac:dyDescent="0.2">
      <c r="B31" s="111"/>
    </row>
    <row r="34" spans="2:8" ht="15.75" x14ac:dyDescent="0.25">
      <c r="B34" s="4"/>
      <c r="C34" s="160"/>
      <c r="D34" s="182"/>
      <c r="E34" s="182"/>
      <c r="F34" s="160"/>
      <c r="G34" s="182"/>
      <c r="H34" s="182"/>
    </row>
  </sheetData>
  <mergeCells count="4">
    <mergeCell ref="D34:E34"/>
    <mergeCell ref="G34:H34"/>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
  <sheetViews>
    <sheetView showGridLines="0" rightToLeft="1" zoomScale="85" zoomScaleNormal="85" workbookViewId="0">
      <selection activeCell="F9" sqref="F9:I9"/>
    </sheetView>
  </sheetViews>
  <sheetFormatPr defaultRowHeight="12.75" x14ac:dyDescent="0.2"/>
  <cols>
    <col min="1" max="1" width="4.42578125" customWidth="1"/>
    <col min="2" max="2" width="23.7109375" customWidth="1"/>
    <col min="3" max="3" width="4.140625" customWidth="1"/>
    <col min="4" max="4" width="2.42578125" customWidth="1"/>
    <col min="5" max="5" width="17" customWidth="1"/>
    <col min="7" max="7" width="6.7109375" bestFit="1" customWidth="1"/>
    <col min="8" max="8" width="2" customWidth="1"/>
    <col min="9" max="9" width="12.5703125" customWidth="1"/>
    <col min="10" max="10" width="32.85546875" bestFit="1" customWidth="1"/>
    <col min="11" max="11" width="18.5703125" customWidth="1"/>
    <col min="12" max="12" width="24.140625" customWidth="1"/>
    <col min="13" max="13" width="18.5703125" customWidth="1"/>
  </cols>
  <sheetData>
    <row r="1" spans="1:13" ht="18" x14ac:dyDescent="0.25">
      <c r="A1" s="2"/>
      <c r="B1" s="180" t="s">
        <v>54</v>
      </c>
      <c r="C1" s="180"/>
      <c r="D1" s="180"/>
      <c r="E1" s="180"/>
      <c r="F1" s="180"/>
      <c r="G1" s="180"/>
      <c r="H1" s="180"/>
      <c r="I1" s="180"/>
      <c r="J1" s="180"/>
      <c r="K1" s="180"/>
      <c r="L1" s="46"/>
      <c r="M1" s="46"/>
    </row>
    <row r="2" spans="1:13" ht="24" customHeight="1" x14ac:dyDescent="0.25">
      <c r="A2" s="2"/>
      <c r="B2" s="46"/>
      <c r="C2" s="46"/>
      <c r="D2" s="46"/>
      <c r="E2" s="46"/>
      <c r="F2" s="46"/>
      <c r="G2" s="46"/>
      <c r="H2" s="46"/>
      <c r="I2" s="46"/>
      <c r="J2" s="46"/>
      <c r="K2" s="46"/>
      <c r="L2" s="46"/>
      <c r="M2" s="46"/>
    </row>
    <row r="3" spans="1:13" ht="24" customHeight="1" x14ac:dyDescent="0.25">
      <c r="A3" s="2"/>
      <c r="B3" s="192" t="s">
        <v>17</v>
      </c>
      <c r="C3" s="193"/>
      <c r="D3" s="193"/>
      <c r="E3" s="193"/>
      <c r="F3" s="193"/>
      <c r="G3" s="193"/>
      <c r="H3" s="193"/>
      <c r="I3" s="193"/>
      <c r="J3" s="194"/>
      <c r="K3" s="195" t="s">
        <v>3</v>
      </c>
      <c r="L3" s="195"/>
      <c r="M3" s="195"/>
    </row>
    <row r="4" spans="1:13" ht="26.25" customHeight="1" x14ac:dyDescent="0.3">
      <c r="A4" s="2"/>
      <c r="B4" s="196" t="s">
        <v>21</v>
      </c>
      <c r="C4" s="197"/>
      <c r="D4" s="197"/>
      <c r="E4" s="197"/>
      <c r="F4" s="197"/>
      <c r="G4" s="197"/>
      <c r="H4" s="197"/>
      <c r="I4" s="197"/>
      <c r="J4" s="198"/>
      <c r="K4" s="99" t="s">
        <v>38</v>
      </c>
      <c r="L4" s="100"/>
      <c r="M4" s="101"/>
    </row>
    <row r="5" spans="1:13" ht="24" customHeight="1" x14ac:dyDescent="0.3">
      <c r="A5" s="2"/>
      <c r="B5" s="186" t="s">
        <v>20</v>
      </c>
      <c r="C5" s="187"/>
      <c r="D5" s="187"/>
      <c r="E5" s="187"/>
      <c r="F5" s="187"/>
      <c r="G5" s="187"/>
      <c r="H5" s="187"/>
      <c r="I5" s="187"/>
      <c r="J5" s="188"/>
      <c r="K5" s="102"/>
      <c r="L5" s="103"/>
      <c r="M5" s="104"/>
    </row>
    <row r="6" spans="1:13" ht="27" customHeight="1" x14ac:dyDescent="0.3">
      <c r="A6" s="2"/>
      <c r="B6" s="186" t="s">
        <v>19</v>
      </c>
      <c r="C6" s="187"/>
      <c r="D6" s="187"/>
      <c r="E6" s="187"/>
      <c r="F6" s="187"/>
      <c r="G6" s="187"/>
      <c r="H6" s="187"/>
      <c r="I6" s="187"/>
      <c r="J6" s="188"/>
      <c r="K6" s="105" t="s">
        <v>39</v>
      </c>
      <c r="L6" s="106"/>
      <c r="M6" s="107"/>
    </row>
    <row r="7" spans="1:13" ht="17.25" customHeight="1" x14ac:dyDescent="0.3">
      <c r="A7" s="2"/>
      <c r="B7" s="189" t="s">
        <v>18</v>
      </c>
      <c r="C7" s="190"/>
      <c r="D7" s="190"/>
      <c r="E7" s="190"/>
      <c r="F7" s="190"/>
      <c r="G7" s="190"/>
      <c r="H7" s="190"/>
      <c r="I7" s="190"/>
      <c r="J7" s="191"/>
      <c r="K7" s="108"/>
      <c r="L7" s="109"/>
      <c r="M7" s="110"/>
    </row>
    <row r="8" spans="1:13" ht="18" customHeight="1" x14ac:dyDescent="0.25">
      <c r="A8" s="2"/>
      <c r="B8" s="47"/>
      <c r="C8" s="47"/>
      <c r="D8" s="47"/>
      <c r="E8" s="47"/>
      <c r="F8" s="47"/>
      <c r="G8" s="47"/>
      <c r="H8" s="47"/>
      <c r="I8" s="47"/>
      <c r="J8" s="46"/>
    </row>
    <row r="9" spans="1:13" ht="18" x14ac:dyDescent="0.25">
      <c r="A9" s="2"/>
      <c r="B9" s="183" t="s">
        <v>68</v>
      </c>
      <c r="C9" s="184"/>
      <c r="D9" s="184"/>
      <c r="E9" s="185"/>
      <c r="F9" s="223">
        <v>5.0000000000000001E-3</v>
      </c>
      <c r="G9" s="224"/>
      <c r="H9" s="224"/>
      <c r="I9" s="225"/>
      <c r="J9" s="46"/>
    </row>
  </sheetData>
  <mergeCells count="9">
    <mergeCell ref="B9:E9"/>
    <mergeCell ref="F9:I9"/>
    <mergeCell ref="B6:J6"/>
    <mergeCell ref="B7:J7"/>
    <mergeCell ref="B1:K1"/>
    <mergeCell ref="B3:J3"/>
    <mergeCell ref="K3:M3"/>
    <mergeCell ref="B4:J4"/>
    <mergeCell ref="B5:J5"/>
  </mergeCells>
  <pageMargins left="0.74803149606299213" right="0.74803149606299213" top="0.98425196850393704" bottom="0.98425196850393704" header="0.51181102362204722" footer="0.51181102362204722"/>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2"/>
  <sheetViews>
    <sheetView showGridLines="0" rightToLeft="1" zoomScaleNormal="100" workbookViewId="0">
      <selection activeCell="G26" sqref="G26"/>
    </sheetView>
  </sheetViews>
  <sheetFormatPr defaultRowHeight="12.75" x14ac:dyDescent="0.2"/>
  <cols>
    <col min="1" max="1" width="3.140625" bestFit="1" customWidth="1"/>
    <col min="2" max="2" width="29.140625" style="49" customWidth="1"/>
    <col min="3" max="3" width="4.140625" style="49" customWidth="1"/>
    <col min="4" max="4" width="11.7109375" customWidth="1"/>
    <col min="5" max="5" width="13" customWidth="1"/>
    <col min="6" max="6" width="10" customWidth="1"/>
    <col min="7" max="7" width="15" customWidth="1"/>
    <col min="8" max="8" width="14.28515625" bestFit="1" customWidth="1"/>
    <col min="9" max="9" width="9.42578125" customWidth="1"/>
    <col min="10" max="10" width="1.7109375" customWidth="1"/>
    <col min="11" max="11" width="16.42578125" customWidth="1"/>
    <col min="12" max="12" width="33"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80" t="s">
        <v>56</v>
      </c>
      <c r="C2" s="180"/>
      <c r="D2" s="180"/>
      <c r="E2" s="180"/>
      <c r="F2" s="180"/>
      <c r="G2" s="180"/>
      <c r="H2" s="180"/>
      <c r="I2" s="180"/>
      <c r="J2" s="180"/>
      <c r="K2" s="180"/>
      <c r="L2" s="180"/>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81" t="s">
        <v>2</v>
      </c>
      <c r="J4" s="181"/>
      <c r="K4" s="181"/>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0.22</v>
      </c>
      <c r="E6" s="32">
        <v>0.18</v>
      </c>
      <c r="F6" s="6"/>
      <c r="G6" s="40">
        <v>0.2</v>
      </c>
      <c r="H6" s="7" t="s">
        <v>5</v>
      </c>
      <c r="I6" s="8">
        <f>G6+5%</f>
        <v>0.25</v>
      </c>
      <c r="J6" s="6" t="s">
        <v>14</v>
      </c>
      <c r="K6" s="15">
        <f>G6-5%</f>
        <v>0.15000000000000002</v>
      </c>
      <c r="L6" s="81" t="s">
        <v>32</v>
      </c>
    </row>
    <row r="7" spans="1:14" ht="15" x14ac:dyDescent="0.2">
      <c r="A7" s="2"/>
      <c r="B7" s="56"/>
      <c r="C7" s="56"/>
      <c r="D7" s="27"/>
      <c r="E7" s="32"/>
      <c r="F7" s="5"/>
      <c r="G7" s="5"/>
      <c r="H7" s="5"/>
      <c r="I7" s="5"/>
      <c r="J7" s="5"/>
      <c r="K7" s="5"/>
      <c r="L7" s="81"/>
    </row>
    <row r="8" spans="1:14" ht="18" x14ac:dyDescent="0.25">
      <c r="A8" s="2"/>
      <c r="B8" s="86" t="s">
        <v>6</v>
      </c>
      <c r="C8" s="56" t="s">
        <v>9</v>
      </c>
      <c r="D8" s="26">
        <v>0.12</v>
      </c>
      <c r="E8" s="32">
        <v>0.13</v>
      </c>
      <c r="F8" s="6"/>
      <c r="G8" s="40">
        <v>0.2</v>
      </c>
      <c r="H8" s="7" t="s">
        <v>7</v>
      </c>
      <c r="I8" s="8">
        <f>G8+6%</f>
        <v>0.26</v>
      </c>
      <c r="J8" s="6" t="s">
        <v>14</v>
      </c>
      <c r="K8" s="15">
        <f>G8-6%</f>
        <v>0.14000000000000001</v>
      </c>
      <c r="L8" s="81" t="s">
        <v>41</v>
      </c>
    </row>
    <row r="9" spans="1:14" ht="15" x14ac:dyDescent="0.2">
      <c r="A9" s="2"/>
      <c r="B9" s="56"/>
      <c r="C9" s="56"/>
      <c r="D9" s="27"/>
      <c r="E9" s="32"/>
      <c r="F9" s="5"/>
      <c r="G9" s="5"/>
      <c r="H9" s="5"/>
      <c r="I9" s="5"/>
      <c r="J9" s="5"/>
      <c r="K9" s="5"/>
      <c r="L9" s="66" t="s">
        <v>40</v>
      </c>
    </row>
    <row r="10" spans="1:14" ht="18" x14ac:dyDescent="0.25">
      <c r="A10" s="2"/>
      <c r="B10" s="86" t="s">
        <v>8</v>
      </c>
      <c r="C10" s="56" t="s">
        <v>22</v>
      </c>
      <c r="D10" s="26">
        <v>0.52</v>
      </c>
      <c r="E10" s="32">
        <v>0.51</v>
      </c>
      <c r="F10" s="6"/>
      <c r="G10" s="40">
        <v>0.5</v>
      </c>
      <c r="H10" s="7" t="s">
        <v>7</v>
      </c>
      <c r="I10" s="8">
        <f>G10+6%</f>
        <v>0.56000000000000005</v>
      </c>
      <c r="J10" s="6" t="s">
        <v>14</v>
      </c>
      <c r="K10" s="15">
        <f>G10-6%</f>
        <v>0.44</v>
      </c>
      <c r="L10" s="49"/>
    </row>
    <row r="11" spans="1:14" ht="15" x14ac:dyDescent="0.2">
      <c r="A11" s="2"/>
      <c r="B11" s="83"/>
      <c r="C11" s="83"/>
      <c r="D11" s="28"/>
      <c r="E11" s="162"/>
      <c r="F11" s="9"/>
      <c r="G11" s="9"/>
      <c r="H11" s="9"/>
      <c r="I11" s="16"/>
      <c r="J11" s="10"/>
      <c r="K11" s="17"/>
      <c r="L11" s="71" t="s">
        <v>38</v>
      </c>
    </row>
    <row r="12" spans="1:14" ht="15" x14ac:dyDescent="0.2">
      <c r="A12" s="2"/>
      <c r="B12" s="56"/>
      <c r="C12" s="56"/>
      <c r="D12" s="28"/>
      <c r="E12" s="162"/>
      <c r="F12" s="9"/>
      <c r="G12" s="9"/>
      <c r="H12" s="9"/>
      <c r="I12" s="16"/>
      <c r="J12" s="10"/>
      <c r="K12" s="17"/>
      <c r="L12" s="71" t="s">
        <v>39</v>
      </c>
    </row>
    <row r="13" spans="1:14" ht="15" x14ac:dyDescent="0.2">
      <c r="A13" s="2"/>
      <c r="B13" s="56" t="s">
        <v>33</v>
      </c>
      <c r="C13" s="56"/>
      <c r="D13" s="26">
        <v>0.1</v>
      </c>
      <c r="E13" s="32"/>
      <c r="F13" s="20"/>
      <c r="G13" s="10">
        <v>0.1</v>
      </c>
      <c r="H13" s="71" t="s">
        <v>35</v>
      </c>
      <c r="I13" s="16"/>
      <c r="J13" s="10"/>
      <c r="K13" s="17"/>
      <c r="L13" s="56"/>
    </row>
    <row r="14" spans="1:14" ht="15.75" customHeight="1" x14ac:dyDescent="0.2">
      <c r="A14" s="2"/>
      <c r="B14" s="50" t="s">
        <v>34</v>
      </c>
      <c r="C14" s="56"/>
      <c r="D14" s="29">
        <v>0.42</v>
      </c>
      <c r="E14" s="32"/>
      <c r="F14" s="20"/>
      <c r="G14" s="11">
        <v>0.4</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v>
      </c>
      <c r="E16" s="32">
        <v>0</v>
      </c>
      <c r="F16" s="2"/>
      <c r="G16" s="41">
        <v>0</v>
      </c>
      <c r="H16" s="23" t="s">
        <v>5</v>
      </c>
      <c r="I16" s="12">
        <f>G16+5%</f>
        <v>0.05</v>
      </c>
      <c r="J16" s="13" t="s">
        <v>14</v>
      </c>
      <c r="K16" s="19">
        <f>0%</f>
        <v>0</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0.14000000000000001</v>
      </c>
      <c r="E18" s="32">
        <v>0.16</v>
      </c>
      <c r="F18" s="24"/>
      <c r="G18" s="41">
        <v>0.15</v>
      </c>
      <c r="H18" s="23" t="s">
        <v>5</v>
      </c>
      <c r="I18" s="12">
        <f>G18+5%</f>
        <v>0.2</v>
      </c>
      <c r="J18" s="13" t="s">
        <v>14</v>
      </c>
      <c r="K18" s="19">
        <f>G18-5%</f>
        <v>9.9999999999999992E-2</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2">
        <v>0.05</v>
      </c>
      <c r="F20" s="24"/>
      <c r="G20" s="41">
        <v>0.05</v>
      </c>
      <c r="H20" s="23" t="s">
        <v>5</v>
      </c>
      <c r="I20" s="12">
        <f>G20+5%</f>
        <v>0.1</v>
      </c>
      <c r="J20" s="13" t="s">
        <v>14</v>
      </c>
      <c r="K20" s="19">
        <f>G20-5%</f>
        <v>0</v>
      </c>
      <c r="L20" s="62" t="s">
        <v>16</v>
      </c>
    </row>
    <row r="21" spans="1:15" ht="15" x14ac:dyDescent="0.2">
      <c r="A21" s="2"/>
      <c r="B21" s="56"/>
      <c r="C21" s="56"/>
      <c r="D21" s="28"/>
      <c r="E21" s="37"/>
      <c r="F21" s="2"/>
      <c r="G21" s="2"/>
      <c r="H21" s="2"/>
      <c r="I21" s="2"/>
      <c r="J21" s="2"/>
      <c r="K21" s="2"/>
      <c r="L21" s="56"/>
    </row>
    <row r="22" spans="1:15" ht="18" x14ac:dyDescent="0.25">
      <c r="A22" s="2"/>
      <c r="B22" s="57" t="s">
        <v>12</v>
      </c>
      <c r="C22" s="56"/>
      <c r="D22" s="29">
        <f>D6+D8+D10+D16+D18+D20</f>
        <v>1.05</v>
      </c>
      <c r="E22" s="39">
        <f>E6+E8+E10+E16+E18+E20</f>
        <v>1.03</v>
      </c>
      <c r="F22" s="2"/>
      <c r="G22" s="41">
        <f>G6+G8+G10+G16+G18+G20</f>
        <v>1.1000000000000001</v>
      </c>
      <c r="H22" s="21"/>
      <c r="I22" s="21"/>
      <c r="J22" s="21"/>
      <c r="K22" s="21"/>
      <c r="L22" s="50"/>
    </row>
    <row r="23" spans="1:15" ht="15" x14ac:dyDescent="0.2">
      <c r="A23" s="2"/>
      <c r="B23" s="56"/>
      <c r="C23" s="56"/>
      <c r="D23" s="28"/>
      <c r="E23" s="38"/>
      <c r="F23" s="2"/>
      <c r="G23" s="2"/>
      <c r="H23" s="2"/>
      <c r="I23" s="2"/>
      <c r="J23" s="2"/>
      <c r="K23" s="2"/>
      <c r="L23" s="56"/>
    </row>
    <row r="24" spans="1:15" ht="18.75" customHeight="1" x14ac:dyDescent="0.25">
      <c r="B24" s="57" t="s">
        <v>13</v>
      </c>
      <c r="C24" s="56"/>
      <c r="D24" s="30">
        <v>0.42</v>
      </c>
      <c r="E24" s="44">
        <v>0.39</v>
      </c>
      <c r="F24" s="24"/>
      <c r="G24" s="41">
        <v>0.42</v>
      </c>
      <c r="H24" s="23" t="s">
        <v>7</v>
      </c>
      <c r="I24" s="12">
        <f>G24+6%</f>
        <v>0.48</v>
      </c>
      <c r="J24" s="13" t="s">
        <v>14</v>
      </c>
      <c r="K24" s="14">
        <f>G24-6%</f>
        <v>0.36</v>
      </c>
      <c r="L24" s="50"/>
    </row>
    <row r="25" spans="1:15" ht="18.75" customHeight="1" x14ac:dyDescent="0.25">
      <c r="B25" s="86"/>
      <c r="C25" s="56"/>
      <c r="D25" s="175"/>
      <c r="E25" s="32"/>
      <c r="F25" s="24"/>
      <c r="G25" s="40"/>
      <c r="H25" s="7"/>
      <c r="I25" s="8"/>
      <c r="J25" s="6"/>
      <c r="K25" s="15"/>
      <c r="L25" s="56"/>
    </row>
    <row r="26" spans="1:15" ht="18.75" customHeight="1" x14ac:dyDescent="0.25">
      <c r="B26" s="86" t="s">
        <v>68</v>
      </c>
      <c r="C26" s="56"/>
      <c r="D26" s="175"/>
      <c r="E26" s="32"/>
      <c r="F26" s="24"/>
      <c r="G26" s="227">
        <v>5.0000000000000001E-3</v>
      </c>
      <c r="H26" s="7"/>
      <c r="I26" s="8"/>
      <c r="J26" s="6"/>
      <c r="K26" s="15"/>
      <c r="L26" s="56"/>
    </row>
    <row r="27" spans="1:15" ht="15" x14ac:dyDescent="0.2">
      <c r="C27" s="56"/>
    </row>
    <row r="29" spans="1:15" ht="18" x14ac:dyDescent="0.25">
      <c r="B29" s="112" t="s">
        <v>37</v>
      </c>
      <c r="M29" s="42"/>
      <c r="N29" s="46"/>
      <c r="O29" s="46"/>
    </row>
    <row r="30" spans="1:15" x14ac:dyDescent="0.2">
      <c r="B30" s="113" t="s">
        <v>44</v>
      </c>
    </row>
    <row r="31" spans="1:15" x14ac:dyDescent="0.2">
      <c r="B31" s="113" t="s">
        <v>43</v>
      </c>
    </row>
    <row r="32" spans="1:15" x14ac:dyDescent="0.2">
      <c r="B32" s="111"/>
    </row>
  </sheetData>
  <mergeCells count="2">
    <mergeCell ref="I4:K4"/>
    <mergeCell ref="B2:L2"/>
  </mergeCells>
  <pageMargins left="0.74803149606299213" right="0.74803149606299213" top="0.98425196850393704" bottom="0.98425196850393704" header="0.51181102362204722" footer="0.51181102362204722"/>
  <pageSetup paperSize="9" scale="8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2"/>
  <sheetViews>
    <sheetView showGridLines="0" rightToLeft="1" zoomScaleNormal="100" workbookViewId="0">
      <selection activeCell="G26" sqref="G26"/>
    </sheetView>
  </sheetViews>
  <sheetFormatPr defaultRowHeight="12.75" x14ac:dyDescent="0.2"/>
  <cols>
    <col min="1" max="1" width="2.140625" customWidth="1"/>
    <col min="2" max="2" width="29.140625" style="49" customWidth="1"/>
    <col min="3" max="3" width="4.140625" style="49"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39.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80" t="s">
        <v>57</v>
      </c>
      <c r="C2" s="180"/>
      <c r="D2" s="180"/>
      <c r="E2" s="180"/>
      <c r="F2" s="180"/>
      <c r="G2" s="180"/>
      <c r="H2" s="180"/>
      <c r="I2" s="180"/>
      <c r="J2" s="180"/>
      <c r="K2" s="180"/>
      <c r="L2" s="180"/>
    </row>
    <row r="3" spans="1:14" ht="18" x14ac:dyDescent="0.25">
      <c r="B3" s="94"/>
      <c r="C3" s="94"/>
      <c r="D3" s="43"/>
      <c r="E3" s="43"/>
      <c r="F3" s="43"/>
      <c r="G3" s="43"/>
      <c r="H3" s="43"/>
      <c r="I3" s="43"/>
      <c r="J3" s="43"/>
      <c r="K3" s="43"/>
      <c r="L3" s="43"/>
    </row>
    <row r="4" spans="1:14" ht="48" thickBot="1" x14ac:dyDescent="0.25">
      <c r="A4" s="2"/>
      <c r="B4" s="91" t="s">
        <v>0</v>
      </c>
      <c r="C4" s="88"/>
      <c r="D4" s="93" t="s">
        <v>49</v>
      </c>
      <c r="E4" s="92" t="s">
        <v>50</v>
      </c>
      <c r="F4" s="3"/>
      <c r="G4" s="91" t="s">
        <v>51</v>
      </c>
      <c r="H4" s="45" t="s">
        <v>1</v>
      </c>
      <c r="I4" s="181" t="s">
        <v>2</v>
      </c>
      <c r="J4" s="181"/>
      <c r="K4" s="181"/>
      <c r="L4" s="45" t="s">
        <v>3</v>
      </c>
      <c r="M4" s="1"/>
      <c r="N4" s="1"/>
    </row>
    <row r="5" spans="1:14" ht="15.75" x14ac:dyDescent="0.2">
      <c r="A5" s="2"/>
      <c r="B5" s="88"/>
      <c r="C5" s="88"/>
      <c r="D5" s="25"/>
      <c r="E5" s="31"/>
      <c r="F5" s="3"/>
      <c r="G5" s="3"/>
      <c r="H5" s="3"/>
      <c r="I5" s="3"/>
      <c r="J5" s="3"/>
      <c r="K5" s="3"/>
      <c r="L5" s="88"/>
      <c r="M5" s="1"/>
    </row>
    <row r="6" spans="1:14" ht="18" x14ac:dyDescent="0.25">
      <c r="A6" s="2"/>
      <c r="B6" s="86" t="s">
        <v>4</v>
      </c>
      <c r="C6" s="56"/>
      <c r="D6" s="26">
        <v>0.05</v>
      </c>
      <c r="E6" s="32">
        <v>0.05</v>
      </c>
      <c r="F6" s="6"/>
      <c r="G6" s="40">
        <v>0.13</v>
      </c>
      <c r="H6" s="7" t="s">
        <v>5</v>
      </c>
      <c r="I6" s="8">
        <f>G6+5%</f>
        <v>0.18</v>
      </c>
      <c r="J6" s="6" t="s">
        <v>14</v>
      </c>
      <c r="K6" s="15">
        <f>G6-5%</f>
        <v>0.08</v>
      </c>
      <c r="L6" s="81" t="s">
        <v>32</v>
      </c>
    </row>
    <row r="7" spans="1:14" ht="15" x14ac:dyDescent="0.2">
      <c r="A7" s="2"/>
      <c r="B7" s="56"/>
      <c r="C7" s="56"/>
      <c r="D7" s="27"/>
      <c r="E7" s="32"/>
      <c r="F7" s="5"/>
      <c r="G7" s="5"/>
      <c r="H7" s="5"/>
      <c r="I7" s="5"/>
      <c r="J7" s="5"/>
      <c r="K7" s="5"/>
      <c r="L7" s="81"/>
    </row>
    <row r="8" spans="1:14" ht="18" x14ac:dyDescent="0.25">
      <c r="A8" s="2"/>
      <c r="B8" s="86" t="s">
        <v>6</v>
      </c>
      <c r="C8" s="56" t="s">
        <v>9</v>
      </c>
      <c r="D8" s="26">
        <v>0.1</v>
      </c>
      <c r="E8" s="32">
        <v>0.12</v>
      </c>
      <c r="F8" s="6"/>
      <c r="G8" s="40">
        <v>0.16</v>
      </c>
      <c r="H8" s="7" t="s">
        <v>7</v>
      </c>
      <c r="I8" s="8">
        <f>G8+6%</f>
        <v>0.22</v>
      </c>
      <c r="J8" s="6" t="s">
        <v>14</v>
      </c>
      <c r="K8" s="15">
        <f>G8-6%</f>
        <v>0.1</v>
      </c>
      <c r="L8" s="81" t="s">
        <v>41</v>
      </c>
    </row>
    <row r="9" spans="1:14" ht="15" x14ac:dyDescent="0.2">
      <c r="A9" s="2"/>
      <c r="B9" s="56"/>
      <c r="C9" s="56"/>
      <c r="D9" s="27"/>
      <c r="E9" s="33"/>
      <c r="F9" s="5"/>
      <c r="G9" s="5"/>
      <c r="H9" s="5"/>
      <c r="I9" s="5"/>
      <c r="J9" s="5"/>
      <c r="K9" s="5"/>
      <c r="L9" s="66" t="s">
        <v>40</v>
      </c>
    </row>
    <row r="10" spans="1:14" ht="18" x14ac:dyDescent="0.25">
      <c r="A10" s="2"/>
      <c r="B10" s="86" t="s">
        <v>8</v>
      </c>
      <c r="C10" s="56" t="s">
        <v>22</v>
      </c>
      <c r="D10" s="26">
        <v>0.45</v>
      </c>
      <c r="E10" s="32">
        <v>0.46</v>
      </c>
      <c r="F10" s="6"/>
      <c r="G10" s="40">
        <v>0.44</v>
      </c>
      <c r="H10" s="7" t="s">
        <v>7</v>
      </c>
      <c r="I10" s="8">
        <f>G10+6%</f>
        <v>0.5</v>
      </c>
      <c r="J10" s="6" t="s">
        <v>14</v>
      </c>
      <c r="K10" s="15">
        <f>G10-6%</f>
        <v>0.38</v>
      </c>
      <c r="L10" s="49"/>
    </row>
    <row r="11" spans="1:14" ht="15" x14ac:dyDescent="0.2">
      <c r="A11" s="2"/>
      <c r="B11" s="83"/>
      <c r="C11" s="83"/>
      <c r="D11" s="28"/>
      <c r="E11" s="34"/>
      <c r="F11" s="9"/>
      <c r="G11" s="9"/>
      <c r="H11" s="9"/>
      <c r="I11" s="16"/>
      <c r="J11" s="10"/>
      <c r="K11" s="17"/>
      <c r="L11" s="71" t="s">
        <v>38</v>
      </c>
    </row>
    <row r="12" spans="1:14" ht="15" x14ac:dyDescent="0.2">
      <c r="A12" s="2"/>
      <c r="B12" s="56"/>
      <c r="C12" s="56"/>
      <c r="D12" s="28"/>
      <c r="E12" s="34"/>
      <c r="F12" s="9"/>
      <c r="G12" s="9"/>
      <c r="H12" s="9"/>
      <c r="I12" s="16"/>
      <c r="J12" s="10"/>
      <c r="K12" s="17"/>
      <c r="L12" s="71" t="s">
        <v>39</v>
      </c>
    </row>
    <row r="13" spans="1:14" ht="15" x14ac:dyDescent="0.2">
      <c r="A13" s="2"/>
      <c r="B13" s="56" t="s">
        <v>33</v>
      </c>
      <c r="C13" s="56"/>
      <c r="D13" s="26">
        <v>0.09</v>
      </c>
      <c r="E13" s="32"/>
      <c r="F13" s="20"/>
      <c r="G13" s="10">
        <v>0.09</v>
      </c>
      <c r="H13" s="71" t="s">
        <v>35</v>
      </c>
      <c r="I13" s="16"/>
      <c r="J13" s="10"/>
      <c r="K13" s="17"/>
      <c r="L13" s="56"/>
    </row>
    <row r="14" spans="1:14" ht="15.75" customHeight="1" x14ac:dyDescent="0.2">
      <c r="A14" s="2"/>
      <c r="B14" s="50" t="s">
        <v>34</v>
      </c>
      <c r="C14" s="56"/>
      <c r="D14" s="29">
        <v>0.36</v>
      </c>
      <c r="E14" s="32"/>
      <c r="F14" s="20"/>
      <c r="G14" s="11">
        <v>0.35</v>
      </c>
      <c r="H14" s="54" t="s">
        <v>35</v>
      </c>
      <c r="I14" s="18"/>
      <c r="J14" s="11"/>
      <c r="K14" s="19"/>
      <c r="L14" s="50"/>
    </row>
    <row r="15" spans="1:14" ht="15" x14ac:dyDescent="0.2">
      <c r="A15" s="2"/>
      <c r="B15" s="56"/>
      <c r="C15" s="56"/>
      <c r="D15" s="28"/>
      <c r="E15" s="37"/>
      <c r="F15" s="22"/>
      <c r="G15" s="2"/>
      <c r="H15" s="2"/>
      <c r="I15" s="2"/>
      <c r="J15" s="2"/>
      <c r="K15" s="2"/>
      <c r="L15" s="56"/>
    </row>
    <row r="16" spans="1:14" ht="18" x14ac:dyDescent="0.25">
      <c r="A16" s="2"/>
      <c r="B16" s="57" t="s">
        <v>10</v>
      </c>
      <c r="C16" s="56"/>
      <c r="D16" s="29">
        <v>0.15</v>
      </c>
      <c r="E16" s="32">
        <v>0.15</v>
      </c>
      <c r="F16" s="2"/>
      <c r="G16" s="41">
        <v>0.15</v>
      </c>
      <c r="H16" s="23" t="s">
        <v>48</v>
      </c>
      <c r="I16" s="12">
        <f>G16+0%</f>
        <v>0.15</v>
      </c>
      <c r="J16" s="13" t="s">
        <v>14</v>
      </c>
      <c r="K16" s="19">
        <v>0.1</v>
      </c>
      <c r="L16" s="62" t="s">
        <v>15</v>
      </c>
    </row>
    <row r="17" spans="1:15" ht="15" x14ac:dyDescent="0.2">
      <c r="A17" s="2"/>
      <c r="B17" s="56"/>
      <c r="C17" s="56"/>
      <c r="D17" s="28"/>
      <c r="E17" s="37"/>
      <c r="F17" s="2"/>
      <c r="G17" s="2"/>
      <c r="H17" s="2"/>
      <c r="I17" s="2"/>
      <c r="J17" s="2"/>
      <c r="K17" s="2"/>
      <c r="L17" s="66"/>
    </row>
    <row r="18" spans="1:15" ht="18" x14ac:dyDescent="0.25">
      <c r="A18" s="2"/>
      <c r="B18" s="57" t="s">
        <v>11</v>
      </c>
      <c r="C18" s="56"/>
      <c r="D18" s="29">
        <v>0.22</v>
      </c>
      <c r="E18" s="32">
        <v>0.24</v>
      </c>
      <c r="F18" s="24"/>
      <c r="G18" s="41">
        <v>0.22</v>
      </c>
      <c r="H18" s="23" t="s">
        <v>5</v>
      </c>
      <c r="I18" s="12">
        <f>G18+5%</f>
        <v>0.27</v>
      </c>
      <c r="J18" s="13" t="s">
        <v>14</v>
      </c>
      <c r="K18" s="19">
        <f>G18-5%</f>
        <v>0.16999999999999998</v>
      </c>
      <c r="L18" s="65" t="s">
        <v>42</v>
      </c>
    </row>
    <row r="19" spans="1:15" ht="15" x14ac:dyDescent="0.2">
      <c r="A19" s="2"/>
      <c r="B19" s="56"/>
      <c r="C19" s="56" t="s">
        <v>36</v>
      </c>
      <c r="D19" s="28"/>
      <c r="E19" s="37"/>
      <c r="F19" s="2"/>
      <c r="G19" s="2"/>
      <c r="H19" s="2"/>
      <c r="I19" s="2"/>
      <c r="J19" s="2"/>
      <c r="K19" s="2"/>
      <c r="L19" s="49"/>
    </row>
    <row r="20" spans="1:15" ht="18" x14ac:dyDescent="0.25">
      <c r="A20" s="2"/>
      <c r="B20" s="57" t="s">
        <v>31</v>
      </c>
      <c r="C20" s="56"/>
      <c r="D20" s="29">
        <v>0.05</v>
      </c>
      <c r="E20" s="32">
        <v>0.01</v>
      </c>
      <c r="F20" s="24"/>
      <c r="G20" s="41">
        <v>0.05</v>
      </c>
      <c r="H20" s="23" t="s">
        <v>5</v>
      </c>
      <c r="I20" s="12">
        <f>G20+5%</f>
        <v>0.1</v>
      </c>
      <c r="J20" s="13" t="s">
        <v>14</v>
      </c>
      <c r="K20" s="19">
        <f>G20-5%</f>
        <v>0</v>
      </c>
      <c r="L20" s="62" t="s">
        <v>16</v>
      </c>
    </row>
    <row r="21" spans="1:15" ht="15" x14ac:dyDescent="0.2">
      <c r="A21" s="2"/>
      <c r="B21" s="56"/>
      <c r="C21" s="56"/>
      <c r="D21" s="28"/>
      <c r="E21" s="38"/>
      <c r="F21" s="2"/>
      <c r="G21" s="2"/>
      <c r="H21" s="2"/>
      <c r="I21" s="2"/>
      <c r="J21" s="2"/>
      <c r="K21" s="2"/>
      <c r="L21" s="56"/>
    </row>
    <row r="22" spans="1:15" ht="18" x14ac:dyDescent="0.25">
      <c r="A22" s="2"/>
      <c r="B22" s="57" t="s">
        <v>12</v>
      </c>
      <c r="C22" s="56"/>
      <c r="D22" s="29">
        <f>D6+D8+D10+D16+D18+D20</f>
        <v>1.02</v>
      </c>
      <c r="E22" s="39">
        <f>E6+E8+E10+E16+E18+E20</f>
        <v>1.03</v>
      </c>
      <c r="F22" s="2"/>
      <c r="G22" s="41">
        <f>G6+G8+G10+G16+G18+G20</f>
        <v>1.1500000000000001</v>
      </c>
      <c r="H22" s="21"/>
      <c r="I22" s="21"/>
      <c r="J22" s="21"/>
      <c r="K22" s="21"/>
      <c r="L22" s="50"/>
    </row>
    <row r="23" spans="1:15" ht="15" x14ac:dyDescent="0.2">
      <c r="A23" s="2"/>
      <c r="B23" s="56"/>
      <c r="C23" s="56"/>
      <c r="D23" s="28"/>
      <c r="E23" s="38"/>
      <c r="F23" s="2"/>
      <c r="G23" s="2"/>
      <c r="H23" s="2"/>
      <c r="I23" s="2"/>
      <c r="J23" s="2"/>
      <c r="K23" s="2"/>
      <c r="L23" s="56"/>
    </row>
    <row r="24" spans="1:15" ht="18" x14ac:dyDescent="0.25">
      <c r="A24" s="2"/>
      <c r="B24" s="57" t="s">
        <v>13</v>
      </c>
      <c r="C24" s="56"/>
      <c r="D24" s="30">
        <v>0.36</v>
      </c>
      <c r="E24" s="44">
        <v>0.38</v>
      </c>
      <c r="F24" s="24"/>
      <c r="G24" s="41">
        <v>0.36</v>
      </c>
      <c r="H24" s="23" t="s">
        <v>7</v>
      </c>
      <c r="I24" s="12">
        <f>G24+6%</f>
        <v>0.42</v>
      </c>
      <c r="J24" s="13" t="s">
        <v>14</v>
      </c>
      <c r="K24" s="14">
        <f>G24-6%</f>
        <v>0.3</v>
      </c>
      <c r="L24" s="50"/>
    </row>
    <row r="25" spans="1:15" ht="18" x14ac:dyDescent="0.25">
      <c r="A25" s="2"/>
      <c r="B25" s="86"/>
      <c r="C25" s="56"/>
      <c r="D25" s="175"/>
      <c r="E25" s="32"/>
      <c r="F25" s="24"/>
      <c r="G25" s="40"/>
      <c r="H25" s="7"/>
      <c r="I25" s="8"/>
      <c r="J25" s="6"/>
      <c r="K25" s="15"/>
      <c r="L25" s="56"/>
    </row>
    <row r="26" spans="1:15" ht="18" x14ac:dyDescent="0.25">
      <c r="A26" s="2"/>
      <c r="B26" s="86" t="s">
        <v>69</v>
      </c>
      <c r="C26" s="56"/>
      <c r="D26" s="175"/>
      <c r="E26" s="32"/>
      <c r="F26" s="24"/>
      <c r="G26" s="227">
        <v>5.0000000000000001E-3</v>
      </c>
      <c r="H26" s="7"/>
      <c r="I26" s="8"/>
      <c r="J26" s="6"/>
      <c r="K26" s="15"/>
      <c r="L26" s="56"/>
    </row>
    <row r="27" spans="1:15" ht="15" x14ac:dyDescent="0.2">
      <c r="C27" s="56"/>
    </row>
    <row r="29" spans="1:15" ht="18" x14ac:dyDescent="0.25">
      <c r="B29" s="112" t="s">
        <v>37</v>
      </c>
      <c r="M29" s="42"/>
      <c r="N29" s="46"/>
      <c r="O29" s="46"/>
    </row>
    <row r="30" spans="1:15" x14ac:dyDescent="0.2">
      <c r="B30" s="113" t="s">
        <v>45</v>
      </c>
    </row>
    <row r="31" spans="1:15" x14ac:dyDescent="0.2">
      <c r="B31" s="113" t="s">
        <v>43</v>
      </c>
    </row>
    <row r="32" spans="1:15" x14ac:dyDescent="0.2">
      <c r="B32" s="111"/>
    </row>
  </sheetData>
  <mergeCells count="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dimension ref="A2:N305"/>
  <sheetViews>
    <sheetView rightToLeft="1" workbookViewId="0">
      <selection activeCell="G27" sqref="G27"/>
    </sheetView>
  </sheetViews>
  <sheetFormatPr defaultRowHeight="12.75" x14ac:dyDescent="0.2"/>
  <cols>
    <col min="1" max="1" width="4.42578125" style="115" customWidth="1"/>
    <col min="2" max="2" width="29.140625" style="115" customWidth="1"/>
    <col min="3" max="3" width="4.140625" style="115" customWidth="1"/>
    <col min="4" max="4" width="11.7109375" customWidth="1"/>
    <col min="5" max="5" width="12.85546875" customWidth="1"/>
    <col min="6" max="6" width="2.42578125" style="115" customWidth="1"/>
    <col min="7" max="7" width="17" style="115" customWidth="1"/>
    <col min="8" max="8" width="14.28515625" style="115" bestFit="1" customWidth="1"/>
    <col min="9" max="9" width="9" style="115" bestFit="1" customWidth="1"/>
    <col min="10" max="10" width="2" style="115" customWidth="1"/>
    <col min="11" max="11" width="20" style="115" customWidth="1"/>
    <col min="12" max="12" width="36.42578125" style="115" customWidth="1"/>
    <col min="13" max="13" width="18.5703125" style="115" customWidth="1"/>
    <col min="14" max="14" width="24.140625" style="115" customWidth="1"/>
    <col min="15" max="15" width="18.5703125" style="115" customWidth="1"/>
    <col min="16" max="16384" width="9.140625" style="115"/>
  </cols>
  <sheetData>
    <row r="2" spans="1:14" ht="18" x14ac:dyDescent="0.25">
      <c r="A2" s="114"/>
      <c r="B2" s="201" t="s">
        <v>59</v>
      </c>
      <c r="C2" s="201"/>
      <c r="D2" s="201"/>
      <c r="E2" s="201"/>
      <c r="F2" s="201"/>
      <c r="G2" s="201"/>
      <c r="H2" s="201"/>
      <c r="I2" s="201"/>
      <c r="J2" s="201"/>
      <c r="K2" s="201"/>
      <c r="L2" s="201"/>
    </row>
    <row r="3" spans="1:14" ht="18" x14ac:dyDescent="0.25">
      <c r="A3" s="114"/>
      <c r="B3" s="116"/>
      <c r="C3" s="116"/>
      <c r="D3" s="43"/>
      <c r="E3" s="43"/>
      <c r="F3" s="116"/>
      <c r="G3" s="116"/>
      <c r="H3" s="116"/>
      <c r="I3" s="116"/>
      <c r="J3" s="116"/>
      <c r="K3" s="116"/>
      <c r="L3" s="116"/>
    </row>
    <row r="4" spans="1:14" ht="48" thickBot="1" x14ac:dyDescent="0.25">
      <c r="A4" s="114"/>
      <c r="B4" s="138" t="s">
        <v>0</v>
      </c>
      <c r="C4" s="117"/>
      <c r="D4" s="93" t="s">
        <v>49</v>
      </c>
      <c r="E4" s="92" t="s">
        <v>50</v>
      </c>
      <c r="F4" s="117"/>
      <c r="G4" s="138" t="s">
        <v>51</v>
      </c>
      <c r="H4" s="138" t="s">
        <v>1</v>
      </c>
      <c r="I4" s="202" t="s">
        <v>2</v>
      </c>
      <c r="J4" s="202"/>
      <c r="K4" s="202"/>
      <c r="L4" s="138" t="s">
        <v>3</v>
      </c>
      <c r="M4" s="118"/>
      <c r="N4" s="118"/>
    </row>
    <row r="5" spans="1:14" ht="15.75" x14ac:dyDescent="0.2">
      <c r="A5" s="114"/>
      <c r="B5" s="117"/>
      <c r="C5" s="117"/>
      <c r="D5" s="25"/>
      <c r="E5" s="31"/>
      <c r="F5" s="117"/>
      <c r="G5" s="117"/>
      <c r="H5" s="117"/>
      <c r="I5" s="117"/>
      <c r="J5" s="117"/>
      <c r="K5" s="117"/>
      <c r="L5" s="117"/>
      <c r="M5" s="118"/>
    </row>
    <row r="6" spans="1:14" ht="18" x14ac:dyDescent="0.25">
      <c r="A6" s="114"/>
      <c r="B6" s="147" t="s">
        <v>4</v>
      </c>
      <c r="C6" s="114"/>
      <c r="D6" s="158">
        <v>0.11</v>
      </c>
      <c r="E6" s="163">
        <v>0.16</v>
      </c>
      <c r="F6" s="120"/>
      <c r="G6" s="139">
        <v>0.15</v>
      </c>
      <c r="H6" s="141" t="s">
        <v>5</v>
      </c>
      <c r="I6" s="142">
        <f>G6+5%</f>
        <v>0.2</v>
      </c>
      <c r="J6" s="143" t="s">
        <v>14</v>
      </c>
      <c r="K6" s="144">
        <f>G6-5%</f>
        <v>9.9999999999999992E-2</v>
      </c>
      <c r="L6" s="145" t="s">
        <v>32</v>
      </c>
    </row>
    <row r="7" spans="1:14" ht="15" x14ac:dyDescent="0.2">
      <c r="A7" s="114"/>
      <c r="B7" s="114"/>
      <c r="C7" s="114"/>
      <c r="D7" s="27"/>
      <c r="E7" s="32"/>
      <c r="F7" s="125"/>
      <c r="G7" s="125"/>
      <c r="H7" s="125"/>
      <c r="I7" s="125"/>
      <c r="J7" s="125"/>
      <c r="K7" s="125"/>
      <c r="L7" s="125"/>
    </row>
    <row r="8" spans="1:14" ht="18" x14ac:dyDescent="0.25">
      <c r="A8" s="114"/>
      <c r="B8" s="119" t="s">
        <v>6</v>
      </c>
      <c r="C8" s="114" t="s">
        <v>9</v>
      </c>
      <c r="D8" s="26">
        <v>0.16</v>
      </c>
      <c r="E8" s="32">
        <v>0.17</v>
      </c>
      <c r="F8" s="120"/>
      <c r="G8" s="121">
        <v>0.2</v>
      </c>
      <c r="H8" s="122" t="s">
        <v>7</v>
      </c>
      <c r="I8" s="123">
        <f>G8+6%</f>
        <v>0.26</v>
      </c>
      <c r="J8" s="120" t="s">
        <v>14</v>
      </c>
      <c r="K8" s="124">
        <f>G8-6%</f>
        <v>0.14000000000000001</v>
      </c>
      <c r="L8" s="125" t="s">
        <v>41</v>
      </c>
    </row>
    <row r="9" spans="1:14" ht="15" x14ac:dyDescent="0.2">
      <c r="A9" s="114"/>
      <c r="B9" s="114"/>
      <c r="C9" s="114"/>
      <c r="D9" s="27"/>
      <c r="E9" s="32"/>
      <c r="F9" s="125"/>
      <c r="G9" s="125"/>
      <c r="H9" s="125"/>
      <c r="I9" s="125"/>
      <c r="J9" s="125"/>
      <c r="K9" s="125"/>
      <c r="L9" s="66" t="s">
        <v>40</v>
      </c>
    </row>
    <row r="10" spans="1:14" ht="18" x14ac:dyDescent="0.25">
      <c r="A10" s="114"/>
      <c r="B10" s="119" t="s">
        <v>8</v>
      </c>
      <c r="C10" s="114" t="s">
        <v>22</v>
      </c>
      <c r="D10" s="26">
        <v>0.5</v>
      </c>
      <c r="E10" s="32">
        <v>0.48</v>
      </c>
      <c r="F10" s="120"/>
      <c r="G10" s="121">
        <v>0.5</v>
      </c>
      <c r="H10" s="122" t="s">
        <v>7</v>
      </c>
      <c r="I10" s="123">
        <f>G10+6%</f>
        <v>0.56000000000000005</v>
      </c>
      <c r="J10" s="120" t="s">
        <v>14</v>
      </c>
      <c r="K10" s="124">
        <f>G10-6%</f>
        <v>0.44</v>
      </c>
    </row>
    <row r="11" spans="1:14" ht="15" x14ac:dyDescent="0.2">
      <c r="A11" s="114"/>
      <c r="B11" s="126"/>
      <c r="C11" s="126"/>
      <c r="D11" s="28"/>
      <c r="E11" s="162"/>
      <c r="F11" s="125"/>
      <c r="G11" s="125"/>
      <c r="H11" s="125"/>
      <c r="I11" s="123"/>
      <c r="J11" s="120"/>
      <c r="K11" s="124"/>
      <c r="L11" s="122" t="s">
        <v>38</v>
      </c>
    </row>
    <row r="12" spans="1:14" ht="15" x14ac:dyDescent="0.2">
      <c r="A12" s="114"/>
      <c r="B12" s="114"/>
      <c r="C12" s="114"/>
      <c r="D12" s="28"/>
      <c r="E12" s="162"/>
      <c r="F12" s="127"/>
      <c r="G12" s="127"/>
      <c r="H12" s="127"/>
      <c r="I12" s="128"/>
      <c r="J12" s="129"/>
      <c r="K12" s="130"/>
      <c r="L12" s="122" t="s">
        <v>39</v>
      </c>
    </row>
    <row r="13" spans="1:14" ht="15" x14ac:dyDescent="0.2">
      <c r="A13" s="114"/>
      <c r="B13" s="114" t="s">
        <v>33</v>
      </c>
      <c r="C13" s="114"/>
      <c r="D13" s="26">
        <v>0.1</v>
      </c>
      <c r="E13" s="32"/>
      <c r="F13" s="131"/>
      <c r="G13" s="129">
        <v>0.1</v>
      </c>
      <c r="H13" s="122" t="s">
        <v>35</v>
      </c>
      <c r="I13" s="128"/>
      <c r="J13" s="129"/>
      <c r="K13" s="130"/>
      <c r="L13" s="114"/>
    </row>
    <row r="14" spans="1:14" ht="15.75" customHeight="1" x14ac:dyDescent="0.2">
      <c r="A14" s="114"/>
      <c r="B14" s="114" t="s">
        <v>34</v>
      </c>
      <c r="C14" s="114"/>
      <c r="D14" s="26">
        <v>0.4</v>
      </c>
      <c r="E14" s="32"/>
      <c r="F14" s="131"/>
      <c r="G14" s="129">
        <v>0.4</v>
      </c>
      <c r="H14" s="122" t="s">
        <v>35</v>
      </c>
      <c r="I14" s="128"/>
      <c r="J14" s="129"/>
      <c r="K14" s="130"/>
      <c r="L14" s="114"/>
    </row>
    <row r="15" spans="1:14" ht="15" x14ac:dyDescent="0.2">
      <c r="A15" s="114"/>
      <c r="B15" s="114"/>
      <c r="C15" s="114"/>
      <c r="D15" s="29"/>
      <c r="E15" s="159"/>
      <c r="F15" s="132"/>
      <c r="G15" s="114"/>
      <c r="H15" s="114"/>
      <c r="I15" s="114"/>
      <c r="J15" s="114"/>
      <c r="K15" s="114"/>
      <c r="L15" s="114"/>
    </row>
    <row r="16" spans="1:14" ht="15" x14ac:dyDescent="0.2">
      <c r="B16" s="156"/>
      <c r="D16" s="28"/>
      <c r="E16" s="164"/>
      <c r="G16" s="156"/>
      <c r="H16" s="156"/>
      <c r="I16" s="156"/>
      <c r="J16" s="156"/>
      <c r="K16" s="156"/>
      <c r="L16" s="156"/>
    </row>
    <row r="17" spans="1:13" ht="18" x14ac:dyDescent="0.25">
      <c r="A17" s="114"/>
      <c r="B17" s="154" t="s">
        <v>10</v>
      </c>
      <c r="C17" s="114"/>
      <c r="D17" s="29">
        <v>0.15</v>
      </c>
      <c r="E17" s="44">
        <v>0.14000000000000001</v>
      </c>
      <c r="F17" s="114"/>
      <c r="G17" s="140">
        <v>0.1</v>
      </c>
      <c r="H17" s="149" t="s">
        <v>5</v>
      </c>
      <c r="I17" s="153">
        <f>G17+5%</f>
        <v>0.15000000000000002</v>
      </c>
      <c r="J17" s="151" t="s">
        <v>14</v>
      </c>
      <c r="K17" s="152">
        <f>G17-5%</f>
        <v>0.05</v>
      </c>
      <c r="L17" s="146" t="s">
        <v>15</v>
      </c>
    </row>
    <row r="18" spans="1:13" ht="15" x14ac:dyDescent="0.2">
      <c r="A18" s="114"/>
      <c r="B18" s="114"/>
      <c r="C18" s="114"/>
      <c r="D18" s="28"/>
      <c r="E18" s="37"/>
      <c r="F18" s="114"/>
      <c r="G18" s="114"/>
      <c r="H18" s="114"/>
      <c r="I18" s="114"/>
      <c r="J18" s="114"/>
      <c r="K18" s="114"/>
      <c r="L18" s="66"/>
      <c r="M18" s="64"/>
    </row>
    <row r="19" spans="1:13" ht="18" x14ac:dyDescent="0.25">
      <c r="A19" s="114"/>
      <c r="B19" s="154" t="s">
        <v>11</v>
      </c>
      <c r="C19" s="114" t="s">
        <v>36</v>
      </c>
      <c r="D19" s="29">
        <v>0.05</v>
      </c>
      <c r="E19" s="44">
        <v>0</v>
      </c>
      <c r="F19" s="133"/>
      <c r="G19" s="140">
        <v>0.05</v>
      </c>
      <c r="H19" s="149" t="s">
        <v>5</v>
      </c>
      <c r="I19" s="153">
        <f>G19+5%</f>
        <v>0.1</v>
      </c>
      <c r="J19" s="151" t="s">
        <v>14</v>
      </c>
      <c r="K19" s="152">
        <f>0%-0%</f>
        <v>0</v>
      </c>
      <c r="L19" s="65" t="s">
        <v>42</v>
      </c>
      <c r="M19" s="64"/>
    </row>
    <row r="20" spans="1:13" ht="15" x14ac:dyDescent="0.2">
      <c r="A20" s="114"/>
      <c r="B20" s="114"/>
      <c r="C20" s="114"/>
      <c r="D20" s="28"/>
      <c r="E20" s="37"/>
      <c r="F20" s="114"/>
      <c r="G20" s="114"/>
      <c r="H20" s="114"/>
      <c r="I20" s="114"/>
      <c r="J20" s="114"/>
      <c r="K20" s="114"/>
    </row>
    <row r="21" spans="1:13" ht="18" x14ac:dyDescent="0.25">
      <c r="A21" s="114"/>
      <c r="B21" s="154" t="s">
        <v>31</v>
      </c>
      <c r="C21" s="114"/>
      <c r="D21" s="29">
        <v>0.05</v>
      </c>
      <c r="E21" s="44">
        <v>0.05</v>
      </c>
      <c r="F21" s="133"/>
      <c r="G21" s="140">
        <v>0.05</v>
      </c>
      <c r="H21" s="149" t="s">
        <v>5</v>
      </c>
      <c r="I21" s="150">
        <f>G21+5%</f>
        <v>0.1</v>
      </c>
      <c r="J21" s="151" t="s">
        <v>14</v>
      </c>
      <c r="K21" s="152">
        <f>G21-5%</f>
        <v>0</v>
      </c>
      <c r="L21" s="146" t="s">
        <v>16</v>
      </c>
    </row>
    <row r="22" spans="1:13" ht="15" x14ac:dyDescent="0.2">
      <c r="A22" s="114"/>
      <c r="B22" s="114"/>
      <c r="C22" s="114"/>
      <c r="D22" s="28"/>
      <c r="E22" s="37"/>
      <c r="F22" s="114"/>
      <c r="G22" s="114"/>
      <c r="H22" s="114"/>
      <c r="I22" s="114"/>
      <c r="J22" s="114"/>
      <c r="K22" s="114"/>
      <c r="L22" s="114"/>
    </row>
    <row r="23" spans="1:13" ht="18" x14ac:dyDescent="0.25">
      <c r="A23" s="114"/>
      <c r="B23" s="154" t="s">
        <v>12</v>
      </c>
      <c r="C23" s="114"/>
      <c r="D23" s="29">
        <f>D6+D8+D10+D17+D19+D21</f>
        <v>1.02</v>
      </c>
      <c r="E23" s="39">
        <f>E6+E8+E10+E17+E19+E21</f>
        <v>1</v>
      </c>
      <c r="F23" s="114"/>
      <c r="G23" s="140">
        <f>G6+G8+G10+G17+G19+G21</f>
        <v>1.05</v>
      </c>
      <c r="H23" s="148"/>
      <c r="I23" s="148"/>
      <c r="J23" s="148"/>
      <c r="K23" s="148"/>
      <c r="L23" s="148"/>
    </row>
    <row r="24" spans="1:13" ht="15" x14ac:dyDescent="0.2">
      <c r="A24" s="114"/>
      <c r="B24" s="114"/>
      <c r="C24" s="114"/>
      <c r="D24" s="28"/>
      <c r="E24" s="37"/>
      <c r="F24" s="114"/>
      <c r="G24" s="114"/>
      <c r="H24" s="114"/>
      <c r="I24" s="114"/>
      <c r="J24" s="114"/>
      <c r="K24" s="114"/>
      <c r="L24" s="114"/>
    </row>
    <row r="25" spans="1:13" ht="18" x14ac:dyDescent="0.25">
      <c r="A25" s="114"/>
      <c r="B25" s="154" t="s">
        <v>13</v>
      </c>
      <c r="D25" s="30">
        <v>0.4</v>
      </c>
      <c r="E25" s="44">
        <v>0.4</v>
      </c>
      <c r="G25" s="140">
        <v>0.42</v>
      </c>
      <c r="H25" s="149" t="s">
        <v>7</v>
      </c>
      <c r="I25" s="153">
        <f>G25+6%</f>
        <v>0.48</v>
      </c>
      <c r="J25" s="151" t="s">
        <v>14</v>
      </c>
      <c r="K25" s="155">
        <f>G25-6%</f>
        <v>0.36</v>
      </c>
      <c r="L25" s="148"/>
    </row>
    <row r="26" spans="1:13" ht="18" x14ac:dyDescent="0.25">
      <c r="A26" s="114"/>
      <c r="B26" s="119"/>
      <c r="D26" s="175"/>
      <c r="E26" s="32"/>
      <c r="G26" s="121"/>
      <c r="H26" s="122"/>
      <c r="I26" s="123"/>
      <c r="J26" s="120"/>
      <c r="K26" s="124"/>
      <c r="L26" s="114"/>
    </row>
    <row r="27" spans="1:13" ht="18" x14ac:dyDescent="0.25">
      <c r="A27" s="114"/>
      <c r="B27" s="119" t="s">
        <v>68</v>
      </c>
      <c r="D27" s="175"/>
      <c r="E27" s="32"/>
      <c r="G27" s="226">
        <v>5.0000000000000001E-3</v>
      </c>
      <c r="H27" s="122"/>
      <c r="I27" s="123"/>
      <c r="J27" s="120"/>
      <c r="K27" s="124"/>
      <c r="L27" s="114"/>
    </row>
    <row r="28" spans="1:13" x14ac:dyDescent="0.2">
      <c r="D28" s="115"/>
      <c r="E28" s="115"/>
      <c r="J28" s="134"/>
    </row>
    <row r="29" spans="1:13" x14ac:dyDescent="0.2">
      <c r="B29" s="135" t="s">
        <v>37</v>
      </c>
      <c r="D29" s="115"/>
      <c r="E29" s="115"/>
      <c r="J29" s="134"/>
    </row>
    <row r="30" spans="1:13" x14ac:dyDescent="0.2">
      <c r="B30" s="136" t="s">
        <v>47</v>
      </c>
      <c r="D30" s="115"/>
      <c r="E30" s="115"/>
      <c r="J30" s="134"/>
    </row>
    <row r="31" spans="1:13" x14ac:dyDescent="0.2">
      <c r="B31" s="136" t="s">
        <v>43</v>
      </c>
      <c r="D31" s="115"/>
      <c r="E31" s="115"/>
      <c r="J31" s="134"/>
    </row>
    <row r="32" spans="1:13" x14ac:dyDescent="0.2">
      <c r="B32" s="137"/>
      <c r="D32" s="115"/>
      <c r="E32" s="115"/>
    </row>
    <row r="33" spans="2:8" ht="13.5" thickBot="1" x14ac:dyDescent="0.25">
      <c r="D33" s="115"/>
      <c r="E33" s="115"/>
    </row>
    <row r="34" spans="2:8" ht="20.25" x14ac:dyDescent="0.2">
      <c r="B34" s="203" t="s">
        <v>60</v>
      </c>
      <c r="C34" s="204"/>
      <c r="D34" s="204"/>
      <c r="E34" s="204"/>
      <c r="F34" s="204"/>
      <c r="G34" s="204"/>
      <c r="H34" s="165"/>
    </row>
    <row r="35" spans="2:8" ht="15" x14ac:dyDescent="0.2">
      <c r="B35" s="205" t="s">
        <v>66</v>
      </c>
      <c r="C35" s="182"/>
      <c r="D35" s="182"/>
      <c r="E35" s="182"/>
      <c r="F35" s="182"/>
      <c r="G35" s="182"/>
      <c r="H35" s="166"/>
    </row>
    <row r="36" spans="2:8" ht="18" x14ac:dyDescent="0.25">
      <c r="B36" s="167" t="s">
        <v>61</v>
      </c>
      <c r="C36" s="201" t="s">
        <v>62</v>
      </c>
      <c r="D36" s="201"/>
      <c r="E36" s="201"/>
      <c r="F36" s="172"/>
      <c r="G36" s="201" t="s">
        <v>63</v>
      </c>
      <c r="H36" s="206"/>
    </row>
    <row r="37" spans="2:8" ht="15.75" x14ac:dyDescent="0.25">
      <c r="B37" s="168"/>
      <c r="C37" s="173"/>
      <c r="D37" s="173"/>
      <c r="E37" s="173"/>
      <c r="F37" s="173"/>
      <c r="G37" s="173"/>
      <c r="H37" s="169"/>
    </row>
    <row r="38" spans="2:8" ht="15.75" x14ac:dyDescent="0.25">
      <c r="B38" s="168" t="s">
        <v>64</v>
      </c>
      <c r="C38" s="199" t="s">
        <v>65</v>
      </c>
      <c r="D38" s="199"/>
      <c r="E38" s="199"/>
      <c r="F38" s="173"/>
      <c r="G38" s="199" t="s">
        <v>67</v>
      </c>
      <c r="H38" s="200"/>
    </row>
    <row r="39" spans="2:8" ht="16.5" thickBot="1" x14ac:dyDescent="0.3">
      <c r="B39" s="170"/>
      <c r="C39" s="171"/>
      <c r="D39" s="171"/>
      <c r="E39" s="171"/>
      <c r="F39" s="171"/>
      <c r="G39" s="171"/>
      <c r="H39" s="174"/>
    </row>
    <row r="40" spans="2:8" x14ac:dyDescent="0.2">
      <c r="D40" s="115"/>
      <c r="E40" s="115"/>
    </row>
    <row r="41" spans="2:8" x14ac:dyDescent="0.2">
      <c r="D41" s="115"/>
      <c r="E41" s="115"/>
    </row>
    <row r="42" spans="2:8" x14ac:dyDescent="0.2">
      <c r="D42" s="115"/>
      <c r="E42" s="115"/>
    </row>
    <row r="43" spans="2:8" x14ac:dyDescent="0.2">
      <c r="D43" s="115"/>
      <c r="E43" s="115"/>
    </row>
    <row r="44" spans="2:8" x14ac:dyDescent="0.2">
      <c r="D44" s="115"/>
      <c r="E44" s="115"/>
    </row>
    <row r="45" spans="2:8" x14ac:dyDescent="0.2">
      <c r="D45" s="115"/>
      <c r="E45" s="115"/>
    </row>
    <row r="46" spans="2:8" x14ac:dyDescent="0.2">
      <c r="D46" s="115"/>
      <c r="E46" s="115"/>
    </row>
    <row r="47" spans="2:8" x14ac:dyDescent="0.2">
      <c r="D47" s="115"/>
      <c r="E47" s="115"/>
    </row>
    <row r="48" spans="2:8" x14ac:dyDescent="0.2">
      <c r="D48" s="115"/>
      <c r="E48" s="115"/>
    </row>
    <row r="49" s="115" customFormat="1" x14ac:dyDescent="0.2"/>
    <row r="50" s="115" customFormat="1" x14ac:dyDescent="0.2"/>
    <row r="51" s="115" customFormat="1" x14ac:dyDescent="0.2"/>
    <row r="52" s="115" customFormat="1" x14ac:dyDescent="0.2"/>
    <row r="53" s="115" customFormat="1" x14ac:dyDescent="0.2"/>
    <row r="54" s="115" customFormat="1" x14ac:dyDescent="0.2"/>
    <row r="55" s="115" customFormat="1" x14ac:dyDescent="0.2"/>
    <row r="56" s="115" customFormat="1" x14ac:dyDescent="0.2"/>
    <row r="57" s="115" customFormat="1" x14ac:dyDescent="0.2"/>
    <row r="58" s="115" customFormat="1" x14ac:dyDescent="0.2"/>
    <row r="59" s="115" customFormat="1" x14ac:dyDescent="0.2"/>
    <row r="60" s="115" customFormat="1" x14ac:dyDescent="0.2"/>
    <row r="61" s="115" customFormat="1" x14ac:dyDescent="0.2"/>
    <row r="62" s="115" customFormat="1" x14ac:dyDescent="0.2"/>
    <row r="63" s="115" customFormat="1" x14ac:dyDescent="0.2"/>
    <row r="64" s="115" customFormat="1" x14ac:dyDescent="0.2"/>
    <row r="65" s="115" customFormat="1" x14ac:dyDescent="0.2"/>
    <row r="66" s="115" customFormat="1" x14ac:dyDescent="0.2"/>
    <row r="67" s="115" customFormat="1" x14ac:dyDescent="0.2"/>
    <row r="68" s="115" customFormat="1" x14ac:dyDescent="0.2"/>
    <row r="69" s="115" customFormat="1" x14ac:dyDescent="0.2"/>
    <row r="70" s="115" customFormat="1" x14ac:dyDescent="0.2"/>
    <row r="71" s="115" customFormat="1" x14ac:dyDescent="0.2"/>
    <row r="72" s="115" customFormat="1" x14ac:dyDescent="0.2"/>
    <row r="73" s="115" customFormat="1" x14ac:dyDescent="0.2"/>
    <row r="74" s="115" customFormat="1" x14ac:dyDescent="0.2"/>
    <row r="75" s="115" customFormat="1" x14ac:dyDescent="0.2"/>
    <row r="76" s="115" customFormat="1" x14ac:dyDescent="0.2"/>
    <row r="77" s="115" customFormat="1" x14ac:dyDescent="0.2"/>
    <row r="78" s="115" customFormat="1" x14ac:dyDescent="0.2"/>
    <row r="79" s="115" customFormat="1" x14ac:dyDescent="0.2"/>
    <row r="80" s="115" customFormat="1" x14ac:dyDescent="0.2"/>
    <row r="81" s="115" customFormat="1" x14ac:dyDescent="0.2"/>
    <row r="82" s="115" customFormat="1" x14ac:dyDescent="0.2"/>
    <row r="83" s="115" customFormat="1" x14ac:dyDescent="0.2"/>
    <row r="84" s="115" customFormat="1" x14ac:dyDescent="0.2"/>
    <row r="85" s="115" customFormat="1" x14ac:dyDescent="0.2"/>
    <row r="86" s="115" customFormat="1" x14ac:dyDescent="0.2"/>
    <row r="87" s="115" customFormat="1" x14ac:dyDescent="0.2"/>
    <row r="88" s="115" customFormat="1" x14ac:dyDescent="0.2"/>
    <row r="89" s="115" customFormat="1" x14ac:dyDescent="0.2"/>
    <row r="90" s="115" customFormat="1" x14ac:dyDescent="0.2"/>
    <row r="91" s="115" customFormat="1" x14ac:dyDescent="0.2"/>
    <row r="92" s="115" customFormat="1" x14ac:dyDescent="0.2"/>
    <row r="93" s="115" customFormat="1" x14ac:dyDescent="0.2"/>
    <row r="94" s="115" customFormat="1" x14ac:dyDescent="0.2"/>
    <row r="95" s="115" customFormat="1" x14ac:dyDescent="0.2"/>
    <row r="96" s="115" customFormat="1" x14ac:dyDescent="0.2"/>
    <row r="97" s="115" customFormat="1" x14ac:dyDescent="0.2"/>
    <row r="98" s="115" customFormat="1" x14ac:dyDescent="0.2"/>
    <row r="99" s="115" customFormat="1" x14ac:dyDescent="0.2"/>
    <row r="100" s="115" customFormat="1" x14ac:dyDescent="0.2"/>
    <row r="101" s="115" customFormat="1" x14ac:dyDescent="0.2"/>
    <row r="102" s="115" customFormat="1" x14ac:dyDescent="0.2"/>
    <row r="103" s="115" customFormat="1" x14ac:dyDescent="0.2"/>
    <row r="104" s="115" customFormat="1" x14ac:dyDescent="0.2"/>
    <row r="105" s="115" customFormat="1" x14ac:dyDescent="0.2"/>
    <row r="106" s="115" customFormat="1" x14ac:dyDescent="0.2"/>
    <row r="107" s="115" customFormat="1" x14ac:dyDescent="0.2"/>
    <row r="108" s="115" customFormat="1" x14ac:dyDescent="0.2"/>
    <row r="109" s="115" customFormat="1" x14ac:dyDescent="0.2"/>
    <row r="110" s="115" customFormat="1" x14ac:dyDescent="0.2"/>
    <row r="111" s="115" customFormat="1" x14ac:dyDescent="0.2"/>
    <row r="112" s="115" customFormat="1" x14ac:dyDescent="0.2"/>
    <row r="113" s="115" customFormat="1" x14ac:dyDescent="0.2"/>
    <row r="114" s="115" customFormat="1" x14ac:dyDescent="0.2"/>
    <row r="115" s="115" customFormat="1" x14ac:dyDescent="0.2"/>
    <row r="116" s="115" customFormat="1" x14ac:dyDescent="0.2"/>
    <row r="117" s="115" customFormat="1" x14ac:dyDescent="0.2"/>
    <row r="118" s="115" customFormat="1" x14ac:dyDescent="0.2"/>
    <row r="119" s="115" customFormat="1" x14ac:dyDescent="0.2"/>
    <row r="120" s="115" customFormat="1" x14ac:dyDescent="0.2"/>
    <row r="121" s="115" customFormat="1" x14ac:dyDescent="0.2"/>
    <row r="122" s="115" customFormat="1" x14ac:dyDescent="0.2"/>
    <row r="123" s="115" customFormat="1" x14ac:dyDescent="0.2"/>
    <row r="124" s="115" customFormat="1" x14ac:dyDescent="0.2"/>
    <row r="125" s="115" customFormat="1" x14ac:dyDescent="0.2"/>
    <row r="126" s="115" customFormat="1" x14ac:dyDescent="0.2"/>
    <row r="127" s="115" customFormat="1" x14ac:dyDescent="0.2"/>
    <row r="128" s="115" customFormat="1" x14ac:dyDescent="0.2"/>
    <row r="129" s="115" customFormat="1" x14ac:dyDescent="0.2"/>
    <row r="130" s="115" customFormat="1" x14ac:dyDescent="0.2"/>
    <row r="131" s="115" customFormat="1" x14ac:dyDescent="0.2"/>
    <row r="132" s="115" customFormat="1" x14ac:dyDescent="0.2"/>
    <row r="133" s="115" customFormat="1" x14ac:dyDescent="0.2"/>
    <row r="134" s="115" customFormat="1" x14ac:dyDescent="0.2"/>
    <row r="135" s="115" customFormat="1" x14ac:dyDescent="0.2"/>
    <row r="136" s="115" customFormat="1" x14ac:dyDescent="0.2"/>
    <row r="137" s="115" customFormat="1" x14ac:dyDescent="0.2"/>
    <row r="138" s="115" customFormat="1" x14ac:dyDescent="0.2"/>
    <row r="139" s="115" customFormat="1" x14ac:dyDescent="0.2"/>
    <row r="140" s="115" customFormat="1" x14ac:dyDescent="0.2"/>
    <row r="141" s="115" customFormat="1" x14ac:dyDescent="0.2"/>
    <row r="142" s="115" customFormat="1" x14ac:dyDescent="0.2"/>
    <row r="143" s="115" customFormat="1" x14ac:dyDescent="0.2"/>
    <row r="144" s="115" customFormat="1" x14ac:dyDescent="0.2"/>
    <row r="145" s="115" customFormat="1" x14ac:dyDescent="0.2"/>
    <row r="146" s="115" customFormat="1" x14ac:dyDescent="0.2"/>
    <row r="147" s="115" customFormat="1" x14ac:dyDescent="0.2"/>
    <row r="148" s="115" customFormat="1" x14ac:dyDescent="0.2"/>
    <row r="149" s="115" customFormat="1" x14ac:dyDescent="0.2"/>
    <row r="150" s="115" customFormat="1" x14ac:dyDescent="0.2"/>
    <row r="151" s="115" customFormat="1" x14ac:dyDescent="0.2"/>
    <row r="152" s="115" customFormat="1" x14ac:dyDescent="0.2"/>
    <row r="153" s="115" customFormat="1" x14ac:dyDescent="0.2"/>
    <row r="154" s="115" customFormat="1" x14ac:dyDescent="0.2"/>
    <row r="155" s="115" customFormat="1" x14ac:dyDescent="0.2"/>
    <row r="156" s="115" customFormat="1" x14ac:dyDescent="0.2"/>
    <row r="157" s="115" customFormat="1" x14ac:dyDescent="0.2"/>
    <row r="158" s="115" customFormat="1" x14ac:dyDescent="0.2"/>
    <row r="159" s="115" customFormat="1" x14ac:dyDescent="0.2"/>
    <row r="160" s="115" customFormat="1" x14ac:dyDescent="0.2"/>
    <row r="161" s="115" customFormat="1" x14ac:dyDescent="0.2"/>
    <row r="162" s="115" customFormat="1" x14ac:dyDescent="0.2"/>
    <row r="163" s="115" customFormat="1" x14ac:dyDescent="0.2"/>
    <row r="164" s="115" customFormat="1" x14ac:dyDescent="0.2"/>
    <row r="165" s="115" customFormat="1" x14ac:dyDescent="0.2"/>
    <row r="166" s="115" customFormat="1" x14ac:dyDescent="0.2"/>
    <row r="167" s="115" customFormat="1" x14ac:dyDescent="0.2"/>
    <row r="168" s="115" customFormat="1" x14ac:dyDescent="0.2"/>
    <row r="169" s="115" customFormat="1" x14ac:dyDescent="0.2"/>
    <row r="170" s="115" customFormat="1" x14ac:dyDescent="0.2"/>
    <row r="171" s="115" customFormat="1" x14ac:dyDescent="0.2"/>
    <row r="172" s="115" customFormat="1" x14ac:dyDescent="0.2"/>
    <row r="173" s="115" customFormat="1" x14ac:dyDescent="0.2"/>
    <row r="174" s="115" customFormat="1" x14ac:dyDescent="0.2"/>
    <row r="175" s="115" customFormat="1" x14ac:dyDescent="0.2"/>
    <row r="176" s="115" customFormat="1" x14ac:dyDescent="0.2"/>
    <row r="177" s="115" customFormat="1" x14ac:dyDescent="0.2"/>
    <row r="178" s="115" customFormat="1" x14ac:dyDescent="0.2"/>
    <row r="179" s="115" customFormat="1" x14ac:dyDescent="0.2"/>
    <row r="180" s="115" customFormat="1" x14ac:dyDescent="0.2"/>
    <row r="181" s="115" customFormat="1" x14ac:dyDescent="0.2"/>
    <row r="182" s="115" customFormat="1" x14ac:dyDescent="0.2"/>
    <row r="183" s="115" customFormat="1" x14ac:dyDescent="0.2"/>
    <row r="184" s="115" customFormat="1" x14ac:dyDescent="0.2"/>
    <row r="185" s="115" customFormat="1" x14ac:dyDescent="0.2"/>
    <row r="186" s="115" customFormat="1" x14ac:dyDescent="0.2"/>
    <row r="187" s="115" customFormat="1" x14ac:dyDescent="0.2"/>
    <row r="188" s="115" customFormat="1" x14ac:dyDescent="0.2"/>
    <row r="189" s="115" customFormat="1" x14ac:dyDescent="0.2"/>
    <row r="190" s="115" customFormat="1" x14ac:dyDescent="0.2"/>
    <row r="191" s="115" customFormat="1" x14ac:dyDescent="0.2"/>
    <row r="192" s="115" customFormat="1" x14ac:dyDescent="0.2"/>
    <row r="193" s="115" customFormat="1" x14ac:dyDescent="0.2"/>
    <row r="194" s="115" customFormat="1" x14ac:dyDescent="0.2"/>
    <row r="195" s="115" customFormat="1" x14ac:dyDescent="0.2"/>
    <row r="196" s="115" customFormat="1" x14ac:dyDescent="0.2"/>
    <row r="197" s="115" customFormat="1" x14ac:dyDescent="0.2"/>
    <row r="198" s="115" customFormat="1" x14ac:dyDescent="0.2"/>
    <row r="199" s="115" customFormat="1" x14ac:dyDescent="0.2"/>
    <row r="200" s="115" customFormat="1" x14ac:dyDescent="0.2"/>
    <row r="201" s="115" customFormat="1" x14ac:dyDescent="0.2"/>
    <row r="202" s="115" customFormat="1" x14ac:dyDescent="0.2"/>
    <row r="203" s="115" customFormat="1" x14ac:dyDescent="0.2"/>
    <row r="204" s="115" customFormat="1" x14ac:dyDescent="0.2"/>
    <row r="205" s="115" customFormat="1" x14ac:dyDescent="0.2"/>
    <row r="206" s="115" customFormat="1" x14ac:dyDescent="0.2"/>
    <row r="207" s="115" customFormat="1" x14ac:dyDescent="0.2"/>
    <row r="208" s="115" customFormat="1" x14ac:dyDescent="0.2"/>
    <row r="209" s="115" customFormat="1" x14ac:dyDescent="0.2"/>
    <row r="210" s="115" customFormat="1" x14ac:dyDescent="0.2"/>
    <row r="211" s="115" customFormat="1" x14ac:dyDescent="0.2"/>
    <row r="212" s="115" customFormat="1" x14ac:dyDescent="0.2"/>
    <row r="213" s="115" customFormat="1" x14ac:dyDescent="0.2"/>
    <row r="214" s="115" customFormat="1" x14ac:dyDescent="0.2"/>
    <row r="215" s="115" customFormat="1" x14ac:dyDescent="0.2"/>
    <row r="216" s="115" customFormat="1" x14ac:dyDescent="0.2"/>
    <row r="217" s="115" customFormat="1" x14ac:dyDescent="0.2"/>
    <row r="218" s="115" customFormat="1" x14ac:dyDescent="0.2"/>
    <row r="219" s="115" customFormat="1" x14ac:dyDescent="0.2"/>
    <row r="220" s="115" customFormat="1" x14ac:dyDescent="0.2"/>
    <row r="221" s="115" customFormat="1" x14ac:dyDescent="0.2"/>
    <row r="222" s="115" customFormat="1" x14ac:dyDescent="0.2"/>
    <row r="223" s="115" customFormat="1" x14ac:dyDescent="0.2"/>
    <row r="224" s="115" customFormat="1" x14ac:dyDescent="0.2"/>
    <row r="225" s="115" customFormat="1" x14ac:dyDescent="0.2"/>
    <row r="226" s="115" customFormat="1" x14ac:dyDescent="0.2"/>
    <row r="227" s="115" customFormat="1" x14ac:dyDescent="0.2"/>
    <row r="228" s="115" customFormat="1" x14ac:dyDescent="0.2"/>
    <row r="229" s="115" customFormat="1" x14ac:dyDescent="0.2"/>
    <row r="230" s="115" customFormat="1" x14ac:dyDescent="0.2"/>
    <row r="231" s="115" customFormat="1" x14ac:dyDescent="0.2"/>
    <row r="232" s="115" customFormat="1" x14ac:dyDescent="0.2"/>
    <row r="233" s="115" customFormat="1" x14ac:dyDescent="0.2"/>
    <row r="234" s="115" customFormat="1" x14ac:dyDescent="0.2"/>
    <row r="235" s="115" customFormat="1" x14ac:dyDescent="0.2"/>
    <row r="236" s="115" customFormat="1" x14ac:dyDescent="0.2"/>
    <row r="237" s="115" customFormat="1" x14ac:dyDescent="0.2"/>
    <row r="238" s="115" customFormat="1" x14ac:dyDescent="0.2"/>
    <row r="239" s="115" customFormat="1" x14ac:dyDescent="0.2"/>
    <row r="240" s="115" customFormat="1" x14ac:dyDescent="0.2"/>
    <row r="241" s="115" customFormat="1" x14ac:dyDescent="0.2"/>
    <row r="242" s="115" customFormat="1" x14ac:dyDescent="0.2"/>
    <row r="243" s="115" customFormat="1" x14ac:dyDescent="0.2"/>
    <row r="244" s="115" customFormat="1" x14ac:dyDescent="0.2"/>
    <row r="245" s="115" customFormat="1" x14ac:dyDescent="0.2"/>
    <row r="246" s="115" customFormat="1" x14ac:dyDescent="0.2"/>
    <row r="247" s="115" customFormat="1" x14ac:dyDescent="0.2"/>
    <row r="248" s="115" customFormat="1" x14ac:dyDescent="0.2"/>
    <row r="249" s="115" customFormat="1" x14ac:dyDescent="0.2"/>
    <row r="250" s="115" customFormat="1" x14ac:dyDescent="0.2"/>
    <row r="251" s="115" customFormat="1" x14ac:dyDescent="0.2"/>
    <row r="252" s="115" customFormat="1" x14ac:dyDescent="0.2"/>
    <row r="253" s="115" customFormat="1" x14ac:dyDescent="0.2"/>
    <row r="254" s="115" customFormat="1" x14ac:dyDescent="0.2"/>
    <row r="255" s="115" customFormat="1" x14ac:dyDescent="0.2"/>
    <row r="256" s="115" customFormat="1" x14ac:dyDescent="0.2"/>
    <row r="257" s="115" customFormat="1" x14ac:dyDescent="0.2"/>
    <row r="258" s="115" customFormat="1" x14ac:dyDescent="0.2"/>
    <row r="259" s="115" customFormat="1" x14ac:dyDescent="0.2"/>
    <row r="260" s="115" customFormat="1" x14ac:dyDescent="0.2"/>
    <row r="261" s="115" customFormat="1" x14ac:dyDescent="0.2"/>
    <row r="262" s="115" customFormat="1" x14ac:dyDescent="0.2"/>
    <row r="263" s="115" customFormat="1" x14ac:dyDescent="0.2"/>
    <row r="264" s="115" customFormat="1" x14ac:dyDescent="0.2"/>
    <row r="265" s="115" customFormat="1" x14ac:dyDescent="0.2"/>
    <row r="266" s="115" customFormat="1" x14ac:dyDescent="0.2"/>
    <row r="267" s="115" customFormat="1" x14ac:dyDescent="0.2"/>
    <row r="268" s="115" customFormat="1" x14ac:dyDescent="0.2"/>
    <row r="269" s="115" customFormat="1" x14ac:dyDescent="0.2"/>
    <row r="270" s="115" customFormat="1" x14ac:dyDescent="0.2"/>
    <row r="271" s="115" customFormat="1" x14ac:dyDescent="0.2"/>
    <row r="272" s="115" customFormat="1" x14ac:dyDescent="0.2"/>
    <row r="273" s="115" customFormat="1" x14ac:dyDescent="0.2"/>
    <row r="274" s="115" customFormat="1" x14ac:dyDescent="0.2"/>
    <row r="275" s="115" customFormat="1" x14ac:dyDescent="0.2"/>
    <row r="276" s="115" customFormat="1" x14ac:dyDescent="0.2"/>
    <row r="277" s="115" customFormat="1" x14ac:dyDescent="0.2"/>
    <row r="278" s="115" customFormat="1" x14ac:dyDescent="0.2"/>
    <row r="279" s="115" customFormat="1" x14ac:dyDescent="0.2"/>
    <row r="280" s="115" customFormat="1" x14ac:dyDescent="0.2"/>
    <row r="281" s="115" customFormat="1" x14ac:dyDescent="0.2"/>
    <row r="282" s="115" customFormat="1" x14ac:dyDescent="0.2"/>
    <row r="283" s="115" customFormat="1" x14ac:dyDescent="0.2"/>
    <row r="284" s="115" customFormat="1" x14ac:dyDescent="0.2"/>
    <row r="285" s="115" customFormat="1" x14ac:dyDescent="0.2"/>
    <row r="286" s="115" customFormat="1" x14ac:dyDescent="0.2"/>
    <row r="287" s="115" customFormat="1" x14ac:dyDescent="0.2"/>
    <row r="288" s="115" customFormat="1" x14ac:dyDescent="0.2"/>
    <row r="289" s="115" customFormat="1" x14ac:dyDescent="0.2"/>
    <row r="290" s="115" customFormat="1" x14ac:dyDescent="0.2"/>
    <row r="291" s="115" customFormat="1" x14ac:dyDescent="0.2"/>
    <row r="292" s="115" customFormat="1" x14ac:dyDescent="0.2"/>
    <row r="293" s="115" customFormat="1" x14ac:dyDescent="0.2"/>
    <row r="294" s="115" customFormat="1" x14ac:dyDescent="0.2"/>
    <row r="295" s="115" customFormat="1" x14ac:dyDescent="0.2"/>
    <row r="296" s="115" customFormat="1" x14ac:dyDescent="0.2"/>
    <row r="297" s="115" customFormat="1" x14ac:dyDescent="0.2"/>
    <row r="298" s="115" customFormat="1" x14ac:dyDescent="0.2"/>
    <row r="299" s="115" customFormat="1" x14ac:dyDescent="0.2"/>
    <row r="300" s="115" customFormat="1" x14ac:dyDescent="0.2"/>
    <row r="301" s="115" customFormat="1" x14ac:dyDescent="0.2"/>
    <row r="302" s="115" customFormat="1" x14ac:dyDescent="0.2"/>
    <row r="303" s="115" customFormat="1" x14ac:dyDescent="0.2"/>
    <row r="304" s="115" customFormat="1" x14ac:dyDescent="0.2"/>
    <row r="305" s="115" customFormat="1" x14ac:dyDescent="0.2"/>
  </sheetData>
  <mergeCells count="8">
    <mergeCell ref="C38:E38"/>
    <mergeCell ref="G38:H38"/>
    <mergeCell ref="B2:L2"/>
    <mergeCell ref="I4:K4"/>
    <mergeCell ref="B34:G34"/>
    <mergeCell ref="B35:G35"/>
    <mergeCell ref="C36:E36"/>
    <mergeCell ref="G36:H36"/>
  </mergeCells>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92C-C774-471D-AB09-D4726D2EBC57}">
  <dimension ref="A1:L9"/>
  <sheetViews>
    <sheetView rightToLeft="1" workbookViewId="0">
      <selection activeCell="F9" sqref="F9:I9"/>
    </sheetView>
  </sheetViews>
  <sheetFormatPr defaultRowHeight="12.75" x14ac:dyDescent="0.2"/>
  <cols>
    <col min="1" max="16384" width="9.140625" style="134"/>
  </cols>
  <sheetData>
    <row r="1" spans="1:12" ht="18" x14ac:dyDescent="0.25">
      <c r="A1" s="210" t="s">
        <v>58</v>
      </c>
      <c r="B1" s="210"/>
      <c r="C1" s="210"/>
      <c r="D1" s="210"/>
      <c r="E1" s="210"/>
      <c r="F1" s="210"/>
      <c r="G1" s="210"/>
      <c r="H1" s="210"/>
      <c r="I1" s="210"/>
      <c r="J1" s="210"/>
      <c r="K1" s="157"/>
      <c r="L1" s="157"/>
    </row>
    <row r="2" spans="1:12" ht="18" x14ac:dyDescent="0.25">
      <c r="A2" s="157"/>
      <c r="B2" s="157"/>
      <c r="C2" s="157"/>
      <c r="D2" s="157"/>
      <c r="E2" s="157"/>
      <c r="F2" s="157"/>
      <c r="G2" s="157"/>
      <c r="H2" s="157"/>
      <c r="I2" s="157"/>
      <c r="J2" s="157"/>
      <c r="K2" s="157"/>
      <c r="L2" s="157"/>
    </row>
    <row r="3" spans="1:12" ht="18" x14ac:dyDescent="0.25">
      <c r="A3" s="211" t="s">
        <v>17</v>
      </c>
      <c r="B3" s="212"/>
      <c r="C3" s="212"/>
      <c r="D3" s="212"/>
      <c r="E3" s="212"/>
      <c r="F3" s="212"/>
      <c r="G3" s="212"/>
      <c r="H3" s="212"/>
      <c r="I3" s="213"/>
      <c r="J3" s="214" t="s">
        <v>3</v>
      </c>
      <c r="K3" s="214"/>
      <c r="L3" s="214"/>
    </row>
    <row r="4" spans="1:12" ht="20.25" x14ac:dyDescent="0.3">
      <c r="A4" s="215" t="s">
        <v>21</v>
      </c>
      <c r="B4" s="216"/>
      <c r="C4" s="216"/>
      <c r="D4" s="216"/>
      <c r="E4" s="216"/>
      <c r="F4" s="216"/>
      <c r="G4" s="216"/>
      <c r="H4" s="216"/>
      <c r="I4" s="217"/>
      <c r="J4" s="99" t="s">
        <v>38</v>
      </c>
      <c r="K4" s="100"/>
      <c r="L4" s="101"/>
    </row>
    <row r="5" spans="1:12" ht="20.25" x14ac:dyDescent="0.3">
      <c r="A5" s="218" t="s">
        <v>20</v>
      </c>
      <c r="B5" s="219"/>
      <c r="C5" s="219"/>
      <c r="D5" s="219"/>
      <c r="E5" s="219"/>
      <c r="F5" s="219"/>
      <c r="G5" s="219"/>
      <c r="H5" s="219"/>
      <c r="I5" s="220"/>
      <c r="J5" s="102"/>
      <c r="K5" s="103"/>
      <c r="L5" s="104"/>
    </row>
    <row r="6" spans="1:12" ht="20.25" x14ac:dyDescent="0.3">
      <c r="A6" s="218" t="s">
        <v>19</v>
      </c>
      <c r="B6" s="219"/>
      <c r="C6" s="219"/>
      <c r="D6" s="219"/>
      <c r="E6" s="219"/>
      <c r="F6" s="219"/>
      <c r="G6" s="219"/>
      <c r="H6" s="219"/>
      <c r="I6" s="220"/>
      <c r="J6" s="105" t="s">
        <v>39</v>
      </c>
      <c r="K6" s="106"/>
      <c r="L6" s="107"/>
    </row>
    <row r="7" spans="1:12" ht="20.25" x14ac:dyDescent="0.3">
      <c r="A7" s="207" t="s">
        <v>18</v>
      </c>
      <c r="B7" s="208"/>
      <c r="C7" s="208"/>
      <c r="D7" s="208"/>
      <c r="E7" s="208"/>
      <c r="F7" s="208"/>
      <c r="G7" s="208"/>
      <c r="H7" s="208"/>
      <c r="I7" s="209"/>
      <c r="J7" s="108"/>
      <c r="K7" s="109"/>
      <c r="L7" s="110"/>
    </row>
    <row r="9" spans="1:12" s="115" customFormat="1" ht="15.75" customHeight="1" x14ac:dyDescent="0.25">
      <c r="A9" s="114"/>
      <c r="B9" s="183" t="s">
        <v>68</v>
      </c>
      <c r="C9" s="184"/>
      <c r="D9" s="184"/>
      <c r="E9" s="185"/>
      <c r="F9" s="223">
        <v>5.0000000000000001E-3</v>
      </c>
      <c r="G9" s="224"/>
      <c r="H9" s="224"/>
      <c r="I9" s="225"/>
      <c r="J9" s="120"/>
      <c r="K9" s="124"/>
      <c r="L9" s="114"/>
    </row>
  </sheetData>
  <mergeCells count="9">
    <mergeCell ref="B9:E9"/>
    <mergeCell ref="F9:I9"/>
    <mergeCell ref="A7:I7"/>
    <mergeCell ref="A1:J1"/>
    <mergeCell ref="A3:I3"/>
    <mergeCell ref="J3:L3"/>
    <mergeCell ref="A4:I4"/>
    <mergeCell ref="A5:I5"/>
    <mergeCell ref="A6:I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topLeftCell="A4" workbookViewId="0">
      <selection activeCell="L30" sqref="L30"/>
    </sheetView>
  </sheetViews>
  <sheetFormatPr defaultRowHeight="12.75" x14ac:dyDescent="0.2"/>
  <sheetData>
    <row r="4" spans="3:26" s="2" customFormat="1" ht="15.75" x14ac:dyDescent="0.25">
      <c r="C4" s="4" t="s">
        <v>23</v>
      </c>
      <c r="D4" s="4"/>
      <c r="E4" s="4"/>
    </row>
    <row r="5" spans="3:26" s="2" customFormat="1" ht="15" x14ac:dyDescent="0.2"/>
    <row r="6" spans="3:26" s="2" customFormat="1" ht="15" x14ac:dyDescent="0.2">
      <c r="C6" s="2" t="s">
        <v>24</v>
      </c>
    </row>
    <row r="7" spans="3:26" s="2" customFormat="1" ht="15" x14ac:dyDescent="0.2"/>
    <row r="8" spans="3:26" s="2" customFormat="1" ht="48.75" customHeight="1" x14ac:dyDescent="0.2">
      <c r="C8" s="222" t="s">
        <v>25</v>
      </c>
      <c r="D8" s="222"/>
      <c r="E8" s="222"/>
      <c r="F8" s="222"/>
      <c r="G8" s="222"/>
      <c r="H8" s="222"/>
      <c r="I8" s="222"/>
      <c r="J8" s="222"/>
      <c r="K8" s="222"/>
      <c r="L8" s="222"/>
      <c r="M8" s="222"/>
      <c r="N8" s="222"/>
      <c r="O8" s="222"/>
      <c r="P8" s="222"/>
      <c r="Q8" s="222"/>
      <c r="R8" s="222"/>
      <c r="S8" s="222"/>
      <c r="T8" s="222"/>
      <c r="U8" s="222"/>
      <c r="V8" s="222"/>
      <c r="W8" s="222"/>
      <c r="X8" s="222"/>
      <c r="Y8" s="222"/>
      <c r="Z8" s="222"/>
    </row>
    <row r="9" spans="3:26" s="2" customFormat="1" ht="15" x14ac:dyDescent="0.2"/>
    <row r="10" spans="3:26" s="2" customFormat="1" ht="18.75" customHeight="1" x14ac:dyDescent="0.2">
      <c r="C10" s="222" t="s">
        <v>26</v>
      </c>
      <c r="D10" s="222"/>
      <c r="E10" s="222"/>
      <c r="F10" s="222"/>
      <c r="G10" s="222"/>
      <c r="H10" s="222"/>
      <c r="I10" s="222"/>
      <c r="J10" s="222"/>
      <c r="K10" s="222"/>
      <c r="L10" s="222"/>
      <c r="M10" s="222"/>
      <c r="N10" s="222"/>
      <c r="O10" s="222"/>
      <c r="P10" s="222"/>
      <c r="Q10" s="222"/>
      <c r="R10" s="222"/>
      <c r="S10" s="222"/>
      <c r="T10" s="222"/>
      <c r="U10" s="222"/>
      <c r="V10" s="222"/>
      <c r="W10" s="222"/>
      <c r="X10" s="222"/>
      <c r="Y10" s="222"/>
      <c r="Z10" s="222"/>
    </row>
    <row r="11" spans="3:26" s="2" customFormat="1" ht="15" x14ac:dyDescent="0.2"/>
    <row r="12" spans="3:26" s="2" customFormat="1" ht="36.75" customHeight="1" x14ac:dyDescent="0.2">
      <c r="C12" s="222" t="s">
        <v>27</v>
      </c>
      <c r="D12" s="222"/>
      <c r="E12" s="222"/>
      <c r="F12" s="222"/>
      <c r="G12" s="222"/>
      <c r="H12" s="222"/>
      <c r="I12" s="222"/>
      <c r="J12" s="222"/>
      <c r="K12" s="222"/>
      <c r="L12" s="222"/>
      <c r="M12" s="222"/>
      <c r="N12" s="222"/>
      <c r="O12" s="222"/>
      <c r="P12" s="222"/>
      <c r="Q12" s="222"/>
      <c r="R12" s="222"/>
      <c r="S12" s="222"/>
      <c r="T12" s="222"/>
      <c r="U12" s="222"/>
      <c r="V12" s="222"/>
      <c r="W12" s="222"/>
      <c r="X12" s="222"/>
      <c r="Y12" s="222"/>
      <c r="Z12" s="222"/>
    </row>
    <row r="13" spans="3:26" s="2" customFormat="1" ht="15" x14ac:dyDescent="0.2"/>
    <row r="14" spans="3:26" s="2" customFormat="1" ht="52.5" customHeight="1" x14ac:dyDescent="0.2">
      <c r="C14" s="222" t="s">
        <v>28</v>
      </c>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3:26" s="2" customFormat="1" ht="15" x14ac:dyDescent="0.2"/>
    <row r="16" spans="3:26" s="2" customFormat="1" ht="24" customHeight="1" x14ac:dyDescent="0.2">
      <c r="C16" s="222" t="s">
        <v>29</v>
      </c>
      <c r="D16" s="222"/>
      <c r="E16" s="222"/>
      <c r="F16" s="222"/>
      <c r="G16" s="222"/>
      <c r="H16" s="222"/>
      <c r="I16" s="222"/>
      <c r="J16" s="222"/>
      <c r="K16" s="222"/>
      <c r="L16" s="222"/>
      <c r="M16" s="222"/>
      <c r="N16" s="222"/>
      <c r="O16" s="222"/>
      <c r="P16" s="222"/>
      <c r="Q16" s="222"/>
      <c r="R16" s="222"/>
      <c r="S16" s="222"/>
      <c r="T16" s="222"/>
      <c r="U16" s="222"/>
      <c r="V16" s="222"/>
      <c r="W16" s="222"/>
      <c r="X16" s="222"/>
      <c r="Y16" s="222"/>
      <c r="Z16" s="222"/>
    </row>
    <row r="17" spans="3:25" ht="15" x14ac:dyDescent="0.2">
      <c r="C17" s="221" t="s">
        <v>30</v>
      </c>
      <c r="D17" s="221"/>
      <c r="E17" s="221"/>
      <c r="F17" s="221"/>
      <c r="G17" s="221"/>
      <c r="H17" s="221"/>
      <c r="I17" s="221"/>
      <c r="J17" s="221"/>
      <c r="K17" s="221"/>
      <c r="L17" s="221"/>
      <c r="M17" s="221"/>
      <c r="N17" s="221"/>
      <c r="O17" s="221"/>
      <c r="P17" s="221"/>
      <c r="Q17" s="221"/>
      <c r="R17" s="221"/>
      <c r="S17" s="221"/>
      <c r="T17" s="221"/>
      <c r="U17" s="221"/>
      <c r="V17" s="221"/>
      <c r="W17" s="221"/>
      <c r="X17" s="221"/>
      <c r="Y17" s="221"/>
    </row>
    <row r="27" spans="3:25" ht="15" x14ac:dyDescent="0.2">
      <c r="H27" s="48"/>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9</vt:i4>
      </vt:variant>
    </vt:vector>
  </HeadingPairs>
  <TitlesOfParts>
    <vt:vector size="9" baseType="lpstr">
      <vt:lpstr>עד 50 </vt:lpstr>
      <vt:lpstr>50-60</vt:lpstr>
      <vt:lpstr>60 ומעלה </vt:lpstr>
      <vt:lpstr>מסלול מנייתי</vt:lpstr>
      <vt:lpstr>פיצויים</vt:lpstr>
      <vt:lpstr>השתלמות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Nati Furth</cp:lastModifiedBy>
  <cp:lastPrinted>2020-01-13T06:51:35Z</cp:lastPrinted>
  <dcterms:created xsi:type="dcterms:W3CDTF">2010-01-07T15:08:59Z</dcterms:created>
  <dcterms:modified xsi:type="dcterms:W3CDTF">2023-06-18T08:47:21Z</dcterms:modified>
</cp:coreProperties>
</file>