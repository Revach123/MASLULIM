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האחסון שלי\מלכי דרייב\נגיש\גילעד\"/>
    </mc:Choice>
  </mc:AlternateContent>
  <xr:revisionPtr revIDLastSave="0" documentId="13_ncr:1_{FD82F764-E9BF-489B-A673-464790D7C97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גילעד מדיניות השקעות 2020" sheetId="2" r:id="rId1"/>
  </sheets>
  <definedNames>
    <definedName name="_xlnm.Print_Area" localSheetId="0">'גילעד מדיניות השקעות 2020'!$B$2:$G$20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/>
  <c r="D3" i="2" l="1"/>
  <c r="D13" i="2" s="1"/>
  <c r="C13" i="2"/>
</calcChain>
</file>

<file path=xl/sharedStrings.xml><?xml version="1.0" encoding="utf-8"?>
<sst xmlns="http://schemas.openxmlformats.org/spreadsheetml/2006/main" count="72" uniqueCount="44">
  <si>
    <t xml:space="preserve">אפיק השקעה </t>
  </si>
  <si>
    <t xml:space="preserve">טווח סטיה </t>
  </si>
  <si>
    <t>גבולות שיעור החשיפה</t>
  </si>
  <si>
    <t xml:space="preserve">מדד ייחוס </t>
  </si>
  <si>
    <t>+/-5%</t>
  </si>
  <si>
    <t>מדד ממשלתי צמוד 10+ שנים</t>
  </si>
  <si>
    <t>+/-6%</t>
  </si>
  <si>
    <t>מדד תל בונד 60</t>
  </si>
  <si>
    <t xml:space="preserve">מניות </t>
  </si>
  <si>
    <t>60% -  מדד MSCI AC</t>
  </si>
  <si>
    <t xml:space="preserve">מזומנים ושווי מזומנים </t>
  </si>
  <si>
    <t xml:space="preserve">  מדד מק"מ</t>
  </si>
  <si>
    <t>סה"כ</t>
  </si>
  <si>
    <t>חשיפה למט"ח</t>
  </si>
  <si>
    <t xml:space="preserve">520023094-00000000000267-0000-000 :קוד קופת גמל </t>
  </si>
  <si>
    <t xml:space="preserve">התייחסות להיבטים של השקעות אחראיות: בבחינת השקעה בתאגיד (מניות או אג"ח), ובהצבעה באספות כלליות, יילקחו בחשבון היבטי השקעות אחראיות כגון נושאי סביבה, חברה, ממשל תאגידי ועוד, וכל זאת בהתאם לעקרונות ולאמות המידה של גילעד ו/או לאמות המידה של מנהל התיק החיצוני. </t>
  </si>
  <si>
    <t>40% - מדד ת"א 125</t>
  </si>
  <si>
    <t>-0.8% / +5%</t>
  </si>
  <si>
    <t>קרנות השקעה</t>
  </si>
  <si>
    <t>אחר (לרבות נדל"ן)</t>
  </si>
  <si>
    <t>-5% / +5%</t>
  </si>
  <si>
    <t>-0.1% / +5%</t>
  </si>
  <si>
    <t>הערות: יתכן ובכל אפיק יכללו תעודות סל ו/או קרנות סל ו/או קרנות נאמנות ו/או נגזרים בהתאם לנכס הבסיס.</t>
  </si>
  <si>
    <t>20% -  מדד תל בוד 60</t>
  </si>
  <si>
    <t>30% - מדד ת"א 125</t>
  </si>
  <si>
    <t>50% -  מדד MSCI AC</t>
  </si>
  <si>
    <t>שיעור חשיפה צפוי לשנת 2020</t>
  </si>
  <si>
    <t>אשראי לא ממשלתי (לרבות אג"ח קונצרני, פקדונות והלוואות, תיקי משכנתאות)</t>
  </si>
  <si>
    <t>23% - 33%</t>
  </si>
  <si>
    <t>5%-17%</t>
  </si>
  <si>
    <t>0.2% - 6%</t>
  </si>
  <si>
    <t>3% - 13%</t>
  </si>
  <si>
    <t>0% - 5.1%</t>
  </si>
  <si>
    <t>6% - 18%</t>
  </si>
  <si>
    <t xml:space="preserve">דולר - 70% </t>
  </si>
  <si>
    <t xml:space="preserve">יורו - 30% </t>
  </si>
  <si>
    <t>7% - 19%</t>
  </si>
  <si>
    <t>שיעור החשיפה ליום 31/12/19</t>
  </si>
  <si>
    <r>
      <rPr>
        <sz val="9"/>
        <color indexed="8"/>
        <rFont val="Times New Roman"/>
        <family val="1"/>
      </rPr>
      <t>.</t>
    </r>
    <r>
      <rPr>
        <sz val="9"/>
        <color indexed="8"/>
        <rFont val="Arial"/>
        <family val="2"/>
      </rPr>
      <t>הקרן משקיעה באג"ח מיועדות  בשיעור של 30% לפי חישוב של ערך מתואם על פי דין. השיעור המוצג הינו לפי שערוך של החברה המצטטת *</t>
    </r>
  </si>
  <si>
    <t>אג"ח ממשלתי - סחיר</t>
  </si>
  <si>
    <t>אג"ח ממשלתי - לא סחיר (מיועדות)*</t>
  </si>
  <si>
    <t>תא ריק</t>
  </si>
  <si>
    <t>סוף מסמך</t>
  </si>
  <si>
    <t>גילעד מדיניות השקעות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</si>
</sst>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%"/>
  </numFmts>
  <fonts count="1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color theme="1"/>
      <name val="Arial"/>
      <family val="2"/>
      <charset val="177"/>
      <scheme val="minor"/>
    </font>
    <font>
      <sz val="10"/>
      <color theme="1"/>
      <name val="Arial"/>
      <family val="2"/>
      <scheme val="minor"/>
    </font>
    <font>
      <sz val="9"/>
      <color indexed="8"/>
      <name val="Arial"/>
      <family val="2"/>
    </font>
    <font>
      <sz val="9"/>
      <color indexed="8"/>
      <name val="Times New Roman"/>
      <family val="1"/>
    </font>
    <font>
      <sz val="9"/>
      <name val="Arial"/>
      <family val="2"/>
    </font>
    <font>
      <sz val="11"/>
      <color theme="0"/>
      <name val="Arial"/>
      <family val="2"/>
      <charset val="177"/>
      <scheme val="minor"/>
    </font>
    <font>
      <sz val="10"/>
      <color theme="0"/>
      <name val="Arial"/>
      <family val="2"/>
    </font>
    <font>
      <b/>
      <sz val="11"/>
      <color theme="0"/>
      <name val="Arial"/>
      <family val="2"/>
    </font>
    <font>
      <sz val="10"/>
      <color theme="0"/>
      <name val="Arial"/>
      <family val="2"/>
      <scheme val="minor"/>
    </font>
    <font>
      <b/>
      <sz val="15"/>
      <color theme="3"/>
      <name val="Arial"/>
      <family val="2"/>
      <charset val="177"/>
      <scheme val="minor"/>
    </font>
    <font>
      <b/>
      <sz val="10"/>
      <color theme="0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</borders>
  <cellStyleXfs count="13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5" fillId="0" borderId="42" applyNumberFormat="0" applyFill="0" applyAlignment="0" applyProtection="0"/>
  </cellStyleXfs>
  <cellXfs count="84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/>
    <xf numFmtId="0" fontId="2" fillId="0" borderId="3" xfId="0" applyFont="1" applyFill="1" applyBorder="1" applyAlignment="1">
      <alignment horizontal="center" vertical="center"/>
    </xf>
    <xf numFmtId="0" fontId="0" fillId="0" borderId="0" xfId="0"/>
    <xf numFmtId="10" fontId="2" fillId="0" borderId="10" xfId="2" applyNumberFormat="1" applyFont="1" applyFill="1" applyBorder="1" applyAlignment="1">
      <alignment horizontal="center" vertical="center"/>
    </xf>
    <xf numFmtId="9" fontId="2" fillId="2" borderId="14" xfId="0" quotePrefix="1" applyNumberFormat="1" applyFont="1" applyFill="1" applyBorder="1" applyAlignment="1">
      <alignment horizontal="center" vertical="center"/>
    </xf>
    <xf numFmtId="9" fontId="2" fillId="2" borderId="21" xfId="0" quotePrefix="1" applyNumberFormat="1" applyFont="1" applyFill="1" applyBorder="1" applyAlignment="1">
      <alignment horizontal="center" vertical="center"/>
    </xf>
    <xf numFmtId="9" fontId="2" fillId="0" borderId="21" xfId="1" quotePrefix="1" applyNumberFormat="1" applyFont="1" applyFill="1" applyBorder="1" applyAlignment="1">
      <alignment horizontal="center" vertical="center"/>
    </xf>
    <xf numFmtId="0" fontId="2" fillId="0" borderId="21" xfId="1" quotePrefix="1" applyFont="1" applyFill="1" applyBorder="1" applyAlignment="1">
      <alignment horizontal="center" vertical="center"/>
    </xf>
    <xf numFmtId="10" fontId="2" fillId="2" borderId="16" xfId="2" applyNumberFormat="1" applyFont="1" applyFill="1" applyBorder="1" applyAlignment="1">
      <alignment horizontal="center" vertical="center"/>
    </xf>
    <xf numFmtId="0" fontId="6" fillId="0" borderId="0" xfId="0" applyFont="1"/>
    <xf numFmtId="164" fontId="7" fillId="2" borderId="6" xfId="0" applyNumberFormat="1" applyFont="1" applyFill="1" applyBorder="1" applyAlignment="1">
      <alignment horizontal="center" vertical="center"/>
    </xf>
    <xf numFmtId="164" fontId="7" fillId="2" borderId="19" xfId="0" applyNumberFormat="1" applyFont="1" applyFill="1" applyBorder="1" applyAlignment="1">
      <alignment horizontal="center" vertical="center"/>
    </xf>
    <xf numFmtId="164" fontId="7" fillId="2" borderId="7" xfId="0" applyNumberFormat="1" applyFont="1" applyFill="1" applyBorder="1" applyAlignment="1">
      <alignment horizontal="center" vertical="center"/>
    </xf>
    <xf numFmtId="0" fontId="0" fillId="0" borderId="0" xfId="0" applyFont="1"/>
    <xf numFmtId="9" fontId="2" fillId="0" borderId="21" xfId="0" quotePrefix="1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164" fontId="7" fillId="0" borderId="7" xfId="0" applyNumberFormat="1" applyFont="1" applyFill="1" applyBorder="1" applyAlignment="1">
      <alignment horizontal="center" vertical="center"/>
    </xf>
    <xf numFmtId="164" fontId="7" fillId="2" borderId="17" xfId="0" applyNumberFormat="1" applyFont="1" applyFill="1" applyBorder="1" applyAlignment="1">
      <alignment horizontal="center" vertical="center"/>
    </xf>
    <xf numFmtId="164" fontId="7" fillId="0" borderId="8" xfId="0" applyNumberFormat="1" applyFont="1" applyFill="1" applyBorder="1" applyAlignment="1">
      <alignment horizontal="center" vertical="center"/>
    </xf>
    <xf numFmtId="164" fontId="7" fillId="2" borderId="11" xfId="0" applyNumberFormat="1" applyFont="1" applyFill="1" applyBorder="1" applyAlignment="1">
      <alignment horizontal="center" vertical="center"/>
    </xf>
    <xf numFmtId="0" fontId="2" fillId="0" borderId="24" xfId="1" quotePrefix="1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2" fillId="0" borderId="5" xfId="1" quotePrefix="1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right" vertical="center" wrapText="1"/>
    </xf>
    <xf numFmtId="0" fontId="5" fillId="2" borderId="31" xfId="0" applyFont="1" applyFill="1" applyBorder="1" applyAlignment="1">
      <alignment horizontal="right" vertical="center" wrapText="1" readingOrder="2"/>
    </xf>
    <xf numFmtId="0" fontId="5" fillId="2" borderId="31" xfId="0" applyFont="1" applyFill="1" applyBorder="1" applyAlignment="1">
      <alignment horizontal="right" vertical="center" wrapText="1"/>
    </xf>
    <xf numFmtId="0" fontId="5" fillId="0" borderId="32" xfId="0" applyFont="1" applyBorder="1" applyAlignment="1">
      <alignment horizontal="right" vertical="center" wrapText="1"/>
    </xf>
    <xf numFmtId="0" fontId="5" fillId="0" borderId="31" xfId="0" applyFont="1" applyBorder="1" applyAlignment="1">
      <alignment horizontal="right" vertical="center" wrapText="1"/>
    </xf>
    <xf numFmtId="0" fontId="5" fillId="2" borderId="34" xfId="0" applyFont="1" applyFill="1" applyBorder="1" applyAlignment="1">
      <alignment horizontal="right" vertical="center" wrapText="1"/>
    </xf>
    <xf numFmtId="0" fontId="5" fillId="0" borderId="37" xfId="0" applyFont="1" applyBorder="1" applyAlignment="1">
      <alignment horizontal="right" vertical="center" wrapText="1"/>
    </xf>
    <xf numFmtId="0" fontId="5" fillId="0" borderId="29" xfId="0" applyFont="1" applyBorder="1" applyAlignment="1">
      <alignment horizontal="right" vertical="center" wrapText="1"/>
    </xf>
    <xf numFmtId="0" fontId="2" fillId="2" borderId="38" xfId="0" applyFont="1" applyFill="1" applyBorder="1" applyAlignment="1">
      <alignment vertical="center" wrapText="1"/>
    </xf>
    <xf numFmtId="0" fontId="2" fillId="0" borderId="26" xfId="0" applyFont="1" applyBorder="1" applyAlignment="1">
      <alignment vertical="center" wrapText="1"/>
    </xf>
    <xf numFmtId="0" fontId="2" fillId="0" borderId="26" xfId="0" applyFont="1" applyBorder="1" applyAlignment="1">
      <alignment horizontal="right" vertical="center" wrapText="1" readingOrder="2"/>
    </xf>
    <xf numFmtId="0" fontId="2" fillId="0" borderId="27" xfId="0" applyFont="1" applyBorder="1" applyAlignment="1">
      <alignment horizontal="right" vertical="center" wrapText="1" readingOrder="2"/>
    </xf>
    <xf numFmtId="0" fontId="2" fillId="2" borderId="22" xfId="0" applyFont="1" applyFill="1" applyBorder="1" applyAlignment="1">
      <alignment vertical="center" wrapText="1"/>
    </xf>
    <xf numFmtId="0" fontId="2" fillId="0" borderId="22" xfId="0" applyFont="1" applyBorder="1" applyAlignment="1">
      <alignment horizontal="right" vertical="center" wrapText="1" readingOrder="2"/>
    </xf>
    <xf numFmtId="0" fontId="2" fillId="0" borderId="28" xfId="0" applyFont="1" applyBorder="1" applyAlignment="1">
      <alignment horizontal="right" vertical="center" wrapText="1" readingOrder="2"/>
    </xf>
    <xf numFmtId="0" fontId="3" fillId="0" borderId="35" xfId="0" applyFont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9" fontId="12" fillId="2" borderId="21" xfId="0" quotePrefix="1" applyNumberFormat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0" borderId="18" xfId="0" applyFont="1" applyBorder="1" applyAlignment="1">
      <alignment vertical="center" wrapText="1"/>
    </xf>
    <xf numFmtId="0" fontId="13" fillId="0" borderId="33" xfId="0" applyFont="1" applyBorder="1" applyAlignment="1">
      <alignment horizontal="right" vertical="center" wrapText="1"/>
    </xf>
    <xf numFmtId="164" fontId="14" fillId="0" borderId="7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9" fontId="12" fillId="0" borderId="21" xfId="0" quotePrefix="1" applyNumberFormat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/>
    </xf>
    <xf numFmtId="0" fontId="13" fillId="2" borderId="35" xfId="0" applyFont="1" applyFill="1" applyBorder="1" applyAlignment="1">
      <alignment horizontal="right" vertical="center" wrapText="1"/>
    </xf>
    <xf numFmtId="164" fontId="14" fillId="0" borderId="23" xfId="0" applyNumberFormat="1" applyFont="1" applyFill="1" applyBorder="1" applyAlignment="1">
      <alignment horizontal="center" vertical="center"/>
    </xf>
    <xf numFmtId="164" fontId="14" fillId="2" borderId="12" xfId="0" applyNumberFormat="1" applyFont="1" applyFill="1" applyBorder="1" applyAlignment="1">
      <alignment horizontal="center" vertical="center"/>
    </xf>
    <xf numFmtId="0" fontId="12" fillId="0" borderId="25" xfId="1" quotePrefix="1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3" fillId="2" borderId="36" xfId="0" applyFont="1" applyFill="1" applyBorder="1" applyAlignment="1">
      <alignment horizontal="right" vertical="center" wrapText="1"/>
    </xf>
    <xf numFmtId="164" fontId="14" fillId="0" borderId="9" xfId="0" applyNumberFormat="1" applyFont="1" applyFill="1" applyBorder="1" applyAlignment="1">
      <alignment horizontal="center" vertical="center"/>
    </xf>
    <xf numFmtId="164" fontId="14" fillId="2" borderId="13" xfId="0" applyNumberFormat="1" applyFont="1" applyFill="1" applyBorder="1" applyAlignment="1">
      <alignment horizontal="center" vertical="center"/>
    </xf>
    <xf numFmtId="0" fontId="12" fillId="0" borderId="20" xfId="1" quotePrefix="1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12" fillId="0" borderId="27" xfId="0" applyFont="1" applyBorder="1" applyAlignment="1">
      <alignment vertical="center" wrapText="1"/>
    </xf>
    <xf numFmtId="0" fontId="14" fillId="0" borderId="15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39" xfId="0" applyFont="1" applyBorder="1" applyAlignment="1">
      <alignment vertical="center" wrapText="1"/>
    </xf>
    <xf numFmtId="0" fontId="13" fillId="0" borderId="35" xfId="0" applyFont="1" applyBorder="1" applyAlignment="1">
      <alignment horizontal="right" vertical="center" wrapText="1"/>
    </xf>
    <xf numFmtId="0" fontId="12" fillId="0" borderId="41" xfId="1" quotePrefix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6" fillId="0" borderId="0" xfId="12" applyFont="1" applyBorder="1" applyAlignment="1">
      <alignment horizontal="center"/>
    </xf>
    <xf numFmtId="0" fontId="0" fillId="0" borderId="0" xfId="0" applyFont="1" applyAlignment="1">
      <alignment horizontal="left"/>
    </xf>
    <xf numFmtId="0" fontId="8" fillId="0" borderId="0" xfId="0" applyFont="1" applyAlignment="1">
      <alignment horizontal="right" vertical="center"/>
    </xf>
    <xf numFmtId="0" fontId="10" fillId="0" borderId="0" xfId="0" applyFont="1" applyAlignment="1">
      <alignment horizontal="right"/>
    </xf>
    <xf numFmtId="0" fontId="11" fillId="0" borderId="0" xfId="0" applyFont="1" applyBorder="1" applyAlignment="1">
      <alignment horizontal="center"/>
    </xf>
    <xf numFmtId="0" fontId="6" fillId="0" borderId="0" xfId="0" applyFont="1" applyBorder="1" applyAlignment="1">
      <alignment horizontal="right" vertical="center" wrapText="1"/>
    </xf>
  </cellXfs>
  <cellStyles count="13">
    <cellStyle name="Comma 2" xfId="6" xr:uid="{00000000-0005-0000-0000-000000000000}"/>
    <cellStyle name="Comma 3" xfId="7" xr:uid="{00000000-0005-0000-0000-000001000000}"/>
    <cellStyle name="Normal" xfId="0" builtinId="0"/>
    <cellStyle name="Normal 2" xfId="8" xr:uid="{00000000-0005-0000-0000-000003000000}"/>
    <cellStyle name="Normal 2 4" xfId="1" xr:uid="{00000000-0005-0000-0000-000004000000}"/>
    <cellStyle name="Normal 3" xfId="9" xr:uid="{00000000-0005-0000-0000-000005000000}"/>
    <cellStyle name="Normal 31" xfId="3" xr:uid="{00000000-0005-0000-0000-000006000000}"/>
    <cellStyle name="Normal 31 2" xfId="4" xr:uid="{00000000-0005-0000-0000-000007000000}"/>
    <cellStyle name="Normal 38" xfId="5" xr:uid="{00000000-0005-0000-0000-000008000000}"/>
    <cellStyle name="Percent 2" xfId="10" xr:uid="{00000000-0005-0000-0000-000009000000}"/>
    <cellStyle name="Percent 2 3" xfId="2" xr:uid="{00000000-0005-0000-0000-00000A000000}"/>
    <cellStyle name="Percent 3" xfId="11" xr:uid="{00000000-0005-0000-0000-00000B000000}"/>
    <cellStyle name="כותרת 1" xfId="12" builtinId="16"/>
  </cellStyles>
  <dxfs count="1"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70386</xdr:colOff>
      <xdr:row>1</xdr:row>
      <xdr:rowOff>123825</xdr:rowOff>
    </xdr:from>
    <xdr:to>
      <xdr:col>8</xdr:col>
      <xdr:colOff>389381</xdr:colOff>
      <xdr:row>3</xdr:row>
      <xdr:rowOff>36975</xdr:rowOff>
    </xdr:to>
    <xdr:pic>
      <xdr:nvPicPr>
        <xdr:cNvPr id="3" name="תמונה 2" descr="לוגו מסמך נגיש">
          <a:extLst>
            <a:ext uri="{FF2B5EF4-FFF2-40B4-BE49-F238E27FC236}">
              <a16:creationId xmlns:a16="http://schemas.microsoft.com/office/drawing/2014/main" id="{63DC2117-8244-4C9A-84D8-1DBA955CB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9614194" y="304800"/>
          <a:ext cx="318995" cy="313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B964C5-7CDA-4801-8EDB-D402EB95F989}" name="טבלה1" displayName="טבלה1" ref="B2:G15" totalsRowShown="0" tableBorderDxfId="0">
  <autoFilter ref="B2:G15" xr:uid="{D2B964C5-7CDA-4801-8EDB-D402EB95F989}"/>
  <tableColumns count="6">
    <tableColumn id="1" xr3:uid="{A6A90EFD-D69B-4118-B50D-9901EE34FF47}" name="אפיק השקעה "/>
    <tableColumn id="2" xr3:uid="{95C86E06-DCC7-4DD5-9DE2-ED8DF03478B9}" name="שיעור החשיפה ליום 31/12/19"/>
    <tableColumn id="3" xr3:uid="{9A9E33EF-7027-42BE-8619-186FCEC534A2}" name="שיעור חשיפה צפוי לשנת 2020"/>
    <tableColumn id="4" xr3:uid="{D745EFEB-194B-4816-AC1C-B935A3FAF9ED}" name="טווח סטיה "/>
    <tableColumn id="5" xr3:uid="{E0B08CBD-CEAB-4B25-865C-0A902DD8ACB6}" name="גבולות שיעור החשיפה"/>
    <tableColumn id="6" xr3:uid="{6C913E41-B377-41D6-885D-A5ECD3B61CB4}" name="מדד ייחוס 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אפיקי השקע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21"/>
  <sheetViews>
    <sheetView rightToLeft="1" tabSelected="1" topLeftCell="B1" zoomScaleNormal="100" workbookViewId="0">
      <selection activeCell="B18" sqref="B18:G18"/>
    </sheetView>
  </sheetViews>
  <sheetFormatPr defaultRowHeight="14.25" x14ac:dyDescent="0.2"/>
  <cols>
    <col min="1" max="1" width="3.25" style="9" hidden="1" customWidth="1"/>
    <col min="2" max="2" width="33.75" style="1" customWidth="1"/>
    <col min="3" max="3" width="23" customWidth="1"/>
    <col min="4" max="4" width="23.625" customWidth="1"/>
    <col min="5" max="5" width="10.75" customWidth="1"/>
    <col min="6" max="6" width="18" customWidth="1"/>
    <col min="7" max="7" width="21.25" customWidth="1"/>
    <col min="8" max="8" width="3.25" customWidth="1"/>
    <col min="9" max="9" width="5.875" customWidth="1"/>
    <col min="10" max="10" width="6.25" customWidth="1"/>
    <col min="11" max="11" width="6.25" bestFit="1" customWidth="1"/>
  </cols>
  <sheetData>
    <row r="1" spans="2:11" x14ac:dyDescent="0.2">
      <c r="B1" s="78" t="s">
        <v>43</v>
      </c>
      <c r="C1" s="78"/>
      <c r="D1" s="78"/>
      <c r="E1" s="78"/>
      <c r="F1" s="78"/>
      <c r="G1" s="78"/>
    </row>
    <row r="2" spans="2:11" s="2" customFormat="1" ht="16.5" thickBot="1" x14ac:dyDescent="0.25">
      <c r="B2" s="47" t="s">
        <v>0</v>
      </c>
      <c r="C2" s="48" t="s">
        <v>37</v>
      </c>
      <c r="D2" s="49" t="s">
        <v>26</v>
      </c>
      <c r="E2" s="50" t="s">
        <v>1</v>
      </c>
      <c r="F2" s="51" t="s">
        <v>2</v>
      </c>
      <c r="G2" s="52" t="s">
        <v>3</v>
      </c>
    </row>
    <row r="3" spans="2:11" s="4" customFormat="1" ht="15" x14ac:dyDescent="0.2">
      <c r="B3" s="32" t="s">
        <v>39</v>
      </c>
      <c r="C3" s="17">
        <v>0.27294000000000002</v>
      </c>
      <c r="D3" s="18">
        <f>1-D4-D5-D6-D8-D9-D12</f>
        <v>0.28029999999999999</v>
      </c>
      <c r="E3" s="11" t="s">
        <v>4</v>
      </c>
      <c r="F3" s="3" t="s">
        <v>28</v>
      </c>
      <c r="G3" s="40" t="s">
        <v>5</v>
      </c>
    </row>
    <row r="4" spans="2:11" s="4" customFormat="1" ht="15" x14ac:dyDescent="0.2">
      <c r="B4" s="33" t="s">
        <v>40</v>
      </c>
      <c r="C4" s="19">
        <v>0.39188000000000001</v>
      </c>
      <c r="D4" s="24">
        <v>0.38900000000000001</v>
      </c>
      <c r="E4" s="53" t="s">
        <v>41</v>
      </c>
      <c r="F4" s="54" t="s">
        <v>41</v>
      </c>
      <c r="G4" s="55" t="s">
        <v>41</v>
      </c>
    </row>
    <row r="5" spans="2:11" s="6" customFormat="1" ht="30" x14ac:dyDescent="0.2">
      <c r="B5" s="34" t="s">
        <v>27</v>
      </c>
      <c r="C5" s="19">
        <v>0.1241</v>
      </c>
      <c r="D5" s="24">
        <v>0.13</v>
      </c>
      <c r="E5" s="12" t="s">
        <v>6</v>
      </c>
      <c r="F5" s="5" t="s">
        <v>36</v>
      </c>
      <c r="G5" s="41" t="s">
        <v>7</v>
      </c>
      <c r="K5" s="4"/>
    </row>
    <row r="6" spans="2:11" s="6" customFormat="1" ht="15" customHeight="1" x14ac:dyDescent="0.2">
      <c r="B6" s="35" t="s">
        <v>8</v>
      </c>
      <c r="C6" s="23">
        <v>0.1148</v>
      </c>
      <c r="D6" s="24">
        <v>0.11</v>
      </c>
      <c r="E6" s="21" t="s">
        <v>6</v>
      </c>
      <c r="F6" s="22" t="s">
        <v>29</v>
      </c>
      <c r="G6" s="42" t="s">
        <v>16</v>
      </c>
      <c r="K6" s="4"/>
    </row>
    <row r="7" spans="2:11" s="6" customFormat="1" ht="15" customHeight="1" x14ac:dyDescent="0.2">
      <c r="B7" s="56" t="s">
        <v>41</v>
      </c>
      <c r="C7" s="57" t="s">
        <v>41</v>
      </c>
      <c r="D7" s="58" t="s">
        <v>41</v>
      </c>
      <c r="E7" s="59" t="s">
        <v>41</v>
      </c>
      <c r="F7" s="60" t="s">
        <v>41</v>
      </c>
      <c r="G7" s="43" t="s">
        <v>9</v>
      </c>
      <c r="K7" s="4"/>
    </row>
    <row r="8" spans="2:11" s="6" customFormat="1" ht="15" x14ac:dyDescent="0.2">
      <c r="B8" s="36" t="s">
        <v>10</v>
      </c>
      <c r="C8" s="23">
        <v>3.4950000000000002E-2</v>
      </c>
      <c r="D8" s="24">
        <v>0.01</v>
      </c>
      <c r="E8" s="13" t="s">
        <v>17</v>
      </c>
      <c r="F8" s="8" t="s">
        <v>30</v>
      </c>
      <c r="G8" s="44" t="s">
        <v>11</v>
      </c>
      <c r="K8" s="4"/>
    </row>
    <row r="9" spans="2:11" s="6" customFormat="1" ht="15" x14ac:dyDescent="0.2">
      <c r="B9" s="37" t="s">
        <v>18</v>
      </c>
      <c r="C9" s="25">
        <f>6.133%-0.07%</f>
        <v>6.0630000000000003E-2</v>
      </c>
      <c r="D9" s="26">
        <v>0.08</v>
      </c>
      <c r="E9" s="27" t="s">
        <v>20</v>
      </c>
      <c r="F9" s="28" t="s">
        <v>31</v>
      </c>
      <c r="G9" s="42" t="s">
        <v>25</v>
      </c>
      <c r="K9" s="4"/>
    </row>
    <row r="10" spans="2:11" s="6" customFormat="1" ht="15" x14ac:dyDescent="0.2">
      <c r="B10" s="61" t="s">
        <v>41</v>
      </c>
      <c r="C10" s="62" t="s">
        <v>41</v>
      </c>
      <c r="D10" s="63" t="s">
        <v>41</v>
      </c>
      <c r="E10" s="64" t="s">
        <v>41</v>
      </c>
      <c r="F10" s="65" t="s">
        <v>41</v>
      </c>
      <c r="G10" s="45" t="s">
        <v>24</v>
      </c>
      <c r="K10" s="4"/>
    </row>
    <row r="11" spans="2:11" s="6" customFormat="1" ht="15" x14ac:dyDescent="0.2">
      <c r="B11" s="66" t="s">
        <v>41</v>
      </c>
      <c r="C11" s="67" t="s">
        <v>41</v>
      </c>
      <c r="D11" s="68" t="s">
        <v>41</v>
      </c>
      <c r="E11" s="69" t="s">
        <v>41</v>
      </c>
      <c r="F11" s="70" t="s">
        <v>41</v>
      </c>
      <c r="G11" s="43" t="s">
        <v>23</v>
      </c>
      <c r="K11" s="4"/>
    </row>
    <row r="12" spans="2:11" s="6" customFormat="1" ht="15" x14ac:dyDescent="0.2">
      <c r="B12" s="36" t="s">
        <v>19</v>
      </c>
      <c r="C12" s="23">
        <v>6.9999999999999999E-4</v>
      </c>
      <c r="D12" s="24">
        <v>6.9999999999999999E-4</v>
      </c>
      <c r="E12" s="14" t="s">
        <v>21</v>
      </c>
      <c r="F12" s="8" t="s">
        <v>32</v>
      </c>
      <c r="G12" s="71" t="s">
        <v>41</v>
      </c>
      <c r="K12" s="4"/>
    </row>
    <row r="13" spans="2:11" s="6" customFormat="1" ht="15.75" thickBot="1" x14ac:dyDescent="0.25">
      <c r="B13" s="38" t="s">
        <v>12</v>
      </c>
      <c r="C13" s="10">
        <f>SUM(C3:C12)</f>
        <v>1</v>
      </c>
      <c r="D13" s="15">
        <f>SUM(D3:D12)</f>
        <v>1</v>
      </c>
      <c r="E13" s="72" t="s">
        <v>41</v>
      </c>
      <c r="F13" s="73" t="s">
        <v>41</v>
      </c>
      <c r="G13" s="74" t="s">
        <v>41</v>
      </c>
      <c r="K13" s="4"/>
    </row>
    <row r="14" spans="2:11" s="6" customFormat="1" ht="15" customHeight="1" x14ac:dyDescent="0.2">
      <c r="B14" s="39" t="s">
        <v>13</v>
      </c>
      <c r="C14" s="29">
        <v>0.107</v>
      </c>
      <c r="D14" s="29">
        <v>0.12</v>
      </c>
      <c r="E14" s="30" t="s">
        <v>6</v>
      </c>
      <c r="F14" s="31" t="s">
        <v>33</v>
      </c>
      <c r="G14" s="46" t="s">
        <v>34</v>
      </c>
      <c r="K14" s="4"/>
    </row>
    <row r="15" spans="2:11" s="6" customFormat="1" ht="15" customHeight="1" x14ac:dyDescent="0.2">
      <c r="B15" s="75" t="s">
        <v>41</v>
      </c>
      <c r="C15" s="63" t="s">
        <v>41</v>
      </c>
      <c r="D15" s="63" t="s">
        <v>41</v>
      </c>
      <c r="E15" s="76" t="s">
        <v>41</v>
      </c>
      <c r="F15" s="77" t="s">
        <v>41</v>
      </c>
      <c r="G15" s="45" t="s">
        <v>35</v>
      </c>
      <c r="K15" s="4"/>
    </row>
    <row r="16" spans="2:11" hidden="1" x14ac:dyDescent="0.2">
      <c r="B16" s="7"/>
    </row>
    <row r="17" spans="2:7" s="20" customFormat="1" ht="29.25" customHeight="1" x14ac:dyDescent="0.2">
      <c r="B17" s="79" t="s">
        <v>14</v>
      </c>
      <c r="C17" s="79"/>
      <c r="D17" s="79"/>
      <c r="E17" s="79"/>
      <c r="F17" s="79"/>
      <c r="G17" s="79"/>
    </row>
    <row r="18" spans="2:7" s="16" customFormat="1" ht="18.75" customHeight="1" x14ac:dyDescent="0.2">
      <c r="B18" s="80" t="s">
        <v>38</v>
      </c>
      <c r="C18" s="80"/>
      <c r="D18" s="80"/>
      <c r="E18" s="80"/>
      <c r="F18" s="80"/>
      <c r="G18" s="80"/>
    </row>
    <row r="19" spans="2:7" s="16" customFormat="1" ht="18" customHeight="1" x14ac:dyDescent="0.2">
      <c r="B19" s="81" t="s">
        <v>22</v>
      </c>
      <c r="C19" s="81"/>
      <c r="D19" s="81"/>
      <c r="E19" s="81"/>
      <c r="F19" s="81"/>
      <c r="G19" s="81"/>
    </row>
    <row r="20" spans="2:7" s="16" customFormat="1" ht="42" customHeight="1" x14ac:dyDescent="0.2">
      <c r="B20" s="83" t="s">
        <v>15</v>
      </c>
      <c r="C20" s="83"/>
      <c r="D20" s="83"/>
      <c r="E20" s="83"/>
      <c r="F20" s="83"/>
      <c r="G20" s="83"/>
    </row>
    <row r="21" spans="2:7" x14ac:dyDescent="0.2">
      <c r="B21" s="82" t="s">
        <v>42</v>
      </c>
      <c r="C21" s="82"/>
      <c r="D21" s="82"/>
      <c r="E21" s="82"/>
      <c r="F21" s="82"/>
      <c r="G21" s="82"/>
    </row>
  </sheetData>
  <mergeCells count="6">
    <mergeCell ref="B1:G1"/>
    <mergeCell ref="B17:G17"/>
    <mergeCell ref="B18:G18"/>
    <mergeCell ref="B19:G19"/>
    <mergeCell ref="B21:G21"/>
    <mergeCell ref="B20:G2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גילעד מדיניות השקעות 2020</vt:lpstr>
      <vt:lpstr>'גילעד מדיניות השקעות 2020'!WPrint_Area_W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Paz Eckstien</dc:creator>
  <cp:lastModifiedBy>User</cp:lastModifiedBy>
  <cp:lastPrinted>2022-04-06T10:31:12Z</cp:lastPrinted>
  <dcterms:created xsi:type="dcterms:W3CDTF">2018-01-31T13:31:53Z</dcterms:created>
  <dcterms:modified xsi:type="dcterms:W3CDTF">2022-04-12T08:53:38Z</dcterms:modified>
</cp:coreProperties>
</file>