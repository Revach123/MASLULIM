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U:\bh\MATE BH\~~אישור תכניות באוצר~~\~קופת גמל 2023~\מסלולי השקעה - תשואות ומדיניות השקעה\מדיניות השקעה\גמל לחיסכון\2026\"/>
    </mc:Choice>
  </mc:AlternateContent>
  <xr:revisionPtr revIDLastSave="0" documentId="13_ncr:1_{DC7DD7A7-D683-4161-8C9C-3E2317C30261}" xr6:coauthVersionLast="47" xr6:coauthVersionMax="47" xr10:uidLastSave="{00000000-0000-0000-0000-000000000000}"/>
  <bookViews>
    <workbookView xWindow="-120" yWindow="-120" windowWidth="29040" windowHeight="15840" tabRatio="933" xr2:uid="{00000000-000D-0000-FFFF-FFFF00000000}"/>
  </bookViews>
  <sheets>
    <sheet name="מניות" sheetId="15" r:id="rId1"/>
    <sheet name="לבני 50 ומטה" sheetId="8" r:id="rId2"/>
    <sheet name="לבני 50 עד 60" sheetId="9" r:id="rId3"/>
    <sheet name="לבני 60 ומעלה" sheetId="10" r:id="rId4"/>
    <sheet name="הלכה" sheetId="11" r:id="rId5"/>
    <sheet name="עוקב מדדי מניות" sheetId="16" r:id="rId6"/>
    <sheet name="מניות סחיר" sheetId="13" r:id="rId7"/>
    <sheet name="עוקב מדד S&amp;P500" sheetId="14" r:id="rId8"/>
    <sheet name="כספי (שקלי)" sheetId="17" r:id="rId9"/>
    <sheet name="אשראי ואג&quot;ח" sheetId="18" r:id="rId10"/>
    <sheet name="עוקב מדדים גמיש" sheetId="20" r:id="rId11"/>
    <sheet name="משולב סחיר" sheetId="21" r:id="rId12"/>
    <sheet name="עוקב מדדי אג&quot;ח" sheetId="2" r:id="rId13"/>
    <sheet name="אג&quot;ח ממשלתי סחיר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8" i="21"/>
  <c r="D8" i="20"/>
  <c r="D8" i="18"/>
  <c r="D8" i="17"/>
  <c r="D8" i="14"/>
  <c r="D8" i="13"/>
  <c r="D8" i="16"/>
  <c r="D8" i="11"/>
  <c r="D8" i="10"/>
  <c r="D8" i="9"/>
  <c r="D8" i="15"/>
  <c r="D8" i="8"/>
  <c r="G7" i="3" l="1"/>
  <c r="G7" i="2"/>
  <c r="G7" i="20"/>
  <c r="G4" i="18"/>
  <c r="G7" i="17"/>
  <c r="G7" i="16"/>
  <c r="G7" i="15"/>
  <c r="G7" i="14"/>
  <c r="G9" i="11"/>
  <c r="F9" i="11"/>
  <c r="G7" i="11"/>
  <c r="G6" i="11"/>
  <c r="F6" i="11"/>
  <c r="G5" i="11"/>
  <c r="F5" i="11"/>
  <c r="G4" i="11"/>
  <c r="F4" i="11"/>
  <c r="F4" i="10"/>
  <c r="G4" i="10"/>
  <c r="F5" i="10"/>
  <c r="G5" i="10"/>
  <c r="F6" i="10"/>
  <c r="G6" i="10"/>
  <c r="G7" i="10"/>
  <c r="F9" i="10"/>
  <c r="G9" i="10"/>
  <c r="G9" i="16" l="1"/>
  <c r="F9" i="16"/>
  <c r="G9" i="3" l="1"/>
  <c r="G5" i="3"/>
  <c r="F5" i="3"/>
  <c r="G6" i="3"/>
  <c r="G4" i="3"/>
  <c r="G9" i="2"/>
  <c r="F6" i="2"/>
  <c r="G5" i="2"/>
  <c r="G4" i="2"/>
  <c r="G9" i="21"/>
  <c r="F9" i="21"/>
  <c r="G7" i="21"/>
  <c r="G6" i="21"/>
  <c r="F6" i="21"/>
  <c r="G5" i="21"/>
  <c r="F5" i="21"/>
  <c r="G4" i="21"/>
  <c r="F4" i="21"/>
  <c r="G9" i="20"/>
  <c r="F4" i="20"/>
  <c r="G7" i="18"/>
  <c r="G9" i="18"/>
  <c r="G6" i="18"/>
  <c r="F6" i="18"/>
  <c r="G5" i="18"/>
  <c r="F5" i="18"/>
  <c r="G6" i="17"/>
  <c r="F6" i="17"/>
  <c r="G5" i="17"/>
  <c r="F5" i="17"/>
  <c r="G4" i="17"/>
  <c r="G9" i="15"/>
  <c r="F9" i="15"/>
  <c r="G9" i="14"/>
  <c r="F9" i="14"/>
  <c r="G9" i="13"/>
  <c r="G7" i="13"/>
  <c r="F4" i="16"/>
  <c r="G6" i="15"/>
  <c r="G5" i="15"/>
  <c r="G4" i="15"/>
  <c r="F4" i="15"/>
  <c r="F4" i="14"/>
  <c r="G6" i="13"/>
  <c r="G5" i="13"/>
  <c r="G4" i="13"/>
  <c r="F4" i="13"/>
  <c r="G9" i="9" l="1"/>
  <c r="F9" i="9"/>
  <c r="G7" i="9"/>
  <c r="G6" i="9"/>
  <c r="F6" i="9"/>
  <c r="G5" i="9"/>
  <c r="F5" i="9"/>
  <c r="G4" i="9"/>
  <c r="F4" i="9"/>
  <c r="G9" i="8"/>
  <c r="F9" i="8"/>
  <c r="G7" i="8"/>
  <c r="G6" i="8"/>
  <c r="F6" i="8"/>
  <c r="G5" i="8"/>
  <c r="G4" i="8"/>
  <c r="F4" i="8"/>
</calcChain>
</file>

<file path=xl/sharedStrings.xml><?xml version="1.0" encoding="utf-8"?>
<sst xmlns="http://schemas.openxmlformats.org/spreadsheetml/2006/main" count="364" uniqueCount="61">
  <si>
    <t>אפיק השקעה</t>
  </si>
  <si>
    <t>טווח סטייה</t>
  </si>
  <si>
    <t>גבולות שיעור החשיפה  הצפויה</t>
  </si>
  <si>
    <t>מדדי יחוס</t>
  </si>
  <si>
    <t>שווי נוכחי (אלפי ₪)</t>
  </si>
  <si>
    <t>מינימום</t>
  </si>
  <si>
    <t>מקסימום</t>
  </si>
  <si>
    <t xml:space="preserve"> +/-6%</t>
  </si>
  <si>
    <t xml:space="preserve"> +/-5%</t>
  </si>
  <si>
    <t>סה"כ</t>
  </si>
  <si>
    <t>חשיפה למטח</t>
  </si>
  <si>
    <t>אג"ח ממשלתי כללי</t>
  </si>
  <si>
    <t>אג"ח ממשלתי סחיר</t>
  </si>
  <si>
    <t>תל בונד 60 50% 
תל בונד שקלי 50 50%</t>
  </si>
  <si>
    <t xml:space="preserve"> ממשלתי צמוד מחמ 2-5 שנים - 25%, ממשלתי צמוד מדד 5-10 שנים - 25%, ממשלתי שקלי  מחמ 2-5 שנים - 25%, ממשלתי שקלי מחמ 5-10 - 25%</t>
  </si>
  <si>
    <t>תל בונד 60 53%, תל בונד שקלי 50 28% ,   barclays global aggregate corporate bond index $ unhedged 14%,        barclays global high yield bond index $ unhedged  5%</t>
  </si>
  <si>
    <t>איילון מסלול לבני 50 ומטה</t>
  </si>
  <si>
    <t>איילון מסלול לבני 50 - 60</t>
  </si>
  <si>
    <t>איילון מסלול לבני 60 ומעלה</t>
  </si>
  <si>
    <t>איילון מסלול הלכה</t>
  </si>
  <si>
    <t xml:space="preserve">50% nasdaq + 50% s&amp;p500  </t>
  </si>
  <si>
    <r>
      <t>איילון מסלול ע</t>
    </r>
    <r>
      <rPr>
        <b/>
        <u/>
        <sz val="18"/>
        <color rgb="FF470129"/>
        <rFont val="Arial"/>
        <family val="2"/>
        <scheme val="minor"/>
      </rPr>
      <t>וקב מדד S&amp;P500</t>
    </r>
  </si>
  <si>
    <t xml:space="preserve">s&amp;p500  </t>
  </si>
  <si>
    <t>איילון מסלול מניות</t>
  </si>
  <si>
    <t>איילון מסלול עוקב מדדי מניות</t>
  </si>
  <si>
    <t>איילון מסלול כספי (שקלי)</t>
  </si>
  <si>
    <t>מדד מק"מ</t>
  </si>
  <si>
    <t>תל בונד שקלי 1-3</t>
  </si>
  <si>
    <t>איילון מסלול אשראי ואג"ח</t>
  </si>
  <si>
    <t>איילון מסלול עוקב מדדים גמיש</t>
  </si>
  <si>
    <t>איילון מסלול משולב סחיר</t>
  </si>
  <si>
    <t>MSCI AC</t>
  </si>
  <si>
    <t>Global aggregate - Sovereign</t>
  </si>
  <si>
    <t xml:space="preserve"> barclays global aggregate corporate bond index $ unhedged 75%, barclays global high yield bond index $ unhedged  25%</t>
  </si>
  <si>
    <t>עוקב מדדי אג"ח</t>
  </si>
  <si>
    <t>TA-125 - 100%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</si>
  <si>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</si>
  <si>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50% MSCI AC 50%TA-125</t>
  </si>
  <si>
    <t>שיעור חשיפה צפוי לשנת 2026</t>
  </si>
  <si>
    <t>שיעור החשיפה ליום 31/12/2025</t>
  </si>
  <si>
    <t xml:space="preserve">איילון מסלול מניות סחיר </t>
  </si>
  <si>
    <t xml:space="preserve">איילון קופות גמל בע"מ, כמשקיע מוסדי, פועלת בהתאם למדיניות ESG בהשקעות המפורסמת באתר החברה. </t>
  </si>
  <si>
    <t xml:space="preserve"> מניות (כולל תעודות סל, אופציות, קרנות נאמנות)</t>
  </si>
  <si>
    <t xml:space="preserve"> אגח ממשלתי (כולל אגח ממשלות זרות)</t>
  </si>
  <si>
    <t xml:space="preserve"> אגח קונצרני בארץ ובחו"ל (כולל קרנות נאמנות, תעודות סל)</t>
  </si>
  <si>
    <t>אחר (עו"ש, פר"י, פק"מ)</t>
  </si>
  <si>
    <t xml:space="preserve"> אגח ממשלתי (כולל אגח ממשלות זרות)*</t>
  </si>
  <si>
    <t xml:space="preserve"> אגח ממשלתי (כולל אגח ממשלות זרות) *</t>
  </si>
  <si>
    <t>אחר (עו"ש, פר"י, פק"מ) *</t>
  </si>
  <si>
    <t>אחר (עו"ש, פר"י, פק"מ)*</t>
  </si>
  <si>
    <t>* בנטרול החשיפה הנובעת מהשקעה בנגזרים</t>
  </si>
  <si>
    <t>מגבלת עמלת ניהול חיצוני לשנת 2026 - 0.05%</t>
  </si>
  <si>
    <t>מגבלת עמלת ניהול חיצוני לשנת 2026 - 0.1%</t>
  </si>
  <si>
    <t>מגבלת עמלת ניהול חיצוני לשנת 2026 - 0.00%</t>
  </si>
  <si>
    <t>מגבלת עמלת ניהול חיצוני לשנת 2026 - 0.13%</t>
  </si>
  <si>
    <t>מגבלת עמלת ניהול חיצוני לשנת 2026 - 0.25%</t>
  </si>
  <si>
    <t>מגבלת עמלת ניהול חיצוני לשנת 2026 - 0.20%</t>
  </si>
  <si>
    <t>מגבלת עמלת ניהול חיצוני לשנת 2026 - 0.04%</t>
  </si>
  <si>
    <t>מגבלת עמלת ניהול חיצוני לשנת 2026 - 0.12%</t>
  </si>
  <si>
    <t>מגבלת עמלת ניהול חיצוני לשנת 2026 - 0.17%</t>
  </si>
  <si>
    <t>מגבלת עמלת ניהול חיצוני לשנת 2026 - 0.03%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</si>
</sst>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₪&quot;\ * #,##0.00_ ;_ &quot;₪&quot;\ * \-#,##0.00_ ;_ &quot;₪&quot;\ * &quot;-&quot;??_ ;_ @_ "/>
    <numFmt numFmtId="164" formatCode="0.0%"/>
    <numFmt numFmtId="165" formatCode="_ &quot;₪&quot;\ * #,##0.0_ ;_ &quot;₪&quot;\ * \-#,##0.0_ ;_ &quot;₪&quot;\ * &quot;-&quot;??_ ;_ @_ "/>
  </numFmts>
  <fonts count="18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b/>
      <sz val="11"/>
      <name val="Arial"/>
      <family val="2"/>
    </font>
    <font>
      <b/>
      <u/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  <charset val="177"/>
      <scheme val="minor"/>
    </font>
    <font>
      <b/>
      <u/>
      <sz val="18"/>
      <color rgb="FF470129"/>
      <name val="Arial"/>
      <family val="2"/>
      <charset val="177"/>
      <scheme val="minor"/>
    </font>
    <font>
      <b/>
      <u/>
      <sz val="12"/>
      <color rgb="FF470129"/>
      <name val="Arial"/>
      <family val="2"/>
      <charset val="177"/>
      <scheme val="minor"/>
    </font>
    <font>
      <sz val="11"/>
      <name val="Arial"/>
      <family val="2"/>
    </font>
    <font>
      <sz val="11"/>
      <name val="Arial"/>
      <family val="2"/>
      <scheme val="minor"/>
    </font>
    <font>
      <b/>
      <u/>
      <sz val="18"/>
      <color rgb="FF470129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70129"/>
        <bgColor rgb="FF470129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3" fillId="0" borderId="0"/>
    <xf numFmtId="44" fontId="13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6" fillId="2" borderId="0" xfId="0" applyFont="1" applyFill="1"/>
    <xf numFmtId="164" fontId="5" fillId="2" borderId="1" xfId="2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0" applyFont="1" applyFill="1"/>
    <xf numFmtId="0" fontId="4" fillId="2" borderId="6" xfId="2" applyFont="1" applyFill="1" applyBorder="1" applyAlignment="1">
      <alignment horizontal="right"/>
    </xf>
    <xf numFmtId="0" fontId="4" fillId="2" borderId="7" xfId="2" applyFont="1" applyFill="1" applyBorder="1" applyAlignment="1">
      <alignment horizontal="right"/>
    </xf>
    <xf numFmtId="164" fontId="3" fillId="2" borderId="9" xfId="2" applyNumberFormat="1" applyFont="1" applyFill="1" applyBorder="1" applyAlignment="1">
      <alignment horizontal="center" vertical="center"/>
    </xf>
    <xf numFmtId="0" fontId="14" fillId="0" borderId="12" xfId="4" applyFont="1" applyBorder="1" applyAlignment="1">
      <alignment horizontal="right" readingOrder="2"/>
    </xf>
    <xf numFmtId="164" fontId="5" fillId="4" borderId="8" xfId="2" applyNumberFormat="1" applyFont="1" applyFill="1" applyBorder="1" applyAlignment="1">
      <alignment horizontal="center" vertical="center"/>
    </xf>
    <xf numFmtId="164" fontId="3" fillId="4" borderId="8" xfId="2" applyNumberFormat="1" applyFont="1" applyFill="1" applyBorder="1" applyAlignment="1">
      <alignment horizontal="center" vertical="center"/>
    </xf>
    <xf numFmtId="164" fontId="3" fillId="4" borderId="10" xfId="2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3" fillId="2" borderId="3" xfId="2" applyNumberFormat="1" applyFont="1" applyFill="1" applyBorder="1" applyAlignment="1">
      <alignment horizontal="center" vertical="center"/>
    </xf>
    <xf numFmtId="0" fontId="4" fillId="2" borderId="18" xfId="3" applyFont="1" applyFill="1" applyBorder="1" applyAlignment="1">
      <alignment horizontal="center" vertical="center" wrapText="1"/>
    </xf>
    <xf numFmtId="0" fontId="4" fillId="0" borderId="19" xfId="3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4" fillId="2" borderId="22" xfId="2" applyFont="1" applyFill="1" applyBorder="1" applyAlignment="1">
      <alignment horizontal="right"/>
    </xf>
    <xf numFmtId="164" fontId="5" fillId="2" borderId="23" xfId="2" applyNumberFormat="1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/>
    </xf>
    <xf numFmtId="0" fontId="1" fillId="2" borderId="30" xfId="1" applyFill="1" applyBorder="1" applyAlignment="1">
      <alignment horizontal="center" vertical="center"/>
    </xf>
    <xf numFmtId="164" fontId="5" fillId="2" borderId="31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3" fillId="2" borderId="4" xfId="2" applyNumberFormat="1" applyFont="1" applyFill="1" applyBorder="1" applyAlignment="1">
      <alignment horizontal="center" vertical="center"/>
    </xf>
    <xf numFmtId="164" fontId="5" fillId="4" borderId="33" xfId="2" applyNumberFormat="1" applyFont="1" applyFill="1" applyBorder="1" applyAlignment="1">
      <alignment horizontal="center" vertical="center"/>
    </xf>
    <xf numFmtId="0" fontId="5" fillId="2" borderId="26" xfId="1" applyFont="1" applyFill="1" applyBorder="1"/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9" fontId="5" fillId="4" borderId="24" xfId="2" applyNumberFormat="1" applyFont="1" applyFill="1" applyBorder="1" applyAlignment="1">
      <alignment horizontal="center" vertical="center"/>
    </xf>
    <xf numFmtId="9" fontId="5" fillId="4" borderId="9" xfId="2" applyNumberFormat="1" applyFont="1" applyFill="1" applyBorder="1" applyAlignment="1">
      <alignment horizontal="center" vertical="center"/>
    </xf>
    <xf numFmtId="9" fontId="3" fillId="4" borderId="9" xfId="2" applyNumberFormat="1" applyFont="1" applyFill="1" applyBorder="1" applyAlignment="1">
      <alignment horizontal="center" vertical="center"/>
    </xf>
    <xf numFmtId="9" fontId="3" fillId="4" borderId="11" xfId="2" applyNumberFormat="1" applyFont="1" applyFill="1" applyBorder="1" applyAlignment="1">
      <alignment horizontal="center" vertical="center"/>
    </xf>
    <xf numFmtId="165" fontId="5" fillId="4" borderId="32" xfId="5" applyNumberFormat="1" applyFont="1" applyFill="1" applyBorder="1" applyAlignment="1">
      <alignment vertical="center"/>
    </xf>
    <xf numFmtId="165" fontId="5" fillId="4" borderId="28" xfId="5" applyNumberFormat="1" applyFont="1" applyFill="1" applyBorder="1" applyAlignment="1">
      <alignment vertical="center"/>
    </xf>
    <xf numFmtId="0" fontId="16" fillId="0" borderId="0" xfId="0" applyFont="1" applyAlignment="1">
      <alignment horizontal="right" vertical="top" readingOrder="2"/>
    </xf>
    <xf numFmtId="0" fontId="17" fillId="2" borderId="0" xfId="0" applyFont="1" applyFill="1" applyAlignment="1">
      <alignment horizontal="right" readingOrder="2"/>
    </xf>
    <xf numFmtId="0" fontId="8" fillId="0" borderId="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right" vertical="top"/>
    </xf>
    <xf numFmtId="165" fontId="5" fillId="4" borderId="32" xfId="5" applyNumberFormat="1" applyFont="1" applyFill="1" applyBorder="1" applyAlignment="1">
      <alignment horizontal="center" vertical="center"/>
    </xf>
    <xf numFmtId="165" fontId="5" fillId="4" borderId="28" xfId="5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/>
    </xf>
  </cellXfs>
  <cellStyles count="6">
    <cellStyle name="Currency" xfId="5" builtinId="4"/>
    <cellStyle name="Normal" xfId="0" builtinId="0"/>
    <cellStyle name="Normal 6 2" xfId="4" xr:uid="{00000000-0005-0000-0000-000002000000}"/>
    <cellStyle name="Normal_גיליון2" xfId="3" xr:uid="{00000000-0005-0000-0000-000003000000}"/>
    <cellStyle name="Normal_גיליון3" xfId="1" xr:uid="{00000000-0005-0000-0000-000004000000}"/>
    <cellStyle name="Normal_מגדגל גמל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rightToLeft="1" tabSelected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23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37</v>
      </c>
    </row>
    <row r="5" spans="1:8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54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sh/DFrXszVtcZn6nCvtQrNIH4/Mnh6fdOd+J3so/YVL0F/T99KwwSonD4a1uCkmeKdcP21GhGMp93Q89vBMTkA==" saltValue="CoPGCH5IhLcLODmEosXK4Q==" spinCount="100000" sheet="1" objects="1" scenarios="1"/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4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16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0.6</v>
      </c>
      <c r="E4" s="32" t="s">
        <v>7</v>
      </c>
      <c r="F4" s="28">
        <f>+D4-6%</f>
        <v>0.54</v>
      </c>
      <c r="G4" s="39">
        <f>+D4+6%</f>
        <v>0.65999999999999992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v>0</v>
      </c>
      <c r="G5" s="25">
        <f>+D5+5%</f>
        <v>0.15000000000000002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0.28000000000000003</v>
      </c>
      <c r="E6" s="33" t="s">
        <v>7</v>
      </c>
      <c r="F6" s="5">
        <f>+D6-6%</f>
        <v>0.22000000000000003</v>
      </c>
      <c r="G6" s="25">
        <f>+D6+6%</f>
        <v>0.34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11" ht="15.75" x14ac:dyDescent="0.2">
      <c r="A10" s="4"/>
      <c r="B10" s="52" t="s">
        <v>55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dJ9UBd96V6CnBUte5+zuHN2iUYT9iQ2TpjFrxN+6ekBh8wQuuwdTJ95JMbzzVJfvlIQtSMum8vUEP13WoFiAqA==" saltValue="Qi6CDDxBU8pFUP7ReUO/+g==" spinCount="100000" sheet="1" objects="1" scenarios="1"/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17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45"/>
      <c r="D3" s="46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0.33</v>
      </c>
      <c r="E6" s="33" t="s">
        <v>7</v>
      </c>
      <c r="F6" s="5">
        <f>+D6-6%</f>
        <v>0.27</v>
      </c>
      <c r="G6" s="25">
        <f>+D6+6%</f>
        <v>0.39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11" ht="15.75" x14ac:dyDescent="0.2">
      <c r="A10" s="4"/>
      <c r="B10" s="52" t="s">
        <v>56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in09Zbh9Fr4+nN8HiJgwd2U47rc2BLigphLd6GQCa1CK4vbnCardMPuq/CiPYmLhUx1bxuZ7i9tqjqOOBVITFg==" saltValue="gbue0knwTuhghEAUkFU5Gg==" spinCount="100000" sheet="1" objects="1" scenarios="1"/>
  <mergeCells count="3">
    <mergeCell ref="B1:H1"/>
    <mergeCell ref="F2:G2"/>
    <mergeCell ref="B10:H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rightToLeft="1" zoomScaleNormal="100" workbookViewId="0">
      <selection activeCell="B13" sqref="B13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18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0.3</v>
      </c>
      <c r="E4" s="32" t="s">
        <v>7</v>
      </c>
      <c r="F4" s="28">
        <f>+D4-6%</f>
        <v>0.24</v>
      </c>
      <c r="G4" s="39">
        <f>+D4+6%</f>
        <v>0.36</v>
      </c>
      <c r="H4" s="29" t="s">
        <v>37</v>
      </c>
    </row>
    <row r="5" spans="1:11" s="3" customFormat="1" ht="60" x14ac:dyDescent="0.25">
      <c r="B5" s="10" t="s">
        <v>43</v>
      </c>
      <c r="C5" s="14"/>
      <c r="D5" s="42">
        <v>0.27</v>
      </c>
      <c r="E5" s="33" t="s">
        <v>8</v>
      </c>
      <c r="F5" s="5">
        <f>+D5-5%</f>
        <v>0.22000000000000003</v>
      </c>
      <c r="G5" s="25">
        <f>+D5+5%</f>
        <v>0.32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0.4</v>
      </c>
      <c r="E6" s="33" t="s">
        <v>7</v>
      </c>
      <c r="F6" s="5">
        <f>+D6-6%</f>
        <v>0.34</v>
      </c>
      <c r="G6" s="25">
        <f>+D6+6%</f>
        <v>0.46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0.1</v>
      </c>
      <c r="E9" s="34" t="s">
        <v>7</v>
      </c>
      <c r="F9" s="7">
        <f>+D9-6%</f>
        <v>4.0000000000000008E-2</v>
      </c>
      <c r="G9" s="40">
        <f>+D9+6%</f>
        <v>0.16</v>
      </c>
      <c r="H9" s="24"/>
    </row>
    <row r="10" spans="1:11" ht="15.75" x14ac:dyDescent="0.2">
      <c r="A10" s="4"/>
      <c r="B10" s="52" t="s">
        <v>56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ZUn7YqWc4Ee3mjlnOBEDQz9w2mjxuhWsh3JVK7VjoUJ2aI8wihPZulYstq8+VBCgc9p2jyDuEacrolbZQ16gkw==" saltValue="hRNtwuAZ9XnByLtYme6Ia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19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0.55000000000000004</v>
      </c>
      <c r="E4" s="32" t="s">
        <v>7</v>
      </c>
      <c r="F4" s="28">
        <f>+D4-6%</f>
        <v>0.49000000000000005</v>
      </c>
      <c r="G4" s="39">
        <f>+D4+6%</f>
        <v>0.6100000000000001</v>
      </c>
      <c r="H4" s="29" t="s">
        <v>37</v>
      </c>
    </row>
    <row r="5" spans="1:8" s="3" customFormat="1" ht="60" x14ac:dyDescent="0.25">
      <c r="B5" s="10" t="s">
        <v>43</v>
      </c>
      <c r="C5" s="14"/>
      <c r="D5" s="42">
        <v>0.1</v>
      </c>
      <c r="E5" s="33" t="s">
        <v>8</v>
      </c>
      <c r="F5" s="5">
        <f>+D5-5%</f>
        <v>0.05</v>
      </c>
      <c r="G5" s="25">
        <f>+D5+5%</f>
        <v>0.15000000000000002</v>
      </c>
      <c r="H5" s="22" t="s">
        <v>14</v>
      </c>
    </row>
    <row r="6" spans="1:8" s="3" customFormat="1" ht="75" x14ac:dyDescent="0.25">
      <c r="B6" s="10" t="s">
        <v>44</v>
      </c>
      <c r="C6" s="14"/>
      <c r="D6" s="42">
        <v>0.32</v>
      </c>
      <c r="E6" s="33" t="s">
        <v>7</v>
      </c>
      <c r="F6" s="5">
        <f>+D6-6%</f>
        <v>0.26</v>
      </c>
      <c r="G6" s="25">
        <f>+D6+6%</f>
        <v>0.38</v>
      </c>
      <c r="H6" s="21" t="s">
        <v>15</v>
      </c>
    </row>
    <row r="7" spans="1:8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57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vO0IAym/Zf22O1fGLCvjhdyjhLsCZIKcgexbYMQ55A8ESa8SWEX9lY+9/bgwbUr2xtLTY2FatHLxGxYUSlZxsA==" saltValue="of8AbezT/7g6uTSQLn/AZ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rightToLeft="1" zoomScaleNormal="100" workbookViewId="0">
      <selection activeCell="B19" sqref="B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24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37</v>
      </c>
    </row>
    <row r="5" spans="1:8" s="3" customFormat="1" ht="15" x14ac:dyDescent="0.25">
      <c r="B5" s="10" t="s">
        <v>46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49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0.15</v>
      </c>
      <c r="E9" s="34" t="s">
        <v>7</v>
      </c>
      <c r="F9" s="7">
        <f>+D9-6%</f>
        <v>0.09</v>
      </c>
      <c r="G9" s="40">
        <f>+D9+6%</f>
        <v>0.21</v>
      </c>
      <c r="H9" s="24"/>
    </row>
    <row r="10" spans="1:8" ht="15.75" x14ac:dyDescent="0.2">
      <c r="A10" s="4"/>
      <c r="B10" s="52" t="s">
        <v>58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4" spans="1:8" x14ac:dyDescent="0.2">
      <c r="B14" s="47" t="s">
        <v>50</v>
      </c>
    </row>
  </sheetData>
  <sheetProtection algorithmName="SHA-512" hashValue="bWsl7e+vervUGMmK5tZsSLvMikx9AcAcC3FZbv6LO2LYHuaxO/RsPik9zsEn2SkZmajgn9+DZ1CgGL1epwTI2g==" saltValue="fNsEN8MJ/NLWs7roVCS+j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rightToLeft="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40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f>+D4+6%</f>
        <v>1.04</v>
      </c>
      <c r="H4" s="29" t="s">
        <v>20</v>
      </c>
    </row>
    <row r="5" spans="1:8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8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8" ht="15.75" x14ac:dyDescent="0.2">
      <c r="A10" s="4"/>
      <c r="B10" s="52" t="s">
        <v>59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8" x14ac:dyDescent="0.2">
      <c r="A13" s="4"/>
    </row>
  </sheetData>
  <sheetProtection algorithmName="SHA-512" hashValue="rNUwNvUz5FODzi9rJ5qMga5+OndGqoDaik3IodpS7RKByu8THPZWtw14k0u9mQUN0Qv6U2AvVdW3KIjMrDsU2Q==" saltValue="VVCwoDRVJcPgDnbLShavo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rightToLeft="1" zoomScaleNormal="100" workbookViewId="0">
      <selection activeCell="B17" sqref="B17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21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0.99</v>
      </c>
      <c r="E4" s="32" t="s">
        <v>7</v>
      </c>
      <c r="F4" s="28">
        <f>+D4-6%</f>
        <v>0.92999999999999994</v>
      </c>
      <c r="G4" s="39">
        <v>1</v>
      </c>
      <c r="H4" s="29" t="s">
        <v>22</v>
      </c>
    </row>
    <row r="5" spans="1:8" s="3" customFormat="1" ht="15" x14ac:dyDescent="0.25">
      <c r="B5" s="10" t="s">
        <v>47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8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8" s="3" customFormat="1" ht="15" x14ac:dyDescent="0.25">
      <c r="B7" s="10" t="s">
        <v>48</v>
      </c>
      <c r="C7" s="15"/>
      <c r="D7" s="43">
        <v>0.01</v>
      </c>
      <c r="E7" s="20" t="s">
        <v>8</v>
      </c>
      <c r="F7" s="6">
        <v>0</v>
      </c>
      <c r="G7" s="12">
        <f t="shared" ref="G7" si="0">+D7+5%</f>
        <v>6.0000000000000005E-2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8" ht="15.75" x14ac:dyDescent="0.2">
      <c r="A10" s="4"/>
      <c r="B10" s="52" t="s">
        <v>60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8" x14ac:dyDescent="0.2">
      <c r="B13" s="13"/>
    </row>
    <row r="14" spans="1:8" x14ac:dyDescent="0.2">
      <c r="B14" s="48" t="s">
        <v>50</v>
      </c>
    </row>
  </sheetData>
  <sheetProtection algorithmName="SHA-512" hashValue="QrIuzvk5CjM/QQnYSlN9Qety19ll7gnIw9HfEoIdxGOAYay6tBdmnz1mujV463IcrR2QCvrdsX8bvaAI64e+pg==" saltValue="R4cEOOUwLnbXf9Al4Lazw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8" s="8" customFormat="1" ht="27.75" customHeight="1" thickBot="1" x14ac:dyDescent="0.25">
      <c r="B1" s="49" t="s">
        <v>25</v>
      </c>
      <c r="C1" s="49"/>
      <c r="D1" s="49"/>
      <c r="E1" s="49"/>
      <c r="F1" s="49"/>
      <c r="G1" s="49"/>
      <c r="H1" s="49"/>
    </row>
    <row r="2" spans="1:8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8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</row>
    <row r="4" spans="1:8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8" s="3" customFormat="1" ht="15" x14ac:dyDescent="0.25">
      <c r="B5" s="10" t="s">
        <v>43</v>
      </c>
      <c r="C5" s="14"/>
      <c r="D5" s="42">
        <v>0.35</v>
      </c>
      <c r="E5" s="33" t="s">
        <v>8</v>
      </c>
      <c r="F5" s="5">
        <f>+D5-5%</f>
        <v>0.3</v>
      </c>
      <c r="G5" s="25">
        <f>+D5+5%</f>
        <v>0.39999999999999997</v>
      </c>
      <c r="H5" s="22" t="s">
        <v>26</v>
      </c>
    </row>
    <row r="6" spans="1:8" s="3" customFormat="1" ht="15" x14ac:dyDescent="0.25">
      <c r="B6" s="10" t="s">
        <v>44</v>
      </c>
      <c r="C6" s="14"/>
      <c r="D6" s="42">
        <v>0.6</v>
      </c>
      <c r="E6" s="33" t="s">
        <v>7</v>
      </c>
      <c r="F6" s="5">
        <f>+D6-6%</f>
        <v>0.54</v>
      </c>
      <c r="G6" s="25">
        <f>+D6+6%</f>
        <v>0.65999999999999992</v>
      </c>
      <c r="H6" s="21" t="s">
        <v>27</v>
      </c>
    </row>
    <row r="7" spans="1:8" s="3" customFormat="1" ht="15" x14ac:dyDescent="0.25">
      <c r="B7" s="10" t="s">
        <v>45</v>
      </c>
      <c r="C7" s="15"/>
      <c r="D7" s="43">
        <v>0.05</v>
      </c>
      <c r="E7" s="20" t="s">
        <v>8</v>
      </c>
      <c r="F7" s="6">
        <v>0</v>
      </c>
      <c r="G7" s="12">
        <f>+D7+5%</f>
        <v>0.1</v>
      </c>
      <c r="H7" s="23"/>
    </row>
    <row r="8" spans="1:8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8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v>0</v>
      </c>
      <c r="H9" s="24"/>
    </row>
    <row r="10" spans="1:8" ht="15.75" x14ac:dyDescent="0.2">
      <c r="A10" s="4"/>
      <c r="B10" s="52" t="s">
        <v>53</v>
      </c>
      <c r="C10" s="52"/>
      <c r="D10" s="52"/>
      <c r="E10" s="52"/>
      <c r="F10" s="52"/>
      <c r="G10" s="52"/>
      <c r="H10" s="52"/>
    </row>
    <row r="11" spans="1:8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8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4aJh8WJpYgUNHGdfK5frjzOqdThAQc030WtBEQR+N9FgoCzkcnp/L6pB3oHzSD4XS1QIz7IRqjEE48u+KEhWBw==" saltValue="dYf4CYSJlmT444LXwFNUXQ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"/>
  <sheetViews>
    <sheetView rightToLeft="1" topLeftCell="B1" zoomScaleNormal="100" workbookViewId="0">
      <selection activeCell="B16" sqref="B16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28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60" x14ac:dyDescent="0.25">
      <c r="B5" s="10" t="s">
        <v>43</v>
      </c>
      <c r="C5" s="14"/>
      <c r="D5" s="42">
        <v>0.42</v>
      </c>
      <c r="E5" s="33" t="s">
        <v>8</v>
      </c>
      <c r="F5" s="5">
        <f>+D5-5%</f>
        <v>0.37</v>
      </c>
      <c r="G5" s="25">
        <f>+D5+5%</f>
        <v>0.47</v>
      </c>
      <c r="H5" s="22" t="s">
        <v>14</v>
      </c>
    </row>
    <row r="6" spans="1:11" s="3" customFormat="1" ht="75" x14ac:dyDescent="0.25">
      <c r="B6" s="10" t="s">
        <v>44</v>
      </c>
      <c r="C6" s="14"/>
      <c r="D6" s="42">
        <v>0.56000000000000005</v>
      </c>
      <c r="E6" s="33" t="s">
        <v>7</v>
      </c>
      <c r="F6" s="5">
        <f>+D6-6%</f>
        <v>0.5</v>
      </c>
      <c r="G6" s="25">
        <f>+D6+6%</f>
        <v>0.62000000000000011</v>
      </c>
      <c r="H6" s="21" t="s">
        <v>15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0.02</v>
      </c>
      <c r="E9" s="34" t="s">
        <v>7</v>
      </c>
      <c r="F9" s="7">
        <v>0</v>
      </c>
      <c r="G9" s="40">
        <f>+D9+6%</f>
        <v>0.08</v>
      </c>
      <c r="H9" s="24"/>
    </row>
    <row r="10" spans="1:11" ht="15.75" x14ac:dyDescent="0.2">
      <c r="A10" s="4"/>
      <c r="B10" s="52" t="s">
        <v>60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1RDNjXTo7d0waOdyWsjM/NSmBxw0uQ2+0KOGlD5fMsElkqeM7AOGyebrV87Vou6XuH7VEOFqZIRMDmTYkv2CWQ==" saltValue="Z4PdjjLp/lAX8cgbknMVz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2"/>
  <sheetViews>
    <sheetView rightToLeft="1" zoomScaleNormal="100" workbookViewId="0">
      <selection activeCell="B18" sqref="B18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29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0.98</v>
      </c>
      <c r="E4" s="32" t="s">
        <v>7</v>
      </c>
      <c r="F4" s="28">
        <f>+D4-6%</f>
        <v>0.91999999999999993</v>
      </c>
      <c r="G4" s="39">
        <v>1</v>
      </c>
      <c r="H4" s="29" t="s">
        <v>35</v>
      </c>
    </row>
    <row r="5" spans="1:11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v>0</v>
      </c>
      <c r="H5" s="22"/>
    </row>
    <row r="6" spans="1:11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v>0</v>
      </c>
      <c r="H6" s="21"/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51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595LcCLx/M2sS8WVcgXMqtuQGduU6yoxBrfwiAOdEPgGRd5WdC7wgLFdli5MSs2sFa/E399aoWxgUjieRU8G/w==" saltValue="jxWyn7+kw0AxInoahb7ilw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4"/>
  <sheetViews>
    <sheetView rightToLeft="1" zoomScaleNormal="100" workbookViewId="0">
      <selection activeCell="C19" sqref="C19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35.62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30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0.42</v>
      </c>
      <c r="E4" s="32" t="s">
        <v>7</v>
      </c>
      <c r="F4" s="28">
        <f>+D4-6%</f>
        <v>0.36</v>
      </c>
      <c r="G4" s="39">
        <f>+D4+6%</f>
        <v>0.48</v>
      </c>
      <c r="H4" s="29" t="s">
        <v>31</v>
      </c>
    </row>
    <row r="5" spans="1:11" s="3" customFormat="1" ht="15" x14ac:dyDescent="0.25">
      <c r="B5" s="10" t="s">
        <v>43</v>
      </c>
      <c r="C5" s="14"/>
      <c r="D5" s="42">
        <v>0.25</v>
      </c>
      <c r="E5" s="33" t="s">
        <v>8</v>
      </c>
      <c r="F5" s="5">
        <f>+D5-5%</f>
        <v>0.2</v>
      </c>
      <c r="G5" s="25">
        <f>+D5+5%</f>
        <v>0.3</v>
      </c>
      <c r="H5" s="22" t="s">
        <v>32</v>
      </c>
    </row>
    <row r="6" spans="1:11" s="3" customFormat="1" ht="60" x14ac:dyDescent="0.25">
      <c r="B6" s="10" t="s">
        <v>44</v>
      </c>
      <c r="C6" s="14"/>
      <c r="D6" s="42">
        <v>0.3</v>
      </c>
      <c r="E6" s="33" t="s">
        <v>7</v>
      </c>
      <c r="F6" s="5">
        <f>+D6-6%</f>
        <v>0.24</v>
      </c>
      <c r="G6" s="25">
        <f>+D6+6%</f>
        <v>0.36</v>
      </c>
      <c r="H6" s="21" t="s">
        <v>33</v>
      </c>
    </row>
    <row r="7" spans="1:11" s="3" customFormat="1" ht="15" x14ac:dyDescent="0.25">
      <c r="B7" s="10" t="s">
        <v>45</v>
      </c>
      <c r="C7" s="15"/>
      <c r="D7" s="43">
        <v>0.03</v>
      </c>
      <c r="E7" s="20" t="s">
        <v>8</v>
      </c>
      <c r="F7" s="6">
        <v>0</v>
      </c>
      <c r="G7" s="12">
        <f>+D7+5%</f>
        <v>0.08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1</v>
      </c>
      <c r="E9" s="34" t="s">
        <v>7</v>
      </c>
      <c r="F9" s="7">
        <f>+D9-6%</f>
        <v>0.94</v>
      </c>
      <c r="G9" s="40">
        <f>+D9+6%</f>
        <v>1.06</v>
      </c>
      <c r="H9" s="24"/>
    </row>
    <row r="10" spans="1:11" ht="15.75" x14ac:dyDescent="0.2">
      <c r="A10" s="4"/>
      <c r="B10" s="52" t="s">
        <v>52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3" spans="1:11" x14ac:dyDescent="0.2">
      <c r="B13" s="55"/>
      <c r="C13" s="55"/>
      <c r="D13" s="55"/>
      <c r="E13" s="55"/>
      <c r="F13" s="55"/>
      <c r="G13" s="55"/>
      <c r="H13" s="55"/>
    </row>
    <row r="14" spans="1:11" x14ac:dyDescent="0.2">
      <c r="B14" s="55"/>
      <c r="C14" s="55"/>
      <c r="D14" s="55"/>
      <c r="E14" s="55"/>
      <c r="F14" s="55"/>
      <c r="G14" s="55"/>
      <c r="H14" s="55"/>
    </row>
  </sheetData>
  <sheetProtection algorithmName="SHA-512" hashValue="wPXyIBFEl/+UiKGrgKy7ZXAIrYEcRZRcsdJ5iP1rnVpTQdbFKbPg/Pq3AG6RMzGNs43SdlXE0I9miCbxaNBdXQ==" saltValue="S4VwsKkSKPNYraK8QvMAMw==" spinCount="100000" sheet="1" objects="1" scenarios="1"/>
  <mergeCells count="6">
    <mergeCell ref="B13:H13"/>
    <mergeCell ref="B14:H14"/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rightToLeft="1" zoomScaleNormal="100" workbookViewId="0">
      <selection activeCell="C20" sqref="C20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34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43</v>
      </c>
      <c r="C5" s="14"/>
      <c r="D5" s="42">
        <v>0</v>
      </c>
      <c r="E5" s="33" t="s">
        <v>8</v>
      </c>
      <c r="F5" s="5">
        <v>0</v>
      </c>
      <c r="G5" s="25">
        <f>+D5+5%</f>
        <v>0.05</v>
      </c>
      <c r="H5" s="22"/>
    </row>
    <row r="6" spans="1:11" s="3" customFormat="1" ht="30" x14ac:dyDescent="0.25">
      <c r="B6" s="10" t="s">
        <v>44</v>
      </c>
      <c r="C6" s="14"/>
      <c r="D6" s="42">
        <v>0.98</v>
      </c>
      <c r="E6" s="33" t="s">
        <v>7</v>
      </c>
      <c r="F6" s="5">
        <f>+D6-6%</f>
        <v>0.91999999999999993</v>
      </c>
      <c r="G6" s="25">
        <v>1</v>
      </c>
      <c r="H6" s="21" t="s">
        <v>13</v>
      </c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53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  <row r="14" spans="1:11" x14ac:dyDescent="0.2">
      <c r="B14" s="13"/>
    </row>
  </sheetData>
  <sheetProtection algorithmName="SHA-512" hashValue="zJX1ZdPP8XnD+6wf5dyT2T++EqOp00mviGDXgKFKsmiETTJn+ilNt5pcqRPlvzoQ1Z+zeCS4259Q+AJ2+b9VmA==" saltValue="GdmhKF1lX4rbfbTEf/x9I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2"/>
  <sheetViews>
    <sheetView rightToLeft="1" zoomScaleNormal="100" workbookViewId="0">
      <selection activeCell="B14" sqref="B14"/>
    </sheetView>
  </sheetViews>
  <sheetFormatPr defaultRowHeight="14.25" x14ac:dyDescent="0.2"/>
  <cols>
    <col min="1" max="1" width="2.625" style="1" customWidth="1"/>
    <col min="2" max="2" width="53.125" style="1" bestFit="1" customWidth="1"/>
    <col min="3" max="3" width="15.875" style="1" customWidth="1"/>
    <col min="4" max="4" width="15.25" style="1" bestFit="1" customWidth="1"/>
    <col min="5" max="5" width="9" style="1" bestFit="1" customWidth="1"/>
    <col min="6" max="6" width="12.25" style="1" customWidth="1"/>
    <col min="7" max="7" width="12.5" style="1" customWidth="1"/>
    <col min="8" max="8" width="18.5" style="1" customWidth="1"/>
    <col min="9" max="255" width="9" style="1"/>
    <col min="256" max="256" width="2.625" style="1" customWidth="1"/>
    <col min="257" max="257" width="54.875" style="1" customWidth="1"/>
    <col min="258" max="258" width="19.375" style="1" customWidth="1"/>
    <col min="259" max="259" width="14.875" style="1" customWidth="1"/>
    <col min="260" max="260" width="15.875" style="1" customWidth="1"/>
    <col min="261" max="261" width="11.875" style="1" customWidth="1"/>
    <col min="262" max="262" width="13.875" style="1" customWidth="1"/>
    <col min="263" max="263" width="13.75" style="1" customWidth="1"/>
    <col min="264" max="264" width="33.75" style="1" customWidth="1"/>
    <col min="265" max="511" width="9" style="1"/>
    <col min="512" max="512" width="2.625" style="1" customWidth="1"/>
    <col min="513" max="513" width="54.875" style="1" customWidth="1"/>
    <col min="514" max="514" width="19.375" style="1" customWidth="1"/>
    <col min="515" max="515" width="14.875" style="1" customWidth="1"/>
    <col min="516" max="516" width="15.875" style="1" customWidth="1"/>
    <col min="517" max="517" width="11.875" style="1" customWidth="1"/>
    <col min="518" max="518" width="13.875" style="1" customWidth="1"/>
    <col min="519" max="519" width="13.75" style="1" customWidth="1"/>
    <col min="520" max="520" width="33.75" style="1" customWidth="1"/>
    <col min="521" max="767" width="9" style="1"/>
    <col min="768" max="768" width="2.625" style="1" customWidth="1"/>
    <col min="769" max="769" width="54.875" style="1" customWidth="1"/>
    <col min="770" max="770" width="19.375" style="1" customWidth="1"/>
    <col min="771" max="771" width="14.875" style="1" customWidth="1"/>
    <col min="772" max="772" width="15.875" style="1" customWidth="1"/>
    <col min="773" max="773" width="11.875" style="1" customWidth="1"/>
    <col min="774" max="774" width="13.875" style="1" customWidth="1"/>
    <col min="775" max="775" width="13.75" style="1" customWidth="1"/>
    <col min="776" max="776" width="33.75" style="1" customWidth="1"/>
    <col min="777" max="1023" width="9" style="1"/>
    <col min="1024" max="1024" width="2.625" style="1" customWidth="1"/>
    <col min="1025" max="1025" width="54.875" style="1" customWidth="1"/>
    <col min="1026" max="1026" width="19.375" style="1" customWidth="1"/>
    <col min="1027" max="1027" width="14.875" style="1" customWidth="1"/>
    <col min="1028" max="1028" width="15.875" style="1" customWidth="1"/>
    <col min="1029" max="1029" width="11.875" style="1" customWidth="1"/>
    <col min="1030" max="1030" width="13.875" style="1" customWidth="1"/>
    <col min="1031" max="1031" width="13.75" style="1" customWidth="1"/>
    <col min="1032" max="1032" width="33.75" style="1" customWidth="1"/>
    <col min="1033" max="1279" width="9" style="1"/>
    <col min="1280" max="1280" width="2.625" style="1" customWidth="1"/>
    <col min="1281" max="1281" width="54.875" style="1" customWidth="1"/>
    <col min="1282" max="1282" width="19.375" style="1" customWidth="1"/>
    <col min="1283" max="1283" width="14.875" style="1" customWidth="1"/>
    <col min="1284" max="1284" width="15.875" style="1" customWidth="1"/>
    <col min="1285" max="1285" width="11.875" style="1" customWidth="1"/>
    <col min="1286" max="1286" width="13.875" style="1" customWidth="1"/>
    <col min="1287" max="1287" width="13.75" style="1" customWidth="1"/>
    <col min="1288" max="1288" width="33.75" style="1" customWidth="1"/>
    <col min="1289" max="1535" width="9" style="1"/>
    <col min="1536" max="1536" width="2.625" style="1" customWidth="1"/>
    <col min="1537" max="1537" width="54.875" style="1" customWidth="1"/>
    <col min="1538" max="1538" width="19.375" style="1" customWidth="1"/>
    <col min="1539" max="1539" width="14.875" style="1" customWidth="1"/>
    <col min="1540" max="1540" width="15.875" style="1" customWidth="1"/>
    <col min="1541" max="1541" width="11.875" style="1" customWidth="1"/>
    <col min="1542" max="1542" width="13.875" style="1" customWidth="1"/>
    <col min="1543" max="1543" width="13.75" style="1" customWidth="1"/>
    <col min="1544" max="1544" width="33.75" style="1" customWidth="1"/>
    <col min="1545" max="1791" width="9" style="1"/>
    <col min="1792" max="1792" width="2.625" style="1" customWidth="1"/>
    <col min="1793" max="1793" width="54.875" style="1" customWidth="1"/>
    <col min="1794" max="1794" width="19.375" style="1" customWidth="1"/>
    <col min="1795" max="1795" width="14.875" style="1" customWidth="1"/>
    <col min="1796" max="1796" width="15.875" style="1" customWidth="1"/>
    <col min="1797" max="1797" width="11.875" style="1" customWidth="1"/>
    <col min="1798" max="1798" width="13.875" style="1" customWidth="1"/>
    <col min="1799" max="1799" width="13.75" style="1" customWidth="1"/>
    <col min="1800" max="1800" width="33.75" style="1" customWidth="1"/>
    <col min="1801" max="2047" width="9" style="1"/>
    <col min="2048" max="2048" width="2.625" style="1" customWidth="1"/>
    <col min="2049" max="2049" width="54.875" style="1" customWidth="1"/>
    <col min="2050" max="2050" width="19.375" style="1" customWidth="1"/>
    <col min="2051" max="2051" width="14.875" style="1" customWidth="1"/>
    <col min="2052" max="2052" width="15.875" style="1" customWidth="1"/>
    <col min="2053" max="2053" width="11.875" style="1" customWidth="1"/>
    <col min="2054" max="2054" width="13.875" style="1" customWidth="1"/>
    <col min="2055" max="2055" width="13.75" style="1" customWidth="1"/>
    <col min="2056" max="2056" width="33.75" style="1" customWidth="1"/>
    <col min="2057" max="2303" width="9" style="1"/>
    <col min="2304" max="2304" width="2.625" style="1" customWidth="1"/>
    <col min="2305" max="2305" width="54.875" style="1" customWidth="1"/>
    <col min="2306" max="2306" width="19.375" style="1" customWidth="1"/>
    <col min="2307" max="2307" width="14.875" style="1" customWidth="1"/>
    <col min="2308" max="2308" width="15.875" style="1" customWidth="1"/>
    <col min="2309" max="2309" width="11.875" style="1" customWidth="1"/>
    <col min="2310" max="2310" width="13.875" style="1" customWidth="1"/>
    <col min="2311" max="2311" width="13.75" style="1" customWidth="1"/>
    <col min="2312" max="2312" width="33.75" style="1" customWidth="1"/>
    <col min="2313" max="2559" width="9" style="1"/>
    <col min="2560" max="2560" width="2.625" style="1" customWidth="1"/>
    <col min="2561" max="2561" width="54.875" style="1" customWidth="1"/>
    <col min="2562" max="2562" width="19.375" style="1" customWidth="1"/>
    <col min="2563" max="2563" width="14.875" style="1" customWidth="1"/>
    <col min="2564" max="2564" width="15.875" style="1" customWidth="1"/>
    <col min="2565" max="2565" width="11.875" style="1" customWidth="1"/>
    <col min="2566" max="2566" width="13.875" style="1" customWidth="1"/>
    <col min="2567" max="2567" width="13.75" style="1" customWidth="1"/>
    <col min="2568" max="2568" width="33.75" style="1" customWidth="1"/>
    <col min="2569" max="2815" width="9" style="1"/>
    <col min="2816" max="2816" width="2.625" style="1" customWidth="1"/>
    <col min="2817" max="2817" width="54.875" style="1" customWidth="1"/>
    <col min="2818" max="2818" width="19.375" style="1" customWidth="1"/>
    <col min="2819" max="2819" width="14.875" style="1" customWidth="1"/>
    <col min="2820" max="2820" width="15.875" style="1" customWidth="1"/>
    <col min="2821" max="2821" width="11.875" style="1" customWidth="1"/>
    <col min="2822" max="2822" width="13.875" style="1" customWidth="1"/>
    <col min="2823" max="2823" width="13.75" style="1" customWidth="1"/>
    <col min="2824" max="2824" width="33.75" style="1" customWidth="1"/>
    <col min="2825" max="3071" width="9" style="1"/>
    <col min="3072" max="3072" width="2.625" style="1" customWidth="1"/>
    <col min="3073" max="3073" width="54.875" style="1" customWidth="1"/>
    <col min="3074" max="3074" width="19.375" style="1" customWidth="1"/>
    <col min="3075" max="3075" width="14.875" style="1" customWidth="1"/>
    <col min="3076" max="3076" width="15.875" style="1" customWidth="1"/>
    <col min="3077" max="3077" width="11.875" style="1" customWidth="1"/>
    <col min="3078" max="3078" width="13.875" style="1" customWidth="1"/>
    <col min="3079" max="3079" width="13.75" style="1" customWidth="1"/>
    <col min="3080" max="3080" width="33.75" style="1" customWidth="1"/>
    <col min="3081" max="3327" width="9" style="1"/>
    <col min="3328" max="3328" width="2.625" style="1" customWidth="1"/>
    <col min="3329" max="3329" width="54.875" style="1" customWidth="1"/>
    <col min="3330" max="3330" width="19.375" style="1" customWidth="1"/>
    <col min="3331" max="3331" width="14.875" style="1" customWidth="1"/>
    <col min="3332" max="3332" width="15.875" style="1" customWidth="1"/>
    <col min="3333" max="3333" width="11.875" style="1" customWidth="1"/>
    <col min="3334" max="3334" width="13.875" style="1" customWidth="1"/>
    <col min="3335" max="3335" width="13.75" style="1" customWidth="1"/>
    <col min="3336" max="3336" width="33.75" style="1" customWidth="1"/>
    <col min="3337" max="3583" width="9" style="1"/>
    <col min="3584" max="3584" width="2.625" style="1" customWidth="1"/>
    <col min="3585" max="3585" width="54.875" style="1" customWidth="1"/>
    <col min="3586" max="3586" width="19.375" style="1" customWidth="1"/>
    <col min="3587" max="3587" width="14.875" style="1" customWidth="1"/>
    <col min="3588" max="3588" width="15.875" style="1" customWidth="1"/>
    <col min="3589" max="3589" width="11.875" style="1" customWidth="1"/>
    <col min="3590" max="3590" width="13.875" style="1" customWidth="1"/>
    <col min="3591" max="3591" width="13.75" style="1" customWidth="1"/>
    <col min="3592" max="3592" width="33.75" style="1" customWidth="1"/>
    <col min="3593" max="3839" width="9" style="1"/>
    <col min="3840" max="3840" width="2.625" style="1" customWidth="1"/>
    <col min="3841" max="3841" width="54.875" style="1" customWidth="1"/>
    <col min="3842" max="3842" width="19.375" style="1" customWidth="1"/>
    <col min="3843" max="3843" width="14.875" style="1" customWidth="1"/>
    <col min="3844" max="3844" width="15.875" style="1" customWidth="1"/>
    <col min="3845" max="3845" width="11.875" style="1" customWidth="1"/>
    <col min="3846" max="3846" width="13.875" style="1" customWidth="1"/>
    <col min="3847" max="3847" width="13.75" style="1" customWidth="1"/>
    <col min="3848" max="3848" width="33.75" style="1" customWidth="1"/>
    <col min="3849" max="4095" width="9" style="1"/>
    <col min="4096" max="4096" width="2.625" style="1" customWidth="1"/>
    <col min="4097" max="4097" width="54.875" style="1" customWidth="1"/>
    <col min="4098" max="4098" width="19.375" style="1" customWidth="1"/>
    <col min="4099" max="4099" width="14.875" style="1" customWidth="1"/>
    <col min="4100" max="4100" width="15.875" style="1" customWidth="1"/>
    <col min="4101" max="4101" width="11.875" style="1" customWidth="1"/>
    <col min="4102" max="4102" width="13.875" style="1" customWidth="1"/>
    <col min="4103" max="4103" width="13.75" style="1" customWidth="1"/>
    <col min="4104" max="4104" width="33.75" style="1" customWidth="1"/>
    <col min="4105" max="4351" width="9" style="1"/>
    <col min="4352" max="4352" width="2.625" style="1" customWidth="1"/>
    <col min="4353" max="4353" width="54.875" style="1" customWidth="1"/>
    <col min="4354" max="4354" width="19.375" style="1" customWidth="1"/>
    <col min="4355" max="4355" width="14.875" style="1" customWidth="1"/>
    <col min="4356" max="4356" width="15.875" style="1" customWidth="1"/>
    <col min="4357" max="4357" width="11.875" style="1" customWidth="1"/>
    <col min="4358" max="4358" width="13.875" style="1" customWidth="1"/>
    <col min="4359" max="4359" width="13.75" style="1" customWidth="1"/>
    <col min="4360" max="4360" width="33.75" style="1" customWidth="1"/>
    <col min="4361" max="4607" width="9" style="1"/>
    <col min="4608" max="4608" width="2.625" style="1" customWidth="1"/>
    <col min="4609" max="4609" width="54.875" style="1" customWidth="1"/>
    <col min="4610" max="4610" width="19.375" style="1" customWidth="1"/>
    <col min="4611" max="4611" width="14.875" style="1" customWidth="1"/>
    <col min="4612" max="4612" width="15.875" style="1" customWidth="1"/>
    <col min="4613" max="4613" width="11.875" style="1" customWidth="1"/>
    <col min="4614" max="4614" width="13.875" style="1" customWidth="1"/>
    <col min="4615" max="4615" width="13.75" style="1" customWidth="1"/>
    <col min="4616" max="4616" width="33.75" style="1" customWidth="1"/>
    <col min="4617" max="4863" width="9" style="1"/>
    <col min="4864" max="4864" width="2.625" style="1" customWidth="1"/>
    <col min="4865" max="4865" width="54.875" style="1" customWidth="1"/>
    <col min="4866" max="4866" width="19.375" style="1" customWidth="1"/>
    <col min="4867" max="4867" width="14.875" style="1" customWidth="1"/>
    <col min="4868" max="4868" width="15.875" style="1" customWidth="1"/>
    <col min="4869" max="4869" width="11.875" style="1" customWidth="1"/>
    <col min="4870" max="4870" width="13.875" style="1" customWidth="1"/>
    <col min="4871" max="4871" width="13.75" style="1" customWidth="1"/>
    <col min="4872" max="4872" width="33.75" style="1" customWidth="1"/>
    <col min="4873" max="5119" width="9" style="1"/>
    <col min="5120" max="5120" width="2.625" style="1" customWidth="1"/>
    <col min="5121" max="5121" width="54.875" style="1" customWidth="1"/>
    <col min="5122" max="5122" width="19.375" style="1" customWidth="1"/>
    <col min="5123" max="5123" width="14.875" style="1" customWidth="1"/>
    <col min="5124" max="5124" width="15.875" style="1" customWidth="1"/>
    <col min="5125" max="5125" width="11.875" style="1" customWidth="1"/>
    <col min="5126" max="5126" width="13.875" style="1" customWidth="1"/>
    <col min="5127" max="5127" width="13.75" style="1" customWidth="1"/>
    <col min="5128" max="5128" width="33.75" style="1" customWidth="1"/>
    <col min="5129" max="5375" width="9" style="1"/>
    <col min="5376" max="5376" width="2.625" style="1" customWidth="1"/>
    <col min="5377" max="5377" width="54.875" style="1" customWidth="1"/>
    <col min="5378" max="5378" width="19.375" style="1" customWidth="1"/>
    <col min="5379" max="5379" width="14.875" style="1" customWidth="1"/>
    <col min="5380" max="5380" width="15.875" style="1" customWidth="1"/>
    <col min="5381" max="5381" width="11.875" style="1" customWidth="1"/>
    <col min="5382" max="5382" width="13.875" style="1" customWidth="1"/>
    <col min="5383" max="5383" width="13.75" style="1" customWidth="1"/>
    <col min="5384" max="5384" width="33.75" style="1" customWidth="1"/>
    <col min="5385" max="5631" width="9" style="1"/>
    <col min="5632" max="5632" width="2.625" style="1" customWidth="1"/>
    <col min="5633" max="5633" width="54.875" style="1" customWidth="1"/>
    <col min="5634" max="5634" width="19.375" style="1" customWidth="1"/>
    <col min="5635" max="5635" width="14.875" style="1" customWidth="1"/>
    <col min="5636" max="5636" width="15.875" style="1" customWidth="1"/>
    <col min="5637" max="5637" width="11.875" style="1" customWidth="1"/>
    <col min="5638" max="5638" width="13.875" style="1" customWidth="1"/>
    <col min="5639" max="5639" width="13.75" style="1" customWidth="1"/>
    <col min="5640" max="5640" width="33.75" style="1" customWidth="1"/>
    <col min="5641" max="5887" width="9" style="1"/>
    <col min="5888" max="5888" width="2.625" style="1" customWidth="1"/>
    <col min="5889" max="5889" width="54.875" style="1" customWidth="1"/>
    <col min="5890" max="5890" width="19.375" style="1" customWidth="1"/>
    <col min="5891" max="5891" width="14.875" style="1" customWidth="1"/>
    <col min="5892" max="5892" width="15.875" style="1" customWidth="1"/>
    <col min="5893" max="5893" width="11.875" style="1" customWidth="1"/>
    <col min="5894" max="5894" width="13.875" style="1" customWidth="1"/>
    <col min="5895" max="5895" width="13.75" style="1" customWidth="1"/>
    <col min="5896" max="5896" width="33.75" style="1" customWidth="1"/>
    <col min="5897" max="6143" width="9" style="1"/>
    <col min="6144" max="6144" width="2.625" style="1" customWidth="1"/>
    <col min="6145" max="6145" width="54.875" style="1" customWidth="1"/>
    <col min="6146" max="6146" width="19.375" style="1" customWidth="1"/>
    <col min="6147" max="6147" width="14.875" style="1" customWidth="1"/>
    <col min="6148" max="6148" width="15.875" style="1" customWidth="1"/>
    <col min="6149" max="6149" width="11.875" style="1" customWidth="1"/>
    <col min="6150" max="6150" width="13.875" style="1" customWidth="1"/>
    <col min="6151" max="6151" width="13.75" style="1" customWidth="1"/>
    <col min="6152" max="6152" width="33.75" style="1" customWidth="1"/>
    <col min="6153" max="6399" width="9" style="1"/>
    <col min="6400" max="6400" width="2.625" style="1" customWidth="1"/>
    <col min="6401" max="6401" width="54.875" style="1" customWidth="1"/>
    <col min="6402" max="6402" width="19.375" style="1" customWidth="1"/>
    <col min="6403" max="6403" width="14.875" style="1" customWidth="1"/>
    <col min="6404" max="6404" width="15.875" style="1" customWidth="1"/>
    <col min="6405" max="6405" width="11.875" style="1" customWidth="1"/>
    <col min="6406" max="6406" width="13.875" style="1" customWidth="1"/>
    <col min="6407" max="6407" width="13.75" style="1" customWidth="1"/>
    <col min="6408" max="6408" width="33.75" style="1" customWidth="1"/>
    <col min="6409" max="6655" width="9" style="1"/>
    <col min="6656" max="6656" width="2.625" style="1" customWidth="1"/>
    <col min="6657" max="6657" width="54.875" style="1" customWidth="1"/>
    <col min="6658" max="6658" width="19.375" style="1" customWidth="1"/>
    <col min="6659" max="6659" width="14.875" style="1" customWidth="1"/>
    <col min="6660" max="6660" width="15.875" style="1" customWidth="1"/>
    <col min="6661" max="6661" width="11.875" style="1" customWidth="1"/>
    <col min="6662" max="6662" width="13.875" style="1" customWidth="1"/>
    <col min="6663" max="6663" width="13.75" style="1" customWidth="1"/>
    <col min="6664" max="6664" width="33.75" style="1" customWidth="1"/>
    <col min="6665" max="6911" width="9" style="1"/>
    <col min="6912" max="6912" width="2.625" style="1" customWidth="1"/>
    <col min="6913" max="6913" width="54.875" style="1" customWidth="1"/>
    <col min="6914" max="6914" width="19.375" style="1" customWidth="1"/>
    <col min="6915" max="6915" width="14.875" style="1" customWidth="1"/>
    <col min="6916" max="6916" width="15.875" style="1" customWidth="1"/>
    <col min="6917" max="6917" width="11.875" style="1" customWidth="1"/>
    <col min="6918" max="6918" width="13.875" style="1" customWidth="1"/>
    <col min="6919" max="6919" width="13.75" style="1" customWidth="1"/>
    <col min="6920" max="6920" width="33.75" style="1" customWidth="1"/>
    <col min="6921" max="7167" width="9" style="1"/>
    <col min="7168" max="7168" width="2.625" style="1" customWidth="1"/>
    <col min="7169" max="7169" width="54.875" style="1" customWidth="1"/>
    <col min="7170" max="7170" width="19.375" style="1" customWidth="1"/>
    <col min="7171" max="7171" width="14.875" style="1" customWidth="1"/>
    <col min="7172" max="7172" width="15.875" style="1" customWidth="1"/>
    <col min="7173" max="7173" width="11.875" style="1" customWidth="1"/>
    <col min="7174" max="7174" width="13.875" style="1" customWidth="1"/>
    <col min="7175" max="7175" width="13.75" style="1" customWidth="1"/>
    <col min="7176" max="7176" width="33.75" style="1" customWidth="1"/>
    <col min="7177" max="7423" width="9" style="1"/>
    <col min="7424" max="7424" width="2.625" style="1" customWidth="1"/>
    <col min="7425" max="7425" width="54.875" style="1" customWidth="1"/>
    <col min="7426" max="7426" width="19.375" style="1" customWidth="1"/>
    <col min="7427" max="7427" width="14.875" style="1" customWidth="1"/>
    <col min="7428" max="7428" width="15.875" style="1" customWidth="1"/>
    <col min="7429" max="7429" width="11.875" style="1" customWidth="1"/>
    <col min="7430" max="7430" width="13.875" style="1" customWidth="1"/>
    <col min="7431" max="7431" width="13.75" style="1" customWidth="1"/>
    <col min="7432" max="7432" width="33.75" style="1" customWidth="1"/>
    <col min="7433" max="7679" width="9" style="1"/>
    <col min="7680" max="7680" width="2.625" style="1" customWidth="1"/>
    <col min="7681" max="7681" width="54.875" style="1" customWidth="1"/>
    <col min="7682" max="7682" width="19.375" style="1" customWidth="1"/>
    <col min="7683" max="7683" width="14.875" style="1" customWidth="1"/>
    <col min="7684" max="7684" width="15.875" style="1" customWidth="1"/>
    <col min="7685" max="7685" width="11.875" style="1" customWidth="1"/>
    <col min="7686" max="7686" width="13.875" style="1" customWidth="1"/>
    <col min="7687" max="7687" width="13.75" style="1" customWidth="1"/>
    <col min="7688" max="7688" width="33.75" style="1" customWidth="1"/>
    <col min="7689" max="7935" width="9" style="1"/>
    <col min="7936" max="7936" width="2.625" style="1" customWidth="1"/>
    <col min="7937" max="7937" width="54.875" style="1" customWidth="1"/>
    <col min="7938" max="7938" width="19.375" style="1" customWidth="1"/>
    <col min="7939" max="7939" width="14.875" style="1" customWidth="1"/>
    <col min="7940" max="7940" width="15.875" style="1" customWidth="1"/>
    <col min="7941" max="7941" width="11.875" style="1" customWidth="1"/>
    <col min="7942" max="7942" width="13.875" style="1" customWidth="1"/>
    <col min="7943" max="7943" width="13.75" style="1" customWidth="1"/>
    <col min="7944" max="7944" width="33.75" style="1" customWidth="1"/>
    <col min="7945" max="8191" width="9" style="1"/>
    <col min="8192" max="8192" width="2.625" style="1" customWidth="1"/>
    <col min="8193" max="8193" width="54.875" style="1" customWidth="1"/>
    <col min="8194" max="8194" width="19.375" style="1" customWidth="1"/>
    <col min="8195" max="8195" width="14.875" style="1" customWidth="1"/>
    <col min="8196" max="8196" width="15.875" style="1" customWidth="1"/>
    <col min="8197" max="8197" width="11.875" style="1" customWidth="1"/>
    <col min="8198" max="8198" width="13.875" style="1" customWidth="1"/>
    <col min="8199" max="8199" width="13.75" style="1" customWidth="1"/>
    <col min="8200" max="8200" width="33.75" style="1" customWidth="1"/>
    <col min="8201" max="8447" width="9" style="1"/>
    <col min="8448" max="8448" width="2.625" style="1" customWidth="1"/>
    <col min="8449" max="8449" width="54.875" style="1" customWidth="1"/>
    <col min="8450" max="8450" width="19.375" style="1" customWidth="1"/>
    <col min="8451" max="8451" width="14.875" style="1" customWidth="1"/>
    <col min="8452" max="8452" width="15.875" style="1" customWidth="1"/>
    <col min="8453" max="8453" width="11.875" style="1" customWidth="1"/>
    <col min="8454" max="8454" width="13.875" style="1" customWidth="1"/>
    <col min="8455" max="8455" width="13.75" style="1" customWidth="1"/>
    <col min="8456" max="8456" width="33.75" style="1" customWidth="1"/>
    <col min="8457" max="8703" width="9" style="1"/>
    <col min="8704" max="8704" width="2.625" style="1" customWidth="1"/>
    <col min="8705" max="8705" width="54.875" style="1" customWidth="1"/>
    <col min="8706" max="8706" width="19.375" style="1" customWidth="1"/>
    <col min="8707" max="8707" width="14.875" style="1" customWidth="1"/>
    <col min="8708" max="8708" width="15.875" style="1" customWidth="1"/>
    <col min="8709" max="8709" width="11.875" style="1" customWidth="1"/>
    <col min="8710" max="8710" width="13.875" style="1" customWidth="1"/>
    <col min="8711" max="8711" width="13.75" style="1" customWidth="1"/>
    <col min="8712" max="8712" width="33.75" style="1" customWidth="1"/>
    <col min="8713" max="8959" width="9" style="1"/>
    <col min="8960" max="8960" width="2.625" style="1" customWidth="1"/>
    <col min="8961" max="8961" width="54.875" style="1" customWidth="1"/>
    <col min="8962" max="8962" width="19.375" style="1" customWidth="1"/>
    <col min="8963" max="8963" width="14.875" style="1" customWidth="1"/>
    <col min="8964" max="8964" width="15.875" style="1" customWidth="1"/>
    <col min="8965" max="8965" width="11.875" style="1" customWidth="1"/>
    <col min="8966" max="8966" width="13.875" style="1" customWidth="1"/>
    <col min="8967" max="8967" width="13.75" style="1" customWidth="1"/>
    <col min="8968" max="8968" width="33.75" style="1" customWidth="1"/>
    <col min="8969" max="9215" width="9" style="1"/>
    <col min="9216" max="9216" width="2.625" style="1" customWidth="1"/>
    <col min="9217" max="9217" width="54.875" style="1" customWidth="1"/>
    <col min="9218" max="9218" width="19.375" style="1" customWidth="1"/>
    <col min="9219" max="9219" width="14.875" style="1" customWidth="1"/>
    <col min="9220" max="9220" width="15.875" style="1" customWidth="1"/>
    <col min="9221" max="9221" width="11.875" style="1" customWidth="1"/>
    <col min="9222" max="9222" width="13.875" style="1" customWidth="1"/>
    <col min="9223" max="9223" width="13.75" style="1" customWidth="1"/>
    <col min="9224" max="9224" width="33.75" style="1" customWidth="1"/>
    <col min="9225" max="9471" width="9" style="1"/>
    <col min="9472" max="9472" width="2.625" style="1" customWidth="1"/>
    <col min="9473" max="9473" width="54.875" style="1" customWidth="1"/>
    <col min="9474" max="9474" width="19.375" style="1" customWidth="1"/>
    <col min="9475" max="9475" width="14.875" style="1" customWidth="1"/>
    <col min="9476" max="9476" width="15.875" style="1" customWidth="1"/>
    <col min="9477" max="9477" width="11.875" style="1" customWidth="1"/>
    <col min="9478" max="9478" width="13.875" style="1" customWidth="1"/>
    <col min="9479" max="9479" width="13.75" style="1" customWidth="1"/>
    <col min="9480" max="9480" width="33.75" style="1" customWidth="1"/>
    <col min="9481" max="9727" width="9" style="1"/>
    <col min="9728" max="9728" width="2.625" style="1" customWidth="1"/>
    <col min="9729" max="9729" width="54.875" style="1" customWidth="1"/>
    <col min="9730" max="9730" width="19.375" style="1" customWidth="1"/>
    <col min="9731" max="9731" width="14.875" style="1" customWidth="1"/>
    <col min="9732" max="9732" width="15.875" style="1" customWidth="1"/>
    <col min="9733" max="9733" width="11.875" style="1" customWidth="1"/>
    <col min="9734" max="9734" width="13.875" style="1" customWidth="1"/>
    <col min="9735" max="9735" width="13.75" style="1" customWidth="1"/>
    <col min="9736" max="9736" width="33.75" style="1" customWidth="1"/>
    <col min="9737" max="9983" width="9" style="1"/>
    <col min="9984" max="9984" width="2.625" style="1" customWidth="1"/>
    <col min="9985" max="9985" width="54.875" style="1" customWidth="1"/>
    <col min="9986" max="9986" width="19.375" style="1" customWidth="1"/>
    <col min="9987" max="9987" width="14.875" style="1" customWidth="1"/>
    <col min="9988" max="9988" width="15.875" style="1" customWidth="1"/>
    <col min="9989" max="9989" width="11.875" style="1" customWidth="1"/>
    <col min="9990" max="9990" width="13.875" style="1" customWidth="1"/>
    <col min="9991" max="9991" width="13.75" style="1" customWidth="1"/>
    <col min="9992" max="9992" width="33.75" style="1" customWidth="1"/>
    <col min="9993" max="10239" width="9" style="1"/>
    <col min="10240" max="10240" width="2.625" style="1" customWidth="1"/>
    <col min="10241" max="10241" width="54.875" style="1" customWidth="1"/>
    <col min="10242" max="10242" width="19.375" style="1" customWidth="1"/>
    <col min="10243" max="10243" width="14.875" style="1" customWidth="1"/>
    <col min="10244" max="10244" width="15.875" style="1" customWidth="1"/>
    <col min="10245" max="10245" width="11.875" style="1" customWidth="1"/>
    <col min="10246" max="10246" width="13.875" style="1" customWidth="1"/>
    <col min="10247" max="10247" width="13.75" style="1" customWidth="1"/>
    <col min="10248" max="10248" width="33.75" style="1" customWidth="1"/>
    <col min="10249" max="10495" width="9" style="1"/>
    <col min="10496" max="10496" width="2.625" style="1" customWidth="1"/>
    <col min="10497" max="10497" width="54.875" style="1" customWidth="1"/>
    <col min="10498" max="10498" width="19.375" style="1" customWidth="1"/>
    <col min="10499" max="10499" width="14.875" style="1" customWidth="1"/>
    <col min="10500" max="10500" width="15.875" style="1" customWidth="1"/>
    <col min="10501" max="10501" width="11.875" style="1" customWidth="1"/>
    <col min="10502" max="10502" width="13.875" style="1" customWidth="1"/>
    <col min="10503" max="10503" width="13.75" style="1" customWidth="1"/>
    <col min="10504" max="10504" width="33.75" style="1" customWidth="1"/>
    <col min="10505" max="10751" width="9" style="1"/>
    <col min="10752" max="10752" width="2.625" style="1" customWidth="1"/>
    <col min="10753" max="10753" width="54.875" style="1" customWidth="1"/>
    <col min="10754" max="10754" width="19.375" style="1" customWidth="1"/>
    <col min="10755" max="10755" width="14.875" style="1" customWidth="1"/>
    <col min="10756" max="10756" width="15.875" style="1" customWidth="1"/>
    <col min="10757" max="10757" width="11.875" style="1" customWidth="1"/>
    <col min="10758" max="10758" width="13.875" style="1" customWidth="1"/>
    <col min="10759" max="10759" width="13.75" style="1" customWidth="1"/>
    <col min="10760" max="10760" width="33.75" style="1" customWidth="1"/>
    <col min="10761" max="11007" width="9" style="1"/>
    <col min="11008" max="11008" width="2.625" style="1" customWidth="1"/>
    <col min="11009" max="11009" width="54.875" style="1" customWidth="1"/>
    <col min="11010" max="11010" width="19.375" style="1" customWidth="1"/>
    <col min="11011" max="11011" width="14.875" style="1" customWidth="1"/>
    <col min="11012" max="11012" width="15.875" style="1" customWidth="1"/>
    <col min="11013" max="11013" width="11.875" style="1" customWidth="1"/>
    <col min="11014" max="11014" width="13.875" style="1" customWidth="1"/>
    <col min="11015" max="11015" width="13.75" style="1" customWidth="1"/>
    <col min="11016" max="11016" width="33.75" style="1" customWidth="1"/>
    <col min="11017" max="11263" width="9" style="1"/>
    <col min="11264" max="11264" width="2.625" style="1" customWidth="1"/>
    <col min="11265" max="11265" width="54.875" style="1" customWidth="1"/>
    <col min="11266" max="11266" width="19.375" style="1" customWidth="1"/>
    <col min="11267" max="11267" width="14.875" style="1" customWidth="1"/>
    <col min="11268" max="11268" width="15.875" style="1" customWidth="1"/>
    <col min="11269" max="11269" width="11.875" style="1" customWidth="1"/>
    <col min="11270" max="11270" width="13.875" style="1" customWidth="1"/>
    <col min="11271" max="11271" width="13.75" style="1" customWidth="1"/>
    <col min="11272" max="11272" width="33.75" style="1" customWidth="1"/>
    <col min="11273" max="11519" width="9" style="1"/>
    <col min="11520" max="11520" width="2.625" style="1" customWidth="1"/>
    <col min="11521" max="11521" width="54.875" style="1" customWidth="1"/>
    <col min="11522" max="11522" width="19.375" style="1" customWidth="1"/>
    <col min="11523" max="11523" width="14.875" style="1" customWidth="1"/>
    <col min="11524" max="11524" width="15.875" style="1" customWidth="1"/>
    <col min="11525" max="11525" width="11.875" style="1" customWidth="1"/>
    <col min="11526" max="11526" width="13.875" style="1" customWidth="1"/>
    <col min="11527" max="11527" width="13.75" style="1" customWidth="1"/>
    <col min="11528" max="11528" width="33.75" style="1" customWidth="1"/>
    <col min="11529" max="11775" width="9" style="1"/>
    <col min="11776" max="11776" width="2.625" style="1" customWidth="1"/>
    <col min="11777" max="11777" width="54.875" style="1" customWidth="1"/>
    <col min="11778" max="11778" width="19.375" style="1" customWidth="1"/>
    <col min="11779" max="11779" width="14.875" style="1" customWidth="1"/>
    <col min="11780" max="11780" width="15.875" style="1" customWidth="1"/>
    <col min="11781" max="11781" width="11.875" style="1" customWidth="1"/>
    <col min="11782" max="11782" width="13.875" style="1" customWidth="1"/>
    <col min="11783" max="11783" width="13.75" style="1" customWidth="1"/>
    <col min="11784" max="11784" width="33.75" style="1" customWidth="1"/>
    <col min="11785" max="12031" width="9" style="1"/>
    <col min="12032" max="12032" width="2.625" style="1" customWidth="1"/>
    <col min="12033" max="12033" width="54.875" style="1" customWidth="1"/>
    <col min="12034" max="12034" width="19.375" style="1" customWidth="1"/>
    <col min="12035" max="12035" width="14.875" style="1" customWidth="1"/>
    <col min="12036" max="12036" width="15.875" style="1" customWidth="1"/>
    <col min="12037" max="12037" width="11.875" style="1" customWidth="1"/>
    <col min="12038" max="12038" width="13.875" style="1" customWidth="1"/>
    <col min="12039" max="12039" width="13.75" style="1" customWidth="1"/>
    <col min="12040" max="12040" width="33.75" style="1" customWidth="1"/>
    <col min="12041" max="12287" width="9" style="1"/>
    <col min="12288" max="12288" width="2.625" style="1" customWidth="1"/>
    <col min="12289" max="12289" width="54.875" style="1" customWidth="1"/>
    <col min="12290" max="12290" width="19.375" style="1" customWidth="1"/>
    <col min="12291" max="12291" width="14.875" style="1" customWidth="1"/>
    <col min="12292" max="12292" width="15.875" style="1" customWidth="1"/>
    <col min="12293" max="12293" width="11.875" style="1" customWidth="1"/>
    <col min="12294" max="12294" width="13.875" style="1" customWidth="1"/>
    <col min="12295" max="12295" width="13.75" style="1" customWidth="1"/>
    <col min="12296" max="12296" width="33.75" style="1" customWidth="1"/>
    <col min="12297" max="12543" width="9" style="1"/>
    <col min="12544" max="12544" width="2.625" style="1" customWidth="1"/>
    <col min="12545" max="12545" width="54.875" style="1" customWidth="1"/>
    <col min="12546" max="12546" width="19.375" style="1" customWidth="1"/>
    <col min="12547" max="12547" width="14.875" style="1" customWidth="1"/>
    <col min="12548" max="12548" width="15.875" style="1" customWidth="1"/>
    <col min="12549" max="12549" width="11.875" style="1" customWidth="1"/>
    <col min="12550" max="12550" width="13.875" style="1" customWidth="1"/>
    <col min="12551" max="12551" width="13.75" style="1" customWidth="1"/>
    <col min="12552" max="12552" width="33.75" style="1" customWidth="1"/>
    <col min="12553" max="12799" width="9" style="1"/>
    <col min="12800" max="12800" width="2.625" style="1" customWidth="1"/>
    <col min="12801" max="12801" width="54.875" style="1" customWidth="1"/>
    <col min="12802" max="12802" width="19.375" style="1" customWidth="1"/>
    <col min="12803" max="12803" width="14.875" style="1" customWidth="1"/>
    <col min="12804" max="12804" width="15.875" style="1" customWidth="1"/>
    <col min="12805" max="12805" width="11.875" style="1" customWidth="1"/>
    <col min="12806" max="12806" width="13.875" style="1" customWidth="1"/>
    <col min="12807" max="12807" width="13.75" style="1" customWidth="1"/>
    <col min="12808" max="12808" width="33.75" style="1" customWidth="1"/>
    <col min="12809" max="13055" width="9" style="1"/>
    <col min="13056" max="13056" width="2.625" style="1" customWidth="1"/>
    <col min="13057" max="13057" width="54.875" style="1" customWidth="1"/>
    <col min="13058" max="13058" width="19.375" style="1" customWidth="1"/>
    <col min="13059" max="13059" width="14.875" style="1" customWidth="1"/>
    <col min="13060" max="13060" width="15.875" style="1" customWidth="1"/>
    <col min="13061" max="13061" width="11.875" style="1" customWidth="1"/>
    <col min="13062" max="13062" width="13.875" style="1" customWidth="1"/>
    <col min="13063" max="13063" width="13.75" style="1" customWidth="1"/>
    <col min="13064" max="13064" width="33.75" style="1" customWidth="1"/>
    <col min="13065" max="13311" width="9" style="1"/>
    <col min="13312" max="13312" width="2.625" style="1" customWidth="1"/>
    <col min="13313" max="13313" width="54.875" style="1" customWidth="1"/>
    <col min="13314" max="13314" width="19.375" style="1" customWidth="1"/>
    <col min="13315" max="13315" width="14.875" style="1" customWidth="1"/>
    <col min="13316" max="13316" width="15.875" style="1" customWidth="1"/>
    <col min="13317" max="13317" width="11.875" style="1" customWidth="1"/>
    <col min="13318" max="13318" width="13.875" style="1" customWidth="1"/>
    <col min="13319" max="13319" width="13.75" style="1" customWidth="1"/>
    <col min="13320" max="13320" width="33.75" style="1" customWidth="1"/>
    <col min="13321" max="13567" width="9" style="1"/>
    <col min="13568" max="13568" width="2.625" style="1" customWidth="1"/>
    <col min="13569" max="13569" width="54.875" style="1" customWidth="1"/>
    <col min="13570" max="13570" width="19.375" style="1" customWidth="1"/>
    <col min="13571" max="13571" width="14.875" style="1" customWidth="1"/>
    <col min="13572" max="13572" width="15.875" style="1" customWidth="1"/>
    <col min="13573" max="13573" width="11.875" style="1" customWidth="1"/>
    <col min="13574" max="13574" width="13.875" style="1" customWidth="1"/>
    <col min="13575" max="13575" width="13.75" style="1" customWidth="1"/>
    <col min="13576" max="13576" width="33.75" style="1" customWidth="1"/>
    <col min="13577" max="13823" width="9" style="1"/>
    <col min="13824" max="13824" width="2.625" style="1" customWidth="1"/>
    <col min="13825" max="13825" width="54.875" style="1" customWidth="1"/>
    <col min="13826" max="13826" width="19.375" style="1" customWidth="1"/>
    <col min="13827" max="13827" width="14.875" style="1" customWidth="1"/>
    <col min="13828" max="13828" width="15.875" style="1" customWidth="1"/>
    <col min="13829" max="13829" width="11.875" style="1" customWidth="1"/>
    <col min="13830" max="13830" width="13.875" style="1" customWidth="1"/>
    <col min="13831" max="13831" width="13.75" style="1" customWidth="1"/>
    <col min="13832" max="13832" width="33.75" style="1" customWidth="1"/>
    <col min="13833" max="14079" width="9" style="1"/>
    <col min="14080" max="14080" width="2.625" style="1" customWidth="1"/>
    <col min="14081" max="14081" width="54.875" style="1" customWidth="1"/>
    <col min="14082" max="14082" width="19.375" style="1" customWidth="1"/>
    <col min="14083" max="14083" width="14.875" style="1" customWidth="1"/>
    <col min="14084" max="14084" width="15.875" style="1" customWidth="1"/>
    <col min="14085" max="14085" width="11.875" style="1" customWidth="1"/>
    <col min="14086" max="14086" width="13.875" style="1" customWidth="1"/>
    <col min="14087" max="14087" width="13.75" style="1" customWidth="1"/>
    <col min="14088" max="14088" width="33.75" style="1" customWidth="1"/>
    <col min="14089" max="14335" width="9" style="1"/>
    <col min="14336" max="14336" width="2.625" style="1" customWidth="1"/>
    <col min="14337" max="14337" width="54.875" style="1" customWidth="1"/>
    <col min="14338" max="14338" width="19.375" style="1" customWidth="1"/>
    <col min="14339" max="14339" width="14.875" style="1" customWidth="1"/>
    <col min="14340" max="14340" width="15.875" style="1" customWidth="1"/>
    <col min="14341" max="14341" width="11.875" style="1" customWidth="1"/>
    <col min="14342" max="14342" width="13.875" style="1" customWidth="1"/>
    <col min="14343" max="14343" width="13.75" style="1" customWidth="1"/>
    <col min="14344" max="14344" width="33.75" style="1" customWidth="1"/>
    <col min="14345" max="14591" width="9" style="1"/>
    <col min="14592" max="14592" width="2.625" style="1" customWidth="1"/>
    <col min="14593" max="14593" width="54.875" style="1" customWidth="1"/>
    <col min="14594" max="14594" width="19.375" style="1" customWidth="1"/>
    <col min="14595" max="14595" width="14.875" style="1" customWidth="1"/>
    <col min="14596" max="14596" width="15.875" style="1" customWidth="1"/>
    <col min="14597" max="14597" width="11.875" style="1" customWidth="1"/>
    <col min="14598" max="14598" width="13.875" style="1" customWidth="1"/>
    <col min="14599" max="14599" width="13.75" style="1" customWidth="1"/>
    <col min="14600" max="14600" width="33.75" style="1" customWidth="1"/>
    <col min="14601" max="14847" width="9" style="1"/>
    <col min="14848" max="14848" width="2.625" style="1" customWidth="1"/>
    <col min="14849" max="14849" width="54.875" style="1" customWidth="1"/>
    <col min="14850" max="14850" width="19.375" style="1" customWidth="1"/>
    <col min="14851" max="14851" width="14.875" style="1" customWidth="1"/>
    <col min="14852" max="14852" width="15.875" style="1" customWidth="1"/>
    <col min="14853" max="14853" width="11.875" style="1" customWidth="1"/>
    <col min="14854" max="14854" width="13.875" style="1" customWidth="1"/>
    <col min="14855" max="14855" width="13.75" style="1" customWidth="1"/>
    <col min="14856" max="14856" width="33.75" style="1" customWidth="1"/>
    <col min="14857" max="15103" width="9" style="1"/>
    <col min="15104" max="15104" width="2.625" style="1" customWidth="1"/>
    <col min="15105" max="15105" width="54.875" style="1" customWidth="1"/>
    <col min="15106" max="15106" width="19.375" style="1" customWidth="1"/>
    <col min="15107" max="15107" width="14.875" style="1" customWidth="1"/>
    <col min="15108" max="15108" width="15.875" style="1" customWidth="1"/>
    <col min="15109" max="15109" width="11.875" style="1" customWidth="1"/>
    <col min="15110" max="15110" width="13.875" style="1" customWidth="1"/>
    <col min="15111" max="15111" width="13.75" style="1" customWidth="1"/>
    <col min="15112" max="15112" width="33.75" style="1" customWidth="1"/>
    <col min="15113" max="15359" width="9" style="1"/>
    <col min="15360" max="15360" width="2.625" style="1" customWidth="1"/>
    <col min="15361" max="15361" width="54.875" style="1" customWidth="1"/>
    <col min="15362" max="15362" width="19.375" style="1" customWidth="1"/>
    <col min="15363" max="15363" width="14.875" style="1" customWidth="1"/>
    <col min="15364" max="15364" width="15.875" style="1" customWidth="1"/>
    <col min="15365" max="15365" width="11.875" style="1" customWidth="1"/>
    <col min="15366" max="15366" width="13.875" style="1" customWidth="1"/>
    <col min="15367" max="15367" width="13.75" style="1" customWidth="1"/>
    <col min="15368" max="15368" width="33.75" style="1" customWidth="1"/>
    <col min="15369" max="15615" width="9" style="1"/>
    <col min="15616" max="15616" width="2.625" style="1" customWidth="1"/>
    <col min="15617" max="15617" width="54.875" style="1" customWidth="1"/>
    <col min="15618" max="15618" width="19.375" style="1" customWidth="1"/>
    <col min="15619" max="15619" width="14.875" style="1" customWidth="1"/>
    <col min="15620" max="15620" width="15.875" style="1" customWidth="1"/>
    <col min="15621" max="15621" width="11.875" style="1" customWidth="1"/>
    <col min="15622" max="15622" width="13.875" style="1" customWidth="1"/>
    <col min="15623" max="15623" width="13.75" style="1" customWidth="1"/>
    <col min="15624" max="15624" width="33.75" style="1" customWidth="1"/>
    <col min="15625" max="15871" width="9" style="1"/>
    <col min="15872" max="15872" width="2.625" style="1" customWidth="1"/>
    <col min="15873" max="15873" width="54.875" style="1" customWidth="1"/>
    <col min="15874" max="15874" width="19.375" style="1" customWidth="1"/>
    <col min="15875" max="15875" width="14.875" style="1" customWidth="1"/>
    <col min="15876" max="15876" width="15.875" style="1" customWidth="1"/>
    <col min="15877" max="15877" width="11.875" style="1" customWidth="1"/>
    <col min="15878" max="15878" width="13.875" style="1" customWidth="1"/>
    <col min="15879" max="15879" width="13.75" style="1" customWidth="1"/>
    <col min="15880" max="15880" width="33.75" style="1" customWidth="1"/>
    <col min="15881" max="16127" width="9" style="1"/>
    <col min="16128" max="16128" width="2.625" style="1" customWidth="1"/>
    <col min="16129" max="16129" width="54.875" style="1" customWidth="1"/>
    <col min="16130" max="16130" width="19.375" style="1" customWidth="1"/>
    <col min="16131" max="16131" width="14.875" style="1" customWidth="1"/>
    <col min="16132" max="16132" width="15.875" style="1" customWidth="1"/>
    <col min="16133" max="16133" width="11.875" style="1" customWidth="1"/>
    <col min="16134" max="16134" width="13.875" style="1" customWidth="1"/>
    <col min="16135" max="16135" width="13.75" style="1" customWidth="1"/>
    <col min="16136" max="16136" width="33.75" style="1" customWidth="1"/>
    <col min="16137" max="16384" width="9" style="1"/>
  </cols>
  <sheetData>
    <row r="1" spans="1:11" s="8" customFormat="1" ht="27.75" customHeight="1" thickBot="1" x14ac:dyDescent="0.25">
      <c r="B1" s="49" t="s">
        <v>12</v>
      </c>
      <c r="C1" s="49"/>
      <c r="D1" s="49"/>
      <c r="E1" s="49"/>
      <c r="F1" s="49"/>
      <c r="G1" s="49"/>
      <c r="H1" s="49"/>
    </row>
    <row r="2" spans="1:11" s="2" customFormat="1" ht="31.5" customHeight="1" thickBot="1" x14ac:dyDescent="0.25">
      <c r="B2" s="19" t="s">
        <v>0</v>
      </c>
      <c r="C2" s="17" t="s">
        <v>39</v>
      </c>
      <c r="D2" s="18" t="s">
        <v>38</v>
      </c>
      <c r="E2" s="18" t="s">
        <v>1</v>
      </c>
      <c r="F2" s="50" t="s">
        <v>2</v>
      </c>
      <c r="G2" s="51"/>
      <c r="H2" s="19" t="s">
        <v>3</v>
      </c>
    </row>
    <row r="3" spans="1:11" ht="15.75" thickBot="1" x14ac:dyDescent="0.3">
      <c r="B3" s="36" t="s">
        <v>4</v>
      </c>
      <c r="C3" s="53"/>
      <c r="D3" s="54"/>
      <c r="E3" s="31"/>
      <c r="F3" s="37" t="s">
        <v>5</v>
      </c>
      <c r="G3" s="38" t="s">
        <v>6</v>
      </c>
      <c r="H3" s="30"/>
      <c r="K3" s="3"/>
    </row>
    <row r="4" spans="1:11" s="3" customFormat="1" ht="15" x14ac:dyDescent="0.25">
      <c r="B4" s="27" t="s">
        <v>42</v>
      </c>
      <c r="C4" s="35"/>
      <c r="D4" s="41">
        <v>0</v>
      </c>
      <c r="E4" s="32" t="s">
        <v>7</v>
      </c>
      <c r="F4" s="28">
        <v>0</v>
      </c>
      <c r="G4" s="39">
        <f>+D4+6%</f>
        <v>0.06</v>
      </c>
      <c r="H4" s="29"/>
    </row>
    <row r="5" spans="1:11" s="3" customFormat="1" ht="15" x14ac:dyDescent="0.25">
      <c r="B5" s="10" t="s">
        <v>43</v>
      </c>
      <c r="C5" s="14"/>
      <c r="D5" s="42">
        <v>0.98</v>
      </c>
      <c r="E5" s="33" t="s">
        <v>8</v>
      </c>
      <c r="F5" s="5">
        <f>+D5-5%</f>
        <v>0.92999999999999994</v>
      </c>
      <c r="G5" s="25">
        <f>+D5+5%</f>
        <v>1.03</v>
      </c>
      <c r="H5" s="22" t="s">
        <v>11</v>
      </c>
    </row>
    <row r="6" spans="1:11" s="3" customFormat="1" ht="15" x14ac:dyDescent="0.25">
      <c r="B6" s="10" t="s">
        <v>44</v>
      </c>
      <c r="C6" s="14"/>
      <c r="D6" s="42">
        <v>0</v>
      </c>
      <c r="E6" s="33" t="s">
        <v>7</v>
      </c>
      <c r="F6" s="5">
        <v>0</v>
      </c>
      <c r="G6" s="25">
        <f>+D6+6%</f>
        <v>0.06</v>
      </c>
      <c r="H6" s="21"/>
    </row>
    <row r="7" spans="1:11" s="3" customFormat="1" ht="15" x14ac:dyDescent="0.25">
      <c r="B7" s="10" t="s">
        <v>45</v>
      </c>
      <c r="C7" s="15"/>
      <c r="D7" s="43">
        <v>0.02</v>
      </c>
      <c r="E7" s="20" t="s">
        <v>8</v>
      </c>
      <c r="F7" s="6">
        <v>0</v>
      </c>
      <c r="G7" s="12">
        <f t="shared" ref="G7" si="0">+D7+5%</f>
        <v>7.0000000000000007E-2</v>
      </c>
      <c r="H7" s="23"/>
    </row>
    <row r="8" spans="1:11" ht="15" x14ac:dyDescent="0.25">
      <c r="A8" s="3"/>
      <c r="B8" s="10" t="s">
        <v>9</v>
      </c>
      <c r="C8" s="15"/>
      <c r="D8" s="43">
        <f>SUM(D4:D7)</f>
        <v>1</v>
      </c>
      <c r="E8" s="20"/>
      <c r="F8" s="6"/>
      <c r="G8" s="12"/>
      <c r="H8" s="23"/>
    </row>
    <row r="9" spans="1:11" ht="15.75" thickBot="1" x14ac:dyDescent="0.3">
      <c r="A9" s="3"/>
      <c r="B9" s="11" t="s">
        <v>10</v>
      </c>
      <c r="C9" s="16"/>
      <c r="D9" s="44">
        <v>0</v>
      </c>
      <c r="E9" s="34" t="s">
        <v>7</v>
      </c>
      <c r="F9" s="7">
        <v>0</v>
      </c>
      <c r="G9" s="40">
        <f>+D9+6%</f>
        <v>0.06</v>
      </c>
      <c r="H9" s="24"/>
    </row>
    <row r="10" spans="1:11" ht="15.75" x14ac:dyDescent="0.2">
      <c r="A10" s="4"/>
      <c r="B10" s="52" t="s">
        <v>53</v>
      </c>
      <c r="C10" s="52"/>
      <c r="D10" s="52"/>
      <c r="E10" s="52"/>
      <c r="F10" s="52"/>
      <c r="G10" s="52"/>
      <c r="H10" s="52"/>
    </row>
    <row r="11" spans="1:11" ht="15" x14ac:dyDescent="0.25">
      <c r="A11" s="4"/>
      <c r="B11" s="26" t="s">
        <v>36</v>
      </c>
      <c r="C11" s="26"/>
      <c r="D11" s="26"/>
      <c r="E11" s="26"/>
      <c r="F11" s="26"/>
      <c r="G11" s="26"/>
      <c r="H11" s="26"/>
    </row>
    <row r="12" spans="1:11" s="9" customFormat="1" ht="15" x14ac:dyDescent="0.25">
      <c r="A12" s="4"/>
      <c r="B12" s="26" t="s">
        <v>41</v>
      </c>
      <c r="C12" s="26"/>
      <c r="D12" s="26"/>
      <c r="E12" s="26"/>
      <c r="F12" s="26"/>
      <c r="G12" s="26"/>
      <c r="H12" s="26"/>
    </row>
  </sheetData>
  <sheetProtection algorithmName="SHA-512" hashValue="UEy1ohfk7w9m3J24Cgw7NBAkV6Bryp+NxoeK76qR5CJwYxkA/gJW6kNmcUcgjYYmOQEeDuB4xlRWVD4TJ4NgCg==" saltValue="rsEOFmnfI6gBtPWiy5b4LA==" spinCount="100000" sheet="1" objects="1" scenarios="1"/>
  <mergeCells count="4">
    <mergeCell ref="B1:H1"/>
    <mergeCell ref="F2:G2"/>
    <mergeCell ref="B10:H10"/>
    <mergeCell ref="C3:D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E3C5C6BC363478679EC8EBD2CC28A" ma:contentTypeVersion="4" ma:contentTypeDescription="Create a new document." ma:contentTypeScope="" ma:versionID="abe5394867e33f26e2b5a0129a1586ad">
  <xsd:schema xmlns:xsd="http://www.w3.org/2001/XMLSchema" xmlns:xs="http://www.w3.org/2001/XMLSchema" xmlns:p="http://schemas.microsoft.com/office/2006/metadata/properties" xmlns:ns3="0b49047d-08d2-4e53-94cc-e27990adf041" targetNamespace="http://schemas.microsoft.com/office/2006/metadata/properties" ma:root="true" ma:fieldsID="c68431f608b53cff20603cee24ba4d91" ns3:_="">
    <xsd:import namespace="0b49047d-08d2-4e53-94cc-e27990adf0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9047d-08d2-4e53-94cc-e27990adf0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DC6240-0F6F-4DAE-B057-BF07032C5BA4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0b49047d-08d2-4e53-94cc-e27990adf041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52F8875-28C1-445E-879C-70F7F245C1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49047d-08d2-4e53-94cc-e27990adf0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5B1984-38D9-4701-B481-1B727B8124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14</vt:i4>
      </vt:variant>
    </vt:vector>
  </HeadingPairs>
  <TitlesOfParts>
    <vt:vector size="14" baseType="lpstr">
      <vt:lpstr>מניות</vt:lpstr>
      <vt:lpstr>לבני 50 ומטה</vt:lpstr>
      <vt:lpstr>לבני 50 עד 60</vt:lpstr>
      <vt:lpstr>לבני 60 ומעלה</vt:lpstr>
      <vt:lpstr>הלכה</vt:lpstr>
      <vt:lpstr>עוקב מדדי מניות</vt:lpstr>
      <vt:lpstr>מניות סחיר</vt:lpstr>
      <vt:lpstr>עוקב מדד S&amp;P500</vt:lpstr>
      <vt:lpstr>כספי (שקלי)</vt:lpstr>
      <vt:lpstr>אשראי ואג"ח</vt:lpstr>
      <vt:lpstr>עוקב מדדים גמיש</vt:lpstr>
      <vt:lpstr>משולב סחיר</vt:lpstr>
      <vt:lpstr>עוקב מדדי אג"ח</vt:lpstr>
      <vt:lpstr>אג"ח ממשלתי סחיר</vt:lpstr>
    </vt:vector>
  </TitlesOfParts>
  <Company>Ayalon-ins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ליאור מאיר</dc:creator>
  <cp:lastModifiedBy>מירב ברכה-חמו</cp:lastModifiedBy>
  <cp:lastPrinted>2026-05-28T04:24:30Z</cp:lastPrinted>
  <dcterms:created xsi:type="dcterms:W3CDTF">2024-02-20T16:34:33Z</dcterms:created>
  <dcterms:modified xsi:type="dcterms:W3CDTF">2026-10-04T06:47:29Z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0x01010086DE3C5C6BC363478679EC8EBD2CC28A</vt:lpwstr>
  </property>
</Properties>
</file>