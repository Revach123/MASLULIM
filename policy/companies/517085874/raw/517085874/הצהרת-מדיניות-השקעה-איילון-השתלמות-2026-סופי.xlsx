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U:\bh\MATE BH\~~אישור תכניות באוצר~~\קופת גמל 2023\מסלולי השקעה - תשואות ומדיניות השקעה\מדיניות השקעה\קרן השתלמות\2026\"/>
    </mc:Choice>
  </mc:AlternateContent>
  <xr:revisionPtr revIDLastSave="0" documentId="13_ncr:1_{84053A2C-2194-4558-8C1C-89D409493159}" xr6:coauthVersionLast="36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כללי" sheetId="4" r:id="rId1"/>
    <sheet name="מניות" sheetId="15" r:id="rId2"/>
    <sheet name="הלכה" sheetId="11" r:id="rId3"/>
    <sheet name="עוקב מדדי מניות" sheetId="16" r:id="rId4"/>
    <sheet name="מניות סחיר" sheetId="13" r:id="rId5"/>
    <sheet name="עוקב מדד S&amp;P500" sheetId="14" r:id="rId6"/>
    <sheet name="כספי (שקלי)" sheetId="17" r:id="rId7"/>
    <sheet name="אשראי ואג&quot;ח" sheetId="18" r:id="rId8"/>
    <sheet name="אשראי ואג&quot;ח עד 25% מניות" sheetId="19" r:id="rId9"/>
    <sheet name="עוקב מדדים גמיש" sheetId="20" r:id="rId10"/>
    <sheet name="משולב סחיר" sheetId="21" r:id="rId11"/>
    <sheet name="עוקב מדדי אג&quot;ח" sheetId="2" r:id="rId12"/>
    <sheet name="אג&quot;ח ממשלתי סחיר" sheetId="3" r:id="rId13"/>
  </sheets>
  <definedNames>
    <definedName name="_xlnm.Print_Area" localSheetId="12">'אג"ח ממשלתי סחיר'!$A$1:$I$12</definedName>
    <definedName name="_xlnm.Print_Area" localSheetId="11">'עוקב מדדי אג"ח'!$A$1:$H$14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3" l="1"/>
  <c r="D8" i="2"/>
  <c r="D8" i="21"/>
  <c r="D8" i="20"/>
  <c r="D8" i="19"/>
  <c r="D8" i="18"/>
  <c r="D8" i="17"/>
  <c r="D8" i="14"/>
  <c r="D8" i="13"/>
  <c r="D8" i="16"/>
  <c r="D8" i="11"/>
  <c r="D8" i="15"/>
  <c r="D8" i="4"/>
  <c r="G7" i="3" l="1"/>
  <c r="G7" i="2"/>
  <c r="G7" i="20"/>
  <c r="G4" i="18"/>
  <c r="G7" i="17"/>
  <c r="G7" i="16"/>
  <c r="G7" i="15"/>
  <c r="G7" i="14"/>
  <c r="G9" i="11"/>
  <c r="F9" i="11"/>
  <c r="G7" i="11"/>
  <c r="G6" i="11"/>
  <c r="F6" i="11"/>
  <c r="G5" i="11"/>
  <c r="F5" i="11"/>
  <c r="G4" i="11"/>
  <c r="F4" i="11"/>
  <c r="F4" i="4"/>
  <c r="F5" i="4"/>
  <c r="F6" i="4"/>
  <c r="F9" i="4"/>
  <c r="G9" i="16" l="1"/>
  <c r="F9" i="16"/>
  <c r="G9" i="3" l="1"/>
  <c r="G5" i="3"/>
  <c r="F5" i="3"/>
  <c r="G6" i="3"/>
  <c r="G4" i="3"/>
  <c r="G9" i="2"/>
  <c r="F6" i="2"/>
  <c r="G5" i="2"/>
  <c r="G4" i="2"/>
  <c r="G9" i="21"/>
  <c r="F9" i="21"/>
  <c r="G7" i="21"/>
  <c r="G6" i="21"/>
  <c r="F6" i="21"/>
  <c r="G5" i="21"/>
  <c r="F5" i="21"/>
  <c r="G4" i="21"/>
  <c r="F4" i="21"/>
  <c r="G9" i="20"/>
  <c r="F4" i="20"/>
  <c r="G9" i="19"/>
  <c r="G7" i="19"/>
  <c r="G6" i="19"/>
  <c r="F6" i="19"/>
  <c r="G5" i="19"/>
  <c r="F5" i="19"/>
  <c r="G7" i="18"/>
  <c r="G9" i="18"/>
  <c r="G6" i="18"/>
  <c r="F6" i="18"/>
  <c r="G5" i="18"/>
  <c r="F5" i="18"/>
  <c r="G6" i="17"/>
  <c r="F6" i="17"/>
  <c r="G5" i="17"/>
  <c r="F5" i="17"/>
  <c r="G4" i="17"/>
  <c r="G9" i="15"/>
  <c r="F9" i="15"/>
  <c r="G9" i="14"/>
  <c r="F9" i="14"/>
  <c r="G9" i="13"/>
  <c r="G7" i="13"/>
  <c r="F4" i="16"/>
  <c r="G6" i="15"/>
  <c r="G5" i="15"/>
  <c r="G4" i="15"/>
  <c r="F4" i="15"/>
  <c r="F4" i="14"/>
  <c r="G6" i="13"/>
  <c r="G5" i="13"/>
  <c r="G4" i="13"/>
  <c r="F4" i="13"/>
  <c r="G9" i="4" l="1"/>
  <c r="G7" i="4"/>
  <c r="G6" i="4" l="1"/>
  <c r="G5" i="4"/>
  <c r="G4" i="4"/>
</calcChain>
</file>

<file path=xl/sharedStrings.xml><?xml version="1.0" encoding="utf-8"?>
<sst xmlns="http://schemas.openxmlformats.org/spreadsheetml/2006/main" count="338" uniqueCount="60">
  <si>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</si>
  <si>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</si>
  <si>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</si>
  <si>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</si>
  <si>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</si>
  <si>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</si>
  <si>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</si>
  <si>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 +/-6%</t>
  </si>
  <si>
    <t xml:space="preserve"> +/-5%</t>
  </si>
  <si>
    <t>סה"כ</t>
  </si>
  <si>
    <t>חשיפה למטח</t>
  </si>
  <si>
    <t>אג"ח ממשלתי כללי</t>
  </si>
  <si>
    <t>אג"ח ממשלתי סחיר</t>
  </si>
  <si>
    <t>תל בונד 60 50% 
תל בונד שקלי 50 50%</t>
  </si>
  <si>
    <t>איילון מסלול כללי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</si>
  <si>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</si>
  <si>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</si>
  <si>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הלכה</t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</si>
  <si>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</si>
  <si>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</si>
  <si>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</si>
  <si>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</si>
  <si>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</si>
  <si>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</si>
  <si>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</si>
  <si>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</si>
  <si>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</si>
  <si>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</si>
  <si>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</si>
  <si>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</si>
  <si>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</si>
  <si>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</si>
  <si>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</si>
  <si>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</si>
  <si>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</si>
  <si>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50% MSCI AC 50%TA-125</t>
  </si>
  <si>
    <t>שיעור חשיפה צפוי לשנת 2026</t>
  </si>
  <si>
    <t>שיעור החשיפה ליום 31/12/2025</t>
  </si>
  <si>
    <r>
      <t>איילון מסלול אשראי ואג"ח עם מניות (עד 25% מניות)</t>
    </r>
    <r>
      <rPr>
        <b/>
        <u/>
        <sz val="12"/>
        <color rgb="FF470129"/>
        <rFont val="Arial"/>
        <family val="2"/>
        <scheme val="minor"/>
      </rPr>
      <t xml:space="preserve"> </t>
    </r>
  </si>
  <si>
    <t>מגבלת עמלת ניהול חיצוני לשנת 2026 -  0.03%</t>
  </si>
  <si>
    <t xml:space="preserve">איילון מסלול מניות סחיר </t>
  </si>
  <si>
    <t xml:space="preserve"> מניות (כולל תעודות סל, אופציות, קרנות נאמנות)</t>
  </si>
  <si>
    <t xml:space="preserve"> אגח ממשלתי (כולל אגח ממשלות זרות)</t>
  </si>
  <si>
    <t xml:space="preserve"> אגח קונצרני בארץ ובחו"ל (כולל קרנות נאמנות, תעודות סל)</t>
  </si>
  <si>
    <t>אחר (עו"ש, פר"י, פק"מ)</t>
  </si>
  <si>
    <t xml:space="preserve"> אגח ממשלתי (כולל אגח ממשלות זרות)*</t>
  </si>
  <si>
    <t xml:space="preserve"> מניות (כולל תעודות סל, אופציות, קרנות נאמנות)*</t>
  </si>
  <si>
    <t>מגבלת עמלת ניהול חיצוני לשנת 2026 - 0.23%</t>
  </si>
  <si>
    <t>מגבלת עמלת ניהול חיצוני לשנת 2026 - 0.13%</t>
  </si>
  <si>
    <t>מגבלת עמלת ניהול חיצוני לשנת 2026 - 0.04%</t>
  </si>
  <si>
    <t xml:space="preserve">איילון קופות גמל בע"מ, כמשקיע מוסדי, פועלת בהתאם למדיניות ESG בהשקעות המפורסמת באתר החברה. </t>
  </si>
  <si>
    <t>מגבלת עמלת ניהול חיצוני לשנת 2026 - 0.12%</t>
  </si>
  <si>
    <t>* בנטרול החשיפה הנובעת מהשקעה בנגזרים</t>
  </si>
  <si>
    <t>אחר (עו"ש, פר"י, פק"מ)*</t>
  </si>
  <si>
    <t>מגבלת עמלת ניהול חיצוני לשנת 2026 - 0.17%</t>
  </si>
  <si>
    <t>מגבלת עמלת ניהול חיצוני לשנת 2026 - 0.03%</t>
  </si>
  <si>
    <t>מגבלת עמלת ניהול חיצוני לשנת 2026 - 0.00%</t>
  </si>
  <si>
    <t>* גבול מקסימלי של שיעור החשיפה הצפויה בהתאם למדיניות ההשקעה התקנונית</t>
  </si>
  <si>
    <t>מגבלת עמלת ניהול חיצוני לשנת 2026 - 0.05%</t>
  </si>
  <si>
    <t>מגבלת עמלת ניהול חיצוני לשנת 2026 - 0.10%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</si>
</sst>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19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b/>
      <u/>
      <sz val="12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44" fontId="14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5" fillId="0" borderId="12" xfId="4" applyFont="1" applyBorder="1" applyAlignment="1">
      <alignment horizontal="right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4" fillId="2" borderId="22" xfId="2" applyFont="1" applyFill="1" applyBorder="1" applyAlignment="1">
      <alignment horizontal="right"/>
    </xf>
    <xf numFmtId="164" fontId="5" fillId="2" borderId="23" xfId="2" applyNumberFormat="1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/>
    </xf>
    <xf numFmtId="164" fontId="5" fillId="2" borderId="31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3" xfId="2" applyNumberFormat="1" applyFont="1" applyFill="1" applyBorder="1" applyAlignment="1">
      <alignment horizontal="center" vertical="center"/>
    </xf>
    <xf numFmtId="0" fontId="5" fillId="2" borderId="26" xfId="1" applyFont="1" applyFill="1" applyBorder="1"/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9" fontId="5" fillId="4" borderId="24" xfId="2" applyNumberFormat="1" applyFont="1" applyFill="1" applyBorder="1" applyAlignment="1">
      <alignment horizontal="center" vertical="center"/>
    </xf>
    <xf numFmtId="9" fontId="5" fillId="4" borderId="9" xfId="2" applyNumberFormat="1" applyFont="1" applyFill="1" applyBorder="1" applyAlignment="1">
      <alignment horizontal="center" vertical="center"/>
    </xf>
    <xf numFmtId="9" fontId="3" fillId="4" borderId="9" xfId="2" applyNumberFormat="1" applyFont="1" applyFill="1" applyBorder="1" applyAlignment="1">
      <alignment horizontal="center" vertical="center"/>
    </xf>
    <xf numFmtId="9" fontId="3" fillId="4" borderId="11" xfId="2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5" fillId="4" borderId="32" xfId="5" applyNumberFormat="1" applyFont="1" applyFill="1" applyBorder="1" applyAlignment="1">
      <alignment horizontal="center" vertical="center"/>
    </xf>
    <xf numFmtId="165" fontId="5" fillId="4" borderId="28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  <xf numFmtId="0" fontId="17" fillId="0" borderId="0" xfId="0" applyFont="1" applyAlignment="1">
      <alignment horizontal="right" vertical="top" readingOrder="2"/>
    </xf>
    <xf numFmtId="0" fontId="18" fillId="2" borderId="0" xfId="0" applyFont="1" applyFill="1" applyAlignment="1">
      <alignment horizontal="right" readingOrder="2"/>
    </xf>
    <xf numFmtId="0" fontId="2" fillId="0" borderId="12" xfId="4" applyFont="1" applyBorder="1" applyAlignment="1">
      <alignment horizontal="right" readingOrder="2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rightToLeft="1" tabSelected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14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42</v>
      </c>
      <c r="C5" s="14"/>
      <c r="D5" s="42">
        <v>0.15</v>
      </c>
      <c r="E5" s="33" t="s">
        <v>8</v>
      </c>
      <c r="F5" s="5">
        <f>+D5-5%</f>
        <v>9.9999999999999992E-2</v>
      </c>
      <c r="G5" s="25">
        <f>+D5+5%</f>
        <v>0.2</v>
      </c>
      <c r="H5" s="22" t="s">
        <v>15</v>
      </c>
    </row>
    <row r="6" spans="1:8" s="3" customFormat="1" ht="75" x14ac:dyDescent="0.25">
      <c r="B6" s="10" t="s">
        <v>43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16</v>
      </c>
    </row>
    <row r="7" spans="1:8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1.02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48" t="s">
        <v>47</v>
      </c>
      <c r="C10" s="49"/>
      <c r="D10" s="49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rightToLeft="1" zoomScaleNormal="100" zoomScaleSheetLayoutView="115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21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35</v>
      </c>
    </row>
    <row r="5" spans="1:8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48" t="s">
        <v>48</v>
      </c>
      <c r="C10" s="48"/>
      <c r="D10" s="48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17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35</v>
      </c>
    </row>
    <row r="5" spans="1:8" s="3" customFormat="1" ht="60" x14ac:dyDescent="0.25">
      <c r="B5" s="10" t="s">
        <v>42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15</v>
      </c>
    </row>
    <row r="6" spans="1:8" s="3" customFormat="1" ht="75" x14ac:dyDescent="0.25">
      <c r="B6" s="10" t="s">
        <v>43</v>
      </c>
      <c r="C6" s="14"/>
      <c r="D6" s="42">
        <v>0.32</v>
      </c>
      <c r="E6" s="33" t="s">
        <v>7</v>
      </c>
      <c r="F6" s="5">
        <f>+D6-6%</f>
        <v>0.26</v>
      </c>
      <c r="G6" s="25">
        <f>+D6+6%</f>
        <v>0.38</v>
      </c>
      <c r="H6" s="21" t="s">
        <v>16</v>
      </c>
    </row>
    <row r="7" spans="1:8" s="3" customFormat="1" ht="15" x14ac:dyDescent="0.25">
      <c r="B7" s="10" t="s">
        <v>44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48" t="s">
        <v>49</v>
      </c>
      <c r="C10" s="48"/>
      <c r="D10" s="48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rightToLeft="1" zoomScaleNormal="100" workbookViewId="0">
      <selection activeCell="B8" sqref="B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22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35</v>
      </c>
    </row>
    <row r="5" spans="1:8" s="3" customFormat="1" ht="15" x14ac:dyDescent="0.25">
      <c r="B5" s="10" t="s">
        <v>45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53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48" t="s">
        <v>51</v>
      </c>
      <c r="C10" s="48"/>
      <c r="D10" s="48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4" spans="1:8" x14ac:dyDescent="0.2">
      <c r="B14" s="53" t="s">
        <v>52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rightToLeft="1" zoomScaleNormal="100" zoomScaleSheetLayoutView="130" workbookViewId="0">
      <selection activeCell="B13" sqref="B1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40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18</v>
      </c>
    </row>
    <row r="5" spans="1:8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8" ht="15.75" x14ac:dyDescent="0.2">
      <c r="A10" s="4"/>
      <c r="B10" s="48" t="s">
        <v>54</v>
      </c>
      <c r="C10" s="48"/>
      <c r="D10" s="48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3" spans="1:8" x14ac:dyDescent="0.2">
      <c r="A13" s="4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rightToLeft="1" zoomScaleNormal="100" workbookViewId="0">
      <selection activeCell="B23" sqref="B2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19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0.99</v>
      </c>
      <c r="E4" s="32" t="s">
        <v>7</v>
      </c>
      <c r="F4" s="28">
        <f>+D4-6%</f>
        <v>0.92999999999999994</v>
      </c>
      <c r="G4" s="39">
        <v>1</v>
      </c>
      <c r="H4" s="29" t="s">
        <v>20</v>
      </c>
    </row>
    <row r="5" spans="1:8" s="3" customFormat="1" ht="15" x14ac:dyDescent="0.25">
      <c r="B5" s="10" t="s">
        <v>45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53</v>
      </c>
      <c r="C7" s="15"/>
      <c r="D7" s="43">
        <v>0.01</v>
      </c>
      <c r="E7" s="20" t="s">
        <v>8</v>
      </c>
      <c r="F7" s="6">
        <v>0</v>
      </c>
      <c r="G7" s="12">
        <f t="shared" ref="G7" si="0">+D7+5%</f>
        <v>6.0000000000000005E-2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8" ht="15.75" x14ac:dyDescent="0.2">
      <c r="A10" s="4"/>
      <c r="B10" s="48" t="s">
        <v>55</v>
      </c>
      <c r="C10" s="48"/>
      <c r="D10" s="48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3" spans="1:8" x14ac:dyDescent="0.2">
      <c r="B13" s="13"/>
    </row>
    <row r="14" spans="1:8" x14ac:dyDescent="0.2">
      <c r="B14" s="54" t="s">
        <v>52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rightToLeft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5" t="s">
        <v>23</v>
      </c>
      <c r="C1" s="45"/>
      <c r="D1" s="45"/>
      <c r="E1" s="45"/>
      <c r="F1" s="45"/>
      <c r="G1" s="45"/>
      <c r="H1" s="45"/>
    </row>
    <row r="2" spans="1:8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8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8" s="3" customFormat="1" ht="15" x14ac:dyDescent="0.25">
      <c r="B5" s="10" t="s">
        <v>42</v>
      </c>
      <c r="C5" s="14"/>
      <c r="D5" s="42">
        <v>0.35</v>
      </c>
      <c r="E5" s="33" t="s">
        <v>8</v>
      </c>
      <c r="F5" s="5">
        <f>+D5-5%</f>
        <v>0.3</v>
      </c>
      <c r="G5" s="25">
        <f>+D5+5%</f>
        <v>0.39999999999999997</v>
      </c>
      <c r="H5" s="22" t="s">
        <v>24</v>
      </c>
    </row>
    <row r="6" spans="1:8" s="3" customFormat="1" ht="15" x14ac:dyDescent="0.25">
      <c r="B6" s="10" t="s">
        <v>43</v>
      </c>
      <c r="C6" s="14"/>
      <c r="D6" s="42">
        <v>0.6</v>
      </c>
      <c r="E6" s="33" t="s">
        <v>7</v>
      </c>
      <c r="F6" s="5">
        <f>+D6-6%</f>
        <v>0.54</v>
      </c>
      <c r="G6" s="25">
        <f>+D6+6%</f>
        <v>0.65999999999999992</v>
      </c>
      <c r="H6" s="21" t="s">
        <v>25</v>
      </c>
    </row>
    <row r="7" spans="1:8" s="3" customFormat="1" ht="15" x14ac:dyDescent="0.25">
      <c r="B7" s="10" t="s">
        <v>44</v>
      </c>
      <c r="C7" s="15"/>
      <c r="D7" s="43">
        <v>0.05</v>
      </c>
      <c r="E7" s="20" t="s">
        <v>8</v>
      </c>
      <c r="F7" s="6">
        <v>0</v>
      </c>
      <c r="G7" s="12">
        <f>+D7+5%</f>
        <v>0.1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v>0</v>
      </c>
      <c r="H9" s="24"/>
    </row>
    <row r="10" spans="1:8" ht="15.75" x14ac:dyDescent="0.2">
      <c r="A10" s="4"/>
      <c r="B10" s="48" t="s">
        <v>56</v>
      </c>
      <c r="C10" s="48"/>
      <c r="D10" s="48"/>
      <c r="E10" s="48"/>
      <c r="F10" s="48"/>
      <c r="G10" s="48"/>
      <c r="H10" s="48"/>
    </row>
    <row r="11" spans="1:8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topLeftCell="B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5" t="s">
        <v>26</v>
      </c>
      <c r="C1" s="45"/>
      <c r="D1" s="45"/>
      <c r="E1" s="45"/>
      <c r="F1" s="45"/>
      <c r="G1" s="45"/>
      <c r="H1" s="45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11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60" x14ac:dyDescent="0.25">
      <c r="B5" s="10" t="s">
        <v>42</v>
      </c>
      <c r="C5" s="14"/>
      <c r="D5" s="42">
        <v>0.42</v>
      </c>
      <c r="E5" s="33" t="s">
        <v>8</v>
      </c>
      <c r="F5" s="5">
        <f>+D5-5%</f>
        <v>0.37</v>
      </c>
      <c r="G5" s="25">
        <f>+D5+5%</f>
        <v>0.47</v>
      </c>
      <c r="H5" s="22" t="s">
        <v>15</v>
      </c>
    </row>
    <row r="6" spans="1:11" s="3" customFormat="1" ht="75" x14ac:dyDescent="0.25">
      <c r="B6" s="10" t="s">
        <v>43</v>
      </c>
      <c r="C6" s="14"/>
      <c r="D6" s="42">
        <v>0.56000000000000005</v>
      </c>
      <c r="E6" s="33" t="s">
        <v>7</v>
      </c>
      <c r="F6" s="5">
        <f>+D6-6%</f>
        <v>0.5</v>
      </c>
      <c r="G6" s="25">
        <f>+D6+6%</f>
        <v>0.62000000000000011</v>
      </c>
      <c r="H6" s="21" t="s">
        <v>16</v>
      </c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11" ht="15.75" x14ac:dyDescent="0.2">
      <c r="A10" s="4"/>
      <c r="B10" s="48" t="s">
        <v>39</v>
      </c>
      <c r="C10" s="48"/>
      <c r="D10" s="48"/>
      <c r="E10" s="48"/>
      <c r="F10" s="48"/>
      <c r="G10" s="48"/>
      <c r="H10" s="48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4"/>
  <sheetViews>
    <sheetView rightToLeft="1" zoomScaleNormal="100" workbookViewId="0">
      <selection activeCell="B10" sqref="B10:H10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5" t="s">
        <v>38</v>
      </c>
      <c r="C1" s="45"/>
      <c r="D1" s="45"/>
      <c r="E1" s="45"/>
      <c r="F1" s="45"/>
      <c r="G1" s="45"/>
      <c r="H1" s="45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11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46</v>
      </c>
      <c r="C4" s="35"/>
      <c r="D4" s="41">
        <v>0.23</v>
      </c>
      <c r="E4" s="32" t="s">
        <v>7</v>
      </c>
      <c r="F4" s="28">
        <v>0.17</v>
      </c>
      <c r="G4" s="39">
        <v>0.25</v>
      </c>
      <c r="H4" s="29" t="s">
        <v>35</v>
      </c>
    </row>
    <row r="5" spans="1:11" s="3" customFormat="1" ht="60" x14ac:dyDescent="0.25">
      <c r="B5" s="10" t="s">
        <v>42</v>
      </c>
      <c r="C5" s="14"/>
      <c r="D5" s="42">
        <v>0.3</v>
      </c>
      <c r="E5" s="33" t="s">
        <v>8</v>
      </c>
      <c r="F5" s="5">
        <f>+D5-5%</f>
        <v>0.25</v>
      </c>
      <c r="G5" s="25">
        <f>+D5+5%</f>
        <v>0.35</v>
      </c>
      <c r="H5" s="22" t="s">
        <v>15</v>
      </c>
    </row>
    <row r="6" spans="1:11" s="3" customFormat="1" ht="75" x14ac:dyDescent="0.25">
      <c r="B6" s="10" t="s">
        <v>43</v>
      </c>
      <c r="C6" s="14"/>
      <c r="D6" s="42">
        <v>0.45</v>
      </c>
      <c r="E6" s="33" t="s">
        <v>7</v>
      </c>
      <c r="F6" s="5">
        <f>+D6-6%</f>
        <v>0.39</v>
      </c>
      <c r="G6" s="25">
        <f>+D6+6%</f>
        <v>0.51</v>
      </c>
      <c r="H6" s="21" t="s">
        <v>16</v>
      </c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3">
        <v>0.04</v>
      </c>
      <c r="E9" s="34" t="s">
        <v>7</v>
      </c>
      <c r="F9" s="7">
        <v>0</v>
      </c>
      <c r="G9" s="40">
        <f>+D9+6%</f>
        <v>0.1</v>
      </c>
      <c r="H9" s="24"/>
    </row>
    <row r="10" spans="1:11" ht="15.75" x14ac:dyDescent="0.2">
      <c r="A10" s="4"/>
      <c r="B10" s="48" t="s">
        <v>55</v>
      </c>
      <c r="C10" s="48"/>
      <c r="D10" s="48"/>
      <c r="E10" s="48"/>
      <c r="F10" s="48"/>
      <c r="G10" s="48"/>
      <c r="H10" s="48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4" spans="1:11" x14ac:dyDescent="0.2">
      <c r="B14" s="55" t="s">
        <v>57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rightToLeft="1" zoomScaleNormal="100" workbookViewId="0">
      <selection activeCell="B15" sqref="B1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5" t="s">
        <v>27</v>
      </c>
      <c r="C1" s="45"/>
      <c r="D1" s="45"/>
      <c r="E1" s="45"/>
      <c r="F1" s="45"/>
      <c r="G1" s="45"/>
      <c r="H1" s="45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11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33</v>
      </c>
    </row>
    <row r="5" spans="1:11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11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48" t="s">
        <v>58</v>
      </c>
      <c r="C10" s="48"/>
      <c r="D10" s="48"/>
      <c r="E10" s="48"/>
      <c r="F10" s="48"/>
      <c r="G10" s="48"/>
      <c r="H10" s="48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5" t="s">
        <v>28</v>
      </c>
      <c r="C1" s="45"/>
      <c r="D1" s="45"/>
      <c r="E1" s="45"/>
      <c r="F1" s="45"/>
      <c r="G1" s="45"/>
      <c r="H1" s="45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11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0.42</v>
      </c>
      <c r="E4" s="32" t="s">
        <v>7</v>
      </c>
      <c r="F4" s="28">
        <f>+D4-6%</f>
        <v>0.36</v>
      </c>
      <c r="G4" s="39">
        <f>+D4+6%</f>
        <v>0.48</v>
      </c>
      <c r="H4" s="29" t="s">
        <v>29</v>
      </c>
    </row>
    <row r="5" spans="1:11" s="3" customFormat="1" ht="15" x14ac:dyDescent="0.25">
      <c r="B5" s="10" t="s">
        <v>42</v>
      </c>
      <c r="C5" s="14"/>
      <c r="D5" s="42">
        <v>0.25</v>
      </c>
      <c r="E5" s="33" t="s">
        <v>8</v>
      </c>
      <c r="F5" s="5">
        <f>+D5-5%</f>
        <v>0.2</v>
      </c>
      <c r="G5" s="25">
        <f>+D5+5%</f>
        <v>0.3</v>
      </c>
      <c r="H5" s="22" t="s">
        <v>30</v>
      </c>
    </row>
    <row r="6" spans="1:11" s="3" customFormat="1" ht="60" x14ac:dyDescent="0.25">
      <c r="B6" s="10" t="s">
        <v>43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31</v>
      </c>
    </row>
    <row r="7" spans="1:11" s="3" customFormat="1" ht="15" x14ac:dyDescent="0.25">
      <c r="B7" s="10" t="s">
        <v>44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11" ht="15.75" x14ac:dyDescent="0.2">
      <c r="A10" s="4"/>
      <c r="B10" s="48" t="s">
        <v>59</v>
      </c>
      <c r="C10" s="48"/>
      <c r="D10" s="48"/>
      <c r="E10" s="48"/>
      <c r="F10" s="48"/>
      <c r="G10" s="48"/>
      <c r="H10" s="48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3" spans="1:11" x14ac:dyDescent="0.2">
      <c r="B13" s="52"/>
      <c r="C13" s="52"/>
      <c r="D13" s="52"/>
      <c r="E13" s="52"/>
      <c r="F13" s="52"/>
      <c r="G13" s="52"/>
      <c r="H13" s="52"/>
    </row>
    <row r="14" spans="1:11" x14ac:dyDescent="0.2">
      <c r="B14" s="52"/>
      <c r="C14" s="52"/>
      <c r="D14" s="52"/>
      <c r="E14" s="52"/>
      <c r="F14" s="52"/>
      <c r="G14" s="52"/>
      <c r="H14" s="52"/>
    </row>
  </sheetData>
  <mergeCells count="6">
    <mergeCell ref="B13:H13"/>
    <mergeCell ref="B14:H14"/>
    <mergeCell ref="B1:H1"/>
    <mergeCell ref="F2:G2"/>
    <mergeCell ref="B10:H10"/>
    <mergeCell ref="C3:D3"/>
  </mergeCells>
  <pageMargins left="0.7" right="0.7" top="0.75" bottom="0.75" header="0.3" footer="0.3"/>
  <pageSetup paperSize="9"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rightToLeft="1" zoomScaleNormal="100" workbookViewId="0">
      <selection activeCell="B15" sqref="B15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5" t="s">
        <v>32</v>
      </c>
      <c r="C1" s="45"/>
      <c r="D1" s="45"/>
      <c r="E1" s="45"/>
      <c r="F1" s="45"/>
      <c r="G1" s="45"/>
      <c r="H1" s="45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11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42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11" s="3" customFormat="1" ht="30" x14ac:dyDescent="0.25">
      <c r="B6" s="10" t="s">
        <v>43</v>
      </c>
      <c r="C6" s="14"/>
      <c r="D6" s="42">
        <v>0.98</v>
      </c>
      <c r="E6" s="33" t="s">
        <v>7</v>
      </c>
      <c r="F6" s="5">
        <f>+D6-6%</f>
        <v>0.91999999999999993</v>
      </c>
      <c r="G6" s="25">
        <v>1</v>
      </c>
      <c r="H6" s="21" t="s">
        <v>13</v>
      </c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48" t="s">
        <v>56</v>
      </c>
      <c r="C10" s="48"/>
      <c r="D10" s="48"/>
      <c r="E10" s="48"/>
      <c r="F10" s="48"/>
      <c r="G10" s="48"/>
      <c r="H10" s="48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  <row r="14" spans="1:11" x14ac:dyDescent="0.2">
      <c r="B14" s="13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scale="56" orientation="portrait" r:id="rId1"/>
  <colBreaks count="1" manualBreakCount="1">
    <brk id="9" max="1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2"/>
  <sheetViews>
    <sheetView rightToLeft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5" t="s">
        <v>12</v>
      </c>
      <c r="C1" s="45"/>
      <c r="D1" s="45"/>
      <c r="E1" s="45"/>
      <c r="F1" s="45"/>
      <c r="G1" s="45"/>
      <c r="H1" s="45"/>
    </row>
    <row r="2" spans="1:11" s="2" customFormat="1" ht="31.5" customHeight="1" thickBot="1" x14ac:dyDescent="0.25">
      <c r="B2" s="19" t="s">
        <v>0</v>
      </c>
      <c r="C2" s="17" t="s">
        <v>37</v>
      </c>
      <c r="D2" s="18" t="s">
        <v>36</v>
      </c>
      <c r="E2" s="18" t="s">
        <v>1</v>
      </c>
      <c r="F2" s="46" t="s">
        <v>2</v>
      </c>
      <c r="G2" s="47"/>
      <c r="H2" s="19" t="s">
        <v>3</v>
      </c>
    </row>
    <row r="3" spans="1:11" ht="15.75" thickBot="1" x14ac:dyDescent="0.3">
      <c r="B3" s="36" t="s">
        <v>4</v>
      </c>
      <c r="C3" s="50"/>
      <c r="D3" s="51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41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42</v>
      </c>
      <c r="C5" s="14"/>
      <c r="D5" s="42">
        <v>0.98</v>
      </c>
      <c r="E5" s="33" t="s">
        <v>8</v>
      </c>
      <c r="F5" s="5">
        <f>+D5-5%</f>
        <v>0.92999999999999994</v>
      </c>
      <c r="G5" s="25">
        <f>+D5+5%</f>
        <v>1.03</v>
      </c>
      <c r="H5" s="22" t="s">
        <v>11</v>
      </c>
    </row>
    <row r="6" spans="1:11" s="3" customFormat="1" ht="15" x14ac:dyDescent="0.25">
      <c r="B6" s="10" t="s">
        <v>43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11" s="3" customFormat="1" ht="15" x14ac:dyDescent="0.25">
      <c r="B7" s="10" t="s">
        <v>44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48" t="s">
        <v>56</v>
      </c>
      <c r="C10" s="48"/>
      <c r="D10" s="48"/>
      <c r="E10" s="48"/>
      <c r="F10" s="48"/>
      <c r="G10" s="48"/>
      <c r="H10" s="48"/>
    </row>
    <row r="11" spans="1:11" ht="15" x14ac:dyDescent="0.25">
      <c r="A11" s="4"/>
      <c r="B11" s="26" t="s">
        <v>34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50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scale="56" orientation="portrait" r:id="rId1"/>
  <colBreaks count="1" manualBreakCount="1">
    <brk id="9" max="1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DC6240-0F6F-4DAE-B057-BF07032C5BA4}">
  <ds:schemaRefs>
    <ds:schemaRef ds:uri="http://purl.org/dc/dcmitype/"/>
    <ds:schemaRef ds:uri="0b49047d-08d2-4e53-94cc-e27990adf04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13</vt:i4>
      </vt:variant>
      <vt:variant>
        <vt:lpstr>טווחים בעלי שם</vt:lpstr>
      </vt:variant>
      <vt:variant>
        <vt:i4>2</vt:i4>
      </vt:variant>
    </vt:vector>
  </HeadingPairs>
  <TitlesOfParts>
    <vt:vector size="15" baseType="lpstr">
      <vt:lpstr>כללי</vt:lpstr>
      <vt:lpstr>מניות</vt:lpstr>
      <vt:lpstr>הלכה</vt:lpstr>
      <vt:lpstr>עוקב מדדי מניות</vt:lpstr>
      <vt:lpstr>מניות סחיר</vt:lpstr>
      <vt:lpstr>עוקב מדד S&amp;P500</vt:lpstr>
      <vt:lpstr>כספי (שקלי)</vt:lpstr>
      <vt:lpstr>אשראי ואג"ח</vt:lpstr>
      <vt:lpstr>אשראי ואג"ח עד 25% מניות</vt:lpstr>
      <vt:lpstr>עוקב מדדים גמיש</vt:lpstr>
      <vt:lpstr>משולב סחיר</vt:lpstr>
      <vt:lpstr>עוקב מדדי אג"ח</vt:lpstr>
      <vt:lpstr>אג"ח ממשלתי סחיר</vt:lpstr>
      <vt:lpstr>'אג"ח ממשלתי סחיר'!WPrint_Area_W</vt:lpstr>
      <vt:lpstr>'עוקב מדדי אג"ח'!WPrint_Area_W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cp:lastPrinted>2026-05-27T17:48:00Z</cp:lastPrinted>
  <dcterms:created xsi:type="dcterms:W3CDTF">2024-02-20T16:34:33Z</dcterms:created>
  <dcterms:modified xsi:type="dcterms:W3CDTF">2026-07-14T07:19:46Z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