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U:\bh\MATE BH\~~אישור תכניות באוצר~~\קופת גמל 2023\מסלולי השקעה - תשואות ומדיניות השקעה\מדיניות השקעה\גמל לחיסכון\2026\"/>
    </mc:Choice>
  </mc:AlternateContent>
  <xr:revisionPtr revIDLastSave="0" documentId="13_ncr:1_{4066C856-4F20-4EF8-A2AD-55FEBC1D7D65}" xr6:coauthVersionLast="36" xr6:coauthVersionMax="47" xr10:uidLastSave="{00000000-0000-0000-0000-000000000000}"/>
  <bookViews>
    <workbookView xWindow="-120" yWindow="-120" windowWidth="29040" windowHeight="15840" tabRatio="933" xr2:uid="{00000000-000D-0000-FFFF-FFFF00000000}"/>
  </bookViews>
  <sheets>
    <sheet name="מניות" sheetId="15" r:id="rId1"/>
    <sheet name="לבני 50 ומטה" sheetId="8" r:id="rId2"/>
    <sheet name="לבני 50 עד 60" sheetId="9" r:id="rId3"/>
    <sheet name="לבני 60 ומעלה" sheetId="10" r:id="rId4"/>
    <sheet name="הלכה" sheetId="11" r:id="rId5"/>
    <sheet name="עוקב מדדי מניות" sheetId="16" r:id="rId6"/>
    <sheet name="מניות סחיר" sheetId="13" r:id="rId7"/>
    <sheet name="עוקב מדד S&amp;P500" sheetId="14" r:id="rId8"/>
    <sheet name="כספי (שקלי)" sheetId="17" r:id="rId9"/>
    <sheet name="אשראי ואג&quot;ח" sheetId="18" r:id="rId10"/>
    <sheet name="עוקב מדדים גמיש" sheetId="20" r:id="rId11"/>
    <sheet name="משולב סחיר" sheetId="21" r:id="rId12"/>
    <sheet name="עוקב מדדי אג&quot;ח" sheetId="2" r:id="rId13"/>
    <sheet name="אג&quot;ח ממשלתי סחיר" sheetId="3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3" l="1"/>
  <c r="D8" i="2"/>
  <c r="D8" i="21"/>
  <c r="D8" i="20"/>
  <c r="D8" i="18"/>
  <c r="D8" i="17"/>
  <c r="D8" i="14"/>
  <c r="D8" i="13"/>
  <c r="D8" i="16"/>
  <c r="D8" i="11"/>
  <c r="D8" i="10"/>
  <c r="D8" i="9"/>
  <c r="D8" i="15"/>
  <c r="D8" i="8"/>
  <c r="G7" i="3" l="1"/>
  <c r="G7" i="2"/>
  <c r="G7" i="20"/>
  <c r="G4" i="18"/>
  <c r="G7" i="17"/>
  <c r="G7" i="16"/>
  <c r="G7" i="15"/>
  <c r="G7" i="14"/>
  <c r="G9" i="11"/>
  <c r="F9" i="11"/>
  <c r="G7" i="11"/>
  <c r="G6" i="11"/>
  <c r="F6" i="11"/>
  <c r="G5" i="11"/>
  <c r="F5" i="11"/>
  <c r="G4" i="11"/>
  <c r="F4" i="11"/>
  <c r="F4" i="10"/>
  <c r="G4" i="10"/>
  <c r="F5" i="10"/>
  <c r="G5" i="10"/>
  <c r="F6" i="10"/>
  <c r="G6" i="10"/>
  <c r="G7" i="10"/>
  <c r="F9" i="10"/>
  <c r="G9" i="10"/>
  <c r="G9" i="16" l="1"/>
  <c r="F9" i="16"/>
  <c r="G9" i="3" l="1"/>
  <c r="G5" i="3"/>
  <c r="F5" i="3"/>
  <c r="G6" i="3"/>
  <c r="G4" i="3"/>
  <c r="G9" i="2"/>
  <c r="F6" i="2"/>
  <c r="G5" i="2"/>
  <c r="G4" i="2"/>
  <c r="G9" i="21"/>
  <c r="F9" i="21"/>
  <c r="G7" i="21"/>
  <c r="G6" i="21"/>
  <c r="F6" i="21"/>
  <c r="G5" i="21"/>
  <c r="F5" i="21"/>
  <c r="G4" i="21"/>
  <c r="F4" i="21"/>
  <c r="G9" i="20"/>
  <c r="F4" i="20"/>
  <c r="G7" i="18"/>
  <c r="G9" i="18"/>
  <c r="G6" i="18"/>
  <c r="F6" i="18"/>
  <c r="G5" i="18"/>
  <c r="F5" i="18"/>
  <c r="G6" i="17"/>
  <c r="F6" i="17"/>
  <c r="G5" i="17"/>
  <c r="F5" i="17"/>
  <c r="G4" i="17"/>
  <c r="G9" i="15"/>
  <c r="F9" i="15"/>
  <c r="G9" i="14"/>
  <c r="F9" i="14"/>
  <c r="G9" i="13"/>
  <c r="G7" i="13"/>
  <c r="F4" i="16"/>
  <c r="G6" i="15"/>
  <c r="G5" i="15"/>
  <c r="G4" i="15"/>
  <c r="F4" i="15"/>
  <c r="F4" i="14"/>
  <c r="G6" i="13"/>
  <c r="G5" i="13"/>
  <c r="G4" i="13"/>
  <c r="F4" i="13"/>
  <c r="G9" i="9" l="1"/>
  <c r="F9" i="9"/>
  <c r="G7" i="9"/>
  <c r="G6" i="9"/>
  <c r="F6" i="9"/>
  <c r="G5" i="9"/>
  <c r="F5" i="9"/>
  <c r="G4" i="9"/>
  <c r="F4" i="9"/>
  <c r="G9" i="8"/>
  <c r="F9" i="8"/>
  <c r="G7" i="8"/>
  <c r="G6" i="8"/>
  <c r="F6" i="8"/>
  <c r="G5" i="8"/>
  <c r="G4" i="8"/>
  <c r="F4" i="8"/>
</calcChain>
</file>

<file path=xl/sharedStrings.xml><?xml version="1.0" encoding="utf-8"?>
<sst xmlns="http://schemas.openxmlformats.org/spreadsheetml/2006/main" count="364" uniqueCount="61">
  <si>
    <t>אפיק השקעה</t>
  </si>
  <si>
    <t>טווח סטייה</t>
  </si>
  <si>
    <t>גבולות שיעור החשיפה  הצפויה</t>
  </si>
  <si>
    <t>מדדי יחוס</t>
  </si>
  <si>
    <t>שווי נוכחי (אלפי ₪)</t>
  </si>
  <si>
    <t>מינימום</t>
  </si>
  <si>
    <t>מקסימום</t>
  </si>
  <si>
    <t xml:space="preserve"> +/-6%</t>
  </si>
  <si>
    <t xml:space="preserve"> +/-5%</t>
  </si>
  <si>
    <t>סה"כ</t>
  </si>
  <si>
    <t>חשיפה למטח</t>
  </si>
  <si>
    <t>אג"ח ממשלתי כללי</t>
  </si>
  <si>
    <t>אג"ח ממשלתי סחיר</t>
  </si>
  <si>
    <t>תל בונד 60 50% 
תל בונד שקלי 50 50%</t>
  </si>
  <si>
    <t xml:space="preserve"> ממשלתי צמוד מחמ 2-5 שנים - 25%, ממשלתי צמוד מדד 5-10 שנים - 25%, ממשלתי שקלי  מחמ 2-5 שנים - 25%, ממשלתי שקלי מחמ 5-10 - 25%</t>
  </si>
  <si>
    <t>תל בונד 60 53%, תל בונד שקלי 50 28% ,   barclays global aggregate corporate bond index $ unhedged 14%,        barclays global high yield bond index $ unhedged  5%</t>
  </si>
  <si>
    <t>איילון מסלול לבני 50 ומטה</t>
  </si>
  <si>
    <t>איילון מסלול לבני 50 - 60</t>
  </si>
  <si>
    <t>איילון מסלול לבני 60 ומעלה</t>
  </si>
  <si>
    <t>איילון מסלול הלכה</t>
  </si>
  <si>
    <t xml:space="preserve">50% nasdaq + 50% s&amp;p500  </t>
  </si>
  <si>
    <r>
      <t>איילון מסלול ע</t>
    </r>
    <r>
      <rPr>
        <b/>
        <u/>
        <sz val="18"/>
        <color rgb="FF470129"/>
        <rFont val="Arial"/>
        <family val="2"/>
        <scheme val="minor"/>
      </rPr>
      <t>וקב מדד S&amp;P500</t>
    </r>
  </si>
  <si>
    <t xml:space="preserve">s&amp;p500  </t>
  </si>
  <si>
    <t>איילון מסלול מניות</t>
  </si>
  <si>
    <t>איילון מסלול עוקב מדדי מניות</t>
  </si>
  <si>
    <t>איילון מסלול כספי (שקלי)</t>
  </si>
  <si>
    <t>מדד מק"מ</t>
  </si>
  <si>
    <t>תל בונד שקלי 1-3</t>
  </si>
  <si>
    <t>איילון מסלול אשראי ואג"ח</t>
  </si>
  <si>
    <t>איילון מסלול עוקב מדדים גמיש</t>
  </si>
  <si>
    <t>איילון מסלול משולב סחיר</t>
  </si>
  <si>
    <t>MSCI AC</t>
  </si>
  <si>
    <t>Global aggregate - Sovereign</t>
  </si>
  <si>
    <t xml:space="preserve"> barclays global aggregate corporate bond index $ unhedged 75%, barclays global high yield bond index $ unhedged  25%</t>
  </si>
  <si>
    <t>עוקב מדדי אג"ח</t>
  </si>
  <si>
    <t>TA-125 - 100%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</si>
  <si>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</si>
  <si>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50% MSCI AC 50%TA-125</t>
  </si>
  <si>
    <t>שיעור חשיפה צפוי לשנת 2026</t>
  </si>
  <si>
    <t>שיעור החשיפה ליום 31/12/2025</t>
  </si>
  <si>
    <t xml:space="preserve">איילון מסלול מניות סחיר </t>
  </si>
  <si>
    <t xml:space="preserve">איילון קופות גמל בע"מ, כמשקיע מוסדי, פועלת בהתאם למדיניות ESG בהשקעות המפורסמת באתר החברה. </t>
  </si>
  <si>
    <t xml:space="preserve"> מניות (כולל תעודות סל, אופציות, קרנות נאמנות)</t>
  </si>
  <si>
    <t xml:space="preserve"> אגח ממשלתי (כולל אגח ממשלות זרות)</t>
  </si>
  <si>
    <t xml:space="preserve"> אגח קונצרני בארץ ובחו"ל (כולל קרנות נאמנות, תעודות סל)</t>
  </si>
  <si>
    <t>אחר (עו"ש, פר"י, פק"מ)</t>
  </si>
  <si>
    <t xml:space="preserve"> אגח ממשלתי (כולל אגח ממשלות זרות)*</t>
  </si>
  <si>
    <t xml:space="preserve"> אגח ממשלתי (כולל אגח ממשלות זרות) *</t>
  </si>
  <si>
    <t>אחר (עו"ש, פר"י, פק"מ) *</t>
  </si>
  <si>
    <t>אחר (עו"ש, פר"י, פק"מ)*</t>
  </si>
  <si>
    <t>* בנטרול החשיפה הנובעת מהשקעה בנגזרים</t>
  </si>
  <si>
    <t>מגבלת עמלת ניהול חיצוני לשנת 2026 - 0.05%</t>
  </si>
  <si>
    <t>מגבלת עמלת ניהול חיצוני לשנת 2026 - 0.1%</t>
  </si>
  <si>
    <t>מגבלת עמלת ניהול חיצוני לשנת 2026 - 0.00%</t>
  </si>
  <si>
    <t>מגבלת עמלת ניהול חיצוני לשנת 2026 - 0.13%</t>
  </si>
  <si>
    <t>מגבלת עמלת ניהול חיצוני לשנת 2026 - 0.25%</t>
  </si>
  <si>
    <t>מגבלת עמלת ניהול חיצוני לשנת 2026 - 0.20%</t>
  </si>
  <si>
    <t>מגבלת עמלת ניהול חיצוני לשנת 2026 - 0.04%</t>
  </si>
  <si>
    <t>מגבלת עמלת ניהול חיצוני לשנת 2026 - 0.12%</t>
  </si>
  <si>
    <t>מגבלת עמלת ניהול חיצוני לשנת 2026 - 0.17%</t>
  </si>
  <si>
    <t>מגבלת עמלת ניהול חיצוני לשנת 2026 - 0.03%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</si>
</sst>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₪&quot;\ * #,##0.00_ ;_ &quot;₪&quot;\ * \-#,##0.00_ ;_ &quot;₪&quot;\ * &quot;-&quot;??_ ;_ @_ "/>
    <numFmt numFmtId="164" formatCode="0.0%"/>
    <numFmt numFmtId="165" formatCode="_ &quot;₪&quot;\ * #,##0.0_ ;_ &quot;₪&quot;\ * \-#,##0.0_ ;_ &quot;₪&quot;\ * &quot;-&quot;??_ ;_ @_ "/>
  </numFmts>
  <fonts count="18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b/>
      <sz val="11"/>
      <name val="Arial"/>
      <family val="2"/>
    </font>
    <font>
      <b/>
      <u/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  <charset val="177"/>
      <scheme val="minor"/>
    </font>
    <font>
      <b/>
      <u/>
      <sz val="18"/>
      <color rgb="FF470129"/>
      <name val="Arial"/>
      <family val="2"/>
      <charset val="177"/>
      <scheme val="minor"/>
    </font>
    <font>
      <b/>
      <u/>
      <sz val="12"/>
      <color rgb="FF470129"/>
      <name val="Arial"/>
      <family val="2"/>
      <charset val="177"/>
      <scheme val="minor"/>
    </font>
    <font>
      <sz val="11"/>
      <name val="Arial"/>
      <family val="2"/>
    </font>
    <font>
      <sz val="11"/>
      <name val="Arial"/>
      <family val="2"/>
      <scheme val="minor"/>
    </font>
    <font>
      <b/>
      <u/>
      <sz val="18"/>
      <color rgb="FF470129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sz val="1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70129"/>
        <bgColor rgb="FF470129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3" fillId="0" borderId="0"/>
    <xf numFmtId="44" fontId="13" fillId="0" borderId="0" applyFon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6" fillId="2" borderId="0" xfId="0" applyFont="1" applyFill="1"/>
    <xf numFmtId="164" fontId="5" fillId="2" borderId="1" xfId="2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/>
    </xf>
    <xf numFmtId="164" fontId="3" fillId="2" borderId="2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0" applyFont="1" applyFill="1"/>
    <xf numFmtId="0" fontId="4" fillId="2" borderId="6" xfId="2" applyFont="1" applyFill="1" applyBorder="1" applyAlignment="1">
      <alignment horizontal="right"/>
    </xf>
    <xf numFmtId="0" fontId="4" fillId="2" borderId="7" xfId="2" applyFont="1" applyFill="1" applyBorder="1" applyAlignment="1">
      <alignment horizontal="right"/>
    </xf>
    <xf numFmtId="164" fontId="3" fillId="2" borderId="9" xfId="2" applyNumberFormat="1" applyFont="1" applyFill="1" applyBorder="1" applyAlignment="1">
      <alignment horizontal="center" vertical="center"/>
    </xf>
    <xf numFmtId="0" fontId="14" fillId="0" borderId="12" xfId="4" applyFont="1" applyBorder="1" applyAlignment="1">
      <alignment horizontal="right" readingOrder="2"/>
    </xf>
    <xf numFmtId="164" fontId="5" fillId="4" borderId="8" xfId="2" applyNumberFormat="1" applyFont="1" applyFill="1" applyBorder="1" applyAlignment="1">
      <alignment horizontal="center" vertical="center"/>
    </xf>
    <xf numFmtId="164" fontId="3" fillId="4" borderId="8" xfId="2" applyNumberFormat="1" applyFont="1" applyFill="1" applyBorder="1" applyAlignment="1">
      <alignment horizontal="center" vertical="center"/>
    </xf>
    <xf numFmtId="164" fontId="3" fillId="4" borderId="10" xfId="2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164" fontId="3" fillId="2" borderId="3" xfId="2" applyNumberFormat="1" applyFont="1" applyFill="1" applyBorder="1" applyAlignment="1">
      <alignment horizontal="center" vertical="center"/>
    </xf>
    <xf numFmtId="0" fontId="4" fillId="2" borderId="18" xfId="3" applyFont="1" applyFill="1" applyBorder="1" applyAlignment="1">
      <alignment horizontal="center" vertical="center" wrapText="1"/>
    </xf>
    <xf numFmtId="0" fontId="4" fillId="0" borderId="19" xfId="3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4" fontId="5" fillId="2" borderId="9" xfId="2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4" fillId="2" borderId="22" xfId="2" applyFont="1" applyFill="1" applyBorder="1" applyAlignment="1">
      <alignment horizontal="right"/>
    </xf>
    <xf numFmtId="164" fontId="5" fillId="2" borderId="23" xfId="2" applyNumberFormat="1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/>
    </xf>
    <xf numFmtId="0" fontId="1" fillId="2" borderId="30" xfId="1" applyFill="1" applyBorder="1" applyAlignment="1">
      <alignment horizontal="center" vertical="center"/>
    </xf>
    <xf numFmtId="164" fontId="5" fillId="2" borderId="31" xfId="2" applyNumberFormat="1" applyFont="1" applyFill="1" applyBorder="1" applyAlignment="1">
      <alignment horizontal="center" vertical="center"/>
    </xf>
    <xf numFmtId="164" fontId="5" fillId="2" borderId="3" xfId="2" applyNumberFormat="1" applyFont="1" applyFill="1" applyBorder="1" applyAlignment="1">
      <alignment horizontal="center" vertical="center"/>
    </xf>
    <xf numFmtId="164" fontId="3" fillId="2" borderId="4" xfId="2" applyNumberFormat="1" applyFont="1" applyFill="1" applyBorder="1" applyAlignment="1">
      <alignment horizontal="center" vertical="center"/>
    </xf>
    <xf numFmtId="164" fontId="5" fillId="4" borderId="33" xfId="2" applyNumberFormat="1" applyFont="1" applyFill="1" applyBorder="1" applyAlignment="1">
      <alignment horizontal="center" vertical="center"/>
    </xf>
    <xf numFmtId="0" fontId="5" fillId="2" borderId="26" xfId="1" applyFont="1" applyFill="1" applyBorder="1"/>
    <xf numFmtId="0" fontId="5" fillId="2" borderId="27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164" fontId="5" fillId="2" borderId="24" xfId="2" applyNumberFormat="1" applyFont="1" applyFill="1" applyBorder="1" applyAlignment="1">
      <alignment horizontal="center" vertical="center"/>
    </xf>
    <xf numFmtId="164" fontId="3" fillId="2" borderId="11" xfId="2" applyNumberFormat="1" applyFont="1" applyFill="1" applyBorder="1" applyAlignment="1">
      <alignment horizontal="center" vertical="center"/>
    </xf>
    <xf numFmtId="9" fontId="5" fillId="4" borderId="24" xfId="2" applyNumberFormat="1" applyFont="1" applyFill="1" applyBorder="1" applyAlignment="1">
      <alignment horizontal="center" vertical="center"/>
    </xf>
    <xf numFmtId="9" fontId="5" fillId="4" borderId="9" xfId="2" applyNumberFormat="1" applyFont="1" applyFill="1" applyBorder="1" applyAlignment="1">
      <alignment horizontal="center" vertical="center"/>
    </xf>
    <xf numFmtId="9" fontId="3" fillId="4" borderId="9" xfId="2" applyNumberFormat="1" applyFont="1" applyFill="1" applyBorder="1" applyAlignment="1">
      <alignment horizontal="center" vertical="center"/>
    </xf>
    <xf numFmtId="9" fontId="3" fillId="4" borderId="11" xfId="2" applyNumberFormat="1" applyFont="1" applyFill="1" applyBorder="1" applyAlignment="1">
      <alignment horizontal="center" vertical="center"/>
    </xf>
    <xf numFmtId="165" fontId="5" fillId="4" borderId="32" xfId="5" applyNumberFormat="1" applyFont="1" applyFill="1" applyBorder="1" applyAlignment="1">
      <alignment vertical="center"/>
    </xf>
    <xf numFmtId="165" fontId="5" fillId="4" borderId="28" xfId="5" applyNumberFormat="1" applyFont="1" applyFill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right" vertical="top"/>
    </xf>
    <xf numFmtId="165" fontId="5" fillId="4" borderId="32" xfId="5" applyNumberFormat="1" applyFont="1" applyFill="1" applyBorder="1" applyAlignment="1">
      <alignment horizontal="center" vertical="center"/>
    </xf>
    <xf numFmtId="165" fontId="5" fillId="4" borderId="28" xfId="5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/>
    </xf>
    <xf numFmtId="0" fontId="16" fillId="0" borderId="0" xfId="0" applyFont="1" applyAlignment="1">
      <alignment horizontal="right" vertical="top" readingOrder="2"/>
    </xf>
    <xf numFmtId="0" fontId="17" fillId="2" borderId="0" xfId="0" applyFont="1" applyFill="1" applyAlignment="1">
      <alignment horizontal="right" readingOrder="2"/>
    </xf>
  </cellXfs>
  <cellStyles count="6">
    <cellStyle name="Currency" xfId="5" builtinId="4"/>
    <cellStyle name="Normal" xfId="0" builtinId="0"/>
    <cellStyle name="Normal 6 2" xfId="4" xr:uid="{00000000-0005-0000-0000-000002000000}"/>
    <cellStyle name="Normal_גיליון2" xfId="3" xr:uid="{00000000-0005-0000-0000-000003000000}"/>
    <cellStyle name="Normal_גיליון3" xfId="1" xr:uid="{00000000-0005-0000-0000-000004000000}"/>
    <cellStyle name="Normal_מגדגל גמל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rightToLeft="1" tabSelected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7" t="s">
        <v>23</v>
      </c>
      <c r="C1" s="47"/>
      <c r="D1" s="47"/>
      <c r="E1" s="47"/>
      <c r="F1" s="47"/>
      <c r="G1" s="47"/>
      <c r="H1" s="47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8" ht="15.75" thickBot="1" x14ac:dyDescent="0.3">
      <c r="B3" s="36" t="s">
        <v>4</v>
      </c>
      <c r="C3" s="45"/>
      <c r="D3" s="46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37</v>
      </c>
    </row>
    <row r="5" spans="1:8" s="3" customFormat="1" ht="15" x14ac:dyDescent="0.25">
      <c r="B5" s="10" t="s">
        <v>43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>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0" t="s">
        <v>54</v>
      </c>
      <c r="C10" s="50"/>
      <c r="D10" s="50"/>
      <c r="E10" s="50"/>
      <c r="F10" s="50"/>
      <c r="G10" s="50"/>
      <c r="H10" s="50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mergeCells count="3">
    <mergeCell ref="B1:H1"/>
    <mergeCell ref="F2:G2"/>
    <mergeCell ref="B10:H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rightToLeft="1" zoomScaleNormal="100" workbookViewId="0">
      <selection activeCell="B14" sqref="B1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4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7" t="s">
        <v>16</v>
      </c>
      <c r="C1" s="47"/>
      <c r="D1" s="47"/>
      <c r="E1" s="47"/>
      <c r="F1" s="47"/>
      <c r="G1" s="47"/>
      <c r="H1" s="47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11" ht="15.75" thickBot="1" x14ac:dyDescent="0.3">
      <c r="B3" s="36" t="s">
        <v>4</v>
      </c>
      <c r="C3" s="45"/>
      <c r="D3" s="46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0.6</v>
      </c>
      <c r="E4" s="32" t="s">
        <v>7</v>
      </c>
      <c r="F4" s="28">
        <f>+D4-6%</f>
        <v>0.54</v>
      </c>
      <c r="G4" s="39">
        <f>+D4+6%</f>
        <v>0.65999999999999992</v>
      </c>
      <c r="H4" s="29" t="s">
        <v>37</v>
      </c>
    </row>
    <row r="5" spans="1:11" s="3" customFormat="1" ht="60" x14ac:dyDescent="0.25">
      <c r="B5" s="10" t="s">
        <v>43</v>
      </c>
      <c r="C5" s="14"/>
      <c r="D5" s="42">
        <v>0.1</v>
      </c>
      <c r="E5" s="33" t="s">
        <v>8</v>
      </c>
      <c r="F5" s="5">
        <v>0</v>
      </c>
      <c r="G5" s="25">
        <f>+D5+5%</f>
        <v>0.15000000000000002</v>
      </c>
      <c r="H5" s="22" t="s">
        <v>14</v>
      </c>
    </row>
    <row r="6" spans="1:11" s="3" customFormat="1" ht="75" x14ac:dyDescent="0.25">
      <c r="B6" s="10" t="s">
        <v>44</v>
      </c>
      <c r="C6" s="14"/>
      <c r="D6" s="42">
        <v>0.28000000000000003</v>
      </c>
      <c r="E6" s="33" t="s">
        <v>7</v>
      </c>
      <c r="F6" s="5">
        <f>+D6-6%</f>
        <v>0.22000000000000003</v>
      </c>
      <c r="G6" s="25">
        <f>+D6+6%</f>
        <v>0.34</v>
      </c>
      <c r="H6" s="21" t="s">
        <v>15</v>
      </c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11" ht="15.75" x14ac:dyDescent="0.2">
      <c r="A10" s="4"/>
      <c r="B10" s="50" t="s">
        <v>55</v>
      </c>
      <c r="C10" s="50"/>
      <c r="D10" s="50"/>
      <c r="E10" s="50"/>
      <c r="F10" s="50"/>
      <c r="G10" s="50"/>
      <c r="H10" s="50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mergeCells count="3">
    <mergeCell ref="B1:H1"/>
    <mergeCell ref="F2:G2"/>
    <mergeCell ref="B10:H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7" t="s">
        <v>17</v>
      </c>
      <c r="C1" s="47"/>
      <c r="D1" s="47"/>
      <c r="E1" s="47"/>
      <c r="F1" s="47"/>
      <c r="G1" s="47"/>
      <c r="H1" s="47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11" ht="15.75" thickBot="1" x14ac:dyDescent="0.3">
      <c r="B3" s="36" t="s">
        <v>4</v>
      </c>
      <c r="C3" s="45"/>
      <c r="D3" s="46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37</v>
      </c>
    </row>
    <row r="5" spans="1:11" s="3" customFormat="1" ht="60" x14ac:dyDescent="0.25">
      <c r="B5" s="10" t="s">
        <v>43</v>
      </c>
      <c r="C5" s="14"/>
      <c r="D5" s="42">
        <v>0.1</v>
      </c>
      <c r="E5" s="33" t="s">
        <v>8</v>
      </c>
      <c r="F5" s="5">
        <f>+D5-5%</f>
        <v>0.05</v>
      </c>
      <c r="G5" s="25">
        <f>+D5+5%</f>
        <v>0.15000000000000002</v>
      </c>
      <c r="H5" s="22" t="s">
        <v>14</v>
      </c>
    </row>
    <row r="6" spans="1:11" s="3" customFormat="1" ht="75" x14ac:dyDescent="0.25">
      <c r="B6" s="10" t="s">
        <v>44</v>
      </c>
      <c r="C6" s="14"/>
      <c r="D6" s="42">
        <v>0.33</v>
      </c>
      <c r="E6" s="33" t="s">
        <v>7</v>
      </c>
      <c r="F6" s="5">
        <f>+D6-6%</f>
        <v>0.27</v>
      </c>
      <c r="G6" s="25">
        <f>+D6+6%</f>
        <v>0.39</v>
      </c>
      <c r="H6" s="21" t="s">
        <v>15</v>
      </c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11" ht="15.75" x14ac:dyDescent="0.2">
      <c r="A10" s="4"/>
      <c r="B10" s="50" t="s">
        <v>56</v>
      </c>
      <c r="C10" s="50"/>
      <c r="D10" s="50"/>
      <c r="E10" s="50"/>
      <c r="F10" s="50"/>
      <c r="G10" s="50"/>
      <c r="H10" s="50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mergeCells count="3">
    <mergeCell ref="B1:H1"/>
    <mergeCell ref="F2:G2"/>
    <mergeCell ref="B10:H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"/>
  <sheetViews>
    <sheetView rightToLeft="1" zoomScaleNormal="100" workbookViewId="0">
      <selection activeCell="B13" sqref="B1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7" t="s">
        <v>18</v>
      </c>
      <c r="C1" s="47"/>
      <c r="D1" s="47"/>
      <c r="E1" s="47"/>
      <c r="F1" s="47"/>
      <c r="G1" s="47"/>
      <c r="H1" s="47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11" ht="15.75" thickBot="1" x14ac:dyDescent="0.3">
      <c r="B3" s="36" t="s">
        <v>4</v>
      </c>
      <c r="C3" s="51"/>
      <c r="D3" s="52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0.3</v>
      </c>
      <c r="E4" s="32" t="s">
        <v>7</v>
      </c>
      <c r="F4" s="28">
        <f>+D4-6%</f>
        <v>0.24</v>
      </c>
      <c r="G4" s="39">
        <f>+D4+6%</f>
        <v>0.36</v>
      </c>
      <c r="H4" s="29" t="s">
        <v>37</v>
      </c>
    </row>
    <row r="5" spans="1:11" s="3" customFormat="1" ht="60" x14ac:dyDescent="0.25">
      <c r="B5" s="10" t="s">
        <v>43</v>
      </c>
      <c r="C5" s="14"/>
      <c r="D5" s="42">
        <v>0.27</v>
      </c>
      <c r="E5" s="33" t="s">
        <v>8</v>
      </c>
      <c r="F5" s="5">
        <f>+D5-5%</f>
        <v>0.22000000000000003</v>
      </c>
      <c r="G5" s="25">
        <f>+D5+5%</f>
        <v>0.32</v>
      </c>
      <c r="H5" s="22" t="s">
        <v>14</v>
      </c>
    </row>
    <row r="6" spans="1:11" s="3" customFormat="1" ht="75" x14ac:dyDescent="0.25">
      <c r="B6" s="10" t="s">
        <v>44</v>
      </c>
      <c r="C6" s="14"/>
      <c r="D6" s="42">
        <v>0.4</v>
      </c>
      <c r="E6" s="33" t="s">
        <v>7</v>
      </c>
      <c r="F6" s="5">
        <f>+D6-6%</f>
        <v>0.34</v>
      </c>
      <c r="G6" s="25">
        <f>+D6+6%</f>
        <v>0.46</v>
      </c>
      <c r="H6" s="21" t="s">
        <v>15</v>
      </c>
    </row>
    <row r="7" spans="1:11" s="3" customFormat="1" ht="15" x14ac:dyDescent="0.25">
      <c r="B7" s="10" t="s">
        <v>45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0.1</v>
      </c>
      <c r="E9" s="34" t="s">
        <v>7</v>
      </c>
      <c r="F9" s="7">
        <f>+D9-6%</f>
        <v>4.0000000000000008E-2</v>
      </c>
      <c r="G9" s="40">
        <f>+D9+6%</f>
        <v>0.16</v>
      </c>
      <c r="H9" s="24"/>
    </row>
    <row r="10" spans="1:11" ht="15.75" x14ac:dyDescent="0.2">
      <c r="A10" s="4"/>
      <c r="B10" s="50" t="s">
        <v>56</v>
      </c>
      <c r="C10" s="50"/>
      <c r="D10" s="50"/>
      <c r="E10" s="50"/>
      <c r="F10" s="50"/>
      <c r="G10" s="50"/>
      <c r="H10" s="50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7" t="s">
        <v>19</v>
      </c>
      <c r="C1" s="47"/>
      <c r="D1" s="47"/>
      <c r="E1" s="47"/>
      <c r="F1" s="47"/>
      <c r="G1" s="47"/>
      <c r="H1" s="47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8" ht="15.75" thickBot="1" x14ac:dyDescent="0.3">
      <c r="B3" s="36" t="s">
        <v>4</v>
      </c>
      <c r="C3" s="51"/>
      <c r="D3" s="52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37</v>
      </c>
    </row>
    <row r="5" spans="1:8" s="3" customFormat="1" ht="60" x14ac:dyDescent="0.25">
      <c r="B5" s="10" t="s">
        <v>43</v>
      </c>
      <c r="C5" s="14"/>
      <c r="D5" s="42">
        <v>0.1</v>
      </c>
      <c r="E5" s="33" t="s">
        <v>8</v>
      </c>
      <c r="F5" s="5">
        <f>+D5-5%</f>
        <v>0.05</v>
      </c>
      <c r="G5" s="25">
        <f>+D5+5%</f>
        <v>0.15000000000000002</v>
      </c>
      <c r="H5" s="22" t="s">
        <v>14</v>
      </c>
    </row>
    <row r="6" spans="1:8" s="3" customFormat="1" ht="75" x14ac:dyDescent="0.25">
      <c r="B6" s="10" t="s">
        <v>44</v>
      </c>
      <c r="C6" s="14"/>
      <c r="D6" s="42">
        <v>0.32</v>
      </c>
      <c r="E6" s="33" t="s">
        <v>7</v>
      </c>
      <c r="F6" s="5">
        <f>+D6-6%</f>
        <v>0.26</v>
      </c>
      <c r="G6" s="25">
        <f>+D6+6%</f>
        <v>0.38</v>
      </c>
      <c r="H6" s="21" t="s">
        <v>15</v>
      </c>
    </row>
    <row r="7" spans="1:8" s="3" customFormat="1" ht="15" x14ac:dyDescent="0.25">
      <c r="B7" s="10" t="s">
        <v>45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0" t="s">
        <v>57</v>
      </c>
      <c r="C10" s="50"/>
      <c r="D10" s="50"/>
      <c r="E10" s="50"/>
      <c r="F10" s="50"/>
      <c r="G10" s="50"/>
      <c r="H10" s="50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rightToLeft="1" zoomScaleNormal="100" workbookViewId="0">
      <selection activeCell="B19" sqref="B19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7" t="s">
        <v>24</v>
      </c>
      <c r="C1" s="47"/>
      <c r="D1" s="47"/>
      <c r="E1" s="47"/>
      <c r="F1" s="47"/>
      <c r="G1" s="47"/>
      <c r="H1" s="47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8" ht="15.75" thickBot="1" x14ac:dyDescent="0.3">
      <c r="B3" s="36" t="s">
        <v>4</v>
      </c>
      <c r="C3" s="51"/>
      <c r="D3" s="52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37</v>
      </c>
    </row>
    <row r="5" spans="1:8" s="3" customFormat="1" ht="15" x14ac:dyDescent="0.25">
      <c r="B5" s="10" t="s">
        <v>46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49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0" t="s">
        <v>58</v>
      </c>
      <c r="C10" s="50"/>
      <c r="D10" s="50"/>
      <c r="E10" s="50"/>
      <c r="F10" s="50"/>
      <c r="G10" s="50"/>
      <c r="H10" s="50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  <row r="14" spans="1:8" x14ac:dyDescent="0.2">
      <c r="B14" s="54" t="s">
        <v>50</v>
      </c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7" t="s">
        <v>40</v>
      </c>
      <c r="C1" s="47"/>
      <c r="D1" s="47"/>
      <c r="E1" s="47"/>
      <c r="F1" s="47"/>
      <c r="G1" s="47"/>
      <c r="H1" s="47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8" ht="15.75" thickBot="1" x14ac:dyDescent="0.3">
      <c r="B3" s="36" t="s">
        <v>4</v>
      </c>
      <c r="C3" s="51"/>
      <c r="D3" s="52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20</v>
      </c>
    </row>
    <row r="5" spans="1:8" s="3" customFormat="1" ht="15" x14ac:dyDescent="0.25">
      <c r="B5" s="10" t="s">
        <v>43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8" ht="15.75" x14ac:dyDescent="0.2">
      <c r="A10" s="4"/>
      <c r="B10" s="50" t="s">
        <v>59</v>
      </c>
      <c r="C10" s="50"/>
      <c r="D10" s="50"/>
      <c r="E10" s="50"/>
      <c r="F10" s="50"/>
      <c r="G10" s="50"/>
      <c r="H10" s="50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  <row r="13" spans="1:8" x14ac:dyDescent="0.2">
      <c r="A13" s="4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rightToLeft="1" zoomScaleNormal="100" workbookViewId="0">
      <selection activeCell="B17" sqref="B17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7" t="s">
        <v>21</v>
      </c>
      <c r="C1" s="47"/>
      <c r="D1" s="47"/>
      <c r="E1" s="47"/>
      <c r="F1" s="47"/>
      <c r="G1" s="47"/>
      <c r="H1" s="47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8" ht="15.75" thickBot="1" x14ac:dyDescent="0.3">
      <c r="B3" s="36" t="s">
        <v>4</v>
      </c>
      <c r="C3" s="51"/>
      <c r="D3" s="52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0.99</v>
      </c>
      <c r="E4" s="32" t="s">
        <v>7</v>
      </c>
      <c r="F4" s="28">
        <f>+D4-6%</f>
        <v>0.92999999999999994</v>
      </c>
      <c r="G4" s="39">
        <v>1</v>
      </c>
      <c r="H4" s="29" t="s">
        <v>22</v>
      </c>
    </row>
    <row r="5" spans="1:8" s="3" customFormat="1" ht="15" x14ac:dyDescent="0.25">
      <c r="B5" s="10" t="s">
        <v>47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48</v>
      </c>
      <c r="C7" s="15"/>
      <c r="D7" s="43">
        <v>0.01</v>
      </c>
      <c r="E7" s="20" t="s">
        <v>8</v>
      </c>
      <c r="F7" s="6">
        <v>0</v>
      </c>
      <c r="G7" s="12">
        <f t="shared" ref="G7" si="0">+D7+5%</f>
        <v>6.0000000000000005E-2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8" ht="15.75" x14ac:dyDescent="0.2">
      <c r="A10" s="4"/>
      <c r="B10" s="50" t="s">
        <v>60</v>
      </c>
      <c r="C10" s="50"/>
      <c r="D10" s="50"/>
      <c r="E10" s="50"/>
      <c r="F10" s="50"/>
      <c r="G10" s="50"/>
      <c r="H10" s="50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  <row r="13" spans="1:8" x14ac:dyDescent="0.2">
      <c r="B13" s="13"/>
    </row>
    <row r="14" spans="1:8" x14ac:dyDescent="0.2">
      <c r="B14" s="55" t="s">
        <v>50</v>
      </c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rightToLeft="1" zoomScaleNormal="100" workbookViewId="0">
      <selection activeCell="B14" sqref="B1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7" t="s">
        <v>25</v>
      </c>
      <c r="C1" s="47"/>
      <c r="D1" s="47"/>
      <c r="E1" s="47"/>
      <c r="F1" s="47"/>
      <c r="G1" s="47"/>
      <c r="H1" s="47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8" ht="15.75" thickBot="1" x14ac:dyDescent="0.3">
      <c r="B3" s="36" t="s">
        <v>4</v>
      </c>
      <c r="C3" s="51"/>
      <c r="D3" s="52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8" s="3" customFormat="1" ht="15" x14ac:dyDescent="0.25">
      <c r="B5" s="10" t="s">
        <v>43</v>
      </c>
      <c r="C5" s="14"/>
      <c r="D5" s="42">
        <v>0.35</v>
      </c>
      <c r="E5" s="33" t="s">
        <v>8</v>
      </c>
      <c r="F5" s="5">
        <f>+D5-5%</f>
        <v>0.3</v>
      </c>
      <c r="G5" s="25">
        <f>+D5+5%</f>
        <v>0.39999999999999997</v>
      </c>
      <c r="H5" s="22" t="s">
        <v>26</v>
      </c>
    </row>
    <row r="6" spans="1:8" s="3" customFormat="1" ht="15" x14ac:dyDescent="0.25">
      <c r="B6" s="10" t="s">
        <v>44</v>
      </c>
      <c r="C6" s="14"/>
      <c r="D6" s="42">
        <v>0.6</v>
      </c>
      <c r="E6" s="33" t="s">
        <v>7</v>
      </c>
      <c r="F6" s="5">
        <f>+D6-6%</f>
        <v>0.54</v>
      </c>
      <c r="G6" s="25">
        <f>+D6+6%</f>
        <v>0.65999999999999992</v>
      </c>
      <c r="H6" s="21" t="s">
        <v>27</v>
      </c>
    </row>
    <row r="7" spans="1:8" s="3" customFormat="1" ht="15" x14ac:dyDescent="0.25">
      <c r="B7" s="10" t="s">
        <v>45</v>
      </c>
      <c r="C7" s="15"/>
      <c r="D7" s="43">
        <v>0.05</v>
      </c>
      <c r="E7" s="20" t="s">
        <v>8</v>
      </c>
      <c r="F7" s="6">
        <v>0</v>
      </c>
      <c r="G7" s="12">
        <f>+D7+5%</f>
        <v>0.1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v>0</v>
      </c>
      <c r="H9" s="24"/>
    </row>
    <row r="10" spans="1:8" ht="15.75" x14ac:dyDescent="0.2">
      <c r="A10" s="4"/>
      <c r="B10" s="50" t="s">
        <v>53</v>
      </c>
      <c r="C10" s="50"/>
      <c r="D10" s="50"/>
      <c r="E10" s="50"/>
      <c r="F10" s="50"/>
      <c r="G10" s="50"/>
      <c r="H10" s="50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2"/>
  <sheetViews>
    <sheetView rightToLeft="1" topLeftCell="B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7" t="s">
        <v>28</v>
      </c>
      <c r="C1" s="47"/>
      <c r="D1" s="47"/>
      <c r="E1" s="47"/>
      <c r="F1" s="47"/>
      <c r="G1" s="47"/>
      <c r="H1" s="47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11" ht="15.75" thickBot="1" x14ac:dyDescent="0.3">
      <c r="B3" s="36" t="s">
        <v>4</v>
      </c>
      <c r="C3" s="51"/>
      <c r="D3" s="52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60" x14ac:dyDescent="0.25">
      <c r="B5" s="10" t="s">
        <v>43</v>
      </c>
      <c r="C5" s="14"/>
      <c r="D5" s="42">
        <v>0.42</v>
      </c>
      <c r="E5" s="33" t="s">
        <v>8</v>
      </c>
      <c r="F5" s="5">
        <f>+D5-5%</f>
        <v>0.37</v>
      </c>
      <c r="G5" s="25">
        <f>+D5+5%</f>
        <v>0.47</v>
      </c>
      <c r="H5" s="22" t="s">
        <v>14</v>
      </c>
    </row>
    <row r="6" spans="1:11" s="3" customFormat="1" ht="75" x14ac:dyDescent="0.25">
      <c r="B6" s="10" t="s">
        <v>44</v>
      </c>
      <c r="C6" s="14"/>
      <c r="D6" s="42">
        <v>0.56000000000000005</v>
      </c>
      <c r="E6" s="33" t="s">
        <v>7</v>
      </c>
      <c r="F6" s="5">
        <f>+D6-6%</f>
        <v>0.5</v>
      </c>
      <c r="G6" s="25">
        <f>+D6+6%</f>
        <v>0.62000000000000011</v>
      </c>
      <c r="H6" s="21" t="s">
        <v>15</v>
      </c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0.02</v>
      </c>
      <c r="E9" s="34" t="s">
        <v>7</v>
      </c>
      <c r="F9" s="7">
        <v>0</v>
      </c>
      <c r="G9" s="40">
        <f>+D9+6%</f>
        <v>0.08</v>
      </c>
      <c r="H9" s="24"/>
    </row>
    <row r="10" spans="1:11" ht="15.75" x14ac:dyDescent="0.2">
      <c r="A10" s="4"/>
      <c r="B10" s="50" t="s">
        <v>60</v>
      </c>
      <c r="C10" s="50"/>
      <c r="D10" s="50"/>
      <c r="E10" s="50"/>
      <c r="F10" s="50"/>
      <c r="G10" s="50"/>
      <c r="H10" s="50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2"/>
  <sheetViews>
    <sheetView rightToLeft="1" zoomScaleNormal="100" workbookViewId="0">
      <selection activeCell="B18" sqref="B18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7" t="s">
        <v>29</v>
      </c>
      <c r="C1" s="47"/>
      <c r="D1" s="47"/>
      <c r="E1" s="47"/>
      <c r="F1" s="47"/>
      <c r="G1" s="47"/>
      <c r="H1" s="47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11" ht="15.75" thickBot="1" x14ac:dyDescent="0.3">
      <c r="B3" s="36" t="s">
        <v>4</v>
      </c>
      <c r="C3" s="51"/>
      <c r="D3" s="52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35</v>
      </c>
    </row>
    <row r="5" spans="1:11" s="3" customFormat="1" ht="15" x14ac:dyDescent="0.25">
      <c r="B5" s="10" t="s">
        <v>43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11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0" t="s">
        <v>51</v>
      </c>
      <c r="C10" s="50"/>
      <c r="D10" s="50"/>
      <c r="E10" s="50"/>
      <c r="F10" s="50"/>
      <c r="G10" s="50"/>
      <c r="H10" s="50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4"/>
  <sheetViews>
    <sheetView rightToLeft="1" zoomScaleNormal="100" workbookViewId="0">
      <selection activeCell="C19" sqref="C19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7" t="s">
        <v>30</v>
      </c>
      <c r="C1" s="47"/>
      <c r="D1" s="47"/>
      <c r="E1" s="47"/>
      <c r="F1" s="47"/>
      <c r="G1" s="47"/>
      <c r="H1" s="47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11" ht="15.75" thickBot="1" x14ac:dyDescent="0.3">
      <c r="B3" s="36" t="s">
        <v>4</v>
      </c>
      <c r="C3" s="51"/>
      <c r="D3" s="52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0.42</v>
      </c>
      <c r="E4" s="32" t="s">
        <v>7</v>
      </c>
      <c r="F4" s="28">
        <f>+D4-6%</f>
        <v>0.36</v>
      </c>
      <c r="G4" s="39">
        <f>+D4+6%</f>
        <v>0.48</v>
      </c>
      <c r="H4" s="29" t="s">
        <v>31</v>
      </c>
    </row>
    <row r="5" spans="1:11" s="3" customFormat="1" ht="15" x14ac:dyDescent="0.25">
      <c r="B5" s="10" t="s">
        <v>43</v>
      </c>
      <c r="C5" s="14"/>
      <c r="D5" s="42">
        <v>0.25</v>
      </c>
      <c r="E5" s="33" t="s">
        <v>8</v>
      </c>
      <c r="F5" s="5">
        <f>+D5-5%</f>
        <v>0.2</v>
      </c>
      <c r="G5" s="25">
        <f>+D5+5%</f>
        <v>0.3</v>
      </c>
      <c r="H5" s="22" t="s">
        <v>32</v>
      </c>
    </row>
    <row r="6" spans="1:11" s="3" customFormat="1" ht="60" x14ac:dyDescent="0.25">
      <c r="B6" s="10" t="s">
        <v>44</v>
      </c>
      <c r="C6" s="14"/>
      <c r="D6" s="42">
        <v>0.3</v>
      </c>
      <c r="E6" s="33" t="s">
        <v>7</v>
      </c>
      <c r="F6" s="5">
        <f>+D6-6%</f>
        <v>0.24</v>
      </c>
      <c r="G6" s="25">
        <f>+D6+6%</f>
        <v>0.36</v>
      </c>
      <c r="H6" s="21" t="s">
        <v>33</v>
      </c>
    </row>
    <row r="7" spans="1:11" s="3" customFormat="1" ht="15" x14ac:dyDescent="0.25">
      <c r="B7" s="10" t="s">
        <v>45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11" ht="15.75" x14ac:dyDescent="0.2">
      <c r="A10" s="4"/>
      <c r="B10" s="50" t="s">
        <v>52</v>
      </c>
      <c r="C10" s="50"/>
      <c r="D10" s="50"/>
      <c r="E10" s="50"/>
      <c r="F10" s="50"/>
      <c r="G10" s="50"/>
      <c r="H10" s="50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  <row r="13" spans="1:11" x14ac:dyDescent="0.2">
      <c r="B13" s="53"/>
      <c r="C13" s="53"/>
      <c r="D13" s="53"/>
      <c r="E13" s="53"/>
      <c r="F13" s="53"/>
      <c r="G13" s="53"/>
      <c r="H13" s="53"/>
    </row>
    <row r="14" spans="1:11" x14ac:dyDescent="0.2">
      <c r="B14" s="53"/>
      <c r="C14" s="53"/>
      <c r="D14" s="53"/>
      <c r="E14" s="53"/>
      <c r="F14" s="53"/>
      <c r="G14" s="53"/>
      <c r="H14" s="53"/>
    </row>
  </sheetData>
  <mergeCells count="6">
    <mergeCell ref="B13:H13"/>
    <mergeCell ref="B14:H14"/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4"/>
  <sheetViews>
    <sheetView rightToLeft="1" zoomScaleNormal="100" workbookViewId="0">
      <selection activeCell="C20" sqref="C20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7" t="s">
        <v>34</v>
      </c>
      <c r="C1" s="47"/>
      <c r="D1" s="47"/>
      <c r="E1" s="47"/>
      <c r="F1" s="47"/>
      <c r="G1" s="47"/>
      <c r="H1" s="47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11" ht="15.75" thickBot="1" x14ac:dyDescent="0.3">
      <c r="B3" s="36" t="s">
        <v>4</v>
      </c>
      <c r="C3" s="51"/>
      <c r="D3" s="52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43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11" s="3" customFormat="1" ht="30" x14ac:dyDescent="0.25">
      <c r="B6" s="10" t="s">
        <v>44</v>
      </c>
      <c r="C6" s="14"/>
      <c r="D6" s="42">
        <v>0.98</v>
      </c>
      <c r="E6" s="33" t="s">
        <v>7</v>
      </c>
      <c r="F6" s="5">
        <f>+D6-6%</f>
        <v>0.91999999999999993</v>
      </c>
      <c r="G6" s="25">
        <v>1</v>
      </c>
      <c r="H6" s="21" t="s">
        <v>13</v>
      </c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0" t="s">
        <v>53</v>
      </c>
      <c r="C10" s="50"/>
      <c r="D10" s="50"/>
      <c r="E10" s="50"/>
      <c r="F10" s="50"/>
      <c r="G10" s="50"/>
      <c r="H10" s="50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  <row r="14" spans="1:11" x14ac:dyDescent="0.2">
      <c r="B14" s="13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2"/>
  <sheetViews>
    <sheetView rightToLeft="1" zoomScaleNormal="100" workbookViewId="0">
      <selection activeCell="B14" sqref="B1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7" t="s">
        <v>12</v>
      </c>
      <c r="C1" s="47"/>
      <c r="D1" s="47"/>
      <c r="E1" s="47"/>
      <c r="F1" s="47"/>
      <c r="G1" s="47"/>
      <c r="H1" s="47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48" t="s">
        <v>2</v>
      </c>
      <c r="G2" s="49"/>
      <c r="H2" s="19" t="s">
        <v>3</v>
      </c>
    </row>
    <row r="3" spans="1:11" ht="15.75" thickBot="1" x14ac:dyDescent="0.3">
      <c r="B3" s="36" t="s">
        <v>4</v>
      </c>
      <c r="C3" s="51"/>
      <c r="D3" s="52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43</v>
      </c>
      <c r="C5" s="14"/>
      <c r="D5" s="42">
        <v>0.98</v>
      </c>
      <c r="E5" s="33" t="s">
        <v>8</v>
      </c>
      <c r="F5" s="5">
        <f>+D5-5%</f>
        <v>0.92999999999999994</v>
      </c>
      <c r="G5" s="25">
        <f>+D5+5%</f>
        <v>1.03</v>
      </c>
      <c r="H5" s="22" t="s">
        <v>11</v>
      </c>
    </row>
    <row r="6" spans="1:11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0" t="s">
        <v>53</v>
      </c>
      <c r="C10" s="50"/>
      <c r="D10" s="50"/>
      <c r="E10" s="50"/>
      <c r="F10" s="50"/>
      <c r="G10" s="50"/>
      <c r="H10" s="50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E3C5C6BC363478679EC8EBD2CC28A" ma:contentTypeVersion="4" ma:contentTypeDescription="Create a new document." ma:contentTypeScope="" ma:versionID="abe5394867e33f26e2b5a0129a1586ad">
  <xsd:schema xmlns:xsd="http://www.w3.org/2001/XMLSchema" xmlns:xs="http://www.w3.org/2001/XMLSchema" xmlns:p="http://schemas.microsoft.com/office/2006/metadata/properties" xmlns:ns3="0b49047d-08d2-4e53-94cc-e27990adf041" targetNamespace="http://schemas.microsoft.com/office/2006/metadata/properties" ma:root="true" ma:fieldsID="c68431f608b53cff20603cee24ba4d91" ns3:_="">
    <xsd:import namespace="0b49047d-08d2-4e53-94cc-e27990adf0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9047d-08d2-4e53-94cc-e27990adf0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DC6240-0F6F-4DAE-B057-BF07032C5BA4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0b49047d-08d2-4e53-94cc-e27990adf041"/>
    <ds:schemaRef ds:uri="http://purl.org/dc/elements/1.1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05B1984-38D9-4701-B481-1B727B8124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2F8875-28C1-445E-879C-70F7F245C1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49047d-08d2-4e53-94cc-e27990adf0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14</vt:i4>
      </vt:variant>
    </vt:vector>
  </HeadingPairs>
  <TitlesOfParts>
    <vt:vector size="14" baseType="lpstr">
      <vt:lpstr>מניות</vt:lpstr>
      <vt:lpstr>לבני 50 ומטה</vt:lpstr>
      <vt:lpstr>לבני 50 עד 60</vt:lpstr>
      <vt:lpstr>לבני 60 ומעלה</vt:lpstr>
      <vt:lpstr>הלכה</vt:lpstr>
      <vt:lpstr>עוקב מדדי מניות</vt:lpstr>
      <vt:lpstr>מניות סחיר</vt:lpstr>
      <vt:lpstr>עוקב מדד S&amp;P500</vt:lpstr>
      <vt:lpstr>כספי (שקלי)</vt:lpstr>
      <vt:lpstr>אשראי ואג"ח</vt:lpstr>
      <vt:lpstr>עוקב מדדים גמיש</vt:lpstr>
      <vt:lpstr>משולב סחיר</vt:lpstr>
      <vt:lpstr>עוקב מדדי אג"ח</vt:lpstr>
      <vt:lpstr>אג"ח ממשלתי סחיר</vt:lpstr>
    </vt:vector>
  </TitlesOfParts>
  <Company>Ayalon-ins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מאיר</dc:creator>
  <cp:lastModifiedBy>מירב ברכה-חמו</cp:lastModifiedBy>
  <cp:lastPrinted>2026-05-28T04:24:30Z</cp:lastPrinted>
  <dcterms:created xsi:type="dcterms:W3CDTF">2024-02-20T16:34:33Z</dcterms:created>
  <dcterms:modified xsi:type="dcterms:W3CDTF">2026-07-14T07:12:04Z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0x01010086DE3C5C6BC363478679EC8EBD2CC28A</vt:lpwstr>
  </property>
</Properties>
</file>