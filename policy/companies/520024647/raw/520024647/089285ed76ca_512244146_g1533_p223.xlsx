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22023\"/>
    </mc:Choice>
  </mc:AlternateContent>
  <xr:revisionPtr revIDLastSave="0" documentId="13_ncr:1_{B617ACE7-7D62-4101-8152-3BAAAA7FD05B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קונצרני'!$A$4:$T$24</definedName>
    <definedName name="_xlnm.Print_Area" localSheetId="9">אופציות!$A$4:$K$22</definedName>
    <definedName name="_xlnm.Print_Area" localSheetId="21">הלוואות!$A$4:$Q$30</definedName>
    <definedName name="_xlnm.Print_Area" localSheetId="25">'השקעות אחרות'!$A$4:$J$11</definedName>
    <definedName name="_xlnm.Print_Area" localSheetId="23">'זכויות מקרקעין'!$A$4:$H$14</definedName>
    <definedName name="_xlnm.Print_Area" localSheetId="10">'חוזים עתידיים'!$A$4:$G$15</definedName>
    <definedName name="_xlnm.Print_Area" localSheetId="26">'יתרת התחייבות להשקעה'!$A$1:$B$10</definedName>
    <definedName name="_xlnm.Print_Area" localSheetId="8">'כתבי אופציה'!$A$4:$K$13</definedName>
    <definedName name="_xlnm.Print_Area" localSheetId="12">'לא סחיר- תעודות התחייבות ממשלתי'!$A$4:$O$18</definedName>
    <definedName name="_xlnm.Print_Area" localSheetId="14">'לא סחיר - אג"ח קונצרני'!$A$4:$R$17</definedName>
    <definedName name="_xlnm.Print_Area" localSheetId="18">'לא סחיר - אופציות'!$A$4:$K$21</definedName>
    <definedName name="_xlnm.Print_Area" localSheetId="19">'לא סחיר - חוזים עתידיים'!$A$4:$J$68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השקעה'!$A$4:$J$19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מזומנים!$A$4:$K$67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חודשים'!$A$4:$N$16</definedName>
    <definedName name="_xlnm.Print_Area" localSheetId="7">'קרנות נאמנות'!$A$4:$N$25</definedName>
    <definedName name="_xlnm.Print_Area" localSheetId="6">'קרנות סל'!$A$4:$M$85</definedName>
    <definedName name="_xlnm.Print_Area" localSheetId="2">'תעודות התחייבות ממשלתיות'!$A$4:$Q$50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6" l="1"/>
  <c r="P12" i="16"/>
  <c r="P13" i="16"/>
  <c r="P14" i="16"/>
  <c r="P15" i="16"/>
</calcChain>
</file>

<file path=xl/sharedStrings.xml><?xml version="1.0" encoding="utf-8"?>
<sst xmlns="http://schemas.openxmlformats.org/spreadsheetml/2006/main" count="4849" uniqueCount="887">
  <si>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</si>
  <si>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</si>
  <si>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</si>
  <si>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</si>
  <si>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</si>
  <si>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</si>
  <si>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</si>
  <si>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</si>
  <si>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</si>
  <si>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</si>
  <si>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</si>
  <si>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</si>
  <si>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</si>
  <si>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</si>
  <si>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</si>
  <si>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</si>
  <si>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</si>
  <si>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</si>
  <si>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</si>
  <si>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</si>
  <si>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</si>
  <si>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</si>
  <si>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</si>
  <si>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</si>
  <si>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</si>
  <si>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</si>
  <si>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</si>
  <si>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</si>
  <si>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</si>
  <si>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</si>
  <si>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</si>
  <si>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</si>
  <si>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</si>
  <si>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</si>
  <si>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</si>
  <si>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</si>
  <si>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</si>
  <si>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</si>
  <si>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</si>
  <si>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</si>
  <si>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</si>
  <si>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</si>
  <si>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</si>
  <si>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</si>
  <si>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</si>
  <si>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</si>
  <si>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</si>
  <si>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</si>
  <si>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</si>
  <si>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</si>
  <si>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</si>
  <si>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</si>
  <si>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</si>
  <si>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</si>
  <si>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</si>
  <si>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</si>
  <si>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</si>
  <si>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</si>
  <si>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</si>
  <si>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</si>
  <si>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</si>
  <si>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</si>
  <si>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</si>
  <si>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</si>
  <si>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</si>
  <si>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</si>
  <si>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</si>
  <si>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</si>
  <si>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</si>
  <si>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</si>
  <si>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</si>
  <si>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</si>
  <si>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</si>
  <si>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</si>
  <si>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</si>
  <si>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</si>
  <si>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</si>
  <si>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</si>
  <si>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</si>
  <si>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</si>
  <si>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</si>
  <si>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</si>
  <si>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</si>
  <si>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</si>
  <si>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</si>
  <si>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</si>
  <si>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</si>
  <si>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</si>
  <si>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</si>
  <si>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</si>
  <si>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</si>
  <si>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</si>
  <si>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</si>
  <si>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</si>
  <si>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</si>
  <si>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</si>
  <si>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</si>
  <si>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</si>
  <si>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</si>
  <si>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</si>
  <si>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</si>
  <si>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</si>
  <si>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</si>
  <si>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</si>
  <si>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</si>
  <si>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</si>
  <si>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</si>
  <si>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</si>
  <si>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</si>
  <si>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</si>
  <si>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</si>
  <si>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</si>
  <si>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</si>
  <si>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</si>
  <si>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</si>
  <si>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</si>
  <si>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</si>
  <si>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</si>
  <si>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</si>
  <si>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</si>
  <si>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</si>
  <si>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</si>
  <si>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</si>
  <si>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</si>
  <si>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</si>
  <si>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</si>
  <si>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</si>
  <si>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</si>
  <si>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</si>
  <si>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</si>
  <si>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</si>
  <si>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</si>
  <si>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</si>
  <si>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</si>
  <si>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</si>
  <si>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</si>
  <si>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</si>
  <si>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</si>
  <si>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</si>
  <si>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</si>
  <si>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</si>
  <si>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</si>
  <si>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</si>
  <si>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</si>
  <si>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</si>
  <si>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</si>
  <si>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</si>
  <si>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</si>
  <si>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</si>
  <si>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</si>
  <si>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</si>
  <si>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</si>
  <si>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</si>
  <si>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</si>
  <si>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</si>
  <si>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</si>
  <si>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</si>
  <si>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</si>
  <si>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</si>
  <si>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</si>
  <si>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</si>
  <si>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</si>
  <si>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</si>
  <si>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</si>
  <si>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</si>
  <si>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</si>
  <si>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</si>
  <si>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</si>
  <si>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</si>
  <si>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</si>
  <si>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</si>
  <si>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</si>
  <si>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</si>
  <si>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</si>
  <si>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</si>
  <si>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</si>
  <si>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</si>
  <si>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</si>
  <si>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</si>
  <si>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</si>
  <si>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</si>
  <si>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</si>
  <si>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</si>
  <si>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</si>
  <si>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</si>
  <si>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</si>
  <si>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</si>
  <si>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</si>
  <si>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</si>
  <si>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</si>
  <si>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</si>
  <si>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</si>
  <si>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</si>
  <si>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</si>
  <si>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</si>
  <si>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</si>
  <si>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</si>
  <si>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</si>
  <si>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</si>
  <si>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</si>
  <si>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</si>
  <si>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</si>
  <si>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</si>
  <si>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</si>
  <si>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</si>
  <si>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</si>
  <si>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</si>
  <si>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</si>
  <si>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</si>
  <si>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</si>
  <si>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</si>
  <si>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</si>
  <si>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</si>
  <si>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</si>
  <si>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</si>
  <si>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</si>
  <si>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</si>
  <si>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</si>
  <si>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</si>
  <si>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</si>
  <si>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</si>
  <si>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</si>
  <si>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</si>
  <si>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</si>
  <si>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</si>
  <si>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</si>
  <si>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</si>
  <si>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</si>
  <si>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</si>
  <si>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</si>
  <si>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</si>
  <si>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</si>
  <si>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</si>
  <si>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</si>
  <si>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</si>
  <si>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</si>
  <si>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</si>
  <si>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</si>
  <si>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</si>
  <si>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גמל הלכתי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</si>
  <si>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</si>
  <si>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</si>
  <si>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</si>
  <si>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</si>
  <si>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</si>
  <si>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</si>
  <si>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1533</t>
  </si>
  <si>
    <t xml:space="preserve">סה"כ בישראל: </t>
  </si>
  <si>
    <t/>
  </si>
  <si>
    <t xml:space="preserve">יתרות מזומנים ועו"ש בש"ח </t>
  </si>
  <si>
    <t>30005920</t>
  </si>
  <si>
    <t>11</t>
  </si>
  <si>
    <t>ilAAA</t>
  </si>
  <si>
    <t>S&amp;P מעלות</t>
  </si>
  <si>
    <t>שקל חדש</t>
  </si>
  <si>
    <t>30021040</t>
  </si>
  <si>
    <t>12</t>
  </si>
  <si>
    <t>30023840</t>
  </si>
  <si>
    <t>10</t>
  </si>
  <si>
    <t>30043190</t>
  </si>
  <si>
    <t>22</t>
  </si>
  <si>
    <t>A3</t>
  </si>
  <si>
    <t>Moodys</t>
  </si>
  <si>
    <t>30056620</t>
  </si>
  <si>
    <t>26</t>
  </si>
  <si>
    <t>30089270</t>
  </si>
  <si>
    <t>30091530</t>
  </si>
  <si>
    <t>30098590</t>
  </si>
  <si>
    <t>30098610</t>
  </si>
  <si>
    <t>27295737</t>
  </si>
  <si>
    <t>27295738</t>
  </si>
  <si>
    <t>27854250</t>
  </si>
  <si>
    <t>30023370</t>
  </si>
  <si>
    <t>30035470</t>
  </si>
  <si>
    <t>20</t>
  </si>
  <si>
    <t>30038310</t>
  </si>
  <si>
    <t>30035240</t>
  </si>
  <si>
    <t>30046670</t>
  </si>
  <si>
    <t>30057380</t>
  </si>
  <si>
    <t xml:space="preserve">יתרות מזומנים ועו"ש נקובים במט"ח </t>
  </si>
  <si>
    <t>30005940</t>
  </si>
  <si>
    <t>30021060</t>
  </si>
  <si>
    <t>30023860</t>
  </si>
  <si>
    <t>30043200</t>
  </si>
  <si>
    <t>30056720</t>
  </si>
  <si>
    <t>28376994</t>
  </si>
  <si>
    <t>30023880</t>
  </si>
  <si>
    <t>30023900</t>
  </si>
  <si>
    <t>30023920</t>
  </si>
  <si>
    <t>יין יפני</t>
  </si>
  <si>
    <t>30006470</t>
  </si>
  <si>
    <t>30028630</t>
  </si>
  <si>
    <t>30006670</t>
  </si>
  <si>
    <t>30023390</t>
  </si>
  <si>
    <t>29449398</t>
  </si>
  <si>
    <t>28295738</t>
  </si>
  <si>
    <t>26295737</t>
  </si>
  <si>
    <t>30046680</t>
  </si>
  <si>
    <t>265016350</t>
  </si>
  <si>
    <t>26854250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</si>
  <si>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</si>
  <si>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</si>
  <si>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</si>
  <si>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</si>
  <si>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פיקדון סל אגח ממשלתי מזרחי בנק מזרחי טפחות בע"מ</t>
  </si>
  <si>
    <t>67035240</t>
  </si>
  <si>
    <t>67035470</t>
  </si>
  <si>
    <t xml:space="preserve">פקדונות במט"ח עד שלושה חודשים </t>
  </si>
  <si>
    <t>30023470</t>
  </si>
  <si>
    <t xml:space="preserve">סה"כ בחו"ל: </t>
  </si>
  <si>
    <t>30028700</t>
  </si>
  <si>
    <t>88</t>
  </si>
  <si>
    <t>A1</t>
  </si>
  <si>
    <t>28114070</t>
  </si>
  <si>
    <t>98</t>
  </si>
  <si>
    <t>AA</t>
  </si>
  <si>
    <t>S&amp;P</t>
  </si>
  <si>
    <t>30048040</t>
  </si>
  <si>
    <t>30048170</t>
  </si>
  <si>
    <t>26114070</t>
  </si>
  <si>
    <t>30061900</t>
  </si>
  <si>
    <t>30016820</t>
  </si>
  <si>
    <t>30016840</t>
  </si>
  <si>
    <t>סה"כ צמודות למדד</t>
  </si>
  <si>
    <t>גליל 5904</t>
  </si>
  <si>
    <t>9590431</t>
  </si>
  <si>
    <t>TASE</t>
  </si>
  <si>
    <t>RF</t>
  </si>
  <si>
    <t>27/09/2004</t>
  </si>
  <si>
    <t>ממצ"מ 0841</t>
  </si>
  <si>
    <t>1120583</t>
  </si>
  <si>
    <t>28/09/2010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</si>
  <si>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</si>
  <si>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</si>
  <si>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</si>
  <si>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</si>
  <si>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</si>
  <si>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</si>
  <si>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</si>
  <si>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</si>
  <si>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</si>
  <si>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</si>
  <si>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</si>
  <si>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</si>
  <si>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</si>
  <si>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</si>
  <si>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</si>
  <si>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</si>
  <si>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</si>
  <si>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</si>
  <si>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</si>
  <si>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</si>
  <si>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</si>
  <si>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</si>
  <si>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</si>
  <si>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</si>
  <si>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</si>
  <si>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</si>
  <si>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</si>
  <si>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</si>
  <si>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</si>
  <si>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</si>
  <si>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</si>
  <si>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</si>
  <si>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</si>
  <si>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</si>
  <si>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</si>
  <si>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</si>
  <si>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</si>
  <si>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</si>
  <si>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</si>
  <si>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</si>
  <si>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מקמ 414</t>
  </si>
  <si>
    <t>8240418</t>
  </si>
  <si>
    <t>04/04/2023</t>
  </si>
  <si>
    <t>מקמ 524</t>
  </si>
  <si>
    <t>8240525</t>
  </si>
  <si>
    <t>07/05/2023</t>
  </si>
  <si>
    <t>שחר</t>
  </si>
  <si>
    <t>ממשק 142</t>
  </si>
  <si>
    <t>1125400</t>
  </si>
  <si>
    <t>13/06/2012</t>
  </si>
  <si>
    <t>ממשק 0347</t>
  </si>
  <si>
    <t>1140193</t>
  </si>
  <si>
    <t>18/07/2017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</si>
  <si>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</si>
  <si>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</si>
  <si>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</si>
  <si>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</si>
  <si>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</si>
  <si>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</si>
  <si>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</si>
  <si>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</si>
  <si>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</si>
  <si>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ממשל משתנה 0526 ריפו 11/07/2023</t>
  </si>
  <si>
    <t>999999129</t>
  </si>
  <si>
    <t>13/04/2023</t>
  </si>
  <si>
    <t>ממשל משתנה 0526 ריפו 18/07/2023</t>
  </si>
  <si>
    <t>999999130</t>
  </si>
  <si>
    <t>20/04/2023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</si>
  <si>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</si>
  <si>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</si>
  <si>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</si>
  <si>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</si>
  <si>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</si>
  <si>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</si>
  <si>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</si>
  <si>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</si>
  <si>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</si>
  <si>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</si>
  <si>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</si>
  <si>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</si>
  <si>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</si>
  <si>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</si>
  <si>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</si>
  <si>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</si>
  <si>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</si>
  <si>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</si>
  <si>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10/01/2018</t>
  </si>
  <si>
    <t>סה"כ אג"ח שהנפיקו ממשלות זרות בחו"ל</t>
  </si>
  <si>
    <t>T 2.875 05/15/32</t>
  </si>
  <si>
    <t>US91282CEP23</t>
  </si>
  <si>
    <t>NR</t>
  </si>
  <si>
    <t>25/11/2022</t>
  </si>
  <si>
    <t>T 4.125 11/15/32</t>
  </si>
  <si>
    <t>US91282CFV81</t>
  </si>
  <si>
    <t>09/03/2023</t>
  </si>
  <si>
    <t>סה"כ צמודות למט"ח</t>
  </si>
  <si>
    <t>סה"כ בחו"ל</t>
  </si>
  <si>
    <t>פועלים הנפקות אגח 36</t>
  </si>
  <si>
    <t>1940659</t>
  </si>
  <si>
    <t>520032640</t>
  </si>
  <si>
    <t>Aaa.il</t>
  </si>
  <si>
    <t>מידרוג</t>
  </si>
  <si>
    <t>04/12/2018</t>
  </si>
  <si>
    <t>אפי נכסים אגח יד</t>
  </si>
  <si>
    <t>1184530</t>
  </si>
  <si>
    <t>510560188</t>
  </si>
  <si>
    <t>A2.il</t>
  </si>
  <si>
    <t>20/02/2022</t>
  </si>
  <si>
    <t>מזרחי אגח 64</t>
  </si>
  <si>
    <t>2310555</t>
  </si>
  <si>
    <t>520032046</t>
  </si>
  <si>
    <t>11/04/2022</t>
  </si>
  <si>
    <t>בינלאומי כתב התחייבות כז</t>
  </si>
  <si>
    <t>1189497</t>
  </si>
  <si>
    <t>513141879</t>
  </si>
  <si>
    <t>Aa3.il</t>
  </si>
  <si>
    <t>13/09/2022</t>
  </si>
  <si>
    <t>הראל הנפקות אגח טז</t>
  </si>
  <si>
    <t>1157601</t>
  </si>
  <si>
    <t>513834200</t>
  </si>
  <si>
    <t>18/04/2019</t>
  </si>
  <si>
    <t>מנורה הון אגח ז</t>
  </si>
  <si>
    <t>1184191</t>
  </si>
  <si>
    <t>513937714</t>
  </si>
  <si>
    <t>18/09/2006</t>
  </si>
  <si>
    <t>מזרחי אגח 63</t>
  </si>
  <si>
    <t>2310548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</si>
  <si>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</si>
  <si>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</si>
  <si>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</si>
  <si>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</si>
  <si>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</si>
  <si>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</si>
  <si>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</si>
  <si>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</si>
  <si>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פסגות קרן סל תא 125 כשרה</t>
  </si>
  <si>
    <t>1155324</t>
  </si>
  <si>
    <t>513765339</t>
  </si>
  <si>
    <t>מניות</t>
  </si>
  <si>
    <t>הראל קרן סל תא 125 כשרה</t>
  </si>
  <si>
    <t>1155340</t>
  </si>
  <si>
    <t>511776783</t>
  </si>
  <si>
    <t>קסם קרן סל תא 125 כשרה</t>
  </si>
  <si>
    <t>1155365</t>
  </si>
  <si>
    <t>510938608</t>
  </si>
  <si>
    <t>תכלית קרן סל תא 125 כשרה</t>
  </si>
  <si>
    <t>1155373</t>
  </si>
  <si>
    <t>513534974</t>
  </si>
  <si>
    <t>MTF סל (4A) כשרה תא-125</t>
  </si>
  <si>
    <t>1159714</t>
  </si>
  <si>
    <t>511303661</t>
  </si>
  <si>
    <t>סה"כ שעוקבות אחר מדדי מניות בחו"ל</t>
  </si>
  <si>
    <t>סה"כ שעוקבות אחר מדדים אחרים בישראל</t>
  </si>
  <si>
    <t>פסגות קרן סל תלבונד 60 כשרה</t>
  </si>
  <si>
    <t>1155076</t>
  </si>
  <si>
    <t>אג"ח</t>
  </si>
  <si>
    <t>תכלית קרן סל תלבונד תשואות כשרה</t>
  </si>
  <si>
    <t>1155100</t>
  </si>
  <si>
    <t>תכלית קרן סל תלבונד צמודות יתר כשרה</t>
  </si>
  <si>
    <t>1155118</t>
  </si>
  <si>
    <t>קסם קרן סל תלבונד 60 כשרה</t>
  </si>
  <si>
    <t>1155126</t>
  </si>
  <si>
    <t>הראל קרן סל תלבונד 60 כשרה</t>
  </si>
  <si>
    <t>1155092</t>
  </si>
  <si>
    <t>קסם קרן סל תלבונד שקלי כשרה</t>
  </si>
  <si>
    <t>1155159</t>
  </si>
  <si>
    <t>פסגות קרן סל תלבונד שקלי כשרה</t>
  </si>
  <si>
    <t>1155175</t>
  </si>
  <si>
    <t>תכלית קרן סל תלבונד שקלי כשרה</t>
  </si>
  <si>
    <t>1155183</t>
  </si>
  <si>
    <t>הראל קרן סל תלבונד שקלי כשרה</t>
  </si>
  <si>
    <t>1155191</t>
  </si>
  <si>
    <t>סה"כ שעוקבות אחר מדדים אחרים בחו"ל</t>
  </si>
  <si>
    <t>סה"כ short</t>
  </si>
  <si>
    <t>סה"כ שעוקבות אחר מדדי מניות</t>
  </si>
  <si>
    <t>IWM US Equity</t>
  </si>
  <si>
    <t>US4642876555</t>
  </si>
  <si>
    <t>NYSE</t>
  </si>
  <si>
    <t>Stocks</t>
  </si>
  <si>
    <t>SPY US Equity</t>
  </si>
  <si>
    <t>US78462F1030</t>
  </si>
  <si>
    <t>VOO US Equity</t>
  </si>
  <si>
    <t>US9229083632</t>
  </si>
  <si>
    <t>RSP US Equity</t>
  </si>
  <si>
    <t>US46137V3574</t>
  </si>
  <si>
    <t>SPXS LN Equity</t>
  </si>
  <si>
    <t>IE00B3YCGJ38</t>
  </si>
  <si>
    <t>LSE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</si>
  <si>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</si>
  <si>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</si>
  <si>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</si>
  <si>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</si>
  <si>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</si>
  <si>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</si>
  <si>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</si>
  <si>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</si>
  <si>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VERX NA Equity</t>
  </si>
  <si>
    <t>IE00BKX55S42</t>
  </si>
  <si>
    <t>1306 JP Equity</t>
  </si>
  <si>
    <t>JP3027630007</t>
  </si>
  <si>
    <t>TSE</t>
  </si>
  <si>
    <t>DXJZ LN Equity</t>
  </si>
  <si>
    <t>IE00BYQCZN58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</si>
  <si>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</si>
  <si>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</si>
  <si>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</si>
  <si>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</si>
  <si>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</si>
  <si>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</si>
  <si>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</si>
  <si>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</si>
  <si>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AASU FP Equity</t>
  </si>
  <si>
    <t>LU1681044563</t>
  </si>
  <si>
    <t>CAC</t>
  </si>
  <si>
    <t>EMXC US Equity</t>
  </si>
  <si>
    <t>US46434G7640</t>
  </si>
  <si>
    <t>NASDAQ</t>
  </si>
  <si>
    <t>XMME LN Equity</t>
  </si>
  <si>
    <t>IE00BTJRMP35</t>
  </si>
  <si>
    <t>AEME LN Equity</t>
  </si>
  <si>
    <t>LU1437017350</t>
  </si>
  <si>
    <t>4BRZ GY Equity</t>
  </si>
  <si>
    <t>DE000A0Q4R85</t>
  </si>
  <si>
    <t>DAX</t>
  </si>
  <si>
    <t>LEMA LN Equity</t>
  </si>
  <si>
    <t>LU2573967036</t>
  </si>
  <si>
    <t>סה"כ שעוקבות אחר מדדים אחרים</t>
  </si>
  <si>
    <t>XDGU LN Equity</t>
  </si>
  <si>
    <t>IE00BZ036H21</t>
  </si>
  <si>
    <t>Bonds</t>
  </si>
  <si>
    <t>IHYU LN Equity</t>
  </si>
  <si>
    <t>IE00B4PY7Y77</t>
  </si>
  <si>
    <t>IHYG LN Equity</t>
  </si>
  <si>
    <t>IE00B66F4759</t>
  </si>
  <si>
    <t>IEML LN Equity</t>
  </si>
  <si>
    <t>IE00B5M4WH52</t>
  </si>
  <si>
    <t>CCBO LN Equity</t>
  </si>
  <si>
    <t>IE00BZ0XVF52</t>
  </si>
  <si>
    <t>EHBA IM Equity</t>
  </si>
  <si>
    <t>IE00BKWD3B81</t>
  </si>
  <si>
    <t>XLE US Equity</t>
  </si>
  <si>
    <t>US81369Y5069</t>
  </si>
  <si>
    <t>XLV US Equity</t>
  </si>
  <si>
    <t>US81369Y2090</t>
  </si>
  <si>
    <t>QQQ US Equity</t>
  </si>
  <si>
    <t>US46090E1038</t>
  </si>
  <si>
    <t>XLU US Equity</t>
  </si>
  <si>
    <t>US81369Y8865</t>
  </si>
  <si>
    <t>XLF US Equity</t>
  </si>
  <si>
    <t>US81369Y6059</t>
  </si>
  <si>
    <t>XLY US Equity</t>
  </si>
  <si>
    <t>US81369Y4070</t>
  </si>
  <si>
    <t>XBI US Equity</t>
  </si>
  <si>
    <t>US78464A8707</t>
  </si>
  <si>
    <t>MLPS LN Equity</t>
  </si>
  <si>
    <t>IE00B94ZB998</t>
  </si>
  <si>
    <t>FIVG US Equity</t>
  </si>
  <si>
    <t>US26922A2895</t>
  </si>
  <si>
    <t>IHF US Equity</t>
  </si>
  <si>
    <t>US4642888287</t>
  </si>
  <si>
    <t>COPX US Equity</t>
  </si>
  <si>
    <t>US37954Y8306</t>
  </si>
  <si>
    <t>TAN US Equity</t>
  </si>
  <si>
    <t>US46138G7060</t>
  </si>
  <si>
    <t>FHLC US Equity</t>
  </si>
  <si>
    <t>US3160926008</t>
  </si>
  <si>
    <t>ICLN US Equity</t>
  </si>
  <si>
    <t>US4642882249</t>
  </si>
  <si>
    <t>XLRE US Equity</t>
  </si>
  <si>
    <t>US81369Y8600</t>
  </si>
  <si>
    <t>IUES LN Equity</t>
  </si>
  <si>
    <t>IE00B42NKQ00</t>
  </si>
  <si>
    <t>QQQM US Equity</t>
  </si>
  <si>
    <t>US46138G6492</t>
  </si>
  <si>
    <t>XPH US Equity</t>
  </si>
  <si>
    <t>US78464A7220</t>
  </si>
  <si>
    <t>HLT FP Equity</t>
  </si>
  <si>
    <t>LU1834986900</t>
  </si>
  <si>
    <t>STN FP Equity</t>
  </si>
  <si>
    <t>IE00BKWQ0F09</t>
  </si>
  <si>
    <t>1615JP Equity</t>
  </si>
  <si>
    <t>JP3040170007</t>
  </si>
  <si>
    <t>KWEB US Equity</t>
  </si>
  <si>
    <t>US5007673065</t>
  </si>
  <si>
    <t>סה"כ אג"ח ממשלתי</t>
  </si>
  <si>
    <t>PIMEMBI ID Equity</t>
  </si>
  <si>
    <t>IE0030759645</t>
  </si>
  <si>
    <t>JP Morgan Liquidity Dollar</t>
  </si>
  <si>
    <t>X9X9USD02A31</t>
  </si>
  <si>
    <t>2711006</t>
  </si>
  <si>
    <t>Aaa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</si>
  <si>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</si>
  <si>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</si>
  <si>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</si>
  <si>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</si>
  <si>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</si>
  <si>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</si>
  <si>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A2</t>
  </si>
  <si>
    <t>JP Morgan Liquidity GBP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</si>
  <si>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</si>
  <si>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</si>
  <si>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</si>
  <si>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</si>
  <si>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</si>
  <si>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</si>
  <si>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</si>
  <si>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SPX US 08/18/23 P4300 Index</t>
  </si>
  <si>
    <t>557000756</t>
  </si>
  <si>
    <t>SPX US 08/18/23 P3900 Index</t>
  </si>
  <si>
    <t>557000757</t>
  </si>
  <si>
    <t>סה"כ מטבע</t>
  </si>
  <si>
    <t>סה"כ סחורות</t>
  </si>
  <si>
    <t>09/2023 JPM ESU3 Index משתנה</t>
  </si>
  <si>
    <t>557000748</t>
  </si>
  <si>
    <t>09/2023 JPM ESU3 Index התחייבות</t>
  </si>
  <si>
    <t>557000749</t>
  </si>
  <si>
    <t>09/2023 JPM VGU3 Index משתנה</t>
  </si>
  <si>
    <t>DE000C1TL5V9</t>
  </si>
  <si>
    <t>09/2023 JPM VGU3 Index התחייבות</t>
  </si>
  <si>
    <t>557000751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</si>
  <si>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</si>
  <si>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</si>
  <si>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</si>
  <si>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</si>
  <si>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</si>
  <si>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</si>
  <si>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</si>
  <si>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</si>
  <si>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</si>
  <si>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</si>
  <si>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</si>
  <si>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</si>
  <si>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</si>
  <si>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</si>
  <si>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</si>
  <si>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</si>
  <si>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</si>
  <si>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</si>
  <si>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</si>
  <si>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</si>
  <si>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</si>
  <si>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</si>
  <si>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</si>
  <si>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</si>
  <si>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</si>
  <si>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</si>
  <si>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</si>
  <si>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</si>
  <si>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</si>
  <si>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</si>
  <si>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</si>
  <si>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</si>
  <si>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</si>
  <si>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</si>
  <si>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</si>
  <si>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</si>
  <si>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18/10/2023 - USD</t>
  </si>
  <si>
    <t>445270132</t>
  </si>
  <si>
    <t>09/05/2023</t>
  </si>
  <si>
    <t>FW EURUSD 18/10/2023 - EUR</t>
  </si>
  <si>
    <t>445270133</t>
  </si>
  <si>
    <t>445272400</t>
  </si>
  <si>
    <t>06/06/2023</t>
  </si>
  <si>
    <t>445272401</t>
  </si>
  <si>
    <t>FW USDILS 13/09/2023 - ILS</t>
  </si>
  <si>
    <t>445245780</t>
  </si>
  <si>
    <t>03/10/2022</t>
  </si>
  <si>
    <t>FW USDILS 13/09/2023 - USD</t>
  </si>
  <si>
    <t>445245781</t>
  </si>
  <si>
    <t>445252460</t>
  </si>
  <si>
    <t>19/12/2022</t>
  </si>
  <si>
    <t>445252461</t>
  </si>
  <si>
    <t>FW USDILS 19/07/2023 - ILS</t>
  </si>
  <si>
    <t>445257748</t>
  </si>
  <si>
    <t>13/02/2023</t>
  </si>
  <si>
    <t>FW USDILS 19/07/2023 - USD</t>
  </si>
  <si>
    <t>445257749</t>
  </si>
  <si>
    <t>445261156</t>
  </si>
  <si>
    <t>08/03/2023</t>
  </si>
  <si>
    <t>445261157</t>
  </si>
  <si>
    <t>445261166</t>
  </si>
  <si>
    <t>445261167</t>
  </si>
  <si>
    <t>445264156</t>
  </si>
  <si>
    <t>22/03/2023</t>
  </si>
  <si>
    <t>445264157</t>
  </si>
  <si>
    <t>445264180</t>
  </si>
  <si>
    <t>23/03/2023</t>
  </si>
  <si>
    <t>445264181</t>
  </si>
  <si>
    <t>445264626</t>
  </si>
  <si>
    <t>30/03/2023</t>
  </si>
  <si>
    <t>445264627</t>
  </si>
  <si>
    <t>FW USDILS 06/12/2023 - ILS</t>
  </si>
  <si>
    <t>445267288</t>
  </si>
  <si>
    <t>24/04/2023</t>
  </si>
  <si>
    <t>FW USDILS 06/12/2023 - USD</t>
  </si>
  <si>
    <t>445267289</t>
  </si>
  <si>
    <t>445267554</t>
  </si>
  <si>
    <t>27/04/2023</t>
  </si>
  <si>
    <t>445267555</t>
  </si>
  <si>
    <t>FW USDILS 06/09/2023 - ILS</t>
  </si>
  <si>
    <t>445269096</t>
  </si>
  <si>
    <t>02/05/2023</t>
  </si>
  <si>
    <t>FW USDILS 06/09/2023 - USD</t>
  </si>
  <si>
    <t>445269097</t>
  </si>
  <si>
    <t>445269478</t>
  </si>
  <si>
    <t>03/05/2023</t>
  </si>
  <si>
    <t>445269479</t>
  </si>
  <si>
    <t>FW USDILS 26/06/2024 - ILS</t>
  </si>
  <si>
    <t>445269480</t>
  </si>
  <si>
    <t>FW USDILS 26/06/2024 - USD</t>
  </si>
  <si>
    <t>445269481</t>
  </si>
  <si>
    <t>445271274</t>
  </si>
  <si>
    <t>22/05/2023</t>
  </si>
  <si>
    <t>445271275</t>
  </si>
  <si>
    <t>FW USDILS 24/07/2024 - ILS</t>
  </si>
  <si>
    <t>445271276</t>
  </si>
  <si>
    <t>FW USDILS 24/07/2024 - USD</t>
  </si>
  <si>
    <t>445271277</t>
  </si>
  <si>
    <t>445271330</t>
  </si>
  <si>
    <t>445271331</t>
  </si>
  <si>
    <t>445271332</t>
  </si>
  <si>
    <t>445271333</t>
  </si>
  <si>
    <t>445272108</t>
  </si>
  <si>
    <t>05/06/2023</t>
  </si>
  <si>
    <t>445272109</t>
  </si>
  <si>
    <t>445274450</t>
  </si>
  <si>
    <t>28/06/2023</t>
  </si>
  <si>
    <t>445274451</t>
  </si>
  <si>
    <t>סה"כ חוזים עתידיים בחו"ל</t>
  </si>
  <si>
    <t>445258216</t>
  </si>
  <si>
    <t>20/02/2023</t>
  </si>
  <si>
    <t>445258217</t>
  </si>
  <si>
    <t>FW GBPUSD 20/09/2023 - USD</t>
  </si>
  <si>
    <t>445263256</t>
  </si>
  <si>
    <t>20/03/2023</t>
  </si>
  <si>
    <t>FW GBPUSD 20/09/2023 - GBP</t>
  </si>
  <si>
    <t>445263257</t>
  </si>
  <si>
    <t>FW GBPUSD 18/10/2023 - GBP</t>
  </si>
  <si>
    <t>445273386</t>
  </si>
  <si>
    <t>21/06/2023</t>
  </si>
  <si>
    <t>FW GBPUSD 18/10/2023 - USD</t>
  </si>
  <si>
    <t>445273387</t>
  </si>
  <si>
    <t>סה"כ כנגד חסכון עמיתים/מבוטחים</t>
  </si>
  <si>
    <t>333014018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</si>
  <si>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</si>
  <si>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</si>
  <si>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</si>
  <si>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</si>
  <si>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</si>
  <si>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</si>
  <si>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</si>
  <si>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</si>
  <si>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</si>
  <si>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</si>
  <si>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</si>
  <si>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</si>
  <si>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</si>
  <si>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</si>
  <si>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</si>
  <si>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</si>
  <si>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</si>
  <si>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</si>
  <si>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</si>
  <si>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</si>
  <si>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דיסקונט בנק דיסקונט לישראל בע"מ</t>
  </si>
  <si>
    <t>שקל  סיטי בנק סיטיבנק</t>
  </si>
  <si>
    <t>דולר  דיסקונט בנק דיסקונט לישראל בע"מ</t>
  </si>
  <si>
    <t>דולר  סיטי בנק סיטיבנק</t>
  </si>
  <si>
    <t>דולר  סיטי בנק עדכון ידני סיטיבנק</t>
  </si>
  <si>
    <t>Margin FW  Citibank USD סיטיבנק</t>
  </si>
  <si>
    <t>שקל  יו בנק בנק יו-בנק בע"מ</t>
  </si>
  <si>
    <t>דולר  JPM עדכון ידני JPM</t>
  </si>
  <si>
    <t>Margin FW  JPM USD JPM</t>
  </si>
  <si>
    <t>Margin Future  JPM USD JPM</t>
  </si>
  <si>
    <t>Margin Future  JPM EURO JPM</t>
  </si>
  <si>
    <t>שקל  דיסקונט עדכון ידני בנק דיסקונט לישראל בע"מ</t>
  </si>
  <si>
    <t>דולר  דיסקונט עדכון ידני בנק דיסקונט לישראל בע"מ</t>
  </si>
  <si>
    <t>שקל  הפועלים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</si>
  <si>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</si>
  <si>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</si>
  <si>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</si>
  <si>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</si>
  <si>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הפועלים בנק הפועלים בע"מ</t>
  </si>
  <si>
    <t>דולר  הפועלים עדכון ידני בנק הפועלים בע"מ</t>
  </si>
  <si>
    <t>פזו מקסיקני  הפועלים בנק הפועלים בע"מ</t>
  </si>
  <si>
    <t>דולר  פועלים בנק הפועלים בע"מ</t>
  </si>
  <si>
    <t>דולר  פועלים עדכון ידני בנק הפועלים בע"מ</t>
  </si>
  <si>
    <t>דולר  לאומי בנק לאומי לישראל בע"מ</t>
  </si>
  <si>
    <t>אירו  לאומי בנק לאומי לישראל בע"מ</t>
  </si>
  <si>
    <t>שטרלינג  לאומי בנק לאומי לישראל בע"מ</t>
  </si>
  <si>
    <t>דולר  לאומי עדכון ידני בנק לאומי לישראל בע"מ</t>
  </si>
  <si>
    <t>Margin FW  Hapoalim USD בנק הפועלים בע"מ</t>
  </si>
  <si>
    <t>יורו  BNY Bny Mellon</t>
  </si>
  <si>
    <t>*בעל עניין/צד קשור</t>
  </si>
  <si>
    <t>סה"כ יתרות התחייבות להשקעה</t>
  </si>
  <si>
    <t>יין יפני  לאומי בנק לאומי לישראל בע"מ</t>
  </si>
  <si>
    <t>עמית א</t>
  </si>
  <si>
    <t>עמית ב</t>
  </si>
  <si>
    <t>עמית ג</t>
  </si>
  <si>
    <t>עמית ד</t>
  </si>
  <si>
    <t>עמית ה</t>
  </si>
  <si>
    <t>הלוואה לגורם 197</t>
  </si>
  <si>
    <t>עמודה1</t>
  </si>
  <si>
    <t>לא</t>
  </si>
  <si>
    <t>549300NONTBPOYE08O09</t>
  </si>
  <si>
    <t>22210029BWUM47M5IC61</t>
  </si>
  <si>
    <t>213800EH8RDDKCSGK398</t>
  </si>
  <si>
    <t>549300U6ULJL7WUJ6046</t>
  </si>
  <si>
    <t>ECPGFXU8A2SHKVVGJI15</t>
  </si>
  <si>
    <t>635400KZRKKKNVCJXD85</t>
  </si>
  <si>
    <t>635400TBVC4RHQO4KZ59</t>
  </si>
  <si>
    <t>549300QKN7I8BYECLG85</t>
  </si>
  <si>
    <t>5493002PH3Z252VH0Z10</t>
  </si>
  <si>
    <t>5493003N1TMIMOXBYK56</t>
  </si>
  <si>
    <t>549300O80OAR5VTWR172</t>
  </si>
  <si>
    <t>549300OO3LEZN53XCB15</t>
  </si>
  <si>
    <t>549300FJMHPYN6U09212</t>
  </si>
  <si>
    <t>549300JWBW5ZYYLO6033</t>
  </si>
  <si>
    <t>353800U3TPEO41XXQE39</t>
  </si>
  <si>
    <t>549300NZAMSJ8FXPQQ63</t>
  </si>
  <si>
    <t>5493002789CX3L0CJP65</t>
  </si>
  <si>
    <t>549300SRFOTV55N8QG37</t>
  </si>
  <si>
    <t>549300RMMYLGSFFMT454</t>
  </si>
  <si>
    <t>549300T3CSCFW1IFJC98</t>
  </si>
  <si>
    <t>54930044TWZ26JPZ4913</t>
  </si>
  <si>
    <t>5493002C2LG0TVRY4T35</t>
  </si>
  <si>
    <t>549300XNS7MREWVF4X34</t>
  </si>
  <si>
    <t>549300H5C1MUD4I96848</t>
  </si>
  <si>
    <t>54930020KNXIHXO0YU88</t>
  </si>
  <si>
    <t>549300MRTM72PCY20F40</t>
  </si>
  <si>
    <t>549300TN3252QWI8QN78</t>
  </si>
  <si>
    <t>549300WONOCNDW382894</t>
  </si>
  <si>
    <t>549300PNOE8XF3W40W61</t>
  </si>
  <si>
    <t>549300K3LKK0EYI2HU78</t>
  </si>
  <si>
    <t>549300Y1NOU164X4H550</t>
  </si>
  <si>
    <t>549300L5RUQZ388WGS57</t>
  </si>
  <si>
    <t>6354005QXAEQ3HXEHP62</t>
  </si>
  <si>
    <t>549300Q2OQ2U87KJR762</t>
  </si>
  <si>
    <t>549300TKJ3EA6QHM7D23</t>
  </si>
  <si>
    <t>5493000J69Q6KCUCL849</t>
  </si>
  <si>
    <t>549300URDNVSGEWBN526</t>
  </si>
  <si>
    <t>213800MPG89TQUBL5C29</t>
  </si>
  <si>
    <t>353800A9AYNTIQFRDM29</t>
  </si>
  <si>
    <t>549300VY6FEJBCIMET58</t>
  </si>
  <si>
    <t>549300ERQDM80PRYUH21</t>
  </si>
  <si>
    <t>549300CD2I087Y919K79</t>
  </si>
  <si>
    <t>549300SPMSTD3BRHL041</t>
  </si>
  <si>
    <t>549300XR8J1YR1L99580</t>
  </si>
  <si>
    <t>54930064FLK0RD4TRU75</t>
  </si>
  <si>
    <t>549300EJNY3KKJHPOY44</t>
  </si>
  <si>
    <t>549300Y12KQ6ZG08NY28</t>
  </si>
  <si>
    <t>549300Y3ODFMPD5XXL58</t>
  </si>
  <si>
    <t>549300YVZ2R8N1KQH698</t>
  </si>
  <si>
    <t>51AMXMBYJTZWXA4L4L83</t>
  </si>
  <si>
    <t>549300NHQGC72RX55X16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</si>
</sst>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0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1" fillId="2" borderId="34" xfId="3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6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0097B0-5774-46C1-889A-1436AB1592F4}" name="סכום נכסי הקרן1" displayName="סכום_נכסי_הקרן1" ref="A5:C41" totalsRowShown="0" headerRowDxfId="635" dataDxfId="634">
  <tableColumns count="3">
    <tableColumn id="1" xr3:uid="{F609C8A0-ACB2-4490-9EFF-4203576F0983}" name="עמודה1" dataDxfId="633"/>
    <tableColumn id="2" xr3:uid="{A6E303A8-1778-4F06-B1AC-D195138C9FCC}" name="שווי הוגן" dataDxfId="632"/>
    <tableColumn id="3" xr3:uid="{42A791D0-338C-433A-AD78-9AF4A7CFD49B}" name="שיעור מנכסי השקעה" dataDxfId="631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563787-9F9C-4D12-984B-6AE263CB7319}" name="סכום נכסי הקרן0" displayName="סכום_נכסי_הקרן0" ref="B42:C66" totalsRowShown="0" headerRowDxfId="630" dataDxfId="628" headerRowBorderDxfId="629" tableBorderDxfId="627" totalsRowBorderDxfId="626">
  <tableColumns count="2">
    <tableColumn id="1" xr3:uid="{CCDDEDE5-4599-443C-A880-EDE9F823DDE6}" name="שם המטבע" dataDxfId="625"/>
    <tableColumn id="2" xr3:uid="{E9754DE5-DAED-4071-AEB0-B6C905F3C88B}" name="שע&quot;ח" dataDxfId="6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7F4A8-6A98-44F0-9A8E-B26D9315236D}" name="מזומנים1" displayName="מזומנים1" ref="A5:K72" totalsRowShown="0" headerRowDxfId="623" headerRowBorderDxfId="622" tableBorderDxfId="621" headerRowCellStyle="Percent">
  <tableColumns count="11">
    <tableColumn id="1" xr3:uid="{A9EABAC3-9F82-4B92-8BD1-C3C317F56299}" name="שם המנפיק/שם נייר ערך" dataDxfId="620"/>
    <tableColumn id="2" xr3:uid="{421184D2-BE09-4F87-9F0E-593E052768D3}" name="מספר נ&quot;ע" dataDxfId="619"/>
    <tableColumn id="3" xr3:uid="{92A55747-F262-4851-B192-0A42675B24AA}" name="מספר מנפיק" dataDxfId="618"/>
    <tableColumn id="4" xr3:uid="{E4FD7631-D8E4-4290-B062-597C8DA5A7D5}" name="דירוג" dataDxfId="617"/>
    <tableColumn id="5" xr3:uid="{6A479913-7123-4DCC-87ED-AFE3B0B85855}" name="שם מדרג" dataDxfId="616" dataCellStyle="Percent"/>
    <tableColumn id="6" xr3:uid="{F22278AA-4715-4384-A7E4-6C7C749C4930}" name="סוג מטבע" dataDxfId="615"/>
    <tableColumn id="7" xr3:uid="{34F652AC-D8ED-484A-A374-8EEEBC4C9CDF}" name="שעור ריבית" dataDxfId="614" dataCellStyle="Percent"/>
    <tableColumn id="8" xr3:uid="{5F92400F-A00F-4969-B7A1-4738B5822FC9}" name="תשואה לפדיון" dataDxfId="613" dataCellStyle="Comma"/>
    <tableColumn id="9" xr3:uid="{50C04327-7AED-4854-83DE-7D22C8A0231E}" name="שווי שוק" dataDxfId="612" dataCellStyle="Percent"/>
    <tableColumn id="10" xr3:uid="{4F58E16B-3D37-4EF0-AE9E-F51842E543A1}" name="שעור מנכסי אפיק ההשקעה" dataDxfId="611" dataCellStyle="Percent"/>
    <tableColumn id="11" xr3:uid="{8072113B-3CB2-4F5E-8318-48C087E26160}" name="שעור מנכסי השקעה" dataDxfId="610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434565-CE95-4C7E-A28D-0DDA69177831}" name="תעודות התחייבות ממשלתיות1" displayName="תעודות_התחייבות_ממשלתיות1" ref="A6:Q55" totalsRowShown="0" headerRowDxfId="609" dataDxfId="607" headerRowBorderDxfId="608" tableBorderDxfId="606" headerRowCellStyle="Percent" dataCellStyle="Percent">
  <tableColumns count="17">
    <tableColumn id="1" xr3:uid="{75AC1DEA-1FAF-4FCF-A079-7C650D2ED79F}" name="שם המנפיק/שם נייר ערך" dataDxfId="605"/>
    <tableColumn id="2" xr3:uid="{D5DA6AF0-D1A3-44F0-BEF9-159846007892}" name="מספר נ&quot;ע" dataDxfId="604"/>
    <tableColumn id="3" xr3:uid="{83AEFB5D-37C3-4B30-8DAD-2E9592DD604F}" name="זירת מסחר" dataDxfId="603"/>
    <tableColumn id="4" xr3:uid="{57120C04-1EF7-435F-804F-4FCCCB49DE26}" name="דירוג" dataDxfId="602"/>
    <tableColumn id="5" xr3:uid="{7818D010-035E-4488-9513-236BE228B2CB}" name="שם מדרג" dataDxfId="601" dataCellStyle="Percent"/>
    <tableColumn id="6" xr3:uid="{E05AC7AA-7A57-4179-ADFE-A69E390B2A94}" name="תאריך רכישה" dataDxfId="600" dataCellStyle="Percent"/>
    <tableColumn id="7" xr3:uid="{E9C9CC3D-CEB8-4D11-9141-3868645D77A7}" name="מח&quot;מ" dataDxfId="599" dataCellStyle="Percent"/>
    <tableColumn id="8" xr3:uid="{9154AA08-5DF5-4D11-BD7C-AA994CCA10AC}" name="סוג מטבע" dataDxfId="598"/>
    <tableColumn id="9" xr3:uid="{403A0F1D-A113-481A-9F1E-385892899EC1}" name="שעור ריבית" dataDxfId="597" dataCellStyle="Percent"/>
    <tableColumn id="10" xr3:uid="{329085AB-66D2-46D1-9D3E-48B8D924AFCA}" name="תשואה לפדיון" dataDxfId="596" dataCellStyle="Comma"/>
    <tableColumn id="11" xr3:uid="{100156BB-BBAD-43EA-B714-26941D01DC6B}" name="ערך נקוב" dataDxfId="595" dataCellStyle="Comma"/>
    <tableColumn id="12" xr3:uid="{CE911D59-41F0-4231-8B10-97128A3DF78A}" name="שער" dataDxfId="594" dataCellStyle="Comma"/>
    <tableColumn id="13" xr3:uid="{03B3E594-0A1A-4D9F-A81F-27411C1CB5CD}" name="פדיון/ריבית לקבל" dataDxfId="593" dataCellStyle="Comma"/>
    <tableColumn id="14" xr3:uid="{5F8497B2-F8B0-49C2-AEB0-20FBEBDC3E12}" name="שווי שוק" dataDxfId="592" dataCellStyle="Percent"/>
    <tableColumn id="15" xr3:uid="{A3AEB1DF-10E9-4EA4-9574-6787E12EF743}" name="שעור מערך נקוב מונפק" dataDxfId="591" dataCellStyle="Percent"/>
    <tableColumn id="16" xr3:uid="{AE3CB505-B310-4D1A-BF64-28A4BD936DE2}" name="שעור מנכסי אפיק ההשקעה" dataDxfId="590" dataCellStyle="Percent"/>
    <tableColumn id="17" xr3:uid="{7A3CC3B8-0BBD-4AC8-B7FC-52E03965B6B5}" name="שעור מנכסי השקעה" dataDxfId="589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1F196E-5F9C-42E5-B8B2-E63DC09DE6D6}" name="תעודות חוב מסחריות1" displayName="תעודות_חוב_מסחריות1" ref="A6:T21" totalsRowShown="0" headerRowDxfId="588" dataDxfId="586" headerRowBorderDxfId="587" tableBorderDxfId="585" headerRowCellStyle="Percent" dataCellStyle="Comma">
  <tableColumns count="20">
    <tableColumn id="1" xr3:uid="{CC7FE0A2-CA86-4522-ADF1-AAF79A8BED5F}" name="שם המנפיק/שם נייר ערך" dataDxfId="584"/>
    <tableColumn id="2" xr3:uid="{8E58B0D7-D4E0-443C-990C-DEC00E77BD1D}" name="מספר נ&quot;ע" dataDxfId="583"/>
    <tableColumn id="3" xr3:uid="{2ECA2D57-6879-4FB0-9A72-CB68E4CA7D46}" name="זירת מסחר" dataDxfId="582"/>
    <tableColumn id="4" xr3:uid="{5A4968AD-E4E8-4F5F-A080-9D5CE2ACA460}" name="ספק מידע" dataDxfId="581"/>
    <tableColumn id="5" xr3:uid="{55655050-761F-434A-9106-91A4A107AC8C}" name="מספר מנפיק" dataDxfId="580"/>
    <tableColumn id="6" xr3:uid="{118E8E57-020B-45B6-BABB-9F1129CA01EA}" name="ענף מסחר" dataDxfId="579"/>
    <tableColumn id="7" xr3:uid="{4B9954C1-2434-4584-9D0D-2B5245F34841}" name="דירוג" dataDxfId="578" dataCellStyle="Percent"/>
    <tableColumn id="8" xr3:uid="{495860AD-083B-4227-9C05-F97FA8780BCD}" name="שם מדרג" dataDxfId="577" dataCellStyle="Percent"/>
    <tableColumn id="9" xr3:uid="{F664E1DC-8F37-4F6C-8E8F-50EFBEB07079}" name="תאריך רכישה" dataDxfId="576" dataCellStyle="Percent"/>
    <tableColumn id="10" xr3:uid="{764EA16D-CAEB-47A4-8B0B-FB30DB96D53A}" name="מח&quot;מ" dataDxfId="575"/>
    <tableColumn id="11" xr3:uid="{3FD9A1F3-5CF5-4640-BFB5-46ACE090A26A}" name="סוג מטבע" dataDxfId="574" dataCellStyle="Percent"/>
    <tableColumn id="12" xr3:uid="{46BEA88F-F66A-43C8-A6B3-732C1AC8FC70}" name="שעור ריבית" dataDxfId="573" dataCellStyle="Comma"/>
    <tableColumn id="13" xr3:uid="{37ED3EB2-E822-4CBD-9282-3D4C38DDDCD7}" name="תשואה לפדיון" dataDxfId="572" dataCellStyle="Comma"/>
    <tableColumn id="14" xr3:uid="{B34E23D9-1DC8-40EA-9EB5-3D3DEB491135}" name="ערך נקוב" dataDxfId="571" dataCellStyle="Comma"/>
    <tableColumn id="15" xr3:uid="{53EDB849-DF35-48E8-BBD1-675BDC7AAA83}" name="שער" dataDxfId="570" dataCellStyle="Percent"/>
    <tableColumn id="16" xr3:uid="{6AF6F052-E507-4D71-BA05-12B8BAEDC903}" name="פדיון/ריבית לקבל" dataDxfId="569" dataCellStyle="Percent"/>
    <tableColumn id="17" xr3:uid="{D28E0C80-938F-4852-88B7-263668B6D39D}" name="שווי שוק" dataDxfId="568" dataCellStyle="Percent"/>
    <tableColumn id="18" xr3:uid="{AE0E2B28-04AD-40B7-8FF4-79260956DBE3}" name="שעור מערך נקוב מונפק" dataDxfId="567" dataCellStyle="Comma"/>
    <tableColumn id="19" xr3:uid="{26B673BD-EDC1-4B22-9CF3-4F33BE299E2B}" name="שעור מנכסי אפיק ההשקעה" dataDxfId="566" dataCellStyle="Comma"/>
    <tableColumn id="20" xr3:uid="{E50718A8-6702-42F5-B418-58FAB017D4ED}" name="שעור מנכסי השקעה" dataDxfId="565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95A1DB-5562-482E-8F4C-BEE56C5AD896}" name="אג&quot;ח קונצרני1" displayName="אג_ח_קונצרני1" ref="A6:T29" totalsRowShown="0" headerRowDxfId="564" dataDxfId="562" headerRowBorderDxfId="563" tableBorderDxfId="561" headerRowCellStyle="Percent" dataCellStyle="Comma">
  <tableColumns count="20">
    <tableColumn id="1" xr3:uid="{F29B2DC1-A2B1-4D01-93BA-DAFD1D177954}" name="שם המנפיק/שם נייר ערך" dataDxfId="560"/>
    <tableColumn id="2" xr3:uid="{C4C35C11-98D3-4B62-BFAB-6366EB1D6FF8}" name="מספר נ&quot;ע" dataDxfId="559"/>
    <tableColumn id="3" xr3:uid="{1E09E160-4DEE-41A8-9519-1EB9C9D20FB4}" name="זירת מסחר" dataDxfId="558"/>
    <tableColumn id="4" xr3:uid="{FCDC809A-7B19-4D7C-AE6A-3DDFFFDD16B4}" name="ספק מידע" dataDxfId="557"/>
    <tableColumn id="5" xr3:uid="{CDD441A1-4F9F-4664-BB74-9B516E3ABCC0}" name="מספר מנפיק" dataDxfId="556"/>
    <tableColumn id="6" xr3:uid="{BA2A35D2-16CC-4FB9-814D-87748406FEFE}" name="ענף מסחר" dataDxfId="555"/>
    <tableColumn id="7" xr3:uid="{D5908BCB-3D55-4291-A21A-C3C7ED001E95}" name="דירוג" dataDxfId="554" dataCellStyle="Percent"/>
    <tableColumn id="8" xr3:uid="{04E51A1F-C37C-49A7-91EF-0544B7413E69}" name="שם מדרג" dataDxfId="553" dataCellStyle="Percent"/>
    <tableColumn id="9" xr3:uid="{4CFEC565-64BB-4721-86AC-E12C6F98E071}" name="תאריך רכישה" dataDxfId="552" dataCellStyle="Percent"/>
    <tableColumn id="10" xr3:uid="{EEBCC0D4-B28B-44F8-93BC-C0ED3BEA3198}" name="מח&quot;מ" dataDxfId="551"/>
    <tableColumn id="11" xr3:uid="{E71066DF-68DC-4DCD-B1BF-E935C63C9DC3}" name="סוג מטבע" dataDxfId="550" dataCellStyle="Percent"/>
    <tableColumn id="12" xr3:uid="{FBD916A0-A873-4D92-A7B7-4C4633339AC3}" name="שעור ריבית" dataDxfId="549" dataCellStyle="Comma"/>
    <tableColumn id="13" xr3:uid="{0109DA2F-82DE-4E07-8AAD-BA19561CA184}" name="תשואה לפדיון" dataDxfId="548" dataCellStyle="Comma"/>
    <tableColumn id="14" xr3:uid="{229F849D-1D8E-41D0-B393-748B8E71E71A}" name="ערך נקוב" dataDxfId="547" dataCellStyle="Comma"/>
    <tableColumn id="15" xr3:uid="{6AE5ECAF-CF07-45B7-B35A-CE883274B42D}" name="שער" dataDxfId="546" dataCellStyle="Percent"/>
    <tableColumn id="16" xr3:uid="{F66B95DD-1FC0-4B42-AABC-8A03D8214E18}" name="פדיון/ריבית לקבל" dataDxfId="545" dataCellStyle="Percent"/>
    <tableColumn id="17" xr3:uid="{80CC7B44-28CF-4CF9-9DED-31E8F5141928}" name="שווי שוק" dataDxfId="544" dataCellStyle="Percent"/>
    <tableColumn id="18" xr3:uid="{23F5D63C-ABDC-4C4C-BD7F-C7C5F11AADDB}" name="שעור מערך נקוב מונפק" dataDxfId="543" dataCellStyle="Comma"/>
    <tableColumn id="19" xr3:uid="{06C19A2A-6BFF-4FD0-8942-DDBD9037C416}" name="שעור מנכסי אפיק ההשקעה" dataDxfId="542" dataCellStyle="Comma"/>
    <tableColumn id="20" xr3:uid="{D3322252-518E-4268-8310-9BB4DE1CCF19}" name="שעור מנכסי השקעה" dataDxfId="541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DCB77D-C0CC-4497-BB4D-28DC339DB645}" name="מניות1" displayName="מניות1" ref="A6:N24" totalsRowShown="0" headerRowDxfId="540" dataDxfId="538" headerRowBorderDxfId="539" tableBorderDxfId="537" headerRowCellStyle="Percent" dataCellStyle="Percent">
  <tableColumns count="14">
    <tableColumn id="1" xr3:uid="{DD4A570C-5245-4696-8052-CBE629E6A4BA}" name="שם המנפיק/שם נייר ערך" dataDxfId="536"/>
    <tableColumn id="2" xr3:uid="{4BC693EF-F912-4E49-B93F-59E2727E81E4}" name="מספר נ&quot;ע" dataDxfId="535"/>
    <tableColumn id="3" xr3:uid="{5844EB35-8683-4E5B-A791-8BB1604934EF}" name="זירת מסחר" dataDxfId="534"/>
    <tableColumn id="4" xr3:uid="{882D066C-1D21-4A5A-BA01-C2E4BD10B427}" name="ספק מידע" dataDxfId="533"/>
    <tableColumn id="5" xr3:uid="{1BDD4CBB-E41C-4468-B380-F547E30AE9A6}" name="מספר מנפיק" dataDxfId="532"/>
    <tableColumn id="6" xr3:uid="{C74C9D10-DDBF-431F-BEE1-88CE5D500A1C}" name="ענף מסחר" dataDxfId="531"/>
    <tableColumn id="7" xr3:uid="{3BD2557D-64C0-4974-891B-FE4833E0BA7F}" name="סוג מטבע" dataDxfId="530" dataCellStyle="Percent"/>
    <tableColumn id="8" xr3:uid="{48209A97-8770-448B-83CE-0D1AFA19FA51}" name="ערך נקוב" dataDxfId="529" dataCellStyle="Percent"/>
    <tableColumn id="9" xr3:uid="{A9C74A8B-A3A4-408E-97C3-19CEBB2FA77E}" name="שער" dataDxfId="528" dataCellStyle="Percent"/>
    <tableColumn id="10" xr3:uid="{BA3CB028-B400-43EE-AADB-C9880DBDD925}" name="פדיון/ריבית לקבל" dataDxfId="527" dataCellStyle="Percent"/>
    <tableColumn id="11" xr3:uid="{5C8FD1BA-CD18-4439-A654-A1005AC39D17}" name="שווי שוק" dataDxfId="526"/>
    <tableColumn id="12" xr3:uid="{0EE24093-B325-4F86-B429-AEA6FC334156}" name="שעור מערך נקוב מונפק" dataDxfId="525" dataCellStyle="Percent"/>
    <tableColumn id="13" xr3:uid="{EF27F3B5-D901-4299-B526-D1A7FECE4521}" name="שעור מנכסי אפיק ההשקעה" dataDxfId="524" dataCellStyle="Percent"/>
    <tableColumn id="14" xr3:uid="{71A2A37F-2442-4B6C-A705-B12C1A179018}" name="שעור מנכסי השקעה" dataDxfId="523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7C21C79-D213-4450-92B7-DBB6622EFBCF}" name="קרנות סל1" displayName="קרנות_סל1" ref="A6:M90" totalsRowShown="0" headerRowDxfId="522" dataDxfId="520" headerRowBorderDxfId="521" tableBorderDxfId="519" headerRowCellStyle="Percent" dataCellStyle="Percent">
  <tableColumns count="13">
    <tableColumn id="1" xr3:uid="{28E5519E-0C91-431A-831A-B149932FD184}" name="שם המנפיק/שם נייר ערך" dataDxfId="518"/>
    <tableColumn id="2" xr3:uid="{A56E8072-AEA5-417E-A595-31DABCFE2DD3}" name="מספר נ&quot;ע" dataDxfId="517"/>
    <tableColumn id="3" xr3:uid="{EE1BD8EA-8448-4C8D-B6D3-877AC9C5BFEB}" name="זירת מסחר" dataDxfId="516"/>
    <tableColumn id="4" xr3:uid="{CAB7D07D-30FF-4D3F-AE82-2D3D0D8E7720}" name="מספר מנפיק" dataDxfId="515"/>
    <tableColumn id="5" xr3:uid="{91FC22F6-0430-468E-A9D1-5BF7911E5BC7}" name="ענף מסחר" dataDxfId="514"/>
    <tableColumn id="6" xr3:uid="{52CB1963-36CA-4BD1-864E-8A1D1F44FA38}" name="סוג מטבע" dataDxfId="513"/>
    <tableColumn id="7" xr3:uid="{6877F168-EF54-45A1-B6D5-249E4A6F3DB6}" name="ערך נקוב" dataDxfId="512" dataCellStyle="Percent"/>
    <tableColumn id="8" xr3:uid="{B48C20B0-A6F7-47D5-9BE8-A8882A4DEA27}" name="שער" dataDxfId="511" dataCellStyle="Percent"/>
    <tableColumn id="9" xr3:uid="{E4E3AD20-4DC5-4498-B94C-AA1E79E49471}" name="פדיון/ריבית לקבל" dataDxfId="510" dataCellStyle="Percent"/>
    <tableColumn id="10" xr3:uid="{A7D724E6-8A5B-44ED-AE83-425EEA5EA4AB}" name="שווי שוק" dataDxfId="509" dataCellStyle="Percent"/>
    <tableColumn id="11" xr3:uid="{C320792F-AFDF-4766-ABCB-ECF547A53166}" name="שעור מערך נקוב מונפק" dataDxfId="508"/>
    <tableColumn id="12" xr3:uid="{7EB0AF6E-7DE8-407D-A33E-06C780ACF0CE}" name="שעור מנכסי אפיק ההשקעה" dataDxfId="507"/>
    <tableColumn id="13" xr3:uid="{56E44E80-4718-41F1-B3A6-BE56F485B49F}" name="שעור מנכסי השקעה" dataDxfId="506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F7C506-BBF5-4949-B9A7-AAFCDFFCA84C}" name="קרנות נאמנות1" displayName="קרנות_נאמנות1" ref="A6:N30" totalsRowShown="0" headerRowDxfId="505" dataDxfId="503" headerRowBorderDxfId="504" tableBorderDxfId="502" headerRowCellStyle="Percent" dataCellStyle="Comma">
  <tableColumns count="14">
    <tableColumn id="1" xr3:uid="{53D155D3-C52C-4BE5-A888-C99EE6C2B914}" name="שם המנפיק/שם נייר ערך" dataDxfId="501"/>
    <tableColumn id="2" xr3:uid="{B1561BD6-7FF0-4D13-9E50-EBC9F7F9ED25}" name="מספר נ&quot;ע" dataDxfId="500"/>
    <tableColumn id="3" xr3:uid="{A40DA2B0-1339-4CAF-ABCD-075172239B86}" name="זירת מסחר" dataDxfId="499"/>
    <tableColumn id="4" xr3:uid="{388ABD54-60E3-4F6E-985D-A5C1A38A61D2}" name="מספר מנפיק" dataDxfId="498"/>
    <tableColumn id="5" xr3:uid="{20E0D0DE-B55F-4FF0-A71A-4CB4854A9B6F}" name="ענף מסחר" dataDxfId="497"/>
    <tableColumn id="6" xr3:uid="{220E0AE1-0C5D-4BAF-B9DE-0EFC36BA9FC0}" name="דירוג" dataDxfId="496" dataCellStyle="Percent"/>
    <tableColumn id="7" xr3:uid="{102078D9-8D14-4FA3-9CFE-FE15052802F3}" name="שם מדרג" dataDxfId="495" dataCellStyle="Percent"/>
    <tableColumn id="8" xr3:uid="{36AD8A08-AC87-429E-9ECC-F920E5E251FF}" name="סוג מטבע" dataDxfId="494" dataCellStyle="Percent"/>
    <tableColumn id="9" xr3:uid="{13DFD955-3591-42D6-AA51-B68C19BC553F}" name="ערך נקוב" dataDxfId="493"/>
    <tableColumn id="10" xr3:uid="{0440B052-2FBC-4FE8-9D52-D251520B77A4}" name="שער" dataDxfId="492" dataCellStyle="Percent"/>
    <tableColumn id="11" xr3:uid="{4A18BD79-247A-4505-A036-EFC6B065504F}" name="שווי שוק" dataDxfId="491" dataCellStyle="Comma"/>
    <tableColumn id="12" xr3:uid="{4412FC35-854C-4348-AA2B-C0FFEA4F5FF7}" name="שעור מערך נקוב מונפק" dataDxfId="490" dataCellStyle="Comma"/>
    <tableColumn id="13" xr3:uid="{64221F26-0F1C-4D90-8FA4-0525614E6E3C}" name="שעור מנכסי אפיק ההשקעה" dataDxfId="489" dataCellStyle="Comma"/>
    <tableColumn id="14" xr3:uid="{EBB3AFAF-FEC3-4528-9E14-C82BF7255D9D}" name="שעור מנכסי השקעה" dataDxfId="488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4169366-2564-412F-92CD-AB7023A358A6}" name="כתבי אופציה1" displayName="כתבי_אופציה1" ref="A6:K18" totalsRowShown="0" headerRowDxfId="487" dataDxfId="485" headerRowBorderDxfId="486" tableBorderDxfId="484" headerRowCellStyle="Percent" dataCellStyle="Percent">
  <tableColumns count="11">
    <tableColumn id="1" xr3:uid="{D4977759-8E4B-44CA-AEF7-FE607BB3FD9E}" name="שם המנפיק/שם נייר ערך" dataDxfId="483"/>
    <tableColumn id="2" xr3:uid="{FCB135F5-F3F3-411F-B57F-BEE7C0C04EB7}" name="מספר נ&quot;ע" dataDxfId="482"/>
    <tableColumn id="3" xr3:uid="{2916C0F2-A052-4060-AD91-5C03703D08BE}" name="זירת מסחר" dataDxfId="481"/>
    <tableColumn id="4" xr3:uid="{C1CAC1EB-BF5A-49BD-879E-32917378E93F}" name="ענף מסחר" dataDxfId="480"/>
    <tableColumn id="5" xr3:uid="{36FCD209-6409-46A7-BA30-BD525DC92AA1}" name="סוג מטבע" dataDxfId="479" dataCellStyle="Percent"/>
    <tableColumn id="6" xr3:uid="{5E44DA2E-281E-429D-AB0A-57B22757E064}" name="ערך נקוב" dataDxfId="478" dataCellStyle="Percent"/>
    <tableColumn id="7" xr3:uid="{4A7D47F1-DD76-4AD5-930D-B2F10A753478}" name="שער" dataDxfId="477" dataCellStyle="Percent"/>
    <tableColumn id="8" xr3:uid="{ED89CD18-34BD-4D1B-B070-D6D35EEA4C55}" name="שווי שוק" dataDxfId="476"/>
    <tableColumn id="9" xr3:uid="{FF939558-2378-4079-8E02-7E3709B41835}" name="שעור מערך נקוב מונפק" dataDxfId="475" dataCellStyle="Percent"/>
    <tableColumn id="10" xr3:uid="{B2FF4E4F-5FA6-45A2-9B3B-89EF5E95E770}" name="שעור מנכסי אפיק ההשקעה" dataDxfId="474" dataCellStyle="Percent"/>
    <tableColumn id="11" xr3:uid="{408636A1-B4CE-4FBA-92AF-404847888C03}" name="שעור מנכסי השקעה" dataDxfId="473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B81779C-93C4-47DA-B395-A2DF8F43CFB2}" name="אופציות1" displayName="אופציות1" ref="A6:K27" totalsRowShown="0" headerRowDxfId="472" dataDxfId="470" headerRowBorderDxfId="471" tableBorderDxfId="469" headerRowCellStyle="Percent" dataCellStyle="Percent">
  <tableColumns count="11">
    <tableColumn id="1" xr3:uid="{2093E8A8-54E1-43BF-AB1E-024C636E8158}" name="שם המנפיק/שם נייר ערך" dataDxfId="468"/>
    <tableColumn id="2" xr3:uid="{A61B8AFD-2880-4B08-8416-B9B68A601FE7}" name="מספר נ&quot;ע" dataDxfId="467"/>
    <tableColumn id="3" xr3:uid="{B19F0AFD-A2AC-486C-8553-09C2CF054FE4}" name="זירת מסחר" dataDxfId="466"/>
    <tableColumn id="4" xr3:uid="{697C8070-0FAE-4FD2-B7C8-B645F29510BE}" name="ענף מסחר" dataDxfId="465"/>
    <tableColumn id="5" xr3:uid="{E017DF6E-2C21-4109-9D38-68E79A3DB896}" name="סוג מטבע" dataDxfId="464"/>
    <tableColumn id="6" xr3:uid="{418BE301-EEC0-425C-8B6F-8399F3E7DF30}" name="ערך נקוב" dataDxfId="463" dataCellStyle="Percent"/>
    <tableColumn id="7" xr3:uid="{F4489FE3-D105-4513-8874-AFE4FB153AA4}" name="שער" dataDxfId="462" dataCellStyle="Percent"/>
    <tableColumn id="8" xr3:uid="{74154D27-EF5D-42D0-B025-0919DFC24DC2}" name="שווי שוק" dataDxfId="461" dataCellStyle="Percent"/>
    <tableColumn id="9" xr3:uid="{54EFD41A-19CF-4911-9FFE-5FA5D08607AD}" name="שעור מערך נקוב מונפק" dataDxfId="460"/>
    <tableColumn id="10" xr3:uid="{DF0D79D2-C09E-4DD8-8C9B-332B65BD8A2E}" name="שעור מנכסי אפיק ההשקעה" dataDxfId="459" dataCellStyle="Percent"/>
    <tableColumn id="11" xr3:uid="{CE58977C-00AF-4F1B-AE96-BFFD300AFBB5}" name="שעור מנכסי השקעה" dataDxfId="458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008AA0-6987-41EC-8404-81C5FC485C07}" name="חוזים עתידיים1" displayName="חוזים_עתידיים1" ref="A6:J20" totalsRowShown="0" headerRowDxfId="457" dataDxfId="455" headerRowBorderDxfId="456" tableBorderDxfId="454" headerRowCellStyle="Percent" dataCellStyle="Percent">
  <tableColumns count="10">
    <tableColumn id="1" xr3:uid="{CFE646A0-0228-4B3C-9054-6779EB5B82F9}" name="שם המנפיק/שם נייר ערך" dataDxfId="453"/>
    <tableColumn id="2" xr3:uid="{92FD34BB-FB6E-4B62-B6BB-7A6B7AB0F184}" name="מספר נ&quot;ע" dataDxfId="452"/>
    <tableColumn id="3" xr3:uid="{AA577449-3689-4875-9DA5-61F59265D0DD}" name="זירת מסחר" dataDxfId="451"/>
    <tableColumn id="4" xr3:uid="{CDE780E3-8208-4725-88FA-DA7C417C31C9}" name="ענף מסחר" dataDxfId="450"/>
    <tableColumn id="5" xr3:uid="{6AE663AC-7D9F-442C-8046-BA7BA7709A94}" name="סוג מטבע" dataDxfId="449" dataCellStyle="Percent"/>
    <tableColumn id="6" xr3:uid="{3862F7F3-B69C-41BB-8C74-46B7A4205F64}" name="ערך נקוב" dataDxfId="448" dataCellStyle="Percent"/>
    <tableColumn id="7" xr3:uid="{EE9FAFCE-33B2-46CC-97BD-99EB386BFA25}" name="שער" dataDxfId="447" dataCellStyle="Percent"/>
    <tableColumn id="8" xr3:uid="{1B45DF5B-BC98-44F4-824D-55FD142188F8}" name="שווי שוק" dataDxfId="446"/>
    <tableColumn id="9" xr3:uid="{7D82DD82-1303-40BA-A705-474DB2D29283}" name="שעור מנכסי אפיק ההשקעה" dataDxfId="445"/>
    <tableColumn id="10" xr3:uid="{1996BC7B-FE2E-4676-AF19-CE239AD8DB3A}" name="שעור מנכסי השקעה" dataDxfId="444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54BAC8B-9C43-4D23-AE33-FF60E7E5F230}" name="מוצרים מובנים1" displayName="מוצרים_מובנים1" ref="A6:P30" totalsRowShown="0" headerRowDxfId="443" dataDxfId="441" headerRowBorderDxfId="442" tableBorderDxfId="440" headerRowCellStyle="Percent" dataCellStyle="Comma">
  <tableColumns count="16">
    <tableColumn id="1" xr3:uid="{434FBAEF-1760-4A74-97CD-15C8E54AB1BB}" name="שם המנפיק/שם נייר ערך" dataDxfId="439"/>
    <tableColumn id="2" xr3:uid="{09CB0C48-7A6E-458A-80F8-192A626B5D66}" name="מספר נ&quot;ע" dataDxfId="438"/>
    <tableColumn id="3" xr3:uid="{75857802-8FD4-40D7-A41E-88FF45F8A0A0}" name="נכס הבסיס" dataDxfId="437"/>
    <tableColumn id="4" xr3:uid="{1BB90908-1CC1-4C7F-A5CC-917E87BFD3B4}" name="דירוג" dataDxfId="436" dataCellStyle="Percent"/>
    <tableColumn id="5" xr3:uid="{8C74D5B2-CFC4-4D24-9643-C690E8DABCC7}" name="שם מדרג" dataDxfId="435" dataCellStyle="Percent"/>
    <tableColumn id="6" xr3:uid="{CE0BB521-807E-45FE-9A0A-F2CDE953243C}" name="תאריך רכישה" dataDxfId="434" dataCellStyle="Percent"/>
    <tableColumn id="7" xr3:uid="{EF35B8AD-15EA-4B29-AEDC-6E3B5CFC2AB6}" name="מח&quot;מ" dataDxfId="433"/>
    <tableColumn id="8" xr3:uid="{DBF3E024-59B0-4A59-8E5C-60050C53EF19}" name="סוג מטבע" dataDxfId="432" dataCellStyle="Percent"/>
    <tableColumn id="9" xr3:uid="{F23BC4DB-1D6F-4042-8E4E-FAFC0D26C366}" name="שעור ריבית" dataDxfId="431" dataCellStyle="Comma"/>
    <tableColumn id="10" xr3:uid="{FACB44DD-16F8-4607-959E-C690400B4DCF}" name="תשואה לפדיון" dataDxfId="430" dataCellStyle="Comma"/>
    <tableColumn id="11" xr3:uid="{73069AA3-3121-4D79-97DD-10A859EC165B}" name="ערך נקוב" dataDxfId="429" dataCellStyle="Comma"/>
    <tableColumn id="12" xr3:uid="{741D7928-F4C4-42C2-956A-89563E306B6F}" name="שער" dataDxfId="428" dataCellStyle="Percent"/>
    <tableColumn id="13" xr3:uid="{BC9F508D-BC7F-4AA0-80D4-C6C450B4A941}" name="שווי שוק" dataDxfId="427" dataCellStyle="Percent"/>
    <tableColumn id="14" xr3:uid="{38D375FC-3D5D-4BCF-B4D2-7EDA697E2A90}" name="שעור מערך נקוב מונפק" dataDxfId="426" dataCellStyle="Comma"/>
    <tableColumn id="15" xr3:uid="{10BFC762-82D5-46B8-8C85-867B51505708}" name="שעור מנכסי אפיק ההשקעה" dataDxfId="425" dataCellStyle="Comma"/>
    <tableColumn id="16" xr3:uid="{196F6EDE-EF02-4A59-92A3-980DB2602477}" name="שעור מנכסי השקעה" dataDxfId="424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69B42A1-78E6-49B2-8794-2610CF76D81F}" name="לא סחיר- תעודות התחייבות ממשלתי1" displayName="לא_סחיר__תעודות_התחייבות_ממשלתי1" ref="A6:O23" totalsRowShown="0" headerRowDxfId="423" dataDxfId="421" headerRowBorderDxfId="422" tableBorderDxfId="420" headerRowCellStyle="Percent" dataCellStyle="Percent">
  <tableColumns count="15">
    <tableColumn id="1" xr3:uid="{D20FA8F6-42F2-41F0-BDB7-D2F0B0B57630}" name="שם המנפיק/שם נייר ערך" dataDxfId="419"/>
    <tableColumn id="2" xr3:uid="{456DD1D4-E3B1-43C6-9E9E-FBEDD440922C}" name="מספר נ&quot;ע" dataDxfId="418"/>
    <tableColumn id="3" xr3:uid="{B75BC67E-DE0D-4E2E-BAE4-C6D73392EB7C}" name="דירוג" dataDxfId="417"/>
    <tableColumn id="4" xr3:uid="{BC5A2FE2-F7B6-46B1-848D-8E8EFEAEEBFB}" name="שם מדרג" dataDxfId="416" dataCellStyle="Percent"/>
    <tableColumn id="5" xr3:uid="{ECF99CA4-A5EC-45A6-B1F3-EA606DEF08AB}" name="תאריך רכישה" dataDxfId="415" dataCellStyle="Percent"/>
    <tableColumn id="6" xr3:uid="{17444465-3185-4597-8296-3B02E251ACB2}" name="מח&quot;מ" dataDxfId="414" dataCellStyle="Percent"/>
    <tableColumn id="7" xr3:uid="{FBCA0AA5-57D3-4AD7-A983-F9E3B0909010}" name="סוג מטבע" dataDxfId="413"/>
    <tableColumn id="8" xr3:uid="{BB129BFD-8E0D-4F94-89CF-075B3543CCF2}" name="שעור ריבית" dataDxfId="412" dataCellStyle="Percent"/>
    <tableColumn id="9" xr3:uid="{05AE2D21-09F2-4E98-A477-BCA3E5908901}" name="תשואה לפדיון" dataDxfId="411" dataCellStyle="Comma"/>
    <tableColumn id="10" xr3:uid="{6FED860F-7501-460E-BF7C-72FC68C22BF5}" name="ערך נקוב" dataDxfId="410" dataCellStyle="Comma"/>
    <tableColumn id="11" xr3:uid="{FC063A85-F056-41DD-9B76-1BCE80697815}" name="שער" dataDxfId="409" dataCellStyle="Comma"/>
    <tableColumn id="12" xr3:uid="{741F994A-2372-490F-8C41-0CF3737AACBB}" name="שווי הוגן" dataDxfId="408" dataCellStyle="Percent"/>
    <tableColumn id="13" xr3:uid="{ED5D3231-AF82-4D62-AEDF-10F95640DD8A}" name="שעור מערך נקוב מונפק" dataDxfId="407" dataCellStyle="Percent"/>
    <tableColumn id="14" xr3:uid="{2E7B0594-40B9-463C-801A-F6AC4C9E4DF9}" name="שעור מנכסי אפיק ההשקעה" dataDxfId="406" dataCellStyle="Percent"/>
    <tableColumn id="15" xr3:uid="{992C159F-82DD-45DD-98F7-AAFA846D9940}" name="שעור מנכסי השקעה" dataDxfId="405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62ED125-9D99-4680-8B89-466991DD3887}" name="לא סחיר - תעודות חוב מסחריות1" displayName="לא_סחיר___תעודות_חוב_מסחריות1" ref="A6:R22" totalsRowShown="0" headerRowDxfId="404" dataDxfId="402" headerRowBorderDxfId="403" tableBorderDxfId="401" headerRowCellStyle="Percent" dataCellStyle="Comma">
  <tableColumns count="18">
    <tableColumn id="1" xr3:uid="{9C86735D-AD09-4E59-A979-8F09D93F8075}" name="שם המנפיק/שם נייר ערך" dataDxfId="400"/>
    <tableColumn id="2" xr3:uid="{78E6BE6A-4319-44B4-BF09-A51DD8FEA5C6}" name="מספר נ&quot;ע" dataDxfId="399"/>
    <tableColumn id="3" xr3:uid="{3B654373-AAEE-4A06-9C8B-80B6F96C76FD}" name="ספק המידע" dataDxfId="398"/>
    <tableColumn id="4" xr3:uid="{416647E3-EAB7-49E6-A48E-2AF1082D1B44}" name="מספר מנפיק" dataDxfId="397"/>
    <tableColumn id="5" xr3:uid="{C2C91AAF-F3E3-4BF8-ADE2-39C4684308EB}" name="ענף מסחר" dataDxfId="396"/>
    <tableColumn id="6" xr3:uid="{CE876398-C94F-4CCC-93B7-3AD65900FA1D}" name="דירוג" dataDxfId="395" dataCellStyle="Percent"/>
    <tableColumn id="7" xr3:uid="{BFA37882-9FB4-41AE-ACE3-6BC3768D2C32}" name="שם מדרג" dataDxfId="394" dataCellStyle="Percent"/>
    <tableColumn id="8" xr3:uid="{D978C4F9-7AE1-49F5-9481-31DCE5F1BA91}" name="תאריך רכישה" dataDxfId="393" dataCellStyle="Percent"/>
    <tableColumn id="9" xr3:uid="{9138043E-9980-4821-8456-A67A0D66476B}" name="מח&quot;מ" dataDxfId="392"/>
    <tableColumn id="10" xr3:uid="{42F3FB2E-54AE-460A-B772-7BBDC89FE210}" name="סוג מטבע" dataDxfId="391" dataCellStyle="Percent"/>
    <tableColumn id="11" xr3:uid="{7377B672-F504-40DE-B26F-5569C88B9E44}" name="שעור ריבית" dataDxfId="390" dataCellStyle="Comma"/>
    <tableColumn id="12" xr3:uid="{2DDED58D-97AF-4DDF-BD7B-4511D66FCB73}" name="תשואה לפדיון" dataDxfId="389" dataCellStyle="Comma"/>
    <tableColumn id="13" xr3:uid="{F9BBDD2D-3201-486E-9CDE-16F52CAF299F}" name="ערך נקוב" dataDxfId="388" dataCellStyle="Comma"/>
    <tableColumn id="14" xr3:uid="{61CF1BCB-049A-40B9-AEFF-5E2344C27D07}" name="שער" dataDxfId="387" dataCellStyle="Percent"/>
    <tableColumn id="15" xr3:uid="{B93E76B3-3996-4475-945F-C7521760CAA7}" name="שווי הוגן" dataDxfId="386" dataCellStyle="Percent"/>
    <tableColumn id="16" xr3:uid="{35B0A99C-987D-4126-975E-ACDC32D0C7AF}" name="שעור מערך נקוב מונפק" dataDxfId="385" dataCellStyle="Comma"/>
    <tableColumn id="17" xr3:uid="{C209F9FF-B614-4415-BA26-52D427B3DF34}" name="שעור מנכסי אפיק ההשקעה" dataDxfId="384" dataCellStyle="Comma"/>
    <tableColumn id="18" xr3:uid="{91A6C20B-853C-4D8C-93EC-D0CD4BB4E15E}" name="שעור מנכסי השקעה" dataDxfId="383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AD3B10D-3303-4218-80EF-A7DA618D8CCD}" name="לא סחיר - אג&quot;ח קונצרני1" displayName="לא_סחיר___אג_ח_קונצרני1" ref="A6:R22" totalsRowShown="0" headerRowDxfId="382" dataDxfId="380" headerRowBorderDxfId="381" tableBorderDxfId="379" headerRowCellStyle="Percent" dataCellStyle="Comma">
  <tableColumns count="18">
    <tableColumn id="1" xr3:uid="{4C7572CE-D6A5-451F-BF91-3BAF99AA3FE0}" name="שם המנפיק/שם נייר ערך" dataDxfId="378"/>
    <tableColumn id="2" xr3:uid="{CAC98A24-997F-434F-AAF7-84326203F8AE}" name="מספר נ&quot;ע" dataDxfId="377"/>
    <tableColumn id="3" xr3:uid="{FEBF4CFF-B66A-4610-A80B-B380914AE646}" name="ספק המידע" dataDxfId="376"/>
    <tableColumn id="4" xr3:uid="{83540005-2CE1-4063-ABE6-1B267B27DC3A}" name="מספר מנפיק" dataDxfId="375"/>
    <tableColumn id="5" xr3:uid="{FB64D7CD-F73F-4B05-ABA4-22B30900CB8A}" name="ענף מסחר" dataDxfId="374"/>
    <tableColumn id="6" xr3:uid="{D5F12AF1-7C90-47FF-B144-C01D08037648}" name="דירוג" dataDxfId="373" dataCellStyle="Percent"/>
    <tableColumn id="7" xr3:uid="{BC91BA71-D108-4871-B8F2-D5E45379E482}" name="שם מדרג" dataDxfId="372" dataCellStyle="Percent"/>
    <tableColumn id="8" xr3:uid="{B2266983-3A84-445C-A310-8EA5668AA2F5}" name="תאריך רכישה" dataDxfId="371" dataCellStyle="Percent"/>
    <tableColumn id="9" xr3:uid="{7C610606-338D-4027-9A7F-273C7EA9CFF6}" name="מח&quot;מ" dataDxfId="370"/>
    <tableColumn id="10" xr3:uid="{5DA12711-E3B1-43BE-8DE0-EF83A215EA26}" name="סוג מטבע" dataDxfId="369" dataCellStyle="Percent"/>
    <tableColumn id="11" xr3:uid="{D1939A48-39EF-4FB4-BF74-FB720715F44D}" name="שעור ריבית" dataDxfId="368" dataCellStyle="Comma"/>
    <tableColumn id="12" xr3:uid="{D52484FE-2715-46CF-8246-DFDB2376A9D8}" name="תשואה לפדיון" dataDxfId="367" dataCellStyle="Comma"/>
    <tableColumn id="13" xr3:uid="{EDC8D163-D988-4B24-9DC5-BB2011A99A31}" name="ערך נקוב" dataDxfId="366" dataCellStyle="Comma"/>
    <tableColumn id="14" xr3:uid="{AC674BBC-4425-44F2-A2D5-801F4F4D6EC6}" name="שער" dataDxfId="365" dataCellStyle="Percent"/>
    <tableColumn id="15" xr3:uid="{2CAC1CCF-521C-47E0-B1AB-CE942BE69BFA}" name="שווי הוגן" dataDxfId="364" dataCellStyle="Percent"/>
    <tableColumn id="16" xr3:uid="{88360F3D-3263-4530-9663-15C44F3D6838}" name="שעור מערך נקוב מונפק" dataDxfId="363" dataCellStyle="Comma"/>
    <tableColumn id="17" xr3:uid="{E48A0819-DBE0-409C-B042-DB20317870A7}" name="שעור מנכסי אפיק ההשקעה" dataDxfId="362" dataCellStyle="Comma"/>
    <tableColumn id="18" xr3:uid="{C6940F72-BE68-4836-B6A9-28163AB879AD}" name="שעור מנכסי השקעה" dataDxfId="361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7512AA1-C1CF-4AC7-9575-CA289FC16A23}" name="לא סחיר - מניות1" displayName="לא_סחיר___מניות1" ref="A6:L18" totalsRowShown="0" headerRowDxfId="360" dataDxfId="358" headerRowBorderDxfId="359" tableBorderDxfId="357" headerRowCellStyle="Percent" dataCellStyle="Percent">
  <tableColumns count="12">
    <tableColumn id="1" xr3:uid="{4315DA8E-EA3D-4815-8E73-0611E0D29563}" name="שם המנפיק/שם נייר ערך" dataDxfId="356"/>
    <tableColumn id="2" xr3:uid="{CB17B31F-C1A2-4B3D-BEBA-98C99D5DB72C}" name="מספר נ&quot;ע" dataDxfId="355"/>
    <tableColumn id="3" xr3:uid="{9755B1EB-6DF1-439B-90A0-10D81348669F}" name="ספק המידע" dataDxfId="354"/>
    <tableColumn id="4" xr3:uid="{C5311E67-61A5-42F9-931F-4BE1D8A48CDA}" name="מספר מנפיק" dataDxfId="353"/>
    <tableColumn id="5" xr3:uid="{6FCFCC44-9FED-498C-A37E-B3FC36C412CE}" name="ענף מסחר" dataDxfId="352"/>
    <tableColumn id="6" xr3:uid="{C6336B2A-8554-449B-9DEE-85FA441CF3E7}" name="סוג מטבע" dataDxfId="351" dataCellStyle="Percent"/>
    <tableColumn id="7" xr3:uid="{A991EFAF-B881-4F45-A7E0-1F9D0926F030}" name="ערך נקוב" dataDxfId="350" dataCellStyle="Percent"/>
    <tableColumn id="8" xr3:uid="{0E6B0A02-D221-4313-A1EC-A802D2EA932F}" name="שער" dataDxfId="349" dataCellStyle="Percent"/>
    <tableColumn id="9" xr3:uid="{9B42FDD7-8398-43A6-9008-96B5B83E51D8}" name="שווי שוק" dataDxfId="348"/>
    <tableColumn id="10" xr3:uid="{6BF7F5A3-BFF0-4996-A657-786DB2CE1403}" name="שעור מערך נקוב מונפק" dataDxfId="347" dataCellStyle="Percent"/>
    <tableColumn id="11" xr3:uid="{83E6217A-1158-45BB-9F16-4BDF40C91186}" name="שעור מנכסי אפיק ההשקעה" dataDxfId="346" dataCellStyle="Percent"/>
    <tableColumn id="12" xr3:uid="{FE47E6C6-57D7-4973-BD5E-0F933303AAA3}" name="שעור מנכסי השקעה" dataDxfId="345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3AF8A88-2787-4F1B-8359-C12AC816F52A}" name="לא סחיר - קרנות השקעה1" displayName="לא_סחיר___קרנות_השקעה1" ref="A6:J24" totalsRowShown="0" headerRowDxfId="344" dataDxfId="342" headerRowBorderDxfId="343" tableBorderDxfId="341" headerRowCellStyle="Percent" dataCellStyle="Comma">
  <tableColumns count="10">
    <tableColumn id="1" xr3:uid="{B9F577B8-EA38-4297-87F9-44F5D6B4F64E}" name="שם המנפיק/שם נייר ערך" dataDxfId="340"/>
    <tableColumn id="2" xr3:uid="{32DFD7AB-3764-4C74-A982-44A29D091886}" name="מספר נ&quot;ע" dataDxfId="339"/>
    <tableColumn id="3" xr3:uid="{7B0E5571-A207-4CF3-83DF-0ACCF243F6EF}" name="סוג מטבע" dataDxfId="338" dataCellStyle="Percent"/>
    <tableColumn id="4" xr3:uid="{6A9475D3-46BB-4E0E-921F-10C4BD3C2BF7}" name="תאריך רכישה" dataDxfId="337" dataCellStyle="Percent"/>
    <tableColumn id="5" xr3:uid="{8645DED6-A918-48D8-A8BC-6CAE8FBB5818}" name="ערך נקוב" dataDxfId="336" dataCellStyle="Percent"/>
    <tableColumn id="6" xr3:uid="{981CED71-456A-4766-BE4A-4223FE3A5915}" name="שער" dataDxfId="335"/>
    <tableColumn id="7" xr3:uid="{4E3B8187-490F-4F56-82F2-9AF043E325A5}" name="שווי הוגן" dataDxfId="334" dataCellStyle="Percent"/>
    <tableColumn id="8" xr3:uid="{8FDAAE0B-ECC5-4CC4-B390-B5D65C52D3ED}" name="שעור מערך נקוב מונפק" dataDxfId="333" dataCellStyle="Comma"/>
    <tableColumn id="9" xr3:uid="{11169930-E249-43D0-95F6-E074709DC59F}" name="שעור מנכסי אפיק ההשקעה" dataDxfId="332" dataCellStyle="Comma"/>
    <tableColumn id="10" xr3:uid="{56B99209-7E23-47B1-A339-A1A4171A74F8}" name="שעור מנכסי השקעה" dataDxfId="331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99F5E24-E5A9-4E4D-B517-836B60249FE6}" name="לא סחיר - כתבי אופציה1" displayName="לא_סחיר___כתבי_אופציה1" ref="A6:K16" totalsRowShown="0" headerRowDxfId="330" dataDxfId="328" headerRowBorderDxfId="329" tableBorderDxfId="327" headerRowCellStyle="Percent" dataCellStyle="Comma">
  <tableColumns count="11">
    <tableColumn id="1" xr3:uid="{5EDF9850-CCF3-4E1C-A607-45E244834413}" name="שם המנפיק/שם נייר ערך" dataDxfId="326"/>
    <tableColumn id="2" xr3:uid="{7C81605A-A688-4FAC-8EED-014D04BC4C97}" name="מספר נ&quot;ע" dataDxfId="325"/>
    <tableColumn id="3" xr3:uid="{00871AC2-1720-451F-AC0C-1398A5C94BD4}" name="ענף מסחר" dataDxfId="324"/>
    <tableColumn id="4" xr3:uid="{BABA43DC-94B9-4BA6-BC09-E37585D206CD}" name="סוג מטבע" dataDxfId="323" dataCellStyle="Percent"/>
    <tableColumn id="5" xr3:uid="{103323D2-914D-4FBB-B601-2D9681C20D8A}" name="תאריך רכישה" dataDxfId="322" dataCellStyle="Percent"/>
    <tableColumn id="6" xr3:uid="{9DA851ED-5B02-4035-B126-51590FE2AD16}" name="ערך נקוב" dataDxfId="321" dataCellStyle="Percent"/>
    <tableColumn id="7" xr3:uid="{22BA1706-A135-4A04-9848-83E830E60904}" name="שער" dataDxfId="320"/>
    <tableColumn id="8" xr3:uid="{FD85A9F1-5C02-4FDC-8BE3-EB666C97AB6D}" name="שווי הוגן" dataDxfId="319" dataCellStyle="Percent"/>
    <tableColumn id="9" xr3:uid="{9A1ED78D-2924-454E-B0DF-0A0A8F6C0C7E}" name="שעור מערך נקוב מונפק" dataDxfId="318" dataCellStyle="Comma"/>
    <tableColumn id="10" xr3:uid="{92EC9F7C-FC15-437C-AAC8-413D90AF29F4}" name="שעור מנכסי אפיק ההשקעה" dataDxfId="317" dataCellStyle="Comma"/>
    <tableColumn id="11" xr3:uid="{9BC609D6-28EA-4162-AA3B-11C1EBBD6E0E}" name="שעור מנכסי השקעה" dataDxfId="316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683001E-69F5-4FBA-B3EF-E06246CAC54F}" name="לא סחיר - אופציות1" displayName="לא_סחיר___אופציות1" ref="A6:K26" totalsRowShown="0" headerRowDxfId="315" dataDxfId="313" headerRowBorderDxfId="314" tableBorderDxfId="312" headerRowCellStyle="Percent" dataCellStyle="Comma">
  <tableColumns count="11">
    <tableColumn id="1" xr3:uid="{EACE7D11-F34D-4872-94E2-F01EFB8A7E37}" name="שם המנפיק/שם נייר ערך" dataDxfId="311"/>
    <tableColumn id="2" xr3:uid="{7754F303-F3F7-4CBB-89D3-2CF4E4073F47}" name="מספר נ&quot;ע" dataDxfId="310"/>
    <tableColumn id="3" xr3:uid="{859E1E4E-8601-4865-AC2D-4175D68F053D}" name="ענף מסחר" dataDxfId="309"/>
    <tableColumn id="4" xr3:uid="{3E6E5CA0-6EC0-459E-A417-2758EB047517}" name="סוג מטבע" dataDxfId="308" dataCellStyle="Percent"/>
    <tableColumn id="5" xr3:uid="{33863D25-CF3C-4E3E-B6A7-E0FB09EE8D35}" name="תאריך רכישה" dataDxfId="307" dataCellStyle="Percent"/>
    <tableColumn id="6" xr3:uid="{623F6D61-DA8B-4EA9-8B01-19FD0989DD32}" name="ערך נקוב" dataDxfId="306" dataCellStyle="Percent"/>
    <tableColumn id="7" xr3:uid="{7C286883-69A0-4046-A87E-3780C74AC623}" name="שער" dataDxfId="305"/>
    <tableColumn id="8" xr3:uid="{4CF28217-FA3F-4D2D-B9C7-773719485199}" name="שווי הוגן" dataDxfId="304" dataCellStyle="Percent"/>
    <tableColumn id="9" xr3:uid="{6A9D70BF-4BF7-45A9-8A70-9027DF1B37E1}" name="שעור מערך נקוב מונפק" dataDxfId="303" dataCellStyle="Comma"/>
    <tableColumn id="10" xr3:uid="{446B8045-2107-43F5-8A77-D836C5523E6B}" name="שעור מנכסי אפיק ההשקעה" dataDxfId="302" dataCellStyle="Comma"/>
    <tableColumn id="11" xr3:uid="{1D00C401-0019-4128-B623-C10499AC6231}" name="שעור מנכסי השקעה" dataDxfId="301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B191A62-7BD1-4F5E-9F18-2DAAD6CD7A60}" name="לא סחיר - חוזים עתידיים1" displayName="לא_סחיר___חוזים_עתידיים1" ref="A6:J73" totalsRowShown="0" headerRowDxfId="300" dataDxfId="298" headerRowBorderDxfId="299" tableBorderDxfId="297" headerRowCellStyle="Percent" dataCellStyle="Percent">
  <tableColumns count="10">
    <tableColumn id="1" xr3:uid="{DAF92069-6C9A-498D-9B8B-1894BD70AE5F}" name="שם המנפיק/שם נייר ערך" dataDxfId="296"/>
    <tableColumn id="2" xr3:uid="{BA4A3F1A-FD47-41D2-84F7-E5E3D01F51A3}" name="מספר נ&quot;ע" dataDxfId="295"/>
    <tableColumn id="3" xr3:uid="{6F48BF48-D88A-4BB5-9C81-0398B3024672}" name="ענף מסחר" dataDxfId="294"/>
    <tableColumn id="4" xr3:uid="{FD209EBB-29C1-435E-9B56-435DA8217FC5}" name="סוג מטבע" dataDxfId="293" dataCellStyle="Percent"/>
    <tableColumn id="5" xr3:uid="{C5DDA560-0550-4E60-A157-086AA3405203}" name="תאריך רכישה" dataDxfId="292" dataCellStyle="Percent"/>
    <tableColumn id="6" xr3:uid="{98E6BACE-8EF0-477E-9D21-35F631015FE2}" name="ערך נקוב" dataDxfId="291" dataCellStyle="Percent"/>
    <tableColumn id="7" xr3:uid="{6AE3A912-324B-4DCA-B2E0-42F60018AB91}" name="שער" dataDxfId="290"/>
    <tableColumn id="8" xr3:uid="{42D56402-72B6-4697-BEB2-08740EC95208}" name="שווי הוגן" dataDxfId="289" dataCellStyle="Percent"/>
    <tableColumn id="9" xr3:uid="{6C759816-502A-4266-8624-D32CB6A968E2}" name="שעור מנכסי אפיק ההשקעה" dataDxfId="288" dataCellStyle="Percent"/>
    <tableColumn id="10" xr3:uid="{63847FFA-61B6-4069-9156-FE94B6EDB154}" name="שעור מנכסי השקעה" dataDxfId="287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443245-68E6-45F5-AD39-BE308DE46524}" name="לא סחיר - מוצרים מובנים1" displayName="לא_סחיר___מוצרים_מובנים1" ref="A6:P30" totalsRowShown="0" headerRowDxfId="286" dataDxfId="284" headerRowBorderDxfId="285" tableBorderDxfId="283" headerRowCellStyle="Percent" dataCellStyle="Comma">
  <tableColumns count="16">
    <tableColumn id="1" xr3:uid="{45D226DE-C591-450B-B752-99FCA6402386}" name="שם המנפיק/שם נייר ערך" dataDxfId="282"/>
    <tableColumn id="2" xr3:uid="{CE2514B7-5A1F-43A4-8E3A-5C90B09B71A1}" name="מספר נ&quot;ע" dataDxfId="281"/>
    <tableColumn id="3" xr3:uid="{0555CDD7-ECDE-4A67-9E31-3540949436C8}" name="נכס הבסיס" dataDxfId="280"/>
    <tableColumn id="4" xr3:uid="{23068C6F-D418-42FA-971A-65FA57884142}" name="דירוג" dataDxfId="279" dataCellStyle="Percent"/>
    <tableColumn id="5" xr3:uid="{A3956DBF-7C15-43E8-8CEB-75C96CD49D76}" name="שם מדרג" dataDxfId="278" dataCellStyle="Percent"/>
    <tableColumn id="6" xr3:uid="{3F45EAD6-3FA6-4922-9B91-B9A474E1FE39}" name="תאריך רכישה" dataDxfId="277" dataCellStyle="Percent"/>
    <tableColumn id="7" xr3:uid="{37094911-870C-48A8-AC4A-51FF463A7ABC}" name="מח&quot;מ" dataDxfId="276"/>
    <tableColumn id="8" xr3:uid="{A1B5FFB8-38DF-4795-AE1F-F891A8F0547D}" name="סוג מטבע" dataDxfId="275" dataCellStyle="Percent"/>
    <tableColumn id="9" xr3:uid="{DFD31B56-B0F2-44E4-8812-C5B974D0660A}" name="שעור ריבית" dataDxfId="274" dataCellStyle="Comma"/>
    <tableColumn id="10" xr3:uid="{1E08054E-803F-416C-A53E-972CBB1246D5}" name="תשואה לפדיון" dataDxfId="273" dataCellStyle="Comma"/>
    <tableColumn id="11" xr3:uid="{DCE50A34-1FF3-4A3E-AFA2-24005CDD34B8}" name="ערך נקוב" dataDxfId="272" dataCellStyle="Comma"/>
    <tableColumn id="12" xr3:uid="{985C9327-1448-45A2-A6B5-00566247A310}" name="שער" dataDxfId="271" dataCellStyle="Percent"/>
    <tableColumn id="13" xr3:uid="{A8E3860C-A126-428D-BF2F-39EB773BE2AA}" name="שווי שוק" dataDxfId="270" dataCellStyle="Percent"/>
    <tableColumn id="14" xr3:uid="{0D47ADA2-53A7-44F3-9E01-82A29333A445}" name="שעור מערך נקוב מונפק" dataDxfId="269" dataCellStyle="Comma"/>
    <tableColumn id="15" xr3:uid="{7E7ECC93-87C7-411D-9B4C-310D6DE24538}" name="שעור מנכסי אפיק ההשקעה" dataDxfId="268" dataCellStyle="Comma"/>
    <tableColumn id="16" xr3:uid="{9C00ACE1-DB9E-497E-B8A9-FB7BC8D0166B}" name="שעור מנכסי השקעה" dataDxfId="267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8DD6040-C17E-4F42-981B-2A39E2768B65}" name="הלוואות1" displayName="הלוואות1" ref="A5:Q35" totalsRowShown="0" headerRowDxfId="266" dataDxfId="264" headerRowBorderDxfId="265" tableBorderDxfId="263" headerRowCellStyle="Percent" dataCellStyle="Comma">
  <tableColumns count="17">
    <tableColumn id="1" xr3:uid="{C9185D79-36C0-45F6-92CE-57A1DEF76584}" name="שם המנפיק/שם נייר ערך" dataDxfId="262"/>
    <tableColumn id="2" xr3:uid="{ADEDB251-8BD4-4AAE-9343-B26DDB130C43}" name="קונסורציום" dataDxfId="261"/>
    <tableColumn id="3" xr3:uid="{E70998D9-6E7A-45BE-8F7F-8234B854E14E}" name="מספר נ&quot;ע" dataDxfId="260"/>
    <tableColumn id="4" xr3:uid="{030FE716-BE4C-4623-A24D-44F697EDFD63}" name="מספר מנפיק" dataDxfId="259"/>
    <tableColumn id="5" xr3:uid="{B53F7C68-7977-4A35-9A76-D8A390CE675D}" name="דירוג" dataDxfId="258"/>
    <tableColumn id="6" xr3:uid="{53A80FBF-C66F-4DA4-9207-E74D95B626F1}" name="תאריך רכישה" dataDxfId="257" dataCellStyle="Percent"/>
    <tableColumn id="7" xr3:uid="{BE419C23-863A-4B83-88AC-F8CF371AA2CF}" name="שם מדרג" dataDxfId="256" dataCellStyle="Percent"/>
    <tableColumn id="8" xr3:uid="{53F34188-0463-4CAC-878B-0D3340C3A626}" name="מח&quot;מ" dataDxfId="255" dataCellStyle="Percent"/>
    <tableColumn id="9" xr3:uid="{5DDE8848-A02F-43C3-8B92-F4C5A8512C55}" name="ענף משק" dataDxfId="254" dataCellStyle="Percent"/>
    <tableColumn id="10" xr3:uid="{D5A6C23E-289C-44F0-A211-15EE8D7DBBC2}" name="סוג מטבע" dataDxfId="253" dataCellStyle="Percent"/>
    <tableColumn id="11" xr3:uid="{9B498A72-BCE3-4E72-B751-A2F809D53C07}" name="שעור ריבית ממוצע" dataDxfId="252"/>
    <tableColumn id="12" xr3:uid="{E31CFA63-2D5B-4490-A3E2-4B88BF9CFB2F}" name="תשואה לפדיון" dataDxfId="251" dataCellStyle="Percent"/>
    <tableColumn id="13" xr3:uid="{1F886A58-44CA-46E3-8896-0053C7BBCC68}" name="ערך נקוב" dataDxfId="250" dataCellStyle="Comma"/>
    <tableColumn id="14" xr3:uid="{A356D369-45C0-4F7C-A29B-30BD4F4357A3}" name="שער" dataDxfId="249" dataCellStyle="Comma"/>
    <tableColumn id="15" xr3:uid="{B3157F06-AF87-4F2F-9B12-022283B31C06}" name="שווי הוגן" dataDxfId="248" dataCellStyle="Comma"/>
    <tableColumn id="16" xr3:uid="{7B246204-C7B8-4419-81DF-F7A70D606DB8}" name="שעור מנכסי אפיק ההשקעה" dataDxfId="247" dataCellStyle="Comma"/>
    <tableColumn id="17" xr3:uid="{BD34D058-971B-4CE8-B217-8145FA760F86}" name="שעור מנכסי השקעה" dataDxfId="246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1C665C8-C28F-424E-A6C2-87A301D57117}" name="פקדונות מעל 3 חודשים1" displayName="פקדונות_מעל_3_חודשים1" ref="A5:N21" totalsRowShown="0" headerRowDxfId="245" dataDxfId="243" headerRowBorderDxfId="244" tableBorderDxfId="242" headerRowCellStyle="Percent" dataCellStyle="Comma">
  <tableColumns count="14">
    <tableColumn id="1" xr3:uid="{1766ED99-3D32-4D4C-ADE9-3D5396698371}" name="שם המנפיק/שם נייר ערך" dataDxfId="241"/>
    <tableColumn id="2" xr3:uid="{30AF7554-4F41-41B8-847F-6FCE77366550}" name="מספר נ&quot;ע" dataDxfId="240"/>
    <tableColumn id="3" xr3:uid="{3141F3F8-E59A-4C3C-8070-D18EC1828E84}" name="מספר מנפיק" dataDxfId="239"/>
    <tableColumn id="4" xr3:uid="{974AAF13-715A-4083-ABE9-7A7E88F65861}" name="דירוג" dataDxfId="238"/>
    <tableColumn id="5" xr3:uid="{99312084-8AEF-4FF7-BA73-3C993EEC1803}" name="שם מדרג" dataDxfId="237" dataCellStyle="Percent"/>
    <tableColumn id="6" xr3:uid="{2A0E436E-A345-4648-AC42-2BE389043913}" name="מח&quot;מ" dataDxfId="236" dataCellStyle="Percent"/>
    <tableColumn id="7" xr3:uid="{1353FB5D-AA4B-4059-BC7C-01E500D2244C}" name="סוג מטבע" dataDxfId="235" dataCellStyle="Percent"/>
    <tableColumn id="8" xr3:uid="{E92FB4A3-AF2D-4A27-9653-E2A8E2A0E467}" name="תנאי ושיעור ריבית" dataDxfId="234"/>
    <tableColumn id="9" xr3:uid="{5CC8737A-24B7-4E94-80B2-C99C4AE0B3D5}" name="תשואה לפדיון" dataDxfId="233" dataCellStyle="Percent"/>
    <tableColumn id="10" xr3:uid="{42A89342-6D67-4220-9116-767D78984D84}" name="ערך נקוב" dataDxfId="232" dataCellStyle="Comma"/>
    <tableColumn id="11" xr3:uid="{4C35FFC0-CCD9-4D9F-ACE1-01B97E8D2EB5}" name="שער" dataDxfId="231" dataCellStyle="Comma"/>
    <tableColumn id="12" xr3:uid="{75EDE15E-DF8D-4F08-9D5E-1FBA0EB19D30}" name="שווי הוגן" dataDxfId="230" dataCellStyle="Comma"/>
    <tableColumn id="13" xr3:uid="{C5F034CE-C32C-48A7-81D1-121A8C725815}" name="שעור מנכסי אפיק ההשקעה" dataDxfId="229" dataCellStyle="Comma"/>
    <tableColumn id="14" xr3:uid="{61FA688C-83E6-4B28-8BBA-F82ECD7F42D2}" name="שעור מנכסי השקעה" dataDxfId="228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2F9EA07-A007-436A-B03A-757D9F33216F}" name="זכויות מקרקעין1" displayName="זכויות_מקרקעין1" ref="A5:I19" totalsRowShown="0" headerRowDxfId="227" dataDxfId="225" headerRowBorderDxfId="226" tableBorderDxfId="224" headerRowCellStyle="Percent" dataCellStyle="Percent">
  <tableColumns count="9">
    <tableColumn id="1" xr3:uid="{BC1810F3-3981-49F1-A465-66E612A8A8A4}" name="שם המנפיק/שם נייר ערך" dataDxfId="223"/>
    <tableColumn id="2" xr3:uid="{9D5EEF4C-37B1-4E1E-AE32-AA0BFF59A86A}" name="תאריך שערוך אחרון" dataDxfId="222"/>
    <tableColumn id="3" xr3:uid="{DD2E6B02-FB93-4086-8483-37C5D887E109}" name="אופי הנכס" dataDxfId="221"/>
    <tableColumn id="4" xr3:uid="{8E2AD282-866B-45D5-B16D-369910597BF9}" name="שעור תשואה במהלך התקופה" dataDxfId="220" dataCellStyle="Percent"/>
    <tableColumn id="5" xr3:uid="{36DFAC5C-3A89-4676-A6A8-4790C394C762}" name="סוג מטבע" dataDxfId="219" dataCellStyle="Percent"/>
    <tableColumn id="6" xr3:uid="{6BC28160-70B4-4DFE-B9EE-89E1A4882C1F}" name="שווי משוערך" dataDxfId="218" dataCellStyle="Percent"/>
    <tableColumn id="7" xr3:uid="{E2618084-7D10-4DBF-8ADD-FEA346A62BE2}" name="שעור מנכסי אפיק ההשקעה" dataDxfId="217" dataCellStyle="Percent"/>
    <tableColumn id="8" xr3:uid="{B9860266-2F77-4E23-9382-B3E388BF580A}" name="שעור מנכסי השקעה" dataDxfId="216" dataCellStyle="Percent"/>
    <tableColumn id="9" xr3:uid="{229BA019-8745-47E1-A016-A2A26F65F7AB}" name="כתובת הנכס" dataDxfId="215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3D651C9-2F56-448B-92FB-D6E2293A884E}" name="השקעה בחברות מוחזקות1" displayName="השקעה_בחברות_מוחזקות1" ref="A5:J15" totalsRowShown="0" headerRowDxfId="214" dataDxfId="212" headerRowBorderDxfId="213" tableBorderDxfId="211" headerRowCellStyle="Percent" dataCellStyle="Percent">
  <tableColumns count="10">
    <tableColumn id="1" xr3:uid="{1907FE4D-63EF-46EC-A087-FD12D3482679}" name="שם המנפיק/שם נייר ערך" dataDxfId="210"/>
    <tableColumn id="2" xr3:uid="{103FD855-F8AA-4707-809F-0FBB49A8CC9A}" name="מספר מנפיק" dataDxfId="209"/>
    <tableColumn id="3" xr3:uid="{18F3602A-525D-4F91-8C21-418B77BA2ABA}" name="דירוג" dataDxfId="208"/>
    <tableColumn id="4" xr3:uid="{EF5CFC31-80B6-448D-B2CB-B4BDE9AA0588}" name="שם המדרג" dataDxfId="207" dataCellStyle="Percent"/>
    <tableColumn id="5" xr3:uid="{673A1201-FC63-426B-88A2-552544FA5E0F}" name="שעור הריבית" dataDxfId="206" dataCellStyle="Percent"/>
    <tableColumn id="6" xr3:uid="{C5CE29C0-67EA-40C1-987B-9EC99989E337}" name="סוג מטבע" dataDxfId="205" dataCellStyle="Percent"/>
    <tableColumn id="7" xr3:uid="{700965A8-BFA2-4A31-A20F-BE404C561FE3}" name="תשואה לפדיון" dataDxfId="204" dataCellStyle="Percent"/>
    <tableColumn id="8" xr3:uid="{BFC19982-2E70-44C6-984F-6196B23D0D79}" name="שווי הוגן" dataDxfId="203" dataCellStyle="Percent"/>
    <tableColumn id="9" xr3:uid="{EAC37CC2-49B5-47F3-8BE1-83B3CF13B08A}" name="שעור מנכסי אפיק ההשקעה" dataDxfId="202" dataCellStyle="Percent"/>
    <tableColumn id="10" xr3:uid="{23CC9242-49DB-4C4A-BE84-94469882AD11}" name="שעור מסך נכסי השקעה" dataDxfId="201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283D945-52E6-4428-B184-A5EB62172368}" name="השקעות אחרות1" displayName="השקעות_אחרות1" ref="A5:J16" totalsRowShown="0" headerRowDxfId="200" dataDxfId="198" headerRowBorderDxfId="199" tableBorderDxfId="197" headerRowCellStyle="Percent" dataCellStyle="Percent">
  <tableColumns count="10">
    <tableColumn id="1" xr3:uid="{B7AFCE8D-CF5B-4F97-A8EA-82C284A8F9CE}" name="שם המנפיק/שם נייר ערך" dataDxfId="196"/>
    <tableColumn id="2" xr3:uid="{061EBAA7-8ADE-48D8-9AF1-A7704AA07139}" name="מספר נייר" dataDxfId="195"/>
    <tableColumn id="3" xr3:uid="{6D7CA81E-7406-4990-A392-B6733ED4096C}" name="דירוג" dataDxfId="194"/>
    <tableColumn id="4" xr3:uid="{C31EE3D5-A4E0-47F1-8546-E099D6487B16}" name="שם מדרג" dataDxfId="193"/>
    <tableColumn id="5" xr3:uid="{BDECFB22-18CC-4A21-B7F4-4935B86475CA}" name="שעור ריבית" dataDxfId="192" dataCellStyle="Percent"/>
    <tableColumn id="6" xr3:uid="{65536DD5-6310-4E6D-8220-AEB4DA022254}" name="סוג מטבע" dataDxfId="191" dataCellStyle="Percent"/>
    <tableColumn id="7" xr3:uid="{144C8CEA-3E78-408D-ABA5-DAA45F1FA1CD}" name="תשואה לפדיון" dataDxfId="190" dataCellStyle="Percent"/>
    <tableColumn id="8" xr3:uid="{EDE733C4-BE59-4464-AE52-3ACF03472889}" name="שווי הוגן" dataDxfId="189" dataCellStyle="Percent"/>
    <tableColumn id="9" xr3:uid="{EAC58182-850B-4F7F-A06B-94A4FFB70B57}" name="שעור מנכסי אפיק ההשקעה" dataDxfId="188" dataCellStyle="Percent"/>
    <tableColumn id="10" xr3:uid="{E89687D9-3AE4-40AE-B76C-B7AA675D4C94}" name="שעור מנכסי השקעה" dataDxfId="187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CE88AFE-14A1-4E8F-B800-6530499832BC}" name="יתרת התחייבות להשקעה1" displayName="יתרת_התחייבות_להשקעה1" ref="A5:C11" totalsRowShown="0" headerRowBorderDxfId="186" tableBorderDxfId="185">
  <tableColumns count="3">
    <tableColumn id="1" xr3:uid="{A7CCFB68-2C8F-43E8-9DAD-D4C92331975B}" name="שם המנפיק/שם נייר ערך"/>
    <tableColumn id="2" xr3:uid="{ABDA61E1-1143-4815-86F1-4AE2F17402B9}" name="סכום ההתחייבות"/>
    <tableColumn id="3" xr3:uid="{2C9D4AF0-5805-4C7E-8362-3B4CF3D1B613}" name="תאריך סיום ההתחייבות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F29041A-272E-4695-80B1-61D318276098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E572E622-BA61-4464-8287-416487F6F44B}" name="שם המנפיק/שם נייר ערך" dataDxfId="181"/>
    <tableColumn id="2" xr3:uid="{310411E9-D6C8-4D62-AD75-5654FBC5FACE}" name="מספר ני&quot;ע" dataDxfId="180" dataCellStyle="Percent"/>
    <tableColumn id="3" xr3:uid="{2B40B04E-E452-439A-A58C-88F03931432E}" name="ענף מסחר" dataDxfId="179" dataCellStyle="Percent"/>
    <tableColumn id="4" xr3:uid="{BE99D99E-3472-4F99-8C36-5990B76FEF67}" name="דירוג" dataDxfId="178" dataCellStyle="Percent"/>
    <tableColumn id="5" xr3:uid="{2E02187D-C2DF-47A1-B2EF-622B0997DB9E}" name="שם מדרג" dataDxfId="177" dataCellStyle="Percent"/>
    <tableColumn id="6" xr3:uid="{DBDA9FF3-A57F-4709-8660-51E115D104BC}" name="תאריך רכישה" dataDxfId="176" dataCellStyle="Percent"/>
    <tableColumn id="7" xr3:uid="{F31CBBDA-959D-4832-BB20-73D43F0645FB}" name="מח&quot;מ" dataDxfId="175" dataCellStyle="Percent"/>
    <tableColumn id="8" xr3:uid="{85C3F20E-980E-43AE-9C12-DC6E4ABE4987}" name="סוג מטבע" dataDxfId="174" dataCellStyle="Percent"/>
    <tableColumn id="9" xr3:uid="{4715D582-DC4E-464D-B5DD-0EA782418EDB}" name="שיעור ריבית" dataDxfId="173" dataCellStyle="Percent"/>
    <tableColumn id="10" xr3:uid="{BE451EC4-73E3-4ABB-8F6D-9493F8FEE595}" name="ריבית אפקטיבית" dataDxfId="172" dataCellStyle="Percent"/>
    <tableColumn id="11" xr3:uid="{AD891C04-1B31-4D52-ADED-86E6EFEAC635}" name="ערך נקוב" dataDxfId="171" dataCellStyle="Comma"/>
    <tableColumn id="12" xr3:uid="{361C8532-51F6-4AC3-9B7F-DEEF92C10C33}" name="עלות מתואמת" dataDxfId="170" dataCellStyle="Percent"/>
    <tableColumn id="13" xr3:uid="{023E4157-2BA2-49FB-844F-D710015B7FA8}" name="שעור מערך נקוב מונפק" dataDxfId="169" dataCellStyle="Comma"/>
    <tableColumn id="14" xr3:uid="{DE126EE0-6C5F-48E1-B503-DBA55CC740B5}" name="שעור מנכסי אפיק ההשקעה" dataDxfId="168" dataCellStyle="Percent"/>
    <tableColumn id="15" xr3:uid="{3F9D5681-5CAE-48B6-A720-E49A44D6CE39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FE3C1A5-521B-49AD-AF29-8334F61EAA89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28479D00-962A-4678-B500-EBDC391E2DE7}" name="שם המנפיק/שם נייר ערך" dataDxfId="163"/>
    <tableColumn id="2" xr3:uid="{798F7479-A246-4319-88B8-2419707421E4}" name="מספר ני&quot;ע" dataDxfId="162" dataCellStyle="Percent"/>
    <tableColumn id="3" xr3:uid="{832C6415-4901-417E-8D04-CF859CDA4992}" name="ענף מסחר" dataDxfId="161" dataCellStyle="Percent"/>
    <tableColumn id="4" xr3:uid="{7AC8B418-1339-4319-9481-22CF0175D463}" name="דירוג" dataDxfId="160" dataCellStyle="Percent"/>
    <tableColumn id="5" xr3:uid="{23F2F1E0-7665-45E5-AF8E-D4DC3AB45C39}" name="שם מדרג" dataDxfId="159" dataCellStyle="Percent"/>
    <tableColumn id="6" xr3:uid="{B38E1E78-F6A8-4543-9C70-12D462E41DA7}" name="תאריך רכישה" dataDxfId="158" dataCellStyle="Percent"/>
    <tableColumn id="7" xr3:uid="{54762DB4-94D2-4046-A7E1-D95DE638395B}" name="מח&quot;מ" dataDxfId="157" dataCellStyle="Percent"/>
    <tableColumn id="8" xr3:uid="{FFD6D1F0-D0F9-4ECD-8D24-64E89D325849}" name="סוג מטבע" dataDxfId="156" dataCellStyle="Percent"/>
    <tableColumn id="9" xr3:uid="{8DEBF8EA-5F79-4448-880B-36F5B31E901E}" name="שיעור ריבית" dataDxfId="155" dataCellStyle="Percent"/>
    <tableColumn id="10" xr3:uid="{4B6181EA-F31B-4458-81CA-DE05D1E42F10}" name="ריבית אפקטיבית" dataDxfId="154" dataCellStyle="Percent"/>
    <tableColumn id="11" xr3:uid="{A6B056FC-7684-44BD-96B1-72AC66593A66}" name="ערך נקוב" dataDxfId="153" dataCellStyle="Comma"/>
    <tableColumn id="12" xr3:uid="{6142DC4A-49A8-4E7F-88A3-072521DFA292}" name="עלות מתואמת" dataDxfId="152" dataCellStyle="Percent"/>
    <tableColumn id="13" xr3:uid="{A22E4C3F-543D-4228-91DD-9BE0F4BFFA93}" name="שעור מערך נקוב מונפק" dataDxfId="151" dataCellStyle="Comma"/>
    <tableColumn id="14" xr3:uid="{F3B221AF-4444-4798-A059-0FB26BB0D03C}" name="שעור מנכסי אפיק ההשקעה" dataDxfId="150" dataCellStyle="Percent"/>
    <tableColumn id="15" xr3:uid="{2AEC0754-7CAD-4774-B66D-F7DD073A6477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A4E07DC-760D-4FE8-BF68-797EE434BEFE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BD0AC20B-29CD-4570-A58B-D02B786B7C04}" name="שם המנפיק/שם נייר ערך" dataDxfId="145"/>
    <tableColumn id="2" xr3:uid="{1F8230ED-87FF-44F9-997D-CFDCCD3F0137}" name="מספר ני&quot;ע" dataDxfId="144" dataCellStyle="Percent"/>
    <tableColumn id="3" xr3:uid="{4B61ECCF-ED9D-470F-8666-43286678ECC9}" name="ענף מסחר" dataDxfId="143" dataCellStyle="Percent"/>
    <tableColumn id="4" xr3:uid="{16C59DCC-E42D-4E0A-A696-663BDE40CC46}" name="דירוג" dataDxfId="142" dataCellStyle="Percent"/>
    <tableColumn id="5" xr3:uid="{8CE3F0CC-B747-4417-841C-ACCB817257B9}" name="שם מדרג" dataDxfId="141" dataCellStyle="Percent"/>
    <tableColumn id="6" xr3:uid="{DE62B606-3B94-4EE6-8629-818FE89023E4}" name="תאריך רכישה" dataDxfId="140" dataCellStyle="Percent"/>
    <tableColumn id="7" xr3:uid="{45B62577-6B78-4336-9609-882830F14539}" name="מח&quot;מ" dataDxfId="139" dataCellStyle="Percent"/>
    <tableColumn id="8" xr3:uid="{3610A9C2-CF67-4D86-A2C9-09D454768F24}" name="סוג מטבע" dataDxfId="138" dataCellStyle="Percent"/>
    <tableColumn id="9" xr3:uid="{F74F85B0-8850-4B2A-9ECA-AE99D444AFC6}" name="שיעור ריבית" dataDxfId="137" dataCellStyle="Percent"/>
    <tableColumn id="10" xr3:uid="{13C01901-E896-4690-8622-DB31361600A4}" name="ריבית אפקטיבית" dataDxfId="136" dataCellStyle="Percent"/>
    <tableColumn id="11" xr3:uid="{3C45F4F4-5EF9-455B-A868-E0101AB41E2D}" name="ערך נקוב" dataDxfId="135" dataCellStyle="Comma"/>
    <tableColumn id="12" xr3:uid="{C10A0C06-6459-47C2-90C7-6CEB24F5C306}" name="עלות מתואמת" dataDxfId="134" dataCellStyle="Percent"/>
    <tableColumn id="13" xr3:uid="{B5E14BC4-0417-49AC-84FB-1B8C3DF32C49}" name="שעור מערך נקוב מונפק" dataDxfId="133" dataCellStyle="Comma"/>
    <tableColumn id="14" xr3:uid="{BAC7BBFC-ECED-4359-9916-868BF2140514}" name="שעור מנכסי אפיק ההשקעה" dataDxfId="132" dataCellStyle="Percent"/>
    <tableColumn id="15" xr3:uid="{C6D192CE-A85F-4FBB-81D2-000153027F69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4DB09049-1947-4527-92A3-3128390C65F2}" name="טבלה32" displayName="טבלה32" ref="A1:B72" headerRowCount="0" totalsRowShown="0">
  <tableColumns count="2">
    <tableColumn id="1" xr3:uid="{610ABA6C-FBF6-4BD3-BE69-1D92DDB3F89E}" name="עמודה1"/>
    <tableColumn id="2" xr3:uid="{5995E59C-36B4-4D0B-8736-C9C25DA67712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0" t="s">
        <v>237</v>
      </c>
      <c r="B1" s="40" t="s">
        <v>150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</row>
    <row r="2" spans="1:54" x14ac:dyDescent="0.25">
      <c r="A2" s="40" t="s">
        <v>238</v>
      </c>
      <c r="B2" s="40" t="s">
        <v>239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</row>
    <row r="3" spans="1:54" x14ac:dyDescent="0.25">
      <c r="A3" s="40" t="s">
        <v>240</v>
      </c>
      <c r="B3" s="40" t="s">
        <v>246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</row>
    <row r="4" spans="1:54" ht="21.75" customHeight="1" x14ac:dyDescent="0.25">
      <c r="A4" s="211" t="s">
        <v>51</v>
      </c>
      <c r="B4" s="212"/>
      <c r="C4" s="213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</row>
    <row r="5" spans="1:54" ht="21.75" customHeight="1" x14ac:dyDescent="0.25">
      <c r="A5" s="186" t="s">
        <v>834</v>
      </c>
      <c r="B5" s="171" t="s">
        <v>29</v>
      </c>
      <c r="C5" s="171" t="s">
        <v>72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</row>
    <row r="6" spans="1:54" ht="15.6" x14ac:dyDescent="0.25">
      <c r="A6" s="170"/>
      <c r="B6" s="179" t="s">
        <v>10</v>
      </c>
      <c r="C6" s="179" t="s">
        <v>9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</row>
    <row r="7" spans="1:54" ht="15.6" x14ac:dyDescent="0.25">
      <c r="A7" s="172"/>
      <c r="B7" s="173" t="s">
        <v>49</v>
      </c>
      <c r="C7" s="173" t="s">
        <v>50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</row>
    <row r="8" spans="1:54" x14ac:dyDescent="0.25">
      <c r="A8" s="174" t="s">
        <v>97</v>
      </c>
      <c r="B8" s="173"/>
      <c r="C8" s="173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</row>
    <row r="9" spans="1:54" x14ac:dyDescent="0.25">
      <c r="A9" s="180" t="s">
        <v>43</v>
      </c>
      <c r="B9" s="181">
        <v>4884.516996463105</v>
      </c>
      <c r="C9" s="182">
        <v>4.8487880388161646E-2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</row>
    <row r="10" spans="1:54" x14ac:dyDescent="0.25">
      <c r="A10" s="175" t="s">
        <v>45</v>
      </c>
      <c r="B10" s="181">
        <v>93531.578293579456</v>
      </c>
      <c r="C10" s="182">
        <v>0.92847419388630903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</row>
    <row r="11" spans="1:54" x14ac:dyDescent="0.25">
      <c r="A11" s="183" t="s">
        <v>12</v>
      </c>
      <c r="B11" s="181">
        <v>21026.005037479477</v>
      </c>
      <c r="C11" s="182">
        <v>0.20872205338550714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</row>
    <row r="12" spans="1:54" x14ac:dyDescent="0.25">
      <c r="A12" s="183" t="s">
        <v>18</v>
      </c>
      <c r="B12" s="181">
        <v>4.9999999999999998E-7</v>
      </c>
      <c r="C12" s="182">
        <v>4.9634263145436772E-12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</row>
    <row r="13" spans="1:54" x14ac:dyDescent="0.25">
      <c r="A13" s="183" t="s">
        <v>20</v>
      </c>
      <c r="B13" s="181">
        <v>1767.4929406000001</v>
      </c>
      <c r="C13" s="182">
        <v>1.7545641944288454E-2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</row>
    <row r="14" spans="1:54" x14ac:dyDescent="0.25">
      <c r="A14" s="183" t="s">
        <v>21</v>
      </c>
      <c r="B14" s="181">
        <v>6.9999999999999997E-7</v>
      </c>
      <c r="C14" s="182">
        <v>6.9487968403611489E-12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</row>
    <row r="15" spans="1:54" x14ac:dyDescent="0.25">
      <c r="A15" s="183" t="s">
        <v>158</v>
      </c>
      <c r="B15" s="181">
        <v>68513.151700999981</v>
      </c>
      <c r="C15" s="182">
        <v>0.68011996009013254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</row>
    <row r="16" spans="1:54" x14ac:dyDescent="0.25">
      <c r="A16" s="183" t="s">
        <v>44</v>
      </c>
      <c r="B16" s="181">
        <v>2086.2886807999998</v>
      </c>
      <c r="C16" s="182">
        <v>2.0710280276034668E-2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</row>
    <row r="17" spans="1:54" x14ac:dyDescent="0.25">
      <c r="A17" s="183" t="s">
        <v>23</v>
      </c>
      <c r="B17" s="181">
        <v>2.0000000000000002E-7</v>
      </c>
      <c r="C17" s="182">
        <v>1.9853705258174713E-12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</row>
    <row r="18" spans="1:54" x14ac:dyDescent="0.25">
      <c r="A18" s="183" t="s">
        <v>24</v>
      </c>
      <c r="B18" s="181">
        <v>16.6722009</v>
      </c>
      <c r="C18" s="182">
        <v>1.6550248133683759E-4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</row>
    <row r="19" spans="1:54" x14ac:dyDescent="0.25">
      <c r="A19" s="183" t="s">
        <v>25</v>
      </c>
      <c r="B19" s="181">
        <v>121.96773020000035</v>
      </c>
      <c r="C19" s="182">
        <v>1.2107556831996906E-3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</row>
    <row r="20" spans="1:54" x14ac:dyDescent="0.25">
      <c r="A20" s="183" t="s">
        <v>26</v>
      </c>
      <c r="B20" s="181">
        <v>1.2000000000000002E-6</v>
      </c>
      <c r="C20" s="182">
        <v>1.1912223154904829E-11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</row>
    <row r="21" spans="1:54" x14ac:dyDescent="0.25">
      <c r="A21" s="174" t="s">
        <v>46</v>
      </c>
      <c r="B21" s="181">
        <v>-257.06488097474016</v>
      </c>
      <c r="C21" s="182">
        <v>-2.5518451895501274E-3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</row>
    <row r="22" spans="1:54" x14ac:dyDescent="0.25">
      <c r="A22" s="183" t="s">
        <v>12</v>
      </c>
      <c r="B22" s="181">
        <v>6.9999999999999997E-7</v>
      </c>
      <c r="C22" s="182">
        <v>6.9487968403611489E-12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</row>
    <row r="23" spans="1:54" x14ac:dyDescent="0.25">
      <c r="A23" s="183" t="s">
        <v>18</v>
      </c>
      <c r="B23" s="181">
        <v>6.0000000000000008E-7</v>
      </c>
      <c r="C23" s="182">
        <v>5.9561115774524143E-12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</row>
    <row r="24" spans="1:54" x14ac:dyDescent="0.25">
      <c r="A24" s="183" t="s">
        <v>20</v>
      </c>
      <c r="B24" s="181">
        <v>6.0000000000000008E-7</v>
      </c>
      <c r="C24" s="182">
        <v>5.9561115774524143E-12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</row>
    <row r="25" spans="1:54" x14ac:dyDescent="0.25">
      <c r="A25" s="183" t="s">
        <v>21</v>
      </c>
      <c r="B25" s="181">
        <v>3.0000000000000004E-7</v>
      </c>
      <c r="C25" s="182">
        <v>2.9780557887262071E-12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</row>
    <row r="26" spans="1:54" x14ac:dyDescent="0.25">
      <c r="A26" s="183" t="s">
        <v>30</v>
      </c>
      <c r="B26" s="181">
        <v>8.0000000000000007E-7</v>
      </c>
      <c r="C26" s="182">
        <v>7.9414821032698852E-12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</row>
    <row r="27" spans="1:54" x14ac:dyDescent="0.25">
      <c r="A27" s="183" t="s">
        <v>31</v>
      </c>
      <c r="B27" s="181">
        <v>2.0000000000000002E-7</v>
      </c>
      <c r="C27" s="182">
        <v>1.9853705258174713E-12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</row>
    <row r="28" spans="1:54" x14ac:dyDescent="0.25">
      <c r="A28" s="183" t="s">
        <v>32</v>
      </c>
      <c r="B28" s="181">
        <v>9.9999999999999995E-7</v>
      </c>
      <c r="C28" s="182">
        <v>9.9268526290873544E-12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</row>
    <row r="29" spans="1:54" x14ac:dyDescent="0.25">
      <c r="A29" s="183" t="s">
        <v>33</v>
      </c>
      <c r="B29" s="181">
        <v>-257.06488637474013</v>
      </c>
      <c r="C29" s="182">
        <v>-2.5518452431551315E-3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</row>
    <row r="30" spans="1:54" x14ac:dyDescent="0.25">
      <c r="A30" s="183" t="s">
        <v>34</v>
      </c>
      <c r="B30" s="181">
        <v>1.2000000000000002E-6</v>
      </c>
      <c r="C30" s="182">
        <v>1.1912223154904829E-11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</row>
    <row r="31" spans="1:54" x14ac:dyDescent="0.25">
      <c r="A31" s="183" t="s">
        <v>35</v>
      </c>
      <c r="B31" s="181">
        <v>2433.9407213000004</v>
      </c>
      <c r="C31" s="182">
        <v>2.4161370848279684E-2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</row>
    <row r="32" spans="1:54" x14ac:dyDescent="0.25">
      <c r="A32" s="183" t="s">
        <v>37</v>
      </c>
      <c r="B32" s="181">
        <v>202.9428719999363</v>
      </c>
      <c r="C32" s="182">
        <v>2.0145839824671063E-3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</row>
    <row r="33" spans="1:54" x14ac:dyDescent="0.25">
      <c r="A33" s="183" t="s">
        <v>47</v>
      </c>
      <c r="B33" s="181">
        <v>4.0000000000000003E-7</v>
      </c>
      <c r="C33" s="182">
        <v>3.9707410516349426E-12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</row>
    <row r="34" spans="1:54" x14ac:dyDescent="0.25">
      <c r="A34" s="183" t="s">
        <v>86</v>
      </c>
      <c r="B34" s="181">
        <v>2.0000000000000002E-7</v>
      </c>
      <c r="C34" s="182">
        <v>1.9853705258174713E-12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</row>
    <row r="35" spans="1:54" x14ac:dyDescent="0.25">
      <c r="A35" s="183" t="s">
        <v>87</v>
      </c>
      <c r="B35" s="181">
        <v>-59.0503298</v>
      </c>
      <c r="C35" s="182">
        <v>-5.8618392162360544E-4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</row>
    <row r="36" spans="1:54" x14ac:dyDescent="0.25">
      <c r="A36" s="174" t="s">
        <v>93</v>
      </c>
      <c r="B36" s="184"/>
      <c r="C36" s="182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</row>
    <row r="37" spans="1:54" x14ac:dyDescent="0.25">
      <c r="A37" s="183" t="s">
        <v>94</v>
      </c>
      <c r="B37" s="184">
        <v>0</v>
      </c>
      <c r="C37" s="182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</row>
    <row r="38" spans="1:54" x14ac:dyDescent="0.25">
      <c r="A38" s="183" t="s">
        <v>95</v>
      </c>
      <c r="B38" s="184">
        <v>0</v>
      </c>
      <c r="C38" s="182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</row>
    <row r="39" spans="1:54" x14ac:dyDescent="0.25">
      <c r="A39" s="183" t="s">
        <v>96</v>
      </c>
      <c r="B39" s="184">
        <v>0</v>
      </c>
      <c r="C39" s="182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</row>
    <row r="40" spans="1:54" x14ac:dyDescent="0.25">
      <c r="A40" s="176" t="s">
        <v>48</v>
      </c>
      <c r="B40" s="177">
        <v>100736.86367316777</v>
      </c>
      <c r="C40" s="178">
        <v>1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</row>
    <row r="41" spans="1:54" x14ac:dyDescent="0.25">
      <c r="A41" s="185" t="s">
        <v>92</v>
      </c>
      <c r="B41" s="181">
        <v>2.0000000000000002E-7</v>
      </c>
      <c r="C41" s="182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</row>
    <row r="42" spans="1:54" x14ac:dyDescent="0.25">
      <c r="A42" s="196"/>
      <c r="B42" s="187" t="s">
        <v>0</v>
      </c>
      <c r="C42" s="188" t="s">
        <v>1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</row>
    <row r="43" spans="1:54" x14ac:dyDescent="0.25">
      <c r="A43" s="40"/>
      <c r="B43" s="189" t="s">
        <v>49</v>
      </c>
      <c r="C43" s="190" t="s">
        <v>50</v>
      </c>
      <c r="D43" s="105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</row>
    <row r="44" spans="1:54" x14ac:dyDescent="0.25">
      <c r="A44" s="40"/>
      <c r="B44" s="191" t="s">
        <v>125</v>
      </c>
      <c r="C44" s="193">
        <v>3.7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</row>
    <row r="45" spans="1:54" x14ac:dyDescent="0.25">
      <c r="A45" s="40"/>
      <c r="B45" s="191" t="s">
        <v>126</v>
      </c>
      <c r="C45" s="193">
        <v>4.0185000000000004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</row>
    <row r="46" spans="1:54" x14ac:dyDescent="0.25">
      <c r="A46" s="40"/>
      <c r="B46" s="191" t="s">
        <v>2</v>
      </c>
      <c r="C46" s="193">
        <v>4.6707000000000001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</row>
    <row r="47" spans="1:54" x14ac:dyDescent="0.25">
      <c r="A47" s="40"/>
      <c r="B47" s="191" t="s">
        <v>131</v>
      </c>
      <c r="C47" s="193">
        <v>2.7898000000000001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</row>
    <row r="48" spans="1:54" x14ac:dyDescent="0.25">
      <c r="A48" s="40"/>
      <c r="B48" s="191" t="s">
        <v>3</v>
      </c>
      <c r="C48" s="193">
        <v>2.4517000000000002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</row>
    <row r="49" spans="1:54" x14ac:dyDescent="0.25">
      <c r="A49" s="40"/>
      <c r="B49" s="191" t="s">
        <v>65</v>
      </c>
      <c r="C49" s="193">
        <v>0.47220000000000001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</row>
    <row r="50" spans="1:54" x14ac:dyDescent="0.25">
      <c r="A50" s="40"/>
      <c r="B50" s="191" t="s">
        <v>127</v>
      </c>
      <c r="C50" s="193">
        <v>2.2509999999999999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</row>
    <row r="51" spans="1:54" x14ac:dyDescent="0.25">
      <c r="A51" s="40"/>
      <c r="B51" s="191" t="s">
        <v>90</v>
      </c>
      <c r="C51" s="194">
        <v>0.54149999999999998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</row>
    <row r="52" spans="1:54" x14ac:dyDescent="0.25">
      <c r="A52" s="40"/>
      <c r="B52" s="191" t="s">
        <v>132</v>
      </c>
      <c r="C52" s="194">
        <v>0.34229999999999999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</row>
    <row r="53" spans="1:54" x14ac:dyDescent="0.25">
      <c r="A53" s="40"/>
      <c r="B53" s="191" t="s">
        <v>289</v>
      </c>
      <c r="C53" s="193">
        <v>2.5581999999999998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</row>
    <row r="54" spans="1:54" ht="12" customHeight="1" x14ac:dyDescent="0.25">
      <c r="A54" s="40"/>
      <c r="B54" s="191" t="s">
        <v>130</v>
      </c>
      <c r="C54" s="194">
        <v>0.2165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</row>
    <row r="55" spans="1:54" x14ac:dyDescent="0.25">
      <c r="A55" s="40"/>
      <c r="B55" s="191" t="s">
        <v>236</v>
      </c>
      <c r="C55" s="194">
        <v>4.1134000000000004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</row>
    <row r="56" spans="1:54" x14ac:dyDescent="0.25">
      <c r="A56" s="40"/>
      <c r="B56" s="191" t="s">
        <v>91</v>
      </c>
      <c r="C56" s="194">
        <v>0.50839999999999996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</row>
    <row r="57" spans="1:54" x14ac:dyDescent="0.25">
      <c r="A57" s="40"/>
      <c r="B57" s="191" t="s">
        <v>163</v>
      </c>
      <c r="C57" s="194">
        <v>0.77429999999999999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</row>
    <row r="58" spans="1:54" x14ac:dyDescent="0.25">
      <c r="A58" s="40"/>
      <c r="B58" s="191" t="s">
        <v>129</v>
      </c>
      <c r="C58" s="194">
        <v>0.16900000000000001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</row>
    <row r="59" spans="1:54" x14ac:dyDescent="0.25">
      <c r="A59" s="40"/>
      <c r="B59" s="191" t="s">
        <v>151</v>
      </c>
      <c r="C59" s="194">
        <v>0.34350000000000003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</row>
    <row r="60" spans="1:54" x14ac:dyDescent="0.25">
      <c r="A60" s="40"/>
      <c r="B60" s="191" t="s">
        <v>161</v>
      </c>
      <c r="C60" s="194">
        <v>0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</row>
    <row r="61" spans="1:54" x14ac:dyDescent="0.25">
      <c r="A61" s="40"/>
      <c r="B61" s="191" t="s">
        <v>152</v>
      </c>
      <c r="C61" s="194">
        <v>0.89990000000000003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</row>
    <row r="62" spans="1:54" x14ac:dyDescent="0.25">
      <c r="A62" s="40"/>
      <c r="B62" s="191" t="s">
        <v>153</v>
      </c>
      <c r="C62" s="194">
        <v>4.5388320000000003E-2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</row>
    <row r="63" spans="1:54" x14ac:dyDescent="0.25">
      <c r="A63" s="40"/>
      <c r="B63" s="191" t="s">
        <v>162</v>
      </c>
      <c r="C63" s="194">
        <v>2.4605500000000002E-4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</row>
    <row r="64" spans="1:54" x14ac:dyDescent="0.25">
      <c r="A64" s="40"/>
      <c r="B64" s="191" t="s">
        <v>154</v>
      </c>
      <c r="C64" s="194">
        <v>4.2000000000000003E-2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</row>
    <row r="65" spans="1:54" x14ac:dyDescent="0.25">
      <c r="A65" s="40"/>
      <c r="B65" s="191" t="s">
        <v>155</v>
      </c>
      <c r="C65" s="194">
        <v>2.7989999999999998E-3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</row>
    <row r="66" spans="1:54" x14ac:dyDescent="0.25">
      <c r="A66" s="40"/>
      <c r="B66" s="192" t="s">
        <v>156</v>
      </c>
      <c r="C66" s="195">
        <v>6.7000000000000004E-2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</row>
    <row r="67" spans="1:54" x14ac:dyDescent="0.25">
      <c r="A67" s="40"/>
      <c r="B67" s="4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</row>
    <row r="68" spans="1:54" x14ac:dyDescent="0.25">
      <c r="A68" s="40"/>
      <c r="B68" s="41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</row>
    <row r="69" spans="1:54" x14ac:dyDescent="0.25">
      <c r="A69" s="40"/>
      <c r="B69" s="41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</row>
    <row r="70" spans="1:54" x14ac:dyDescent="0.25">
      <c r="A70" s="40"/>
      <c r="B70" s="41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</row>
    <row r="71" spans="1:54" x14ac:dyDescent="0.25">
      <c r="A71" s="40"/>
      <c r="B71" s="41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</row>
    <row r="72" spans="1:54" x14ac:dyDescent="0.25">
      <c r="A72" s="40"/>
      <c r="B72" s="41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</row>
    <row r="73" spans="1:54" x14ac:dyDescent="0.25">
      <c r="A73" s="40"/>
      <c r="B73" s="41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</row>
    <row r="74" spans="1:54" x14ac:dyDescent="0.25">
      <c r="A74" s="40"/>
      <c r="B74" s="41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</row>
    <row r="75" spans="1:54" x14ac:dyDescent="0.25">
      <c r="A75" s="40"/>
      <c r="B75" s="41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</row>
    <row r="76" spans="1:54" x14ac:dyDescent="0.25">
      <c r="A76" s="40"/>
      <c r="B76" s="41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</row>
    <row r="77" spans="1:54" x14ac:dyDescent="0.25">
      <c r="A77" s="40"/>
      <c r="B77" s="41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</row>
    <row r="78" spans="1:54" x14ac:dyDescent="0.25">
      <c r="A78" s="40"/>
      <c r="B78" s="41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</row>
    <row r="79" spans="1:54" x14ac:dyDescent="0.25">
      <c r="A79" s="40"/>
      <c r="B79" s="41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</row>
    <row r="80" spans="1:54" x14ac:dyDescent="0.25">
      <c r="A80" s="40"/>
      <c r="B80" s="41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</row>
    <row r="81" spans="1:54" x14ac:dyDescent="0.25">
      <c r="A81" s="40"/>
      <c r="B81" s="41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</row>
    <row r="82" spans="1:54" x14ac:dyDescent="0.25">
      <c r="A82" s="40"/>
      <c r="B82" s="41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</row>
    <row r="83" spans="1:54" x14ac:dyDescent="0.25">
      <c r="A83" s="40"/>
      <c r="B83" s="41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</row>
    <row r="84" spans="1:54" x14ac:dyDescent="0.25">
      <c r="A84" s="40"/>
      <c r="B84" s="41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</row>
    <row r="85" spans="1:54" x14ac:dyDescent="0.25">
      <c r="A85" s="40"/>
      <c r="B85" s="41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</row>
    <row r="86" spans="1:54" x14ac:dyDescent="0.25">
      <c r="A86" s="40"/>
      <c r="B86" s="41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</row>
    <row r="87" spans="1:54" x14ac:dyDescent="0.25">
      <c r="A87" s="40"/>
      <c r="B87" s="41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</row>
    <row r="88" spans="1:54" x14ac:dyDescent="0.25">
      <c r="A88" s="40"/>
      <c r="B88" s="41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</row>
    <row r="89" spans="1:54" x14ac:dyDescent="0.25">
      <c r="A89" s="40"/>
      <c r="B89" s="41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</row>
    <row r="90" spans="1:54" x14ac:dyDescent="0.25">
      <c r="A90" s="40"/>
      <c r="B90" s="41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</row>
    <row r="91" spans="1:54" x14ac:dyDescent="0.25">
      <c r="A91" s="40"/>
      <c r="B91" s="41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</row>
    <row r="92" spans="1:54" x14ac:dyDescent="0.25">
      <c r="A92" s="40"/>
      <c r="B92" s="41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</row>
    <row r="93" spans="1:54" x14ac:dyDescent="0.25">
      <c r="A93" s="40"/>
      <c r="B93" s="41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</row>
    <row r="94" spans="1:54" x14ac:dyDescent="0.25">
      <c r="A94" s="40"/>
      <c r="B94" s="41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</row>
    <row r="95" spans="1:54" x14ac:dyDescent="0.25">
      <c r="A95" s="40"/>
      <c r="B95" s="41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</row>
    <row r="96" spans="1:54" x14ac:dyDescent="0.25">
      <c r="A96" s="40"/>
      <c r="B96" s="41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</row>
    <row r="97" spans="1:54" x14ac:dyDescent="0.25">
      <c r="A97" s="40"/>
      <c r="B97" s="41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</row>
    <row r="98" spans="1:54" x14ac:dyDescent="0.25">
      <c r="A98" s="40"/>
      <c r="B98" s="41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</row>
    <row r="99" spans="1:54" x14ac:dyDescent="0.25">
      <c r="A99" s="40"/>
      <c r="B99" s="41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</row>
    <row r="100" spans="1:54" x14ac:dyDescent="0.25">
      <c r="A100" s="40"/>
      <c r="B100" s="41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</row>
    <row r="101" spans="1:54" x14ac:dyDescent="0.25">
      <c r="A101" s="40"/>
      <c r="B101" s="41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</row>
    <row r="102" spans="1:54" x14ac:dyDescent="0.25">
      <c r="A102" s="40"/>
      <c r="B102" s="41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</row>
    <row r="103" spans="1:54" x14ac:dyDescent="0.25">
      <c r="A103" s="40"/>
      <c r="B103" s="41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</row>
    <row r="104" spans="1:54" x14ac:dyDescent="0.25">
      <c r="A104" s="40"/>
      <c r="B104" s="41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</row>
    <row r="105" spans="1:54" x14ac:dyDescent="0.25">
      <c r="A105" s="40"/>
      <c r="B105" s="4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</row>
    <row r="106" spans="1:54" x14ac:dyDescent="0.25">
      <c r="A106" s="40"/>
      <c r="B106" s="4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</row>
    <row r="107" spans="1:54" x14ac:dyDescent="0.25">
      <c r="A107" s="40"/>
      <c r="B107" s="4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</row>
    <row r="108" spans="1:54" x14ac:dyDescent="0.25">
      <c r="A108" s="40"/>
      <c r="B108" s="4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</row>
    <row r="109" spans="1:54" x14ac:dyDescent="0.25">
      <c r="A109" s="40"/>
      <c r="B109" s="4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</row>
    <row r="110" spans="1:54" x14ac:dyDescent="0.25">
      <c r="A110" s="40"/>
      <c r="B110" s="4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</row>
    <row r="111" spans="1:54" x14ac:dyDescent="0.25">
      <c r="A111" s="40"/>
      <c r="B111" s="4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</row>
    <row r="112" spans="1:54" x14ac:dyDescent="0.25">
      <c r="A112" s="40"/>
      <c r="B112" s="4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</row>
    <row r="113" spans="1:54" x14ac:dyDescent="0.25">
      <c r="A113" s="40"/>
      <c r="B113" s="4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</row>
    <row r="114" spans="1:54" x14ac:dyDescent="0.25">
      <c r="A114" s="40"/>
      <c r="B114" s="4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</row>
    <row r="115" spans="1:54" x14ac:dyDescent="0.25">
      <c r="A115" s="40"/>
      <c r="B115" s="4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</row>
    <row r="116" spans="1:54" x14ac:dyDescent="0.25">
      <c r="A116" s="40"/>
      <c r="B116" s="4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</row>
    <row r="117" spans="1:54" x14ac:dyDescent="0.25">
      <c r="A117" s="40"/>
      <c r="B117" s="4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</row>
    <row r="118" spans="1:54" x14ac:dyDescent="0.25">
      <c r="A118" s="40"/>
      <c r="B118" s="4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</row>
    <row r="119" spans="1:54" x14ac:dyDescent="0.25">
      <c r="A119" s="40"/>
      <c r="B119" s="4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</row>
    <row r="120" spans="1:54" x14ac:dyDescent="0.25">
      <c r="A120" s="40"/>
      <c r="B120" s="4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</row>
    <row r="121" spans="1:54" x14ac:dyDescent="0.25">
      <c r="A121" s="40"/>
      <c r="B121" s="4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</row>
    <row r="122" spans="1:54" x14ac:dyDescent="0.25">
      <c r="A122" s="40"/>
      <c r="B122" s="4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</row>
    <row r="123" spans="1:54" x14ac:dyDescent="0.25">
      <c r="A123" s="40"/>
      <c r="B123" s="4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</row>
    <row r="124" spans="1:54" x14ac:dyDescent="0.25">
      <c r="A124" s="40"/>
      <c r="B124" s="4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</row>
    <row r="125" spans="1:54" x14ac:dyDescent="0.25">
      <c r="A125" s="40"/>
      <c r="B125" s="4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</row>
    <row r="126" spans="1:54" x14ac:dyDescent="0.25">
      <c r="A126" s="40"/>
      <c r="B126" s="4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</row>
    <row r="127" spans="1:54" x14ac:dyDescent="0.25">
      <c r="A127" s="40"/>
      <c r="B127" s="4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</row>
    <row r="128" spans="1:54" x14ac:dyDescent="0.25">
      <c r="A128" s="40"/>
      <c r="B128" s="4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</row>
    <row r="129" spans="1:54" x14ac:dyDescent="0.25">
      <c r="A129" s="40"/>
      <c r="B129" s="4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</row>
    <row r="130" spans="1:54" x14ac:dyDescent="0.25">
      <c r="A130" s="40"/>
      <c r="B130" s="4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</row>
    <row r="131" spans="1:54" x14ac:dyDescent="0.25">
      <c r="A131" s="40"/>
      <c r="B131" s="4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</row>
    <row r="132" spans="1:54" x14ac:dyDescent="0.25">
      <c r="A132" s="40"/>
      <c r="B132" s="4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</row>
    <row r="133" spans="1:54" x14ac:dyDescent="0.25">
      <c r="A133" s="40"/>
      <c r="B133" s="4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</row>
    <row r="134" spans="1:54" x14ac:dyDescent="0.25">
      <c r="A134" s="40"/>
      <c r="B134" s="4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</row>
    <row r="135" spans="1:54" x14ac:dyDescent="0.25">
      <c r="A135" s="40"/>
      <c r="B135" s="4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</row>
    <row r="136" spans="1:54" x14ac:dyDescent="0.25">
      <c r="A136" s="40"/>
      <c r="B136" s="4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</row>
    <row r="137" spans="1:54" x14ac:dyDescent="0.25">
      <c r="A137" s="40"/>
      <c r="B137" s="4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</row>
    <row r="138" spans="1:54" x14ac:dyDescent="0.25">
      <c r="A138" s="40"/>
      <c r="B138" s="4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</row>
    <row r="139" spans="1:54" x14ac:dyDescent="0.25">
      <c r="A139" s="40"/>
      <c r="B139" s="4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</row>
    <row r="140" spans="1:54" x14ac:dyDescent="0.25">
      <c r="A140" s="40"/>
      <c r="B140" s="4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</row>
    <row r="141" spans="1:54" x14ac:dyDescent="0.25">
      <c r="A141" s="40"/>
      <c r="B141" s="4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</row>
    <row r="142" spans="1:54" x14ac:dyDescent="0.25">
      <c r="A142" s="40"/>
      <c r="B142" s="4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</row>
    <row r="143" spans="1:54" x14ac:dyDescent="0.25">
      <c r="A143" s="40"/>
      <c r="B143" s="4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</row>
    <row r="144" spans="1:54" x14ac:dyDescent="0.25">
      <c r="A144" s="40"/>
      <c r="B144" s="4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</row>
    <row r="145" spans="1:54" x14ac:dyDescent="0.25">
      <c r="A145" s="40"/>
      <c r="B145" s="4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</row>
    <row r="146" spans="1:54" x14ac:dyDescent="0.25">
      <c r="A146" s="40"/>
      <c r="B146" s="4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</row>
    <row r="147" spans="1:54" x14ac:dyDescent="0.25">
      <c r="A147" s="40"/>
      <c r="B147" s="4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</row>
    <row r="148" spans="1:54" x14ac:dyDescent="0.25">
      <c r="A148" s="40"/>
      <c r="B148" s="4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</row>
    <row r="149" spans="1:54" x14ac:dyDescent="0.25">
      <c r="A149" s="40"/>
      <c r="B149" s="4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</row>
    <row r="150" spans="1:54" x14ac:dyDescent="0.25">
      <c r="A150" s="40"/>
      <c r="B150" s="4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</row>
    <row r="151" spans="1:54" x14ac:dyDescent="0.25">
      <c r="A151" s="40"/>
      <c r="B151" s="4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</row>
    <row r="152" spans="1:54" x14ac:dyDescent="0.25">
      <c r="A152" s="40"/>
      <c r="B152" s="4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</row>
    <row r="153" spans="1:54" x14ac:dyDescent="0.25">
      <c r="A153" s="40"/>
      <c r="B153" s="4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</row>
    <row r="154" spans="1:54" x14ac:dyDescent="0.25">
      <c r="A154" s="40"/>
      <c r="B154" s="4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</row>
    <row r="155" spans="1:54" x14ac:dyDescent="0.25">
      <c r="A155" s="40"/>
      <c r="B155" s="4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</row>
    <row r="156" spans="1:54" x14ac:dyDescent="0.25">
      <c r="A156" s="40"/>
      <c r="B156" s="4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</row>
    <row r="157" spans="1:54" x14ac:dyDescent="0.25">
      <c r="A157" s="40"/>
      <c r="B157" s="4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</row>
    <row r="158" spans="1:54" x14ac:dyDescent="0.25">
      <c r="A158" s="40"/>
      <c r="B158" s="4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</row>
    <row r="159" spans="1:54" x14ac:dyDescent="0.25">
      <c r="A159" s="40"/>
      <c r="B159" s="4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</row>
    <row r="160" spans="1:54" x14ac:dyDescent="0.25">
      <c r="A160" s="40"/>
      <c r="B160" s="4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</row>
    <row r="161" spans="1:54" x14ac:dyDescent="0.25">
      <c r="A161" s="40"/>
      <c r="B161" s="4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</row>
    <row r="162" spans="1:54" x14ac:dyDescent="0.25">
      <c r="A162" s="40"/>
      <c r="B162" s="4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</row>
    <row r="163" spans="1:54" x14ac:dyDescent="0.25">
      <c r="A163" s="40"/>
      <c r="B163" s="4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</row>
    <row r="164" spans="1:54" x14ac:dyDescent="0.25">
      <c r="A164" s="40"/>
      <c r="B164" s="4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</row>
    <row r="165" spans="1:54" x14ac:dyDescent="0.25">
      <c r="A165" s="40"/>
      <c r="B165" s="4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</row>
    <row r="166" spans="1:54" x14ac:dyDescent="0.25">
      <c r="A166" s="40"/>
      <c r="B166" s="4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</row>
    <row r="167" spans="1:54" x14ac:dyDescent="0.25">
      <c r="A167" s="40"/>
      <c r="B167" s="4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</row>
    <row r="168" spans="1:54" x14ac:dyDescent="0.25">
      <c r="A168" s="40"/>
      <c r="B168" s="4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</row>
    <row r="169" spans="1:54" x14ac:dyDescent="0.25">
      <c r="A169" s="40"/>
      <c r="B169" s="4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</row>
    <row r="170" spans="1:54" x14ac:dyDescent="0.25">
      <c r="A170" s="40"/>
      <c r="B170" s="4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</row>
    <row r="171" spans="1:54" x14ac:dyDescent="0.25">
      <c r="A171" s="40"/>
      <c r="B171" s="4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</row>
    <row r="172" spans="1:54" x14ac:dyDescent="0.25">
      <c r="A172" s="40"/>
      <c r="B172" s="4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</row>
    <row r="173" spans="1:54" x14ac:dyDescent="0.25">
      <c r="A173" s="40"/>
      <c r="B173" s="4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</row>
    <row r="174" spans="1:54" x14ac:dyDescent="0.25">
      <c r="A174" s="40"/>
      <c r="B174" s="4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</row>
    <row r="175" spans="1:54" x14ac:dyDescent="0.25">
      <c r="A175" s="40"/>
      <c r="B175" s="4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</row>
    <row r="176" spans="1:54" x14ac:dyDescent="0.25">
      <c r="A176" s="40"/>
      <c r="B176" s="4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</row>
    <row r="177" spans="1:54" x14ac:dyDescent="0.25">
      <c r="A177" s="40"/>
      <c r="B177" s="4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</row>
    <row r="178" spans="1:54" x14ac:dyDescent="0.25">
      <c r="A178" s="40"/>
      <c r="B178" s="4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</row>
    <row r="179" spans="1:54" x14ac:dyDescent="0.25">
      <c r="A179" s="40"/>
      <c r="B179" s="4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</row>
    <row r="180" spans="1:54" x14ac:dyDescent="0.25">
      <c r="A180" s="40"/>
      <c r="B180" s="4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</row>
    <row r="181" spans="1:54" x14ac:dyDescent="0.25">
      <c r="A181" s="40"/>
      <c r="B181" s="4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</row>
    <row r="182" spans="1:54" x14ac:dyDescent="0.25">
      <c r="A182" s="40"/>
      <c r="B182" s="4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</row>
    <row r="183" spans="1:54" x14ac:dyDescent="0.25">
      <c r="A183" s="40"/>
      <c r="B183" s="4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</row>
    <row r="184" spans="1:54" x14ac:dyDescent="0.25">
      <c r="A184" s="40"/>
      <c r="B184" s="4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</row>
    <row r="185" spans="1:54" x14ac:dyDescent="0.25">
      <c r="A185" s="40"/>
      <c r="B185" s="4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</row>
    <row r="186" spans="1:54" x14ac:dyDescent="0.25">
      <c r="A186" s="40"/>
      <c r="B186" s="4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</row>
    <row r="187" spans="1:54" x14ac:dyDescent="0.25">
      <c r="A187" s="40"/>
      <c r="B187" s="4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</row>
    <row r="188" spans="1:54" x14ac:dyDescent="0.25">
      <c r="A188" s="40"/>
      <c r="B188" s="4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</row>
    <row r="189" spans="1:54" x14ac:dyDescent="0.25">
      <c r="A189" s="40"/>
      <c r="B189" s="4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</row>
    <row r="190" spans="1:54" x14ac:dyDescent="0.25">
      <c r="A190" s="40"/>
      <c r="B190" s="4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</row>
    <row r="191" spans="1:54" x14ac:dyDescent="0.25">
      <c r="A191" s="40"/>
      <c r="B191" s="4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</row>
    <row r="192" spans="1:54" x14ac:dyDescent="0.25">
      <c r="A192" s="40"/>
      <c r="B192" s="4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</row>
    <row r="193" spans="1:54" x14ac:dyDescent="0.25">
      <c r="A193" s="40"/>
      <c r="B193" s="4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</row>
    <row r="194" spans="1:54" x14ac:dyDescent="0.25">
      <c r="A194" s="40"/>
      <c r="B194" s="4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</row>
    <row r="195" spans="1:54" x14ac:dyDescent="0.25">
      <c r="A195" s="40"/>
      <c r="B195" s="4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</row>
    <row r="196" spans="1:54" x14ac:dyDescent="0.25">
      <c r="A196" s="40"/>
      <c r="B196" s="4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</row>
    <row r="197" spans="1:54" x14ac:dyDescent="0.25">
      <c r="A197" s="40"/>
      <c r="B197" s="4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</row>
    <row r="198" spans="1:54" x14ac:dyDescent="0.25">
      <c r="A198" s="40"/>
      <c r="B198" s="4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</row>
    <row r="199" spans="1:54" x14ac:dyDescent="0.25">
      <c r="A199" s="40"/>
      <c r="B199" s="4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</row>
    <row r="200" spans="1:54" x14ac:dyDescent="0.25">
      <c r="A200" s="40"/>
      <c r="B200" s="4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</row>
    <row r="201" spans="1:54" x14ac:dyDescent="0.25">
      <c r="A201" s="40"/>
      <c r="B201" s="4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</row>
    <row r="202" spans="1:54" x14ac:dyDescent="0.25">
      <c r="A202" s="40"/>
      <c r="B202" s="4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</row>
    <row r="203" spans="1:54" x14ac:dyDescent="0.25">
      <c r="A203" s="40"/>
      <c r="B203" s="4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</row>
    <row r="204" spans="1:54" x14ac:dyDescent="0.25">
      <c r="A204" s="40"/>
      <c r="B204" s="4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</row>
    <row r="205" spans="1:54" x14ac:dyDescent="0.25">
      <c r="A205" s="40"/>
      <c r="B205" s="4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</row>
    <row r="206" spans="1:54" x14ac:dyDescent="0.25">
      <c r="A206" s="40"/>
      <c r="B206" s="4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</row>
    <row r="207" spans="1:54" x14ac:dyDescent="0.25">
      <c r="A207" s="40"/>
      <c r="B207" s="4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</row>
    <row r="208" spans="1:54" x14ac:dyDescent="0.25">
      <c r="A208" s="40"/>
      <c r="B208" s="4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</row>
    <row r="209" spans="1:54" x14ac:dyDescent="0.25">
      <c r="A209" s="40"/>
      <c r="B209" s="4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</row>
    <row r="210" spans="1:54" x14ac:dyDescent="0.25">
      <c r="A210" s="40"/>
      <c r="B210" s="4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</row>
    <row r="211" spans="1:54" x14ac:dyDescent="0.25">
      <c r="A211" s="40"/>
      <c r="B211" s="4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</row>
    <row r="212" spans="1:54" x14ac:dyDescent="0.25">
      <c r="A212" s="40"/>
      <c r="B212" s="4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</row>
    <row r="213" spans="1:54" x14ac:dyDescent="0.25">
      <c r="A213" s="40"/>
      <c r="B213" s="4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</row>
    <row r="214" spans="1:54" x14ac:dyDescent="0.25">
      <c r="A214" s="40"/>
      <c r="B214" s="4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</row>
    <row r="215" spans="1:54" x14ac:dyDescent="0.25">
      <c r="A215" s="40"/>
      <c r="B215" s="4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</row>
    <row r="216" spans="1:54" x14ac:dyDescent="0.25">
      <c r="A216" s="40"/>
      <c r="B216" s="4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</row>
    <row r="217" spans="1:54" x14ac:dyDescent="0.25">
      <c r="A217" s="40"/>
      <c r="B217" s="4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</row>
    <row r="218" spans="1:54" x14ac:dyDescent="0.25">
      <c r="A218" s="40"/>
      <c r="B218" s="4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</row>
    <row r="219" spans="1:54" x14ac:dyDescent="0.25">
      <c r="A219" s="40"/>
      <c r="B219" s="4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</row>
    <row r="220" spans="1:54" x14ac:dyDescent="0.25">
      <c r="A220" s="40"/>
      <c r="B220" s="4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</row>
    <row r="221" spans="1:54" x14ac:dyDescent="0.25">
      <c r="A221" s="40"/>
      <c r="B221" s="4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</row>
    <row r="222" spans="1:54" x14ac:dyDescent="0.25">
      <c r="A222" s="40"/>
      <c r="B222" s="4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</row>
    <row r="223" spans="1:54" x14ac:dyDescent="0.25">
      <c r="A223" s="40"/>
      <c r="B223" s="4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</row>
    <row r="224" spans="1:54" x14ac:dyDescent="0.25">
      <c r="A224" s="40"/>
      <c r="B224" s="4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</row>
    <row r="225" spans="1:54" x14ac:dyDescent="0.25">
      <c r="A225" s="40"/>
      <c r="B225" s="4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</row>
    <row r="226" spans="1:54" x14ac:dyDescent="0.25">
      <c r="A226" s="40"/>
      <c r="B226" s="4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</row>
    <row r="227" spans="1:54" x14ac:dyDescent="0.25">
      <c r="A227" s="40"/>
      <c r="B227" s="4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</row>
    <row r="228" spans="1:54" x14ac:dyDescent="0.25">
      <c r="A228" s="40"/>
      <c r="B228" s="4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</row>
    <row r="229" spans="1:54" x14ac:dyDescent="0.25">
      <c r="A229" s="40"/>
      <c r="B229" s="4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</row>
    <row r="230" spans="1:54" x14ac:dyDescent="0.25">
      <c r="A230" s="40"/>
      <c r="B230" s="4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</row>
    <row r="231" spans="1:54" x14ac:dyDescent="0.25">
      <c r="A231" s="40"/>
      <c r="B231" s="4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</row>
    <row r="232" spans="1:54" x14ac:dyDescent="0.25">
      <c r="A232" s="40"/>
      <c r="B232" s="4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</row>
    <row r="233" spans="1:54" x14ac:dyDescent="0.25">
      <c r="A233" s="40"/>
      <c r="B233" s="4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</row>
    <row r="234" spans="1:54" x14ac:dyDescent="0.25">
      <c r="A234" s="40"/>
      <c r="B234" s="4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</row>
    <row r="235" spans="1:54" x14ac:dyDescent="0.25">
      <c r="A235" s="40"/>
      <c r="B235" s="4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</row>
    <row r="236" spans="1:54" x14ac:dyDescent="0.25">
      <c r="A236" s="40"/>
      <c r="B236" s="4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</row>
    <row r="237" spans="1:54" x14ac:dyDescent="0.25">
      <c r="A237" s="40"/>
      <c r="B237" s="4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</row>
    <row r="238" spans="1:54" x14ac:dyDescent="0.25">
      <c r="A238" s="40"/>
      <c r="B238" s="4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</row>
    <row r="239" spans="1:54" x14ac:dyDescent="0.25">
      <c r="A239" s="40"/>
      <c r="B239" s="4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</row>
    <row r="240" spans="1:54" x14ac:dyDescent="0.25">
      <c r="A240" s="40"/>
      <c r="B240" s="4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</row>
    <row r="241" spans="1:54" x14ac:dyDescent="0.25">
      <c r="A241" s="40"/>
      <c r="B241" s="4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</row>
    <row r="242" spans="1:54" x14ac:dyDescent="0.25">
      <c r="A242" s="40"/>
      <c r="B242" s="4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</row>
    <row r="243" spans="1:54" x14ac:dyDescent="0.25">
      <c r="A243" s="40"/>
      <c r="B243" s="4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</row>
    <row r="244" spans="1:54" x14ac:dyDescent="0.25">
      <c r="A244" s="40"/>
      <c r="B244" s="4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</row>
    <row r="245" spans="1:54" x14ac:dyDescent="0.25">
      <c r="A245" s="40"/>
      <c r="B245" s="4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</row>
    <row r="246" spans="1:54" x14ac:dyDescent="0.25">
      <c r="A246" s="40"/>
      <c r="B246" s="4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</row>
    <row r="247" spans="1:54" x14ac:dyDescent="0.25">
      <c r="A247" s="40"/>
      <c r="B247" s="4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</row>
    <row r="248" spans="1:54" x14ac:dyDescent="0.25">
      <c r="A248" s="40"/>
      <c r="B248" s="4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</row>
    <row r="249" spans="1:54" x14ac:dyDescent="0.25">
      <c r="A249" s="40"/>
      <c r="B249" s="4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</row>
    <row r="250" spans="1:54" x14ac:dyDescent="0.25">
      <c r="A250" s="40"/>
      <c r="B250" s="4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</row>
    <row r="251" spans="1:54" x14ac:dyDescent="0.25">
      <c r="A251" s="40"/>
      <c r="B251" s="4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</row>
    <row r="252" spans="1:54" x14ac:dyDescent="0.25">
      <c r="A252" s="40"/>
      <c r="B252" s="4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</row>
    <row r="253" spans="1:54" x14ac:dyDescent="0.25">
      <c r="A253" s="40"/>
      <c r="B253" s="4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</row>
    <row r="254" spans="1:54" x14ac:dyDescent="0.25">
      <c r="A254" s="40"/>
      <c r="B254" s="4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</row>
    <row r="255" spans="1:54" x14ac:dyDescent="0.25">
      <c r="A255" s="40"/>
      <c r="B255" s="4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</row>
    <row r="256" spans="1:54" x14ac:dyDescent="0.25">
      <c r="A256" s="40"/>
      <c r="B256" s="4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</row>
    <row r="257" spans="1:54" x14ac:dyDescent="0.25">
      <c r="A257" s="40"/>
      <c r="B257" s="4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</row>
    <row r="258" spans="1:54" x14ac:dyDescent="0.25">
      <c r="A258" s="40"/>
      <c r="B258" s="4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</row>
    <row r="259" spans="1:54" x14ac:dyDescent="0.25">
      <c r="A259" s="40"/>
      <c r="B259" s="4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</row>
    <row r="260" spans="1:54" x14ac:dyDescent="0.25">
      <c r="A260" s="40"/>
      <c r="B260" s="4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</row>
    <row r="261" spans="1:54" x14ac:dyDescent="0.25">
      <c r="A261" s="40"/>
      <c r="B261" s="4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</row>
    <row r="262" spans="1:54" x14ac:dyDescent="0.25">
      <c r="A262" s="40"/>
      <c r="B262" s="4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</row>
    <row r="263" spans="1:54" x14ac:dyDescent="0.25">
      <c r="A263" s="40"/>
      <c r="B263" s="4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</row>
    <row r="264" spans="1:54" x14ac:dyDescent="0.25">
      <c r="A264" s="40"/>
      <c r="B264" s="4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</row>
    <row r="265" spans="1:54" x14ac:dyDescent="0.25">
      <c r="A265" s="40"/>
      <c r="B265" s="4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</row>
    <row r="266" spans="1:54" x14ac:dyDescent="0.25">
      <c r="A266" s="40"/>
      <c r="B266" s="4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</row>
    <row r="267" spans="1:54" x14ac:dyDescent="0.25">
      <c r="A267" s="40"/>
      <c r="B267" s="4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</row>
    <row r="268" spans="1:54" x14ac:dyDescent="0.25">
      <c r="A268" s="40"/>
      <c r="B268" s="4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</row>
    <row r="269" spans="1:54" x14ac:dyDescent="0.25">
      <c r="A269" s="40"/>
      <c r="B269" s="4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</row>
    <row r="270" spans="1:54" x14ac:dyDescent="0.25">
      <c r="A270" s="40"/>
      <c r="B270" s="4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</row>
    <row r="271" spans="1:54" x14ac:dyDescent="0.25">
      <c r="A271" s="40"/>
      <c r="B271" s="4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</row>
    <row r="272" spans="1:54" x14ac:dyDescent="0.25">
      <c r="A272" s="40"/>
      <c r="B272" s="4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</row>
    <row r="273" spans="1:54" x14ac:dyDescent="0.25">
      <c r="A273" s="40"/>
      <c r="B273" s="4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</row>
    <row r="274" spans="1:54" x14ac:dyDescent="0.25">
      <c r="A274" s="40"/>
      <c r="B274" s="4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</row>
    <row r="275" spans="1:54" x14ac:dyDescent="0.25">
      <c r="A275" s="40"/>
      <c r="B275" s="4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</row>
    <row r="276" spans="1:54" x14ac:dyDescent="0.25">
      <c r="A276" s="40"/>
      <c r="B276" s="4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</row>
    <row r="277" spans="1:54" x14ac:dyDescent="0.25">
      <c r="A277" s="40"/>
      <c r="B277" s="4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</row>
    <row r="278" spans="1:54" x14ac:dyDescent="0.25">
      <c r="A278" s="40"/>
      <c r="B278" s="4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</row>
    <row r="279" spans="1:54" x14ac:dyDescent="0.25">
      <c r="A279" s="40"/>
      <c r="B279" s="4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</row>
    <row r="280" spans="1:54" x14ac:dyDescent="0.25">
      <c r="A280" s="40"/>
      <c r="B280" s="4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</row>
    <row r="281" spans="1:54" x14ac:dyDescent="0.25">
      <c r="A281" s="40"/>
      <c r="B281" s="4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</row>
    <row r="282" spans="1:54" x14ac:dyDescent="0.25">
      <c r="A282" s="40"/>
      <c r="B282" s="4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</row>
    <row r="283" spans="1:54" x14ac:dyDescent="0.25">
      <c r="A283" s="40"/>
      <c r="B283" s="4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</row>
    <row r="284" spans="1:54" x14ac:dyDescent="0.25">
      <c r="A284" s="40"/>
      <c r="B284" s="4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</row>
    <row r="285" spans="1:54" x14ac:dyDescent="0.25">
      <c r="A285" s="40"/>
      <c r="B285" s="4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</row>
    <row r="286" spans="1:54" x14ac:dyDescent="0.25">
      <c r="A286" s="40"/>
      <c r="B286" s="4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</row>
    <row r="287" spans="1:54" x14ac:dyDescent="0.25">
      <c r="A287" s="40"/>
      <c r="B287" s="4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</row>
    <row r="288" spans="1:54" x14ac:dyDescent="0.25">
      <c r="A288" s="40"/>
      <c r="B288" s="4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</row>
    <row r="289" spans="1:54" x14ac:dyDescent="0.25">
      <c r="A289" s="40"/>
      <c r="B289" s="4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</row>
    <row r="290" spans="1:54" x14ac:dyDescent="0.25">
      <c r="A290" s="40"/>
      <c r="B290" s="4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</row>
    <row r="291" spans="1:54" x14ac:dyDescent="0.25">
      <c r="A291" s="40"/>
      <c r="B291" s="4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</row>
    <row r="292" spans="1:54" x14ac:dyDescent="0.25">
      <c r="A292" s="40"/>
      <c r="B292" s="4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</row>
    <row r="293" spans="1:54" x14ac:dyDescent="0.25">
      <c r="A293" s="40"/>
      <c r="B293" s="4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</row>
    <row r="294" spans="1:54" x14ac:dyDescent="0.25">
      <c r="A294" s="40"/>
      <c r="B294" s="4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</row>
    <row r="295" spans="1:54" x14ac:dyDescent="0.25">
      <c r="A295" s="40"/>
      <c r="B295" s="4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</row>
    <row r="296" spans="1:54" x14ac:dyDescent="0.25">
      <c r="A296" s="40"/>
      <c r="B296" s="4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</row>
    <row r="297" spans="1:54" x14ac:dyDescent="0.25">
      <c r="A297" s="40"/>
      <c r="B297" s="4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</row>
    <row r="298" spans="1:54" x14ac:dyDescent="0.25">
      <c r="A298" s="40"/>
      <c r="B298" s="4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</row>
    <row r="299" spans="1:54" x14ac:dyDescent="0.25">
      <c r="A299" s="40"/>
      <c r="B299" s="4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</row>
    <row r="300" spans="1:54" x14ac:dyDescent="0.25">
      <c r="A300" s="40"/>
      <c r="B300" s="4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</row>
    <row r="301" spans="1:54" x14ac:dyDescent="0.25">
      <c r="A301" s="40"/>
      <c r="B301" s="4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</row>
    <row r="302" spans="1:54" x14ac:dyDescent="0.25">
      <c r="A302" s="40"/>
      <c r="B302" s="4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</row>
    <row r="303" spans="1:54" x14ac:dyDescent="0.25">
      <c r="A303" s="40"/>
      <c r="B303" s="4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</row>
    <row r="304" spans="1:54" x14ac:dyDescent="0.25">
      <c r="A304" s="40"/>
      <c r="B304" s="4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</row>
    <row r="305" spans="1:54" x14ac:dyDescent="0.25">
      <c r="A305" s="40"/>
      <c r="B305" s="4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</row>
    <row r="306" spans="1:54" x14ac:dyDescent="0.25">
      <c r="A306" s="40"/>
      <c r="B306" s="4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</row>
    <row r="307" spans="1:54" x14ac:dyDescent="0.25">
      <c r="A307" s="40"/>
      <c r="B307" s="4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</row>
    <row r="308" spans="1:54" x14ac:dyDescent="0.25">
      <c r="A308" s="40"/>
      <c r="B308" s="4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</row>
    <row r="309" spans="1:54" x14ac:dyDescent="0.25">
      <c r="A309" s="40"/>
      <c r="B309" s="4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</row>
    <row r="310" spans="1:54" x14ac:dyDescent="0.25">
      <c r="A310" s="40"/>
      <c r="B310" s="4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</row>
    <row r="311" spans="1:54" x14ac:dyDescent="0.25">
      <c r="A311" s="40"/>
      <c r="B311" s="4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</row>
    <row r="312" spans="1:54" x14ac:dyDescent="0.25">
      <c r="A312" s="40"/>
      <c r="B312" s="4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</row>
    <row r="313" spans="1:54" x14ac:dyDescent="0.25">
      <c r="A313" s="40"/>
      <c r="B313" s="4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</row>
    <row r="314" spans="1:54" x14ac:dyDescent="0.25">
      <c r="A314" s="40"/>
      <c r="B314" s="4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</row>
    <row r="315" spans="1:54" x14ac:dyDescent="0.25">
      <c r="A315" s="40"/>
      <c r="B315" s="4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</row>
    <row r="316" spans="1:54" x14ac:dyDescent="0.25">
      <c r="A316" s="40"/>
      <c r="B316" s="4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</row>
    <row r="317" spans="1:54" x14ac:dyDescent="0.25">
      <c r="A317" s="40"/>
      <c r="B317" s="4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</row>
    <row r="318" spans="1:54" x14ac:dyDescent="0.25">
      <c r="A318" s="40"/>
      <c r="B318" s="4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</row>
    <row r="319" spans="1:54" x14ac:dyDescent="0.25">
      <c r="A319" s="40"/>
      <c r="B319" s="4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</row>
    <row r="320" spans="1:54" x14ac:dyDescent="0.25">
      <c r="A320" s="40"/>
      <c r="B320" s="4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</row>
    <row r="321" spans="1:54" x14ac:dyDescent="0.25">
      <c r="A321" s="40"/>
      <c r="B321" s="4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</row>
    <row r="322" spans="1:54" x14ac:dyDescent="0.25">
      <c r="A322" s="40"/>
      <c r="B322" s="4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</row>
    <row r="323" spans="1:54" x14ac:dyDescent="0.25">
      <c r="A323" s="40"/>
      <c r="B323" s="4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</row>
    <row r="324" spans="1:54" x14ac:dyDescent="0.25">
      <c r="A324" s="40"/>
      <c r="B324" s="4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</row>
    <row r="325" spans="1:54" x14ac:dyDescent="0.25">
      <c r="A325" s="40"/>
      <c r="B325" s="4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</row>
    <row r="326" spans="1:54" x14ac:dyDescent="0.25">
      <c r="A326" s="40"/>
      <c r="B326" s="4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</row>
    <row r="327" spans="1:54" x14ac:dyDescent="0.25">
      <c r="A327" s="40"/>
      <c r="B327" s="4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</row>
    <row r="328" spans="1:54" x14ac:dyDescent="0.25">
      <c r="A328" s="40"/>
      <c r="B328" s="4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</row>
    <row r="329" spans="1:54" x14ac:dyDescent="0.25">
      <c r="A329" s="40"/>
      <c r="B329" s="4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</row>
    <row r="330" spans="1:54" x14ac:dyDescent="0.25">
      <c r="A330" s="40"/>
      <c r="B330" s="4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</row>
    <row r="331" spans="1:54" x14ac:dyDescent="0.25">
      <c r="A331" s="40"/>
      <c r="B331" s="4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</row>
    <row r="332" spans="1:54" x14ac:dyDescent="0.25">
      <c r="A332" s="40"/>
      <c r="B332" s="4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</row>
    <row r="333" spans="1:54" x14ac:dyDescent="0.25">
      <c r="A333" s="40"/>
      <c r="B333" s="4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</row>
    <row r="334" spans="1:54" x14ac:dyDescent="0.25">
      <c r="A334" s="40"/>
      <c r="B334" s="4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</row>
    <row r="335" spans="1:54" x14ac:dyDescent="0.25">
      <c r="A335" s="40"/>
      <c r="B335" s="4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</row>
    <row r="336" spans="1:54" x14ac:dyDescent="0.25">
      <c r="A336" s="40"/>
      <c r="B336" s="4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</row>
    <row r="337" spans="1:54" x14ac:dyDescent="0.25">
      <c r="A337" s="40"/>
      <c r="B337" s="4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</row>
    <row r="338" spans="1:54" x14ac:dyDescent="0.25">
      <c r="A338" s="40"/>
      <c r="B338" s="4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</row>
    <row r="339" spans="1:54" x14ac:dyDescent="0.25">
      <c r="A339" s="40"/>
      <c r="B339" s="4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</row>
    <row r="340" spans="1:54" x14ac:dyDescent="0.25">
      <c r="A340" s="40"/>
      <c r="B340" s="4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</row>
    <row r="341" spans="1:54" x14ac:dyDescent="0.25">
      <c r="A341" s="40"/>
      <c r="B341" s="4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</row>
    <row r="342" spans="1:54" x14ac:dyDescent="0.25">
      <c r="A342" s="40"/>
      <c r="B342" s="4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</row>
    <row r="343" spans="1:54" x14ac:dyDescent="0.25">
      <c r="A343" s="40"/>
      <c r="B343" s="4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</row>
    <row r="344" spans="1:54" x14ac:dyDescent="0.25">
      <c r="A344" s="40"/>
      <c r="B344" s="4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</row>
    <row r="345" spans="1:54" x14ac:dyDescent="0.25">
      <c r="A345" s="40"/>
      <c r="B345" s="4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</row>
    <row r="346" spans="1:54" x14ac:dyDescent="0.25">
      <c r="A346" s="40"/>
      <c r="B346" s="4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</row>
    <row r="347" spans="1:54" x14ac:dyDescent="0.25">
      <c r="A347" s="40"/>
      <c r="B347" s="4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</row>
    <row r="348" spans="1:54" x14ac:dyDescent="0.25">
      <c r="A348" s="40"/>
      <c r="B348" s="4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</row>
    <row r="349" spans="1:54" x14ac:dyDescent="0.25">
      <c r="A349" s="40"/>
      <c r="B349" s="4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</row>
    <row r="350" spans="1:54" x14ac:dyDescent="0.25">
      <c r="A350" s="40"/>
      <c r="B350" s="4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</row>
    <row r="351" spans="1:54" x14ac:dyDescent="0.25">
      <c r="A351" s="40"/>
      <c r="B351" s="4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</row>
    <row r="352" spans="1:54" x14ac:dyDescent="0.25">
      <c r="A352" s="40"/>
      <c r="B352" s="4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</row>
    <row r="353" spans="1:54" x14ac:dyDescent="0.25">
      <c r="A353" s="40"/>
      <c r="B353" s="4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</row>
    <row r="354" spans="1:54" x14ac:dyDescent="0.25">
      <c r="A354" s="40"/>
      <c r="B354" s="4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</row>
    <row r="355" spans="1:54" x14ac:dyDescent="0.25">
      <c r="A355" s="40"/>
      <c r="B355" s="4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</row>
    <row r="356" spans="1:54" x14ac:dyDescent="0.25">
      <c r="A356" s="40"/>
      <c r="B356" s="4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</row>
    <row r="357" spans="1:54" x14ac:dyDescent="0.25">
      <c r="A357" s="40"/>
      <c r="B357" s="4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</row>
    <row r="358" spans="1:54" x14ac:dyDescent="0.25">
      <c r="A358" s="40"/>
      <c r="B358" s="4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</row>
    <row r="359" spans="1:54" x14ac:dyDescent="0.25">
      <c r="A359" s="40"/>
      <c r="B359" s="4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</row>
    <row r="360" spans="1:54" x14ac:dyDescent="0.25">
      <c r="A360" s="40"/>
      <c r="B360" s="4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</row>
    <row r="361" spans="1:54" x14ac:dyDescent="0.25">
      <c r="A361" s="40"/>
      <c r="B361" s="4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</row>
    <row r="362" spans="1:54" x14ac:dyDescent="0.25">
      <c r="A362" s="40"/>
      <c r="B362" s="4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</row>
    <row r="363" spans="1:54" x14ac:dyDescent="0.25">
      <c r="A363" s="40"/>
      <c r="B363" s="4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</row>
    <row r="364" spans="1:54" x14ac:dyDescent="0.25">
      <c r="A364" s="40"/>
      <c r="B364" s="4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</row>
    <row r="365" spans="1:54" x14ac:dyDescent="0.25">
      <c r="A365" s="40"/>
      <c r="B365" s="4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</row>
    <row r="366" spans="1:54" x14ac:dyDescent="0.25">
      <c r="A366" s="40"/>
      <c r="B366" s="4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</row>
    <row r="367" spans="1:54" x14ac:dyDescent="0.25">
      <c r="A367" s="40"/>
      <c r="B367" s="4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</row>
    <row r="368" spans="1:54" x14ac:dyDescent="0.25">
      <c r="A368" s="40"/>
      <c r="B368" s="4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</row>
    <row r="369" spans="1:54" x14ac:dyDescent="0.25">
      <c r="A369" s="40"/>
      <c r="B369" s="4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</row>
    <row r="370" spans="1:54" x14ac:dyDescent="0.25">
      <c r="A370" s="40"/>
      <c r="B370" s="4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</row>
    <row r="371" spans="1:54" x14ac:dyDescent="0.25">
      <c r="A371" s="40"/>
      <c r="B371" s="4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</row>
    <row r="372" spans="1:54" x14ac:dyDescent="0.25">
      <c r="A372" s="40"/>
      <c r="B372" s="4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</row>
    <row r="373" spans="1:54" x14ac:dyDescent="0.25">
      <c r="A373" s="40"/>
      <c r="B373" s="4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</row>
    <row r="374" spans="1:54" x14ac:dyDescent="0.25">
      <c r="A374" s="40"/>
      <c r="B374" s="4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</row>
    <row r="375" spans="1:54" x14ac:dyDescent="0.25">
      <c r="A375" s="40"/>
      <c r="B375" s="4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</row>
    <row r="376" spans="1:54" x14ac:dyDescent="0.25">
      <c r="A376" s="40"/>
      <c r="B376" s="4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</row>
    <row r="377" spans="1:54" x14ac:dyDescent="0.25">
      <c r="A377" s="40"/>
      <c r="B377" s="4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</row>
    <row r="378" spans="1:54" x14ac:dyDescent="0.25">
      <c r="A378" s="40"/>
      <c r="B378" s="4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</row>
    <row r="379" spans="1:54" x14ac:dyDescent="0.25">
      <c r="A379" s="40"/>
      <c r="B379" s="4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</row>
    <row r="380" spans="1:54" x14ac:dyDescent="0.25">
      <c r="A380" s="40"/>
      <c r="B380" s="4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</row>
    <row r="381" spans="1:54" x14ac:dyDescent="0.25">
      <c r="A381" s="40"/>
      <c r="B381" s="4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</row>
    <row r="382" spans="1:54" x14ac:dyDescent="0.25">
      <c r="A382" s="40"/>
      <c r="B382" s="4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</row>
    <row r="383" spans="1:54" x14ac:dyDescent="0.25">
      <c r="A383" s="40"/>
      <c r="B383" s="4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</row>
    <row r="384" spans="1:54" x14ac:dyDescent="0.25">
      <c r="A384" s="40"/>
      <c r="B384" s="4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</row>
    <row r="385" spans="1:54" x14ac:dyDescent="0.25">
      <c r="A385" s="40"/>
      <c r="B385" s="4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</row>
    <row r="386" spans="1:54" x14ac:dyDescent="0.25">
      <c r="A386" s="40"/>
      <c r="B386" s="4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</row>
    <row r="387" spans="1:54" x14ac:dyDescent="0.25">
      <c r="A387" s="40"/>
      <c r="B387" s="4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</row>
    <row r="388" spans="1:54" x14ac:dyDescent="0.25">
      <c r="A388" s="40"/>
      <c r="B388" s="4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</row>
    <row r="389" spans="1:54" x14ac:dyDescent="0.25">
      <c r="A389" s="40"/>
      <c r="B389" s="4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</row>
    <row r="390" spans="1:54" x14ac:dyDescent="0.25">
      <c r="A390" s="40"/>
      <c r="B390" s="4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</row>
    <row r="391" spans="1:54" x14ac:dyDescent="0.25">
      <c r="A391" s="40"/>
      <c r="B391" s="4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</row>
    <row r="392" spans="1:54" x14ac:dyDescent="0.25">
      <c r="A392" s="40"/>
      <c r="B392" s="4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</row>
    <row r="393" spans="1:54" x14ac:dyDescent="0.25">
      <c r="A393" s="40"/>
      <c r="B393" s="4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</row>
    <row r="394" spans="1:54" x14ac:dyDescent="0.25">
      <c r="A394" s="40"/>
      <c r="B394" s="4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</row>
    <row r="395" spans="1:54" x14ac:dyDescent="0.25">
      <c r="A395" s="40"/>
      <c r="B395" s="4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</row>
    <row r="396" spans="1:54" x14ac:dyDescent="0.25">
      <c r="A396" s="40"/>
      <c r="B396" s="4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</row>
    <row r="397" spans="1:54" x14ac:dyDescent="0.25">
      <c r="A397" s="40"/>
      <c r="B397" s="4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</row>
    <row r="398" spans="1:54" x14ac:dyDescent="0.25">
      <c r="A398" s="40"/>
      <c r="B398" s="4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</row>
    <row r="399" spans="1:54" x14ac:dyDescent="0.25">
      <c r="A399" s="40"/>
      <c r="B399" s="4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</row>
    <row r="400" spans="1:54" x14ac:dyDescent="0.25">
      <c r="A400" s="40"/>
      <c r="B400" s="4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</row>
    <row r="401" spans="1:54" x14ac:dyDescent="0.25">
      <c r="A401" s="40"/>
      <c r="B401" s="4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</row>
    <row r="402" spans="1:54" x14ac:dyDescent="0.25">
      <c r="A402" s="40"/>
      <c r="B402" s="4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</row>
    <row r="403" spans="1:54" x14ac:dyDescent="0.25">
      <c r="A403" s="40"/>
      <c r="B403" s="4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</row>
    <row r="404" spans="1:54" x14ac:dyDescent="0.25">
      <c r="A404" s="40"/>
      <c r="B404" s="4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</row>
    <row r="405" spans="1:54" x14ac:dyDescent="0.25">
      <c r="A405" s="40"/>
      <c r="B405" s="4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</row>
    <row r="406" spans="1:54" x14ac:dyDescent="0.25">
      <c r="A406" s="40"/>
      <c r="B406" s="4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</row>
    <row r="407" spans="1:54" x14ac:dyDescent="0.25">
      <c r="A407" s="40"/>
      <c r="B407" s="4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</row>
    <row r="408" spans="1:54" x14ac:dyDescent="0.25">
      <c r="A408" s="40"/>
      <c r="B408" s="4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</row>
    <row r="409" spans="1:54" x14ac:dyDescent="0.25">
      <c r="A409" s="40"/>
      <c r="B409" s="4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</row>
    <row r="410" spans="1:54" x14ac:dyDescent="0.25">
      <c r="A410" s="40"/>
      <c r="B410" s="4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</row>
    <row r="411" spans="1:54" x14ac:dyDescent="0.25">
      <c r="A411" s="40"/>
      <c r="B411" s="4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</row>
    <row r="412" spans="1:54" x14ac:dyDescent="0.25">
      <c r="A412" s="40"/>
      <c r="B412" s="4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</row>
    <row r="413" spans="1:54" x14ac:dyDescent="0.25">
      <c r="A413" s="40"/>
      <c r="B413" s="4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</row>
    <row r="414" spans="1:54" x14ac:dyDescent="0.25">
      <c r="A414" s="40"/>
      <c r="B414" s="4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</row>
    <row r="415" spans="1:54" x14ac:dyDescent="0.25">
      <c r="A415" s="40"/>
      <c r="B415" s="4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</row>
    <row r="416" spans="1:54" x14ac:dyDescent="0.25">
      <c r="A416" s="40"/>
      <c r="B416" s="4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</row>
    <row r="417" spans="1:54" x14ac:dyDescent="0.25">
      <c r="A417" s="40"/>
      <c r="B417" s="4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</row>
    <row r="418" spans="1:54" x14ac:dyDescent="0.25">
      <c r="A418" s="40"/>
      <c r="B418" s="4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</row>
    <row r="419" spans="1:54" x14ac:dyDescent="0.25">
      <c r="A419" s="40"/>
      <c r="B419" s="4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</row>
    <row r="420" spans="1:54" x14ac:dyDescent="0.25">
      <c r="A420" s="40"/>
      <c r="B420" s="4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</row>
    <row r="421" spans="1:54" x14ac:dyDescent="0.25">
      <c r="A421" s="40"/>
      <c r="B421" s="4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</row>
    <row r="422" spans="1:54" x14ac:dyDescent="0.25">
      <c r="A422" s="40"/>
      <c r="B422" s="4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</row>
    <row r="423" spans="1:54" x14ac:dyDescent="0.25">
      <c r="A423" s="40"/>
      <c r="B423" s="4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</row>
    <row r="424" spans="1:54" x14ac:dyDescent="0.25">
      <c r="A424" s="40"/>
      <c r="B424" s="4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</row>
    <row r="425" spans="1:54" x14ac:dyDescent="0.25">
      <c r="A425" s="40"/>
      <c r="B425" s="4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</row>
    <row r="426" spans="1:54" x14ac:dyDescent="0.25">
      <c r="A426" s="40"/>
      <c r="B426" s="4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</row>
    <row r="427" spans="1:54" x14ac:dyDescent="0.25">
      <c r="A427" s="40"/>
      <c r="B427" s="4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</row>
    <row r="428" spans="1:54" x14ac:dyDescent="0.25">
      <c r="A428" s="40"/>
      <c r="B428" s="4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</row>
    <row r="429" spans="1:54" x14ac:dyDescent="0.25">
      <c r="A429" s="40"/>
      <c r="B429" s="4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</row>
    <row r="430" spans="1:54" x14ac:dyDescent="0.25">
      <c r="A430" s="40"/>
      <c r="B430" s="4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</row>
    <row r="431" spans="1:54" x14ac:dyDescent="0.25">
      <c r="A431" s="40"/>
      <c r="B431" s="4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</row>
    <row r="432" spans="1:54" x14ac:dyDescent="0.25">
      <c r="A432" s="40"/>
      <c r="B432" s="4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</row>
    <row r="433" spans="1:54" x14ac:dyDescent="0.25">
      <c r="A433" s="40"/>
      <c r="B433" s="4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</row>
    <row r="434" spans="1:54" x14ac:dyDescent="0.25">
      <c r="A434" s="40"/>
      <c r="B434" s="4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</row>
    <row r="435" spans="1:54" x14ac:dyDescent="0.25">
      <c r="A435" s="40"/>
      <c r="B435" s="4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</row>
    <row r="436" spans="1:54" x14ac:dyDescent="0.25">
      <c r="A436" s="40"/>
      <c r="B436" s="4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</row>
    <row r="437" spans="1:54" x14ac:dyDescent="0.25">
      <c r="A437" s="40"/>
      <c r="B437" s="4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</row>
    <row r="438" spans="1:54" x14ac:dyDescent="0.25">
      <c r="A438" s="40"/>
      <c r="B438" s="4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</row>
    <row r="439" spans="1:54" x14ac:dyDescent="0.25">
      <c r="A439" s="40"/>
      <c r="B439" s="4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</row>
    <row r="440" spans="1:54" x14ac:dyDescent="0.25">
      <c r="A440" s="40"/>
      <c r="B440" s="4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</row>
    <row r="441" spans="1:54" x14ac:dyDescent="0.25">
      <c r="A441" s="40"/>
      <c r="B441" s="4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</row>
    <row r="442" spans="1:54" x14ac:dyDescent="0.25">
      <c r="A442" s="40"/>
      <c r="B442" s="4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</row>
    <row r="443" spans="1:54" x14ac:dyDescent="0.25">
      <c r="A443" s="40"/>
      <c r="B443" s="4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</row>
    <row r="444" spans="1:54" x14ac:dyDescent="0.25">
      <c r="A444" s="40"/>
      <c r="B444" s="4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</row>
    <row r="445" spans="1:54" x14ac:dyDescent="0.25">
      <c r="A445" s="40"/>
      <c r="B445" s="4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</row>
    <row r="446" spans="1:54" x14ac:dyDescent="0.25">
      <c r="A446" s="40"/>
      <c r="B446" s="4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</row>
    <row r="447" spans="1:54" x14ac:dyDescent="0.25">
      <c r="A447" s="40"/>
      <c r="B447" s="4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</row>
    <row r="448" spans="1:54" x14ac:dyDescent="0.25">
      <c r="A448" s="40"/>
      <c r="B448" s="4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</row>
    <row r="449" spans="1:54" x14ac:dyDescent="0.25">
      <c r="A449" s="40"/>
      <c r="B449" s="4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</row>
    <row r="450" spans="1:54" x14ac:dyDescent="0.25">
      <c r="A450" s="40"/>
      <c r="B450" s="4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</row>
    <row r="451" spans="1:54" x14ac:dyDescent="0.25">
      <c r="A451" s="40"/>
      <c r="B451" s="4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</row>
    <row r="452" spans="1:54" x14ac:dyDescent="0.25">
      <c r="A452" s="40"/>
      <c r="B452" s="4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</row>
    <row r="453" spans="1:54" x14ac:dyDescent="0.25">
      <c r="A453" s="40"/>
      <c r="B453" s="4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</row>
    <row r="454" spans="1:54" x14ac:dyDescent="0.25">
      <c r="A454" s="40"/>
      <c r="B454" s="4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</row>
    <row r="455" spans="1:54" x14ac:dyDescent="0.25">
      <c r="A455" s="40"/>
      <c r="B455" s="4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</row>
    <row r="456" spans="1:54" x14ac:dyDescent="0.25">
      <c r="A456" s="40"/>
      <c r="B456" s="4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</row>
    <row r="457" spans="1:54" x14ac:dyDescent="0.25">
      <c r="A457" s="40"/>
      <c r="B457" s="4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</row>
    <row r="458" spans="1:54" x14ac:dyDescent="0.25">
      <c r="A458" s="40"/>
      <c r="B458" s="4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</row>
    <row r="459" spans="1:54" x14ac:dyDescent="0.25">
      <c r="A459" s="40"/>
      <c r="B459" s="4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</row>
    <row r="460" spans="1:54" x14ac:dyDescent="0.25">
      <c r="A460" s="40"/>
      <c r="B460" s="4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</row>
    <row r="461" spans="1:54" x14ac:dyDescent="0.25">
      <c r="A461" s="40"/>
      <c r="B461" s="4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</row>
    <row r="462" spans="1:54" x14ac:dyDescent="0.25">
      <c r="A462" s="40"/>
      <c r="B462" s="4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</row>
    <row r="463" spans="1:54" x14ac:dyDescent="0.25">
      <c r="A463" s="40"/>
      <c r="B463" s="4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</row>
    <row r="464" spans="1:54" x14ac:dyDescent="0.25">
      <c r="A464" s="40"/>
      <c r="B464" s="4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</row>
    <row r="465" spans="1:54" x14ac:dyDescent="0.25">
      <c r="A465" s="40"/>
      <c r="B465" s="4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</row>
    <row r="466" spans="1:54" x14ac:dyDescent="0.25">
      <c r="A466" s="40"/>
      <c r="B466" s="4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</row>
    <row r="467" spans="1:54" x14ac:dyDescent="0.25">
      <c r="A467" s="40"/>
      <c r="B467" s="4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</row>
    <row r="468" spans="1:54" x14ac:dyDescent="0.25">
      <c r="A468" s="40"/>
      <c r="B468" s="4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</row>
    <row r="469" spans="1:54" x14ac:dyDescent="0.25">
      <c r="A469" s="40"/>
      <c r="B469" s="4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</row>
    <row r="470" spans="1:54" x14ac:dyDescent="0.25">
      <c r="A470" s="40"/>
      <c r="B470" s="4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</row>
    <row r="471" spans="1:54" x14ac:dyDescent="0.25">
      <c r="A471" s="40"/>
      <c r="B471" s="4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</row>
    <row r="472" spans="1:54" x14ac:dyDescent="0.25">
      <c r="A472" s="40"/>
      <c r="B472" s="4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</row>
    <row r="473" spans="1:54" x14ac:dyDescent="0.25">
      <c r="A473" s="40"/>
      <c r="B473" s="4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</row>
    <row r="474" spans="1:54" x14ac:dyDescent="0.25">
      <c r="A474" s="40"/>
      <c r="B474" s="4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</row>
    <row r="475" spans="1:54" x14ac:dyDescent="0.25">
      <c r="A475" s="40"/>
      <c r="B475" s="4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</row>
    <row r="476" spans="1:54" x14ac:dyDescent="0.25">
      <c r="A476" s="40"/>
      <c r="B476" s="4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</row>
    <row r="477" spans="1:54" x14ac:dyDescent="0.25">
      <c r="A477" s="40"/>
      <c r="B477" s="4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</row>
    <row r="478" spans="1:54" x14ac:dyDescent="0.25">
      <c r="A478" s="40"/>
      <c r="B478" s="4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</row>
    <row r="479" spans="1:54" x14ac:dyDescent="0.25">
      <c r="A479" s="40"/>
      <c r="B479" s="4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</row>
    <row r="480" spans="1:54" x14ac:dyDescent="0.25">
      <c r="A480" s="40"/>
      <c r="B480" s="4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</row>
    <row r="481" spans="1:54" x14ac:dyDescent="0.25">
      <c r="A481" s="40"/>
      <c r="B481" s="4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</row>
    <row r="482" spans="1:54" x14ac:dyDescent="0.25">
      <c r="A482" s="40"/>
      <c r="B482" s="4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</row>
    <row r="483" spans="1:54" x14ac:dyDescent="0.25">
      <c r="A483" s="40"/>
      <c r="B483" s="4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</row>
    <row r="484" spans="1:54" x14ac:dyDescent="0.25">
      <c r="A484" s="40"/>
      <c r="B484" s="4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</row>
    <row r="485" spans="1:54" x14ac:dyDescent="0.25">
      <c r="A485" s="40"/>
      <c r="B485" s="4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</row>
    <row r="486" spans="1:54" x14ac:dyDescent="0.25">
      <c r="A486" s="40"/>
      <c r="B486" s="4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</row>
    <row r="487" spans="1:54" x14ac:dyDescent="0.25">
      <c r="A487" s="40"/>
      <c r="B487" s="4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</row>
    <row r="488" spans="1:54" x14ac:dyDescent="0.25">
      <c r="A488" s="40"/>
      <c r="B488" s="4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</row>
    <row r="489" spans="1:54" x14ac:dyDescent="0.25">
      <c r="A489" s="40"/>
      <c r="B489" s="4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</row>
    <row r="490" spans="1:54" x14ac:dyDescent="0.25">
      <c r="A490" s="40"/>
      <c r="B490" s="4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</row>
    <row r="491" spans="1:54" x14ac:dyDescent="0.25">
      <c r="A491" s="40"/>
      <c r="B491" s="4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</row>
    <row r="492" spans="1:54" x14ac:dyDescent="0.25">
      <c r="A492" s="40"/>
      <c r="B492" s="4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</row>
    <row r="493" spans="1:54" x14ac:dyDescent="0.25">
      <c r="A493" s="40"/>
      <c r="B493" s="4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</row>
    <row r="494" spans="1:54" x14ac:dyDescent="0.25">
      <c r="A494" s="40"/>
      <c r="B494" s="4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</row>
    <row r="495" spans="1:54" x14ac:dyDescent="0.25">
      <c r="A495" s="40"/>
      <c r="B495" s="4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</row>
    <row r="496" spans="1:54" x14ac:dyDescent="0.25">
      <c r="A496" s="40"/>
      <c r="B496" s="4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</row>
    <row r="497" spans="1:54" x14ac:dyDescent="0.25">
      <c r="A497" s="40"/>
      <c r="B497" s="4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</row>
    <row r="498" spans="1:54" x14ac:dyDescent="0.25">
      <c r="A498" s="40"/>
      <c r="B498" s="4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</row>
    <row r="499" spans="1:54" x14ac:dyDescent="0.25">
      <c r="A499" s="40"/>
      <c r="B499" s="4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</row>
    <row r="500" spans="1:54" x14ac:dyDescent="0.25">
      <c r="A500" s="40"/>
      <c r="B500" s="4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</row>
    <row r="501" spans="1:54" x14ac:dyDescent="0.25">
      <c r="A501" s="40"/>
      <c r="B501" s="4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</row>
    <row r="502" spans="1:54" x14ac:dyDescent="0.25">
      <c r="A502" s="40"/>
      <c r="B502" s="4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</row>
    <row r="503" spans="1:54" x14ac:dyDescent="0.25">
      <c r="A503" s="40"/>
      <c r="B503" s="4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</row>
    <row r="504" spans="1:54" x14ac:dyDescent="0.25">
      <c r="A504" s="40"/>
      <c r="B504" s="4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</row>
    <row r="505" spans="1:54" x14ac:dyDescent="0.25">
      <c r="A505" s="40"/>
      <c r="B505" s="4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</row>
    <row r="506" spans="1:54" x14ac:dyDescent="0.25">
      <c r="A506" s="40"/>
      <c r="B506" s="4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</row>
    <row r="507" spans="1:54" x14ac:dyDescent="0.25">
      <c r="A507" s="40"/>
      <c r="B507" s="4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</row>
    <row r="508" spans="1:54" x14ac:dyDescent="0.25">
      <c r="A508" s="40"/>
      <c r="B508" s="4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</row>
    <row r="509" spans="1:54" x14ac:dyDescent="0.25">
      <c r="A509" s="40"/>
      <c r="B509" s="4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</row>
    <row r="510" spans="1:54" x14ac:dyDescent="0.25">
      <c r="A510" s="40"/>
      <c r="B510" s="4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</row>
    <row r="511" spans="1:54" x14ac:dyDescent="0.25">
      <c r="A511" s="40"/>
      <c r="B511" s="4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</row>
    <row r="512" spans="1:54" x14ac:dyDescent="0.25">
      <c r="A512" s="40"/>
      <c r="B512" s="4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</row>
    <row r="513" spans="1:54" x14ac:dyDescent="0.25">
      <c r="A513" s="40"/>
      <c r="B513" s="4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</row>
    <row r="514" spans="1:54" x14ac:dyDescent="0.25">
      <c r="A514" s="40"/>
      <c r="B514" s="4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</row>
    <row r="515" spans="1:54" x14ac:dyDescent="0.25">
      <c r="A515" s="40"/>
      <c r="B515" s="4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</row>
    <row r="516" spans="1:54" x14ac:dyDescent="0.25">
      <c r="A516" s="40"/>
      <c r="B516" s="4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</row>
    <row r="517" spans="1:54" x14ac:dyDescent="0.25">
      <c r="A517" s="40"/>
      <c r="B517" s="4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</row>
    <row r="518" spans="1:54" x14ac:dyDescent="0.25">
      <c r="A518" s="40"/>
      <c r="B518" s="4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</row>
    <row r="519" spans="1:54" x14ac:dyDescent="0.25">
      <c r="A519" s="40"/>
      <c r="B519" s="4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</row>
    <row r="520" spans="1:54" x14ac:dyDescent="0.25">
      <c r="A520" s="40"/>
      <c r="B520" s="4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</row>
    <row r="521" spans="1:54" x14ac:dyDescent="0.25">
      <c r="A521" s="40"/>
      <c r="B521" s="4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</row>
    <row r="522" spans="1:54" x14ac:dyDescent="0.25">
      <c r="A522" s="40"/>
      <c r="B522" s="4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</row>
    <row r="523" spans="1:54" x14ac:dyDescent="0.25">
      <c r="A523" s="40"/>
      <c r="B523" s="4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</row>
    <row r="524" spans="1:54" x14ac:dyDescent="0.25">
      <c r="A524" s="40"/>
      <c r="B524" s="4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</row>
    <row r="525" spans="1:54" x14ac:dyDescent="0.25">
      <c r="A525" s="40"/>
      <c r="B525" s="4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</row>
    <row r="526" spans="1:54" x14ac:dyDescent="0.25">
      <c r="A526" s="40"/>
      <c r="B526" s="4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</row>
    <row r="527" spans="1:54" x14ac:dyDescent="0.25">
      <c r="A527" s="40"/>
      <c r="B527" s="4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</row>
    <row r="528" spans="1:54" x14ac:dyDescent="0.25">
      <c r="A528" s="40"/>
      <c r="B528" s="4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</row>
    <row r="529" spans="1:54" x14ac:dyDescent="0.25">
      <c r="A529" s="40"/>
      <c r="B529" s="4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</row>
    <row r="530" spans="1:54" x14ac:dyDescent="0.25">
      <c r="A530" s="40"/>
      <c r="B530" s="4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</row>
    <row r="531" spans="1:54" x14ac:dyDescent="0.25">
      <c r="A531" s="40"/>
      <c r="B531" s="4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</row>
    <row r="532" spans="1:54" x14ac:dyDescent="0.25">
      <c r="A532" s="40"/>
      <c r="B532" s="4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</row>
    <row r="533" spans="1:54" x14ac:dyDescent="0.25">
      <c r="A533" s="40"/>
      <c r="B533" s="4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</row>
    <row r="534" spans="1:54" x14ac:dyDescent="0.25">
      <c r="A534" s="40"/>
      <c r="B534" s="4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</row>
    <row r="535" spans="1:54" x14ac:dyDescent="0.25">
      <c r="A535" s="40"/>
      <c r="B535" s="4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</row>
    <row r="536" spans="1:54" x14ac:dyDescent="0.25">
      <c r="A536" s="40"/>
      <c r="B536" s="4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</row>
    <row r="537" spans="1:54" x14ac:dyDescent="0.25">
      <c r="A537" s="40"/>
      <c r="B537" s="4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</row>
    <row r="538" spans="1:54" x14ac:dyDescent="0.25">
      <c r="A538" s="40"/>
      <c r="B538" s="4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</row>
    <row r="539" spans="1:54" x14ac:dyDescent="0.25">
      <c r="A539" s="40"/>
      <c r="B539" s="4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</row>
    <row r="540" spans="1:54" x14ac:dyDescent="0.25">
      <c r="A540" s="40"/>
      <c r="B540" s="4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</row>
    <row r="541" spans="1:54" x14ac:dyDescent="0.25">
      <c r="A541" s="40"/>
      <c r="B541" s="4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</row>
    <row r="542" spans="1:54" x14ac:dyDescent="0.25">
      <c r="A542" s="40"/>
      <c r="B542" s="4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</row>
    <row r="543" spans="1:54" x14ac:dyDescent="0.25">
      <c r="A543" s="40"/>
      <c r="B543" s="4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</row>
    <row r="544" spans="1:54" x14ac:dyDescent="0.25">
      <c r="A544" s="40"/>
      <c r="B544" s="4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</row>
    <row r="545" spans="1:54" x14ac:dyDescent="0.25">
      <c r="A545" s="40"/>
      <c r="B545" s="4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</row>
    <row r="546" spans="1:54" x14ac:dyDescent="0.25">
      <c r="A546" s="40"/>
      <c r="B546" s="4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</row>
    <row r="547" spans="1:54" x14ac:dyDescent="0.25">
      <c r="A547" s="40"/>
      <c r="B547" s="4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</row>
    <row r="548" spans="1:54" x14ac:dyDescent="0.25">
      <c r="A548" s="40"/>
      <c r="B548" s="4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</row>
    <row r="549" spans="1:54" x14ac:dyDescent="0.25">
      <c r="A549" s="40"/>
      <c r="B549" s="4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</row>
    <row r="550" spans="1:54" x14ac:dyDescent="0.25">
      <c r="A550" s="40"/>
      <c r="B550" s="4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</row>
    <row r="551" spans="1:54" x14ac:dyDescent="0.25">
      <c r="A551" s="40"/>
      <c r="B551" s="4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</row>
    <row r="552" spans="1:54" x14ac:dyDescent="0.25">
      <c r="A552" s="40"/>
      <c r="B552" s="4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</row>
    <row r="553" spans="1:54" x14ac:dyDescent="0.25">
      <c r="A553" s="40"/>
      <c r="B553" s="4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</row>
    <row r="554" spans="1:54" x14ac:dyDescent="0.25">
      <c r="A554" s="40"/>
      <c r="B554" s="4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</row>
    <row r="555" spans="1:54" x14ac:dyDescent="0.25">
      <c r="A555" s="40"/>
      <c r="B555" s="4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</row>
    <row r="556" spans="1:54" x14ac:dyDescent="0.25">
      <c r="A556" s="40"/>
      <c r="B556" s="4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</row>
    <row r="557" spans="1:54" x14ac:dyDescent="0.25">
      <c r="A557" s="40"/>
      <c r="B557" s="4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</row>
    <row r="558" spans="1:54" x14ac:dyDescent="0.25">
      <c r="A558" s="40"/>
      <c r="B558" s="4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</row>
    <row r="559" spans="1:54" x14ac:dyDescent="0.25">
      <c r="A559" s="40"/>
      <c r="B559" s="4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</row>
    <row r="560" spans="1:54" x14ac:dyDescent="0.25">
      <c r="A560" s="40"/>
      <c r="B560" s="4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</row>
    <row r="561" spans="1:54" x14ac:dyDescent="0.25">
      <c r="A561" s="40"/>
      <c r="B561" s="4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</row>
    <row r="562" spans="1:54" x14ac:dyDescent="0.25">
      <c r="A562" s="40"/>
      <c r="B562" s="4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</row>
    <row r="563" spans="1:54" x14ac:dyDescent="0.25">
      <c r="A563" s="40"/>
      <c r="B563" s="4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</row>
    <row r="564" spans="1:54" x14ac:dyDescent="0.25">
      <c r="A564" s="40"/>
      <c r="B564" s="4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</row>
    <row r="565" spans="1:54" x14ac:dyDescent="0.25">
      <c r="A565" s="40"/>
      <c r="B565" s="4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</row>
    <row r="566" spans="1:54" x14ac:dyDescent="0.25">
      <c r="A566" s="40"/>
      <c r="B566" s="4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</row>
    <row r="567" spans="1:54" x14ac:dyDescent="0.25">
      <c r="A567" s="40"/>
      <c r="B567" s="4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</row>
    <row r="568" spans="1:54" x14ac:dyDescent="0.25">
      <c r="A568" s="40"/>
      <c r="B568" s="4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</row>
    <row r="569" spans="1:54" x14ac:dyDescent="0.25">
      <c r="A569" s="40"/>
      <c r="B569" s="4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</row>
    <row r="570" spans="1:54" x14ac:dyDescent="0.25">
      <c r="A570" s="40"/>
      <c r="B570" s="4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</row>
    <row r="571" spans="1:54" x14ac:dyDescent="0.25">
      <c r="A571" s="40"/>
      <c r="B571" s="4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</row>
    <row r="572" spans="1:54" x14ac:dyDescent="0.25">
      <c r="A572" s="40"/>
      <c r="B572" s="4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</row>
    <row r="573" spans="1:54" x14ac:dyDescent="0.25">
      <c r="A573" s="40"/>
      <c r="B573" s="4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</row>
    <row r="574" spans="1:54" x14ac:dyDescent="0.25">
      <c r="A574" s="40"/>
      <c r="B574" s="4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</row>
    <row r="575" spans="1:54" x14ac:dyDescent="0.25">
      <c r="A575" s="40"/>
      <c r="B575" s="4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</row>
    <row r="576" spans="1:54" x14ac:dyDescent="0.25">
      <c r="A576" s="40"/>
      <c r="B576" s="4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</row>
    <row r="577" spans="1:54" x14ac:dyDescent="0.25">
      <c r="A577" s="40"/>
      <c r="B577" s="4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</row>
    <row r="578" spans="1:54" x14ac:dyDescent="0.25">
      <c r="A578" s="40"/>
      <c r="B578" s="4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</row>
    <row r="579" spans="1:54" x14ac:dyDescent="0.25">
      <c r="A579" s="40"/>
      <c r="B579" s="4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</row>
    <row r="580" spans="1:54" x14ac:dyDescent="0.25">
      <c r="A580" s="40"/>
      <c r="B580" s="4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</row>
    <row r="581" spans="1:54" x14ac:dyDescent="0.25">
      <c r="A581" s="40"/>
      <c r="B581" s="4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</row>
    <row r="582" spans="1:54" x14ac:dyDescent="0.25">
      <c r="A582" s="40"/>
      <c r="B582" s="4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</row>
    <row r="583" spans="1:54" x14ac:dyDescent="0.25">
      <c r="A583" s="40"/>
      <c r="B583" s="4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</row>
    <row r="584" spans="1:54" x14ac:dyDescent="0.25">
      <c r="A584" s="40"/>
      <c r="B584" s="4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</row>
    <row r="585" spans="1:54" x14ac:dyDescent="0.25">
      <c r="A585" s="40"/>
      <c r="B585" s="4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</row>
    <row r="586" spans="1:54" x14ac:dyDescent="0.25">
      <c r="A586" s="40"/>
      <c r="B586" s="4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</row>
    <row r="587" spans="1:54" x14ac:dyDescent="0.25">
      <c r="A587" s="40"/>
      <c r="B587" s="4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</row>
    <row r="588" spans="1:54" x14ac:dyDescent="0.25">
      <c r="A588" s="40"/>
      <c r="B588" s="4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</row>
    <row r="589" spans="1:54" x14ac:dyDescent="0.25">
      <c r="A589" s="40"/>
      <c r="B589" s="4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</row>
    <row r="590" spans="1:54" x14ac:dyDescent="0.25">
      <c r="A590" s="40"/>
      <c r="B590" s="4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</row>
    <row r="591" spans="1:54" x14ac:dyDescent="0.25">
      <c r="A591" s="40"/>
      <c r="B591" s="4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</row>
    <row r="592" spans="1:54" x14ac:dyDescent="0.25">
      <c r="A592" s="40"/>
      <c r="B592" s="4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</row>
    <row r="593" spans="1:54" x14ac:dyDescent="0.25">
      <c r="A593" s="40"/>
      <c r="B593" s="4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</row>
    <row r="594" spans="1:54" x14ac:dyDescent="0.25">
      <c r="A594" s="40"/>
      <c r="B594" s="4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</row>
    <row r="595" spans="1:54" x14ac:dyDescent="0.25">
      <c r="A595" s="40"/>
      <c r="B595" s="4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</row>
    <row r="596" spans="1:54" x14ac:dyDescent="0.25">
      <c r="A596" s="40"/>
      <c r="B596" s="4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</row>
    <row r="597" spans="1:54" x14ac:dyDescent="0.25">
      <c r="A597" s="40"/>
      <c r="B597" s="4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</row>
    <row r="598" spans="1:54" x14ac:dyDescent="0.25">
      <c r="A598" s="40"/>
      <c r="B598" s="4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</row>
    <row r="599" spans="1:54" x14ac:dyDescent="0.25">
      <c r="A599" s="40"/>
      <c r="B599" s="4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</row>
    <row r="600" spans="1:54" x14ac:dyDescent="0.25">
      <c r="A600" s="40"/>
      <c r="B600" s="4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</row>
    <row r="601" spans="1:54" x14ac:dyDescent="0.25">
      <c r="A601" s="40"/>
      <c r="B601" s="4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</row>
    <row r="602" spans="1:54" x14ac:dyDescent="0.25">
      <c r="A602" s="40"/>
      <c r="B602" s="4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</row>
    <row r="603" spans="1:54" x14ac:dyDescent="0.25">
      <c r="A603" s="40"/>
      <c r="B603" s="4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</row>
    <row r="604" spans="1:54" x14ac:dyDescent="0.25">
      <c r="A604" s="40"/>
      <c r="B604" s="4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</row>
    <row r="605" spans="1:54" x14ac:dyDescent="0.25">
      <c r="A605" s="40"/>
      <c r="B605" s="4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</row>
    <row r="606" spans="1:54" x14ac:dyDescent="0.25">
      <c r="A606" s="40"/>
      <c r="B606" s="4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</row>
    <row r="607" spans="1:54" x14ac:dyDescent="0.25">
      <c r="A607" s="40"/>
      <c r="B607" s="4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</row>
    <row r="608" spans="1:54" x14ac:dyDescent="0.25">
      <c r="A608" s="40"/>
      <c r="B608" s="4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</row>
    <row r="609" spans="1:54" x14ac:dyDescent="0.25">
      <c r="A609" s="40"/>
      <c r="B609" s="4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</row>
    <row r="610" spans="1:54" x14ac:dyDescent="0.25">
      <c r="A610" s="40"/>
      <c r="B610" s="4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</row>
    <row r="611" spans="1:54" x14ac:dyDescent="0.25">
      <c r="A611" s="40"/>
      <c r="B611" s="4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</row>
    <row r="612" spans="1:54" x14ac:dyDescent="0.25">
      <c r="A612" s="40"/>
      <c r="B612" s="4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</row>
    <row r="613" spans="1:54" x14ac:dyDescent="0.25">
      <c r="A613" s="40"/>
      <c r="B613" s="4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</row>
    <row r="614" spans="1:54" x14ac:dyDescent="0.25">
      <c r="A614" s="40"/>
      <c r="B614" s="4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</row>
    <row r="615" spans="1:54" x14ac:dyDescent="0.25">
      <c r="A615" s="40"/>
      <c r="B615" s="4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</row>
    <row r="616" spans="1:54" x14ac:dyDescent="0.25">
      <c r="A616" s="40"/>
      <c r="B616" s="4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</row>
    <row r="617" spans="1:54" x14ac:dyDescent="0.25">
      <c r="A617" s="40"/>
      <c r="B617" s="4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</row>
    <row r="618" spans="1:54" x14ac:dyDescent="0.25">
      <c r="A618" s="40"/>
      <c r="B618" s="4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</row>
    <row r="619" spans="1:54" x14ac:dyDescent="0.25">
      <c r="A619" s="40"/>
      <c r="B619" s="4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</row>
    <row r="620" spans="1:54" x14ac:dyDescent="0.25">
      <c r="A620" s="40"/>
      <c r="B620" s="4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</row>
    <row r="621" spans="1:54" x14ac:dyDescent="0.25">
      <c r="A621" s="40"/>
      <c r="B621" s="4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</row>
    <row r="622" spans="1:54" x14ac:dyDescent="0.25">
      <c r="A622" s="40"/>
      <c r="B622" s="4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</row>
    <row r="623" spans="1:54" x14ac:dyDescent="0.25">
      <c r="A623" s="40"/>
      <c r="B623" s="4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</row>
    <row r="624" spans="1:54" x14ac:dyDescent="0.25">
      <c r="A624" s="40"/>
      <c r="B624" s="4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</row>
    <row r="625" spans="1:54" x14ac:dyDescent="0.25">
      <c r="A625" s="40"/>
      <c r="B625" s="4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</row>
    <row r="626" spans="1:54" x14ac:dyDescent="0.25">
      <c r="A626" s="40"/>
      <c r="B626" s="4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</row>
    <row r="627" spans="1:54" x14ac:dyDescent="0.25">
      <c r="A627" s="40"/>
      <c r="B627" s="4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</row>
    <row r="628" spans="1:54" x14ac:dyDescent="0.25">
      <c r="A628" s="40"/>
      <c r="B628" s="4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</row>
    <row r="629" spans="1:54" x14ac:dyDescent="0.25">
      <c r="A629" s="40"/>
      <c r="B629" s="4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</row>
    <row r="630" spans="1:54" x14ac:dyDescent="0.25">
      <c r="A630" s="40"/>
      <c r="B630" s="4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</row>
    <row r="631" spans="1:54" x14ac:dyDescent="0.25">
      <c r="A631" s="40"/>
      <c r="B631" s="4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</row>
    <row r="632" spans="1:54" x14ac:dyDescent="0.25">
      <c r="A632" s="40"/>
      <c r="B632" s="4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</row>
    <row r="633" spans="1:54" x14ac:dyDescent="0.25">
      <c r="A633" s="40"/>
      <c r="B633" s="4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</row>
    <row r="634" spans="1:54" x14ac:dyDescent="0.25">
      <c r="A634" s="40"/>
      <c r="B634" s="4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</row>
    <row r="635" spans="1:54" x14ac:dyDescent="0.25">
      <c r="A635" s="40"/>
      <c r="B635" s="4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</row>
    <row r="636" spans="1:54" x14ac:dyDescent="0.25">
      <c r="A636" s="40"/>
      <c r="B636" s="4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</row>
    <row r="637" spans="1:54" x14ac:dyDescent="0.25">
      <c r="A637" s="40"/>
      <c r="B637" s="4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</row>
    <row r="638" spans="1:54" x14ac:dyDescent="0.25">
      <c r="A638" s="40"/>
      <c r="B638" s="4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</row>
    <row r="639" spans="1:54" x14ac:dyDescent="0.25">
      <c r="A639" s="40"/>
      <c r="B639" s="4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</row>
    <row r="640" spans="1:54" x14ac:dyDescent="0.25">
      <c r="A640" s="40"/>
      <c r="B640" s="4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</row>
    <row r="641" spans="1:54" x14ac:dyDescent="0.25">
      <c r="A641" s="40"/>
      <c r="B641" s="4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</row>
    <row r="642" spans="1:54" x14ac:dyDescent="0.25">
      <c r="A642" s="40"/>
      <c r="B642" s="4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</row>
    <row r="643" spans="1:54" x14ac:dyDescent="0.25">
      <c r="A643" s="40"/>
      <c r="B643" s="4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</row>
    <row r="644" spans="1:54" x14ac:dyDescent="0.25">
      <c r="A644" s="40"/>
      <c r="B644" s="4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</row>
    <row r="645" spans="1:54" x14ac:dyDescent="0.25">
      <c r="A645" s="40"/>
      <c r="B645" s="4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</row>
    <row r="646" spans="1:54" x14ac:dyDescent="0.25">
      <c r="A646" s="40"/>
      <c r="B646" s="4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</row>
    <row r="647" spans="1:54" x14ac:dyDescent="0.25">
      <c r="A647" s="40"/>
      <c r="B647" s="4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</row>
    <row r="648" spans="1:54" x14ac:dyDescent="0.25">
      <c r="A648" s="40"/>
      <c r="B648" s="4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</row>
    <row r="649" spans="1:54" x14ac:dyDescent="0.25">
      <c r="A649" s="40"/>
      <c r="B649" s="4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</row>
    <row r="650" spans="1:54" x14ac:dyDescent="0.25">
      <c r="A650" s="40"/>
      <c r="B650" s="4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</row>
    <row r="651" spans="1:54" x14ac:dyDescent="0.25">
      <c r="A651" s="40"/>
      <c r="B651" s="4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</row>
    <row r="652" spans="1:54" x14ac:dyDescent="0.25">
      <c r="A652" s="40"/>
      <c r="B652" s="4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</row>
    <row r="653" spans="1:54" x14ac:dyDescent="0.25">
      <c r="A653" s="40"/>
      <c r="B653" s="4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</row>
    <row r="654" spans="1:54" x14ac:dyDescent="0.25">
      <c r="A654" s="40"/>
      <c r="B654" s="4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</row>
    <row r="655" spans="1:54" x14ac:dyDescent="0.25">
      <c r="A655" s="40"/>
      <c r="B655" s="4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</row>
    <row r="656" spans="1:54" x14ac:dyDescent="0.25">
      <c r="A656" s="40"/>
      <c r="B656" s="4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</row>
    <row r="657" spans="1:54" x14ac:dyDescent="0.25">
      <c r="A657" s="40"/>
      <c r="B657" s="4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</row>
    <row r="658" spans="1:54" x14ac:dyDescent="0.25">
      <c r="A658" s="40"/>
      <c r="B658" s="4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</row>
    <row r="659" spans="1:54" x14ac:dyDescent="0.25">
      <c r="A659" s="40"/>
      <c r="B659" s="4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</row>
    <row r="660" spans="1:54" x14ac:dyDescent="0.25">
      <c r="A660" s="40"/>
      <c r="B660" s="4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</row>
    <row r="661" spans="1:54" x14ac:dyDescent="0.25">
      <c r="A661" s="40"/>
      <c r="B661" s="4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</row>
    <row r="662" spans="1:54" x14ac:dyDescent="0.25">
      <c r="A662" s="40"/>
      <c r="B662" s="4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</row>
    <row r="663" spans="1:54" x14ac:dyDescent="0.25">
      <c r="A663" s="40"/>
      <c r="B663" s="4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</row>
    <row r="664" spans="1:54" x14ac:dyDescent="0.25">
      <c r="A664" s="40"/>
      <c r="B664" s="4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</row>
    <row r="665" spans="1:54" x14ac:dyDescent="0.25">
      <c r="A665" s="40"/>
      <c r="B665" s="4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</row>
    <row r="666" spans="1:54" x14ac:dyDescent="0.25">
      <c r="A666" s="40"/>
      <c r="B666" s="4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</row>
    <row r="667" spans="1:54" x14ac:dyDescent="0.25">
      <c r="A667" s="40"/>
      <c r="B667" s="4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</row>
    <row r="668" spans="1:54" x14ac:dyDescent="0.25">
      <c r="A668" s="40"/>
      <c r="B668" s="4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</row>
    <row r="669" spans="1:54" x14ac:dyDescent="0.25">
      <c r="A669" s="40"/>
      <c r="B669" s="4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</row>
    <row r="670" spans="1:54" x14ac:dyDescent="0.25">
      <c r="A670" s="40"/>
      <c r="B670" s="4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</row>
    <row r="671" spans="1:54" x14ac:dyDescent="0.25">
      <c r="A671" s="40"/>
      <c r="B671" s="4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</row>
    <row r="672" spans="1:54" x14ac:dyDescent="0.25">
      <c r="A672" s="40"/>
      <c r="B672" s="4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</row>
    <row r="673" spans="1:54" x14ac:dyDescent="0.25">
      <c r="A673" s="40"/>
      <c r="B673" s="4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</row>
    <row r="674" spans="1:54" x14ac:dyDescent="0.25">
      <c r="A674" s="40"/>
      <c r="B674" s="4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</row>
    <row r="675" spans="1:54" x14ac:dyDescent="0.25">
      <c r="A675" s="40"/>
      <c r="B675" s="4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</row>
    <row r="676" spans="1:54" x14ac:dyDescent="0.25">
      <c r="A676" s="40"/>
      <c r="B676" s="4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</row>
    <row r="677" spans="1:54" x14ac:dyDescent="0.25">
      <c r="A677" s="40"/>
      <c r="B677" s="4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</row>
    <row r="678" spans="1:54" x14ac:dyDescent="0.25">
      <c r="A678" s="40"/>
      <c r="B678" s="4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</row>
    <row r="679" spans="1:54" x14ac:dyDescent="0.25">
      <c r="A679" s="40"/>
      <c r="B679" s="4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</row>
    <row r="680" spans="1:54" x14ac:dyDescent="0.25">
      <c r="A680" s="40"/>
      <c r="B680" s="4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</row>
    <row r="681" spans="1:54" x14ac:dyDescent="0.25">
      <c r="A681" s="40"/>
      <c r="B681" s="4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</row>
    <row r="682" spans="1:54" x14ac:dyDescent="0.25">
      <c r="A682" s="40"/>
      <c r="B682" s="4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</row>
    <row r="683" spans="1:54" x14ac:dyDescent="0.25">
      <c r="A683" s="40"/>
      <c r="B683" s="4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</row>
    <row r="684" spans="1:54" x14ac:dyDescent="0.25">
      <c r="A684" s="40"/>
      <c r="B684" s="4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</row>
    <row r="685" spans="1:54" x14ac:dyDescent="0.25">
      <c r="A685" s="40"/>
      <c r="B685" s="4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</row>
    <row r="686" spans="1:54" x14ac:dyDescent="0.25">
      <c r="A686" s="40"/>
      <c r="B686" s="4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</row>
    <row r="687" spans="1:54" x14ac:dyDescent="0.25">
      <c r="A687" s="40"/>
      <c r="B687" s="4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</row>
    <row r="688" spans="1:54" x14ac:dyDescent="0.25">
      <c r="A688" s="40"/>
      <c r="B688" s="4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72"/>
  <sheetViews>
    <sheetView rightToLeft="1" zoomScale="90" workbookViewId="0"/>
  </sheetViews>
  <sheetFormatPr defaultColWidth="9.109375" defaultRowHeight="13.2" x14ac:dyDescent="0.25"/>
  <cols>
    <col min="1" max="1" width="46.4414062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7" customWidth="1"/>
    <col min="6" max="6" width="11.33203125" style="36" bestFit="1" customWidth="1"/>
    <col min="7" max="7" width="11.88671875" style="59" customWidth="1"/>
    <col min="8" max="8" width="13.6640625" style="61" customWidth="1"/>
    <col min="9" max="9" width="10" style="59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7"/>
      <c r="F1" s="36"/>
      <c r="G1" s="59"/>
      <c r="H1" s="60"/>
      <c r="I1" s="59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7"/>
      <c r="F2" s="36"/>
      <c r="G2" s="59"/>
      <c r="H2" s="60"/>
      <c r="I2" s="59"/>
      <c r="J2" s="12"/>
      <c r="K2" s="14"/>
    </row>
    <row r="3" spans="1:11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36"/>
      <c r="G3" s="59"/>
      <c r="H3" s="60"/>
      <c r="I3" s="59"/>
      <c r="J3" s="12"/>
      <c r="K3" s="14"/>
    </row>
    <row r="4" spans="1:11" s="7" customFormat="1" x14ac:dyDescent="0.25">
      <c r="A4" s="214" t="s">
        <v>4</v>
      </c>
      <c r="B4" s="215"/>
      <c r="C4" s="215"/>
      <c r="D4" s="215"/>
      <c r="E4" s="215"/>
      <c r="F4" s="215"/>
      <c r="G4" s="215"/>
      <c r="H4" s="215"/>
      <c r="I4" s="215"/>
      <c r="J4" s="215"/>
      <c r="K4" s="216"/>
    </row>
    <row r="5" spans="1:11" s="7" customFormat="1" x14ac:dyDescent="0.25">
      <c r="A5" s="83" t="s">
        <v>157</v>
      </c>
      <c r="B5" s="197" t="s">
        <v>69</v>
      </c>
      <c r="C5" s="197" t="s">
        <v>74</v>
      </c>
      <c r="D5" s="197" t="s">
        <v>70</v>
      </c>
      <c r="E5" s="197" t="s">
        <v>5</v>
      </c>
      <c r="F5" s="197" t="s">
        <v>6</v>
      </c>
      <c r="G5" s="198" t="s">
        <v>66</v>
      </c>
      <c r="H5" s="198" t="s">
        <v>71</v>
      </c>
      <c r="I5" s="198" t="s">
        <v>7</v>
      </c>
      <c r="J5" s="86" t="s">
        <v>75</v>
      </c>
      <c r="K5" s="87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7" t="s">
        <v>9</v>
      </c>
      <c r="H6" s="47" t="s">
        <v>9</v>
      </c>
      <c r="I6" s="47" t="s">
        <v>10</v>
      </c>
      <c r="J6" s="46" t="s">
        <v>9</v>
      </c>
      <c r="K6" s="48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3" customFormat="1" ht="12.75" customHeight="1" thickBot="1" x14ac:dyDescent="0.3">
      <c r="A8" s="69" t="s">
        <v>78</v>
      </c>
      <c r="B8" s="114"/>
      <c r="C8" s="114"/>
      <c r="D8" s="114"/>
      <c r="E8" s="114"/>
      <c r="F8" s="114"/>
      <c r="G8" s="114"/>
      <c r="H8" s="114"/>
      <c r="I8" s="77">
        <v>4884.516996463105</v>
      </c>
      <c r="J8" s="74">
        <v>1</v>
      </c>
      <c r="K8" s="56">
        <v>4.8487880388161646E-2</v>
      </c>
    </row>
    <row r="9" spans="1:11" s="113" customFormat="1" x14ac:dyDescent="0.25">
      <c r="A9" s="88" t="s">
        <v>247</v>
      </c>
      <c r="B9" s="115" t="s">
        <v>248</v>
      </c>
      <c r="C9" s="115" t="s">
        <v>248</v>
      </c>
      <c r="D9" s="116" t="s">
        <v>248</v>
      </c>
      <c r="E9" s="116" t="s">
        <v>248</v>
      </c>
      <c r="F9" s="116" t="s">
        <v>248</v>
      </c>
      <c r="G9" s="115" t="s">
        <v>248</v>
      </c>
      <c r="H9" s="115" t="s">
        <v>248</v>
      </c>
      <c r="I9" s="117">
        <v>3682.3123529355403</v>
      </c>
      <c r="J9" s="115">
        <v>0.75387440674316719</v>
      </c>
      <c r="K9" s="115">
        <v>3.6553772061859016E-2</v>
      </c>
    </row>
    <row r="10" spans="1:11" s="113" customFormat="1" x14ac:dyDescent="0.25">
      <c r="A10" s="89" t="s">
        <v>249</v>
      </c>
      <c r="B10" s="115" t="s">
        <v>248</v>
      </c>
      <c r="C10" s="115" t="s">
        <v>248</v>
      </c>
      <c r="D10" s="116" t="s">
        <v>248</v>
      </c>
      <c r="E10" s="116" t="s">
        <v>248</v>
      </c>
      <c r="F10" s="116" t="s">
        <v>248</v>
      </c>
      <c r="G10" s="115" t="s">
        <v>248</v>
      </c>
      <c r="H10" s="115" t="s">
        <v>248</v>
      </c>
      <c r="I10" s="118">
        <v>1944.7338786508567</v>
      </c>
      <c r="J10" s="115">
        <v>0.3981425144101341</v>
      </c>
      <c r="K10" s="115">
        <v>1.9305086616160507E-2</v>
      </c>
    </row>
    <row r="11" spans="1:11" x14ac:dyDescent="0.25">
      <c r="A11" s="16" t="s">
        <v>796</v>
      </c>
      <c r="B11" s="32" t="s">
        <v>250</v>
      </c>
      <c r="C11" s="32" t="s">
        <v>251</v>
      </c>
      <c r="D11" s="63" t="s">
        <v>252</v>
      </c>
      <c r="E11" s="63" t="s">
        <v>253</v>
      </c>
      <c r="F11" s="63" t="s">
        <v>254</v>
      </c>
      <c r="G11" s="32">
        <v>0</v>
      </c>
      <c r="H11" s="32">
        <v>0</v>
      </c>
      <c r="I11" s="81">
        <v>43.364249999999998</v>
      </c>
      <c r="J11" s="32">
        <v>8.8778992951401743E-3</v>
      </c>
      <c r="K11" s="32">
        <v>4.3047051912090134E-4</v>
      </c>
    </row>
    <row r="12" spans="1:11" x14ac:dyDescent="0.25">
      <c r="A12" s="16" t="s">
        <v>796</v>
      </c>
      <c r="B12" s="32" t="s">
        <v>266</v>
      </c>
      <c r="C12" s="32" t="s">
        <v>251</v>
      </c>
      <c r="D12" s="63" t="s">
        <v>252</v>
      </c>
      <c r="E12" s="63" t="s">
        <v>253</v>
      </c>
      <c r="F12" s="63" t="s">
        <v>254</v>
      </c>
      <c r="G12" s="32">
        <v>0</v>
      </c>
      <c r="H12" s="32">
        <v>0</v>
      </c>
      <c r="I12" s="81">
        <v>65.870314281789817</v>
      </c>
      <c r="J12" s="32">
        <v>1.348553282330407E-2</v>
      </c>
      <c r="K12" s="32">
        <v>6.5388490250699565E-4</v>
      </c>
    </row>
    <row r="13" spans="1:11" x14ac:dyDescent="0.25">
      <c r="A13" s="16" t="s">
        <v>807</v>
      </c>
      <c r="B13" s="32" t="s">
        <v>271</v>
      </c>
      <c r="C13" s="32" t="s">
        <v>251</v>
      </c>
      <c r="D13" s="63" t="s">
        <v>252</v>
      </c>
      <c r="E13" s="63" t="s">
        <v>253</v>
      </c>
      <c r="F13" s="63" t="s">
        <v>254</v>
      </c>
      <c r="G13" s="32">
        <v>0</v>
      </c>
      <c r="H13" s="32">
        <v>0</v>
      </c>
      <c r="I13" s="81">
        <v>-2.2703474376944119</v>
      </c>
      <c r="J13" s="32">
        <v>-4.6480490073806229E-4</v>
      </c>
      <c r="K13" s="32">
        <v>-2.2537404430818514E-5</v>
      </c>
    </row>
    <row r="14" spans="1:11" x14ac:dyDescent="0.25">
      <c r="A14" s="16" t="s">
        <v>796</v>
      </c>
      <c r="B14" s="32" t="s">
        <v>275</v>
      </c>
      <c r="C14" s="32" t="s">
        <v>251</v>
      </c>
      <c r="D14" s="63" t="s">
        <v>252</v>
      </c>
      <c r="E14" s="63" t="s">
        <v>253</v>
      </c>
      <c r="F14" s="63" t="s">
        <v>254</v>
      </c>
      <c r="G14" s="32">
        <v>0</v>
      </c>
      <c r="H14" s="32">
        <v>0</v>
      </c>
      <c r="I14" s="81">
        <v>0.32979161275643259</v>
      </c>
      <c r="J14" s="32">
        <v>6.7517753136131121E-5</v>
      </c>
      <c r="K14" s="32">
        <v>3.2737927381421521E-6</v>
      </c>
    </row>
    <row r="15" spans="1:11" x14ac:dyDescent="0.25">
      <c r="A15" s="16" t="s">
        <v>809</v>
      </c>
      <c r="B15" s="32" t="s">
        <v>255</v>
      </c>
      <c r="C15" s="32" t="s">
        <v>256</v>
      </c>
      <c r="D15" s="63" t="s">
        <v>252</v>
      </c>
      <c r="E15" s="63" t="s">
        <v>253</v>
      </c>
      <c r="F15" s="63" t="s">
        <v>254</v>
      </c>
      <c r="G15" s="32">
        <v>0</v>
      </c>
      <c r="H15" s="32">
        <v>0</v>
      </c>
      <c r="I15" s="81">
        <v>6.14994</v>
      </c>
      <c r="J15" s="32">
        <v>1.259068195371864E-3</v>
      </c>
      <c r="K15" s="32">
        <v>6.1049548057729493E-5</v>
      </c>
    </row>
    <row r="16" spans="1:11" x14ac:dyDescent="0.25">
      <c r="A16" s="16" t="s">
        <v>809</v>
      </c>
      <c r="B16" s="32" t="s">
        <v>265</v>
      </c>
      <c r="C16" s="32" t="s">
        <v>256</v>
      </c>
      <c r="D16" s="63" t="s">
        <v>252</v>
      </c>
      <c r="E16" s="63" t="s">
        <v>253</v>
      </c>
      <c r="F16" s="63" t="s">
        <v>254</v>
      </c>
      <c r="G16" s="32">
        <v>0</v>
      </c>
      <c r="H16" s="32">
        <v>0</v>
      </c>
      <c r="I16" s="81">
        <v>89.689588419187643</v>
      </c>
      <c r="J16" s="32">
        <v>1.836201787896985E-2</v>
      </c>
      <c r="K16" s="32">
        <v>8.9033532660077574E-4</v>
      </c>
    </row>
    <row r="17" spans="1:11" x14ac:dyDescent="0.25">
      <c r="A17" s="16" t="s">
        <v>810</v>
      </c>
      <c r="B17" s="32" t="s">
        <v>272</v>
      </c>
      <c r="C17" s="32" t="s">
        <v>256</v>
      </c>
      <c r="D17" s="63" t="s">
        <v>252</v>
      </c>
      <c r="E17" s="63" t="s">
        <v>253</v>
      </c>
      <c r="F17" s="63" t="s">
        <v>254</v>
      </c>
      <c r="G17" s="32">
        <v>0</v>
      </c>
      <c r="H17" s="32">
        <v>0</v>
      </c>
      <c r="I17" s="81">
        <v>0.63860549164078795</v>
      </c>
      <c r="J17" s="32">
        <v>1.3074076558709986E-4</v>
      </c>
      <c r="K17" s="32">
        <v>6.3393426036439789E-6</v>
      </c>
    </row>
    <row r="18" spans="1:11" x14ac:dyDescent="0.25">
      <c r="A18" s="16" t="s">
        <v>802</v>
      </c>
      <c r="B18" s="32" t="s">
        <v>263</v>
      </c>
      <c r="C18" s="32" t="s">
        <v>264</v>
      </c>
      <c r="D18" s="63" t="s">
        <v>252</v>
      </c>
      <c r="E18" s="63" t="s">
        <v>253</v>
      </c>
      <c r="F18" s="63" t="s">
        <v>254</v>
      </c>
      <c r="G18" s="32">
        <v>0</v>
      </c>
      <c r="H18" s="32">
        <v>0</v>
      </c>
      <c r="I18" s="81">
        <v>2.5452960317259889E-3</v>
      </c>
      <c r="J18" s="32">
        <v>5.2109472309525097E-7</v>
      </c>
      <c r="K18" s="32">
        <v>2.5266778604344746E-8</v>
      </c>
    </row>
    <row r="19" spans="1:11" x14ac:dyDescent="0.25">
      <c r="A19" s="16" t="s">
        <v>802</v>
      </c>
      <c r="B19" s="32" t="s">
        <v>278</v>
      </c>
      <c r="C19" s="32" t="s">
        <v>264</v>
      </c>
      <c r="D19" s="63" t="s">
        <v>252</v>
      </c>
      <c r="E19" s="63" t="s">
        <v>253</v>
      </c>
      <c r="F19" s="63" t="s">
        <v>254</v>
      </c>
      <c r="G19" s="32">
        <v>0</v>
      </c>
      <c r="H19" s="32">
        <v>0</v>
      </c>
      <c r="I19" s="81">
        <v>6.4667349555190253E-4</v>
      </c>
      <c r="J19" s="32">
        <v>1.3239251619354809E-7</v>
      </c>
      <c r="K19" s="32">
        <v>6.4194324894805142E-9</v>
      </c>
    </row>
    <row r="20" spans="1:11" x14ac:dyDescent="0.25">
      <c r="A20" s="16" t="s">
        <v>811</v>
      </c>
      <c r="B20" s="32" t="s">
        <v>257</v>
      </c>
      <c r="C20" s="32" t="s">
        <v>258</v>
      </c>
      <c r="D20" s="63" t="s">
        <v>252</v>
      </c>
      <c r="E20" s="63" t="s">
        <v>253</v>
      </c>
      <c r="F20" s="63" t="s">
        <v>254</v>
      </c>
      <c r="G20" s="32">
        <v>0</v>
      </c>
      <c r="H20" s="32">
        <v>0</v>
      </c>
      <c r="I20" s="81">
        <v>1738.2067549999999</v>
      </c>
      <c r="J20" s="32">
        <v>0.35586051932230783</v>
      </c>
      <c r="K20" s="32">
        <v>1.7254922295769151E-2</v>
      </c>
    </row>
    <row r="21" spans="1:11" x14ac:dyDescent="0.25">
      <c r="A21" s="16" t="s">
        <v>811</v>
      </c>
      <c r="B21" s="32" t="s">
        <v>267</v>
      </c>
      <c r="C21" s="32" t="s">
        <v>258</v>
      </c>
      <c r="D21" s="63" t="s">
        <v>252</v>
      </c>
      <c r="E21" s="63" t="s">
        <v>253</v>
      </c>
      <c r="F21" s="63" t="s">
        <v>254</v>
      </c>
      <c r="G21" s="32">
        <v>0</v>
      </c>
      <c r="H21" s="32">
        <v>0</v>
      </c>
      <c r="I21" s="81">
        <v>0.60821446767312459</v>
      </c>
      <c r="J21" s="32">
        <v>1.245188558282292E-4</v>
      </c>
      <c r="K21" s="32">
        <v>6.0376553874699236E-6</v>
      </c>
    </row>
    <row r="22" spans="1:11" x14ac:dyDescent="0.25">
      <c r="A22" s="16" t="s">
        <v>811</v>
      </c>
      <c r="B22" s="32" t="s">
        <v>268</v>
      </c>
      <c r="C22" s="32" t="s">
        <v>258</v>
      </c>
      <c r="D22" s="63" t="s">
        <v>252</v>
      </c>
      <c r="E22" s="63" t="s">
        <v>253</v>
      </c>
      <c r="F22" s="63" t="s">
        <v>254</v>
      </c>
      <c r="G22" s="32">
        <v>0</v>
      </c>
      <c r="H22" s="32">
        <v>0</v>
      </c>
      <c r="I22" s="81">
        <v>1.3570860613360127</v>
      </c>
      <c r="J22" s="32">
        <v>2.7783423874227142E-4</v>
      </c>
      <c r="K22" s="32">
        <v>1.3471593335871202E-5</v>
      </c>
    </row>
    <row r="23" spans="1:11" x14ac:dyDescent="0.25">
      <c r="A23" s="16" t="s">
        <v>812</v>
      </c>
      <c r="B23" s="32" t="s">
        <v>269</v>
      </c>
      <c r="C23" s="32" t="s">
        <v>258</v>
      </c>
      <c r="D23" s="63" t="s">
        <v>252</v>
      </c>
      <c r="E23" s="63" t="s">
        <v>253</v>
      </c>
      <c r="F23" s="63" t="s">
        <v>254</v>
      </c>
      <c r="G23" s="32">
        <v>0</v>
      </c>
      <c r="H23" s="32">
        <v>0</v>
      </c>
      <c r="I23" s="81">
        <v>2.19241354980956E-2</v>
      </c>
      <c r="J23" s="32">
        <v>4.4884961018604174E-6</v>
      </c>
      <c r="K23" s="32">
        <v>2.1763766210973772E-7</v>
      </c>
    </row>
    <row r="24" spans="1:11" x14ac:dyDescent="0.25">
      <c r="A24" s="16" t="s">
        <v>812</v>
      </c>
      <c r="B24" s="32" t="s">
        <v>270</v>
      </c>
      <c r="C24" s="32" t="s">
        <v>258</v>
      </c>
      <c r="D24" s="63" t="s">
        <v>252</v>
      </c>
      <c r="E24" s="63" t="s">
        <v>253</v>
      </c>
      <c r="F24" s="63" t="s">
        <v>254</v>
      </c>
      <c r="G24" s="32">
        <v>0</v>
      </c>
      <c r="H24" s="32">
        <v>0</v>
      </c>
      <c r="I24" s="81">
        <v>-1.9660857066196862E-3</v>
      </c>
      <c r="J24" s="32">
        <v>-4.0251384283099748E-7</v>
      </c>
      <c r="K24" s="32">
        <v>-1.9517043065768703E-8</v>
      </c>
    </row>
    <row r="25" spans="1:11" x14ac:dyDescent="0.25">
      <c r="A25" s="16" t="s">
        <v>813</v>
      </c>
      <c r="B25" s="32" t="s">
        <v>273</v>
      </c>
      <c r="C25" s="32" t="s">
        <v>274</v>
      </c>
      <c r="D25" s="63" t="s">
        <v>252</v>
      </c>
      <c r="E25" s="63" t="s">
        <v>253</v>
      </c>
      <c r="F25" s="63" t="s">
        <v>254</v>
      </c>
      <c r="G25" s="32">
        <v>0</v>
      </c>
      <c r="H25" s="32">
        <v>0</v>
      </c>
      <c r="I25" s="81">
        <v>0</v>
      </c>
      <c r="J25" s="32">
        <v>0</v>
      </c>
      <c r="K25" s="32">
        <v>0</v>
      </c>
    </row>
    <row r="26" spans="1:11" x14ac:dyDescent="0.25">
      <c r="A26" s="16" t="s">
        <v>813</v>
      </c>
      <c r="B26" s="32" t="s">
        <v>276</v>
      </c>
      <c r="C26" s="32" t="s">
        <v>274</v>
      </c>
      <c r="D26" s="63" t="s">
        <v>252</v>
      </c>
      <c r="E26" s="63" t="s">
        <v>253</v>
      </c>
      <c r="F26" s="63" t="s">
        <v>254</v>
      </c>
      <c r="G26" s="32">
        <v>0</v>
      </c>
      <c r="H26" s="32">
        <v>0</v>
      </c>
      <c r="I26" s="81">
        <v>3.7235120672503674E-2</v>
      </c>
      <c r="J26" s="32">
        <v>7.6230916382245674E-6</v>
      </c>
      <c r="K26" s="32">
        <v>3.6962755554222807E-7</v>
      </c>
    </row>
    <row r="27" spans="1:11" x14ac:dyDescent="0.25">
      <c r="A27" s="16" t="s">
        <v>797</v>
      </c>
      <c r="B27" s="32" t="s">
        <v>259</v>
      </c>
      <c r="C27" s="32" t="s">
        <v>260</v>
      </c>
      <c r="D27" s="63" t="s">
        <v>261</v>
      </c>
      <c r="E27" s="63" t="s">
        <v>262</v>
      </c>
      <c r="F27" s="63" t="s">
        <v>254</v>
      </c>
      <c r="G27" s="32">
        <v>0</v>
      </c>
      <c r="H27" s="32">
        <v>0</v>
      </c>
      <c r="I27" s="81">
        <v>0.68079999999999996</v>
      </c>
      <c r="J27" s="32">
        <v>1.3937918539191685E-4</v>
      </c>
      <c r="K27" s="32">
        <v>6.7582012698826712E-6</v>
      </c>
    </row>
    <row r="28" spans="1:11" x14ac:dyDescent="0.25">
      <c r="A28" s="16" t="s">
        <v>797</v>
      </c>
      <c r="B28" s="32" t="s">
        <v>277</v>
      </c>
      <c r="C28" s="32" t="s">
        <v>260</v>
      </c>
      <c r="D28" s="63" t="s">
        <v>261</v>
      </c>
      <c r="E28" s="63" t="s">
        <v>262</v>
      </c>
      <c r="F28" s="63" t="s">
        <v>254</v>
      </c>
      <c r="G28" s="32">
        <v>0</v>
      </c>
      <c r="H28" s="32">
        <v>0</v>
      </c>
      <c r="I28" s="81">
        <v>4.8045947448056195E-2</v>
      </c>
      <c r="J28" s="32">
        <v>9.8363763464937117E-6</v>
      </c>
      <c r="K28" s="32">
        <v>4.7694503974172954E-7</v>
      </c>
    </row>
    <row r="29" spans="1:11" s="113" customFormat="1" x14ac:dyDescent="0.25">
      <c r="A29" s="89" t="s">
        <v>279</v>
      </c>
      <c r="B29" s="115" t="s">
        <v>248</v>
      </c>
      <c r="C29" s="115" t="s">
        <v>248</v>
      </c>
      <c r="D29" s="116" t="s">
        <v>248</v>
      </c>
      <c r="E29" s="116" t="s">
        <v>248</v>
      </c>
      <c r="F29" s="116" t="s">
        <v>248</v>
      </c>
      <c r="G29" s="115" t="s">
        <v>248</v>
      </c>
      <c r="H29" s="115" t="s">
        <v>248</v>
      </c>
      <c r="I29" s="118">
        <v>710.6811510512797</v>
      </c>
      <c r="J29" s="115">
        <v>0.14549670961650585</v>
      </c>
      <c r="K29" s="115">
        <v>7.0548270527562244E-3</v>
      </c>
    </row>
    <row r="30" spans="1:11" x14ac:dyDescent="0.25">
      <c r="A30" s="16" t="s">
        <v>798</v>
      </c>
      <c r="B30" s="32" t="s">
        <v>280</v>
      </c>
      <c r="C30" s="32" t="s">
        <v>251</v>
      </c>
      <c r="D30" s="63" t="s">
        <v>252</v>
      </c>
      <c r="E30" s="63" t="s">
        <v>253</v>
      </c>
      <c r="F30" s="63" t="s">
        <v>125</v>
      </c>
      <c r="G30" s="32">
        <v>0</v>
      </c>
      <c r="H30" s="32">
        <v>0</v>
      </c>
      <c r="I30" s="81">
        <v>37.871600000000001</v>
      </c>
      <c r="J30" s="32">
        <v>7.753397117345062E-3</v>
      </c>
      <c r="K30" s="32">
        <v>3.7594579202774469E-4</v>
      </c>
    </row>
    <row r="31" spans="1:11" x14ac:dyDescent="0.25">
      <c r="A31" s="16" t="s">
        <v>798</v>
      </c>
      <c r="B31" s="32" t="s">
        <v>292</v>
      </c>
      <c r="C31" s="32" t="s">
        <v>251</v>
      </c>
      <c r="D31" s="63" t="s">
        <v>252</v>
      </c>
      <c r="E31" s="63" t="s">
        <v>253</v>
      </c>
      <c r="F31" s="63" t="s">
        <v>125</v>
      </c>
      <c r="G31" s="32">
        <v>0</v>
      </c>
      <c r="H31" s="32">
        <v>0</v>
      </c>
      <c r="I31" s="81">
        <v>2.3512236293587891</v>
      </c>
      <c r="J31" s="32">
        <v>4.8136256482704802E-4</v>
      </c>
      <c r="K31" s="32">
        <v>2.334025046667261E-5</v>
      </c>
    </row>
    <row r="32" spans="1:11" x14ac:dyDescent="0.25">
      <c r="A32" s="16" t="s">
        <v>808</v>
      </c>
      <c r="B32" s="32" t="s">
        <v>299</v>
      </c>
      <c r="C32" s="32" t="s">
        <v>251</v>
      </c>
      <c r="D32" s="63" t="s">
        <v>252</v>
      </c>
      <c r="E32" s="63" t="s">
        <v>253</v>
      </c>
      <c r="F32" s="63" t="s">
        <v>125</v>
      </c>
      <c r="G32" s="32">
        <v>0</v>
      </c>
      <c r="H32" s="32">
        <v>0</v>
      </c>
      <c r="I32" s="81">
        <v>-1.0336392057993533</v>
      </c>
      <c r="J32" s="32">
        <v>-2.1161543844515533E-4</v>
      </c>
      <c r="K32" s="32">
        <v>-1.0260784067617076E-5</v>
      </c>
    </row>
    <row r="33" spans="1:11" x14ac:dyDescent="0.25">
      <c r="A33" s="16" t="s">
        <v>814</v>
      </c>
      <c r="B33" s="32" t="s">
        <v>281</v>
      </c>
      <c r="C33" s="32" t="s">
        <v>256</v>
      </c>
      <c r="D33" s="63" t="s">
        <v>252</v>
      </c>
      <c r="E33" s="63" t="s">
        <v>253</v>
      </c>
      <c r="F33" s="63" t="s">
        <v>125</v>
      </c>
      <c r="G33" s="32">
        <v>0</v>
      </c>
      <c r="H33" s="32">
        <v>0</v>
      </c>
      <c r="I33" s="81">
        <v>73.107960000000006</v>
      </c>
      <c r="J33" s="32">
        <v>1.4967285414901355E-2</v>
      </c>
      <c r="K33" s="32">
        <v>7.2573194493321324E-4</v>
      </c>
    </row>
    <row r="34" spans="1:11" x14ac:dyDescent="0.25">
      <c r="A34" s="16" t="s">
        <v>814</v>
      </c>
      <c r="B34" s="32" t="s">
        <v>284</v>
      </c>
      <c r="C34" s="32" t="s">
        <v>256</v>
      </c>
      <c r="D34" s="63" t="s">
        <v>252</v>
      </c>
      <c r="E34" s="63" t="s">
        <v>253</v>
      </c>
      <c r="F34" s="63" t="s">
        <v>125</v>
      </c>
      <c r="G34" s="32">
        <v>0</v>
      </c>
      <c r="H34" s="32">
        <v>0</v>
      </c>
      <c r="I34" s="81">
        <v>0.97876769478107783</v>
      </c>
      <c r="J34" s="32">
        <v>2.0038167448077398E-4</v>
      </c>
      <c r="K34" s="32">
        <v>9.7160826642033123E-6</v>
      </c>
    </row>
    <row r="35" spans="1:11" x14ac:dyDescent="0.25">
      <c r="A35" s="16" t="s">
        <v>815</v>
      </c>
      <c r="B35" s="32" t="s">
        <v>285</v>
      </c>
      <c r="C35" s="32" t="s">
        <v>256</v>
      </c>
      <c r="D35" s="63" t="s">
        <v>252</v>
      </c>
      <c r="E35" s="63" t="s">
        <v>253</v>
      </c>
      <c r="F35" s="63" t="s">
        <v>125</v>
      </c>
      <c r="G35" s="32">
        <v>0</v>
      </c>
      <c r="H35" s="32">
        <v>0</v>
      </c>
      <c r="I35" s="81">
        <v>-0.97876769478107783</v>
      </c>
      <c r="J35" s="32">
        <v>-2.0038167448077398E-4</v>
      </c>
      <c r="K35" s="32">
        <v>-9.7160826642033123E-6</v>
      </c>
    </row>
    <row r="36" spans="1:11" x14ac:dyDescent="0.25">
      <c r="A36" s="16" t="s">
        <v>816</v>
      </c>
      <c r="B36" s="32" t="s">
        <v>290</v>
      </c>
      <c r="C36" s="32" t="s">
        <v>256</v>
      </c>
      <c r="D36" s="63" t="s">
        <v>252</v>
      </c>
      <c r="E36" s="63" t="s">
        <v>253</v>
      </c>
      <c r="F36" s="63" t="s">
        <v>130</v>
      </c>
      <c r="G36" s="32">
        <v>0</v>
      </c>
      <c r="H36" s="32">
        <v>0</v>
      </c>
      <c r="I36" s="81">
        <v>1.88872</v>
      </c>
      <c r="J36" s="32">
        <v>3.866748751959771E-4</v>
      </c>
      <c r="K36" s="32">
        <v>1.874904509760987E-5</v>
      </c>
    </row>
    <row r="37" spans="1:11" x14ac:dyDescent="0.25">
      <c r="A37" s="16" t="s">
        <v>817</v>
      </c>
      <c r="B37" s="32" t="s">
        <v>293</v>
      </c>
      <c r="C37" s="32" t="s">
        <v>256</v>
      </c>
      <c r="D37" s="63" t="s">
        <v>252</v>
      </c>
      <c r="E37" s="63" t="s">
        <v>253</v>
      </c>
      <c r="F37" s="63" t="s">
        <v>125</v>
      </c>
      <c r="G37" s="32">
        <v>0</v>
      </c>
      <c r="H37" s="32">
        <v>0</v>
      </c>
      <c r="I37" s="81">
        <v>9.6647274619281589</v>
      </c>
      <c r="J37" s="32">
        <v>1.9786454769072197E-3</v>
      </c>
      <c r="K37" s="32">
        <v>9.5940325214854307E-5</v>
      </c>
    </row>
    <row r="38" spans="1:11" x14ac:dyDescent="0.25">
      <c r="A38" s="16" t="s">
        <v>818</v>
      </c>
      <c r="B38" s="32" t="s">
        <v>294</v>
      </c>
      <c r="C38" s="32" t="s">
        <v>256</v>
      </c>
      <c r="D38" s="63" t="s">
        <v>252</v>
      </c>
      <c r="E38" s="63" t="s">
        <v>253</v>
      </c>
      <c r="F38" s="63" t="s">
        <v>125</v>
      </c>
      <c r="G38" s="32">
        <v>0</v>
      </c>
      <c r="H38" s="32">
        <v>0</v>
      </c>
      <c r="I38" s="81">
        <v>6.226652010769735E-2</v>
      </c>
      <c r="J38" s="32">
        <v>1.2747733328143754E-5</v>
      </c>
      <c r="K38" s="32">
        <v>6.1811056883521617E-7</v>
      </c>
    </row>
    <row r="39" spans="1:11" x14ac:dyDescent="0.25">
      <c r="A39" s="16" t="s">
        <v>819</v>
      </c>
      <c r="B39" s="32" t="s">
        <v>282</v>
      </c>
      <c r="C39" s="32" t="s">
        <v>258</v>
      </c>
      <c r="D39" s="63" t="s">
        <v>252</v>
      </c>
      <c r="E39" s="63" t="s">
        <v>253</v>
      </c>
      <c r="F39" s="63" t="s">
        <v>125</v>
      </c>
      <c r="G39" s="32">
        <v>0</v>
      </c>
      <c r="H39" s="32">
        <v>0</v>
      </c>
      <c r="I39" s="81">
        <v>107.03952000000001</v>
      </c>
      <c r="J39" s="32">
        <v>2.1914043922358684E-2</v>
      </c>
      <c r="K39" s="32">
        <v>1.0625655405282486E-3</v>
      </c>
    </row>
    <row r="40" spans="1:11" x14ac:dyDescent="0.25">
      <c r="A40" s="16" t="s">
        <v>820</v>
      </c>
      <c r="B40" s="32" t="s">
        <v>286</v>
      </c>
      <c r="C40" s="32" t="s">
        <v>258</v>
      </c>
      <c r="D40" s="63" t="s">
        <v>252</v>
      </c>
      <c r="E40" s="63" t="s">
        <v>253</v>
      </c>
      <c r="F40" s="63" t="s">
        <v>126</v>
      </c>
      <c r="G40" s="32">
        <v>0</v>
      </c>
      <c r="H40" s="32">
        <v>0</v>
      </c>
      <c r="I40" s="81">
        <v>129.97263000000001</v>
      </c>
      <c r="J40" s="32">
        <v>2.6609105894014416E-2</v>
      </c>
      <c r="K40" s="32">
        <v>1.2902191438248982E-3</v>
      </c>
    </row>
    <row r="41" spans="1:11" x14ac:dyDescent="0.25">
      <c r="A41" s="16" t="s">
        <v>821</v>
      </c>
      <c r="B41" s="32" t="s">
        <v>287</v>
      </c>
      <c r="C41" s="32" t="s">
        <v>258</v>
      </c>
      <c r="D41" s="63" t="s">
        <v>252</v>
      </c>
      <c r="E41" s="63" t="s">
        <v>253</v>
      </c>
      <c r="F41" s="63" t="s">
        <v>2</v>
      </c>
      <c r="G41" s="32">
        <v>0</v>
      </c>
      <c r="H41" s="32">
        <v>0</v>
      </c>
      <c r="I41" s="81">
        <v>112.90016</v>
      </c>
      <c r="J41" s="32">
        <v>2.311388415308031E-2</v>
      </c>
      <c r="K41" s="32">
        <v>1.1207432501203832E-3</v>
      </c>
    </row>
    <row r="42" spans="1:11" x14ac:dyDescent="0.25">
      <c r="A42" s="16" t="s">
        <v>827</v>
      </c>
      <c r="B42" s="32" t="s">
        <v>288</v>
      </c>
      <c r="C42" s="32" t="s">
        <v>258</v>
      </c>
      <c r="D42" s="63" t="s">
        <v>252</v>
      </c>
      <c r="E42" s="63" t="s">
        <v>253</v>
      </c>
      <c r="F42" s="63" t="s">
        <v>289</v>
      </c>
      <c r="G42" s="32">
        <v>0</v>
      </c>
      <c r="H42" s="32">
        <v>0</v>
      </c>
      <c r="I42" s="81">
        <v>8.5132199999999987</v>
      </c>
      <c r="J42" s="32">
        <v>1.7428990432758141E-3</v>
      </c>
      <c r="K42" s="32">
        <v>8.4509480338999045E-5</v>
      </c>
    </row>
    <row r="43" spans="1:11" x14ac:dyDescent="0.25">
      <c r="A43" s="16" t="s">
        <v>819</v>
      </c>
      <c r="B43" s="32" t="s">
        <v>291</v>
      </c>
      <c r="C43" s="32" t="s">
        <v>258</v>
      </c>
      <c r="D43" s="63" t="s">
        <v>252</v>
      </c>
      <c r="E43" s="63" t="s">
        <v>253</v>
      </c>
      <c r="F43" s="63" t="s">
        <v>125</v>
      </c>
      <c r="G43" s="32">
        <v>0</v>
      </c>
      <c r="H43" s="32">
        <v>0</v>
      </c>
      <c r="I43" s="81">
        <v>0.97876769478107783</v>
      </c>
      <c r="J43" s="32">
        <v>2.0038167448077398E-4</v>
      </c>
      <c r="K43" s="32">
        <v>9.7160826642033123E-6</v>
      </c>
    </row>
    <row r="44" spans="1:11" x14ac:dyDescent="0.25">
      <c r="A44" s="16" t="s">
        <v>822</v>
      </c>
      <c r="B44" s="32" t="s">
        <v>295</v>
      </c>
      <c r="C44" s="32" t="s">
        <v>258</v>
      </c>
      <c r="D44" s="63" t="s">
        <v>252</v>
      </c>
      <c r="E44" s="63" t="s">
        <v>253</v>
      </c>
      <c r="F44" s="63" t="s">
        <v>125</v>
      </c>
      <c r="G44" s="32">
        <v>0</v>
      </c>
      <c r="H44" s="32">
        <v>0</v>
      </c>
      <c r="I44" s="81">
        <v>1.2274292249992328E-2</v>
      </c>
      <c r="J44" s="32">
        <v>2.5128978482171694E-6</v>
      </c>
      <c r="K44" s="32">
        <v>1.2184509029202289E-7</v>
      </c>
    </row>
    <row r="45" spans="1:11" x14ac:dyDescent="0.25">
      <c r="A45" s="16" t="s">
        <v>822</v>
      </c>
      <c r="B45" s="32" t="s">
        <v>296</v>
      </c>
      <c r="C45" s="32" t="s">
        <v>258</v>
      </c>
      <c r="D45" s="63" t="s">
        <v>252</v>
      </c>
      <c r="E45" s="63" t="s">
        <v>253</v>
      </c>
      <c r="F45" s="63" t="s">
        <v>125</v>
      </c>
      <c r="G45" s="32">
        <v>0</v>
      </c>
      <c r="H45" s="32">
        <v>0</v>
      </c>
      <c r="I45" s="81">
        <v>-0.97876769478107783</v>
      </c>
      <c r="J45" s="32">
        <v>-2.0038167448077398E-4</v>
      </c>
      <c r="K45" s="32">
        <v>-9.7160826642033123E-6</v>
      </c>
    </row>
    <row r="46" spans="1:11" x14ac:dyDescent="0.25">
      <c r="A46" s="16" t="s">
        <v>799</v>
      </c>
      <c r="B46" s="32" t="s">
        <v>283</v>
      </c>
      <c r="C46" s="32" t="s">
        <v>260</v>
      </c>
      <c r="D46" s="63" t="s">
        <v>261</v>
      </c>
      <c r="E46" s="63" t="s">
        <v>262</v>
      </c>
      <c r="F46" s="63" t="s">
        <v>125</v>
      </c>
      <c r="G46" s="32">
        <v>0</v>
      </c>
      <c r="H46" s="32">
        <v>0</v>
      </c>
      <c r="I46" s="81">
        <v>221.23742999999999</v>
      </c>
      <c r="J46" s="32">
        <v>4.5293614529379002E-2</v>
      </c>
      <c r="K46" s="32">
        <v>2.1961913636480298E-3</v>
      </c>
    </row>
    <row r="47" spans="1:11" x14ac:dyDescent="0.25">
      <c r="A47" s="16" t="s">
        <v>799</v>
      </c>
      <c r="B47" s="32" t="s">
        <v>297</v>
      </c>
      <c r="C47" s="32" t="s">
        <v>260</v>
      </c>
      <c r="D47" s="63" t="s">
        <v>261</v>
      </c>
      <c r="E47" s="63" t="s">
        <v>262</v>
      </c>
      <c r="F47" s="63" t="s">
        <v>125</v>
      </c>
      <c r="G47" s="32">
        <v>0</v>
      </c>
      <c r="H47" s="32">
        <v>0</v>
      </c>
      <c r="I47" s="81">
        <v>0.27263944778284144</v>
      </c>
      <c r="J47" s="32">
        <v>5.5817074232776865E-5</v>
      </c>
      <c r="K47" s="32">
        <v>2.7064516190160244E-6</v>
      </c>
    </row>
    <row r="48" spans="1:11" x14ac:dyDescent="0.25">
      <c r="A48" s="16" t="s">
        <v>800</v>
      </c>
      <c r="B48" s="32" t="s">
        <v>298</v>
      </c>
      <c r="C48" s="32" t="s">
        <v>260</v>
      </c>
      <c r="D48" s="63" t="s">
        <v>261</v>
      </c>
      <c r="E48" s="63" t="s">
        <v>262</v>
      </c>
      <c r="F48" s="63" t="s">
        <v>125</v>
      </c>
      <c r="G48" s="32">
        <v>0</v>
      </c>
      <c r="H48" s="32">
        <v>0</v>
      </c>
      <c r="I48" s="81">
        <v>6.8204188056514576</v>
      </c>
      <c r="J48" s="32">
        <v>1.3963343377840932E-3</v>
      </c>
      <c r="K48" s="32">
        <v>6.770529235235801E-5</v>
      </c>
    </row>
    <row r="49" spans="1:11" s="113" customFormat="1" x14ac:dyDescent="0.25">
      <c r="A49" s="89" t="s">
        <v>300</v>
      </c>
      <c r="B49" s="115" t="s">
        <v>248</v>
      </c>
      <c r="C49" s="115" t="s">
        <v>248</v>
      </c>
      <c r="D49" s="116" t="s">
        <v>248</v>
      </c>
      <c r="E49" s="116" t="s">
        <v>248</v>
      </c>
      <c r="F49" s="116" t="s">
        <v>248</v>
      </c>
      <c r="G49" s="115" t="s">
        <v>248</v>
      </c>
      <c r="H49" s="115" t="s">
        <v>248</v>
      </c>
      <c r="I49" s="118">
        <v>0</v>
      </c>
      <c r="J49" s="115">
        <v>0</v>
      </c>
      <c r="K49" s="115">
        <v>0</v>
      </c>
    </row>
    <row r="50" spans="1:11" s="113" customFormat="1" x14ac:dyDescent="0.25">
      <c r="A50" s="89" t="s">
        <v>301</v>
      </c>
      <c r="B50" s="115" t="s">
        <v>248</v>
      </c>
      <c r="C50" s="115" t="s">
        <v>248</v>
      </c>
      <c r="D50" s="116" t="s">
        <v>248</v>
      </c>
      <c r="E50" s="116" t="s">
        <v>248</v>
      </c>
      <c r="F50" s="116" t="s">
        <v>248</v>
      </c>
      <c r="G50" s="115" t="s">
        <v>248</v>
      </c>
      <c r="H50" s="115" t="s">
        <v>248</v>
      </c>
      <c r="I50" s="118">
        <v>0</v>
      </c>
      <c r="J50" s="115">
        <v>0</v>
      </c>
      <c r="K50" s="115">
        <v>0</v>
      </c>
    </row>
    <row r="51" spans="1:11" s="113" customFormat="1" x14ac:dyDescent="0.25">
      <c r="A51" s="89" t="s">
        <v>302</v>
      </c>
      <c r="B51" s="115" t="s">
        <v>248</v>
      </c>
      <c r="C51" s="115" t="s">
        <v>248</v>
      </c>
      <c r="D51" s="116" t="s">
        <v>248</v>
      </c>
      <c r="E51" s="116" t="s">
        <v>248</v>
      </c>
      <c r="F51" s="116" t="s">
        <v>248</v>
      </c>
      <c r="G51" s="115" t="s">
        <v>248</v>
      </c>
      <c r="H51" s="115" t="s">
        <v>248</v>
      </c>
      <c r="I51" s="118">
        <v>0</v>
      </c>
      <c r="J51" s="115">
        <v>0</v>
      </c>
      <c r="K51" s="115">
        <v>0</v>
      </c>
    </row>
    <row r="52" spans="1:11" s="113" customFormat="1" x14ac:dyDescent="0.25">
      <c r="A52" s="89" t="s">
        <v>303</v>
      </c>
      <c r="B52" s="115" t="s">
        <v>248</v>
      </c>
      <c r="C52" s="115" t="s">
        <v>248</v>
      </c>
      <c r="D52" s="116" t="s">
        <v>248</v>
      </c>
      <c r="E52" s="116" t="s">
        <v>248</v>
      </c>
      <c r="F52" s="116" t="s">
        <v>248</v>
      </c>
      <c r="G52" s="115" t="s">
        <v>248</v>
      </c>
      <c r="H52" s="115" t="s">
        <v>248</v>
      </c>
      <c r="I52" s="118">
        <v>1037.1658016450463</v>
      </c>
      <c r="J52" s="115">
        <v>0.21233743323977813</v>
      </c>
      <c r="K52" s="115">
        <v>1.0295792064859623E-2</v>
      </c>
    </row>
    <row r="53" spans="1:11" x14ac:dyDescent="0.25">
      <c r="A53" s="16" t="s">
        <v>304</v>
      </c>
      <c r="B53" s="32" t="s">
        <v>305</v>
      </c>
      <c r="C53" s="32" t="s">
        <v>274</v>
      </c>
      <c r="D53" s="63" t="s">
        <v>252</v>
      </c>
      <c r="E53" s="63" t="s">
        <v>253</v>
      </c>
      <c r="F53" s="63" t="s">
        <v>254</v>
      </c>
      <c r="G53" s="32">
        <v>0</v>
      </c>
      <c r="H53" s="32">
        <v>0</v>
      </c>
      <c r="I53" s="81">
        <v>640.52704696632031</v>
      </c>
      <c r="J53" s="32">
        <v>0.13113416279032872</v>
      </c>
      <c r="K53" s="32">
        <v>6.3584176001791771E-3</v>
      </c>
    </row>
    <row r="54" spans="1:11" x14ac:dyDescent="0.25">
      <c r="A54" s="16" t="s">
        <v>304</v>
      </c>
      <c r="B54" s="32" t="s">
        <v>306</v>
      </c>
      <c r="C54" s="32" t="s">
        <v>274</v>
      </c>
      <c r="D54" s="63" t="s">
        <v>252</v>
      </c>
      <c r="E54" s="63" t="s">
        <v>253</v>
      </c>
      <c r="F54" s="63" t="s">
        <v>254</v>
      </c>
      <c r="G54" s="32">
        <v>8.0000000000000004E-4</v>
      </c>
      <c r="H54" s="32">
        <v>8.0000000000000004E-4</v>
      </c>
      <c r="I54" s="81">
        <v>396.63875457872609</v>
      </c>
      <c r="J54" s="32">
        <v>8.1203270428976598E-2</v>
      </c>
      <c r="K54" s="32">
        <v>3.9373744636877614E-3</v>
      </c>
    </row>
    <row r="55" spans="1:11" s="113" customFormat="1" x14ac:dyDescent="0.25">
      <c r="A55" s="89" t="s">
        <v>307</v>
      </c>
      <c r="B55" s="115" t="s">
        <v>248</v>
      </c>
      <c r="C55" s="115" t="s">
        <v>248</v>
      </c>
      <c r="D55" s="116" t="s">
        <v>248</v>
      </c>
      <c r="E55" s="116" t="s">
        <v>248</v>
      </c>
      <c r="F55" s="116" t="s">
        <v>248</v>
      </c>
      <c r="G55" s="115" t="s">
        <v>248</v>
      </c>
      <c r="H55" s="115" t="s">
        <v>248</v>
      </c>
      <c r="I55" s="118">
        <v>-10.268478711641746</v>
      </c>
      <c r="J55" s="115">
        <v>-2.1022505846693103E-3</v>
      </c>
      <c r="K55" s="115">
        <v>-1.0193367489538841E-4</v>
      </c>
    </row>
    <row r="56" spans="1:11" x14ac:dyDescent="0.25">
      <c r="A56" s="16" t="s">
        <v>823</v>
      </c>
      <c r="B56" s="32" t="s">
        <v>308</v>
      </c>
      <c r="C56" s="32" t="s">
        <v>256</v>
      </c>
      <c r="D56" s="63" t="s">
        <v>252</v>
      </c>
      <c r="E56" s="63" t="s">
        <v>253</v>
      </c>
      <c r="F56" s="63" t="s">
        <v>125</v>
      </c>
      <c r="G56" s="32">
        <v>0</v>
      </c>
      <c r="H56" s="32">
        <v>0</v>
      </c>
      <c r="I56" s="81">
        <v>-10.268478811641746</v>
      </c>
      <c r="J56" s="32">
        <v>-2.1022506051421638E-3</v>
      </c>
      <c r="K56" s="32">
        <v>-1.0193367588807367E-4</v>
      </c>
    </row>
    <row r="57" spans="1:11" s="113" customFormat="1" x14ac:dyDescent="0.25">
      <c r="A57" s="89" t="s">
        <v>309</v>
      </c>
      <c r="B57" s="115" t="s">
        <v>248</v>
      </c>
      <c r="C57" s="115" t="s">
        <v>248</v>
      </c>
      <c r="D57" s="116" t="s">
        <v>248</v>
      </c>
      <c r="E57" s="116" t="s">
        <v>248</v>
      </c>
      <c r="F57" s="116" t="s">
        <v>248</v>
      </c>
      <c r="G57" s="115" t="s">
        <v>248</v>
      </c>
      <c r="H57" s="115" t="s">
        <v>248</v>
      </c>
      <c r="I57" s="118">
        <v>1202.2046435275636</v>
      </c>
      <c r="J57" s="115">
        <v>0.24612559325683256</v>
      </c>
      <c r="K57" s="115">
        <v>1.1934108326302621E-2</v>
      </c>
    </row>
    <row r="58" spans="1:11" s="113" customFormat="1" x14ac:dyDescent="0.25">
      <c r="A58" s="89" t="s">
        <v>279</v>
      </c>
      <c r="B58" s="115" t="s">
        <v>248</v>
      </c>
      <c r="C58" s="115" t="s">
        <v>248</v>
      </c>
      <c r="D58" s="116" t="s">
        <v>248</v>
      </c>
      <c r="E58" s="116" t="s">
        <v>248</v>
      </c>
      <c r="F58" s="116" t="s">
        <v>248</v>
      </c>
      <c r="G58" s="115" t="s">
        <v>248</v>
      </c>
      <c r="H58" s="115" t="s">
        <v>248</v>
      </c>
      <c r="I58" s="118">
        <v>-0.65696417701404197</v>
      </c>
      <c r="J58" s="115">
        <v>-1.3449931231475945E-4</v>
      </c>
      <c r="K58" s="115">
        <v>-6.5215865678080538E-6</v>
      </c>
    </row>
    <row r="59" spans="1:11" x14ac:dyDescent="0.25">
      <c r="A59" s="16" t="s">
        <v>824</v>
      </c>
      <c r="B59" s="32" t="s">
        <v>310</v>
      </c>
      <c r="C59" s="32" t="s">
        <v>311</v>
      </c>
      <c r="D59" s="63" t="s">
        <v>312</v>
      </c>
      <c r="E59" s="63" t="s">
        <v>262</v>
      </c>
      <c r="F59" s="63" t="s">
        <v>126</v>
      </c>
      <c r="G59" s="32">
        <v>0</v>
      </c>
      <c r="H59" s="32">
        <v>0</v>
      </c>
      <c r="I59" s="81">
        <v>3.4100000000000003E-3</v>
      </c>
      <c r="J59" s="32">
        <v>6.9812429815869054E-7</v>
      </c>
      <c r="K59" s="32">
        <v>3.3850567465187888E-8</v>
      </c>
    </row>
    <row r="60" spans="1:11" x14ac:dyDescent="0.25">
      <c r="A60" s="16" t="s">
        <v>803</v>
      </c>
      <c r="B60" s="32" t="s">
        <v>313</v>
      </c>
      <c r="C60" s="32" t="s">
        <v>314</v>
      </c>
      <c r="D60" s="63" t="s">
        <v>315</v>
      </c>
      <c r="E60" s="63" t="s">
        <v>316</v>
      </c>
      <c r="F60" s="63" t="s">
        <v>125</v>
      </c>
      <c r="G60" s="32">
        <v>0</v>
      </c>
      <c r="H60" s="32">
        <v>0</v>
      </c>
      <c r="I60" s="81">
        <v>-0.66037427701404205</v>
      </c>
      <c r="J60" s="32">
        <v>-1.3519745708577148E-4</v>
      </c>
      <c r="K60" s="32">
        <v>-6.5554381279585049E-6</v>
      </c>
    </row>
    <row r="61" spans="1:11" s="113" customFormat="1" x14ac:dyDescent="0.25">
      <c r="A61" s="89" t="s">
        <v>307</v>
      </c>
      <c r="B61" s="115" t="s">
        <v>248</v>
      </c>
      <c r="C61" s="115" t="s">
        <v>248</v>
      </c>
      <c r="D61" s="116" t="s">
        <v>248</v>
      </c>
      <c r="E61" s="116" t="s">
        <v>248</v>
      </c>
      <c r="F61" s="116" t="s">
        <v>248</v>
      </c>
      <c r="G61" s="115" t="s">
        <v>248</v>
      </c>
      <c r="H61" s="115" t="s">
        <v>248</v>
      </c>
      <c r="I61" s="118">
        <v>1202.8616077045774</v>
      </c>
      <c r="J61" s="115">
        <v>0.24626009256914727</v>
      </c>
      <c r="K61" s="115">
        <v>1.1940629912870428E-2</v>
      </c>
    </row>
    <row r="62" spans="1:11" x14ac:dyDescent="0.25">
      <c r="A62" s="16" t="s">
        <v>801</v>
      </c>
      <c r="B62" s="32" t="s">
        <v>317</v>
      </c>
      <c r="C62" s="32" t="s">
        <v>260</v>
      </c>
      <c r="D62" s="63" t="s">
        <v>261</v>
      </c>
      <c r="E62" s="63" t="s">
        <v>262</v>
      </c>
      <c r="F62" s="63" t="s">
        <v>125</v>
      </c>
      <c r="G62" s="32">
        <v>0</v>
      </c>
      <c r="H62" s="32">
        <v>0</v>
      </c>
      <c r="I62" s="81">
        <v>11.402012186952849</v>
      </c>
      <c r="J62" s="32">
        <v>2.3343172303851296E-3</v>
      </c>
      <c r="K62" s="32">
        <v>1.1318609465493895E-4</v>
      </c>
    </row>
    <row r="63" spans="1:11" x14ac:dyDescent="0.25">
      <c r="A63" s="16" t="s">
        <v>804</v>
      </c>
      <c r="B63" s="32" t="s">
        <v>318</v>
      </c>
      <c r="C63" s="32" t="s">
        <v>314</v>
      </c>
      <c r="D63" s="63" t="s">
        <v>315</v>
      </c>
      <c r="E63" s="63" t="s">
        <v>316</v>
      </c>
      <c r="F63" s="63" t="s">
        <v>125</v>
      </c>
      <c r="G63" s="32">
        <v>0</v>
      </c>
      <c r="H63" s="32">
        <v>0</v>
      </c>
      <c r="I63" s="81">
        <v>8.8362042110268657</v>
      </c>
      <c r="J63" s="32">
        <v>1.8090231270410544E-3</v>
      </c>
      <c r="K63" s="32">
        <v>8.7715697003384801E-5</v>
      </c>
    </row>
    <row r="64" spans="1:11" x14ac:dyDescent="0.25">
      <c r="A64" s="16" t="s">
        <v>803</v>
      </c>
      <c r="B64" s="32" t="s">
        <v>319</v>
      </c>
      <c r="C64" s="32" t="s">
        <v>314</v>
      </c>
      <c r="D64" s="63" t="s">
        <v>315</v>
      </c>
      <c r="E64" s="63" t="s">
        <v>316</v>
      </c>
      <c r="F64" s="63" t="s">
        <v>125</v>
      </c>
      <c r="G64" s="32">
        <v>0</v>
      </c>
      <c r="H64" s="32">
        <v>0</v>
      </c>
      <c r="I64" s="81">
        <v>-4.2807008754462963</v>
      </c>
      <c r="J64" s="32">
        <v>-8.7638161123115464E-4</v>
      </c>
      <c r="K64" s="32">
        <v>-4.2493886739760614E-5</v>
      </c>
    </row>
    <row r="65" spans="1:11" x14ac:dyDescent="0.25">
      <c r="A65" s="16" t="s">
        <v>804</v>
      </c>
      <c r="B65" s="32" t="s">
        <v>320</v>
      </c>
      <c r="C65" s="32" t="s">
        <v>314</v>
      </c>
      <c r="D65" s="63" t="s">
        <v>315</v>
      </c>
      <c r="E65" s="63" t="s">
        <v>316</v>
      </c>
      <c r="F65" s="63" t="s">
        <v>125</v>
      </c>
      <c r="G65" s="32">
        <v>0</v>
      </c>
      <c r="H65" s="32">
        <v>0</v>
      </c>
      <c r="I65" s="81">
        <v>0.66434208204411704</v>
      </c>
      <c r="J65" s="32">
        <v>1.360097799895403E-4</v>
      </c>
      <c r="K65" s="32">
        <v>6.5948259437530112E-6</v>
      </c>
    </row>
    <row r="66" spans="1:11" x14ac:dyDescent="0.25">
      <c r="A66" s="16" t="s">
        <v>805</v>
      </c>
      <c r="B66" s="32" t="s">
        <v>321</v>
      </c>
      <c r="C66" s="32" t="s">
        <v>314</v>
      </c>
      <c r="D66" s="63" t="s">
        <v>315</v>
      </c>
      <c r="E66" s="63" t="s">
        <v>316</v>
      </c>
      <c r="F66" s="63" t="s">
        <v>125</v>
      </c>
      <c r="G66" s="32">
        <v>0</v>
      </c>
      <c r="H66" s="32">
        <v>0</v>
      </c>
      <c r="I66" s="81">
        <v>813.12897999999996</v>
      </c>
      <c r="J66" s="32">
        <v>0.16647070336510025</v>
      </c>
      <c r="K66" s="32">
        <v>8.0718115529001197E-3</v>
      </c>
    </row>
    <row r="67" spans="1:11" x14ac:dyDescent="0.25">
      <c r="A67" s="16" t="s">
        <v>806</v>
      </c>
      <c r="B67" s="32" t="s">
        <v>322</v>
      </c>
      <c r="C67" s="32" t="s">
        <v>314</v>
      </c>
      <c r="D67" s="63" t="s">
        <v>315</v>
      </c>
      <c r="E67" s="63" t="s">
        <v>316</v>
      </c>
      <c r="F67" s="63" t="s">
        <v>126</v>
      </c>
      <c r="G67" s="32">
        <v>0</v>
      </c>
      <c r="H67" s="32">
        <v>0</v>
      </c>
      <c r="I67" s="81">
        <v>373.11077</v>
      </c>
      <c r="J67" s="32">
        <v>7.6386420657389612E-2</v>
      </c>
      <c r="K67" s="32">
        <v>3.7038156281153077E-3</v>
      </c>
    </row>
    <row r="68" spans="1:11" s="113" customFormat="1" x14ac:dyDescent="0.25">
      <c r="A68" s="75" t="s">
        <v>241</v>
      </c>
      <c r="B68" s="119"/>
      <c r="C68" s="119"/>
      <c r="D68" s="119"/>
      <c r="E68" s="120"/>
      <c r="F68" s="121"/>
      <c r="G68" s="122"/>
      <c r="H68" s="123"/>
      <c r="I68" s="122"/>
      <c r="J68" s="124"/>
    </row>
    <row r="69" spans="1:11" s="113" customFormat="1" x14ac:dyDescent="0.25">
      <c r="A69" s="75" t="s">
        <v>242</v>
      </c>
      <c r="B69" s="119"/>
      <c r="C69" s="119"/>
      <c r="D69" s="119"/>
      <c r="E69" s="120"/>
      <c r="F69" s="121"/>
      <c r="G69" s="122"/>
      <c r="H69" s="123"/>
      <c r="I69" s="122"/>
      <c r="J69" s="124"/>
    </row>
    <row r="70" spans="1:11" s="113" customFormat="1" x14ac:dyDescent="0.25">
      <c r="A70" s="75" t="s">
        <v>243</v>
      </c>
      <c r="B70" s="119"/>
      <c r="C70" s="119"/>
      <c r="D70" s="119"/>
      <c r="E70" s="120"/>
      <c r="F70" s="121"/>
      <c r="G70" s="122"/>
      <c r="H70" s="123"/>
      <c r="I70" s="122"/>
      <c r="J70" s="124"/>
    </row>
    <row r="71" spans="1:11" s="113" customFormat="1" x14ac:dyDescent="0.25">
      <c r="A71" s="75" t="s">
        <v>244</v>
      </c>
      <c r="B71" s="119"/>
      <c r="C71" s="119"/>
      <c r="D71" s="119"/>
      <c r="E71" s="120"/>
      <c r="F71" s="121"/>
      <c r="G71" s="122"/>
      <c r="H71" s="123"/>
      <c r="I71" s="122"/>
      <c r="J71" s="124"/>
    </row>
    <row r="72" spans="1:11" s="113" customFormat="1" x14ac:dyDescent="0.25">
      <c r="A72" s="75" t="s">
        <v>245</v>
      </c>
      <c r="B72" s="119"/>
      <c r="C72" s="119"/>
      <c r="D72" s="119"/>
      <c r="E72" s="120"/>
      <c r="F72" s="121"/>
      <c r="G72" s="122"/>
      <c r="H72" s="123"/>
      <c r="I72" s="122"/>
      <c r="J72" s="124"/>
    </row>
  </sheetData>
  <mergeCells count="1">
    <mergeCell ref="A4:K4"/>
  </mergeCells>
  <phoneticPr fontId="3" type="noConversion"/>
  <conditionalFormatting sqref="A9:A67 I9:K67">
    <cfRule type="expression" dxfId="128" priority="43" stopIfTrue="1">
      <formula>OR(LEFT(#REF!,3)="TIR",LEFT(#REF!,2)="IR")</formula>
    </cfRule>
  </conditionalFormatting>
  <conditionalFormatting sqref="B9:F67 J9:K67">
    <cfRule type="expression" dxfId="127" priority="39" stopIfTrue="1">
      <formula>LEFT(#REF!,3)="TIR"</formula>
    </cfRule>
  </conditionalFormatting>
  <conditionalFormatting sqref="G1:G3 G9:H67 G68:G55602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67 A9:A67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5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5.109375" style="8" bestFit="1" customWidth="1"/>
    <col min="3" max="3" width="12.33203125" style="8" customWidth="1"/>
    <col min="4" max="4" width="7.5546875" style="8" customWidth="1"/>
    <col min="5" max="5" width="11.109375" style="57" customWidth="1"/>
    <col min="6" max="6" width="14.109375" style="57" customWidth="1"/>
    <col min="7" max="7" width="7.88671875" style="57" customWidth="1"/>
    <col min="8" max="8" width="12" style="36" bestFit="1" customWidth="1"/>
    <col min="9" max="9" width="12.5546875" style="59" customWidth="1"/>
    <col min="10" max="10" width="14.109375" style="61" customWidth="1"/>
    <col min="11" max="11" width="12.44140625" style="61" bestFit="1" customWidth="1"/>
    <col min="12" max="12" width="8.88671875" style="61" bestFit="1" customWidth="1"/>
    <col min="13" max="13" width="16.5546875" style="61" customWidth="1"/>
    <col min="14" max="14" width="11.33203125" style="59" bestFit="1" customWidth="1"/>
    <col min="15" max="15" width="22" style="59" customWidth="1"/>
    <col min="16" max="16" width="25.44140625" style="59" customWidth="1"/>
    <col min="17" max="17" width="20.6640625" style="62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60"/>
      <c r="K1" s="60"/>
      <c r="L1" s="60"/>
      <c r="M1" s="60"/>
      <c r="N1" s="59"/>
      <c r="O1" s="59"/>
      <c r="P1" s="59"/>
      <c r="Q1" s="62"/>
    </row>
    <row r="2" spans="1:17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60"/>
      <c r="K2" s="60"/>
      <c r="L2" s="60"/>
      <c r="M2" s="60"/>
      <c r="N2" s="59"/>
      <c r="O2" s="59"/>
      <c r="P2" s="59"/>
      <c r="Q2" s="62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60"/>
      <c r="K3" s="60"/>
      <c r="L3" s="60"/>
      <c r="M3" s="60"/>
      <c r="N3" s="59"/>
      <c r="O3" s="59"/>
      <c r="P3" s="59"/>
      <c r="Q3" s="62"/>
    </row>
    <row r="4" spans="1:17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6"/>
    </row>
    <row r="5" spans="1:17" s="7" customFormat="1" x14ac:dyDescent="0.25">
      <c r="A5" s="217" t="s">
        <v>12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9"/>
    </row>
    <row r="6" spans="1:17" s="7" customFormat="1" ht="28.5" customHeight="1" x14ac:dyDescent="0.25">
      <c r="A6" s="199" t="s">
        <v>157</v>
      </c>
      <c r="B6" s="197" t="s">
        <v>69</v>
      </c>
      <c r="C6" s="197" t="s">
        <v>76</v>
      </c>
      <c r="D6" s="197" t="s">
        <v>70</v>
      </c>
      <c r="E6" s="197" t="s">
        <v>5</v>
      </c>
      <c r="F6" s="197" t="s">
        <v>13</v>
      </c>
      <c r="G6" s="197" t="s">
        <v>14</v>
      </c>
      <c r="H6" s="197" t="s">
        <v>6</v>
      </c>
      <c r="I6" s="198" t="s">
        <v>66</v>
      </c>
      <c r="J6" s="198" t="s">
        <v>71</v>
      </c>
      <c r="K6" s="198" t="s">
        <v>67</v>
      </c>
      <c r="L6" s="198" t="s">
        <v>68</v>
      </c>
      <c r="M6" s="198" t="s">
        <v>134</v>
      </c>
      <c r="N6" s="198" t="s">
        <v>7</v>
      </c>
      <c r="O6" s="86" t="s">
        <v>17</v>
      </c>
      <c r="P6" s="86" t="s">
        <v>75</v>
      </c>
      <c r="Q6" s="87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3" customFormat="1" ht="12.75" customHeight="1" thickBot="1" x14ac:dyDescent="0.3">
      <c r="A9" s="96" t="s">
        <v>52</v>
      </c>
      <c r="B9" s="64"/>
      <c r="C9" s="64"/>
      <c r="D9" s="97"/>
      <c r="E9" s="97"/>
      <c r="F9" s="97"/>
      <c r="G9" s="97"/>
      <c r="H9" s="97"/>
      <c r="I9" s="64"/>
      <c r="J9" s="64"/>
      <c r="K9" s="100"/>
      <c r="L9" s="97"/>
      <c r="M9" s="97" t="s">
        <v>248</v>
      </c>
      <c r="N9" s="101">
        <v>21026.005037479477</v>
      </c>
      <c r="O9" s="64"/>
      <c r="P9" s="64">
        <v>1</v>
      </c>
      <c r="Q9" s="78">
        <v>0.20872205338550714</v>
      </c>
    </row>
    <row r="10" spans="1:17" s="113" customFormat="1" x14ac:dyDescent="0.25">
      <c r="A10" s="88" t="s">
        <v>137</v>
      </c>
      <c r="B10" s="125" t="s">
        <v>248</v>
      </c>
      <c r="C10" s="125" t="s">
        <v>248</v>
      </c>
      <c r="D10" s="125" t="s">
        <v>248</v>
      </c>
      <c r="E10" s="125" t="s">
        <v>248</v>
      </c>
      <c r="F10" s="125" t="s">
        <v>248</v>
      </c>
      <c r="G10" s="126" t="s">
        <v>248</v>
      </c>
      <c r="H10" s="125" t="s">
        <v>248</v>
      </c>
      <c r="I10" s="125" t="s">
        <v>248</v>
      </c>
      <c r="J10" s="125" t="s">
        <v>248</v>
      </c>
      <c r="K10" s="127" t="s">
        <v>248</v>
      </c>
      <c r="L10" s="116" t="s">
        <v>248</v>
      </c>
      <c r="M10" s="116" t="s">
        <v>248</v>
      </c>
      <c r="N10" s="128">
        <v>18351.565510978675</v>
      </c>
      <c r="O10" s="115" t="s">
        <v>248</v>
      </c>
      <c r="P10" s="115">
        <v>0.87280324903691719</v>
      </c>
      <c r="Q10" s="115">
        <v>0.18217328634052751</v>
      </c>
    </row>
    <row r="11" spans="1:17" s="113" customFormat="1" x14ac:dyDescent="0.25">
      <c r="A11" s="89" t="s">
        <v>323</v>
      </c>
      <c r="B11" s="125" t="s">
        <v>248</v>
      </c>
      <c r="C11" s="125" t="s">
        <v>248</v>
      </c>
      <c r="D11" s="125" t="s">
        <v>248</v>
      </c>
      <c r="E11" s="125" t="s">
        <v>248</v>
      </c>
      <c r="F11" s="125" t="s">
        <v>248</v>
      </c>
      <c r="G11" s="126" t="s">
        <v>248</v>
      </c>
      <c r="H11" s="125" t="s">
        <v>248</v>
      </c>
      <c r="I11" s="125" t="s">
        <v>248</v>
      </c>
      <c r="J11" s="125" t="s">
        <v>248</v>
      </c>
      <c r="K11" s="129" t="s">
        <v>248</v>
      </c>
      <c r="L11" s="130" t="s">
        <v>248</v>
      </c>
      <c r="M11" s="130" t="s">
        <v>248</v>
      </c>
      <c r="N11" s="118">
        <v>9126.9685358422685</v>
      </c>
      <c r="O11" s="131"/>
      <c r="P11" s="115">
        <v>0.43408001280191721</v>
      </c>
      <c r="Q11" s="115">
        <v>9.0602071605623391E-2</v>
      </c>
    </row>
    <row r="12" spans="1:17" x14ac:dyDescent="0.25">
      <c r="A12" s="16" t="s">
        <v>353</v>
      </c>
      <c r="B12" s="111" t="s">
        <v>354</v>
      </c>
      <c r="C12" s="111" t="s">
        <v>218</v>
      </c>
      <c r="D12" s="111" t="s">
        <v>315</v>
      </c>
      <c r="E12" s="111" t="s">
        <v>316</v>
      </c>
      <c r="F12" s="111" t="s">
        <v>355</v>
      </c>
      <c r="G12" s="112">
        <v>0</v>
      </c>
      <c r="H12" s="111" t="s">
        <v>254</v>
      </c>
      <c r="I12" s="111">
        <v>0</v>
      </c>
      <c r="J12" s="111">
        <v>0</v>
      </c>
      <c r="K12" s="66">
        <v>-214414.28897609501</v>
      </c>
      <c r="L12" s="58">
        <v>102.3296</v>
      </c>
      <c r="M12" s="58">
        <v>0</v>
      </c>
      <c r="N12" s="81">
        <v>-219.4092842520821</v>
      </c>
      <c r="O12" s="24">
        <v>0</v>
      </c>
      <c r="P12" s="32">
        <v>-1.0435138955830104E-2</v>
      </c>
      <c r="Q12" s="32">
        <v>-2.1780436302239561E-3</v>
      </c>
    </row>
    <row r="13" spans="1:17" x14ac:dyDescent="0.25">
      <c r="A13" s="16" t="s">
        <v>356</v>
      </c>
      <c r="B13" s="111" t="s">
        <v>357</v>
      </c>
      <c r="C13" s="111" t="s">
        <v>326</v>
      </c>
      <c r="D13" s="111" t="s">
        <v>315</v>
      </c>
      <c r="E13" s="111" t="s">
        <v>316</v>
      </c>
      <c r="F13" s="111" t="s">
        <v>358</v>
      </c>
      <c r="G13" s="112">
        <v>0</v>
      </c>
      <c r="H13" s="111" t="s">
        <v>254</v>
      </c>
      <c r="I13" s="111">
        <v>0</v>
      </c>
      <c r="J13" s="111">
        <v>0</v>
      </c>
      <c r="K13" s="66">
        <v>-171531.43118087601</v>
      </c>
      <c r="L13" s="58">
        <v>104.98520000000001</v>
      </c>
      <c r="M13" s="58">
        <v>0</v>
      </c>
      <c r="N13" s="81">
        <v>-180.08261608810503</v>
      </c>
      <c r="O13" s="24">
        <v>0</v>
      </c>
      <c r="P13" s="32">
        <v>-8.5647566319470778E-3</v>
      </c>
      <c r="Q13" s="32">
        <v>-1.7876535909671343E-3</v>
      </c>
    </row>
    <row r="14" spans="1:17" x14ac:dyDescent="0.25">
      <c r="A14" s="16" t="s">
        <v>324</v>
      </c>
      <c r="B14" s="111" t="s">
        <v>325</v>
      </c>
      <c r="C14" s="111" t="s">
        <v>326</v>
      </c>
      <c r="D14" s="111" t="s">
        <v>327</v>
      </c>
      <c r="E14" s="111" t="s">
        <v>218</v>
      </c>
      <c r="F14" s="111" t="s">
        <v>328</v>
      </c>
      <c r="G14" s="112">
        <v>1.05</v>
      </c>
      <c r="H14" s="111" t="s">
        <v>254</v>
      </c>
      <c r="I14" s="111">
        <v>0.04</v>
      </c>
      <c r="J14" s="111">
        <v>1.7299999999999999E-2</v>
      </c>
      <c r="K14" s="66">
        <v>564129.64368379186</v>
      </c>
      <c r="L14" s="58">
        <v>144.80000000000001</v>
      </c>
      <c r="M14" s="66">
        <v>0</v>
      </c>
      <c r="N14" s="81">
        <v>816.85972404898473</v>
      </c>
      <c r="O14" s="24">
        <v>4.0005083426801872E-5</v>
      </c>
      <c r="P14" s="32">
        <v>3.884997281190164E-2</v>
      </c>
      <c r="Q14" s="32">
        <v>8.1088460992712365E-3</v>
      </c>
    </row>
    <row r="15" spans="1:17" x14ac:dyDescent="0.25">
      <c r="A15" s="16" t="s">
        <v>329</v>
      </c>
      <c r="B15" s="111" t="s">
        <v>330</v>
      </c>
      <c r="C15" s="111" t="s">
        <v>326</v>
      </c>
      <c r="D15" s="111" t="s">
        <v>327</v>
      </c>
      <c r="E15" s="111" t="s">
        <v>218</v>
      </c>
      <c r="F15" s="111" t="s">
        <v>331</v>
      </c>
      <c r="G15" s="112">
        <v>14.76</v>
      </c>
      <c r="H15" s="111" t="s">
        <v>254</v>
      </c>
      <c r="I15" s="111">
        <v>2.75E-2</v>
      </c>
      <c r="J15" s="111">
        <v>1.11E-2</v>
      </c>
      <c r="K15" s="66">
        <v>531.01070916379376</v>
      </c>
      <c r="L15" s="58">
        <v>152.87</v>
      </c>
      <c r="M15" s="58">
        <v>0</v>
      </c>
      <c r="N15" s="81">
        <v>0.81175606535238853</v>
      </c>
      <c r="O15" s="24">
        <v>2.960674005108391E-8</v>
      </c>
      <c r="P15" s="32">
        <v>3.8607242027451681E-5</v>
      </c>
      <c r="Q15" s="32">
        <v>8.0581828315209662E-6</v>
      </c>
    </row>
    <row r="16" spans="1:17" x14ac:dyDescent="0.25">
      <c r="A16" s="16" t="s">
        <v>332</v>
      </c>
      <c r="B16" s="111" t="s">
        <v>333</v>
      </c>
      <c r="C16" s="111" t="s">
        <v>326</v>
      </c>
      <c r="D16" s="111" t="s">
        <v>327</v>
      </c>
      <c r="E16" s="111" t="s">
        <v>218</v>
      </c>
      <c r="F16" s="111" t="s">
        <v>334</v>
      </c>
      <c r="G16" s="112">
        <v>0.25</v>
      </c>
      <c r="H16" s="111" t="s">
        <v>254</v>
      </c>
      <c r="I16" s="111">
        <v>1.7500000000000002E-2</v>
      </c>
      <c r="J16" s="111">
        <v>5.3E-3</v>
      </c>
      <c r="K16" s="66">
        <v>1116.1361542365303</v>
      </c>
      <c r="L16" s="58">
        <v>114.24000000000001</v>
      </c>
      <c r="M16" s="58">
        <v>0</v>
      </c>
      <c r="N16" s="81">
        <v>1.2750739364246806</v>
      </c>
      <c r="O16" s="24">
        <v>5.7778804072708462E-8</v>
      </c>
      <c r="P16" s="32">
        <v>6.0642710498348279E-5</v>
      </c>
      <c r="Q16" s="32">
        <v>1.2657471058078104E-5</v>
      </c>
    </row>
    <row r="17" spans="1:17" x14ac:dyDescent="0.25">
      <c r="A17" s="16" t="s">
        <v>335</v>
      </c>
      <c r="B17" s="111" t="s">
        <v>336</v>
      </c>
      <c r="C17" s="111" t="s">
        <v>326</v>
      </c>
      <c r="D17" s="111" t="s">
        <v>327</v>
      </c>
      <c r="E17" s="111" t="s">
        <v>218</v>
      </c>
      <c r="F17" s="111" t="s">
        <v>337</v>
      </c>
      <c r="G17" s="112">
        <v>2.3199999999999998</v>
      </c>
      <c r="H17" s="111" t="s">
        <v>254</v>
      </c>
      <c r="I17" s="111">
        <v>7.4999999999999997E-3</v>
      </c>
      <c r="J17" s="111">
        <v>1.3300000000000001E-2</v>
      </c>
      <c r="K17" s="66">
        <v>2561477.0221494217</v>
      </c>
      <c r="L17" s="58">
        <v>110.07000000000001</v>
      </c>
      <c r="M17" s="58">
        <v>0</v>
      </c>
      <c r="N17" s="81">
        <v>2819.4177582725783</v>
      </c>
      <c r="O17" s="24">
        <v>1.1705208224943823E-4</v>
      </c>
      <c r="P17" s="32">
        <v>0.13409193773362474</v>
      </c>
      <c r="Q17" s="32">
        <v>2.7987944586203722E-2</v>
      </c>
    </row>
    <row r="18" spans="1:17" x14ac:dyDescent="0.25">
      <c r="A18" s="16" t="s">
        <v>338</v>
      </c>
      <c r="B18" s="111" t="s">
        <v>339</v>
      </c>
      <c r="C18" s="111" t="s">
        <v>326</v>
      </c>
      <c r="D18" s="111" t="s">
        <v>327</v>
      </c>
      <c r="E18" s="111" t="s">
        <v>218</v>
      </c>
      <c r="F18" s="111" t="s">
        <v>340</v>
      </c>
      <c r="G18" s="112">
        <v>3.88</v>
      </c>
      <c r="H18" s="111" t="s">
        <v>254</v>
      </c>
      <c r="I18" s="111">
        <v>7.4999999999999997E-3</v>
      </c>
      <c r="J18" s="111">
        <v>1.1299999999999999E-2</v>
      </c>
      <c r="K18" s="66">
        <v>901651.9670598862</v>
      </c>
      <c r="L18" s="58">
        <v>110.13999999999999</v>
      </c>
      <c r="M18" s="58">
        <v>0</v>
      </c>
      <c r="N18" s="81">
        <v>993.0794765099813</v>
      </c>
      <c r="O18" s="24">
        <v>4.5028423283574928E-5</v>
      </c>
      <c r="P18" s="32">
        <v>4.723101106176792E-2</v>
      </c>
      <c r="Q18" s="32">
        <v>9.8581536122858034E-3</v>
      </c>
    </row>
    <row r="19" spans="1:17" x14ac:dyDescent="0.25">
      <c r="A19" s="16" t="s">
        <v>341</v>
      </c>
      <c r="B19" s="111" t="s">
        <v>342</v>
      </c>
      <c r="C19" s="111" t="s">
        <v>326</v>
      </c>
      <c r="D19" s="111" t="s">
        <v>327</v>
      </c>
      <c r="E19" s="111" t="s">
        <v>218</v>
      </c>
      <c r="F19" s="111" t="s">
        <v>343</v>
      </c>
      <c r="G19" s="112">
        <v>5.85</v>
      </c>
      <c r="H19" s="111" t="s">
        <v>254</v>
      </c>
      <c r="I19" s="111">
        <v>5.0000000000000001E-3</v>
      </c>
      <c r="J19" s="111">
        <v>1.0500000000000001E-2</v>
      </c>
      <c r="K19" s="66">
        <v>1467131.9481951345</v>
      </c>
      <c r="L19" s="58">
        <v>107.14000000000001</v>
      </c>
      <c r="M19" s="58">
        <v>0</v>
      </c>
      <c r="N19" s="81">
        <v>1571.8851692947233</v>
      </c>
      <c r="O19" s="24">
        <v>7.2567082070248829E-5</v>
      </c>
      <c r="P19" s="32">
        <v>7.4759097911980488E-2</v>
      </c>
      <c r="Q19" s="32">
        <v>1.5603872425436746E-2</v>
      </c>
    </row>
    <row r="20" spans="1:17" x14ac:dyDescent="0.25">
      <c r="A20" s="16" t="s">
        <v>344</v>
      </c>
      <c r="B20" s="111" t="s">
        <v>345</v>
      </c>
      <c r="C20" s="111" t="s">
        <v>326</v>
      </c>
      <c r="D20" s="111" t="s">
        <v>327</v>
      </c>
      <c r="E20" s="111" t="s">
        <v>218</v>
      </c>
      <c r="F20" s="111" t="s">
        <v>346</v>
      </c>
      <c r="G20" s="112">
        <v>26.24</v>
      </c>
      <c r="H20" s="111" t="s">
        <v>254</v>
      </c>
      <c r="I20" s="111">
        <v>5.0000000000000001E-3</v>
      </c>
      <c r="J20" s="111">
        <v>1.24E-2</v>
      </c>
      <c r="K20" s="66">
        <v>63506.925700737134</v>
      </c>
      <c r="L20" s="58">
        <v>91.36</v>
      </c>
      <c r="M20" s="58">
        <v>0</v>
      </c>
      <c r="N20" s="81">
        <v>58.019927318135068</v>
      </c>
      <c r="O20" s="24">
        <v>1.0291422216795897E-5</v>
      </c>
      <c r="P20" s="32">
        <v>2.7594365745995408E-3</v>
      </c>
      <c r="Q20" s="32">
        <v>5.7595526803748637E-4</v>
      </c>
    </row>
    <row r="21" spans="1:17" x14ac:dyDescent="0.25">
      <c r="A21" s="16" t="s">
        <v>347</v>
      </c>
      <c r="B21" s="111" t="s">
        <v>348</v>
      </c>
      <c r="C21" s="111" t="s">
        <v>326</v>
      </c>
      <c r="D21" s="111" t="s">
        <v>327</v>
      </c>
      <c r="E21" s="111" t="s">
        <v>218</v>
      </c>
      <c r="F21" s="111" t="s">
        <v>349</v>
      </c>
      <c r="G21" s="112">
        <v>3.08</v>
      </c>
      <c r="H21" s="111" t="s">
        <v>254</v>
      </c>
      <c r="I21" s="111">
        <v>1E-3</v>
      </c>
      <c r="J21" s="111">
        <v>1.2E-2</v>
      </c>
      <c r="K21" s="66">
        <v>1111724.7723560501</v>
      </c>
      <c r="L21" s="58">
        <v>107</v>
      </c>
      <c r="M21" s="58">
        <v>0</v>
      </c>
      <c r="N21" s="81">
        <v>1189.5455064209734</v>
      </c>
      <c r="O21" s="24">
        <v>1.2883559212884454E-4</v>
      </c>
      <c r="P21" s="32">
        <v>5.6574965348889304E-2</v>
      </c>
      <c r="Q21" s="32">
        <v>1.180844293783409E-2</v>
      </c>
    </row>
    <row r="22" spans="1:17" x14ac:dyDescent="0.25">
      <c r="A22" s="16" t="s">
        <v>350</v>
      </c>
      <c r="B22" s="111" t="s">
        <v>351</v>
      </c>
      <c r="C22" s="111" t="s">
        <v>326</v>
      </c>
      <c r="D22" s="111" t="s">
        <v>327</v>
      </c>
      <c r="E22" s="111" t="s">
        <v>218</v>
      </c>
      <c r="F22" s="111" t="s">
        <v>352</v>
      </c>
      <c r="G22" s="112">
        <v>8.39</v>
      </c>
      <c r="H22" s="111" t="s">
        <v>254</v>
      </c>
      <c r="I22" s="111">
        <v>1E-3</v>
      </c>
      <c r="J22" s="111">
        <v>1.06E-2</v>
      </c>
      <c r="K22" s="66">
        <v>2031880.6110771433</v>
      </c>
      <c r="L22" s="58">
        <v>102.15</v>
      </c>
      <c r="M22" s="58">
        <v>0</v>
      </c>
      <c r="N22" s="81">
        <v>2075.5660442153021</v>
      </c>
      <c r="O22" s="24">
        <v>2.855076554238813E-4</v>
      </c>
      <c r="P22" s="32">
        <v>9.8714236989648957E-2</v>
      </c>
      <c r="Q22" s="32">
        <v>2.0603838242863114E-2</v>
      </c>
    </row>
    <row r="23" spans="1:17" s="113" customFormat="1" x14ac:dyDescent="0.25">
      <c r="A23" s="89" t="s">
        <v>139</v>
      </c>
      <c r="B23" s="125" t="s">
        <v>248</v>
      </c>
      <c r="C23" s="125" t="s">
        <v>248</v>
      </c>
      <c r="D23" s="125" t="s">
        <v>248</v>
      </c>
      <c r="E23" s="125" t="s">
        <v>248</v>
      </c>
      <c r="F23" s="125" t="s">
        <v>248</v>
      </c>
      <c r="G23" s="126" t="s">
        <v>248</v>
      </c>
      <c r="H23" s="125" t="s">
        <v>248</v>
      </c>
      <c r="I23" s="125" t="s">
        <v>248</v>
      </c>
      <c r="J23" s="125" t="s">
        <v>248</v>
      </c>
      <c r="K23" s="129" t="s">
        <v>248</v>
      </c>
      <c r="L23" s="130" t="s">
        <v>248</v>
      </c>
      <c r="M23" s="130" t="s">
        <v>248</v>
      </c>
      <c r="N23" s="118">
        <v>9224.5969750364075</v>
      </c>
      <c r="O23" s="131"/>
      <c r="P23" s="115">
        <v>0.43872323623024384</v>
      </c>
      <c r="Q23" s="115">
        <v>9.157121473391143E-2</v>
      </c>
    </row>
    <row r="24" spans="1:17" s="113" customFormat="1" x14ac:dyDescent="0.25">
      <c r="A24" s="89" t="s">
        <v>359</v>
      </c>
      <c r="B24" s="125" t="s">
        <v>248</v>
      </c>
      <c r="C24" s="125" t="s">
        <v>248</v>
      </c>
      <c r="D24" s="125" t="s">
        <v>248</v>
      </c>
      <c r="E24" s="125" t="s">
        <v>248</v>
      </c>
      <c r="F24" s="125" t="s">
        <v>248</v>
      </c>
      <c r="G24" s="126" t="s">
        <v>248</v>
      </c>
      <c r="H24" s="125" t="s">
        <v>248</v>
      </c>
      <c r="I24" s="125" t="s">
        <v>248</v>
      </c>
      <c r="J24" s="125" t="s">
        <v>248</v>
      </c>
      <c r="K24" s="129" t="s">
        <v>248</v>
      </c>
      <c r="L24" s="130" t="s">
        <v>248</v>
      </c>
      <c r="M24" s="130" t="s">
        <v>248</v>
      </c>
      <c r="N24" s="118">
        <v>2148.1151555185847</v>
      </c>
      <c r="O24" s="131"/>
      <c r="P24" s="115">
        <v>0.10216468376610326</v>
      </c>
      <c r="Q24" s="115">
        <v>2.1324022579142055E-2</v>
      </c>
    </row>
    <row r="25" spans="1:17" x14ac:dyDescent="0.25">
      <c r="A25" s="16" t="s">
        <v>360</v>
      </c>
      <c r="B25" s="111" t="s">
        <v>361</v>
      </c>
      <c r="C25" s="111" t="s">
        <v>326</v>
      </c>
      <c r="D25" s="111" t="s">
        <v>327</v>
      </c>
      <c r="E25" s="111" t="s">
        <v>218</v>
      </c>
      <c r="F25" s="111" t="s">
        <v>362</v>
      </c>
      <c r="G25" s="112">
        <v>0.44</v>
      </c>
      <c r="H25" s="111" t="s">
        <v>254</v>
      </c>
      <c r="I25" s="111">
        <v>0</v>
      </c>
      <c r="J25" s="111">
        <v>4.7699999999999992E-2</v>
      </c>
      <c r="K25" s="66">
        <v>756875.65273145877</v>
      </c>
      <c r="L25" s="58">
        <v>97.99</v>
      </c>
      <c r="M25" s="58">
        <v>0</v>
      </c>
      <c r="N25" s="81">
        <v>741.66245210353702</v>
      </c>
      <c r="O25" s="24">
        <v>2.2261048609748787E-5</v>
      </c>
      <c r="P25" s="32">
        <v>3.5273579112223251E-2</v>
      </c>
      <c r="Q25" s="32">
        <v>7.3623738625593713E-3</v>
      </c>
    </row>
    <row r="26" spans="1:17" x14ac:dyDescent="0.25">
      <c r="A26" s="16" t="s">
        <v>363</v>
      </c>
      <c r="B26" s="111" t="s">
        <v>364</v>
      </c>
      <c r="C26" s="111" t="s">
        <v>326</v>
      </c>
      <c r="D26" s="111" t="s">
        <v>327</v>
      </c>
      <c r="E26" s="111" t="s">
        <v>218</v>
      </c>
      <c r="F26" s="111" t="s">
        <v>365</v>
      </c>
      <c r="G26" s="112">
        <v>0.51</v>
      </c>
      <c r="H26" s="111" t="s">
        <v>254</v>
      </c>
      <c r="I26" s="111">
        <v>0</v>
      </c>
      <c r="J26" s="111">
        <v>4.7899999999999998E-2</v>
      </c>
      <c r="K26" s="66">
        <v>926361.0223720246</v>
      </c>
      <c r="L26" s="58">
        <v>97.63</v>
      </c>
      <c r="M26" s="58">
        <v>0</v>
      </c>
      <c r="N26" s="81">
        <v>904.40626613522988</v>
      </c>
      <c r="O26" s="24">
        <v>2.7245912422706607E-5</v>
      </c>
      <c r="P26" s="32">
        <v>4.3013699679187695E-2</v>
      </c>
      <c r="Q26" s="32">
        <v>8.9779077207475851E-3</v>
      </c>
    </row>
    <row r="27" spans="1:17" x14ac:dyDescent="0.25">
      <c r="A27" s="16" t="s">
        <v>366</v>
      </c>
      <c r="B27" s="111" t="s">
        <v>367</v>
      </c>
      <c r="C27" s="111" t="s">
        <v>326</v>
      </c>
      <c r="D27" s="111" t="s">
        <v>327</v>
      </c>
      <c r="E27" s="111" t="s">
        <v>218</v>
      </c>
      <c r="F27" s="111" t="s">
        <v>368</v>
      </c>
      <c r="G27" s="112">
        <v>0.61</v>
      </c>
      <c r="H27" s="111" t="s">
        <v>254</v>
      </c>
      <c r="I27" s="111">
        <v>0</v>
      </c>
      <c r="J27" s="111">
        <v>4.8000000000000001E-2</v>
      </c>
      <c r="K27" s="66">
        <v>43721.880748390802</v>
      </c>
      <c r="L27" s="58">
        <v>97.19</v>
      </c>
      <c r="M27" s="58">
        <v>0</v>
      </c>
      <c r="N27" s="81">
        <v>42.493295896027099</v>
      </c>
      <c r="O27" s="24">
        <v>1.3663087733872125E-6</v>
      </c>
      <c r="P27" s="32">
        <v>2.0209876208191493E-3</v>
      </c>
      <c r="Q27" s="32">
        <v>4.2182468608406354E-4</v>
      </c>
    </row>
    <row r="28" spans="1:17" x14ac:dyDescent="0.25">
      <c r="A28" s="16" t="s">
        <v>369</v>
      </c>
      <c r="B28" s="111" t="s">
        <v>370</v>
      </c>
      <c r="C28" s="111" t="s">
        <v>326</v>
      </c>
      <c r="D28" s="111" t="s">
        <v>327</v>
      </c>
      <c r="E28" s="111" t="s">
        <v>218</v>
      </c>
      <c r="F28" s="111" t="s">
        <v>371</v>
      </c>
      <c r="G28" s="112">
        <v>0.68</v>
      </c>
      <c r="H28" s="111" t="s">
        <v>254</v>
      </c>
      <c r="I28" s="111">
        <v>0</v>
      </c>
      <c r="J28" s="111">
        <v>4.8499999999999995E-2</v>
      </c>
      <c r="K28" s="66">
        <v>283530.35085213842</v>
      </c>
      <c r="L28" s="58">
        <v>96.81</v>
      </c>
      <c r="M28" s="58">
        <v>0</v>
      </c>
      <c r="N28" s="81">
        <v>274.4857326537379</v>
      </c>
      <c r="O28" s="24">
        <v>9.1461403500689811E-6</v>
      </c>
      <c r="P28" s="32">
        <v>1.3054583225128069E-2</v>
      </c>
      <c r="Q28" s="32">
        <v>2.724779416840727E-3</v>
      </c>
    </row>
    <row r="29" spans="1:17" x14ac:dyDescent="0.25">
      <c r="A29" s="16" t="s">
        <v>372</v>
      </c>
      <c r="B29" s="111" t="s">
        <v>373</v>
      </c>
      <c r="C29" s="111" t="s">
        <v>326</v>
      </c>
      <c r="D29" s="111" t="s">
        <v>327</v>
      </c>
      <c r="E29" s="111" t="s">
        <v>218</v>
      </c>
      <c r="F29" s="111" t="s">
        <v>374</v>
      </c>
      <c r="G29" s="112">
        <v>0.76</v>
      </c>
      <c r="H29" s="111" t="s">
        <v>254</v>
      </c>
      <c r="I29" s="111">
        <v>0</v>
      </c>
      <c r="J29" s="111">
        <v>4.82E-2</v>
      </c>
      <c r="K29" s="66">
        <v>88670.133778498464</v>
      </c>
      <c r="L29" s="58">
        <v>96.48</v>
      </c>
      <c r="M29" s="58">
        <v>0</v>
      </c>
      <c r="N29" s="81">
        <v>85.548945061205572</v>
      </c>
      <c r="O29" s="24">
        <v>4.4335066889249232E-6</v>
      </c>
      <c r="P29" s="32">
        <v>4.0687208487162462E-3</v>
      </c>
      <c r="Q29" s="32">
        <v>8.4923177019647831E-4</v>
      </c>
    </row>
    <row r="30" spans="1:17" x14ac:dyDescent="0.25">
      <c r="A30" s="16" t="s">
        <v>375</v>
      </c>
      <c r="B30" s="111" t="s">
        <v>376</v>
      </c>
      <c r="C30" s="111" t="s">
        <v>326</v>
      </c>
      <c r="D30" s="111" t="s">
        <v>327</v>
      </c>
      <c r="E30" s="111" t="s">
        <v>218</v>
      </c>
      <c r="F30" s="111" t="s">
        <v>377</v>
      </c>
      <c r="G30" s="112">
        <v>0.86</v>
      </c>
      <c r="H30" s="111" t="s">
        <v>254</v>
      </c>
      <c r="I30" s="111">
        <v>0</v>
      </c>
      <c r="J30" s="111">
        <v>4.82E-2</v>
      </c>
      <c r="K30" s="66">
        <v>103621.8904298702</v>
      </c>
      <c r="L30" s="58">
        <v>96.04</v>
      </c>
      <c r="M30" s="58">
        <v>0</v>
      </c>
      <c r="N30" s="81">
        <v>99.518463568847338</v>
      </c>
      <c r="O30" s="24">
        <v>5.7567716905483447E-6</v>
      </c>
      <c r="P30" s="32">
        <v>4.7331132752728216E-3</v>
      </c>
      <c r="Q30" s="32">
        <v>9.8790512172114648E-4</v>
      </c>
    </row>
    <row r="31" spans="1:17" s="113" customFormat="1" x14ac:dyDescent="0.25">
      <c r="A31" s="89" t="s">
        <v>378</v>
      </c>
      <c r="B31" s="125" t="s">
        <v>248</v>
      </c>
      <c r="C31" s="125" t="s">
        <v>248</v>
      </c>
      <c r="D31" s="125" t="s">
        <v>248</v>
      </c>
      <c r="E31" s="125" t="s">
        <v>248</v>
      </c>
      <c r="F31" s="125" t="s">
        <v>248</v>
      </c>
      <c r="G31" s="126" t="s">
        <v>248</v>
      </c>
      <c r="H31" s="125" t="s">
        <v>248</v>
      </c>
      <c r="I31" s="125" t="s">
        <v>248</v>
      </c>
      <c r="J31" s="125" t="s">
        <v>248</v>
      </c>
      <c r="K31" s="129" t="s">
        <v>248</v>
      </c>
      <c r="L31" s="130" t="s">
        <v>248</v>
      </c>
      <c r="M31" s="130" t="s">
        <v>248</v>
      </c>
      <c r="N31" s="118">
        <v>5980.1511486981881</v>
      </c>
      <c r="O31" s="131"/>
      <c r="P31" s="115">
        <v>0.28441689888489952</v>
      </c>
      <c r="Q31" s="115">
        <v>5.9364079152794381E-2</v>
      </c>
    </row>
    <row r="32" spans="1:17" x14ac:dyDescent="0.25">
      <c r="A32" s="16" t="s">
        <v>394</v>
      </c>
      <c r="B32" s="111" t="s">
        <v>395</v>
      </c>
      <c r="C32" s="111" t="s">
        <v>326</v>
      </c>
      <c r="D32" s="111" t="s">
        <v>315</v>
      </c>
      <c r="E32" s="111" t="s">
        <v>316</v>
      </c>
      <c r="F32" s="111" t="s">
        <v>396</v>
      </c>
      <c r="G32" s="112">
        <v>0</v>
      </c>
      <c r="H32" s="111" t="s">
        <v>254</v>
      </c>
      <c r="I32" s="111">
        <v>0</v>
      </c>
      <c r="J32" s="111">
        <v>0</v>
      </c>
      <c r="K32" s="66">
        <v>-225264.97919536999</v>
      </c>
      <c r="L32" s="58">
        <v>93.275300000000001</v>
      </c>
      <c r="M32" s="58">
        <v>0</v>
      </c>
      <c r="N32" s="81">
        <v>-210.11658513941896</v>
      </c>
      <c r="O32" s="24">
        <v>0</v>
      </c>
      <c r="P32" s="32">
        <v>-9.9931767715683451E-3</v>
      </c>
      <c r="Q32" s="32">
        <v>-2.0857963756060983E-3</v>
      </c>
    </row>
    <row r="33" spans="1:17" x14ac:dyDescent="0.25">
      <c r="A33" s="16" t="s">
        <v>397</v>
      </c>
      <c r="B33" s="111" t="s">
        <v>398</v>
      </c>
      <c r="C33" s="111" t="s">
        <v>326</v>
      </c>
      <c r="D33" s="111" t="s">
        <v>315</v>
      </c>
      <c r="E33" s="111" t="s">
        <v>316</v>
      </c>
      <c r="F33" s="111" t="s">
        <v>399</v>
      </c>
      <c r="G33" s="112">
        <v>0</v>
      </c>
      <c r="H33" s="111" t="s">
        <v>254</v>
      </c>
      <c r="I33" s="111">
        <v>0</v>
      </c>
      <c r="J33" s="111">
        <v>0</v>
      </c>
      <c r="K33" s="66">
        <v>-225264.97919536999</v>
      </c>
      <c r="L33" s="58">
        <v>96.342200000000005</v>
      </c>
      <c r="M33" s="58">
        <v>0</v>
      </c>
      <c r="N33" s="81">
        <v>-217.02523678636175</v>
      </c>
      <c r="O33" s="24">
        <v>0</v>
      </c>
      <c r="P33" s="32">
        <v>-1.0321753295478995E-2</v>
      </c>
      <c r="Q33" s="32">
        <v>-2.1543775423710008E-3</v>
      </c>
    </row>
    <row r="34" spans="1:17" x14ac:dyDescent="0.25">
      <c r="A34" s="16" t="s">
        <v>400</v>
      </c>
      <c r="B34" s="111" t="s">
        <v>401</v>
      </c>
      <c r="C34" s="111" t="s">
        <v>326</v>
      </c>
      <c r="D34" s="111" t="s">
        <v>315</v>
      </c>
      <c r="E34" s="111" t="s">
        <v>316</v>
      </c>
      <c r="F34" s="111" t="s">
        <v>402</v>
      </c>
      <c r="G34" s="112">
        <v>0</v>
      </c>
      <c r="H34" s="111" t="s">
        <v>254</v>
      </c>
      <c r="I34" s="111">
        <v>0</v>
      </c>
      <c r="J34" s="111">
        <v>0</v>
      </c>
      <c r="K34" s="66">
        <v>-225264.97919536999</v>
      </c>
      <c r="L34" s="58">
        <v>95.540800000000004</v>
      </c>
      <c r="M34" s="58">
        <v>0</v>
      </c>
      <c r="N34" s="81">
        <v>-215.21996324309006</v>
      </c>
      <c r="O34" s="24">
        <v>0</v>
      </c>
      <c r="P34" s="32">
        <v>-1.0235894210976077E-2</v>
      </c>
      <c r="Q34" s="32">
        <v>-2.1364568579517527E-3</v>
      </c>
    </row>
    <row r="35" spans="1:17" x14ac:dyDescent="0.25">
      <c r="A35" s="16" t="s">
        <v>403</v>
      </c>
      <c r="B35" s="111" t="s">
        <v>404</v>
      </c>
      <c r="C35" s="111" t="s">
        <v>326</v>
      </c>
      <c r="D35" s="111" t="s">
        <v>315</v>
      </c>
      <c r="E35" s="111" t="s">
        <v>316</v>
      </c>
      <c r="F35" s="111" t="s">
        <v>405</v>
      </c>
      <c r="G35" s="112">
        <v>0</v>
      </c>
      <c r="H35" s="111" t="s">
        <v>254</v>
      </c>
      <c r="I35" s="111">
        <v>0</v>
      </c>
      <c r="J35" s="111">
        <v>0</v>
      </c>
      <c r="K35" s="66">
        <v>-225264.97919536999</v>
      </c>
      <c r="L35" s="58">
        <v>90.075599999999994</v>
      </c>
      <c r="M35" s="58">
        <v>0</v>
      </c>
      <c r="N35" s="81">
        <v>-202.9087816001047</v>
      </c>
      <c r="O35" s="24">
        <v>0</v>
      </c>
      <c r="P35" s="32">
        <v>-9.6503725381219003E-3</v>
      </c>
      <c r="Q35" s="32">
        <v>-2.0142455720919116E-3</v>
      </c>
    </row>
    <row r="36" spans="1:17" x14ac:dyDescent="0.25">
      <c r="A36" s="16" t="s">
        <v>379</v>
      </c>
      <c r="B36" s="111" t="s">
        <v>380</v>
      </c>
      <c r="C36" s="111" t="s">
        <v>326</v>
      </c>
      <c r="D36" s="111" t="s">
        <v>327</v>
      </c>
      <c r="E36" s="111" t="s">
        <v>218</v>
      </c>
      <c r="F36" s="111" t="s">
        <v>381</v>
      </c>
      <c r="G36" s="112">
        <v>12.46</v>
      </c>
      <c r="H36" s="111" t="s">
        <v>254</v>
      </c>
      <c r="I36" s="111">
        <v>5.5E-2</v>
      </c>
      <c r="J36" s="111">
        <v>3.9900000000000005E-2</v>
      </c>
      <c r="K36" s="66">
        <v>323253.57458027021</v>
      </c>
      <c r="L36" s="58">
        <v>121.8</v>
      </c>
      <c r="M36" s="58">
        <v>0</v>
      </c>
      <c r="N36" s="81">
        <v>393.72285383156066</v>
      </c>
      <c r="O36" s="24">
        <v>1.635929620227985E-5</v>
      </c>
      <c r="P36" s="32">
        <v>1.8725518857706822E-2</v>
      </c>
      <c r="Q36" s="32">
        <v>3.9084287466896045E-3</v>
      </c>
    </row>
    <row r="37" spans="1:17" x14ac:dyDescent="0.25">
      <c r="A37" s="16" t="s">
        <v>382</v>
      </c>
      <c r="B37" s="111" t="s">
        <v>383</v>
      </c>
      <c r="C37" s="111" t="s">
        <v>326</v>
      </c>
      <c r="D37" s="111" t="s">
        <v>327</v>
      </c>
      <c r="E37" s="111" t="s">
        <v>218</v>
      </c>
      <c r="F37" s="111" t="s">
        <v>384</v>
      </c>
      <c r="G37" s="112">
        <v>15.78</v>
      </c>
      <c r="H37" s="111" t="s">
        <v>254</v>
      </c>
      <c r="I37" s="111">
        <v>3.7499999999999999E-2</v>
      </c>
      <c r="J37" s="111">
        <v>4.0599999999999997E-2</v>
      </c>
      <c r="K37" s="66">
        <v>1775384.9992773491</v>
      </c>
      <c r="L37" s="58">
        <v>96.3</v>
      </c>
      <c r="M37" s="58">
        <v>0</v>
      </c>
      <c r="N37" s="81">
        <v>1709.6957543013841</v>
      </c>
      <c r="O37" s="24">
        <v>7.1423220848279968E-5</v>
      </c>
      <c r="P37" s="32">
        <v>8.1313390311369207E-2</v>
      </c>
      <c r="Q37" s="32">
        <v>1.6971897793526185E-2</v>
      </c>
    </row>
    <row r="38" spans="1:17" x14ac:dyDescent="0.25">
      <c r="A38" s="16" t="s">
        <v>385</v>
      </c>
      <c r="B38" s="111" t="s">
        <v>386</v>
      </c>
      <c r="C38" s="111" t="s">
        <v>326</v>
      </c>
      <c r="D38" s="111" t="s">
        <v>327</v>
      </c>
      <c r="E38" s="111" t="s">
        <v>218</v>
      </c>
      <c r="F38" s="111" t="s">
        <v>387</v>
      </c>
      <c r="G38" s="112">
        <v>12.4</v>
      </c>
      <c r="H38" s="111" t="s">
        <v>254</v>
      </c>
      <c r="I38" s="111">
        <v>1.4999999999999999E-2</v>
      </c>
      <c r="J38" s="111">
        <v>3.9100000000000003E-2</v>
      </c>
      <c r="K38" s="66">
        <v>2588805.2641361393</v>
      </c>
      <c r="L38" s="58">
        <v>74.599999999999994</v>
      </c>
      <c r="M38" s="58">
        <v>0</v>
      </c>
      <c r="N38" s="81">
        <v>1931.2487270455597</v>
      </c>
      <c r="O38" s="24">
        <v>1.4552634520873073E-4</v>
      </c>
      <c r="P38" s="32">
        <v>9.1850483418179127E-2</v>
      </c>
      <c r="Q38" s="32">
        <v>1.9171221503493822E-2</v>
      </c>
    </row>
    <row r="39" spans="1:17" x14ac:dyDescent="0.25">
      <c r="A39" s="16" t="s">
        <v>388</v>
      </c>
      <c r="B39" s="111" t="s">
        <v>389</v>
      </c>
      <c r="C39" s="111" t="s">
        <v>326</v>
      </c>
      <c r="D39" s="111" t="s">
        <v>327</v>
      </c>
      <c r="E39" s="111" t="s">
        <v>218</v>
      </c>
      <c r="F39" s="111" t="s">
        <v>390</v>
      </c>
      <c r="G39" s="112">
        <v>8.33</v>
      </c>
      <c r="H39" s="111" t="s">
        <v>254</v>
      </c>
      <c r="I39" s="111">
        <v>1.3000000000000001E-2</v>
      </c>
      <c r="J39" s="111">
        <v>3.7699999999999997E-2</v>
      </c>
      <c r="K39" s="66">
        <v>2243035.4384897058</v>
      </c>
      <c r="L39" s="58">
        <v>81.93</v>
      </c>
      <c r="M39" s="58">
        <v>0</v>
      </c>
      <c r="N39" s="81">
        <v>1837.7189347507413</v>
      </c>
      <c r="O39" s="24">
        <v>3.9227786868809976E-4</v>
      </c>
      <c r="P39" s="32">
        <v>8.7402192260248812E-2</v>
      </c>
      <c r="Q39" s="32">
        <v>1.8242765038954011E-2</v>
      </c>
    </row>
    <row r="40" spans="1:17" x14ac:dyDescent="0.25">
      <c r="A40" s="16" t="s">
        <v>391</v>
      </c>
      <c r="B40" s="111" t="s">
        <v>392</v>
      </c>
      <c r="C40" s="111" t="s">
        <v>326</v>
      </c>
      <c r="D40" s="111" t="s">
        <v>327</v>
      </c>
      <c r="E40" s="111" t="s">
        <v>218</v>
      </c>
      <c r="F40" s="111" t="s">
        <v>393</v>
      </c>
      <c r="G40" s="112">
        <v>18.649999999999999</v>
      </c>
      <c r="H40" s="111" t="s">
        <v>254</v>
      </c>
      <c r="I40" s="111">
        <v>2.7999999999999997E-2</v>
      </c>
      <c r="J40" s="111">
        <v>4.1399999999999999E-2</v>
      </c>
      <c r="K40" s="66">
        <v>1206526.7064666511</v>
      </c>
      <c r="L40" s="58">
        <v>78.989999999999995</v>
      </c>
      <c r="M40" s="58">
        <v>0</v>
      </c>
      <c r="N40" s="81">
        <v>953.03544543791759</v>
      </c>
      <c r="O40" s="24">
        <v>1.9561832854796224E-4</v>
      </c>
      <c r="P40" s="32">
        <v>4.5326510848784807E-2</v>
      </c>
      <c r="Q40" s="32">
        <v>9.4606424171588318E-3</v>
      </c>
    </row>
    <row r="41" spans="1:17" s="113" customFormat="1" x14ac:dyDescent="0.25">
      <c r="A41" s="89" t="s">
        <v>406</v>
      </c>
      <c r="B41" s="125" t="s">
        <v>248</v>
      </c>
      <c r="C41" s="125" t="s">
        <v>248</v>
      </c>
      <c r="D41" s="125" t="s">
        <v>248</v>
      </c>
      <c r="E41" s="125" t="s">
        <v>248</v>
      </c>
      <c r="F41" s="125" t="s">
        <v>248</v>
      </c>
      <c r="G41" s="126" t="s">
        <v>248</v>
      </c>
      <c r="H41" s="125" t="s">
        <v>248</v>
      </c>
      <c r="I41" s="125" t="s">
        <v>248</v>
      </c>
      <c r="J41" s="125" t="s">
        <v>248</v>
      </c>
      <c r="K41" s="129" t="s">
        <v>248</v>
      </c>
      <c r="L41" s="130" t="s">
        <v>248</v>
      </c>
      <c r="M41" s="130" t="s">
        <v>248</v>
      </c>
      <c r="N41" s="118">
        <v>1096.3306708196344</v>
      </c>
      <c r="O41" s="131"/>
      <c r="P41" s="115">
        <v>5.2141653579241151E-2</v>
      </c>
      <c r="Q41" s="115">
        <v>1.0883113001974993E-2</v>
      </c>
    </row>
    <row r="42" spans="1:17" x14ac:dyDescent="0.25">
      <c r="A42" s="16" t="s">
        <v>407</v>
      </c>
      <c r="B42" s="111" t="s">
        <v>408</v>
      </c>
      <c r="C42" s="111" t="s">
        <v>326</v>
      </c>
      <c r="D42" s="111" t="s">
        <v>327</v>
      </c>
      <c r="E42" s="111" t="s">
        <v>218</v>
      </c>
      <c r="F42" s="111" t="s">
        <v>409</v>
      </c>
      <c r="G42" s="112">
        <v>2.73</v>
      </c>
      <c r="H42" s="111" t="s">
        <v>254</v>
      </c>
      <c r="I42" s="111">
        <v>1.4000000000000002E-3</v>
      </c>
      <c r="J42" s="111">
        <v>5.1399999999999994E-2</v>
      </c>
      <c r="K42" s="66">
        <v>729858.53259299882</v>
      </c>
      <c r="L42" s="58">
        <v>99.8</v>
      </c>
      <c r="M42" s="58">
        <v>0</v>
      </c>
      <c r="N42" s="81">
        <v>728.39881552781276</v>
      </c>
      <c r="O42" s="24">
        <v>3.4553842722224807E-5</v>
      </c>
      <c r="P42" s="32">
        <v>3.4642758537792619E-2</v>
      </c>
      <c r="Q42" s="32">
        <v>7.2307076969463837E-3</v>
      </c>
    </row>
    <row r="43" spans="1:17" x14ac:dyDescent="0.25">
      <c r="A43" s="16" t="s">
        <v>410</v>
      </c>
      <c r="B43" s="111" t="s">
        <v>411</v>
      </c>
      <c r="C43" s="111" t="s">
        <v>326</v>
      </c>
      <c r="D43" s="111" t="s">
        <v>327</v>
      </c>
      <c r="E43" s="111" t="s">
        <v>218</v>
      </c>
      <c r="F43" s="111" t="s">
        <v>412</v>
      </c>
      <c r="G43" s="112">
        <v>6.24</v>
      </c>
      <c r="H43" s="111" t="s">
        <v>254</v>
      </c>
      <c r="I43" s="111">
        <v>2.2200000000000001E-2</v>
      </c>
      <c r="J43" s="111">
        <v>5.2300000000000006E-2</v>
      </c>
      <c r="K43" s="66">
        <v>373156.03975012543</v>
      </c>
      <c r="L43" s="58">
        <v>98.6</v>
      </c>
      <c r="M43" s="58">
        <v>0</v>
      </c>
      <c r="N43" s="81">
        <v>367.93185519182151</v>
      </c>
      <c r="O43" s="24">
        <v>2.2452601484243988E-5</v>
      </c>
      <c r="P43" s="32">
        <v>1.7498895036692518E-2</v>
      </c>
      <c r="Q43" s="32">
        <v>3.6524053040359215E-3</v>
      </c>
    </row>
    <row r="44" spans="1:17" s="113" customFormat="1" x14ac:dyDescent="0.25">
      <c r="A44" s="89" t="s">
        <v>413</v>
      </c>
      <c r="B44" s="125" t="s">
        <v>248</v>
      </c>
      <c r="C44" s="125" t="s">
        <v>248</v>
      </c>
      <c r="D44" s="125" t="s">
        <v>248</v>
      </c>
      <c r="E44" s="125" t="s">
        <v>248</v>
      </c>
      <c r="F44" s="125" t="s">
        <v>248</v>
      </c>
      <c r="G44" s="126" t="s">
        <v>248</v>
      </c>
      <c r="H44" s="125" t="s">
        <v>248</v>
      </c>
      <c r="I44" s="125" t="s">
        <v>248</v>
      </c>
      <c r="J44" s="125" t="s">
        <v>248</v>
      </c>
      <c r="K44" s="129" t="s">
        <v>248</v>
      </c>
      <c r="L44" s="130" t="s">
        <v>248</v>
      </c>
      <c r="M44" s="130" t="s">
        <v>248</v>
      </c>
      <c r="N44" s="118">
        <v>0</v>
      </c>
      <c r="O44" s="131"/>
      <c r="P44" s="115">
        <v>0</v>
      </c>
      <c r="Q44" s="115">
        <v>0</v>
      </c>
    </row>
    <row r="45" spans="1:17" s="113" customFormat="1" x14ac:dyDescent="0.25">
      <c r="A45" s="89" t="s">
        <v>414</v>
      </c>
      <c r="B45" s="125" t="s">
        <v>248</v>
      </c>
      <c r="C45" s="125" t="s">
        <v>248</v>
      </c>
      <c r="D45" s="125" t="s">
        <v>248</v>
      </c>
      <c r="E45" s="125" t="s">
        <v>248</v>
      </c>
      <c r="F45" s="125" t="s">
        <v>248</v>
      </c>
      <c r="G45" s="126" t="s">
        <v>248</v>
      </c>
      <c r="H45" s="125" t="s">
        <v>248</v>
      </c>
      <c r="I45" s="125" t="s">
        <v>248</v>
      </c>
      <c r="J45" s="125" t="s">
        <v>248</v>
      </c>
      <c r="K45" s="129" t="s">
        <v>248</v>
      </c>
      <c r="L45" s="130" t="s">
        <v>248</v>
      </c>
      <c r="M45" s="130" t="s">
        <v>248</v>
      </c>
      <c r="N45" s="118">
        <v>2674.4395265008015</v>
      </c>
      <c r="O45" s="131"/>
      <c r="P45" s="115">
        <v>0.12719675096308281</v>
      </c>
      <c r="Q45" s="115">
        <v>2.6548767044979625E-2</v>
      </c>
    </row>
    <row r="46" spans="1:17" s="113" customFormat="1" x14ac:dyDescent="0.25">
      <c r="A46" s="89" t="s">
        <v>415</v>
      </c>
      <c r="B46" s="125" t="s">
        <v>248</v>
      </c>
      <c r="C46" s="125" t="s">
        <v>248</v>
      </c>
      <c r="D46" s="125" t="s">
        <v>248</v>
      </c>
      <c r="E46" s="125" t="s">
        <v>248</v>
      </c>
      <c r="F46" s="125" t="s">
        <v>248</v>
      </c>
      <c r="G46" s="126" t="s">
        <v>248</v>
      </c>
      <c r="H46" s="125" t="s">
        <v>248</v>
      </c>
      <c r="I46" s="125" t="s">
        <v>248</v>
      </c>
      <c r="J46" s="125" t="s">
        <v>248</v>
      </c>
      <c r="K46" s="129" t="s">
        <v>248</v>
      </c>
      <c r="L46" s="130" t="s">
        <v>248</v>
      </c>
      <c r="M46" s="130" t="s">
        <v>248</v>
      </c>
      <c r="N46" s="118">
        <v>3.2403801000000003</v>
      </c>
      <c r="O46" s="131"/>
      <c r="P46" s="115">
        <v>1.5411297078184497E-4</v>
      </c>
      <c r="Q46" s="115">
        <v>3.2166775714927354E-5</v>
      </c>
    </row>
    <row r="47" spans="1:17" x14ac:dyDescent="0.25">
      <c r="A47" s="16" t="s">
        <v>416</v>
      </c>
      <c r="B47" s="111" t="s">
        <v>417</v>
      </c>
      <c r="C47" s="111" t="s">
        <v>218</v>
      </c>
      <c r="D47" s="111" t="s">
        <v>312</v>
      </c>
      <c r="E47" s="111" t="s">
        <v>262</v>
      </c>
      <c r="F47" s="111" t="s">
        <v>418</v>
      </c>
      <c r="G47" s="112">
        <v>14.202999999999999</v>
      </c>
      <c r="H47" s="111" t="s">
        <v>125</v>
      </c>
      <c r="I47" s="111">
        <v>4.1299999999999996E-2</v>
      </c>
      <c r="J47" s="111">
        <v>5.1119999999999999E-2</v>
      </c>
      <c r="K47" s="66">
        <v>1000</v>
      </c>
      <c r="L47" s="58">
        <v>87.578000000000003</v>
      </c>
      <c r="M47" s="58">
        <v>0</v>
      </c>
      <c r="N47" s="81">
        <v>3.24038</v>
      </c>
      <c r="O47" s="24">
        <v>9.9999999999999995E-7</v>
      </c>
      <c r="P47" s="32">
        <v>1.5411296602582975E-4</v>
      </c>
      <c r="Q47" s="32">
        <v>3.2166774722242084E-5</v>
      </c>
    </row>
    <row r="48" spans="1:17" s="113" customFormat="1" x14ac:dyDescent="0.25">
      <c r="A48" s="89" t="s">
        <v>419</v>
      </c>
      <c r="B48" s="125" t="s">
        <v>248</v>
      </c>
      <c r="C48" s="125" t="s">
        <v>248</v>
      </c>
      <c r="D48" s="125" t="s">
        <v>248</v>
      </c>
      <c r="E48" s="125" t="s">
        <v>248</v>
      </c>
      <c r="F48" s="125" t="s">
        <v>248</v>
      </c>
      <c r="G48" s="126" t="s">
        <v>248</v>
      </c>
      <c r="H48" s="125" t="s">
        <v>248</v>
      </c>
      <c r="I48" s="125" t="s">
        <v>248</v>
      </c>
      <c r="J48" s="125" t="s">
        <v>248</v>
      </c>
      <c r="K48" s="129" t="s">
        <v>248</v>
      </c>
      <c r="L48" s="130" t="s">
        <v>248</v>
      </c>
      <c r="M48" s="130" t="s">
        <v>248</v>
      </c>
      <c r="N48" s="118">
        <v>2671.1991464008015</v>
      </c>
      <c r="O48" s="131"/>
      <c r="P48" s="115">
        <v>0.12704263799230095</v>
      </c>
      <c r="Q48" s="115">
        <v>2.6516600269264695E-2</v>
      </c>
    </row>
    <row r="49" spans="1:17" x14ac:dyDescent="0.25">
      <c r="A49" s="16" t="s">
        <v>420</v>
      </c>
      <c r="B49" s="111" t="s">
        <v>421</v>
      </c>
      <c r="C49" s="111" t="s">
        <v>218</v>
      </c>
      <c r="D49" s="111" t="s">
        <v>422</v>
      </c>
      <c r="E49" s="111" t="s">
        <v>422</v>
      </c>
      <c r="F49" s="111" t="s">
        <v>423</v>
      </c>
      <c r="G49" s="112">
        <v>7.6619999999999999</v>
      </c>
      <c r="H49" s="111" t="s">
        <v>125</v>
      </c>
      <c r="I49" s="111">
        <v>2.8799999999999999E-2</v>
      </c>
      <c r="J49" s="111">
        <v>3.8795299999999998E-2</v>
      </c>
      <c r="K49" s="66">
        <v>646007.00804408838</v>
      </c>
      <c r="L49" s="58">
        <v>92.882800000000003</v>
      </c>
      <c r="M49" s="58">
        <v>0</v>
      </c>
      <c r="N49" s="81">
        <v>2220.1090763157922</v>
      </c>
      <c r="O49" s="24">
        <v>4.8447739858264777E-6</v>
      </c>
      <c r="P49" s="32">
        <v>0.10558872559758176</v>
      </c>
      <c r="Q49" s="32">
        <v>2.2038695621086124E-2</v>
      </c>
    </row>
    <row r="50" spans="1:17" x14ac:dyDescent="0.25">
      <c r="A50" s="16" t="s">
        <v>424</v>
      </c>
      <c r="B50" s="111" t="s">
        <v>425</v>
      </c>
      <c r="C50" s="111" t="s">
        <v>218</v>
      </c>
      <c r="D50" s="111" t="s">
        <v>422</v>
      </c>
      <c r="E50" s="111" t="s">
        <v>422</v>
      </c>
      <c r="F50" s="111" t="s">
        <v>426</v>
      </c>
      <c r="G50" s="112">
        <v>7.6909999999999998</v>
      </c>
      <c r="H50" s="111" t="s">
        <v>125</v>
      </c>
      <c r="I50" s="111">
        <v>4.1299999999999996E-2</v>
      </c>
      <c r="J50" s="111">
        <v>3.8721040000000005E-2</v>
      </c>
      <c r="K50" s="66">
        <v>118939.90901515535</v>
      </c>
      <c r="L50" s="58">
        <v>102.50230000000001</v>
      </c>
      <c r="M50" s="58">
        <v>0</v>
      </c>
      <c r="N50" s="81">
        <v>451.09006998500922</v>
      </c>
      <c r="O50" s="24">
        <v>1.0690747293618745E-6</v>
      </c>
      <c r="P50" s="32">
        <v>2.1453912389963178E-2</v>
      </c>
      <c r="Q50" s="32">
        <v>4.4779046471858878E-3</v>
      </c>
    </row>
    <row r="51" spans="1:17" s="113" customFormat="1" x14ac:dyDescent="0.25">
      <c r="A51" s="75" t="s">
        <v>241</v>
      </c>
      <c r="B51" s="119"/>
      <c r="C51" s="119"/>
      <c r="D51" s="119"/>
      <c r="E51" s="120"/>
      <c r="F51" s="120"/>
      <c r="G51" s="120"/>
      <c r="H51" s="121"/>
      <c r="I51" s="122"/>
      <c r="J51" s="123"/>
      <c r="K51" s="123"/>
      <c r="L51" s="123"/>
      <c r="M51" s="123"/>
      <c r="N51" s="122"/>
      <c r="O51" s="122"/>
      <c r="P51" s="122"/>
      <c r="Q51" s="132"/>
    </row>
    <row r="52" spans="1:17" s="113" customFormat="1" x14ac:dyDescent="0.25">
      <c r="A52" s="75" t="s">
        <v>242</v>
      </c>
      <c r="B52" s="119"/>
      <c r="C52" s="119"/>
      <c r="D52" s="119"/>
      <c r="E52" s="120"/>
      <c r="F52" s="120"/>
      <c r="G52" s="120"/>
      <c r="H52" s="121"/>
      <c r="I52" s="122"/>
      <c r="J52" s="123"/>
      <c r="K52" s="123"/>
      <c r="L52" s="123"/>
      <c r="M52" s="123"/>
      <c r="N52" s="122"/>
      <c r="O52" s="122"/>
      <c r="P52" s="122"/>
      <c r="Q52" s="132"/>
    </row>
    <row r="53" spans="1:17" s="113" customFormat="1" x14ac:dyDescent="0.25">
      <c r="A53" s="75" t="s">
        <v>243</v>
      </c>
      <c r="B53" s="119"/>
      <c r="C53" s="119"/>
      <c r="D53" s="119"/>
      <c r="E53" s="120"/>
      <c r="F53" s="120"/>
      <c r="G53" s="120"/>
      <c r="H53" s="121"/>
      <c r="I53" s="122"/>
      <c r="J53" s="123"/>
      <c r="K53" s="123"/>
      <c r="L53" s="123"/>
      <c r="M53" s="123"/>
      <c r="N53" s="122"/>
      <c r="O53" s="122"/>
      <c r="P53" s="122"/>
      <c r="Q53" s="132"/>
    </row>
    <row r="54" spans="1:17" s="113" customFormat="1" x14ac:dyDescent="0.25">
      <c r="A54" s="75" t="s">
        <v>244</v>
      </c>
      <c r="B54" s="119"/>
      <c r="C54" s="119"/>
      <c r="D54" s="119"/>
      <c r="E54" s="120"/>
      <c r="F54" s="120"/>
      <c r="G54" s="120"/>
      <c r="H54" s="121"/>
      <c r="I54" s="122"/>
      <c r="J54" s="123"/>
      <c r="K54" s="123"/>
      <c r="L54" s="123"/>
      <c r="M54" s="123"/>
      <c r="N54" s="122"/>
      <c r="O54" s="122"/>
      <c r="P54" s="122"/>
      <c r="Q54" s="132"/>
    </row>
    <row r="55" spans="1:17" s="113" customFormat="1" x14ac:dyDescent="0.25">
      <c r="A55" s="75" t="s">
        <v>245</v>
      </c>
      <c r="B55" s="119"/>
      <c r="C55" s="119"/>
      <c r="D55" s="119"/>
      <c r="E55" s="120"/>
      <c r="F55" s="120"/>
      <c r="G55" s="120"/>
      <c r="H55" s="121"/>
      <c r="I55" s="122"/>
      <c r="J55" s="123"/>
      <c r="K55" s="123"/>
      <c r="L55" s="123"/>
      <c r="M55" s="123"/>
      <c r="N55" s="122"/>
      <c r="O55" s="122"/>
      <c r="P55" s="122"/>
      <c r="Q55" s="132"/>
    </row>
  </sheetData>
  <mergeCells count="2">
    <mergeCell ref="A5:Q5"/>
    <mergeCell ref="A4:Q4"/>
  </mergeCells>
  <phoneticPr fontId="3" type="noConversion"/>
  <conditionalFormatting sqref="A9:A50 N9:N50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50">
    <cfRule type="expression" dxfId="121" priority="66" stopIfTrue="1">
      <formula>OR(LEFT(#REF!,3)="TIR",LEFT(#REF!,2)="IR")</formula>
    </cfRule>
  </conditionalFormatting>
  <conditionalFormatting sqref="B10:J50">
    <cfRule type="expression" dxfId="120" priority="73" stopIfTrue="1">
      <formula>LEFT(#REF!,3)="TIR"</formula>
    </cfRule>
  </conditionalFormatting>
  <conditionalFormatting sqref="I1:I3 G9 I9:M9 O9:O50 K10:M50 I51:I55585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bestFit="1" customWidth="1"/>
    <col min="17" max="17" width="10.44140625" style="12" customWidth="1"/>
    <col min="18" max="18" width="22.88671875" style="14" bestFit="1" customWidth="1"/>
    <col min="19" max="19" width="26.44140625" style="14" bestFit="1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</row>
    <row r="5" spans="1:20" s="7" customFormat="1" x14ac:dyDescent="0.25">
      <c r="A5" s="217" t="s">
        <v>18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9"/>
    </row>
    <row r="6" spans="1:20" s="7" customFormat="1" x14ac:dyDescent="0.25">
      <c r="A6" s="83" t="s">
        <v>157</v>
      </c>
      <c r="B6" s="197" t="s">
        <v>69</v>
      </c>
      <c r="C6" s="197" t="s">
        <v>76</v>
      </c>
      <c r="D6" s="197" t="s">
        <v>77</v>
      </c>
      <c r="E6" s="197" t="s">
        <v>74</v>
      </c>
      <c r="F6" s="197" t="s">
        <v>19</v>
      </c>
      <c r="G6" s="197" t="s">
        <v>70</v>
      </c>
      <c r="H6" s="197" t="s">
        <v>5</v>
      </c>
      <c r="I6" s="197" t="s">
        <v>13</v>
      </c>
      <c r="J6" s="197" t="s">
        <v>14</v>
      </c>
      <c r="K6" s="197" t="s">
        <v>6</v>
      </c>
      <c r="L6" s="198" t="s">
        <v>66</v>
      </c>
      <c r="M6" s="198" t="s">
        <v>71</v>
      </c>
      <c r="N6" s="198" t="s">
        <v>67</v>
      </c>
      <c r="O6" s="198" t="s">
        <v>68</v>
      </c>
      <c r="P6" s="198" t="s">
        <v>134</v>
      </c>
      <c r="Q6" s="198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3" customFormat="1" ht="12.75" customHeight="1" thickBot="1" x14ac:dyDescent="0.3">
      <c r="A9" s="96" t="s">
        <v>61</v>
      </c>
      <c r="B9" s="64" t="s">
        <v>248</v>
      </c>
      <c r="C9" s="64" t="s">
        <v>248</v>
      </c>
      <c r="D9" s="64" t="s">
        <v>248</v>
      </c>
      <c r="E9" s="64" t="s">
        <v>248</v>
      </c>
      <c r="F9" s="64" t="s">
        <v>248</v>
      </c>
      <c r="G9" s="133"/>
      <c r="H9" s="133" t="s">
        <v>248</v>
      </c>
      <c r="I9" s="133" t="s">
        <v>248</v>
      </c>
      <c r="J9" s="133" t="s">
        <v>248</v>
      </c>
      <c r="K9" s="133" t="s">
        <v>248</v>
      </c>
      <c r="L9" s="134" t="s">
        <v>248</v>
      </c>
      <c r="M9" s="134" t="s">
        <v>248</v>
      </c>
      <c r="N9" s="135" t="s">
        <v>248</v>
      </c>
      <c r="O9" s="133"/>
      <c r="P9" s="133" t="s">
        <v>248</v>
      </c>
      <c r="Q9" s="99">
        <v>4.9999999999999998E-7</v>
      </c>
      <c r="R9" s="64" t="s">
        <v>248</v>
      </c>
      <c r="S9" s="64">
        <v>1</v>
      </c>
      <c r="T9" s="78">
        <v>0</v>
      </c>
    </row>
    <row r="10" spans="1:20" s="113" customFormat="1" x14ac:dyDescent="0.25">
      <c r="A10" s="88" t="s">
        <v>137</v>
      </c>
      <c r="B10" s="125" t="s">
        <v>248</v>
      </c>
      <c r="C10" s="125" t="s">
        <v>248</v>
      </c>
      <c r="D10" s="125" t="s">
        <v>248</v>
      </c>
      <c r="E10" s="125" t="s">
        <v>248</v>
      </c>
      <c r="F10" s="125" t="s">
        <v>248</v>
      </c>
      <c r="G10" s="125" t="s">
        <v>248</v>
      </c>
      <c r="H10" s="125" t="s">
        <v>248</v>
      </c>
      <c r="I10" s="125" t="s">
        <v>248</v>
      </c>
      <c r="J10" s="126" t="s">
        <v>248</v>
      </c>
      <c r="K10" s="125" t="s">
        <v>248</v>
      </c>
      <c r="L10" s="125" t="s">
        <v>248</v>
      </c>
      <c r="M10" s="125" t="s">
        <v>248</v>
      </c>
      <c r="N10" s="136" t="s">
        <v>248</v>
      </c>
      <c r="O10" s="137" t="s">
        <v>248</v>
      </c>
      <c r="P10" s="137" t="s">
        <v>248</v>
      </c>
      <c r="Q10" s="117">
        <v>0</v>
      </c>
      <c r="R10" s="115" t="s">
        <v>248</v>
      </c>
      <c r="S10" s="115">
        <v>0</v>
      </c>
      <c r="T10" s="115">
        <v>0</v>
      </c>
    </row>
    <row r="11" spans="1:20" s="113" customFormat="1" x14ac:dyDescent="0.25">
      <c r="A11" s="89" t="s">
        <v>138</v>
      </c>
      <c r="B11" s="125" t="s">
        <v>248</v>
      </c>
      <c r="C11" s="125" t="s">
        <v>248</v>
      </c>
      <c r="D11" s="125" t="s">
        <v>248</v>
      </c>
      <c r="E11" s="125" t="s">
        <v>248</v>
      </c>
      <c r="F11" s="125" t="s">
        <v>248</v>
      </c>
      <c r="G11" s="125" t="s">
        <v>248</v>
      </c>
      <c r="H11" s="125" t="s">
        <v>248</v>
      </c>
      <c r="I11" s="125" t="s">
        <v>248</v>
      </c>
      <c r="J11" s="126" t="s">
        <v>248</v>
      </c>
      <c r="K11" s="125" t="s">
        <v>248</v>
      </c>
      <c r="L11" s="125" t="s">
        <v>248</v>
      </c>
      <c r="M11" s="125" t="s">
        <v>248</v>
      </c>
      <c r="N11" s="138" t="s">
        <v>248</v>
      </c>
      <c r="O11" s="139" t="s">
        <v>248</v>
      </c>
      <c r="P11" s="139" t="s">
        <v>248</v>
      </c>
      <c r="Q11" s="118">
        <v>0</v>
      </c>
      <c r="R11" s="131"/>
      <c r="S11" s="131">
        <v>0</v>
      </c>
      <c r="T11" s="115">
        <v>0</v>
      </c>
    </row>
    <row r="12" spans="1:20" s="113" customFormat="1" x14ac:dyDescent="0.25">
      <c r="A12" s="89" t="s">
        <v>139</v>
      </c>
      <c r="B12" s="125" t="s">
        <v>248</v>
      </c>
      <c r="C12" s="125" t="s">
        <v>248</v>
      </c>
      <c r="D12" s="125" t="s">
        <v>248</v>
      </c>
      <c r="E12" s="125" t="s">
        <v>248</v>
      </c>
      <c r="F12" s="125" t="s">
        <v>248</v>
      </c>
      <c r="G12" s="125" t="s">
        <v>248</v>
      </c>
      <c r="H12" s="125" t="s">
        <v>248</v>
      </c>
      <c r="I12" s="125" t="s">
        <v>248</v>
      </c>
      <c r="J12" s="126" t="s">
        <v>248</v>
      </c>
      <c r="K12" s="125" t="s">
        <v>248</v>
      </c>
      <c r="L12" s="125" t="s">
        <v>248</v>
      </c>
      <c r="M12" s="125" t="s">
        <v>248</v>
      </c>
      <c r="N12" s="138" t="s">
        <v>248</v>
      </c>
      <c r="O12" s="139" t="s">
        <v>248</v>
      </c>
      <c r="P12" s="139" t="s">
        <v>248</v>
      </c>
      <c r="Q12" s="118">
        <v>0</v>
      </c>
      <c r="R12" s="131"/>
      <c r="S12" s="131">
        <v>0</v>
      </c>
      <c r="T12" s="115">
        <v>0</v>
      </c>
    </row>
    <row r="13" spans="1:20" s="113" customFormat="1" x14ac:dyDescent="0.25">
      <c r="A13" s="89" t="s">
        <v>427</v>
      </c>
      <c r="B13" s="125" t="s">
        <v>248</v>
      </c>
      <c r="C13" s="125" t="s">
        <v>248</v>
      </c>
      <c r="D13" s="125" t="s">
        <v>248</v>
      </c>
      <c r="E13" s="125" t="s">
        <v>248</v>
      </c>
      <c r="F13" s="125" t="s">
        <v>248</v>
      </c>
      <c r="G13" s="125" t="s">
        <v>248</v>
      </c>
      <c r="H13" s="125" t="s">
        <v>248</v>
      </c>
      <c r="I13" s="125" t="s">
        <v>248</v>
      </c>
      <c r="J13" s="126" t="s">
        <v>248</v>
      </c>
      <c r="K13" s="125" t="s">
        <v>248</v>
      </c>
      <c r="L13" s="125" t="s">
        <v>248</v>
      </c>
      <c r="M13" s="125" t="s">
        <v>248</v>
      </c>
      <c r="N13" s="138" t="s">
        <v>248</v>
      </c>
      <c r="O13" s="139" t="s">
        <v>248</v>
      </c>
      <c r="P13" s="139" t="s">
        <v>248</v>
      </c>
      <c r="Q13" s="118">
        <v>0</v>
      </c>
      <c r="R13" s="131"/>
      <c r="S13" s="131">
        <v>0</v>
      </c>
      <c r="T13" s="115">
        <v>0</v>
      </c>
    </row>
    <row r="14" spans="1:20" s="113" customFormat="1" x14ac:dyDescent="0.25">
      <c r="A14" s="89" t="s">
        <v>428</v>
      </c>
      <c r="B14" s="125" t="s">
        <v>248</v>
      </c>
      <c r="C14" s="125" t="s">
        <v>248</v>
      </c>
      <c r="D14" s="125" t="s">
        <v>248</v>
      </c>
      <c r="E14" s="125" t="s">
        <v>248</v>
      </c>
      <c r="F14" s="125" t="s">
        <v>248</v>
      </c>
      <c r="G14" s="125" t="s">
        <v>248</v>
      </c>
      <c r="H14" s="125" t="s">
        <v>248</v>
      </c>
      <c r="I14" s="125" t="s">
        <v>248</v>
      </c>
      <c r="J14" s="126" t="s">
        <v>248</v>
      </c>
      <c r="K14" s="125" t="s">
        <v>248</v>
      </c>
      <c r="L14" s="125" t="s">
        <v>248</v>
      </c>
      <c r="M14" s="125" t="s">
        <v>248</v>
      </c>
      <c r="N14" s="138" t="s">
        <v>248</v>
      </c>
      <c r="O14" s="139" t="s">
        <v>248</v>
      </c>
      <c r="P14" s="139" t="s">
        <v>248</v>
      </c>
      <c r="Q14" s="118">
        <v>0</v>
      </c>
      <c r="R14" s="131"/>
      <c r="S14" s="131">
        <v>0</v>
      </c>
      <c r="T14" s="115">
        <v>0</v>
      </c>
    </row>
    <row r="15" spans="1:20" s="113" customFormat="1" x14ac:dyDescent="0.25">
      <c r="A15" s="89" t="s">
        <v>143</v>
      </c>
      <c r="B15" s="125" t="s">
        <v>248</v>
      </c>
      <c r="C15" s="125" t="s">
        <v>248</v>
      </c>
      <c r="D15" s="125" t="s">
        <v>248</v>
      </c>
      <c r="E15" s="125" t="s">
        <v>248</v>
      </c>
      <c r="F15" s="125" t="s">
        <v>248</v>
      </c>
      <c r="G15" s="125" t="s">
        <v>248</v>
      </c>
      <c r="H15" s="125" t="s">
        <v>248</v>
      </c>
      <c r="I15" s="125" t="s">
        <v>248</v>
      </c>
      <c r="J15" s="126" t="s">
        <v>248</v>
      </c>
      <c r="K15" s="125" t="s">
        <v>248</v>
      </c>
      <c r="L15" s="125" t="s">
        <v>248</v>
      </c>
      <c r="M15" s="125" t="s">
        <v>248</v>
      </c>
      <c r="N15" s="138" t="s">
        <v>248</v>
      </c>
      <c r="O15" s="139" t="s">
        <v>248</v>
      </c>
      <c r="P15" s="139" t="s">
        <v>248</v>
      </c>
      <c r="Q15" s="118">
        <v>0</v>
      </c>
      <c r="R15" s="131"/>
      <c r="S15" s="131">
        <v>0</v>
      </c>
      <c r="T15" s="115">
        <v>0</v>
      </c>
    </row>
    <row r="16" spans="1:20" s="113" customFormat="1" x14ac:dyDescent="0.25">
      <c r="A16" s="89" t="s">
        <v>144</v>
      </c>
      <c r="B16" s="125" t="s">
        <v>248</v>
      </c>
      <c r="C16" s="125" t="s">
        <v>248</v>
      </c>
      <c r="D16" s="125" t="s">
        <v>248</v>
      </c>
      <c r="E16" s="125" t="s">
        <v>248</v>
      </c>
      <c r="F16" s="125" t="s">
        <v>248</v>
      </c>
      <c r="G16" s="125" t="s">
        <v>248</v>
      </c>
      <c r="H16" s="125" t="s">
        <v>248</v>
      </c>
      <c r="I16" s="125" t="s">
        <v>248</v>
      </c>
      <c r="J16" s="126" t="s">
        <v>248</v>
      </c>
      <c r="K16" s="125" t="s">
        <v>248</v>
      </c>
      <c r="L16" s="125" t="s">
        <v>248</v>
      </c>
      <c r="M16" s="125" t="s">
        <v>248</v>
      </c>
      <c r="N16" s="138" t="s">
        <v>248</v>
      </c>
      <c r="O16" s="139" t="s">
        <v>248</v>
      </c>
      <c r="P16" s="139" t="s">
        <v>248</v>
      </c>
      <c r="Q16" s="118">
        <v>0</v>
      </c>
      <c r="R16" s="131"/>
      <c r="S16" s="131">
        <v>0</v>
      </c>
      <c r="T16" s="115">
        <v>0</v>
      </c>
    </row>
    <row r="17" spans="1:17" s="113" customFormat="1" x14ac:dyDescent="0.25">
      <c r="A17" s="75" t="s">
        <v>241</v>
      </c>
      <c r="B17" s="119"/>
      <c r="C17" s="119"/>
      <c r="D17" s="119"/>
      <c r="E17" s="119"/>
      <c r="F17" s="75"/>
      <c r="G17" s="140"/>
      <c r="H17" s="140"/>
      <c r="I17" s="140"/>
      <c r="J17" s="141"/>
      <c r="K17" s="124"/>
      <c r="L17" s="142"/>
      <c r="M17" s="142"/>
      <c r="N17" s="142"/>
      <c r="O17" s="124"/>
      <c r="P17" s="124"/>
      <c r="Q17" s="124"/>
    </row>
    <row r="18" spans="1:17" s="113" customFormat="1" x14ac:dyDescent="0.25">
      <c r="A18" s="75" t="s">
        <v>242</v>
      </c>
      <c r="B18" s="119"/>
      <c r="C18" s="119"/>
      <c r="D18" s="119"/>
      <c r="E18" s="119"/>
      <c r="F18" s="75"/>
      <c r="G18" s="140"/>
      <c r="H18" s="140"/>
      <c r="I18" s="140"/>
      <c r="J18" s="141"/>
      <c r="K18" s="124"/>
      <c r="L18" s="142"/>
      <c r="M18" s="142"/>
      <c r="N18" s="142"/>
      <c r="O18" s="124"/>
      <c r="P18" s="124"/>
      <c r="Q18" s="124"/>
    </row>
    <row r="19" spans="1:17" s="113" customFormat="1" x14ac:dyDescent="0.25">
      <c r="A19" s="75" t="s">
        <v>243</v>
      </c>
      <c r="B19" s="119"/>
      <c r="C19" s="119"/>
      <c r="D19" s="119"/>
      <c r="E19" s="119"/>
      <c r="F19" s="75"/>
      <c r="G19" s="140"/>
      <c r="H19" s="140"/>
      <c r="I19" s="140"/>
      <c r="J19" s="141"/>
      <c r="K19" s="124"/>
      <c r="L19" s="142"/>
      <c r="M19" s="142"/>
      <c r="N19" s="142"/>
      <c r="O19" s="124"/>
      <c r="P19" s="124"/>
      <c r="Q19" s="124"/>
    </row>
    <row r="20" spans="1:17" s="113" customFormat="1" x14ac:dyDescent="0.25">
      <c r="A20" s="75" t="s">
        <v>244</v>
      </c>
      <c r="B20" s="119"/>
      <c r="C20" s="119"/>
      <c r="D20" s="119"/>
      <c r="E20" s="119"/>
      <c r="F20" s="75"/>
      <c r="G20" s="140"/>
      <c r="H20" s="140"/>
      <c r="I20" s="140"/>
      <c r="J20" s="141"/>
      <c r="K20" s="124"/>
      <c r="L20" s="142"/>
      <c r="M20" s="142"/>
      <c r="N20" s="142"/>
      <c r="O20" s="124"/>
      <c r="P20" s="124"/>
      <c r="Q20" s="124"/>
    </row>
    <row r="21" spans="1:17" s="113" customFormat="1" x14ac:dyDescent="0.25">
      <c r="A21" s="75" t="s">
        <v>245</v>
      </c>
      <c r="B21" s="119"/>
      <c r="C21" s="119"/>
      <c r="D21" s="119"/>
      <c r="E21" s="119"/>
      <c r="F21" s="75"/>
      <c r="G21" s="140"/>
      <c r="H21" s="140"/>
      <c r="I21" s="140"/>
      <c r="J21" s="141"/>
      <c r="K21" s="124"/>
      <c r="L21" s="142"/>
      <c r="M21" s="142"/>
      <c r="N21" s="142"/>
      <c r="O21" s="124"/>
      <c r="P21" s="124"/>
      <c r="Q21" s="124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9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4.88671875" style="8" bestFit="1" customWidth="1"/>
    <col min="7" max="7" width="7.5546875" style="57" customWidth="1"/>
    <col min="8" max="8" width="11.109375" style="57" customWidth="1"/>
    <col min="9" max="9" width="14.109375" style="57" customWidth="1"/>
    <col min="10" max="10" width="7.88671875" style="36" customWidth="1"/>
    <col min="11" max="11" width="11.33203125" style="59" customWidth="1"/>
    <col min="12" max="12" width="12.5546875" style="61" customWidth="1"/>
    <col min="13" max="13" width="14.109375" style="61" customWidth="1"/>
    <col min="14" max="14" width="10.88671875" style="61" bestFit="1" customWidth="1"/>
    <col min="15" max="15" width="11.44140625" style="59" bestFit="1" customWidth="1"/>
    <col min="16" max="16" width="16.5546875" style="59" bestFit="1" customWidth="1"/>
    <col min="17" max="17" width="10.44140625" style="59" customWidth="1"/>
    <col min="18" max="18" width="22.88671875" style="62" bestFit="1" customWidth="1"/>
    <col min="19" max="19" width="26.44140625" style="62" bestFit="1" customWidth="1"/>
    <col min="20" max="20" width="20.6640625" style="62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36"/>
      <c r="K1" s="59"/>
      <c r="L1" s="60"/>
      <c r="M1" s="60"/>
      <c r="N1" s="60"/>
      <c r="O1" s="59"/>
      <c r="P1" s="59"/>
      <c r="Q1" s="59"/>
      <c r="R1" s="62"/>
      <c r="S1" s="62"/>
      <c r="T1" s="42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36"/>
      <c r="K2" s="59"/>
      <c r="L2" s="60"/>
      <c r="M2" s="60"/>
      <c r="N2" s="60"/>
      <c r="O2" s="59"/>
      <c r="P2" s="59"/>
      <c r="Q2" s="59"/>
      <c r="R2" s="62"/>
      <c r="S2" s="62"/>
      <c r="T2" s="42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36"/>
      <c r="K3" s="59"/>
      <c r="L3" s="60"/>
      <c r="M3" s="60"/>
      <c r="N3" s="60"/>
      <c r="O3" s="59"/>
      <c r="P3" s="59"/>
      <c r="Q3" s="59"/>
      <c r="R3" s="62"/>
      <c r="S3" s="62"/>
      <c r="T3" s="42"/>
    </row>
    <row r="4" spans="1:20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</row>
    <row r="5" spans="1:20" s="7" customFormat="1" x14ac:dyDescent="0.25">
      <c r="A5" s="217" t="s">
        <v>88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9"/>
    </row>
    <row r="6" spans="1:20" s="7" customFormat="1" x14ac:dyDescent="0.25">
      <c r="A6" s="83" t="s">
        <v>157</v>
      </c>
      <c r="B6" s="197" t="s">
        <v>69</v>
      </c>
      <c r="C6" s="197" t="s">
        <v>76</v>
      </c>
      <c r="D6" s="197" t="s">
        <v>77</v>
      </c>
      <c r="E6" s="197" t="s">
        <v>74</v>
      </c>
      <c r="F6" s="197" t="s">
        <v>19</v>
      </c>
      <c r="G6" s="197" t="s">
        <v>70</v>
      </c>
      <c r="H6" s="197" t="s">
        <v>5</v>
      </c>
      <c r="I6" s="197" t="s">
        <v>13</v>
      </c>
      <c r="J6" s="197" t="s">
        <v>14</v>
      </c>
      <c r="K6" s="197" t="s">
        <v>6</v>
      </c>
      <c r="L6" s="198" t="s">
        <v>66</v>
      </c>
      <c r="M6" s="198" t="s">
        <v>71</v>
      </c>
      <c r="N6" s="198" t="s">
        <v>67</v>
      </c>
      <c r="O6" s="198" t="s">
        <v>68</v>
      </c>
      <c r="P6" s="198" t="s">
        <v>134</v>
      </c>
      <c r="Q6" s="198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49"/>
      <c r="I7" s="50" t="s">
        <v>40</v>
      </c>
      <c r="J7" s="49" t="s">
        <v>16</v>
      </c>
      <c r="K7" s="29"/>
      <c r="L7" s="47" t="s">
        <v>9</v>
      </c>
      <c r="M7" s="47" t="s">
        <v>9</v>
      </c>
      <c r="N7" s="2" t="s">
        <v>133</v>
      </c>
      <c r="O7" s="47"/>
      <c r="P7" s="2" t="s">
        <v>135</v>
      </c>
      <c r="Q7" s="2" t="s">
        <v>135</v>
      </c>
      <c r="R7" s="51" t="s">
        <v>9</v>
      </c>
      <c r="S7" s="51" t="s">
        <v>9</v>
      </c>
      <c r="T7" s="48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3" customFormat="1" ht="12.75" customHeight="1" thickBot="1" x14ac:dyDescent="0.3">
      <c r="A9" s="96" t="s">
        <v>53</v>
      </c>
      <c r="B9" s="64"/>
      <c r="C9" s="64"/>
      <c r="D9" s="64"/>
      <c r="E9" s="64"/>
      <c r="F9" s="64"/>
      <c r="G9" s="97"/>
      <c r="H9" s="97"/>
      <c r="I9" s="97"/>
      <c r="J9" s="97"/>
      <c r="K9" s="97"/>
      <c r="L9" s="64"/>
      <c r="M9" s="64"/>
      <c r="N9" s="100"/>
      <c r="O9" s="97"/>
      <c r="P9" s="99" t="s">
        <v>248</v>
      </c>
      <c r="Q9" s="101">
        <v>1767.4929406000001</v>
      </c>
      <c r="R9" s="64" t="s">
        <v>248</v>
      </c>
      <c r="S9" s="64">
        <v>1</v>
      </c>
      <c r="T9" s="78">
        <v>1.7545641944288454E-2</v>
      </c>
    </row>
    <row r="10" spans="1:20" s="113" customFormat="1" x14ac:dyDescent="0.25">
      <c r="A10" s="88" t="s">
        <v>137</v>
      </c>
      <c r="B10" s="125" t="s">
        <v>248</v>
      </c>
      <c r="C10" s="125" t="s">
        <v>248</v>
      </c>
      <c r="D10" s="125" t="s">
        <v>248</v>
      </c>
      <c r="E10" s="125" t="s">
        <v>248</v>
      </c>
      <c r="F10" s="125" t="s">
        <v>248</v>
      </c>
      <c r="G10" s="125" t="s">
        <v>248</v>
      </c>
      <c r="H10" s="125" t="s">
        <v>248</v>
      </c>
      <c r="I10" s="125" t="s">
        <v>248</v>
      </c>
      <c r="J10" s="126" t="s">
        <v>248</v>
      </c>
      <c r="K10" s="126" t="s">
        <v>248</v>
      </c>
      <c r="L10" s="125" t="s">
        <v>248</v>
      </c>
      <c r="M10" s="125" t="s">
        <v>248</v>
      </c>
      <c r="N10" s="127" t="s">
        <v>248</v>
      </c>
      <c r="O10" s="116" t="s">
        <v>248</v>
      </c>
      <c r="P10" s="117" t="s">
        <v>248</v>
      </c>
      <c r="Q10" s="128">
        <v>1767.4929404000002</v>
      </c>
      <c r="R10" s="115" t="s">
        <v>248</v>
      </c>
      <c r="S10" s="115">
        <v>0.9999999998868454</v>
      </c>
      <c r="T10" s="115">
        <v>1.7545641942303083E-2</v>
      </c>
    </row>
    <row r="11" spans="1:20" s="113" customFormat="1" x14ac:dyDescent="0.25">
      <c r="A11" s="89" t="s">
        <v>138</v>
      </c>
      <c r="B11" s="125" t="s">
        <v>248</v>
      </c>
      <c r="C11" s="125" t="s">
        <v>248</v>
      </c>
      <c r="D11" s="125" t="s">
        <v>248</v>
      </c>
      <c r="E11" s="125" t="s">
        <v>248</v>
      </c>
      <c r="F11" s="125" t="s">
        <v>248</v>
      </c>
      <c r="G11" s="125" t="s">
        <v>248</v>
      </c>
      <c r="H11" s="125" t="s">
        <v>248</v>
      </c>
      <c r="I11" s="125" t="s">
        <v>248</v>
      </c>
      <c r="J11" s="126" t="s">
        <v>248</v>
      </c>
      <c r="K11" s="126" t="s">
        <v>248</v>
      </c>
      <c r="L11" s="125" t="s">
        <v>248</v>
      </c>
      <c r="M11" s="125" t="s">
        <v>248</v>
      </c>
      <c r="N11" s="129" t="s">
        <v>248</v>
      </c>
      <c r="O11" s="130" t="s">
        <v>248</v>
      </c>
      <c r="P11" s="118" t="s">
        <v>248</v>
      </c>
      <c r="Q11" s="118">
        <v>1267.6997601</v>
      </c>
      <c r="R11" s="131"/>
      <c r="S11" s="131">
        <v>0.71723045166430011</v>
      </c>
      <c r="T11" s="131">
        <v>1.2584268696442096E-2</v>
      </c>
    </row>
    <row r="12" spans="1:20" x14ac:dyDescent="0.25">
      <c r="A12" s="16" t="s">
        <v>440</v>
      </c>
      <c r="B12" s="111" t="s">
        <v>441</v>
      </c>
      <c r="C12" s="111" t="s">
        <v>326</v>
      </c>
      <c r="D12" s="111" t="s">
        <v>248</v>
      </c>
      <c r="E12" s="111" t="s">
        <v>442</v>
      </c>
      <c r="F12" s="111" t="s">
        <v>200</v>
      </c>
      <c r="G12" s="111" t="s">
        <v>432</v>
      </c>
      <c r="H12" s="111" t="s">
        <v>433</v>
      </c>
      <c r="I12" s="111" t="s">
        <v>443</v>
      </c>
      <c r="J12" s="112">
        <v>4.18</v>
      </c>
      <c r="K12" s="112" t="s">
        <v>254</v>
      </c>
      <c r="L12" s="111">
        <v>1E-3</v>
      </c>
      <c r="M12" s="111">
        <v>2.0199999999999999E-2</v>
      </c>
      <c r="N12" s="66">
        <v>274670.09999999998</v>
      </c>
      <c r="O12" s="58">
        <v>98.39</v>
      </c>
      <c r="P12" s="81">
        <v>0</v>
      </c>
      <c r="Q12" s="81">
        <v>270.24790999999999</v>
      </c>
      <c r="R12" s="24">
        <v>2.6419491964925685E-4</v>
      </c>
      <c r="S12" s="24">
        <v>0.15289900388980368</v>
      </c>
      <c r="T12" s="24">
        <v>2.6827111758888629E-3</v>
      </c>
    </row>
    <row r="13" spans="1:20" x14ac:dyDescent="0.25">
      <c r="A13" s="16" t="s">
        <v>429</v>
      </c>
      <c r="B13" s="111" t="s">
        <v>430</v>
      </c>
      <c r="C13" s="111" t="s">
        <v>326</v>
      </c>
      <c r="D13" s="111" t="s">
        <v>248</v>
      </c>
      <c r="E13" s="111" t="s">
        <v>431</v>
      </c>
      <c r="F13" s="111" t="s">
        <v>200</v>
      </c>
      <c r="G13" s="111" t="s">
        <v>432</v>
      </c>
      <c r="H13" s="111" t="s">
        <v>433</v>
      </c>
      <c r="I13" s="111" t="s">
        <v>434</v>
      </c>
      <c r="J13" s="112">
        <v>3.74</v>
      </c>
      <c r="K13" s="112" t="s">
        <v>254</v>
      </c>
      <c r="L13" s="111">
        <v>1.7500000000000002E-2</v>
      </c>
      <c r="M13" s="111">
        <v>2.0199999999999999E-2</v>
      </c>
      <c r="N13" s="66">
        <v>689321.16</v>
      </c>
      <c r="O13" s="58">
        <v>109.82000000000001</v>
      </c>
      <c r="P13" s="81">
        <v>0</v>
      </c>
      <c r="Q13" s="81">
        <v>757.01248999999996</v>
      </c>
      <c r="R13" s="24">
        <v>2.0876274559348718E-4</v>
      </c>
      <c r="S13" s="24">
        <v>0.42829732023881328</v>
      </c>
      <c r="T13" s="24">
        <v>7.5147514266084648E-3</v>
      </c>
    </row>
    <row r="14" spans="1:20" x14ac:dyDescent="0.25">
      <c r="A14" s="16" t="s">
        <v>444</v>
      </c>
      <c r="B14" s="111" t="s">
        <v>445</v>
      </c>
      <c r="C14" s="111" t="s">
        <v>326</v>
      </c>
      <c r="D14" s="111" t="s">
        <v>248</v>
      </c>
      <c r="E14" s="111" t="s">
        <v>446</v>
      </c>
      <c r="F14" s="111" t="s">
        <v>200</v>
      </c>
      <c r="G14" s="111" t="s">
        <v>447</v>
      </c>
      <c r="H14" s="111" t="s">
        <v>433</v>
      </c>
      <c r="I14" s="111" t="s">
        <v>448</v>
      </c>
      <c r="J14" s="112">
        <v>5.28</v>
      </c>
      <c r="K14" s="112" t="s">
        <v>254</v>
      </c>
      <c r="L14" s="111">
        <v>2.9900000000000003E-2</v>
      </c>
      <c r="M14" s="111">
        <v>3.5499999999999997E-2</v>
      </c>
      <c r="N14" s="66">
        <v>2</v>
      </c>
      <c r="O14" s="58">
        <v>5048968</v>
      </c>
      <c r="P14" s="81">
        <v>0</v>
      </c>
      <c r="Q14" s="81">
        <v>100.97936</v>
      </c>
      <c r="R14" s="24">
        <v>1.25E-4</v>
      </c>
      <c r="S14" s="24">
        <v>5.7131407815253367E-2</v>
      </c>
      <c r="T14" s="24">
        <v>1.0024072252995586E-3</v>
      </c>
    </row>
    <row r="15" spans="1:20" x14ac:dyDescent="0.25">
      <c r="A15" s="16" t="s">
        <v>435</v>
      </c>
      <c r="B15" s="111" t="s">
        <v>436</v>
      </c>
      <c r="C15" s="111" t="s">
        <v>326</v>
      </c>
      <c r="D15" s="111" t="s">
        <v>248</v>
      </c>
      <c r="E15" s="111" t="s">
        <v>437</v>
      </c>
      <c r="F15" s="111" t="s">
        <v>224</v>
      </c>
      <c r="G15" s="111" t="s">
        <v>438</v>
      </c>
      <c r="H15" s="111" t="s">
        <v>433</v>
      </c>
      <c r="I15" s="111" t="s">
        <v>439</v>
      </c>
      <c r="J15" s="112">
        <v>6.26</v>
      </c>
      <c r="K15" s="112" t="s">
        <v>254</v>
      </c>
      <c r="L15" s="111">
        <v>1.54E-2</v>
      </c>
      <c r="M15" s="111">
        <v>4.1700000000000001E-2</v>
      </c>
      <c r="N15" s="66">
        <v>152000</v>
      </c>
      <c r="O15" s="58">
        <v>91.75</v>
      </c>
      <c r="P15" s="81">
        <v>0</v>
      </c>
      <c r="Q15" s="81">
        <v>139.46</v>
      </c>
      <c r="R15" s="24">
        <v>4.3428571428571431E-4</v>
      </c>
      <c r="S15" s="24">
        <v>7.8902719663852441E-2</v>
      </c>
      <c r="T15" s="24">
        <v>1.3843988676525228E-3</v>
      </c>
    </row>
    <row r="16" spans="1:20" s="113" customFormat="1" x14ac:dyDescent="0.25">
      <c r="A16" s="89" t="s">
        <v>139</v>
      </c>
      <c r="B16" s="125" t="s">
        <v>248</v>
      </c>
      <c r="C16" s="125" t="s">
        <v>248</v>
      </c>
      <c r="D16" s="125" t="s">
        <v>248</v>
      </c>
      <c r="E16" s="125" t="s">
        <v>248</v>
      </c>
      <c r="F16" s="125" t="s">
        <v>248</v>
      </c>
      <c r="G16" s="125" t="s">
        <v>248</v>
      </c>
      <c r="H16" s="125" t="s">
        <v>248</v>
      </c>
      <c r="I16" s="125" t="s">
        <v>248</v>
      </c>
      <c r="J16" s="126" t="s">
        <v>248</v>
      </c>
      <c r="K16" s="126" t="s">
        <v>248</v>
      </c>
      <c r="L16" s="125" t="s">
        <v>248</v>
      </c>
      <c r="M16" s="125" t="s">
        <v>248</v>
      </c>
      <c r="N16" s="129" t="s">
        <v>248</v>
      </c>
      <c r="O16" s="130" t="s">
        <v>248</v>
      </c>
      <c r="P16" s="118" t="s">
        <v>248</v>
      </c>
      <c r="Q16" s="118">
        <v>499.79318009999997</v>
      </c>
      <c r="R16" s="131"/>
      <c r="S16" s="131">
        <v>0.28276954810939059</v>
      </c>
      <c r="T16" s="131">
        <v>4.9613732438756148E-3</v>
      </c>
    </row>
    <row r="17" spans="1:20" x14ac:dyDescent="0.25">
      <c r="A17" s="16" t="s">
        <v>449</v>
      </c>
      <c r="B17" s="111" t="s">
        <v>450</v>
      </c>
      <c r="C17" s="111" t="s">
        <v>326</v>
      </c>
      <c r="D17" s="111" t="s">
        <v>248</v>
      </c>
      <c r="E17" s="111" t="s">
        <v>451</v>
      </c>
      <c r="F17" s="111" t="s">
        <v>201</v>
      </c>
      <c r="G17" s="111" t="s">
        <v>447</v>
      </c>
      <c r="H17" s="111" t="s">
        <v>433</v>
      </c>
      <c r="I17" s="111" t="s">
        <v>452</v>
      </c>
      <c r="J17" s="112">
        <v>2.89</v>
      </c>
      <c r="K17" s="112" t="s">
        <v>254</v>
      </c>
      <c r="L17" s="111">
        <v>2.9100000000000001E-2</v>
      </c>
      <c r="M17" s="111">
        <v>5.04E-2</v>
      </c>
      <c r="N17" s="66">
        <v>2000</v>
      </c>
      <c r="O17" s="58">
        <v>94.28</v>
      </c>
      <c r="P17" s="81">
        <v>0</v>
      </c>
      <c r="Q17" s="81">
        <v>1.8855999999999999</v>
      </c>
      <c r="R17" s="24">
        <v>3.3333333333333333E-6</v>
      </c>
      <c r="S17" s="24">
        <v>1.0668217997860329E-3</v>
      </c>
      <c r="T17" s="24">
        <v>1.8718073317407117E-5</v>
      </c>
    </row>
    <row r="18" spans="1:20" x14ac:dyDescent="0.25">
      <c r="A18" s="16" t="s">
        <v>457</v>
      </c>
      <c r="B18" s="111" t="s">
        <v>458</v>
      </c>
      <c r="C18" s="111" t="s">
        <v>326</v>
      </c>
      <c r="D18" s="111" t="s">
        <v>248</v>
      </c>
      <c r="E18" s="111" t="s">
        <v>442</v>
      </c>
      <c r="F18" s="111" t="s">
        <v>200</v>
      </c>
      <c r="G18" s="111" t="s">
        <v>432</v>
      </c>
      <c r="H18" s="111" t="s">
        <v>433</v>
      </c>
      <c r="I18" s="111" t="s">
        <v>443</v>
      </c>
      <c r="J18" s="112">
        <v>3.93</v>
      </c>
      <c r="K18" s="112" t="s">
        <v>254</v>
      </c>
      <c r="L18" s="111">
        <v>2.7400000000000001E-2</v>
      </c>
      <c r="M18" s="111">
        <v>4.4900000000000002E-2</v>
      </c>
      <c r="N18" s="66">
        <v>444450</v>
      </c>
      <c r="O18" s="58">
        <v>94.04</v>
      </c>
      <c r="P18" s="81">
        <v>0</v>
      </c>
      <c r="Q18" s="81">
        <v>417.96078</v>
      </c>
      <c r="R18" s="24">
        <v>2.5960337803497123E-4</v>
      </c>
      <c r="S18" s="24">
        <v>0.23647097558314287</v>
      </c>
      <c r="T18" s="24">
        <v>4.149035067798402E-3</v>
      </c>
    </row>
    <row r="19" spans="1:20" x14ac:dyDescent="0.25">
      <c r="A19" s="16" t="s">
        <v>453</v>
      </c>
      <c r="B19" s="111" t="s">
        <v>454</v>
      </c>
      <c r="C19" s="111" t="s">
        <v>326</v>
      </c>
      <c r="D19" s="111" t="s">
        <v>248</v>
      </c>
      <c r="E19" s="111" t="s">
        <v>455</v>
      </c>
      <c r="F19" s="111" t="s">
        <v>201</v>
      </c>
      <c r="G19" s="111" t="s">
        <v>447</v>
      </c>
      <c r="H19" s="111" t="s">
        <v>433</v>
      </c>
      <c r="I19" s="111" t="s">
        <v>456</v>
      </c>
      <c r="J19" s="112">
        <v>6.71</v>
      </c>
      <c r="K19" s="112" t="s">
        <v>254</v>
      </c>
      <c r="L19" s="111">
        <v>2.98E-2</v>
      </c>
      <c r="M19" s="111">
        <v>5.3099999999999994E-2</v>
      </c>
      <c r="N19" s="66">
        <v>92875</v>
      </c>
      <c r="O19" s="58">
        <v>86.08</v>
      </c>
      <c r="P19" s="81">
        <v>0</v>
      </c>
      <c r="Q19" s="81">
        <v>79.946799999999996</v>
      </c>
      <c r="R19" s="24">
        <v>2.3659878256341845E-4</v>
      </c>
      <c r="S19" s="24">
        <v>4.5231750669884399E-2</v>
      </c>
      <c r="T19" s="24">
        <v>7.9362010176712097E-4</v>
      </c>
    </row>
    <row r="20" spans="1:20" s="113" customFormat="1" x14ac:dyDescent="0.25">
      <c r="A20" s="89" t="s">
        <v>427</v>
      </c>
      <c r="B20" s="125" t="s">
        <v>248</v>
      </c>
      <c r="C20" s="125" t="s">
        <v>248</v>
      </c>
      <c r="D20" s="125" t="s">
        <v>248</v>
      </c>
      <c r="E20" s="125" t="s">
        <v>248</v>
      </c>
      <c r="F20" s="125" t="s">
        <v>248</v>
      </c>
      <c r="G20" s="125" t="s">
        <v>248</v>
      </c>
      <c r="H20" s="125" t="s">
        <v>248</v>
      </c>
      <c r="I20" s="125" t="s">
        <v>248</v>
      </c>
      <c r="J20" s="126" t="s">
        <v>248</v>
      </c>
      <c r="K20" s="126" t="s">
        <v>248</v>
      </c>
      <c r="L20" s="125" t="s">
        <v>248</v>
      </c>
      <c r="M20" s="125" t="s">
        <v>248</v>
      </c>
      <c r="N20" s="129" t="s">
        <v>248</v>
      </c>
      <c r="O20" s="130" t="s">
        <v>248</v>
      </c>
      <c r="P20" s="118" t="s">
        <v>248</v>
      </c>
      <c r="Q20" s="118">
        <v>0</v>
      </c>
      <c r="R20" s="131"/>
      <c r="S20" s="131">
        <v>0</v>
      </c>
      <c r="T20" s="131">
        <v>0</v>
      </c>
    </row>
    <row r="21" spans="1:20" s="113" customFormat="1" x14ac:dyDescent="0.25">
      <c r="A21" s="89" t="s">
        <v>459</v>
      </c>
      <c r="B21" s="125" t="s">
        <v>248</v>
      </c>
      <c r="C21" s="125" t="s">
        <v>248</v>
      </c>
      <c r="D21" s="125" t="s">
        <v>248</v>
      </c>
      <c r="E21" s="125" t="s">
        <v>248</v>
      </c>
      <c r="F21" s="125" t="s">
        <v>248</v>
      </c>
      <c r="G21" s="125" t="s">
        <v>248</v>
      </c>
      <c r="H21" s="125" t="s">
        <v>248</v>
      </c>
      <c r="I21" s="125" t="s">
        <v>248</v>
      </c>
      <c r="J21" s="126" t="s">
        <v>248</v>
      </c>
      <c r="K21" s="126" t="s">
        <v>248</v>
      </c>
      <c r="L21" s="125" t="s">
        <v>248</v>
      </c>
      <c r="M21" s="125" t="s">
        <v>248</v>
      </c>
      <c r="N21" s="129" t="s">
        <v>248</v>
      </c>
      <c r="O21" s="130" t="s">
        <v>248</v>
      </c>
      <c r="P21" s="118" t="s">
        <v>248</v>
      </c>
      <c r="Q21" s="118">
        <v>0</v>
      </c>
      <c r="R21" s="131"/>
      <c r="S21" s="131">
        <v>0</v>
      </c>
      <c r="T21" s="131">
        <v>0</v>
      </c>
    </row>
    <row r="22" spans="1:20" s="113" customFormat="1" x14ac:dyDescent="0.25">
      <c r="A22" s="89" t="s">
        <v>414</v>
      </c>
      <c r="B22" s="125" t="s">
        <v>248</v>
      </c>
      <c r="C22" s="125" t="s">
        <v>248</v>
      </c>
      <c r="D22" s="125" t="s">
        <v>248</v>
      </c>
      <c r="E22" s="125" t="s">
        <v>248</v>
      </c>
      <c r="F22" s="125" t="s">
        <v>248</v>
      </c>
      <c r="G22" s="125" t="s">
        <v>248</v>
      </c>
      <c r="H22" s="125" t="s">
        <v>248</v>
      </c>
      <c r="I22" s="125" t="s">
        <v>248</v>
      </c>
      <c r="J22" s="126" t="s">
        <v>248</v>
      </c>
      <c r="K22" s="126" t="s">
        <v>248</v>
      </c>
      <c r="L22" s="125" t="s">
        <v>248</v>
      </c>
      <c r="M22" s="125" t="s">
        <v>248</v>
      </c>
      <c r="N22" s="129" t="s">
        <v>248</v>
      </c>
      <c r="O22" s="130" t="s">
        <v>248</v>
      </c>
      <c r="P22" s="118" t="s">
        <v>248</v>
      </c>
      <c r="Q22" s="118">
        <v>0</v>
      </c>
      <c r="R22" s="131"/>
      <c r="S22" s="131">
        <v>0</v>
      </c>
      <c r="T22" s="131">
        <v>0</v>
      </c>
    </row>
    <row r="23" spans="1:20" s="113" customFormat="1" x14ac:dyDescent="0.25">
      <c r="A23" s="89" t="s">
        <v>143</v>
      </c>
      <c r="B23" s="125" t="s">
        <v>248</v>
      </c>
      <c r="C23" s="125" t="s">
        <v>248</v>
      </c>
      <c r="D23" s="125" t="s">
        <v>248</v>
      </c>
      <c r="E23" s="125" t="s">
        <v>248</v>
      </c>
      <c r="F23" s="125" t="s">
        <v>248</v>
      </c>
      <c r="G23" s="125" t="s">
        <v>248</v>
      </c>
      <c r="H23" s="125" t="s">
        <v>248</v>
      </c>
      <c r="I23" s="125" t="s">
        <v>248</v>
      </c>
      <c r="J23" s="126" t="s">
        <v>248</v>
      </c>
      <c r="K23" s="126" t="s">
        <v>248</v>
      </c>
      <c r="L23" s="125" t="s">
        <v>248</v>
      </c>
      <c r="M23" s="125" t="s">
        <v>248</v>
      </c>
      <c r="N23" s="129" t="s">
        <v>248</v>
      </c>
      <c r="O23" s="130" t="s">
        <v>248</v>
      </c>
      <c r="P23" s="118" t="s">
        <v>248</v>
      </c>
      <c r="Q23" s="118">
        <v>0</v>
      </c>
      <c r="R23" s="131"/>
      <c r="S23" s="131">
        <v>0</v>
      </c>
      <c r="T23" s="131">
        <v>0</v>
      </c>
    </row>
    <row r="24" spans="1:20" s="113" customFormat="1" x14ac:dyDescent="0.25">
      <c r="A24" s="89" t="s">
        <v>144</v>
      </c>
      <c r="B24" s="125" t="s">
        <v>248</v>
      </c>
      <c r="C24" s="125" t="s">
        <v>248</v>
      </c>
      <c r="D24" s="125" t="s">
        <v>248</v>
      </c>
      <c r="E24" s="125" t="s">
        <v>248</v>
      </c>
      <c r="F24" s="125" t="s">
        <v>248</v>
      </c>
      <c r="G24" s="125" t="s">
        <v>248</v>
      </c>
      <c r="H24" s="125" t="s">
        <v>248</v>
      </c>
      <c r="I24" s="125" t="s">
        <v>248</v>
      </c>
      <c r="J24" s="126" t="s">
        <v>248</v>
      </c>
      <c r="K24" s="126" t="s">
        <v>248</v>
      </c>
      <c r="L24" s="125" t="s">
        <v>248</v>
      </c>
      <c r="M24" s="125" t="s">
        <v>248</v>
      </c>
      <c r="N24" s="129" t="s">
        <v>248</v>
      </c>
      <c r="O24" s="130" t="s">
        <v>248</v>
      </c>
      <c r="P24" s="118" t="s">
        <v>248</v>
      </c>
      <c r="Q24" s="118">
        <v>0</v>
      </c>
      <c r="R24" s="131"/>
      <c r="S24" s="131">
        <v>0</v>
      </c>
      <c r="T24" s="131">
        <v>0</v>
      </c>
    </row>
    <row r="25" spans="1:20" s="113" customFormat="1" x14ac:dyDescent="0.25">
      <c r="A25" s="75" t="s">
        <v>241</v>
      </c>
      <c r="B25" s="119"/>
      <c r="C25" s="119"/>
      <c r="D25" s="119"/>
      <c r="E25" s="119"/>
      <c r="F25" s="119"/>
      <c r="G25" s="120"/>
      <c r="H25" s="120"/>
      <c r="I25" s="120"/>
      <c r="J25" s="121"/>
      <c r="K25" s="122"/>
      <c r="L25" s="123"/>
      <c r="M25" s="123"/>
      <c r="N25" s="123"/>
      <c r="O25" s="122"/>
      <c r="P25" s="122"/>
      <c r="Q25" s="122"/>
      <c r="R25" s="132"/>
      <c r="S25" s="132"/>
      <c r="T25" s="132"/>
    </row>
    <row r="26" spans="1:20" s="113" customFormat="1" x14ac:dyDescent="0.25">
      <c r="A26" s="75" t="s">
        <v>242</v>
      </c>
      <c r="B26" s="119"/>
      <c r="C26" s="119"/>
      <c r="D26" s="119"/>
      <c r="E26" s="119"/>
      <c r="F26" s="119"/>
      <c r="G26" s="120"/>
      <c r="H26" s="120"/>
      <c r="I26" s="120"/>
      <c r="J26" s="121"/>
      <c r="K26" s="122"/>
      <c r="L26" s="123"/>
      <c r="M26" s="123"/>
      <c r="N26" s="123"/>
      <c r="O26" s="122"/>
      <c r="P26" s="122"/>
      <c r="Q26" s="122"/>
      <c r="R26" s="132"/>
      <c r="S26" s="132"/>
      <c r="T26" s="132"/>
    </row>
    <row r="27" spans="1:20" s="113" customFormat="1" x14ac:dyDescent="0.25">
      <c r="A27" s="75" t="s">
        <v>243</v>
      </c>
      <c r="B27" s="119"/>
      <c r="C27" s="119"/>
      <c r="D27" s="119"/>
      <c r="E27" s="119"/>
      <c r="F27" s="119"/>
      <c r="G27" s="120"/>
      <c r="H27" s="120"/>
      <c r="I27" s="120"/>
      <c r="J27" s="121"/>
      <c r="K27" s="122"/>
      <c r="L27" s="123"/>
      <c r="M27" s="123"/>
      <c r="N27" s="123"/>
      <c r="O27" s="122"/>
      <c r="P27" s="122"/>
      <c r="Q27" s="122"/>
      <c r="R27" s="132"/>
      <c r="S27" s="132"/>
      <c r="T27" s="132"/>
    </row>
    <row r="28" spans="1:20" s="113" customFormat="1" x14ac:dyDescent="0.25">
      <c r="A28" s="75" t="s">
        <v>244</v>
      </c>
      <c r="B28" s="119"/>
      <c r="C28" s="119"/>
      <c r="D28" s="119"/>
      <c r="E28" s="119"/>
      <c r="F28" s="119"/>
      <c r="G28" s="120"/>
      <c r="H28" s="120"/>
      <c r="I28" s="120"/>
      <c r="J28" s="121"/>
      <c r="K28" s="122"/>
      <c r="L28" s="123"/>
      <c r="M28" s="123"/>
      <c r="N28" s="123"/>
      <c r="O28" s="122"/>
      <c r="P28" s="122"/>
      <c r="Q28" s="122"/>
      <c r="R28" s="132"/>
      <c r="S28" s="132"/>
      <c r="T28" s="132"/>
    </row>
    <row r="29" spans="1:20" s="113" customFormat="1" x14ac:dyDescent="0.25">
      <c r="A29" s="75" t="s">
        <v>245</v>
      </c>
      <c r="B29" s="119"/>
      <c r="C29" s="119"/>
      <c r="D29" s="119"/>
      <c r="E29" s="119"/>
      <c r="F29" s="119"/>
      <c r="G29" s="120"/>
      <c r="H29" s="120"/>
      <c r="I29" s="120"/>
      <c r="J29" s="121"/>
      <c r="K29" s="122"/>
      <c r="L29" s="123"/>
      <c r="M29" s="123"/>
      <c r="N29" s="123"/>
      <c r="O29" s="122"/>
      <c r="P29" s="122"/>
      <c r="Q29" s="122"/>
      <c r="R29" s="132"/>
      <c r="S29" s="132"/>
      <c r="T29" s="132"/>
    </row>
  </sheetData>
  <sortState xmlns:xlrd2="http://schemas.microsoft.com/office/spreadsheetml/2017/richdata2" ref="A12:Z15">
    <sortCondition ref="A12:A15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24 P10:Q24">
    <cfRule type="expression" dxfId="111" priority="109" stopIfTrue="1">
      <formula>#REF!&gt;0</formula>
    </cfRule>
  </conditionalFormatting>
  <conditionalFormatting sqref="B10:M24">
    <cfRule type="expression" dxfId="110" priority="111" stopIfTrue="1">
      <formula>LEFT(#REF!,3)="TIR"</formula>
    </cfRule>
  </conditionalFormatting>
  <conditionalFormatting sqref="S10:T24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11.33203125" style="57" customWidth="1"/>
    <col min="8" max="8" width="10.5546875" style="57" customWidth="1"/>
    <col min="9" max="9" width="8.88671875" style="57" bestFit="1" customWidth="1"/>
    <col min="10" max="10" width="16.5546875" style="57" bestFit="1" customWidth="1"/>
    <col min="11" max="11" width="10.44140625" style="36" customWidth="1"/>
    <col min="12" max="12" width="22.88671875" style="59" bestFit="1" customWidth="1"/>
    <col min="13" max="13" width="26.44140625" style="59" bestFit="1" customWidth="1"/>
    <col min="14" max="14" width="20.6640625" style="61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59"/>
      <c r="M1" s="59"/>
      <c r="N1" s="60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59"/>
      <c r="M2" s="59"/>
      <c r="N2" s="60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59"/>
      <c r="M3" s="59"/>
      <c r="N3" s="60"/>
      <c r="O3" s="13"/>
      <c r="P3" s="13"/>
      <c r="Q3" s="12"/>
      <c r="R3" s="12"/>
      <c r="S3" s="14"/>
    </row>
    <row r="4" spans="1:19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2"/>
      <c r="N4" s="223"/>
      <c r="O4" s="13"/>
      <c r="P4" s="13"/>
      <c r="Q4" s="12"/>
      <c r="R4" s="12"/>
      <c r="S4" s="14"/>
    </row>
    <row r="5" spans="1:19" s="7" customFormat="1" x14ac:dyDescent="0.25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9"/>
    </row>
    <row r="6" spans="1:19" s="7" customFormat="1" x14ac:dyDescent="0.25">
      <c r="A6" s="83" t="s">
        <v>157</v>
      </c>
      <c r="B6" s="197" t="s">
        <v>69</v>
      </c>
      <c r="C6" s="197" t="s">
        <v>76</v>
      </c>
      <c r="D6" s="197" t="s">
        <v>77</v>
      </c>
      <c r="E6" s="197" t="s">
        <v>74</v>
      </c>
      <c r="F6" s="197" t="s">
        <v>19</v>
      </c>
      <c r="G6" s="197" t="s">
        <v>6</v>
      </c>
      <c r="H6" s="198" t="s">
        <v>67</v>
      </c>
      <c r="I6" s="198" t="s">
        <v>68</v>
      </c>
      <c r="J6" s="198" t="s">
        <v>134</v>
      </c>
      <c r="K6" s="198" t="s">
        <v>7</v>
      </c>
      <c r="L6" s="198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7"/>
      <c r="J7" s="2" t="s">
        <v>135</v>
      </c>
      <c r="K7" s="2" t="s">
        <v>135</v>
      </c>
      <c r="L7" s="47" t="s">
        <v>9</v>
      </c>
      <c r="M7" s="51" t="s">
        <v>9</v>
      </c>
      <c r="N7" s="48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5">
        <v>12</v>
      </c>
      <c r="N8" s="43">
        <v>13</v>
      </c>
    </row>
    <row r="9" spans="1:19" s="113" customFormat="1" ht="12.75" customHeight="1" thickBot="1" x14ac:dyDescent="0.3">
      <c r="A9" s="143" t="s">
        <v>59</v>
      </c>
      <c r="B9" s="67" t="s">
        <v>248</v>
      </c>
      <c r="C9" s="67" t="s">
        <v>248</v>
      </c>
      <c r="D9" s="67" t="s">
        <v>248</v>
      </c>
      <c r="E9" s="67" t="s">
        <v>248</v>
      </c>
      <c r="F9" s="67" t="s">
        <v>248</v>
      </c>
      <c r="G9" s="144" t="s">
        <v>248</v>
      </c>
      <c r="H9" s="145" t="s">
        <v>248</v>
      </c>
      <c r="I9" s="144" t="s">
        <v>248</v>
      </c>
      <c r="J9" s="144" t="s">
        <v>248</v>
      </c>
      <c r="K9" s="103">
        <v>6.9999999999999997E-7</v>
      </c>
      <c r="L9" s="67" t="s">
        <v>248</v>
      </c>
      <c r="M9" s="67">
        <v>1</v>
      </c>
      <c r="N9" s="79">
        <v>0</v>
      </c>
    </row>
    <row r="10" spans="1:19" s="113" customFormat="1" x14ac:dyDescent="0.25">
      <c r="A10" s="88" t="s">
        <v>137</v>
      </c>
      <c r="B10" s="125" t="s">
        <v>248</v>
      </c>
      <c r="C10" s="125" t="s">
        <v>248</v>
      </c>
      <c r="D10" s="125" t="s">
        <v>248</v>
      </c>
      <c r="E10" s="125" t="s">
        <v>248</v>
      </c>
      <c r="F10" s="125" t="s">
        <v>248</v>
      </c>
      <c r="G10" s="126" t="s">
        <v>248</v>
      </c>
      <c r="H10" s="127" t="s">
        <v>248</v>
      </c>
      <c r="I10" s="116" t="s">
        <v>248</v>
      </c>
      <c r="J10" s="116" t="s">
        <v>248</v>
      </c>
      <c r="K10" s="128">
        <v>0</v>
      </c>
      <c r="L10" s="115" t="s">
        <v>248</v>
      </c>
      <c r="M10" s="115">
        <v>0</v>
      </c>
      <c r="N10" s="115">
        <v>0</v>
      </c>
    </row>
    <row r="11" spans="1:19" s="113" customFormat="1" x14ac:dyDescent="0.25">
      <c r="A11" s="89" t="s">
        <v>460</v>
      </c>
      <c r="B11" s="125" t="s">
        <v>248</v>
      </c>
      <c r="C11" s="125" t="s">
        <v>248</v>
      </c>
      <c r="D11" s="125" t="s">
        <v>248</v>
      </c>
      <c r="E11" s="125" t="s">
        <v>248</v>
      </c>
      <c r="F11" s="125" t="s">
        <v>248</v>
      </c>
      <c r="G11" s="126" t="s">
        <v>248</v>
      </c>
      <c r="H11" s="129" t="s">
        <v>248</v>
      </c>
      <c r="I11" s="116" t="s">
        <v>248</v>
      </c>
      <c r="J11" s="116" t="s">
        <v>248</v>
      </c>
      <c r="K11" s="146">
        <v>0</v>
      </c>
      <c r="L11" s="131"/>
      <c r="M11" s="115">
        <v>0</v>
      </c>
      <c r="N11" s="115">
        <v>0</v>
      </c>
    </row>
    <row r="12" spans="1:19" s="113" customFormat="1" x14ac:dyDescent="0.25">
      <c r="A12" s="89" t="s">
        <v>461</v>
      </c>
      <c r="B12" s="125" t="s">
        <v>248</v>
      </c>
      <c r="C12" s="125" t="s">
        <v>248</v>
      </c>
      <c r="D12" s="125" t="s">
        <v>248</v>
      </c>
      <c r="E12" s="125" t="s">
        <v>248</v>
      </c>
      <c r="F12" s="125" t="s">
        <v>248</v>
      </c>
      <c r="G12" s="126" t="s">
        <v>248</v>
      </c>
      <c r="H12" s="129" t="s">
        <v>248</v>
      </c>
      <c r="I12" s="116" t="s">
        <v>248</v>
      </c>
      <c r="J12" s="129" t="s">
        <v>248</v>
      </c>
      <c r="K12" s="146">
        <v>0</v>
      </c>
      <c r="L12" s="131"/>
      <c r="M12" s="115">
        <v>0</v>
      </c>
      <c r="N12" s="115">
        <v>0</v>
      </c>
    </row>
    <row r="13" spans="1:19" s="113" customFormat="1" x14ac:dyDescent="0.25">
      <c r="A13" s="89" t="s">
        <v>462</v>
      </c>
      <c r="B13" s="125" t="s">
        <v>248</v>
      </c>
      <c r="C13" s="125" t="s">
        <v>248</v>
      </c>
      <c r="D13" s="125" t="s">
        <v>248</v>
      </c>
      <c r="E13" s="125" t="s">
        <v>248</v>
      </c>
      <c r="F13" s="125" t="s">
        <v>248</v>
      </c>
      <c r="G13" s="126" t="s">
        <v>248</v>
      </c>
      <c r="H13" s="129" t="s">
        <v>248</v>
      </c>
      <c r="I13" s="116" t="s">
        <v>248</v>
      </c>
      <c r="J13" s="116" t="s">
        <v>248</v>
      </c>
      <c r="K13" s="146">
        <v>0</v>
      </c>
      <c r="L13" s="131"/>
      <c r="M13" s="115">
        <v>0</v>
      </c>
      <c r="N13" s="115">
        <v>0</v>
      </c>
    </row>
    <row r="14" spans="1:19" s="113" customFormat="1" x14ac:dyDescent="0.25">
      <c r="A14" s="89" t="s">
        <v>463</v>
      </c>
      <c r="B14" s="125" t="s">
        <v>248</v>
      </c>
      <c r="C14" s="125" t="s">
        <v>248</v>
      </c>
      <c r="D14" s="125" t="s">
        <v>248</v>
      </c>
      <c r="E14" s="125" t="s">
        <v>248</v>
      </c>
      <c r="F14" s="125" t="s">
        <v>248</v>
      </c>
      <c r="G14" s="126" t="s">
        <v>248</v>
      </c>
      <c r="H14" s="129" t="s">
        <v>248</v>
      </c>
      <c r="I14" s="116" t="s">
        <v>248</v>
      </c>
      <c r="J14" s="116" t="s">
        <v>248</v>
      </c>
      <c r="K14" s="146">
        <v>0</v>
      </c>
      <c r="L14" s="131"/>
      <c r="M14" s="115">
        <v>0</v>
      </c>
      <c r="N14" s="115">
        <v>0</v>
      </c>
    </row>
    <row r="15" spans="1:19" s="113" customFormat="1" x14ac:dyDescent="0.25">
      <c r="A15" s="89" t="s">
        <v>464</v>
      </c>
      <c r="B15" s="125" t="s">
        <v>248</v>
      </c>
      <c r="C15" s="125" t="s">
        <v>248</v>
      </c>
      <c r="D15" s="125" t="s">
        <v>248</v>
      </c>
      <c r="E15" s="125" t="s">
        <v>248</v>
      </c>
      <c r="F15" s="125" t="s">
        <v>248</v>
      </c>
      <c r="G15" s="126" t="s">
        <v>248</v>
      </c>
      <c r="H15" s="129" t="s">
        <v>248</v>
      </c>
      <c r="I15" s="116" t="s">
        <v>248</v>
      </c>
      <c r="J15" s="116" t="s">
        <v>248</v>
      </c>
      <c r="K15" s="146">
        <v>0</v>
      </c>
      <c r="L15" s="131"/>
      <c r="M15" s="115">
        <v>0</v>
      </c>
      <c r="N15" s="115">
        <v>0</v>
      </c>
    </row>
    <row r="16" spans="1:19" s="113" customFormat="1" x14ac:dyDescent="0.25">
      <c r="A16" s="89" t="s">
        <v>465</v>
      </c>
      <c r="B16" s="125" t="s">
        <v>248</v>
      </c>
      <c r="C16" s="125" t="s">
        <v>248</v>
      </c>
      <c r="D16" s="125" t="s">
        <v>248</v>
      </c>
      <c r="E16" s="125" t="s">
        <v>248</v>
      </c>
      <c r="F16" s="125" t="s">
        <v>248</v>
      </c>
      <c r="G16" s="126" t="s">
        <v>248</v>
      </c>
      <c r="H16" s="129" t="s">
        <v>248</v>
      </c>
      <c r="I16" s="116" t="s">
        <v>248</v>
      </c>
      <c r="J16" s="116" t="s">
        <v>248</v>
      </c>
      <c r="K16" s="146">
        <v>0</v>
      </c>
      <c r="L16" s="131"/>
      <c r="M16" s="115">
        <v>0</v>
      </c>
      <c r="N16" s="115">
        <v>0</v>
      </c>
    </row>
    <row r="17" spans="1:18" s="113" customFormat="1" x14ac:dyDescent="0.25">
      <c r="A17" s="89" t="s">
        <v>414</v>
      </c>
      <c r="B17" s="125" t="s">
        <v>248</v>
      </c>
      <c r="C17" s="125" t="s">
        <v>248</v>
      </c>
      <c r="D17" s="125" t="s">
        <v>248</v>
      </c>
      <c r="E17" s="125" t="s">
        <v>248</v>
      </c>
      <c r="F17" s="125" t="s">
        <v>248</v>
      </c>
      <c r="G17" s="126" t="s">
        <v>248</v>
      </c>
      <c r="H17" s="129" t="s">
        <v>248</v>
      </c>
      <c r="I17" s="116" t="s">
        <v>248</v>
      </c>
      <c r="J17" s="116" t="s">
        <v>248</v>
      </c>
      <c r="K17" s="146">
        <v>0</v>
      </c>
      <c r="L17" s="131"/>
      <c r="M17" s="115">
        <v>0</v>
      </c>
      <c r="N17" s="115">
        <v>0</v>
      </c>
    </row>
    <row r="18" spans="1:18" s="113" customFormat="1" x14ac:dyDescent="0.25">
      <c r="A18" s="89" t="s">
        <v>143</v>
      </c>
      <c r="B18" s="125" t="s">
        <v>248</v>
      </c>
      <c r="C18" s="125" t="s">
        <v>248</v>
      </c>
      <c r="D18" s="125" t="s">
        <v>248</v>
      </c>
      <c r="E18" s="125" t="s">
        <v>248</v>
      </c>
      <c r="F18" s="125" t="s">
        <v>248</v>
      </c>
      <c r="G18" s="126" t="s">
        <v>248</v>
      </c>
      <c r="H18" s="129" t="s">
        <v>248</v>
      </c>
      <c r="I18" s="116" t="s">
        <v>248</v>
      </c>
      <c r="J18" s="116" t="s">
        <v>248</v>
      </c>
      <c r="K18" s="146">
        <v>0</v>
      </c>
      <c r="L18" s="131"/>
      <c r="M18" s="115">
        <v>0</v>
      </c>
      <c r="N18" s="115">
        <v>0</v>
      </c>
    </row>
    <row r="19" spans="1:18" s="113" customFormat="1" x14ac:dyDescent="0.25">
      <c r="A19" s="89" t="s">
        <v>144</v>
      </c>
      <c r="B19" s="125" t="s">
        <v>248</v>
      </c>
      <c r="C19" s="125" t="s">
        <v>248</v>
      </c>
      <c r="D19" s="125" t="s">
        <v>248</v>
      </c>
      <c r="E19" s="125" t="s">
        <v>248</v>
      </c>
      <c r="F19" s="125" t="s">
        <v>248</v>
      </c>
      <c r="G19" s="126" t="s">
        <v>248</v>
      </c>
      <c r="H19" s="129" t="s">
        <v>248</v>
      </c>
      <c r="I19" s="116" t="s">
        <v>248</v>
      </c>
      <c r="J19" s="116" t="s">
        <v>248</v>
      </c>
      <c r="K19" s="146">
        <v>0</v>
      </c>
      <c r="L19" s="131"/>
      <c r="M19" s="115">
        <v>0</v>
      </c>
      <c r="N19" s="115">
        <v>0</v>
      </c>
    </row>
    <row r="20" spans="1:18" s="113" customFormat="1" x14ac:dyDescent="0.25">
      <c r="A20" s="75" t="s">
        <v>241</v>
      </c>
      <c r="B20" s="119"/>
      <c r="C20" s="119"/>
      <c r="D20" s="119"/>
      <c r="E20" s="119"/>
      <c r="F20" s="119"/>
      <c r="G20" s="120"/>
      <c r="H20" s="120"/>
      <c r="I20" s="120"/>
      <c r="J20" s="120"/>
      <c r="K20" s="121"/>
      <c r="L20" s="122"/>
      <c r="M20" s="122"/>
      <c r="N20" s="123"/>
      <c r="O20" s="142"/>
      <c r="P20" s="142"/>
      <c r="Q20" s="124"/>
      <c r="R20" s="124"/>
    </row>
    <row r="21" spans="1:18" s="113" customFormat="1" x14ac:dyDescent="0.25">
      <c r="A21" s="75" t="s">
        <v>242</v>
      </c>
      <c r="B21" s="119"/>
      <c r="C21" s="119"/>
      <c r="D21" s="119"/>
      <c r="E21" s="119"/>
      <c r="F21" s="119"/>
      <c r="G21" s="120"/>
      <c r="H21" s="120"/>
      <c r="I21" s="120"/>
      <c r="J21" s="120"/>
      <c r="K21" s="121"/>
      <c r="L21" s="122"/>
      <c r="M21" s="122"/>
      <c r="N21" s="123"/>
      <c r="O21" s="142"/>
      <c r="P21" s="142"/>
      <c r="Q21" s="124"/>
      <c r="R21" s="124"/>
    </row>
    <row r="22" spans="1:18" s="113" customFormat="1" x14ac:dyDescent="0.25">
      <c r="A22" s="75" t="s">
        <v>243</v>
      </c>
      <c r="B22" s="119"/>
      <c r="C22" s="119"/>
      <c r="D22" s="119"/>
      <c r="E22" s="119"/>
      <c r="F22" s="119"/>
      <c r="G22" s="120"/>
      <c r="H22" s="120"/>
      <c r="I22" s="120"/>
      <c r="J22" s="120"/>
      <c r="K22" s="121"/>
      <c r="L22" s="122"/>
      <c r="M22" s="122"/>
      <c r="N22" s="123"/>
      <c r="O22" s="142"/>
      <c r="P22" s="142"/>
      <c r="Q22" s="124"/>
      <c r="R22" s="124"/>
    </row>
    <row r="23" spans="1:18" s="113" customFormat="1" x14ac:dyDescent="0.25">
      <c r="A23" s="75" t="s">
        <v>244</v>
      </c>
      <c r="B23" s="119"/>
      <c r="C23" s="119"/>
      <c r="D23" s="119"/>
      <c r="E23" s="119"/>
      <c r="F23" s="119"/>
      <c r="G23" s="120"/>
      <c r="H23" s="120"/>
      <c r="I23" s="120"/>
      <c r="J23" s="120"/>
      <c r="K23" s="121"/>
      <c r="L23" s="122"/>
      <c r="M23" s="122"/>
      <c r="N23" s="123"/>
      <c r="O23" s="142"/>
      <c r="P23" s="142"/>
      <c r="Q23" s="124"/>
      <c r="R23" s="124"/>
    </row>
    <row r="24" spans="1:18" s="113" customFormat="1" x14ac:dyDescent="0.25">
      <c r="A24" s="75" t="s">
        <v>245</v>
      </c>
      <c r="B24" s="119"/>
      <c r="C24" s="119"/>
      <c r="D24" s="119"/>
      <c r="E24" s="119"/>
      <c r="F24" s="119"/>
      <c r="G24" s="120"/>
      <c r="H24" s="120"/>
      <c r="I24" s="120"/>
      <c r="J24" s="120"/>
      <c r="K24" s="121"/>
      <c r="L24" s="122"/>
      <c r="M24" s="122"/>
      <c r="N24" s="123"/>
      <c r="O24" s="142"/>
      <c r="P24" s="142"/>
      <c r="Q24" s="124"/>
      <c r="R24" s="124"/>
    </row>
  </sheetData>
  <mergeCells count="2">
    <mergeCell ref="A5:N5"/>
    <mergeCell ref="A4:N4"/>
  </mergeCells>
  <phoneticPr fontId="3" type="noConversion"/>
  <conditionalFormatting sqref="A9:A19 K9:K19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19 M9:N19">
    <cfRule type="expression" dxfId="106" priority="119" stopIfTrue="1">
      <formula>LEFT(#REF!,3)="TIR"</formula>
    </cfRule>
  </conditionalFormatting>
  <conditionalFormatting sqref="L9:M55554 L1:M3 H9:J19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90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6640625" style="8" bestFit="1" customWidth="1"/>
    <col min="7" max="7" width="12.44140625" style="57" bestFit="1" customWidth="1"/>
    <col min="8" max="8" width="10.33203125" style="57" bestFit="1" customWidth="1"/>
    <col min="9" max="9" width="16.5546875" style="57" bestFit="1" customWidth="1"/>
    <col min="10" max="10" width="11.33203125" style="57" bestFit="1" customWidth="1"/>
    <col min="11" max="11" width="22.88671875" style="36" bestFit="1" customWidth="1"/>
    <col min="12" max="12" width="26.44140625" style="36" bestFit="1" customWidth="1"/>
    <col min="13" max="13" width="20.6640625" style="59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36"/>
      <c r="M1" s="59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36"/>
      <c r="M2" s="59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36"/>
      <c r="M3" s="59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6"/>
      <c r="N4" s="13"/>
      <c r="O4" s="13"/>
      <c r="P4" s="13"/>
      <c r="Q4" s="12"/>
      <c r="R4" s="12"/>
      <c r="S4" s="14"/>
    </row>
    <row r="5" spans="1:19" s="7" customFormat="1" x14ac:dyDescent="0.25">
      <c r="A5" s="217" t="s">
        <v>158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9"/>
      <c r="N5" s="13"/>
    </row>
    <row r="6" spans="1:19" s="7" customFormat="1" x14ac:dyDescent="0.25">
      <c r="A6" s="83" t="s">
        <v>157</v>
      </c>
      <c r="B6" s="197" t="s">
        <v>69</v>
      </c>
      <c r="C6" s="197" t="s">
        <v>76</v>
      </c>
      <c r="D6" s="197" t="s">
        <v>74</v>
      </c>
      <c r="E6" s="197" t="s">
        <v>19</v>
      </c>
      <c r="F6" s="197" t="s">
        <v>6</v>
      </c>
      <c r="G6" s="198" t="s">
        <v>67</v>
      </c>
      <c r="H6" s="198" t="s">
        <v>68</v>
      </c>
      <c r="I6" s="198" t="s">
        <v>134</v>
      </c>
      <c r="J6" s="198" t="s">
        <v>7</v>
      </c>
      <c r="K6" s="198" t="s">
        <v>17</v>
      </c>
      <c r="L6" s="86" t="s">
        <v>75</v>
      </c>
      <c r="M6" s="87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6"/>
      <c r="I7" s="2" t="s">
        <v>135</v>
      </c>
      <c r="J7" s="2" t="s">
        <v>135</v>
      </c>
      <c r="K7" s="46" t="s">
        <v>9</v>
      </c>
      <c r="L7" s="46" t="s">
        <v>9</v>
      </c>
      <c r="M7" s="52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5">
        <v>11</v>
      </c>
      <c r="M8" s="43">
        <v>12</v>
      </c>
    </row>
    <row r="9" spans="1:19" s="113" customFormat="1" ht="12.75" customHeight="1" thickBot="1" x14ac:dyDescent="0.3">
      <c r="A9" s="143" t="s">
        <v>159</v>
      </c>
      <c r="B9" s="67"/>
      <c r="C9" s="67"/>
      <c r="D9" s="67"/>
      <c r="E9" s="67"/>
      <c r="F9" s="144"/>
      <c r="G9" s="145"/>
      <c r="H9" s="144"/>
      <c r="I9" s="147" t="s">
        <v>248</v>
      </c>
      <c r="J9" s="103">
        <v>68513.151700999981</v>
      </c>
      <c r="K9" s="67" t="s">
        <v>248</v>
      </c>
      <c r="L9" s="67">
        <v>1</v>
      </c>
      <c r="M9" s="79">
        <v>0.68011996009013254</v>
      </c>
    </row>
    <row r="10" spans="1:19" s="113" customFormat="1" x14ac:dyDescent="0.25">
      <c r="A10" s="88" t="s">
        <v>137</v>
      </c>
      <c r="B10" s="125" t="s">
        <v>248</v>
      </c>
      <c r="C10" s="125" t="s">
        <v>248</v>
      </c>
      <c r="D10" s="125" t="s">
        <v>248</v>
      </c>
      <c r="E10" s="125" t="s">
        <v>248</v>
      </c>
      <c r="F10" s="125" t="s">
        <v>248</v>
      </c>
      <c r="G10" s="127" t="s">
        <v>248</v>
      </c>
      <c r="H10" s="116" t="s">
        <v>248</v>
      </c>
      <c r="I10" s="117" t="s">
        <v>248</v>
      </c>
      <c r="J10" s="148">
        <v>41357.261840599989</v>
      </c>
      <c r="K10" s="115" t="s">
        <v>248</v>
      </c>
      <c r="L10" s="115">
        <v>0.60363975111068158</v>
      </c>
      <c r="M10" s="115">
        <v>0.41054744343421418</v>
      </c>
    </row>
    <row r="11" spans="1:19" s="113" customFormat="1" x14ac:dyDescent="0.25">
      <c r="A11" s="89" t="s">
        <v>466</v>
      </c>
      <c r="B11" s="125" t="s">
        <v>248</v>
      </c>
      <c r="C11" s="125" t="s">
        <v>248</v>
      </c>
      <c r="D11" s="125" t="s">
        <v>248</v>
      </c>
      <c r="E11" s="125" t="s">
        <v>248</v>
      </c>
      <c r="F11" s="125" t="s">
        <v>248</v>
      </c>
      <c r="G11" s="129" t="s">
        <v>248</v>
      </c>
      <c r="H11" s="116" t="s">
        <v>248</v>
      </c>
      <c r="I11" s="118" t="s">
        <v>248</v>
      </c>
      <c r="J11" s="118">
        <v>15571.251620100003</v>
      </c>
      <c r="K11" s="131"/>
      <c r="L11" s="115">
        <v>0.22727390630130265</v>
      </c>
      <c r="M11" s="115">
        <v>0.15457352008317046</v>
      </c>
    </row>
    <row r="12" spans="1:19" x14ac:dyDescent="0.25">
      <c r="A12" s="16" t="s">
        <v>471</v>
      </c>
      <c r="B12" s="111" t="s">
        <v>472</v>
      </c>
      <c r="C12" s="111" t="s">
        <v>326</v>
      </c>
      <c r="D12" s="111" t="s">
        <v>473</v>
      </c>
      <c r="E12" s="111" t="s">
        <v>470</v>
      </c>
      <c r="F12" s="111" t="s">
        <v>254</v>
      </c>
      <c r="G12" s="66">
        <v>203026</v>
      </c>
      <c r="H12" s="63">
        <v>1747</v>
      </c>
      <c r="I12" s="81">
        <v>0</v>
      </c>
      <c r="J12" s="81">
        <v>3546.8642200000004</v>
      </c>
      <c r="K12" s="24">
        <v>1.5137027353728126E-2</v>
      </c>
      <c r="L12" s="32">
        <v>5.1769100266748233E-2</v>
      </c>
      <c r="M12" s="32">
        <v>3.5209198407322874E-2</v>
      </c>
      <c r="N12" s="14"/>
      <c r="O12" s="14"/>
      <c r="P12" s="14"/>
      <c r="Q12" s="14"/>
      <c r="R12" s="14"/>
    </row>
    <row r="13" spans="1:19" x14ac:dyDescent="0.25">
      <c r="A13" s="16" t="s">
        <v>480</v>
      </c>
      <c r="B13" s="111" t="s">
        <v>481</v>
      </c>
      <c r="C13" s="111" t="s">
        <v>326</v>
      </c>
      <c r="D13" s="111" t="s">
        <v>482</v>
      </c>
      <c r="E13" s="111" t="s">
        <v>470</v>
      </c>
      <c r="F13" s="111" t="s">
        <v>254</v>
      </c>
      <c r="G13" s="66">
        <v>6384</v>
      </c>
      <c r="H13" s="63">
        <v>2744</v>
      </c>
      <c r="I13" s="81">
        <v>0</v>
      </c>
      <c r="J13" s="81">
        <v>175.17695999999998</v>
      </c>
      <c r="K13" s="24">
        <v>1.5037668369946428E-3</v>
      </c>
      <c r="L13" s="32">
        <v>2.5568369816716986E-3</v>
      </c>
      <c r="M13" s="32">
        <v>1.7389558659315304E-3</v>
      </c>
      <c r="N13" s="14"/>
      <c r="O13" s="14"/>
      <c r="P13" s="14"/>
      <c r="Q13" s="14"/>
      <c r="R13" s="14"/>
    </row>
    <row r="14" spans="1:19" x14ac:dyDescent="0.25">
      <c r="A14" s="16" t="s">
        <v>477</v>
      </c>
      <c r="B14" s="111" t="s">
        <v>478</v>
      </c>
      <c r="C14" s="111" t="s">
        <v>326</v>
      </c>
      <c r="D14" s="111" t="s">
        <v>479</v>
      </c>
      <c r="E14" s="111" t="s">
        <v>470</v>
      </c>
      <c r="F14" s="111" t="s">
        <v>254</v>
      </c>
      <c r="G14" s="66">
        <v>253795</v>
      </c>
      <c r="H14" s="63">
        <v>1754</v>
      </c>
      <c r="I14" s="81">
        <v>0</v>
      </c>
      <c r="J14" s="81">
        <v>4451.5643</v>
      </c>
      <c r="K14" s="24">
        <v>1.4799084188039073E-2</v>
      </c>
      <c r="L14" s="32">
        <v>6.4973865447428072E-2</v>
      </c>
      <c r="M14" s="32">
        <v>4.4190022775006416E-2</v>
      </c>
      <c r="N14" s="14"/>
      <c r="O14" s="14"/>
      <c r="P14" s="14"/>
      <c r="Q14" s="14"/>
      <c r="R14" s="14"/>
    </row>
    <row r="15" spans="1:19" x14ac:dyDescent="0.25">
      <c r="A15" s="16" t="s">
        <v>467</v>
      </c>
      <c r="B15" s="111" t="s">
        <v>468</v>
      </c>
      <c r="C15" s="111" t="s">
        <v>326</v>
      </c>
      <c r="D15" s="111" t="s">
        <v>469</v>
      </c>
      <c r="E15" s="111" t="s">
        <v>470</v>
      </c>
      <c r="F15" s="111" t="s">
        <v>254</v>
      </c>
      <c r="G15" s="66">
        <v>230376</v>
      </c>
      <c r="H15" s="63">
        <v>1739</v>
      </c>
      <c r="I15" s="81">
        <v>0</v>
      </c>
      <c r="J15" s="81">
        <v>4006.23864</v>
      </c>
      <c r="K15" s="24">
        <v>1.8799434750474749E-2</v>
      </c>
      <c r="L15" s="32">
        <v>5.8474008865972628E-2</v>
      </c>
      <c r="M15" s="32">
        <v>3.9769340576235351E-2</v>
      </c>
      <c r="N15" s="14"/>
      <c r="O15" s="14"/>
      <c r="P15" s="14"/>
      <c r="Q15" s="14"/>
      <c r="R15" s="14"/>
    </row>
    <row r="16" spans="1:19" x14ac:dyDescent="0.25">
      <c r="A16" s="16" t="s">
        <v>474</v>
      </c>
      <c r="B16" s="111" t="s">
        <v>475</v>
      </c>
      <c r="C16" s="111" t="s">
        <v>326</v>
      </c>
      <c r="D16" s="111" t="s">
        <v>476</v>
      </c>
      <c r="E16" s="111" t="s">
        <v>470</v>
      </c>
      <c r="F16" s="111" t="s">
        <v>254</v>
      </c>
      <c r="G16" s="66">
        <v>19435</v>
      </c>
      <c r="H16" s="63">
        <v>17450</v>
      </c>
      <c r="I16" s="81">
        <v>0</v>
      </c>
      <c r="J16" s="81">
        <v>3391.4074999999998</v>
      </c>
      <c r="K16" s="24">
        <v>1.1336955792580667E-2</v>
      </c>
      <c r="L16" s="32">
        <v>4.9500094738022409E-2</v>
      </c>
      <c r="M16" s="32">
        <v>3.3666002457681574E-2</v>
      </c>
      <c r="N16" s="14"/>
      <c r="O16" s="14"/>
      <c r="P16" s="14"/>
      <c r="Q16" s="14"/>
      <c r="R16" s="14"/>
    </row>
    <row r="17" spans="1:18" s="113" customFormat="1" x14ac:dyDescent="0.25">
      <c r="A17" s="89" t="s">
        <v>483</v>
      </c>
      <c r="B17" s="125" t="s">
        <v>248</v>
      </c>
      <c r="C17" s="125" t="s">
        <v>248</v>
      </c>
      <c r="D17" s="125" t="s">
        <v>248</v>
      </c>
      <c r="E17" s="125" t="s">
        <v>248</v>
      </c>
      <c r="F17" s="125" t="s">
        <v>248</v>
      </c>
      <c r="G17" s="129" t="s">
        <v>248</v>
      </c>
      <c r="H17" s="116" t="s">
        <v>248</v>
      </c>
      <c r="I17" s="118" t="s">
        <v>248</v>
      </c>
      <c r="J17" s="118">
        <v>0</v>
      </c>
      <c r="K17" s="131"/>
      <c r="L17" s="115">
        <v>0</v>
      </c>
      <c r="M17" s="115">
        <v>0</v>
      </c>
    </row>
    <row r="18" spans="1:18" s="113" customFormat="1" x14ac:dyDescent="0.25">
      <c r="A18" s="89" t="s">
        <v>484</v>
      </c>
      <c r="B18" s="125" t="s">
        <v>248</v>
      </c>
      <c r="C18" s="125" t="s">
        <v>248</v>
      </c>
      <c r="D18" s="125" t="s">
        <v>248</v>
      </c>
      <c r="E18" s="125" t="s">
        <v>248</v>
      </c>
      <c r="F18" s="125" t="s">
        <v>248</v>
      </c>
      <c r="G18" s="129" t="s">
        <v>248</v>
      </c>
      <c r="H18" s="116" t="s">
        <v>248</v>
      </c>
      <c r="I18" s="118" t="s">
        <v>248</v>
      </c>
      <c r="J18" s="118">
        <v>25786.010220099997</v>
      </c>
      <c r="K18" s="131"/>
      <c r="L18" s="115">
        <v>0.37636584480354068</v>
      </c>
      <c r="M18" s="115">
        <v>0.25597392334707308</v>
      </c>
    </row>
    <row r="19" spans="1:18" x14ac:dyDescent="0.25">
      <c r="A19" s="16" t="s">
        <v>494</v>
      </c>
      <c r="B19" s="111" t="s">
        <v>495</v>
      </c>
      <c r="C19" s="111" t="s">
        <v>326</v>
      </c>
      <c r="D19" s="111" t="s">
        <v>473</v>
      </c>
      <c r="E19" s="111" t="s">
        <v>487</v>
      </c>
      <c r="F19" s="111" t="s">
        <v>254</v>
      </c>
      <c r="G19" s="66">
        <v>1957374</v>
      </c>
      <c r="H19" s="63">
        <v>355.06</v>
      </c>
      <c r="I19" s="81">
        <v>0</v>
      </c>
      <c r="J19" s="81">
        <v>6949.8521100000007</v>
      </c>
      <c r="K19" s="24">
        <v>1.6580843384018381E-2</v>
      </c>
      <c r="L19" s="32">
        <v>0.10143821934115702</v>
      </c>
      <c r="M19" s="32">
        <v>6.8990157689921811E-2</v>
      </c>
      <c r="N19" s="14"/>
      <c r="O19" s="14"/>
      <c r="P19" s="14"/>
      <c r="Q19" s="14"/>
      <c r="R19" s="14"/>
    </row>
    <row r="20" spans="1:18" x14ac:dyDescent="0.25">
      <c r="A20" s="16" t="s">
        <v>502</v>
      </c>
      <c r="B20" s="111" t="s">
        <v>503</v>
      </c>
      <c r="C20" s="111" t="s">
        <v>326</v>
      </c>
      <c r="D20" s="111" t="s">
        <v>473</v>
      </c>
      <c r="E20" s="111" t="s">
        <v>487</v>
      </c>
      <c r="F20" s="111" t="s">
        <v>254</v>
      </c>
      <c r="G20" s="66">
        <v>229145</v>
      </c>
      <c r="H20" s="63">
        <v>367.3</v>
      </c>
      <c r="I20" s="81">
        <v>0</v>
      </c>
      <c r="J20" s="81">
        <v>841.64958000000001</v>
      </c>
      <c r="K20" s="24">
        <v>7.4185751123405277E-3</v>
      </c>
      <c r="L20" s="32">
        <v>1.2284496612753486E-2</v>
      </c>
      <c r="M20" s="32">
        <v>8.3549313459932682E-3</v>
      </c>
      <c r="N20" s="14"/>
      <c r="O20" s="14"/>
      <c r="P20" s="14"/>
      <c r="Q20" s="14"/>
      <c r="R20" s="14"/>
    </row>
    <row r="21" spans="1:18" x14ac:dyDescent="0.25">
      <c r="A21" s="16" t="s">
        <v>488</v>
      </c>
      <c r="B21" s="111" t="s">
        <v>489</v>
      </c>
      <c r="C21" s="111" t="s">
        <v>326</v>
      </c>
      <c r="D21" s="111" t="s">
        <v>479</v>
      </c>
      <c r="E21" s="111" t="s">
        <v>487</v>
      </c>
      <c r="F21" s="111" t="s">
        <v>254</v>
      </c>
      <c r="G21" s="66">
        <v>46857</v>
      </c>
      <c r="H21" s="63">
        <v>3632.5000000000005</v>
      </c>
      <c r="I21" s="81">
        <v>0</v>
      </c>
      <c r="J21" s="81">
        <v>1702.08052</v>
      </c>
      <c r="K21" s="24">
        <v>1.5084563955434912E-2</v>
      </c>
      <c r="L21" s="32">
        <v>2.4843121032120868E-2</v>
      </c>
      <c r="M21" s="32">
        <v>1.6896302484880374E-2</v>
      </c>
      <c r="N21" s="14"/>
      <c r="O21" s="14"/>
      <c r="P21" s="14"/>
      <c r="Q21" s="14"/>
      <c r="R21" s="14"/>
    </row>
    <row r="22" spans="1:18" x14ac:dyDescent="0.25">
      <c r="A22" s="16" t="s">
        <v>490</v>
      </c>
      <c r="B22" s="111" t="s">
        <v>491</v>
      </c>
      <c r="C22" s="111" t="s">
        <v>326</v>
      </c>
      <c r="D22" s="111" t="s">
        <v>479</v>
      </c>
      <c r="E22" s="111" t="s">
        <v>487</v>
      </c>
      <c r="F22" s="111" t="s">
        <v>254</v>
      </c>
      <c r="G22" s="66">
        <v>21488</v>
      </c>
      <c r="H22" s="63">
        <v>3585.87</v>
      </c>
      <c r="I22" s="81">
        <v>0</v>
      </c>
      <c r="J22" s="81">
        <v>770.53174000000001</v>
      </c>
      <c r="K22" s="24">
        <v>2.9273848350348894E-2</v>
      </c>
      <c r="L22" s="32">
        <v>1.1246479265217539E-2</v>
      </c>
      <c r="M22" s="32">
        <v>7.6489550290142552E-3</v>
      </c>
      <c r="N22" s="14"/>
      <c r="O22" s="14"/>
      <c r="P22" s="14"/>
      <c r="Q22" s="14"/>
      <c r="R22" s="14"/>
    </row>
    <row r="23" spans="1:18" x14ac:dyDescent="0.25">
      <c r="A23" s="16" t="s">
        <v>500</v>
      </c>
      <c r="B23" s="111" t="s">
        <v>501</v>
      </c>
      <c r="C23" s="111" t="s">
        <v>326</v>
      </c>
      <c r="D23" s="111" t="s">
        <v>479</v>
      </c>
      <c r="E23" s="111" t="s">
        <v>487</v>
      </c>
      <c r="F23" s="111" t="s">
        <v>254</v>
      </c>
      <c r="G23" s="66">
        <v>638183</v>
      </c>
      <c r="H23" s="63">
        <v>369.27</v>
      </c>
      <c r="I23" s="81">
        <v>0</v>
      </c>
      <c r="J23" s="81">
        <v>2356.6183599999999</v>
      </c>
      <c r="K23" s="24">
        <v>1.6618729650986184E-2</v>
      </c>
      <c r="L23" s="32">
        <v>3.4396583743287412E-2</v>
      </c>
      <c r="M23" s="32">
        <v>2.3393803162721532E-2</v>
      </c>
      <c r="N23" s="14"/>
      <c r="O23" s="14"/>
      <c r="P23" s="14"/>
      <c r="Q23" s="14"/>
      <c r="R23" s="14"/>
    </row>
    <row r="24" spans="1:18" x14ac:dyDescent="0.25">
      <c r="A24" s="16" t="s">
        <v>485</v>
      </c>
      <c r="B24" s="111" t="s">
        <v>486</v>
      </c>
      <c r="C24" s="111" t="s">
        <v>326</v>
      </c>
      <c r="D24" s="111" t="s">
        <v>469</v>
      </c>
      <c r="E24" s="111" t="s">
        <v>487</v>
      </c>
      <c r="F24" s="111" t="s">
        <v>254</v>
      </c>
      <c r="G24" s="66">
        <v>1648466</v>
      </c>
      <c r="H24" s="63">
        <v>345.1</v>
      </c>
      <c r="I24" s="81">
        <v>0</v>
      </c>
      <c r="J24" s="81">
        <v>5688.8561600000003</v>
      </c>
      <c r="K24" s="24">
        <v>1.4842250142694724E-2</v>
      </c>
      <c r="L24" s="32">
        <v>8.3033053052746497E-2</v>
      </c>
      <c r="M24" s="32">
        <v>5.6472436728395803E-2</v>
      </c>
      <c r="N24" s="14"/>
      <c r="O24" s="14"/>
      <c r="P24" s="14"/>
      <c r="Q24" s="14"/>
      <c r="R24" s="14"/>
    </row>
    <row r="25" spans="1:18" x14ac:dyDescent="0.25">
      <c r="A25" s="16" t="s">
        <v>498</v>
      </c>
      <c r="B25" s="111" t="s">
        <v>499</v>
      </c>
      <c r="C25" s="111" t="s">
        <v>326</v>
      </c>
      <c r="D25" s="111" t="s">
        <v>469</v>
      </c>
      <c r="E25" s="111" t="s">
        <v>487</v>
      </c>
      <c r="F25" s="111" t="s">
        <v>254</v>
      </c>
      <c r="G25" s="66">
        <v>347535</v>
      </c>
      <c r="H25" s="63">
        <v>365.44</v>
      </c>
      <c r="I25" s="81">
        <v>0</v>
      </c>
      <c r="J25" s="81">
        <v>1270.0319</v>
      </c>
      <c r="K25" s="24">
        <v>1.9154820121283271E-2</v>
      </c>
      <c r="L25" s="32">
        <v>1.8537052645637719E-2</v>
      </c>
      <c r="M25" s="32">
        <v>1.260741950553981E-2</v>
      </c>
      <c r="N25" s="14"/>
      <c r="O25" s="14"/>
      <c r="P25" s="14"/>
      <c r="Q25" s="14"/>
      <c r="R25" s="14"/>
    </row>
    <row r="26" spans="1:18" x14ac:dyDescent="0.25">
      <c r="A26" s="16" t="s">
        <v>492</v>
      </c>
      <c r="B26" s="111" t="s">
        <v>493</v>
      </c>
      <c r="C26" s="111" t="s">
        <v>326</v>
      </c>
      <c r="D26" s="111" t="s">
        <v>476</v>
      </c>
      <c r="E26" s="111" t="s">
        <v>487</v>
      </c>
      <c r="F26" s="111" t="s">
        <v>254</v>
      </c>
      <c r="G26" s="66">
        <v>3964307</v>
      </c>
      <c r="H26" s="63">
        <v>105.45</v>
      </c>
      <c r="I26" s="81">
        <v>0</v>
      </c>
      <c r="J26" s="81">
        <v>4180.3617199999999</v>
      </c>
      <c r="K26" s="24">
        <v>1.6334066576141854E-2</v>
      </c>
      <c r="L26" s="32">
        <v>6.1015463691462116E-2</v>
      </c>
      <c r="M26" s="32">
        <v>4.1497834730718136E-2</v>
      </c>
      <c r="N26" s="14"/>
      <c r="O26" s="14"/>
      <c r="P26" s="14"/>
      <c r="Q26" s="14"/>
      <c r="R26" s="14"/>
    </row>
    <row r="27" spans="1:18" x14ac:dyDescent="0.25">
      <c r="A27" s="16" t="s">
        <v>496</v>
      </c>
      <c r="B27" s="111" t="s">
        <v>497</v>
      </c>
      <c r="C27" s="111" t="s">
        <v>326</v>
      </c>
      <c r="D27" s="111" t="s">
        <v>476</v>
      </c>
      <c r="E27" s="111" t="s">
        <v>487</v>
      </c>
      <c r="F27" s="111" t="s">
        <v>254</v>
      </c>
      <c r="G27" s="66">
        <v>55228</v>
      </c>
      <c r="H27" s="63">
        <v>3668.4800000000005</v>
      </c>
      <c r="I27" s="81">
        <v>0</v>
      </c>
      <c r="J27" s="81">
        <v>2026.0281299999999</v>
      </c>
      <c r="K27" s="24">
        <v>2.6562369239441282E-2</v>
      </c>
      <c r="L27" s="32">
        <v>2.9571375417698515E-2</v>
      </c>
      <c r="M27" s="32">
        <v>2.0112082668895439E-2</v>
      </c>
      <c r="N27" s="14"/>
      <c r="O27" s="14"/>
      <c r="P27" s="14"/>
      <c r="Q27" s="14"/>
      <c r="R27" s="14"/>
    </row>
    <row r="28" spans="1:18" s="113" customFormat="1" x14ac:dyDescent="0.25">
      <c r="A28" s="89" t="s">
        <v>504</v>
      </c>
      <c r="B28" s="125" t="s">
        <v>248</v>
      </c>
      <c r="C28" s="125" t="s">
        <v>248</v>
      </c>
      <c r="D28" s="125" t="s">
        <v>248</v>
      </c>
      <c r="E28" s="125" t="s">
        <v>248</v>
      </c>
      <c r="F28" s="125" t="s">
        <v>248</v>
      </c>
      <c r="G28" s="129" t="s">
        <v>248</v>
      </c>
      <c r="H28" s="116" t="s">
        <v>248</v>
      </c>
      <c r="I28" s="118" t="s">
        <v>248</v>
      </c>
      <c r="J28" s="118">
        <v>0</v>
      </c>
      <c r="K28" s="131"/>
      <c r="L28" s="115">
        <v>0</v>
      </c>
      <c r="M28" s="115">
        <v>0</v>
      </c>
    </row>
    <row r="29" spans="1:18" s="113" customFormat="1" x14ac:dyDescent="0.25">
      <c r="A29" s="89" t="s">
        <v>505</v>
      </c>
      <c r="B29" s="125" t="s">
        <v>248</v>
      </c>
      <c r="C29" s="125" t="s">
        <v>248</v>
      </c>
      <c r="D29" s="125" t="s">
        <v>248</v>
      </c>
      <c r="E29" s="125" t="s">
        <v>248</v>
      </c>
      <c r="F29" s="125" t="s">
        <v>248</v>
      </c>
      <c r="G29" s="129" t="s">
        <v>248</v>
      </c>
      <c r="H29" s="116" t="s">
        <v>248</v>
      </c>
      <c r="I29" s="118" t="s">
        <v>248</v>
      </c>
      <c r="J29" s="118">
        <v>0</v>
      </c>
      <c r="K29" s="131"/>
      <c r="L29" s="115">
        <v>0</v>
      </c>
      <c r="M29" s="115">
        <v>0</v>
      </c>
    </row>
    <row r="30" spans="1:18" s="113" customFormat="1" x14ac:dyDescent="0.25">
      <c r="A30" s="89" t="s">
        <v>141</v>
      </c>
      <c r="B30" s="125" t="s">
        <v>248</v>
      </c>
      <c r="C30" s="125" t="s">
        <v>248</v>
      </c>
      <c r="D30" s="125" t="s">
        <v>248</v>
      </c>
      <c r="E30" s="125" t="s">
        <v>248</v>
      </c>
      <c r="F30" s="125" t="s">
        <v>248</v>
      </c>
      <c r="G30" s="129" t="s">
        <v>248</v>
      </c>
      <c r="H30" s="116" t="s">
        <v>248</v>
      </c>
      <c r="I30" s="118" t="s">
        <v>248</v>
      </c>
      <c r="J30" s="118">
        <v>0</v>
      </c>
      <c r="K30" s="131"/>
      <c r="L30" s="115">
        <v>0</v>
      </c>
      <c r="M30" s="115">
        <v>0</v>
      </c>
    </row>
    <row r="31" spans="1:18" s="113" customFormat="1" x14ac:dyDescent="0.25">
      <c r="A31" s="89" t="s">
        <v>414</v>
      </c>
      <c r="B31" s="125" t="s">
        <v>248</v>
      </c>
      <c r="C31" s="125" t="s">
        <v>248</v>
      </c>
      <c r="D31" s="125" t="s">
        <v>248</v>
      </c>
      <c r="E31" s="125" t="s">
        <v>248</v>
      </c>
      <c r="F31" s="125" t="s">
        <v>248</v>
      </c>
      <c r="G31" s="129" t="s">
        <v>248</v>
      </c>
      <c r="H31" s="116" t="s">
        <v>248</v>
      </c>
      <c r="I31" s="118" t="s">
        <v>248</v>
      </c>
      <c r="J31" s="118">
        <v>27155.889860399988</v>
      </c>
      <c r="K31" s="131"/>
      <c r="L31" s="115">
        <v>0.39636024888931853</v>
      </c>
      <c r="M31" s="115">
        <v>0.2695725166559183</v>
      </c>
    </row>
    <row r="32" spans="1:18" s="113" customFormat="1" x14ac:dyDescent="0.25">
      <c r="A32" s="89" t="s">
        <v>506</v>
      </c>
      <c r="B32" s="125" t="s">
        <v>248</v>
      </c>
      <c r="C32" s="125" t="s">
        <v>248</v>
      </c>
      <c r="D32" s="125" t="s">
        <v>248</v>
      </c>
      <c r="E32" s="125" t="s">
        <v>248</v>
      </c>
      <c r="F32" s="125" t="s">
        <v>248</v>
      </c>
      <c r="G32" s="129" t="s">
        <v>248</v>
      </c>
      <c r="H32" s="116" t="s">
        <v>248</v>
      </c>
      <c r="I32" s="118" t="s">
        <v>248</v>
      </c>
      <c r="J32" s="118">
        <v>16287.658980100001</v>
      </c>
      <c r="K32" s="131"/>
      <c r="L32" s="115">
        <v>0.23773040030593537</v>
      </c>
      <c r="M32" s="115">
        <v>0.16168519036828397</v>
      </c>
    </row>
    <row r="33" spans="1:18" x14ac:dyDescent="0.25">
      <c r="A33" s="16" t="s">
        <v>543</v>
      </c>
      <c r="B33" s="111" t="s">
        <v>544</v>
      </c>
      <c r="C33" s="111" t="s">
        <v>545</v>
      </c>
      <c r="D33" s="209" t="s">
        <v>836</v>
      </c>
      <c r="E33" s="111" t="s">
        <v>510</v>
      </c>
      <c r="F33" s="111" t="s">
        <v>125</v>
      </c>
      <c r="G33" s="66">
        <v>138</v>
      </c>
      <c r="H33" s="63">
        <v>3469.29</v>
      </c>
      <c r="I33" s="81">
        <v>0</v>
      </c>
      <c r="J33" s="81">
        <v>17.714189999999999</v>
      </c>
      <c r="K33" s="24">
        <v>2.5697535390347797E-6</v>
      </c>
      <c r="L33" s="32">
        <v>2.5855167307595124E-4</v>
      </c>
      <c r="M33" s="32">
        <v>1.7584615357365294E-4</v>
      </c>
      <c r="N33" s="14"/>
      <c r="O33" s="14"/>
      <c r="P33" s="14"/>
      <c r="Q33" s="14"/>
      <c r="R33" s="14"/>
    </row>
    <row r="34" spans="1:18" x14ac:dyDescent="0.25">
      <c r="A34" s="16" t="s">
        <v>551</v>
      </c>
      <c r="B34" s="111" t="s">
        <v>552</v>
      </c>
      <c r="C34" s="111" t="s">
        <v>519</v>
      </c>
      <c r="D34" s="209" t="s">
        <v>837</v>
      </c>
      <c r="E34" s="111" t="s">
        <v>510</v>
      </c>
      <c r="F34" s="111" t="s">
        <v>125</v>
      </c>
      <c r="G34" s="66">
        <v>1423</v>
      </c>
      <c r="H34" s="63">
        <v>6351.5</v>
      </c>
      <c r="I34" s="81">
        <v>0</v>
      </c>
      <c r="J34" s="81">
        <v>334.41282000000001</v>
      </c>
      <c r="K34" s="24">
        <v>1.8335515792297287E-5</v>
      </c>
      <c r="L34" s="32">
        <v>4.8810018470529523E-3</v>
      </c>
      <c r="M34" s="32">
        <v>3.3196667814175168E-3</v>
      </c>
      <c r="N34" s="14"/>
      <c r="O34" s="14"/>
      <c r="P34" s="14"/>
      <c r="Q34" s="14"/>
      <c r="R34" s="14"/>
    </row>
    <row r="35" spans="1:18" x14ac:dyDescent="0.25">
      <c r="A35" s="16" t="s">
        <v>556</v>
      </c>
      <c r="B35" s="111" t="s">
        <v>557</v>
      </c>
      <c r="C35" s="111" t="s">
        <v>519</v>
      </c>
      <c r="D35" s="209" t="s">
        <v>838</v>
      </c>
      <c r="E35" s="111" t="s">
        <v>510</v>
      </c>
      <c r="F35" s="111" t="s">
        <v>125</v>
      </c>
      <c r="G35" s="66">
        <v>6477</v>
      </c>
      <c r="H35" s="63">
        <v>4643.8</v>
      </c>
      <c r="I35" s="81">
        <v>0</v>
      </c>
      <c r="J35" s="81">
        <v>1112.88202</v>
      </c>
      <c r="K35" s="24">
        <v>1.507716695167874E-4</v>
      </c>
      <c r="L35" s="32">
        <v>1.6243334197450984E-2</v>
      </c>
      <c r="M35" s="32">
        <v>1.1047415806101047E-2</v>
      </c>
      <c r="N35" s="14"/>
      <c r="O35" s="14"/>
      <c r="P35" s="14"/>
      <c r="Q35" s="14"/>
      <c r="R35" s="14"/>
    </row>
    <row r="36" spans="1:18" x14ac:dyDescent="0.25">
      <c r="A36" s="16" t="s">
        <v>541</v>
      </c>
      <c r="B36" s="111" t="s">
        <v>542</v>
      </c>
      <c r="C36" s="111" t="s">
        <v>509</v>
      </c>
      <c r="D36" s="209" t="s">
        <v>839</v>
      </c>
      <c r="E36" s="111" t="s">
        <v>510</v>
      </c>
      <c r="F36" s="111" t="s">
        <v>125</v>
      </c>
      <c r="G36" s="66">
        <v>1038</v>
      </c>
      <c r="H36" s="63">
        <v>1932</v>
      </c>
      <c r="I36" s="81">
        <v>0</v>
      </c>
      <c r="J36" s="81">
        <v>74.200389999999999</v>
      </c>
      <c r="K36" s="24">
        <v>1.6413566207787843E-4</v>
      </c>
      <c r="L36" s="32">
        <v>1.0830094391777486E-3</v>
      </c>
      <c r="M36" s="32">
        <v>7.3657633655080715E-4</v>
      </c>
      <c r="N36" s="14"/>
      <c r="O36" s="14"/>
      <c r="P36" s="14"/>
      <c r="Q36" s="14"/>
      <c r="R36" s="14"/>
    </row>
    <row r="37" spans="1:18" x14ac:dyDescent="0.25">
      <c r="A37" s="16" t="s">
        <v>515</v>
      </c>
      <c r="B37" s="111" t="s">
        <v>516</v>
      </c>
      <c r="C37" s="111" t="s">
        <v>509</v>
      </c>
      <c r="D37" s="209" t="s">
        <v>840</v>
      </c>
      <c r="E37" s="111" t="s">
        <v>510</v>
      </c>
      <c r="F37" s="111" t="s">
        <v>125</v>
      </c>
      <c r="G37" s="66">
        <v>3158</v>
      </c>
      <c r="H37" s="63">
        <v>14963.999999999998</v>
      </c>
      <c r="I37" s="81">
        <v>0</v>
      </c>
      <c r="J37" s="81">
        <v>1748.4835399999999</v>
      </c>
      <c r="K37" s="24">
        <v>1.2156629026360799E-5</v>
      </c>
      <c r="L37" s="32">
        <v>2.5520407346469806E-2</v>
      </c>
      <c r="M37" s="32">
        <v>1.7356938425964967E-2</v>
      </c>
      <c r="N37" s="14"/>
      <c r="O37" s="14"/>
      <c r="P37" s="14"/>
      <c r="Q37" s="14"/>
      <c r="R37" s="14"/>
    </row>
    <row r="38" spans="1:18" x14ac:dyDescent="0.25">
      <c r="A38" s="16" t="s">
        <v>517</v>
      </c>
      <c r="B38" s="111" t="s">
        <v>518</v>
      </c>
      <c r="C38" s="111" t="s">
        <v>519</v>
      </c>
      <c r="D38" s="209" t="s">
        <v>841</v>
      </c>
      <c r="E38" s="111" t="s">
        <v>510</v>
      </c>
      <c r="F38" s="111" t="s">
        <v>125</v>
      </c>
      <c r="G38" s="66">
        <v>858</v>
      </c>
      <c r="H38" s="63">
        <v>85752</v>
      </c>
      <c r="I38" s="81">
        <v>0</v>
      </c>
      <c r="J38" s="81">
        <v>2722.2829900000002</v>
      </c>
      <c r="K38" s="24">
        <v>4.4127358345008051E-5</v>
      </c>
      <c r="L38" s="32">
        <v>3.9733728815751844E-2</v>
      </c>
      <c r="M38" s="32">
        <v>2.702370205640129E-2</v>
      </c>
      <c r="N38" s="14"/>
      <c r="O38" s="14"/>
      <c r="P38" s="14"/>
      <c r="Q38" s="14"/>
      <c r="R38" s="14"/>
    </row>
    <row r="39" spans="1:18" x14ac:dyDescent="0.25">
      <c r="A39" s="16" t="s">
        <v>537</v>
      </c>
      <c r="B39" s="111" t="s">
        <v>538</v>
      </c>
      <c r="C39" s="111" t="s">
        <v>519</v>
      </c>
      <c r="D39" s="209" t="s">
        <v>842</v>
      </c>
      <c r="E39" s="111" t="s">
        <v>510</v>
      </c>
      <c r="F39" s="111" t="s">
        <v>125</v>
      </c>
      <c r="G39" s="66">
        <v>277</v>
      </c>
      <c r="H39" s="63">
        <v>4648</v>
      </c>
      <c r="I39" s="81">
        <v>0</v>
      </c>
      <c r="J39" s="81">
        <v>47.637349999999998</v>
      </c>
      <c r="K39" s="24">
        <v>2.9781756706486057E-5</v>
      </c>
      <c r="L39" s="32">
        <v>6.9530227142221388E-4</v>
      </c>
      <c r="M39" s="32">
        <v>4.7288895309025454E-4</v>
      </c>
      <c r="N39" s="14"/>
      <c r="O39" s="14"/>
      <c r="P39" s="14"/>
      <c r="Q39" s="14"/>
      <c r="R39" s="14"/>
    </row>
    <row r="40" spans="1:18" x14ac:dyDescent="0.25">
      <c r="A40" s="16" t="s">
        <v>522</v>
      </c>
      <c r="B40" s="111" t="s">
        <v>523</v>
      </c>
      <c r="C40" s="111" t="s">
        <v>218</v>
      </c>
      <c r="D40" s="209" t="s">
        <v>843</v>
      </c>
      <c r="E40" s="111" t="s">
        <v>510</v>
      </c>
      <c r="F40" s="111" t="s">
        <v>125</v>
      </c>
      <c r="G40" s="66">
        <v>12580</v>
      </c>
      <c r="H40" s="63">
        <v>715.79</v>
      </c>
      <c r="I40" s="81">
        <v>0</v>
      </c>
      <c r="J40" s="81">
        <v>333.17160999999999</v>
      </c>
      <c r="K40" s="24">
        <v>3.2946068362468551E-5</v>
      </c>
      <c r="L40" s="32">
        <v>4.8628854713034199E-3</v>
      </c>
      <c r="M40" s="32">
        <v>3.3073454726657669E-3</v>
      </c>
      <c r="N40" s="14"/>
      <c r="O40" s="14"/>
      <c r="P40" s="14"/>
      <c r="Q40" s="14"/>
      <c r="R40" s="14"/>
    </row>
    <row r="41" spans="1:18" x14ac:dyDescent="0.25">
      <c r="A41" s="16" t="s">
        <v>526</v>
      </c>
      <c r="B41" s="111" t="s">
        <v>527</v>
      </c>
      <c r="C41" s="111" t="s">
        <v>218</v>
      </c>
      <c r="D41" s="209" t="s">
        <v>844</v>
      </c>
      <c r="E41" s="111" t="s">
        <v>510</v>
      </c>
      <c r="F41" s="111" t="s">
        <v>126</v>
      </c>
      <c r="G41" s="66">
        <v>5797</v>
      </c>
      <c r="H41" s="63">
        <v>4000</v>
      </c>
      <c r="I41" s="81">
        <v>0</v>
      </c>
      <c r="J41" s="81">
        <v>931.80978000000005</v>
      </c>
      <c r="K41" s="24">
        <v>2.2931284272568594E-4</v>
      </c>
      <c r="L41" s="32">
        <v>1.3600451254476445E-2</v>
      </c>
      <c r="M41" s="32">
        <v>9.2499383644023114E-3</v>
      </c>
      <c r="N41" s="14"/>
      <c r="O41" s="14"/>
      <c r="P41" s="14"/>
      <c r="Q41" s="14"/>
      <c r="R41" s="14"/>
    </row>
    <row r="42" spans="1:18" x14ac:dyDescent="0.25">
      <c r="A42" s="16" t="s">
        <v>535</v>
      </c>
      <c r="B42" s="111" t="s">
        <v>536</v>
      </c>
      <c r="C42" s="111" t="s">
        <v>519</v>
      </c>
      <c r="D42" s="209" t="s">
        <v>845</v>
      </c>
      <c r="E42" s="111" t="s">
        <v>510</v>
      </c>
      <c r="F42" s="111" t="s">
        <v>2</v>
      </c>
      <c r="G42" s="66">
        <v>1287</v>
      </c>
      <c r="H42" s="63">
        <v>13866</v>
      </c>
      <c r="I42" s="81">
        <v>0</v>
      </c>
      <c r="J42" s="81">
        <v>833.51172999999994</v>
      </c>
      <c r="K42" s="24">
        <v>1.0347437525838444E-4</v>
      </c>
      <c r="L42" s="32">
        <v>1.2165718687669634E-2</v>
      </c>
      <c r="M42" s="32">
        <v>8.2741481083256491E-3</v>
      </c>
      <c r="N42" s="14"/>
      <c r="O42" s="14"/>
      <c r="P42" s="14"/>
      <c r="Q42" s="14"/>
      <c r="R42" s="14"/>
    </row>
    <row r="43" spans="1:18" x14ac:dyDescent="0.25">
      <c r="A43" s="16" t="s">
        <v>507</v>
      </c>
      <c r="B43" s="111" t="s">
        <v>508</v>
      </c>
      <c r="C43" s="111" t="s">
        <v>509</v>
      </c>
      <c r="D43" s="209" t="s">
        <v>846</v>
      </c>
      <c r="E43" s="111" t="s">
        <v>510</v>
      </c>
      <c r="F43" s="111" t="s">
        <v>125</v>
      </c>
      <c r="G43" s="66">
        <v>469</v>
      </c>
      <c r="H43" s="63">
        <v>18727</v>
      </c>
      <c r="I43" s="81">
        <v>0</v>
      </c>
      <c r="J43" s="81">
        <v>324.96963</v>
      </c>
      <c r="K43" s="24">
        <v>1.6166639013900652E-6</v>
      </c>
      <c r="L43" s="32">
        <v>4.7431715215526561E-3</v>
      </c>
      <c r="M43" s="32">
        <v>3.2259256259390451E-3</v>
      </c>
      <c r="N43" s="14"/>
      <c r="O43" s="14"/>
      <c r="P43" s="14"/>
      <c r="Q43" s="14"/>
      <c r="R43" s="14"/>
    </row>
    <row r="44" spans="1:18" x14ac:dyDescent="0.25">
      <c r="A44" s="16" t="s">
        <v>546</v>
      </c>
      <c r="B44" s="111" t="s">
        <v>547</v>
      </c>
      <c r="C44" s="111" t="s">
        <v>548</v>
      </c>
      <c r="D44" s="209" t="s">
        <v>847</v>
      </c>
      <c r="E44" s="111" t="s">
        <v>510</v>
      </c>
      <c r="F44" s="111" t="s">
        <v>125</v>
      </c>
      <c r="G44" s="66">
        <v>2134</v>
      </c>
      <c r="H44" s="63">
        <v>5198</v>
      </c>
      <c r="I44" s="81">
        <v>0</v>
      </c>
      <c r="J44" s="81">
        <v>410.42367999999999</v>
      </c>
      <c r="K44" s="24">
        <v>2.5402778068760346E-5</v>
      </c>
      <c r="L44" s="32">
        <v>5.9904364316962187E-3</v>
      </c>
      <c r="M44" s="32">
        <v>4.0742153868477075E-3</v>
      </c>
      <c r="N44" s="14"/>
      <c r="O44" s="14"/>
      <c r="P44" s="14"/>
      <c r="Q44" s="14"/>
      <c r="R44" s="14"/>
    </row>
    <row r="45" spans="1:18" x14ac:dyDescent="0.25">
      <c r="A45" s="16" t="s">
        <v>553</v>
      </c>
      <c r="B45" s="111" t="s">
        <v>554</v>
      </c>
      <c r="C45" s="111" t="s">
        <v>555</v>
      </c>
      <c r="D45" s="209" t="s">
        <v>848</v>
      </c>
      <c r="E45" s="111" t="s">
        <v>510</v>
      </c>
      <c r="F45" s="111" t="s">
        <v>125</v>
      </c>
      <c r="G45" s="66">
        <v>811</v>
      </c>
      <c r="H45" s="63">
        <v>3804.9999999999995</v>
      </c>
      <c r="I45" s="81">
        <v>0</v>
      </c>
      <c r="J45" s="81">
        <v>114.17663</v>
      </c>
      <c r="K45" s="24">
        <v>1.3086730490968623E-5</v>
      </c>
      <c r="L45" s="32">
        <v>1.6664921575682461E-3</v>
      </c>
      <c r="M45" s="32">
        <v>1.1334145796958342E-3</v>
      </c>
      <c r="N45" s="14"/>
      <c r="O45" s="14"/>
      <c r="P45" s="14"/>
      <c r="Q45" s="14"/>
      <c r="R45" s="14"/>
    </row>
    <row r="46" spans="1:18" x14ac:dyDescent="0.25">
      <c r="A46" s="16" t="s">
        <v>520</v>
      </c>
      <c r="B46" s="111" t="s">
        <v>521</v>
      </c>
      <c r="C46" s="111" t="s">
        <v>519</v>
      </c>
      <c r="D46" s="209" t="s">
        <v>849</v>
      </c>
      <c r="E46" s="111" t="s">
        <v>510</v>
      </c>
      <c r="F46" s="111" t="s">
        <v>125</v>
      </c>
      <c r="G46" s="66">
        <v>657</v>
      </c>
      <c r="H46" s="63">
        <v>4554.87</v>
      </c>
      <c r="I46" s="81">
        <v>0</v>
      </c>
      <c r="J46" s="81">
        <v>110.72444999999999</v>
      </c>
      <c r="K46" s="24">
        <v>3.8175179693969981E-6</v>
      </c>
      <c r="L46" s="32">
        <v>1.6161050433530697E-3</v>
      </c>
      <c r="M46" s="32">
        <v>1.0991452975867514E-3</v>
      </c>
      <c r="N46" s="14"/>
      <c r="O46" s="14"/>
      <c r="P46" s="14"/>
      <c r="Q46" s="14"/>
      <c r="R46" s="14"/>
    </row>
    <row r="47" spans="1:18" x14ac:dyDescent="0.25">
      <c r="A47" s="16" t="s">
        <v>530</v>
      </c>
      <c r="B47" s="111" t="s">
        <v>531</v>
      </c>
      <c r="C47" s="111" t="s">
        <v>532</v>
      </c>
      <c r="D47" s="209" t="s">
        <v>850</v>
      </c>
      <c r="E47" s="111" t="s">
        <v>510</v>
      </c>
      <c r="F47" s="111" t="s">
        <v>289</v>
      </c>
      <c r="G47" s="66">
        <v>16883</v>
      </c>
      <c r="H47" s="63">
        <v>241950</v>
      </c>
      <c r="I47" s="81">
        <v>0</v>
      </c>
      <c r="J47" s="81">
        <v>1044.98424</v>
      </c>
      <c r="K47" s="24">
        <v>2.0996759382692046E-6</v>
      </c>
      <c r="L47" s="32">
        <v>1.5252316001465571E-2</v>
      </c>
      <c r="M47" s="32">
        <v>1.0373404550198853E-2</v>
      </c>
      <c r="N47" s="14"/>
      <c r="O47" s="14"/>
      <c r="P47" s="14"/>
      <c r="Q47" s="14"/>
      <c r="R47" s="14"/>
    </row>
    <row r="48" spans="1:18" x14ac:dyDescent="0.25">
      <c r="A48" s="16" t="s">
        <v>511</v>
      </c>
      <c r="B48" s="111" t="s">
        <v>512</v>
      </c>
      <c r="C48" s="111" t="s">
        <v>509</v>
      </c>
      <c r="D48" s="209" t="s">
        <v>851</v>
      </c>
      <c r="E48" s="111" t="s">
        <v>510</v>
      </c>
      <c r="F48" s="111" t="s">
        <v>125</v>
      </c>
      <c r="G48" s="66">
        <v>1136</v>
      </c>
      <c r="H48" s="63">
        <v>44328</v>
      </c>
      <c r="I48" s="81">
        <v>5.16479</v>
      </c>
      <c r="J48" s="81">
        <v>1868.3592800000001</v>
      </c>
      <c r="K48" s="24">
        <v>1.2059012373595489E-6</v>
      </c>
      <c r="L48" s="32">
        <v>2.727008221945117E-2</v>
      </c>
      <c r="M48" s="32">
        <v>1.8546927230747759E-2</v>
      </c>
      <c r="N48" s="14"/>
      <c r="O48" s="14"/>
      <c r="P48" s="14"/>
      <c r="Q48" s="14"/>
      <c r="R48" s="14"/>
    </row>
    <row r="49" spans="1:18" x14ac:dyDescent="0.25">
      <c r="A49" s="16" t="s">
        <v>513</v>
      </c>
      <c r="B49" s="111" t="s">
        <v>514</v>
      </c>
      <c r="C49" s="111" t="s">
        <v>509</v>
      </c>
      <c r="D49" s="209" t="s">
        <v>852</v>
      </c>
      <c r="E49" s="111" t="s">
        <v>510</v>
      </c>
      <c r="F49" s="111" t="s">
        <v>125</v>
      </c>
      <c r="G49" s="66">
        <v>1802</v>
      </c>
      <c r="H49" s="63">
        <v>40728</v>
      </c>
      <c r="I49" s="81">
        <v>7.88185</v>
      </c>
      <c r="J49" s="81">
        <v>2723.3805200000002</v>
      </c>
      <c r="K49" s="24">
        <v>2.3009648722061349E-6</v>
      </c>
      <c r="L49" s="32">
        <v>3.974974807589024E-2</v>
      </c>
      <c r="M49" s="32">
        <v>2.703459707496729E-2</v>
      </c>
      <c r="N49" s="14"/>
      <c r="O49" s="14"/>
      <c r="P49" s="14"/>
      <c r="Q49" s="14"/>
      <c r="R49" s="14"/>
    </row>
    <row r="50" spans="1:18" x14ac:dyDescent="0.25">
      <c r="A50" s="16" t="s">
        <v>528</v>
      </c>
      <c r="B50" s="111" t="s">
        <v>529</v>
      </c>
      <c r="C50" s="111" t="s">
        <v>218</v>
      </c>
      <c r="D50" s="209" t="s">
        <v>853</v>
      </c>
      <c r="E50" s="111" t="s">
        <v>510</v>
      </c>
      <c r="F50" s="111" t="s">
        <v>126</v>
      </c>
      <c r="G50" s="66">
        <v>5517</v>
      </c>
      <c r="H50" s="63">
        <v>3604.5</v>
      </c>
      <c r="I50" s="81">
        <v>0</v>
      </c>
      <c r="J50" s="81">
        <v>799.11996999999997</v>
      </c>
      <c r="K50" s="24">
        <v>9.449862637844968E-5</v>
      </c>
      <c r="L50" s="32">
        <v>1.1663745575265026E-2</v>
      </c>
      <c r="M50" s="32">
        <v>7.9327461751507091E-3</v>
      </c>
      <c r="N50" s="14"/>
      <c r="O50" s="14"/>
      <c r="P50" s="14"/>
      <c r="Q50" s="14"/>
      <c r="R50" s="14"/>
    </row>
    <row r="51" spans="1:18" x14ac:dyDescent="0.25">
      <c r="A51" s="16" t="s">
        <v>533</v>
      </c>
      <c r="B51" s="111" t="s">
        <v>534</v>
      </c>
      <c r="C51" s="111" t="s">
        <v>519</v>
      </c>
      <c r="D51" s="209" t="s">
        <v>854</v>
      </c>
      <c r="E51" s="111" t="s">
        <v>510</v>
      </c>
      <c r="F51" s="111" t="s">
        <v>125</v>
      </c>
      <c r="G51" s="66">
        <v>1549</v>
      </c>
      <c r="H51" s="63">
        <v>2422.75</v>
      </c>
      <c r="I51" s="81">
        <v>0</v>
      </c>
      <c r="J51" s="81">
        <v>138.85507000000001</v>
      </c>
      <c r="K51" s="24">
        <v>1.579157647338518E-4</v>
      </c>
      <c r="L51" s="32">
        <v>2.0266921978130716E-3</v>
      </c>
      <c r="M51" s="32">
        <v>1.378393816691609E-3</v>
      </c>
      <c r="N51" s="14"/>
      <c r="O51" s="14"/>
      <c r="P51" s="14"/>
      <c r="Q51" s="14"/>
      <c r="R51" s="14"/>
    </row>
    <row r="52" spans="1:18" x14ac:dyDescent="0.25">
      <c r="A52" s="16" t="s">
        <v>539</v>
      </c>
      <c r="B52" s="111" t="s">
        <v>540</v>
      </c>
      <c r="C52" s="111" t="s">
        <v>509</v>
      </c>
      <c r="D52" s="209" t="s">
        <v>855</v>
      </c>
      <c r="E52" s="111" t="s">
        <v>510</v>
      </c>
      <c r="F52" s="111" t="s">
        <v>125</v>
      </c>
      <c r="G52" s="66">
        <v>1689</v>
      </c>
      <c r="H52" s="63">
        <v>2795</v>
      </c>
      <c r="I52" s="81">
        <v>0</v>
      </c>
      <c r="J52" s="81">
        <v>174.66792999999998</v>
      </c>
      <c r="K52" s="24">
        <v>2.1494048102101642E-5</v>
      </c>
      <c r="L52" s="32">
        <v>2.5494073132450957E-3</v>
      </c>
      <c r="M52" s="32">
        <v>1.733902800137746E-3</v>
      </c>
      <c r="N52" s="14"/>
      <c r="O52" s="14"/>
      <c r="P52" s="14"/>
      <c r="Q52" s="14"/>
      <c r="R52" s="14"/>
    </row>
    <row r="53" spans="1:18" x14ac:dyDescent="0.25">
      <c r="A53" s="16" t="s">
        <v>524</v>
      </c>
      <c r="B53" s="111" t="s">
        <v>525</v>
      </c>
      <c r="C53" s="111" t="s">
        <v>519</v>
      </c>
      <c r="D53" s="209" t="s">
        <v>856</v>
      </c>
      <c r="E53" s="111" t="s">
        <v>510</v>
      </c>
      <c r="F53" s="111" t="s">
        <v>125</v>
      </c>
      <c r="G53" s="66">
        <v>5896</v>
      </c>
      <c r="H53" s="63">
        <v>971.5</v>
      </c>
      <c r="I53" s="81">
        <v>0</v>
      </c>
      <c r="J53" s="81">
        <v>211.93466000000001</v>
      </c>
      <c r="K53" s="24">
        <v>7.7422788964857921E-6</v>
      </c>
      <c r="L53" s="32">
        <v>3.0933427340331613E-3</v>
      </c>
      <c r="M53" s="32">
        <v>2.1038441368157351E-3</v>
      </c>
      <c r="N53" s="14"/>
      <c r="O53" s="14"/>
      <c r="P53" s="14"/>
      <c r="Q53" s="14"/>
      <c r="R53" s="14"/>
    </row>
    <row r="54" spans="1:18" x14ac:dyDescent="0.25">
      <c r="A54" s="16" t="s">
        <v>549</v>
      </c>
      <c r="B54" s="111" t="s">
        <v>550</v>
      </c>
      <c r="C54" s="111" t="s">
        <v>519</v>
      </c>
      <c r="D54" s="209" t="s">
        <v>857</v>
      </c>
      <c r="E54" s="111" t="s">
        <v>510</v>
      </c>
      <c r="F54" s="111" t="s">
        <v>125</v>
      </c>
      <c r="G54" s="66">
        <v>1125</v>
      </c>
      <c r="H54" s="63">
        <v>5044</v>
      </c>
      <c r="I54" s="81">
        <v>0</v>
      </c>
      <c r="J54" s="81">
        <v>209.95650000000001</v>
      </c>
      <c r="K54" s="24">
        <v>1.1584066165385167E-5</v>
      </c>
      <c r="L54" s="32">
        <v>3.064470029291261E-3</v>
      </c>
      <c r="M54" s="32">
        <v>2.0842072340189794E-3</v>
      </c>
      <c r="N54" s="14"/>
      <c r="O54" s="14"/>
      <c r="P54" s="14"/>
      <c r="Q54" s="14"/>
      <c r="R54" s="14"/>
    </row>
    <row r="55" spans="1:18" s="113" customFormat="1" x14ac:dyDescent="0.25">
      <c r="A55" s="89" t="s">
        <v>558</v>
      </c>
      <c r="B55" s="125" t="s">
        <v>248</v>
      </c>
      <c r="C55" s="125" t="s">
        <v>248</v>
      </c>
      <c r="D55" s="125" t="s">
        <v>248</v>
      </c>
      <c r="E55" s="125" t="s">
        <v>248</v>
      </c>
      <c r="F55" s="125" t="s">
        <v>248</v>
      </c>
      <c r="G55" s="129" t="s">
        <v>248</v>
      </c>
      <c r="H55" s="116" t="s">
        <v>248</v>
      </c>
      <c r="I55" s="118" t="s">
        <v>248</v>
      </c>
      <c r="J55" s="118">
        <v>4913.2729601000001</v>
      </c>
      <c r="K55" s="131"/>
      <c r="L55" s="115">
        <v>7.1712844003179732E-2</v>
      </c>
      <c r="M55" s="115">
        <v>4.8773336601392499E-2</v>
      </c>
    </row>
    <row r="56" spans="1:18" x14ac:dyDescent="0.25">
      <c r="A56" s="16" t="s">
        <v>570</v>
      </c>
      <c r="B56" s="111" t="s">
        <v>571</v>
      </c>
      <c r="C56" s="111" t="s">
        <v>218</v>
      </c>
      <c r="D56" s="209" t="s">
        <v>840</v>
      </c>
      <c r="E56" s="111" t="s">
        <v>561</v>
      </c>
      <c r="F56" s="111" t="s">
        <v>126</v>
      </c>
      <c r="G56" s="66">
        <v>3309</v>
      </c>
      <c r="H56" s="63">
        <v>3634.5</v>
      </c>
      <c r="I56" s="81">
        <v>0</v>
      </c>
      <c r="J56" s="81">
        <v>483.28733</v>
      </c>
      <c r="K56" s="24">
        <v>1.1224022188898021E-3</v>
      </c>
      <c r="L56" s="32">
        <v>7.0539351642897232E-3</v>
      </c>
      <c r="M56" s="32">
        <v>4.7975221024151088E-3</v>
      </c>
      <c r="N56" s="14"/>
      <c r="O56" s="14"/>
      <c r="P56" s="14"/>
      <c r="Q56" s="14"/>
      <c r="R56" s="14"/>
    </row>
    <row r="57" spans="1:18" x14ac:dyDescent="0.25">
      <c r="A57" s="16" t="s">
        <v>562</v>
      </c>
      <c r="B57" s="111" t="s">
        <v>563</v>
      </c>
      <c r="C57" s="111" t="s">
        <v>519</v>
      </c>
      <c r="D57" s="209" t="s">
        <v>858</v>
      </c>
      <c r="E57" s="111" t="s">
        <v>561</v>
      </c>
      <c r="F57" s="111" t="s">
        <v>125</v>
      </c>
      <c r="G57" s="66">
        <v>5084</v>
      </c>
      <c r="H57" s="63">
        <v>8993</v>
      </c>
      <c r="I57" s="81">
        <v>0</v>
      </c>
      <c r="J57" s="81">
        <v>1691.65524</v>
      </c>
      <c r="K57" s="24">
        <v>8.4465150848379671E-5</v>
      </c>
      <c r="L57" s="32">
        <v>2.4690956378457037E-2</v>
      </c>
      <c r="M57" s="32">
        <v>1.6792812266703403E-2</v>
      </c>
      <c r="N57" s="14"/>
      <c r="O57" s="14"/>
      <c r="P57" s="14"/>
      <c r="Q57" s="14"/>
      <c r="R57" s="14"/>
    </row>
    <row r="58" spans="1:18" x14ac:dyDescent="0.25">
      <c r="A58" s="16" t="s">
        <v>564</v>
      </c>
      <c r="B58" s="111" t="s">
        <v>565</v>
      </c>
      <c r="C58" s="111" t="s">
        <v>519</v>
      </c>
      <c r="D58" s="209" t="s">
        <v>859</v>
      </c>
      <c r="E58" s="111" t="s">
        <v>561</v>
      </c>
      <c r="F58" s="111" t="s">
        <v>126</v>
      </c>
      <c r="G58" s="66">
        <v>540</v>
      </c>
      <c r="H58" s="63">
        <v>9091</v>
      </c>
      <c r="I58" s="81">
        <v>0</v>
      </c>
      <c r="J58" s="81">
        <v>197.27379000000002</v>
      </c>
      <c r="K58" s="24">
        <v>9.2573144613034997E-6</v>
      </c>
      <c r="L58" s="32">
        <v>2.8793565191822979E-3</v>
      </c>
      <c r="M58" s="32">
        <v>1.9583078409115269E-3</v>
      </c>
      <c r="N58" s="14"/>
      <c r="O58" s="14"/>
      <c r="P58" s="14"/>
      <c r="Q58" s="14"/>
      <c r="R58" s="14"/>
    </row>
    <row r="59" spans="1:18" x14ac:dyDescent="0.25">
      <c r="A59" s="16" t="s">
        <v>566</v>
      </c>
      <c r="B59" s="111" t="s">
        <v>567</v>
      </c>
      <c r="C59" s="111" t="s">
        <v>519</v>
      </c>
      <c r="D59" s="209" t="s">
        <v>860</v>
      </c>
      <c r="E59" s="111" t="s">
        <v>561</v>
      </c>
      <c r="F59" s="111" t="s">
        <v>125</v>
      </c>
      <c r="G59" s="66">
        <v>1876</v>
      </c>
      <c r="H59" s="63">
        <v>4578</v>
      </c>
      <c r="I59" s="81">
        <v>0</v>
      </c>
      <c r="J59" s="81">
        <v>317.76812999999999</v>
      </c>
      <c r="K59" s="24">
        <v>1.5623916798678769E-5</v>
      </c>
      <c r="L59" s="32">
        <v>4.6380603155840817E-3</v>
      </c>
      <c r="M59" s="32">
        <v>3.1544373967306726E-3</v>
      </c>
      <c r="N59" s="14"/>
      <c r="O59" s="14"/>
      <c r="P59" s="14"/>
      <c r="Q59" s="14"/>
      <c r="R59" s="14"/>
    </row>
    <row r="60" spans="1:18" x14ac:dyDescent="0.25">
      <c r="A60" s="16" t="s">
        <v>568</v>
      </c>
      <c r="B60" s="111" t="s">
        <v>569</v>
      </c>
      <c r="C60" s="111" t="s">
        <v>519</v>
      </c>
      <c r="D60" s="209" t="s">
        <v>861</v>
      </c>
      <c r="E60" s="111" t="s">
        <v>561</v>
      </c>
      <c r="F60" s="111" t="s">
        <v>125</v>
      </c>
      <c r="G60" s="66">
        <v>1205</v>
      </c>
      <c r="H60" s="63">
        <v>7681</v>
      </c>
      <c r="I60" s="81">
        <v>0</v>
      </c>
      <c r="J60" s="81">
        <v>342.45738</v>
      </c>
      <c r="K60" s="24">
        <v>3.5174060516898146E-4</v>
      </c>
      <c r="L60" s="32">
        <v>4.9984181357548277E-3</v>
      </c>
      <c r="M60" s="32">
        <v>3.3995239430033674E-3</v>
      </c>
      <c r="N60" s="14"/>
      <c r="O60" s="14"/>
      <c r="P60" s="14"/>
      <c r="Q60" s="14"/>
      <c r="R60" s="14"/>
    </row>
    <row r="61" spans="1:18" x14ac:dyDescent="0.25">
      <c r="A61" s="16" t="s">
        <v>559</v>
      </c>
      <c r="B61" s="111" t="s">
        <v>560</v>
      </c>
      <c r="C61" s="111" t="s">
        <v>519</v>
      </c>
      <c r="D61" s="209" t="s">
        <v>862</v>
      </c>
      <c r="E61" s="111" t="s">
        <v>561</v>
      </c>
      <c r="F61" s="111" t="s">
        <v>125</v>
      </c>
      <c r="G61" s="66">
        <v>39799</v>
      </c>
      <c r="H61" s="63">
        <v>1277.25</v>
      </c>
      <c r="I61" s="81">
        <v>0</v>
      </c>
      <c r="J61" s="81">
        <v>1880.8310900000001</v>
      </c>
      <c r="K61" s="24">
        <v>6.1672445969434707E-4</v>
      </c>
      <c r="L61" s="32">
        <v>2.74521174884522E-2</v>
      </c>
      <c r="M61" s="32">
        <v>1.8670733050635737E-2</v>
      </c>
      <c r="N61" s="14"/>
      <c r="O61" s="14"/>
      <c r="P61" s="14"/>
      <c r="Q61" s="14"/>
      <c r="R61" s="14"/>
    </row>
    <row r="62" spans="1:18" s="113" customFormat="1" x14ac:dyDescent="0.25">
      <c r="A62" s="89" t="s">
        <v>141</v>
      </c>
      <c r="B62" s="125" t="s">
        <v>248</v>
      </c>
      <c r="C62" s="125" t="s">
        <v>248</v>
      </c>
      <c r="D62" s="125" t="s">
        <v>248</v>
      </c>
      <c r="E62" s="125" t="s">
        <v>248</v>
      </c>
      <c r="F62" s="125" t="s">
        <v>248</v>
      </c>
      <c r="G62" s="129" t="s">
        <v>248</v>
      </c>
      <c r="H62" s="116" t="s">
        <v>248</v>
      </c>
      <c r="I62" s="118" t="s">
        <v>248</v>
      </c>
      <c r="J62" s="118">
        <v>5954.9579201000006</v>
      </c>
      <c r="K62" s="131"/>
      <c r="L62" s="115">
        <v>8.6917004578744059E-2</v>
      </c>
      <c r="M62" s="115">
        <v>5.9113989685249259E-2</v>
      </c>
    </row>
    <row r="63" spans="1:18" x14ac:dyDescent="0.25">
      <c r="A63" s="16" t="s">
        <v>598</v>
      </c>
      <c r="B63" s="111" t="s">
        <v>599</v>
      </c>
      <c r="C63" s="111" t="s">
        <v>548</v>
      </c>
      <c r="D63" s="209" t="s">
        <v>863</v>
      </c>
      <c r="E63" s="111" t="s">
        <v>510</v>
      </c>
      <c r="F63" s="111" t="s">
        <v>125</v>
      </c>
      <c r="G63" s="66">
        <v>1801</v>
      </c>
      <c r="H63" s="63">
        <v>1839.9999999999998</v>
      </c>
      <c r="I63" s="81">
        <v>0</v>
      </c>
      <c r="J63" s="81">
        <v>122.61208000000001</v>
      </c>
      <c r="K63" s="24">
        <v>7.9968204180235979E-6</v>
      </c>
      <c r="L63" s="32">
        <v>1.7896137742297211E-3</v>
      </c>
      <c r="M63" s="32">
        <v>1.2171520487058692E-3</v>
      </c>
      <c r="N63" s="14"/>
      <c r="O63" s="14"/>
      <c r="P63" s="14"/>
      <c r="Q63" s="14"/>
      <c r="R63" s="14"/>
    </row>
    <row r="64" spans="1:18" x14ac:dyDescent="0.25">
      <c r="A64" s="16" t="s">
        <v>602</v>
      </c>
      <c r="B64" s="111" t="s">
        <v>603</v>
      </c>
      <c r="C64" s="111" t="s">
        <v>519</v>
      </c>
      <c r="D64" s="209" t="s">
        <v>864</v>
      </c>
      <c r="E64" s="111" t="s">
        <v>510</v>
      </c>
      <c r="F64" s="111" t="s">
        <v>125</v>
      </c>
      <c r="G64" s="66">
        <v>8878</v>
      </c>
      <c r="H64" s="63">
        <v>793.5</v>
      </c>
      <c r="I64" s="81">
        <v>0</v>
      </c>
      <c r="J64" s="81">
        <v>260.65364</v>
      </c>
      <c r="K64" s="24">
        <v>7.5167365286564323E-5</v>
      </c>
      <c r="L64" s="32">
        <v>3.8044321933623096E-3</v>
      </c>
      <c r="M64" s="32">
        <v>2.5874702715151889E-3</v>
      </c>
      <c r="N64" s="14"/>
      <c r="O64" s="14"/>
      <c r="P64" s="14"/>
      <c r="Q64" s="14"/>
      <c r="R64" s="14"/>
    </row>
    <row r="65" spans="1:18" x14ac:dyDescent="0.25">
      <c r="A65" s="16" t="s">
        <v>588</v>
      </c>
      <c r="B65" s="111" t="s">
        <v>589</v>
      </c>
      <c r="C65" s="111" t="s">
        <v>509</v>
      </c>
      <c r="D65" s="209" t="s">
        <v>865</v>
      </c>
      <c r="E65" s="111" t="s">
        <v>510</v>
      </c>
      <c r="F65" s="111" t="s">
        <v>125</v>
      </c>
      <c r="G65" s="66">
        <v>1747</v>
      </c>
      <c r="H65" s="63">
        <v>3366.2799999999997</v>
      </c>
      <c r="I65" s="81">
        <v>0</v>
      </c>
      <c r="J65" s="81">
        <v>217.59297000000001</v>
      </c>
      <c r="K65" s="24">
        <v>9.1155210451657109E-5</v>
      </c>
      <c r="L65" s="32">
        <v>3.1759299433428948E-3</v>
      </c>
      <c r="M65" s="32">
        <v>2.1600133463154261E-3</v>
      </c>
      <c r="N65" s="14"/>
      <c r="O65" s="14"/>
      <c r="P65" s="14"/>
      <c r="Q65" s="14"/>
      <c r="R65" s="14"/>
    </row>
    <row r="66" spans="1:18" x14ac:dyDescent="0.25">
      <c r="A66" s="16" t="s">
        <v>596</v>
      </c>
      <c r="B66" s="111" t="s">
        <v>597</v>
      </c>
      <c r="C66" s="111" t="s">
        <v>509</v>
      </c>
      <c r="D66" s="209" t="s">
        <v>866</v>
      </c>
      <c r="E66" s="111" t="s">
        <v>510</v>
      </c>
      <c r="F66" s="111" t="s">
        <v>125</v>
      </c>
      <c r="G66" s="66">
        <v>468</v>
      </c>
      <c r="H66" s="63">
        <v>6312</v>
      </c>
      <c r="I66" s="81">
        <v>0</v>
      </c>
      <c r="J66" s="81">
        <v>109.29858999999999</v>
      </c>
      <c r="K66" s="24">
        <v>9.7685423214164347E-6</v>
      </c>
      <c r="L66" s="32">
        <v>1.5952935646135914E-3</v>
      </c>
      <c r="M66" s="32">
        <v>1.0849909954970408E-3</v>
      </c>
      <c r="N66" s="14"/>
      <c r="O66" s="14"/>
      <c r="P66" s="14"/>
      <c r="Q66" s="14"/>
      <c r="R66" s="14"/>
    </row>
    <row r="67" spans="1:18" x14ac:dyDescent="0.25">
      <c r="A67" s="16" t="s">
        <v>592</v>
      </c>
      <c r="B67" s="111" t="s">
        <v>593</v>
      </c>
      <c r="C67" s="111" t="s">
        <v>509</v>
      </c>
      <c r="D67" s="209" t="s">
        <v>867</v>
      </c>
      <c r="E67" s="111" t="s">
        <v>510</v>
      </c>
      <c r="F67" s="111" t="s">
        <v>125</v>
      </c>
      <c r="G67" s="66">
        <v>391</v>
      </c>
      <c r="H67" s="63">
        <v>3765</v>
      </c>
      <c r="I67" s="81">
        <v>0.54774</v>
      </c>
      <c r="J67" s="81">
        <v>55.015989999999995</v>
      </c>
      <c r="K67" s="24">
        <v>1.0174564561814683E-5</v>
      </c>
      <c r="L67" s="32">
        <v>8.0299896638964601E-4</v>
      </c>
      <c r="M67" s="32">
        <v>5.4613562497334359E-4</v>
      </c>
      <c r="N67" s="14"/>
      <c r="O67" s="14"/>
      <c r="P67" s="14"/>
      <c r="Q67" s="14"/>
      <c r="R67" s="14"/>
    </row>
    <row r="68" spans="1:18" x14ac:dyDescent="0.25">
      <c r="A68" s="16" t="s">
        <v>586</v>
      </c>
      <c r="B68" s="111" t="s">
        <v>587</v>
      </c>
      <c r="C68" s="111" t="s">
        <v>519</v>
      </c>
      <c r="D68" s="209" t="s">
        <v>868</v>
      </c>
      <c r="E68" s="111" t="s">
        <v>510</v>
      </c>
      <c r="F68" s="111" t="s">
        <v>125</v>
      </c>
      <c r="G68" s="66">
        <v>253</v>
      </c>
      <c r="H68" s="63">
        <v>9697.5</v>
      </c>
      <c r="I68" s="81">
        <v>0</v>
      </c>
      <c r="J68" s="81">
        <v>90.778289999999998</v>
      </c>
      <c r="K68" s="24">
        <v>1.0424834675719653E-4</v>
      </c>
      <c r="L68" s="32">
        <v>1.3249761213170851E-3</v>
      </c>
      <c r="M68" s="32">
        <v>9.0114270675055441E-4</v>
      </c>
      <c r="N68" s="14"/>
      <c r="O68" s="14"/>
      <c r="P68" s="14"/>
      <c r="Q68" s="14"/>
      <c r="R68" s="14"/>
    </row>
    <row r="69" spans="1:18" x14ac:dyDescent="0.25">
      <c r="A69" s="16" t="s">
        <v>594</v>
      </c>
      <c r="B69" s="111" t="s">
        <v>595</v>
      </c>
      <c r="C69" s="111" t="s">
        <v>509</v>
      </c>
      <c r="D69" s="209" t="s">
        <v>869</v>
      </c>
      <c r="E69" s="111" t="s">
        <v>510</v>
      </c>
      <c r="F69" s="111" t="s">
        <v>125</v>
      </c>
      <c r="G69" s="66">
        <v>995</v>
      </c>
      <c r="H69" s="63">
        <v>7142</v>
      </c>
      <c r="I69" s="81">
        <v>0</v>
      </c>
      <c r="J69" s="81">
        <v>262.93272999999999</v>
      </c>
      <c r="K69" s="24">
        <v>3.505876977332233E-5</v>
      </c>
      <c r="L69" s="32">
        <v>3.8376971934887998E-3</v>
      </c>
      <c r="M69" s="32">
        <v>2.6100944620736158E-3</v>
      </c>
      <c r="N69" s="14"/>
      <c r="O69" s="14"/>
      <c r="P69" s="14"/>
      <c r="Q69" s="14"/>
      <c r="R69" s="14"/>
    </row>
    <row r="70" spans="1:18" x14ac:dyDescent="0.25">
      <c r="A70" s="16" t="s">
        <v>604</v>
      </c>
      <c r="B70" s="111" t="s">
        <v>605</v>
      </c>
      <c r="C70" s="111" t="s">
        <v>548</v>
      </c>
      <c r="D70" s="209" t="s">
        <v>870</v>
      </c>
      <c r="E70" s="111" t="s">
        <v>510</v>
      </c>
      <c r="F70" s="111" t="s">
        <v>125</v>
      </c>
      <c r="G70" s="66">
        <v>1834</v>
      </c>
      <c r="H70" s="63">
        <v>15197.999999999998</v>
      </c>
      <c r="I70" s="81">
        <v>0</v>
      </c>
      <c r="J70" s="81">
        <v>1031.3058800000001</v>
      </c>
      <c r="K70" s="24">
        <v>2.0673916237294941E-5</v>
      </c>
      <c r="L70" s="32">
        <v>1.5052670244988129E-2</v>
      </c>
      <c r="M70" s="32">
        <v>1.023762148627125E-2</v>
      </c>
      <c r="N70" s="14"/>
      <c r="O70" s="14"/>
      <c r="P70" s="14"/>
      <c r="Q70" s="14"/>
      <c r="R70" s="14"/>
    </row>
    <row r="71" spans="1:18" x14ac:dyDescent="0.25">
      <c r="A71" s="16" t="s">
        <v>590</v>
      </c>
      <c r="B71" s="111" t="s">
        <v>591</v>
      </c>
      <c r="C71" s="111" t="s">
        <v>509</v>
      </c>
      <c r="D71" s="209" t="s">
        <v>871</v>
      </c>
      <c r="E71" s="111" t="s">
        <v>510</v>
      </c>
      <c r="F71" s="111" t="s">
        <v>125</v>
      </c>
      <c r="G71" s="66">
        <v>118</v>
      </c>
      <c r="H71" s="63">
        <v>25580</v>
      </c>
      <c r="I71" s="81">
        <v>0</v>
      </c>
      <c r="J71" s="81">
        <v>111.68228000000001</v>
      </c>
      <c r="K71" s="24">
        <v>2.9751369319379437E-5</v>
      </c>
      <c r="L71" s="32">
        <v>1.6300852789168938E-3</v>
      </c>
      <c r="M71" s="32">
        <v>1.1086535348404703E-3</v>
      </c>
      <c r="N71" s="14"/>
      <c r="O71" s="14"/>
      <c r="P71" s="14"/>
      <c r="Q71" s="14"/>
      <c r="R71" s="14"/>
    </row>
    <row r="72" spans="1:18" x14ac:dyDescent="0.25">
      <c r="A72" s="16" t="s">
        <v>614</v>
      </c>
      <c r="B72" s="111" t="s">
        <v>615</v>
      </c>
      <c r="C72" s="111" t="s">
        <v>509</v>
      </c>
      <c r="D72" s="209" t="s">
        <v>872</v>
      </c>
      <c r="E72" s="111" t="s">
        <v>510</v>
      </c>
      <c r="F72" s="111" t="s">
        <v>125</v>
      </c>
      <c r="G72" s="66">
        <v>1655</v>
      </c>
      <c r="H72" s="63">
        <v>2693</v>
      </c>
      <c r="I72" s="81">
        <v>0</v>
      </c>
      <c r="J72" s="81">
        <v>164.90585000000002</v>
      </c>
      <c r="K72" s="24">
        <v>9.3209270948903326E-6</v>
      </c>
      <c r="L72" s="32">
        <v>2.4069225529088183E-3</v>
      </c>
      <c r="M72" s="32">
        <v>1.6369960706243852E-3</v>
      </c>
      <c r="N72" s="14"/>
      <c r="O72" s="14"/>
      <c r="P72" s="14"/>
      <c r="Q72" s="14"/>
      <c r="R72" s="14"/>
    </row>
    <row r="73" spans="1:18" x14ac:dyDescent="0.25">
      <c r="A73" s="16" t="s">
        <v>608</v>
      </c>
      <c r="B73" s="111" t="s">
        <v>609</v>
      </c>
      <c r="C73" s="111" t="s">
        <v>545</v>
      </c>
      <c r="D73" s="209" t="s">
        <v>873</v>
      </c>
      <c r="E73" s="111" t="s">
        <v>510</v>
      </c>
      <c r="F73" s="111" t="s">
        <v>126</v>
      </c>
      <c r="G73" s="66">
        <v>442</v>
      </c>
      <c r="H73" s="63">
        <v>13514.699999999999</v>
      </c>
      <c r="I73" s="81">
        <v>0</v>
      </c>
      <c r="J73" s="81">
        <v>240.04498999999998</v>
      </c>
      <c r="K73" s="24">
        <v>8.5353412369563281E-5</v>
      </c>
      <c r="L73" s="32">
        <v>3.5036337409726321E-3</v>
      </c>
      <c r="M73" s="32">
        <v>2.3828912400807476E-3</v>
      </c>
      <c r="N73" s="14"/>
      <c r="O73" s="14"/>
      <c r="P73" s="14"/>
      <c r="Q73" s="14"/>
      <c r="R73" s="14"/>
    </row>
    <row r="74" spans="1:18" x14ac:dyDescent="0.25">
      <c r="A74" s="16" t="s">
        <v>612</v>
      </c>
      <c r="B74" s="111" t="s">
        <v>613</v>
      </c>
      <c r="C74" s="111" t="s">
        <v>532</v>
      </c>
      <c r="D74" s="209" t="s">
        <v>874</v>
      </c>
      <c r="E74" s="111" t="s">
        <v>510</v>
      </c>
      <c r="F74" s="111" t="s">
        <v>289</v>
      </c>
      <c r="G74" s="66">
        <v>28815</v>
      </c>
      <c r="H74" s="63">
        <v>23390</v>
      </c>
      <c r="I74" s="81">
        <v>0</v>
      </c>
      <c r="J74" s="81">
        <v>172.41829000000001</v>
      </c>
      <c r="K74" s="24">
        <v>8.0414113344149041E-5</v>
      </c>
      <c r="L74" s="32">
        <v>2.516572157597641E-3</v>
      </c>
      <c r="M74" s="32">
        <v>1.7115709553892462E-3</v>
      </c>
      <c r="N74" s="14"/>
      <c r="O74" s="14"/>
      <c r="P74" s="14"/>
      <c r="Q74" s="14"/>
      <c r="R74" s="14"/>
    </row>
    <row r="75" spans="1:18" x14ac:dyDescent="0.25">
      <c r="A75" s="16" t="s">
        <v>576</v>
      </c>
      <c r="B75" s="111" t="s">
        <v>577</v>
      </c>
      <c r="C75" s="111" t="s">
        <v>548</v>
      </c>
      <c r="D75" s="209" t="s">
        <v>875</v>
      </c>
      <c r="E75" s="111" t="s">
        <v>510</v>
      </c>
      <c r="F75" s="111" t="s">
        <v>125</v>
      </c>
      <c r="G75" s="66">
        <v>384</v>
      </c>
      <c r="H75" s="63">
        <v>36942</v>
      </c>
      <c r="I75" s="81">
        <v>0.53700999999999999</v>
      </c>
      <c r="J75" s="81">
        <v>525.40893999999992</v>
      </c>
      <c r="K75" s="24">
        <v>7.2014540455863449E-7</v>
      </c>
      <c r="L75" s="32">
        <v>7.6687311407443457E-3</v>
      </c>
      <c r="M75" s="32">
        <v>5.2156571173849996E-3</v>
      </c>
      <c r="N75" s="14"/>
      <c r="O75" s="14"/>
      <c r="P75" s="14"/>
      <c r="Q75" s="14"/>
      <c r="R75" s="14"/>
    </row>
    <row r="76" spans="1:18" x14ac:dyDescent="0.25">
      <c r="A76" s="16" t="s">
        <v>578</v>
      </c>
      <c r="B76" s="111" t="s">
        <v>579</v>
      </c>
      <c r="C76" s="111" t="s">
        <v>509</v>
      </c>
      <c r="D76" s="209" t="s">
        <v>876</v>
      </c>
      <c r="E76" s="111" t="s">
        <v>510</v>
      </c>
      <c r="F76" s="111" t="s">
        <v>125</v>
      </c>
      <c r="G76" s="66">
        <v>810</v>
      </c>
      <c r="H76" s="63">
        <v>6544</v>
      </c>
      <c r="I76" s="81">
        <v>0</v>
      </c>
      <c r="J76" s="81">
        <v>196.12367999999998</v>
      </c>
      <c r="K76" s="24">
        <v>3.5233990037054284E-6</v>
      </c>
      <c r="L76" s="32">
        <v>2.8625698151488995E-3</v>
      </c>
      <c r="M76" s="32">
        <v>1.9468908684342871E-3</v>
      </c>
      <c r="N76" s="14"/>
      <c r="O76" s="14"/>
      <c r="P76" s="14"/>
      <c r="Q76" s="14"/>
      <c r="R76" s="14"/>
    </row>
    <row r="77" spans="1:18" x14ac:dyDescent="0.25">
      <c r="A77" s="16" t="s">
        <v>582</v>
      </c>
      <c r="B77" s="111" t="s">
        <v>583</v>
      </c>
      <c r="C77" s="111" t="s">
        <v>509</v>
      </c>
      <c r="D77" s="209" t="s">
        <v>877</v>
      </c>
      <c r="E77" s="111" t="s">
        <v>510</v>
      </c>
      <c r="F77" s="111" t="s">
        <v>125</v>
      </c>
      <c r="G77" s="66">
        <v>1379</v>
      </c>
      <c r="H77" s="63">
        <v>16981</v>
      </c>
      <c r="I77" s="81">
        <v>0</v>
      </c>
      <c r="J77" s="81">
        <v>866.42156</v>
      </c>
      <c r="K77" s="24">
        <v>1.3767007720406149E-5</v>
      </c>
      <c r="L77" s="32">
        <v>1.2646061938314747E-2</v>
      </c>
      <c r="M77" s="32">
        <v>8.6008391407839686E-3</v>
      </c>
      <c r="N77" s="14"/>
      <c r="O77" s="14"/>
      <c r="P77" s="14"/>
      <c r="Q77" s="14"/>
      <c r="R77" s="14"/>
    </row>
    <row r="78" spans="1:18" x14ac:dyDescent="0.25">
      <c r="A78" s="16" t="s">
        <v>600</v>
      </c>
      <c r="B78" s="111" t="s">
        <v>601</v>
      </c>
      <c r="C78" s="111" t="s">
        <v>509</v>
      </c>
      <c r="D78" s="209" t="s">
        <v>878</v>
      </c>
      <c r="E78" s="111" t="s">
        <v>510</v>
      </c>
      <c r="F78" s="111" t="s">
        <v>125</v>
      </c>
      <c r="G78" s="66">
        <v>1125</v>
      </c>
      <c r="H78" s="63">
        <v>3769</v>
      </c>
      <c r="I78" s="81">
        <v>0</v>
      </c>
      <c r="J78" s="81">
        <v>156.88461999999998</v>
      </c>
      <c r="K78" s="24">
        <v>9.2053378751352128E-6</v>
      </c>
      <c r="L78" s="32">
        <v>2.2898467827704707E-3</v>
      </c>
      <c r="M78" s="32">
        <v>1.5573705025103705E-3</v>
      </c>
      <c r="N78" s="14"/>
      <c r="O78" s="14"/>
      <c r="P78" s="14"/>
      <c r="Q78" s="14"/>
      <c r="R78" s="14"/>
    </row>
    <row r="79" spans="1:18" x14ac:dyDescent="0.25">
      <c r="A79" s="16" t="s">
        <v>610</v>
      </c>
      <c r="B79" s="111" t="s">
        <v>611</v>
      </c>
      <c r="C79" s="111" t="s">
        <v>545</v>
      </c>
      <c r="D79" s="209" t="s">
        <v>879</v>
      </c>
      <c r="E79" s="111" t="s">
        <v>510</v>
      </c>
      <c r="F79" s="111" t="s">
        <v>126</v>
      </c>
      <c r="G79" s="66">
        <v>87</v>
      </c>
      <c r="H79" s="63">
        <v>17672</v>
      </c>
      <c r="I79" s="81">
        <v>0</v>
      </c>
      <c r="J79" s="81">
        <v>61.782989999999998</v>
      </c>
      <c r="K79" s="24">
        <v>1.6005368973426672E-5</v>
      </c>
      <c r="L79" s="32">
        <v>9.0176832427194052E-4</v>
      </c>
      <c r="M79" s="32">
        <v>6.1331063671437778E-4</v>
      </c>
      <c r="N79" s="14"/>
      <c r="O79" s="14"/>
      <c r="P79" s="14"/>
      <c r="Q79" s="14"/>
      <c r="R79" s="14"/>
    </row>
    <row r="80" spans="1:18" x14ac:dyDescent="0.25">
      <c r="A80" s="16" t="s">
        <v>572</v>
      </c>
      <c r="B80" s="111" t="s">
        <v>573</v>
      </c>
      <c r="C80" s="111" t="s">
        <v>509</v>
      </c>
      <c r="D80" s="209" t="s">
        <v>880</v>
      </c>
      <c r="E80" s="111" t="s">
        <v>510</v>
      </c>
      <c r="F80" s="111" t="s">
        <v>125</v>
      </c>
      <c r="G80" s="66">
        <v>339</v>
      </c>
      <c r="H80" s="63">
        <v>8117</v>
      </c>
      <c r="I80" s="81">
        <v>0</v>
      </c>
      <c r="J80" s="81">
        <v>101.81153</v>
      </c>
      <c r="K80" s="24">
        <v>8.2575362550783057E-7</v>
      </c>
      <c r="L80" s="32">
        <v>1.4860143997508441E-3</v>
      </c>
      <c r="M80" s="32">
        <v>1.0106680542519063E-3</v>
      </c>
      <c r="N80" s="14"/>
      <c r="O80" s="14"/>
      <c r="P80" s="14"/>
      <c r="Q80" s="14"/>
      <c r="R80" s="14"/>
    </row>
    <row r="81" spans="1:18" x14ac:dyDescent="0.25">
      <c r="A81" s="16" t="s">
        <v>574</v>
      </c>
      <c r="B81" s="111" t="s">
        <v>575</v>
      </c>
      <c r="C81" s="111" t="s">
        <v>509</v>
      </c>
      <c r="D81" s="209" t="s">
        <v>881</v>
      </c>
      <c r="E81" s="111" t="s">
        <v>510</v>
      </c>
      <c r="F81" s="111" t="s">
        <v>125</v>
      </c>
      <c r="G81" s="66">
        <v>900</v>
      </c>
      <c r="H81" s="63">
        <v>13272.999999999998</v>
      </c>
      <c r="I81" s="81">
        <v>0</v>
      </c>
      <c r="J81" s="81">
        <v>441.99090000000001</v>
      </c>
      <c r="K81" s="24">
        <v>2.9479215173282217E-6</v>
      </c>
      <c r="L81" s="32">
        <v>6.4511832987760361E-3</v>
      </c>
      <c r="M81" s="32">
        <v>4.3875785276976864E-3</v>
      </c>
      <c r="N81" s="14"/>
      <c r="O81" s="14"/>
      <c r="P81" s="14"/>
      <c r="Q81" s="14"/>
      <c r="R81" s="14"/>
    </row>
    <row r="82" spans="1:18" x14ac:dyDescent="0.25">
      <c r="A82" s="16" t="s">
        <v>580</v>
      </c>
      <c r="B82" s="111" t="s">
        <v>581</v>
      </c>
      <c r="C82" s="111" t="s">
        <v>509</v>
      </c>
      <c r="D82" s="209" t="s">
        <v>882</v>
      </c>
      <c r="E82" s="111" t="s">
        <v>510</v>
      </c>
      <c r="F82" s="111" t="s">
        <v>125</v>
      </c>
      <c r="G82" s="66">
        <v>1479</v>
      </c>
      <c r="H82" s="63">
        <v>3371</v>
      </c>
      <c r="I82" s="81">
        <v>0</v>
      </c>
      <c r="J82" s="81">
        <v>184.47123000000002</v>
      </c>
      <c r="K82" s="24">
        <v>1.5477869633684067E-6</v>
      </c>
      <c r="L82" s="32">
        <v>2.6924937098946446E-3</v>
      </c>
      <c r="M82" s="32">
        <v>1.8312187145164784E-3</v>
      </c>
      <c r="N82" s="14"/>
      <c r="O82" s="14"/>
      <c r="P82" s="14"/>
      <c r="Q82" s="14"/>
      <c r="R82" s="14"/>
    </row>
    <row r="83" spans="1:18" x14ac:dyDescent="0.25">
      <c r="A83" s="16" t="s">
        <v>584</v>
      </c>
      <c r="B83" s="111" t="s">
        <v>585</v>
      </c>
      <c r="C83" s="111" t="s">
        <v>509</v>
      </c>
      <c r="D83" s="209" t="s">
        <v>883</v>
      </c>
      <c r="E83" s="111" t="s">
        <v>510</v>
      </c>
      <c r="F83" s="111" t="s">
        <v>125</v>
      </c>
      <c r="G83" s="66">
        <v>1602</v>
      </c>
      <c r="H83" s="63">
        <v>8320</v>
      </c>
      <c r="I83" s="81">
        <v>0</v>
      </c>
      <c r="J83" s="81">
        <v>493.15967999999998</v>
      </c>
      <c r="K83" s="24">
        <v>2.0658533437300003E-5</v>
      </c>
      <c r="L83" s="32">
        <v>7.1980293966362975E-3</v>
      </c>
      <c r="M83" s="32">
        <v>4.8955234659678786E-3</v>
      </c>
      <c r="N83" s="14"/>
      <c r="O83" s="14"/>
      <c r="P83" s="14"/>
      <c r="Q83" s="14"/>
      <c r="R83" s="14"/>
    </row>
    <row r="84" spans="1:18" x14ac:dyDescent="0.25">
      <c r="A84" s="16" t="s">
        <v>606</v>
      </c>
      <c r="B84" s="111" t="s">
        <v>607</v>
      </c>
      <c r="C84" s="111" t="s">
        <v>509</v>
      </c>
      <c r="D84" s="209" t="s">
        <v>884</v>
      </c>
      <c r="E84" s="111" t="s">
        <v>510</v>
      </c>
      <c r="F84" s="111" t="s">
        <v>125</v>
      </c>
      <c r="G84" s="66">
        <v>578</v>
      </c>
      <c r="H84" s="63">
        <v>4099</v>
      </c>
      <c r="I84" s="81">
        <v>0</v>
      </c>
      <c r="J84" s="81">
        <v>87.661210000000011</v>
      </c>
      <c r="K84" s="24">
        <v>1.0824488964264954E-4</v>
      </c>
      <c r="L84" s="32">
        <v>1.2794800388480822E-3</v>
      </c>
      <c r="M84" s="32">
        <v>8.7019991295747892E-4</v>
      </c>
      <c r="N84" s="14"/>
      <c r="O84" s="14"/>
      <c r="P84" s="14"/>
      <c r="Q84" s="14"/>
      <c r="R84" s="14"/>
    </row>
    <row r="85" spans="1:18" s="113" customFormat="1" x14ac:dyDescent="0.25">
      <c r="A85" s="89" t="s">
        <v>505</v>
      </c>
      <c r="B85" s="125" t="s">
        <v>248</v>
      </c>
      <c r="C85" s="125" t="s">
        <v>248</v>
      </c>
      <c r="D85" s="125" t="s">
        <v>248</v>
      </c>
      <c r="E85" s="125" t="s">
        <v>248</v>
      </c>
      <c r="F85" s="125" t="s">
        <v>248</v>
      </c>
      <c r="G85" s="129" t="s">
        <v>248</v>
      </c>
      <c r="H85" s="116" t="s">
        <v>248</v>
      </c>
      <c r="I85" s="118" t="s">
        <v>248</v>
      </c>
      <c r="J85" s="118">
        <v>0</v>
      </c>
      <c r="K85" s="131"/>
      <c r="L85" s="115">
        <v>0</v>
      </c>
      <c r="M85" s="115">
        <v>0</v>
      </c>
    </row>
    <row r="86" spans="1:18" s="113" customFormat="1" x14ac:dyDescent="0.25">
      <c r="A86" s="75" t="s">
        <v>241</v>
      </c>
      <c r="B86" s="119"/>
      <c r="C86" s="119"/>
      <c r="D86" s="119"/>
      <c r="E86" s="119"/>
      <c r="F86" s="119"/>
      <c r="G86" s="120"/>
      <c r="H86" s="120"/>
      <c r="I86" s="120"/>
      <c r="J86" s="120"/>
      <c r="K86" s="121"/>
      <c r="L86" s="121"/>
      <c r="M86" s="122"/>
      <c r="N86" s="142"/>
      <c r="O86" s="142"/>
      <c r="P86" s="142"/>
      <c r="Q86" s="124"/>
      <c r="R86" s="124"/>
    </row>
    <row r="87" spans="1:18" s="113" customFormat="1" x14ac:dyDescent="0.25">
      <c r="A87" s="75" t="s">
        <v>242</v>
      </c>
      <c r="B87" s="119"/>
      <c r="C87" s="119"/>
      <c r="D87" s="119"/>
      <c r="E87" s="119"/>
      <c r="F87" s="119"/>
      <c r="G87" s="120"/>
      <c r="H87" s="120"/>
      <c r="I87" s="120"/>
      <c r="J87" s="120"/>
      <c r="K87" s="121"/>
      <c r="L87" s="121"/>
      <c r="M87" s="122"/>
      <c r="N87" s="142"/>
      <c r="O87" s="142"/>
      <c r="P87" s="142"/>
      <c r="Q87" s="124"/>
      <c r="R87" s="124"/>
    </row>
    <row r="88" spans="1:18" s="113" customFormat="1" x14ac:dyDescent="0.25">
      <c r="A88" s="75" t="s">
        <v>243</v>
      </c>
      <c r="B88" s="119"/>
      <c r="C88" s="119"/>
      <c r="D88" s="119"/>
      <c r="E88" s="119"/>
      <c r="F88" s="119"/>
      <c r="G88" s="120"/>
      <c r="H88" s="120"/>
      <c r="I88" s="120"/>
      <c r="J88" s="120"/>
      <c r="K88" s="121"/>
      <c r="L88" s="121"/>
      <c r="M88" s="122"/>
      <c r="N88" s="142"/>
      <c r="O88" s="142"/>
      <c r="P88" s="142"/>
      <c r="Q88" s="124"/>
      <c r="R88" s="124"/>
    </row>
    <row r="89" spans="1:18" s="113" customFormat="1" x14ac:dyDescent="0.25">
      <c r="A89" s="75" t="s">
        <v>244</v>
      </c>
      <c r="B89" s="119"/>
      <c r="C89" s="119"/>
      <c r="D89" s="119"/>
      <c r="E89" s="119"/>
      <c r="F89" s="119"/>
      <c r="G89" s="120"/>
      <c r="H89" s="120"/>
      <c r="I89" s="120"/>
      <c r="J89" s="120"/>
      <c r="K89" s="121"/>
      <c r="L89" s="121"/>
      <c r="M89" s="122"/>
      <c r="N89" s="142"/>
      <c r="O89" s="142"/>
      <c r="P89" s="142"/>
      <c r="Q89" s="124"/>
      <c r="R89" s="124"/>
    </row>
    <row r="90" spans="1:18" s="113" customFormat="1" x14ac:dyDescent="0.25">
      <c r="A90" s="75" t="s">
        <v>245</v>
      </c>
      <c r="B90" s="119"/>
      <c r="C90" s="119"/>
      <c r="D90" s="119"/>
      <c r="E90" s="119"/>
      <c r="F90" s="119"/>
      <c r="G90" s="120"/>
      <c r="H90" s="120"/>
      <c r="I90" s="120"/>
      <c r="J90" s="120"/>
      <c r="K90" s="121"/>
      <c r="L90" s="121"/>
      <c r="M90" s="122"/>
      <c r="N90" s="142"/>
      <c r="O90" s="142"/>
      <c r="P90" s="142"/>
      <c r="Q90" s="124"/>
      <c r="R90" s="124"/>
    </row>
  </sheetData>
  <mergeCells count="2">
    <mergeCell ref="A5:M5"/>
    <mergeCell ref="A4:M4"/>
  </mergeCells>
  <phoneticPr fontId="3" type="noConversion"/>
  <conditionalFormatting sqref="A9:A85 I9:J85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85">
    <cfRule type="expression" dxfId="102" priority="141" stopIfTrue="1">
      <formula>OR(LEFT(#REF!,3)="TIR",LEFT(#REF!,2)="IR")</formula>
    </cfRule>
  </conditionalFormatting>
  <conditionalFormatting sqref="C9:D9 B10:F85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85 K9:K85 M86:M55620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30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7" customWidth="1"/>
    <col min="7" max="7" width="11.109375" style="57" customWidth="1"/>
    <col min="8" max="8" width="12.6640625" style="57" bestFit="1" customWidth="1"/>
    <col min="9" max="9" width="10.88671875" style="36" bestFit="1" customWidth="1"/>
    <col min="10" max="10" width="10.33203125" style="59" bestFit="1" customWidth="1"/>
    <col min="11" max="11" width="10.44140625" style="61" customWidth="1"/>
    <col min="12" max="12" width="22" style="61" customWidth="1"/>
    <col min="13" max="13" width="25.44140625" style="61" customWidth="1"/>
    <col min="14" max="14" width="20.6640625" style="61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60"/>
      <c r="M1" s="60"/>
      <c r="N1" s="60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60"/>
      <c r="M2" s="60"/>
      <c r="N2" s="60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60"/>
      <c r="M3" s="60"/>
      <c r="N3" s="60"/>
      <c r="O3" s="12"/>
      <c r="P3" s="12"/>
      <c r="Q3" s="14"/>
    </row>
    <row r="4" spans="1:19" s="7" customFormat="1" ht="15.75" customHeight="1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6"/>
      <c r="O4" s="12"/>
      <c r="P4" s="12"/>
      <c r="Q4" s="12"/>
      <c r="R4" s="12"/>
      <c r="S4" s="12"/>
    </row>
    <row r="5" spans="1:19" s="7" customFormat="1" x14ac:dyDescent="0.25">
      <c r="A5" s="217" t="s">
        <v>22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9"/>
      <c r="O5" s="12"/>
      <c r="P5" s="12"/>
      <c r="Q5" s="12"/>
      <c r="R5" s="12"/>
      <c r="S5" s="12"/>
    </row>
    <row r="6" spans="1:19" s="7" customFormat="1" ht="30.75" customHeight="1" x14ac:dyDescent="0.25">
      <c r="A6" s="83" t="s">
        <v>157</v>
      </c>
      <c r="B6" s="197" t="s">
        <v>69</v>
      </c>
      <c r="C6" s="197" t="s">
        <v>76</v>
      </c>
      <c r="D6" s="197" t="s">
        <v>74</v>
      </c>
      <c r="E6" s="197" t="s">
        <v>19</v>
      </c>
      <c r="F6" s="197" t="s">
        <v>70</v>
      </c>
      <c r="G6" s="197" t="s">
        <v>5</v>
      </c>
      <c r="H6" s="197" t="s">
        <v>6</v>
      </c>
      <c r="I6" s="198" t="s">
        <v>67</v>
      </c>
      <c r="J6" s="198" t="s">
        <v>68</v>
      </c>
      <c r="K6" s="198" t="s">
        <v>7</v>
      </c>
      <c r="L6" s="86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0"/>
      <c r="H7" s="29"/>
      <c r="I7" s="2" t="s">
        <v>133</v>
      </c>
      <c r="J7" s="46"/>
      <c r="K7" s="2" t="s">
        <v>135</v>
      </c>
      <c r="L7" s="53" t="s">
        <v>9</v>
      </c>
      <c r="M7" s="53" t="s">
        <v>9</v>
      </c>
      <c r="N7" s="52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3" customFormat="1" ht="12.75" customHeight="1" thickBot="1" x14ac:dyDescent="0.3">
      <c r="A9" s="96" t="s">
        <v>54</v>
      </c>
      <c r="B9" s="64"/>
      <c r="C9" s="64"/>
      <c r="D9" s="64"/>
      <c r="E9" s="64"/>
      <c r="F9" s="97"/>
      <c r="G9" s="97"/>
      <c r="H9" s="97"/>
      <c r="I9" s="100"/>
      <c r="J9" s="97"/>
      <c r="K9" s="99">
        <v>2086.2886807999998</v>
      </c>
      <c r="L9" s="64"/>
      <c r="M9" s="64">
        <v>0.99999999999999989</v>
      </c>
      <c r="N9" s="78">
        <v>2.0710280276034668E-2</v>
      </c>
    </row>
    <row r="10" spans="1:19" s="113" customFormat="1" x14ac:dyDescent="0.25">
      <c r="A10" s="88" t="s">
        <v>137</v>
      </c>
      <c r="B10" s="115" t="s">
        <v>248</v>
      </c>
      <c r="C10" s="115" t="s">
        <v>248</v>
      </c>
      <c r="D10" s="115" t="s">
        <v>248</v>
      </c>
      <c r="E10" s="131" t="s">
        <v>248</v>
      </c>
      <c r="F10" s="116" t="s">
        <v>248</v>
      </c>
      <c r="G10" s="116" t="s">
        <v>248</v>
      </c>
      <c r="H10" s="116" t="s">
        <v>248</v>
      </c>
      <c r="I10" s="127" t="s">
        <v>248</v>
      </c>
      <c r="J10" s="116" t="s">
        <v>248</v>
      </c>
      <c r="K10" s="117">
        <v>0</v>
      </c>
      <c r="L10" s="115" t="s">
        <v>248</v>
      </c>
      <c r="M10" s="115">
        <v>0</v>
      </c>
      <c r="N10" s="115">
        <v>0</v>
      </c>
    </row>
    <row r="11" spans="1:19" s="113" customFormat="1" x14ac:dyDescent="0.25">
      <c r="A11" s="89" t="s">
        <v>58</v>
      </c>
      <c r="B11" s="115" t="s">
        <v>248</v>
      </c>
      <c r="C11" s="115" t="s">
        <v>248</v>
      </c>
      <c r="D11" s="115" t="s">
        <v>248</v>
      </c>
      <c r="E11" s="131" t="s">
        <v>248</v>
      </c>
      <c r="F11" s="116" t="s">
        <v>248</v>
      </c>
      <c r="G11" s="116" t="s">
        <v>248</v>
      </c>
      <c r="H11" s="116" t="s">
        <v>248</v>
      </c>
      <c r="I11" s="129" t="s">
        <v>248</v>
      </c>
      <c r="J11" s="130" t="s">
        <v>248</v>
      </c>
      <c r="K11" s="118">
        <v>0</v>
      </c>
      <c r="L11" s="131"/>
      <c r="M11" s="131">
        <v>0</v>
      </c>
      <c r="N11" s="115">
        <v>0</v>
      </c>
    </row>
    <row r="12" spans="1:19" s="113" customFormat="1" x14ac:dyDescent="0.25">
      <c r="A12" s="89" t="s">
        <v>616</v>
      </c>
      <c r="B12" s="115" t="s">
        <v>248</v>
      </c>
      <c r="C12" s="115" t="s">
        <v>248</v>
      </c>
      <c r="D12" s="115" t="s">
        <v>248</v>
      </c>
      <c r="E12" s="131" t="s">
        <v>248</v>
      </c>
      <c r="F12" s="116" t="s">
        <v>248</v>
      </c>
      <c r="G12" s="116" t="s">
        <v>248</v>
      </c>
      <c r="H12" s="116" t="s">
        <v>248</v>
      </c>
      <c r="I12" s="129" t="s">
        <v>248</v>
      </c>
      <c r="J12" s="130" t="s">
        <v>248</v>
      </c>
      <c r="K12" s="118">
        <v>0</v>
      </c>
      <c r="L12" s="131"/>
      <c r="M12" s="131">
        <v>0</v>
      </c>
      <c r="N12" s="115">
        <v>0</v>
      </c>
    </row>
    <row r="13" spans="1:19" s="113" customFormat="1" x14ac:dyDescent="0.25">
      <c r="A13" s="89" t="s">
        <v>59</v>
      </c>
      <c r="B13" s="115" t="s">
        <v>248</v>
      </c>
      <c r="C13" s="115" t="s">
        <v>248</v>
      </c>
      <c r="D13" s="115" t="s">
        <v>248</v>
      </c>
      <c r="E13" s="131" t="s">
        <v>248</v>
      </c>
      <c r="F13" s="116" t="s">
        <v>248</v>
      </c>
      <c r="G13" s="116" t="s">
        <v>248</v>
      </c>
      <c r="H13" s="116" t="s">
        <v>248</v>
      </c>
      <c r="I13" s="129" t="s">
        <v>248</v>
      </c>
      <c r="J13" s="130" t="s">
        <v>248</v>
      </c>
      <c r="K13" s="118">
        <v>0</v>
      </c>
      <c r="L13" s="131"/>
      <c r="M13" s="131">
        <v>0</v>
      </c>
      <c r="N13" s="115">
        <v>0</v>
      </c>
    </row>
    <row r="14" spans="1:19" s="113" customFormat="1" x14ac:dyDescent="0.25">
      <c r="A14" s="89" t="s">
        <v>141</v>
      </c>
      <c r="B14" s="115" t="s">
        <v>248</v>
      </c>
      <c r="C14" s="115" t="s">
        <v>248</v>
      </c>
      <c r="D14" s="115" t="s">
        <v>248</v>
      </c>
      <c r="E14" s="131" t="s">
        <v>248</v>
      </c>
      <c r="F14" s="116" t="s">
        <v>248</v>
      </c>
      <c r="G14" s="116" t="s">
        <v>248</v>
      </c>
      <c r="H14" s="116" t="s">
        <v>248</v>
      </c>
      <c r="I14" s="129" t="s">
        <v>248</v>
      </c>
      <c r="J14" s="130" t="s">
        <v>248</v>
      </c>
      <c r="K14" s="118">
        <v>0</v>
      </c>
      <c r="L14" s="131"/>
      <c r="M14" s="131">
        <v>0</v>
      </c>
      <c r="N14" s="115">
        <v>0</v>
      </c>
    </row>
    <row r="15" spans="1:19" s="113" customFormat="1" x14ac:dyDescent="0.25">
      <c r="A15" s="89" t="s">
        <v>414</v>
      </c>
      <c r="B15" s="115" t="s">
        <v>248</v>
      </c>
      <c r="C15" s="115" t="s">
        <v>248</v>
      </c>
      <c r="D15" s="115" t="s">
        <v>248</v>
      </c>
      <c r="E15" s="131" t="s">
        <v>248</v>
      </c>
      <c r="F15" s="116" t="s">
        <v>248</v>
      </c>
      <c r="G15" s="116" t="s">
        <v>248</v>
      </c>
      <c r="H15" s="116" t="s">
        <v>248</v>
      </c>
      <c r="I15" s="129" t="s">
        <v>248</v>
      </c>
      <c r="J15" s="130" t="s">
        <v>248</v>
      </c>
      <c r="K15" s="118">
        <v>2086.2886804</v>
      </c>
      <c r="L15" s="131"/>
      <c r="M15" s="131">
        <v>0.99999999980827192</v>
      </c>
      <c r="N15" s="115">
        <v>0</v>
      </c>
    </row>
    <row r="16" spans="1:19" s="113" customFormat="1" x14ac:dyDescent="0.25">
      <c r="A16" s="89" t="s">
        <v>58</v>
      </c>
      <c r="B16" s="115" t="s">
        <v>248</v>
      </c>
      <c r="C16" s="115" t="s">
        <v>248</v>
      </c>
      <c r="D16" s="115" t="s">
        <v>248</v>
      </c>
      <c r="E16" s="131" t="s">
        <v>248</v>
      </c>
      <c r="F16" s="116" t="s">
        <v>248</v>
      </c>
      <c r="G16" s="116" t="s">
        <v>248</v>
      </c>
      <c r="H16" s="116" t="s">
        <v>248</v>
      </c>
      <c r="I16" s="129" t="s">
        <v>248</v>
      </c>
      <c r="J16" s="130" t="s">
        <v>248</v>
      </c>
      <c r="K16" s="118">
        <v>34.735600099999999</v>
      </c>
      <c r="L16" s="131"/>
      <c r="M16" s="131">
        <v>1.6649469663364332E-2</v>
      </c>
      <c r="N16" s="115">
        <v>3.4481518317561199E-4</v>
      </c>
    </row>
    <row r="17" spans="1:16" x14ac:dyDescent="0.25">
      <c r="A17" s="16" t="s">
        <v>617</v>
      </c>
      <c r="B17" s="32" t="s">
        <v>618</v>
      </c>
      <c r="C17" s="32" t="s">
        <v>218</v>
      </c>
      <c r="D17" s="210" t="s">
        <v>885</v>
      </c>
      <c r="E17" s="24" t="s">
        <v>561</v>
      </c>
      <c r="F17" s="63" t="s">
        <v>422</v>
      </c>
      <c r="G17" s="63" t="s">
        <v>422</v>
      </c>
      <c r="H17" s="63" t="s">
        <v>125</v>
      </c>
      <c r="I17" s="66">
        <v>200</v>
      </c>
      <c r="J17" s="58">
        <v>4694</v>
      </c>
      <c r="K17" s="81">
        <v>34.735599999999998</v>
      </c>
      <c r="L17" s="24">
        <v>2.8853048337540734E-6</v>
      </c>
      <c r="M17" s="24">
        <v>1.664946961543233E-2</v>
      </c>
      <c r="N17" s="32">
        <v>3.4481518218292673E-4</v>
      </c>
      <c r="O17" s="14"/>
      <c r="P17" s="14"/>
    </row>
    <row r="18" spans="1:16" s="113" customFormat="1" x14ac:dyDescent="0.25">
      <c r="A18" s="89" t="s">
        <v>616</v>
      </c>
      <c r="B18" s="115" t="s">
        <v>248</v>
      </c>
      <c r="C18" s="115" t="s">
        <v>248</v>
      </c>
      <c r="D18" s="115" t="s">
        <v>248</v>
      </c>
      <c r="E18" s="131" t="s">
        <v>248</v>
      </c>
      <c r="F18" s="116" t="s">
        <v>248</v>
      </c>
      <c r="G18" s="116" t="s">
        <v>248</v>
      </c>
      <c r="H18" s="116" t="s">
        <v>248</v>
      </c>
      <c r="I18" s="129" t="s">
        <v>248</v>
      </c>
      <c r="J18" s="130" t="s">
        <v>248</v>
      </c>
      <c r="K18" s="118">
        <v>0</v>
      </c>
      <c r="L18" s="131"/>
      <c r="M18" s="131">
        <v>0</v>
      </c>
      <c r="N18" s="115">
        <v>0</v>
      </c>
    </row>
    <row r="19" spans="1:16" s="113" customFormat="1" x14ac:dyDescent="0.25">
      <c r="A19" s="89" t="s">
        <v>59</v>
      </c>
      <c r="B19" s="115" t="s">
        <v>248</v>
      </c>
      <c r="C19" s="115" t="s">
        <v>248</v>
      </c>
      <c r="D19" s="115" t="s">
        <v>248</v>
      </c>
      <c r="E19" s="131" t="s">
        <v>248</v>
      </c>
      <c r="F19" s="116" t="s">
        <v>248</v>
      </c>
      <c r="G19" s="116" t="s">
        <v>248</v>
      </c>
      <c r="H19" s="116" t="s">
        <v>248</v>
      </c>
      <c r="I19" s="129" t="s">
        <v>248</v>
      </c>
      <c r="J19" s="130" t="s">
        <v>248</v>
      </c>
      <c r="K19" s="118">
        <v>0</v>
      </c>
      <c r="L19" s="131"/>
      <c r="M19" s="131">
        <v>0</v>
      </c>
      <c r="N19" s="115">
        <v>0</v>
      </c>
    </row>
    <row r="20" spans="1:16" s="113" customFormat="1" x14ac:dyDescent="0.25">
      <c r="A20" s="89" t="s">
        <v>141</v>
      </c>
      <c r="B20" s="115" t="s">
        <v>248</v>
      </c>
      <c r="C20" s="115" t="s">
        <v>248</v>
      </c>
      <c r="D20" s="115" t="s">
        <v>248</v>
      </c>
      <c r="E20" s="131" t="s">
        <v>248</v>
      </c>
      <c r="F20" s="116" t="s">
        <v>248</v>
      </c>
      <c r="G20" s="116" t="s">
        <v>248</v>
      </c>
      <c r="H20" s="116" t="s">
        <v>248</v>
      </c>
      <c r="I20" s="129" t="s">
        <v>248</v>
      </c>
      <c r="J20" s="130" t="s">
        <v>248</v>
      </c>
      <c r="K20" s="118">
        <v>2051.5530801</v>
      </c>
      <c r="L20" s="131"/>
      <c r="M20" s="131">
        <v>0.9833505300490436</v>
      </c>
      <c r="N20" s="115">
        <v>0</v>
      </c>
    </row>
    <row r="21" spans="1:16" x14ac:dyDescent="0.25">
      <c r="A21" s="16" t="s">
        <v>619</v>
      </c>
      <c r="B21" s="32" t="s">
        <v>620</v>
      </c>
      <c r="C21" s="32" t="s">
        <v>218</v>
      </c>
      <c r="D21" s="32" t="s">
        <v>621</v>
      </c>
      <c r="E21" s="24" t="s">
        <v>188</v>
      </c>
      <c r="F21" s="63" t="s">
        <v>622</v>
      </c>
      <c r="G21" s="63" t="s">
        <v>262</v>
      </c>
      <c r="H21" s="63" t="s">
        <v>125</v>
      </c>
      <c r="I21" s="66">
        <v>213646.8</v>
      </c>
      <c r="J21" s="58">
        <v>100</v>
      </c>
      <c r="K21" s="81">
        <v>790.49315999999999</v>
      </c>
      <c r="L21" s="24">
        <v>0</v>
      </c>
      <c r="M21" s="24">
        <v>0.37889922294784278</v>
      </c>
      <c r="N21" s="32">
        <v>7.8471091036215711E-3</v>
      </c>
      <c r="O21" s="14"/>
      <c r="P21" s="14"/>
    </row>
    <row r="22" spans="1:16" x14ac:dyDescent="0.25">
      <c r="A22" s="16" t="s">
        <v>623</v>
      </c>
      <c r="B22" s="32" t="s">
        <v>624</v>
      </c>
      <c r="C22" s="32" t="s">
        <v>218</v>
      </c>
      <c r="D22" s="32" t="s">
        <v>621</v>
      </c>
      <c r="E22" s="24" t="s">
        <v>188</v>
      </c>
      <c r="F22" s="63" t="s">
        <v>622</v>
      </c>
      <c r="G22" s="63" t="s">
        <v>262</v>
      </c>
      <c r="H22" s="63" t="s">
        <v>125</v>
      </c>
      <c r="I22" s="66">
        <v>160235.1</v>
      </c>
      <c r="J22" s="58">
        <v>100</v>
      </c>
      <c r="K22" s="81">
        <v>592.86986999999999</v>
      </c>
      <c r="L22" s="24">
        <v>0</v>
      </c>
      <c r="M22" s="24">
        <v>0.2841744172108821</v>
      </c>
      <c r="N22" s="32">
        <v>5.8853318277161783E-3</v>
      </c>
      <c r="O22" s="14"/>
      <c r="P22" s="14"/>
    </row>
    <row r="23" spans="1:16" x14ac:dyDescent="0.25">
      <c r="A23" s="16" t="s">
        <v>625</v>
      </c>
      <c r="B23" s="32" t="s">
        <v>626</v>
      </c>
      <c r="C23" s="32" t="s">
        <v>218</v>
      </c>
      <c r="D23" s="210" t="s">
        <v>886</v>
      </c>
      <c r="E23" s="24" t="s">
        <v>188</v>
      </c>
      <c r="F23" s="63" t="s">
        <v>622</v>
      </c>
      <c r="G23" s="63" t="s">
        <v>262</v>
      </c>
      <c r="H23" s="63" t="s">
        <v>125</v>
      </c>
      <c r="I23" s="66">
        <v>160235.15</v>
      </c>
      <c r="J23" s="58">
        <v>100</v>
      </c>
      <c r="K23" s="81">
        <v>592.87004999999999</v>
      </c>
      <c r="L23" s="24">
        <v>0</v>
      </c>
      <c r="M23" s="24">
        <v>0.28417450348849155</v>
      </c>
      <c r="N23" s="32">
        <v>5.885333614549652E-3</v>
      </c>
      <c r="O23" s="14"/>
      <c r="P23" s="14"/>
    </row>
    <row r="24" spans="1:16" x14ac:dyDescent="0.25">
      <c r="A24" s="16" t="s">
        <v>627</v>
      </c>
      <c r="B24" s="32" t="s">
        <v>628</v>
      </c>
      <c r="C24" s="32" t="s">
        <v>218</v>
      </c>
      <c r="D24" s="210" t="s">
        <v>886</v>
      </c>
      <c r="E24" s="24" t="s">
        <v>188</v>
      </c>
      <c r="F24" s="63" t="s">
        <v>629</v>
      </c>
      <c r="G24" s="63" t="s">
        <v>262</v>
      </c>
      <c r="H24" s="63" t="s">
        <v>126</v>
      </c>
      <c r="I24" s="66">
        <v>0.04</v>
      </c>
      <c r="J24" s="58">
        <v>979831</v>
      </c>
      <c r="K24" s="81">
        <v>1.57498</v>
      </c>
      <c r="L24" s="24">
        <v>1.8862159113629418E-8</v>
      </c>
      <c r="M24" s="24">
        <v>7.549194962779861E-4</v>
      </c>
      <c r="N24" s="32">
        <v>1.5634594353760005E-5</v>
      </c>
      <c r="O24" s="14"/>
      <c r="P24" s="14"/>
    </row>
    <row r="25" spans="1:16" x14ac:dyDescent="0.25">
      <c r="A25" s="16" t="s">
        <v>630</v>
      </c>
      <c r="B25" s="32" t="s">
        <v>631</v>
      </c>
      <c r="C25" s="32" t="s">
        <v>218</v>
      </c>
      <c r="D25" s="32" t="s">
        <v>621</v>
      </c>
      <c r="E25" s="24" t="s">
        <v>188</v>
      </c>
      <c r="F25" s="63" t="s">
        <v>632</v>
      </c>
      <c r="G25" s="63" t="s">
        <v>316</v>
      </c>
      <c r="H25" s="63" t="s">
        <v>2</v>
      </c>
      <c r="I25" s="66">
        <v>15788.86</v>
      </c>
      <c r="J25" s="58">
        <v>100</v>
      </c>
      <c r="K25" s="81">
        <v>73.745020000000011</v>
      </c>
      <c r="L25" s="24">
        <v>0</v>
      </c>
      <c r="M25" s="24">
        <v>3.5347466857617249E-2</v>
      </c>
      <c r="N25" s="32">
        <v>7.3205594566909979E-4</v>
      </c>
      <c r="O25" s="14"/>
      <c r="P25" s="14"/>
    </row>
    <row r="26" spans="1:16" s="113" customFormat="1" x14ac:dyDescent="0.25">
      <c r="A26" s="75" t="s">
        <v>241</v>
      </c>
      <c r="B26" s="119"/>
      <c r="C26" s="119"/>
      <c r="D26" s="119"/>
      <c r="E26" s="119"/>
      <c r="F26" s="120"/>
      <c r="G26" s="120"/>
      <c r="H26" s="120"/>
      <c r="I26" s="121"/>
      <c r="J26" s="122"/>
      <c r="K26" s="123"/>
      <c r="L26" s="123"/>
      <c r="M26" s="123"/>
      <c r="N26" s="123"/>
      <c r="O26" s="124"/>
      <c r="P26" s="124"/>
    </row>
    <row r="27" spans="1:16" s="113" customFormat="1" x14ac:dyDescent="0.25">
      <c r="A27" s="75" t="s">
        <v>242</v>
      </c>
      <c r="B27" s="119"/>
      <c r="C27" s="119"/>
      <c r="D27" s="119"/>
      <c r="E27" s="119"/>
      <c r="F27" s="120"/>
      <c r="G27" s="120"/>
      <c r="H27" s="120"/>
      <c r="I27" s="121"/>
      <c r="J27" s="122"/>
      <c r="K27" s="123"/>
      <c r="L27" s="123"/>
      <c r="M27" s="123"/>
      <c r="N27" s="123"/>
      <c r="O27" s="124"/>
      <c r="P27" s="124"/>
    </row>
    <row r="28" spans="1:16" s="113" customFormat="1" x14ac:dyDescent="0.25">
      <c r="A28" s="75" t="s">
        <v>243</v>
      </c>
      <c r="B28" s="119"/>
      <c r="C28" s="119"/>
      <c r="D28" s="119"/>
      <c r="E28" s="119"/>
      <c r="F28" s="120"/>
      <c r="G28" s="120"/>
      <c r="H28" s="120"/>
      <c r="I28" s="121"/>
      <c r="J28" s="122"/>
      <c r="K28" s="123"/>
      <c r="L28" s="123"/>
      <c r="M28" s="123"/>
      <c r="N28" s="123"/>
      <c r="O28" s="124"/>
      <c r="P28" s="124"/>
    </row>
    <row r="29" spans="1:16" s="113" customFormat="1" x14ac:dyDescent="0.25">
      <c r="A29" s="75" t="s">
        <v>244</v>
      </c>
      <c r="B29" s="119"/>
      <c r="C29" s="119"/>
      <c r="D29" s="119"/>
      <c r="E29" s="119"/>
      <c r="F29" s="120"/>
      <c r="G29" s="120"/>
      <c r="H29" s="120"/>
      <c r="I29" s="121"/>
      <c r="J29" s="122"/>
      <c r="K29" s="123"/>
      <c r="L29" s="123"/>
      <c r="M29" s="123"/>
      <c r="N29" s="123"/>
      <c r="O29" s="124"/>
      <c r="P29" s="124"/>
    </row>
    <row r="30" spans="1:16" s="113" customFormat="1" x14ac:dyDescent="0.25">
      <c r="A30" s="75" t="s">
        <v>245</v>
      </c>
      <c r="B30" s="119"/>
      <c r="C30" s="119"/>
      <c r="D30" s="119"/>
      <c r="E30" s="119"/>
      <c r="F30" s="120"/>
      <c r="G30" s="120"/>
      <c r="H30" s="120"/>
      <c r="I30" s="121"/>
      <c r="J30" s="122"/>
      <c r="K30" s="123"/>
      <c r="L30" s="123"/>
      <c r="M30" s="123"/>
      <c r="N30" s="123"/>
      <c r="O30" s="124"/>
      <c r="P30" s="124"/>
    </row>
  </sheetData>
  <mergeCells count="2">
    <mergeCell ref="A5:N5"/>
    <mergeCell ref="A4:N4"/>
  </mergeCells>
  <phoneticPr fontId="3" type="noConversion"/>
  <conditionalFormatting sqref="A9:A25 K9:K25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25 M9:N25">
    <cfRule type="expression" dxfId="96" priority="163" stopIfTrue="1">
      <formula>OR(LEFT(#REF!,3)="TIR",LEFT(#REF!,2)="IR")</formula>
    </cfRule>
  </conditionalFormatting>
  <conditionalFormatting sqref="C9:D25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25 L9:L25 J26:J55560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7" customWidth="1"/>
    <col min="6" max="6" width="10.109375" style="57" customWidth="1"/>
    <col min="7" max="7" width="8.5546875" style="57" bestFit="1" customWidth="1"/>
    <col min="8" max="8" width="9.88671875" style="36" customWidth="1"/>
    <col min="9" max="9" width="20.88671875" style="59" customWidth="1"/>
    <col min="10" max="10" width="24" style="59" customWidth="1"/>
    <col min="11" max="11" width="19.664062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2"/>
      <c r="K4" s="223"/>
      <c r="L4" s="13"/>
      <c r="M4" s="13"/>
      <c r="N4" s="12"/>
      <c r="O4" s="12"/>
      <c r="P4" s="14"/>
    </row>
    <row r="5" spans="1:16" s="7" customFormat="1" x14ac:dyDescent="0.25">
      <c r="A5" s="217" t="s">
        <v>23</v>
      </c>
      <c r="B5" s="218"/>
      <c r="C5" s="218"/>
      <c r="D5" s="218"/>
      <c r="E5" s="218"/>
      <c r="F5" s="218"/>
      <c r="G5" s="218"/>
      <c r="H5" s="218"/>
      <c r="I5" s="218"/>
      <c r="J5" s="218"/>
      <c r="K5" s="219"/>
    </row>
    <row r="6" spans="1:16" s="7" customFormat="1" x14ac:dyDescent="0.25">
      <c r="A6" s="83" t="s">
        <v>157</v>
      </c>
      <c r="B6" s="197" t="s">
        <v>69</v>
      </c>
      <c r="C6" s="197" t="s">
        <v>76</v>
      </c>
      <c r="D6" s="197" t="s">
        <v>19</v>
      </c>
      <c r="E6" s="197" t="s">
        <v>6</v>
      </c>
      <c r="F6" s="198" t="s">
        <v>67</v>
      </c>
      <c r="G6" s="198" t="s">
        <v>68</v>
      </c>
      <c r="H6" s="198" t="s">
        <v>7</v>
      </c>
      <c r="I6" s="198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46" t="s">
        <v>9</v>
      </c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3" customFormat="1" ht="12.75" customHeight="1" thickBot="1" x14ac:dyDescent="0.3">
      <c r="A9" s="143" t="s">
        <v>55</v>
      </c>
      <c r="B9" s="67"/>
      <c r="C9" s="67"/>
      <c r="D9" s="67"/>
      <c r="E9" s="144"/>
      <c r="F9" s="149"/>
      <c r="G9" s="144"/>
      <c r="H9" s="147">
        <v>2.0000000000000002E-7</v>
      </c>
      <c r="I9" s="67"/>
      <c r="J9" s="80">
        <v>1</v>
      </c>
      <c r="K9" s="79">
        <v>0</v>
      </c>
    </row>
    <row r="10" spans="1:16" s="113" customFormat="1" x14ac:dyDescent="0.25">
      <c r="A10" s="88" t="s">
        <v>137</v>
      </c>
      <c r="B10" s="125" t="s">
        <v>248</v>
      </c>
      <c r="C10" s="125" t="s">
        <v>248</v>
      </c>
      <c r="D10" s="125" t="s">
        <v>248</v>
      </c>
      <c r="E10" s="125" t="s">
        <v>248</v>
      </c>
      <c r="F10" s="127" t="s">
        <v>248</v>
      </c>
      <c r="G10" s="116" t="s">
        <v>248</v>
      </c>
      <c r="H10" s="117">
        <v>0</v>
      </c>
      <c r="I10" s="115" t="s">
        <v>248</v>
      </c>
      <c r="J10" s="115">
        <v>0</v>
      </c>
      <c r="K10" s="115">
        <v>0</v>
      </c>
    </row>
    <row r="11" spans="1:16" s="113" customFormat="1" x14ac:dyDescent="0.25">
      <c r="A11" s="89" t="s">
        <v>633</v>
      </c>
      <c r="B11" s="125" t="s">
        <v>248</v>
      </c>
      <c r="C11" s="125" t="s">
        <v>248</v>
      </c>
      <c r="D11" s="125" t="s">
        <v>248</v>
      </c>
      <c r="E11" s="125" t="s">
        <v>248</v>
      </c>
      <c r="F11" s="129" t="s">
        <v>248</v>
      </c>
      <c r="G11" s="116" t="s">
        <v>248</v>
      </c>
      <c r="H11" s="118">
        <v>0</v>
      </c>
      <c r="I11" s="131"/>
      <c r="J11" s="115">
        <v>0</v>
      </c>
      <c r="K11" s="115">
        <v>0</v>
      </c>
    </row>
    <row r="12" spans="1:16" s="113" customFormat="1" x14ac:dyDescent="0.25">
      <c r="A12" s="89" t="s">
        <v>414</v>
      </c>
      <c r="B12" s="125" t="s">
        <v>248</v>
      </c>
      <c r="C12" s="125" t="s">
        <v>248</v>
      </c>
      <c r="D12" s="125" t="s">
        <v>248</v>
      </c>
      <c r="E12" s="125" t="s">
        <v>248</v>
      </c>
      <c r="F12" s="129" t="s">
        <v>248</v>
      </c>
      <c r="G12" s="116" t="s">
        <v>248</v>
      </c>
      <c r="H12" s="118">
        <v>0</v>
      </c>
      <c r="I12" s="131"/>
      <c r="J12" s="115">
        <v>0</v>
      </c>
      <c r="K12" s="115">
        <v>0</v>
      </c>
    </row>
    <row r="13" spans="1:16" s="113" customFormat="1" x14ac:dyDescent="0.25">
      <c r="A13" s="89" t="s">
        <v>634</v>
      </c>
      <c r="B13" s="125" t="s">
        <v>248</v>
      </c>
      <c r="C13" s="125" t="s">
        <v>248</v>
      </c>
      <c r="D13" s="125" t="s">
        <v>248</v>
      </c>
      <c r="E13" s="125" t="s">
        <v>248</v>
      </c>
      <c r="F13" s="129" t="s">
        <v>248</v>
      </c>
      <c r="G13" s="116" t="s">
        <v>248</v>
      </c>
      <c r="H13" s="118">
        <v>0</v>
      </c>
      <c r="I13" s="131"/>
      <c r="J13" s="115">
        <v>0</v>
      </c>
      <c r="K13" s="115">
        <v>0</v>
      </c>
    </row>
    <row r="14" spans="1:16" s="113" customFormat="1" x14ac:dyDescent="0.25">
      <c r="A14" s="75" t="s">
        <v>241</v>
      </c>
      <c r="B14" s="119"/>
      <c r="C14" s="119"/>
      <c r="D14" s="119"/>
      <c r="E14" s="120"/>
      <c r="F14" s="120"/>
      <c r="G14" s="120"/>
      <c r="H14" s="121"/>
      <c r="I14" s="122"/>
      <c r="J14" s="122"/>
      <c r="K14" s="123"/>
      <c r="L14" s="142"/>
      <c r="M14" s="142"/>
      <c r="N14" s="124"/>
      <c r="O14" s="124"/>
    </row>
    <row r="15" spans="1:16" s="113" customFormat="1" x14ac:dyDescent="0.25">
      <c r="A15" s="75" t="s">
        <v>242</v>
      </c>
      <c r="B15" s="119"/>
      <c r="C15" s="119"/>
      <c r="D15" s="119"/>
      <c r="E15" s="120"/>
      <c r="F15" s="120"/>
      <c r="G15" s="120"/>
      <c r="H15" s="121"/>
      <c r="I15" s="122"/>
      <c r="J15" s="122"/>
      <c r="K15" s="123"/>
      <c r="L15" s="142"/>
      <c r="M15" s="142"/>
      <c r="N15" s="124"/>
      <c r="O15" s="124"/>
    </row>
    <row r="16" spans="1:16" s="113" customFormat="1" x14ac:dyDescent="0.25">
      <c r="A16" s="75" t="s">
        <v>243</v>
      </c>
      <c r="B16" s="119"/>
      <c r="C16" s="119"/>
      <c r="D16" s="119"/>
      <c r="E16" s="120"/>
      <c r="F16" s="120"/>
      <c r="G16" s="120"/>
      <c r="H16" s="121"/>
      <c r="I16" s="122"/>
      <c r="J16" s="122"/>
      <c r="K16" s="123"/>
      <c r="L16" s="142"/>
      <c r="M16" s="142"/>
      <c r="N16" s="124"/>
      <c r="O16" s="124"/>
    </row>
    <row r="17" spans="1:15" s="113" customFormat="1" x14ac:dyDescent="0.25">
      <c r="A17" s="75" t="s">
        <v>244</v>
      </c>
      <c r="B17" s="119"/>
      <c r="C17" s="119"/>
      <c r="D17" s="119"/>
      <c r="E17" s="120"/>
      <c r="F17" s="120"/>
      <c r="G17" s="120"/>
      <c r="H17" s="121"/>
      <c r="I17" s="122"/>
      <c r="J17" s="122"/>
      <c r="K17" s="123"/>
      <c r="L17" s="142"/>
      <c r="M17" s="142"/>
      <c r="N17" s="124"/>
      <c r="O17" s="124"/>
    </row>
    <row r="18" spans="1:15" s="113" customFormat="1" x14ac:dyDescent="0.25">
      <c r="A18" s="75" t="s">
        <v>245</v>
      </c>
      <c r="B18" s="119"/>
      <c r="C18" s="119"/>
      <c r="D18" s="119"/>
      <c r="E18" s="120"/>
      <c r="F18" s="120"/>
      <c r="G18" s="120"/>
      <c r="H18" s="121"/>
      <c r="I18" s="122"/>
      <c r="J18" s="122"/>
      <c r="K18" s="123"/>
      <c r="L18" s="142"/>
      <c r="M18" s="142"/>
      <c r="N18" s="124"/>
      <c r="O18" s="124"/>
    </row>
  </sheetData>
  <mergeCells count="2">
    <mergeCell ref="A5:K5"/>
    <mergeCell ref="A4:K4"/>
  </mergeCells>
  <phoneticPr fontId="3" type="noConversion"/>
  <conditionalFormatting sqref="A9:A13 H9:H13">
    <cfRule type="expression" dxfId="92" priority="176" stopIfTrue="1">
      <formula>#REF!&gt;0</formula>
    </cfRule>
  </conditionalFormatting>
  <conditionalFormatting sqref="B10:E13">
    <cfRule type="expression" dxfId="91" priority="179" stopIfTrue="1">
      <formula>LEFT(#REF!,3)="TIR"</formula>
    </cfRule>
  </conditionalFormatting>
  <conditionalFormatting sqref="G10:G13">
    <cfRule type="expression" dxfId="90" priority="178" stopIfTrue="1">
      <formula>LEFT(#REF!,3)="TIR"</formula>
    </cfRule>
  </conditionalFormatting>
  <conditionalFormatting sqref="J10:K13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7"/>
  <sheetViews>
    <sheetView rightToLeft="1" zoomScale="90" workbookViewId="0"/>
  </sheetViews>
  <sheetFormatPr defaultColWidth="9.109375" defaultRowHeight="13.2" x14ac:dyDescent="0.25"/>
  <cols>
    <col min="1" max="1" width="27.6640625" style="9" bestFit="1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.33203125" style="8" bestFit="1" customWidth="1"/>
    <col min="6" max="6" width="10.109375" style="57" customWidth="1"/>
    <col min="7" max="7" width="8.6640625" style="57" bestFit="1" customWidth="1"/>
    <col min="8" max="8" width="9.5546875" style="57" customWidth="1"/>
    <col min="9" max="9" width="21.109375" style="36" customWidth="1"/>
    <col min="10" max="10" width="24" style="59" customWidth="1"/>
    <col min="11" max="11" width="19.554687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3"/>
      <c r="L4" s="13"/>
      <c r="M4" s="13"/>
      <c r="N4" s="12"/>
      <c r="O4" s="12"/>
      <c r="P4" s="14"/>
    </row>
    <row r="5" spans="1:16" s="7" customFormat="1" x14ac:dyDescent="0.25">
      <c r="A5" s="217" t="s">
        <v>24</v>
      </c>
      <c r="B5" s="218"/>
      <c r="C5" s="218"/>
      <c r="D5" s="218"/>
      <c r="E5" s="218"/>
      <c r="F5" s="218"/>
      <c r="G5" s="218"/>
      <c r="H5" s="218"/>
      <c r="I5" s="218"/>
      <c r="J5" s="218"/>
      <c r="K5" s="219"/>
    </row>
    <row r="6" spans="1:16" s="7" customFormat="1" x14ac:dyDescent="0.25">
      <c r="A6" s="83" t="s">
        <v>157</v>
      </c>
      <c r="B6" s="197" t="s">
        <v>69</v>
      </c>
      <c r="C6" s="197" t="s">
        <v>76</v>
      </c>
      <c r="D6" s="197" t="s">
        <v>19</v>
      </c>
      <c r="E6" s="197" t="s">
        <v>6</v>
      </c>
      <c r="F6" s="198" t="s">
        <v>67</v>
      </c>
      <c r="G6" s="198" t="s">
        <v>68</v>
      </c>
      <c r="H6" s="198" t="s">
        <v>7</v>
      </c>
      <c r="I6" s="198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53"/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3" customFormat="1" ht="12.75" customHeight="1" thickBot="1" x14ac:dyDescent="0.3">
      <c r="A9" s="143" t="s">
        <v>56</v>
      </c>
      <c r="B9" s="67"/>
      <c r="C9" s="67"/>
      <c r="D9" s="67"/>
      <c r="E9" s="144"/>
      <c r="F9" s="145"/>
      <c r="G9" s="149"/>
      <c r="H9" s="103">
        <v>16.6722009</v>
      </c>
      <c r="I9" s="67"/>
      <c r="J9" s="67">
        <v>1</v>
      </c>
      <c r="K9" s="79">
        <v>1.6550248133683759E-4</v>
      </c>
    </row>
    <row r="10" spans="1:16" s="113" customFormat="1" x14ac:dyDescent="0.25">
      <c r="A10" s="88" t="s">
        <v>137</v>
      </c>
      <c r="B10" s="125" t="s">
        <v>248</v>
      </c>
      <c r="C10" s="125" t="s">
        <v>248</v>
      </c>
      <c r="D10" s="125" t="s">
        <v>248</v>
      </c>
      <c r="E10" s="125" t="s">
        <v>248</v>
      </c>
      <c r="F10" s="127" t="s">
        <v>248</v>
      </c>
      <c r="G10" s="116" t="s">
        <v>248</v>
      </c>
      <c r="H10" s="117">
        <v>0</v>
      </c>
      <c r="I10" s="115" t="s">
        <v>248</v>
      </c>
      <c r="J10" s="115">
        <v>0</v>
      </c>
      <c r="K10" s="115">
        <v>0</v>
      </c>
    </row>
    <row r="11" spans="1:16" s="113" customFormat="1" x14ac:dyDescent="0.25">
      <c r="A11" s="89" t="s">
        <v>635</v>
      </c>
      <c r="B11" s="125" t="s">
        <v>248</v>
      </c>
      <c r="C11" s="125" t="s">
        <v>248</v>
      </c>
      <c r="D11" s="125" t="s">
        <v>248</v>
      </c>
      <c r="E11" s="125" t="s">
        <v>248</v>
      </c>
      <c r="F11" s="129" t="s">
        <v>248</v>
      </c>
      <c r="G11" s="116" t="s">
        <v>248</v>
      </c>
      <c r="H11" s="118">
        <v>0</v>
      </c>
      <c r="I11" s="131"/>
      <c r="J11" s="115">
        <v>0</v>
      </c>
      <c r="K11" s="131">
        <v>0</v>
      </c>
    </row>
    <row r="12" spans="1:16" s="113" customFormat="1" x14ac:dyDescent="0.25">
      <c r="A12" s="89" t="s">
        <v>636</v>
      </c>
      <c r="B12" s="125" t="s">
        <v>248</v>
      </c>
      <c r="C12" s="125" t="s">
        <v>248</v>
      </c>
      <c r="D12" s="125" t="s">
        <v>248</v>
      </c>
      <c r="E12" s="125" t="s">
        <v>248</v>
      </c>
      <c r="F12" s="129" t="s">
        <v>248</v>
      </c>
      <c r="G12" s="116" t="s">
        <v>248</v>
      </c>
      <c r="H12" s="118">
        <v>0</v>
      </c>
      <c r="I12" s="131"/>
      <c r="J12" s="115">
        <v>0</v>
      </c>
      <c r="K12" s="131">
        <v>0</v>
      </c>
    </row>
    <row r="13" spans="1:16" s="113" customFormat="1" x14ac:dyDescent="0.25">
      <c r="A13" s="89" t="s">
        <v>637</v>
      </c>
      <c r="B13" s="125" t="s">
        <v>248</v>
      </c>
      <c r="C13" s="125" t="s">
        <v>248</v>
      </c>
      <c r="D13" s="125" t="s">
        <v>248</v>
      </c>
      <c r="E13" s="125" t="s">
        <v>248</v>
      </c>
      <c r="F13" s="129" t="s">
        <v>248</v>
      </c>
      <c r="G13" s="116" t="s">
        <v>248</v>
      </c>
      <c r="H13" s="118">
        <v>0</v>
      </c>
      <c r="I13" s="131"/>
      <c r="J13" s="115">
        <v>0</v>
      </c>
      <c r="K13" s="131">
        <v>0</v>
      </c>
    </row>
    <row r="14" spans="1:16" s="113" customFormat="1" x14ac:dyDescent="0.25">
      <c r="A14" s="89" t="s">
        <v>141</v>
      </c>
      <c r="B14" s="125" t="s">
        <v>248</v>
      </c>
      <c r="C14" s="125" t="s">
        <v>248</v>
      </c>
      <c r="D14" s="125" t="s">
        <v>248</v>
      </c>
      <c r="E14" s="125" t="s">
        <v>248</v>
      </c>
      <c r="F14" s="129" t="s">
        <v>248</v>
      </c>
      <c r="G14" s="116" t="s">
        <v>248</v>
      </c>
      <c r="H14" s="118">
        <v>0</v>
      </c>
      <c r="I14" s="131"/>
      <c r="J14" s="115">
        <v>0</v>
      </c>
      <c r="K14" s="131">
        <v>0</v>
      </c>
    </row>
    <row r="15" spans="1:16" s="113" customFormat="1" x14ac:dyDescent="0.25">
      <c r="A15" s="89" t="s">
        <v>414</v>
      </c>
      <c r="B15" s="125" t="s">
        <v>248</v>
      </c>
      <c r="C15" s="125" t="s">
        <v>248</v>
      </c>
      <c r="D15" s="125" t="s">
        <v>248</v>
      </c>
      <c r="E15" s="125" t="s">
        <v>248</v>
      </c>
      <c r="F15" s="129" t="s">
        <v>248</v>
      </c>
      <c r="G15" s="116" t="s">
        <v>248</v>
      </c>
      <c r="H15" s="118">
        <v>16.672200499999999</v>
      </c>
      <c r="I15" s="131"/>
      <c r="J15" s="115">
        <v>0.99999997600796664</v>
      </c>
      <c r="K15" s="131">
        <v>1.6550247736609651E-4</v>
      </c>
    </row>
    <row r="16" spans="1:16" s="113" customFormat="1" x14ac:dyDescent="0.25">
      <c r="A16" s="89" t="s">
        <v>635</v>
      </c>
      <c r="B16" s="125" t="s">
        <v>248</v>
      </c>
      <c r="C16" s="125" t="s">
        <v>248</v>
      </c>
      <c r="D16" s="125" t="s">
        <v>248</v>
      </c>
      <c r="E16" s="125" t="s">
        <v>248</v>
      </c>
      <c r="F16" s="129" t="s">
        <v>248</v>
      </c>
      <c r="G16" s="116" t="s">
        <v>248</v>
      </c>
      <c r="H16" s="118">
        <v>16.672200100000001</v>
      </c>
      <c r="I16" s="131"/>
      <c r="J16" s="115">
        <v>0.99999995201593339</v>
      </c>
      <c r="K16" s="131">
        <v>1.6550247339535548E-4</v>
      </c>
    </row>
    <row r="17" spans="1:15" x14ac:dyDescent="0.25">
      <c r="A17" s="16" t="s">
        <v>638</v>
      </c>
      <c r="B17" s="111" t="s">
        <v>639</v>
      </c>
      <c r="C17" s="111" t="s">
        <v>218</v>
      </c>
      <c r="D17" s="111" t="s">
        <v>188</v>
      </c>
      <c r="E17" s="111" t="s">
        <v>125</v>
      </c>
      <c r="F17" s="66">
        <v>2</v>
      </c>
      <c r="G17" s="63">
        <v>2831</v>
      </c>
      <c r="H17" s="90">
        <v>20.949400000000001</v>
      </c>
      <c r="I17" s="24">
        <v>0</v>
      </c>
      <c r="J17" s="32">
        <v>1.2565467586226124</v>
      </c>
      <c r="K17" s="24">
        <v>2.0796160646780265E-4</v>
      </c>
      <c r="L17" s="14"/>
      <c r="M17" s="14"/>
      <c r="N17" s="14"/>
      <c r="O17" s="14"/>
    </row>
    <row r="18" spans="1:15" x14ac:dyDescent="0.25">
      <c r="A18" s="16" t="s">
        <v>640</v>
      </c>
      <c r="B18" s="111" t="s">
        <v>641</v>
      </c>
      <c r="C18" s="111" t="s">
        <v>218</v>
      </c>
      <c r="D18" s="111" t="s">
        <v>188</v>
      </c>
      <c r="E18" s="111" t="s">
        <v>125</v>
      </c>
      <c r="F18" s="66">
        <v>-2</v>
      </c>
      <c r="G18" s="63">
        <v>578</v>
      </c>
      <c r="H18" s="90">
        <v>-4.2771999999999997</v>
      </c>
      <c r="I18" s="24">
        <v>0</v>
      </c>
      <c r="J18" s="32">
        <v>-0.25654681260468737</v>
      </c>
      <c r="K18" s="24">
        <v>-4.2459134065132437E-5</v>
      </c>
      <c r="L18" s="14"/>
      <c r="M18" s="14"/>
      <c r="N18" s="14"/>
      <c r="O18" s="14"/>
    </row>
    <row r="19" spans="1:15" s="113" customFormat="1" x14ac:dyDescent="0.25">
      <c r="A19" s="89" t="s">
        <v>642</v>
      </c>
      <c r="B19" s="125" t="s">
        <v>248</v>
      </c>
      <c r="C19" s="125" t="s">
        <v>248</v>
      </c>
      <c r="D19" s="125" t="s">
        <v>248</v>
      </c>
      <c r="E19" s="125" t="s">
        <v>248</v>
      </c>
      <c r="F19" s="129" t="s">
        <v>248</v>
      </c>
      <c r="G19" s="116" t="s">
        <v>248</v>
      </c>
      <c r="H19" s="118">
        <v>0</v>
      </c>
      <c r="I19" s="131"/>
      <c r="J19" s="115">
        <v>0</v>
      </c>
      <c r="K19" s="131">
        <v>0</v>
      </c>
    </row>
    <row r="20" spans="1:15" s="113" customFormat="1" x14ac:dyDescent="0.25">
      <c r="A20" s="89" t="s">
        <v>637</v>
      </c>
      <c r="B20" s="125" t="s">
        <v>248</v>
      </c>
      <c r="C20" s="125" t="s">
        <v>248</v>
      </c>
      <c r="D20" s="125" t="s">
        <v>248</v>
      </c>
      <c r="E20" s="125" t="s">
        <v>248</v>
      </c>
      <c r="F20" s="129" t="s">
        <v>248</v>
      </c>
      <c r="G20" s="116" t="s">
        <v>248</v>
      </c>
      <c r="H20" s="118">
        <v>0</v>
      </c>
      <c r="I20" s="131"/>
      <c r="J20" s="115">
        <v>0</v>
      </c>
      <c r="K20" s="131">
        <v>0</v>
      </c>
    </row>
    <row r="21" spans="1:15" s="113" customFormat="1" x14ac:dyDescent="0.25">
      <c r="A21" s="89" t="s">
        <v>643</v>
      </c>
      <c r="B21" s="125" t="s">
        <v>248</v>
      </c>
      <c r="C21" s="125" t="s">
        <v>248</v>
      </c>
      <c r="D21" s="125" t="s">
        <v>248</v>
      </c>
      <c r="E21" s="125" t="s">
        <v>248</v>
      </c>
      <c r="F21" s="129" t="s">
        <v>248</v>
      </c>
      <c r="G21" s="116" t="s">
        <v>248</v>
      </c>
      <c r="H21" s="118">
        <v>0</v>
      </c>
      <c r="I21" s="131"/>
      <c r="J21" s="115">
        <v>0</v>
      </c>
      <c r="K21" s="131">
        <v>0</v>
      </c>
    </row>
    <row r="22" spans="1:15" s="113" customFormat="1" x14ac:dyDescent="0.25">
      <c r="A22" s="89" t="s">
        <v>141</v>
      </c>
      <c r="B22" s="125" t="s">
        <v>248</v>
      </c>
      <c r="C22" s="125" t="s">
        <v>248</v>
      </c>
      <c r="D22" s="125" t="s">
        <v>248</v>
      </c>
      <c r="E22" s="125" t="s">
        <v>248</v>
      </c>
      <c r="F22" s="129" t="s">
        <v>248</v>
      </c>
      <c r="G22" s="116" t="s">
        <v>248</v>
      </c>
      <c r="H22" s="118">
        <v>0</v>
      </c>
      <c r="I22" s="131"/>
      <c r="J22" s="115">
        <v>0</v>
      </c>
      <c r="K22" s="131">
        <v>0</v>
      </c>
    </row>
    <row r="23" spans="1:15" s="113" customFormat="1" x14ac:dyDescent="0.25">
      <c r="A23" s="75" t="s">
        <v>241</v>
      </c>
      <c r="B23" s="119"/>
      <c r="C23" s="119"/>
      <c r="D23" s="119"/>
      <c r="E23" s="119"/>
      <c r="F23" s="120"/>
      <c r="G23" s="120"/>
      <c r="H23" s="120"/>
      <c r="I23" s="121"/>
      <c r="J23" s="122"/>
      <c r="K23" s="123"/>
      <c r="L23" s="142"/>
      <c r="M23" s="142"/>
      <c r="N23" s="124"/>
      <c r="O23" s="124"/>
    </row>
    <row r="24" spans="1:15" s="113" customFormat="1" x14ac:dyDescent="0.25">
      <c r="A24" s="75" t="s">
        <v>242</v>
      </c>
      <c r="B24" s="119"/>
      <c r="C24" s="119"/>
      <c r="D24" s="119"/>
      <c r="E24" s="119"/>
      <c r="F24" s="120"/>
      <c r="G24" s="120"/>
      <c r="H24" s="120"/>
      <c r="I24" s="121"/>
      <c r="J24" s="122"/>
      <c r="K24" s="123"/>
      <c r="L24" s="142"/>
      <c r="M24" s="142"/>
      <c r="N24" s="124"/>
      <c r="O24" s="124"/>
    </row>
    <row r="25" spans="1:15" s="113" customFormat="1" x14ac:dyDescent="0.25">
      <c r="A25" s="75" t="s">
        <v>243</v>
      </c>
      <c r="B25" s="119"/>
      <c r="C25" s="119"/>
      <c r="D25" s="119"/>
      <c r="E25" s="119"/>
      <c r="F25" s="120"/>
      <c r="G25" s="120"/>
      <c r="H25" s="120"/>
      <c r="I25" s="121"/>
      <c r="J25" s="122"/>
      <c r="K25" s="123"/>
      <c r="L25" s="142"/>
      <c r="M25" s="142"/>
      <c r="N25" s="124"/>
      <c r="O25" s="124"/>
    </row>
    <row r="26" spans="1:15" s="113" customFormat="1" x14ac:dyDescent="0.25">
      <c r="A26" s="75" t="s">
        <v>244</v>
      </c>
      <c r="B26" s="119"/>
      <c r="C26" s="119"/>
      <c r="D26" s="119"/>
      <c r="E26" s="119"/>
      <c r="F26" s="120"/>
      <c r="G26" s="120"/>
      <c r="H26" s="120"/>
      <c r="I26" s="121"/>
      <c r="J26" s="122"/>
      <c r="K26" s="123"/>
      <c r="L26" s="142"/>
      <c r="M26" s="142"/>
      <c r="N26" s="124"/>
      <c r="O26" s="124"/>
    </row>
    <row r="27" spans="1:15" s="113" customFormat="1" x14ac:dyDescent="0.25">
      <c r="A27" s="75" t="s">
        <v>245</v>
      </c>
      <c r="B27" s="119"/>
      <c r="C27" s="119"/>
      <c r="D27" s="119"/>
      <c r="E27" s="119"/>
      <c r="F27" s="120"/>
      <c r="G27" s="120"/>
      <c r="H27" s="120"/>
      <c r="I27" s="121"/>
      <c r="J27" s="122"/>
      <c r="K27" s="123"/>
      <c r="L27" s="142"/>
      <c r="M27" s="142"/>
      <c r="N27" s="124"/>
      <c r="O27" s="124"/>
    </row>
  </sheetData>
  <mergeCells count="2">
    <mergeCell ref="A5:K5"/>
    <mergeCell ref="A4:K4"/>
  </mergeCells>
  <phoneticPr fontId="3" type="noConversion"/>
  <conditionalFormatting sqref="A9:A22 I9:I22">
    <cfRule type="expression" dxfId="88" priority="196" stopIfTrue="1">
      <formula>LEFT(#REF!,3)="TIR"</formula>
    </cfRule>
  </conditionalFormatting>
  <conditionalFormatting sqref="B9:F22 J9:K22">
    <cfRule type="expression" dxfId="87" priority="193" stopIfTrue="1">
      <formula>LEFT(#REF!,3)="TIR"</formula>
    </cfRule>
  </conditionalFormatting>
  <conditionalFormatting sqref="I9:I22 A9:A22">
    <cfRule type="expression" dxfId="86" priority="195" stopIfTrue="1">
      <formula>#REF!&gt;0</formula>
    </cfRule>
  </conditionalFormatting>
  <conditionalFormatting sqref="J1:J3 F9:I22 I23:I55557">
    <cfRule type="expression" dxfId="85" priority="190" stopIfTrue="1">
      <formula>LEFT(#REF!,3)="TIR"</formula>
    </cfRule>
  </conditionalFormatting>
  <conditionalFormatting sqref="J10:K22 H10:H22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0"/>
  <sheetViews>
    <sheetView rightToLeft="1" workbookViewId="0"/>
  </sheetViews>
  <sheetFormatPr defaultColWidth="9.109375" defaultRowHeight="13.2" x14ac:dyDescent="0.25"/>
  <cols>
    <col min="1" max="1" width="30.5546875" style="9" bestFit="1" customWidth="1"/>
    <col min="2" max="2" width="14.33203125" style="8" bestFit="1" customWidth="1"/>
    <col min="3" max="3" width="11.6640625" style="9" customWidth="1"/>
    <col min="4" max="4" width="11" style="9" customWidth="1"/>
    <col min="5" max="5" width="10.88671875" style="57" bestFit="1" customWidth="1"/>
    <col min="6" max="6" width="12.33203125" style="10" bestFit="1" customWidth="1"/>
    <col min="7" max="7" width="7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7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7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9"/>
      <c r="D3" s="9"/>
      <c r="E3" s="57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6"/>
      <c r="K4" s="11"/>
      <c r="L4" s="11"/>
      <c r="M4" s="13"/>
      <c r="N4" s="12"/>
      <c r="O4" s="12"/>
      <c r="P4" s="14"/>
    </row>
    <row r="5" spans="1:16" s="7" customFormat="1" x14ac:dyDescent="0.25">
      <c r="A5" s="217" t="s">
        <v>25</v>
      </c>
      <c r="B5" s="218"/>
      <c r="C5" s="218"/>
      <c r="D5" s="218"/>
      <c r="E5" s="218"/>
      <c r="F5" s="218"/>
      <c r="G5" s="218"/>
      <c r="H5" s="218"/>
      <c r="I5" s="218"/>
      <c r="J5" s="219"/>
      <c r="K5" s="11"/>
      <c r="L5" s="11"/>
    </row>
    <row r="6" spans="1:16" s="7" customFormat="1" x14ac:dyDescent="0.25">
      <c r="A6" s="83" t="s">
        <v>157</v>
      </c>
      <c r="B6" s="197" t="s">
        <v>69</v>
      </c>
      <c r="C6" s="197" t="s">
        <v>76</v>
      </c>
      <c r="D6" s="197" t="s">
        <v>19</v>
      </c>
      <c r="E6" s="197" t="s">
        <v>6</v>
      </c>
      <c r="F6" s="198" t="s">
        <v>67</v>
      </c>
      <c r="G6" s="198" t="s">
        <v>68</v>
      </c>
      <c r="H6" s="198" t="s">
        <v>7</v>
      </c>
      <c r="I6" s="86" t="s">
        <v>75</v>
      </c>
      <c r="J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5">
        <v>8</v>
      </c>
      <c r="J8" s="43">
        <v>9</v>
      </c>
    </row>
    <row r="9" spans="1:16" s="113" customFormat="1" ht="12.75" customHeight="1" thickBot="1" x14ac:dyDescent="0.3">
      <c r="A9" s="143" t="s">
        <v>62</v>
      </c>
      <c r="B9" s="67"/>
      <c r="C9" s="67"/>
      <c r="D9" s="67"/>
      <c r="E9" s="144"/>
      <c r="F9" s="145"/>
      <c r="G9" s="144"/>
      <c r="H9" s="147">
        <v>121.96773020000035</v>
      </c>
      <c r="I9" s="67">
        <v>1</v>
      </c>
      <c r="J9" s="79">
        <v>1.2107556831996906E-3</v>
      </c>
    </row>
    <row r="10" spans="1:16" s="113" customFormat="1" x14ac:dyDescent="0.25">
      <c r="A10" s="88" t="s">
        <v>137</v>
      </c>
      <c r="B10" s="125" t="s">
        <v>248</v>
      </c>
      <c r="C10" s="125" t="s">
        <v>248</v>
      </c>
      <c r="D10" s="125" t="s">
        <v>248</v>
      </c>
      <c r="E10" s="125" t="s">
        <v>248</v>
      </c>
      <c r="F10" s="127" t="s">
        <v>248</v>
      </c>
      <c r="G10" s="116" t="s">
        <v>248</v>
      </c>
      <c r="H10" s="117">
        <v>0</v>
      </c>
      <c r="I10" s="115">
        <v>0</v>
      </c>
      <c r="J10" s="115">
        <v>0</v>
      </c>
    </row>
    <row r="11" spans="1:16" s="113" customFormat="1" x14ac:dyDescent="0.25">
      <c r="A11" s="89" t="s">
        <v>414</v>
      </c>
      <c r="B11" s="125" t="s">
        <v>248</v>
      </c>
      <c r="C11" s="125" t="s">
        <v>248</v>
      </c>
      <c r="D11" s="125" t="s">
        <v>248</v>
      </c>
      <c r="E11" s="125" t="s">
        <v>248</v>
      </c>
      <c r="F11" s="129" t="s">
        <v>248</v>
      </c>
      <c r="G11" s="130" t="s">
        <v>248</v>
      </c>
      <c r="H11" s="118">
        <v>121.96773010000004</v>
      </c>
      <c r="I11" s="115">
        <v>0.99999999918010862</v>
      </c>
      <c r="J11" s="115">
        <v>1.2107556822070025E-3</v>
      </c>
    </row>
    <row r="12" spans="1:16" x14ac:dyDescent="0.25">
      <c r="A12" s="16" t="s">
        <v>644</v>
      </c>
      <c r="B12" s="111" t="s">
        <v>645</v>
      </c>
      <c r="C12" s="111" t="s">
        <v>218</v>
      </c>
      <c r="D12" s="111" t="s">
        <v>188</v>
      </c>
      <c r="E12" s="111" t="s">
        <v>125</v>
      </c>
      <c r="F12" s="66">
        <v>5</v>
      </c>
      <c r="G12" s="58">
        <v>4488.25</v>
      </c>
      <c r="H12" s="81">
        <v>4151.6312500000004</v>
      </c>
      <c r="I12" s="32">
        <v>34.038767821556043</v>
      </c>
      <c r="J12" s="32">
        <v>4.1212631589063728E-2</v>
      </c>
      <c r="K12" s="14"/>
      <c r="L12" s="14"/>
      <c r="M12" s="14"/>
      <c r="N12" s="14"/>
      <c r="O12" s="14"/>
    </row>
    <row r="13" spans="1:16" x14ac:dyDescent="0.25">
      <c r="A13" s="16" t="s">
        <v>646</v>
      </c>
      <c r="B13" s="111" t="s">
        <v>647</v>
      </c>
      <c r="C13" s="111" t="s">
        <v>218</v>
      </c>
      <c r="D13" s="111" t="s">
        <v>188</v>
      </c>
      <c r="E13" s="111" t="s">
        <v>125</v>
      </c>
      <c r="F13" s="66">
        <v>-1096981.57</v>
      </c>
      <c r="G13" s="58">
        <v>1</v>
      </c>
      <c r="H13" s="81">
        <v>-4058.8317999999999</v>
      </c>
      <c r="I13" s="32">
        <v>-33.277915341577689</v>
      </c>
      <c r="J13" s="32">
        <v>-4.0291425124853363E-2</v>
      </c>
      <c r="K13" s="14"/>
      <c r="L13" s="14"/>
      <c r="M13" s="14"/>
      <c r="N13" s="14"/>
      <c r="O13" s="14"/>
    </row>
    <row r="14" spans="1:16" x14ac:dyDescent="0.25">
      <c r="A14" s="16" t="s">
        <v>648</v>
      </c>
      <c r="B14" s="111" t="s">
        <v>649</v>
      </c>
      <c r="C14" s="111" t="s">
        <v>218</v>
      </c>
      <c r="D14" s="111" t="s">
        <v>188</v>
      </c>
      <c r="E14" s="111" t="s">
        <v>126</v>
      </c>
      <c r="F14" s="66">
        <v>9</v>
      </c>
      <c r="G14" s="58">
        <v>4427</v>
      </c>
      <c r="H14" s="81">
        <v>1601.09095</v>
      </c>
      <c r="I14" s="32">
        <v>13.127168533632313</v>
      </c>
      <c r="J14" s="32">
        <v>1.5893793906415474E-2</v>
      </c>
      <c r="K14" s="14"/>
      <c r="L14" s="14"/>
      <c r="M14" s="14"/>
      <c r="N14" s="14"/>
      <c r="O14" s="14"/>
    </row>
    <row r="15" spans="1:16" x14ac:dyDescent="0.25">
      <c r="A15" s="16" t="s">
        <v>650</v>
      </c>
      <c r="B15" s="111" t="s">
        <v>651</v>
      </c>
      <c r="C15" s="111" t="s">
        <v>218</v>
      </c>
      <c r="D15" s="111" t="s">
        <v>188</v>
      </c>
      <c r="E15" s="111" t="s">
        <v>126</v>
      </c>
      <c r="F15" s="66">
        <v>-391171.5</v>
      </c>
      <c r="G15" s="58">
        <v>1</v>
      </c>
      <c r="H15" s="81">
        <v>-1571.9226699999999</v>
      </c>
      <c r="I15" s="32">
        <v>-12.888021015250438</v>
      </c>
      <c r="J15" s="32">
        <v>-1.5604244689411515E-2</v>
      </c>
      <c r="K15" s="14"/>
      <c r="L15" s="14"/>
      <c r="M15" s="14"/>
      <c r="N15" s="14"/>
      <c r="O15" s="14"/>
    </row>
    <row r="16" spans="1:16" s="113" customFormat="1" x14ac:dyDescent="0.25">
      <c r="A16" s="75" t="s">
        <v>241</v>
      </c>
      <c r="B16" s="119"/>
      <c r="C16" s="75"/>
      <c r="D16" s="75"/>
      <c r="E16" s="120"/>
      <c r="F16" s="140"/>
      <c r="G16" s="140"/>
      <c r="H16" s="141"/>
      <c r="I16" s="141"/>
      <c r="J16" s="124"/>
      <c r="K16" s="142"/>
      <c r="L16" s="142"/>
      <c r="M16" s="142"/>
      <c r="N16" s="124"/>
      <c r="O16" s="124"/>
    </row>
    <row r="17" spans="1:15" s="113" customFormat="1" x14ac:dyDescent="0.25">
      <c r="A17" s="75" t="s">
        <v>242</v>
      </c>
      <c r="B17" s="119"/>
      <c r="C17" s="75"/>
      <c r="D17" s="75"/>
      <c r="E17" s="120"/>
      <c r="F17" s="140"/>
      <c r="G17" s="140"/>
      <c r="H17" s="141"/>
      <c r="I17" s="141"/>
      <c r="J17" s="124"/>
      <c r="K17" s="142"/>
      <c r="L17" s="142"/>
      <c r="M17" s="142"/>
      <c r="N17" s="124"/>
      <c r="O17" s="124"/>
    </row>
    <row r="18" spans="1:15" s="113" customFormat="1" x14ac:dyDescent="0.25">
      <c r="A18" s="75" t="s">
        <v>243</v>
      </c>
      <c r="B18" s="119"/>
      <c r="C18" s="75"/>
      <c r="D18" s="75"/>
      <c r="E18" s="120"/>
      <c r="F18" s="140"/>
      <c r="G18" s="140"/>
      <c r="H18" s="141"/>
      <c r="I18" s="141"/>
      <c r="J18" s="124"/>
      <c r="K18" s="142"/>
      <c r="L18" s="142"/>
      <c r="M18" s="142"/>
      <c r="N18" s="124"/>
      <c r="O18" s="124"/>
    </row>
    <row r="19" spans="1:15" s="113" customFormat="1" x14ac:dyDescent="0.25">
      <c r="A19" s="75" t="s">
        <v>244</v>
      </c>
      <c r="B19" s="119"/>
      <c r="C19" s="75"/>
      <c r="D19" s="75"/>
      <c r="E19" s="120"/>
      <c r="F19" s="140"/>
      <c r="G19" s="140"/>
      <c r="H19" s="141"/>
      <c r="I19" s="141"/>
      <c r="J19" s="124"/>
      <c r="K19" s="142"/>
      <c r="L19" s="142"/>
      <c r="M19" s="142"/>
      <c r="N19" s="124"/>
      <c r="O19" s="124"/>
    </row>
    <row r="20" spans="1:15" s="113" customFormat="1" x14ac:dyDescent="0.25">
      <c r="A20" s="75" t="s">
        <v>245</v>
      </c>
      <c r="B20" s="119"/>
      <c r="C20" s="75"/>
      <c r="D20" s="75"/>
      <c r="E20" s="120"/>
      <c r="F20" s="140"/>
      <c r="G20" s="140"/>
      <c r="H20" s="141"/>
      <c r="I20" s="141"/>
      <c r="J20" s="124"/>
      <c r="K20" s="142"/>
      <c r="L20" s="142"/>
      <c r="M20" s="142"/>
      <c r="N20" s="124"/>
      <c r="O20" s="124"/>
    </row>
  </sheetData>
  <mergeCells count="2">
    <mergeCell ref="A5:J5"/>
    <mergeCell ref="A4:J4"/>
  </mergeCells>
  <phoneticPr fontId="3" type="noConversion"/>
  <conditionalFormatting sqref="B9:E15 I9:J15">
    <cfRule type="expression" dxfId="83" priority="219" stopIfTrue="1">
      <formula>LEFT(#REF!,3)="TIR"</formula>
    </cfRule>
  </conditionalFormatting>
  <conditionalFormatting sqref="H9:I9 A9:A15 I10:I15">
    <cfRule type="expression" dxfId="82" priority="222" stopIfTrue="1">
      <formula>LEFT(#REF!,3)="TIR"</formula>
    </cfRule>
  </conditionalFormatting>
  <conditionalFormatting sqref="H9:I9 I10:I15 A9:A15">
    <cfRule type="expression" dxfId="81" priority="221" stopIfTrue="1">
      <formula>#REF!&gt;0</formula>
    </cfRule>
  </conditionalFormatting>
  <conditionalFormatting sqref="H10:I15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15 J16:J55550">
    <cfRule type="expression" dxfId="78" priority="216" stopIfTrue="1">
      <formula>LEFT(#REF!,3)="TIR"</formula>
    </cfRule>
  </conditionalFormatting>
  <conditionalFormatting sqref="J10:J15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6"/>
    </row>
    <row r="5" spans="1:16" s="7" customFormat="1" x14ac:dyDescent="0.25">
      <c r="A5" s="217" t="s">
        <v>26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9"/>
    </row>
    <row r="6" spans="1:16" s="7" customFormat="1" ht="31.5" customHeight="1" x14ac:dyDescent="0.25">
      <c r="A6" s="83" t="s">
        <v>157</v>
      </c>
      <c r="B6" s="197" t="s">
        <v>69</v>
      </c>
      <c r="C6" s="197" t="s">
        <v>27</v>
      </c>
      <c r="D6" s="197" t="s">
        <v>70</v>
      </c>
      <c r="E6" s="197" t="s">
        <v>5</v>
      </c>
      <c r="F6" s="197" t="s">
        <v>13</v>
      </c>
      <c r="G6" s="197" t="s">
        <v>14</v>
      </c>
      <c r="H6" s="197" t="s">
        <v>6</v>
      </c>
      <c r="I6" s="198" t="s">
        <v>66</v>
      </c>
      <c r="J6" s="198" t="s">
        <v>71</v>
      </c>
      <c r="K6" s="198" t="s">
        <v>67</v>
      </c>
      <c r="L6" s="198" t="s">
        <v>68</v>
      </c>
      <c r="M6" s="198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50"/>
      <c r="F7" s="50" t="s">
        <v>40</v>
      </c>
      <c r="G7" s="50" t="s">
        <v>16</v>
      </c>
      <c r="H7" s="29"/>
      <c r="I7" s="46" t="s">
        <v>9</v>
      </c>
      <c r="J7" s="46" t="s">
        <v>9</v>
      </c>
      <c r="K7" s="2" t="s">
        <v>133</v>
      </c>
      <c r="L7" s="46"/>
      <c r="M7" s="2" t="s">
        <v>135</v>
      </c>
      <c r="N7" s="53" t="s">
        <v>9</v>
      </c>
      <c r="O7" s="53" t="s">
        <v>9</v>
      </c>
      <c r="P7" s="52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3" customFormat="1" ht="12.75" customHeight="1" thickBot="1" x14ac:dyDescent="0.3">
      <c r="A9" s="96" t="s">
        <v>57</v>
      </c>
      <c r="B9" s="64"/>
      <c r="C9" s="64"/>
      <c r="D9" s="97"/>
      <c r="E9" s="97"/>
      <c r="F9" s="97"/>
      <c r="G9" s="97"/>
      <c r="H9" s="97"/>
      <c r="I9" s="64"/>
      <c r="J9" s="64"/>
      <c r="K9" s="98"/>
      <c r="L9" s="97"/>
      <c r="M9" s="101">
        <v>1.2000000000000002E-6</v>
      </c>
      <c r="N9" s="64"/>
      <c r="O9" s="64">
        <v>1</v>
      </c>
      <c r="P9" s="78">
        <v>0</v>
      </c>
    </row>
    <row r="10" spans="1:16" s="113" customFormat="1" x14ac:dyDescent="0.25">
      <c r="A10" s="88" t="s">
        <v>137</v>
      </c>
      <c r="B10" s="125" t="s">
        <v>248</v>
      </c>
      <c r="C10" s="125" t="s">
        <v>248</v>
      </c>
      <c r="D10" s="125" t="s">
        <v>248</v>
      </c>
      <c r="E10" s="125" t="s">
        <v>248</v>
      </c>
      <c r="F10" s="125" t="s">
        <v>248</v>
      </c>
      <c r="G10" s="126" t="s">
        <v>248</v>
      </c>
      <c r="H10" s="126" t="s">
        <v>248</v>
      </c>
      <c r="I10" s="125" t="s">
        <v>248</v>
      </c>
      <c r="J10" s="125" t="s">
        <v>248</v>
      </c>
      <c r="K10" s="127" t="s">
        <v>248</v>
      </c>
      <c r="L10" s="116" t="s">
        <v>248</v>
      </c>
      <c r="M10" s="117">
        <v>0</v>
      </c>
      <c r="N10" s="115" t="s">
        <v>248</v>
      </c>
      <c r="O10" s="115">
        <v>0</v>
      </c>
      <c r="P10" s="115">
        <v>0</v>
      </c>
    </row>
    <row r="11" spans="1:16" s="113" customFormat="1" x14ac:dyDescent="0.25">
      <c r="A11" s="89" t="s">
        <v>652</v>
      </c>
      <c r="B11" s="125" t="s">
        <v>248</v>
      </c>
      <c r="C11" s="125" t="s">
        <v>248</v>
      </c>
      <c r="D11" s="125" t="s">
        <v>248</v>
      </c>
      <c r="E11" s="125" t="s">
        <v>248</v>
      </c>
      <c r="F11" s="125" t="s">
        <v>248</v>
      </c>
      <c r="G11" s="126" t="s">
        <v>248</v>
      </c>
      <c r="H11" s="126" t="s">
        <v>248</v>
      </c>
      <c r="I11" s="125" t="s">
        <v>248</v>
      </c>
      <c r="J11" s="125" t="s">
        <v>248</v>
      </c>
      <c r="K11" s="129" t="s">
        <v>248</v>
      </c>
      <c r="L11" s="130" t="s">
        <v>248</v>
      </c>
      <c r="M11" s="118">
        <v>0</v>
      </c>
      <c r="N11" s="131"/>
      <c r="O11" s="131">
        <v>0</v>
      </c>
      <c r="P11" s="131">
        <v>0</v>
      </c>
    </row>
    <row r="12" spans="1:16" s="113" customFormat="1" x14ac:dyDescent="0.25">
      <c r="A12" s="89" t="s">
        <v>653</v>
      </c>
      <c r="B12" s="125" t="s">
        <v>248</v>
      </c>
      <c r="C12" s="125" t="s">
        <v>248</v>
      </c>
      <c r="D12" s="125" t="s">
        <v>248</v>
      </c>
      <c r="E12" s="125" t="s">
        <v>248</v>
      </c>
      <c r="F12" s="125" t="s">
        <v>248</v>
      </c>
      <c r="G12" s="126" t="s">
        <v>248</v>
      </c>
      <c r="H12" s="126" t="s">
        <v>248</v>
      </c>
      <c r="I12" s="125" t="s">
        <v>248</v>
      </c>
      <c r="J12" s="125" t="s">
        <v>248</v>
      </c>
      <c r="K12" s="129" t="s">
        <v>248</v>
      </c>
      <c r="L12" s="130" t="s">
        <v>248</v>
      </c>
      <c r="M12" s="118">
        <v>0</v>
      </c>
      <c r="N12" s="131"/>
      <c r="O12" s="131">
        <v>0</v>
      </c>
      <c r="P12" s="131">
        <v>0</v>
      </c>
    </row>
    <row r="13" spans="1:16" s="113" customFormat="1" x14ac:dyDescent="0.25">
      <c r="A13" s="89" t="s">
        <v>654</v>
      </c>
      <c r="B13" s="125" t="s">
        <v>248</v>
      </c>
      <c r="C13" s="125" t="s">
        <v>248</v>
      </c>
      <c r="D13" s="125" t="s">
        <v>248</v>
      </c>
      <c r="E13" s="125" t="s">
        <v>248</v>
      </c>
      <c r="F13" s="125" t="s">
        <v>248</v>
      </c>
      <c r="G13" s="126" t="s">
        <v>248</v>
      </c>
      <c r="H13" s="126" t="s">
        <v>248</v>
      </c>
      <c r="I13" s="125" t="s">
        <v>248</v>
      </c>
      <c r="J13" s="125" t="s">
        <v>248</v>
      </c>
      <c r="K13" s="129" t="s">
        <v>248</v>
      </c>
      <c r="L13" s="130" t="s">
        <v>248</v>
      </c>
      <c r="M13" s="118">
        <v>0</v>
      </c>
      <c r="N13" s="131"/>
      <c r="O13" s="131">
        <v>0</v>
      </c>
      <c r="P13" s="131">
        <v>0</v>
      </c>
    </row>
    <row r="14" spans="1:16" s="113" customFormat="1" x14ac:dyDescent="0.25">
      <c r="A14" s="89" t="s">
        <v>655</v>
      </c>
      <c r="B14" s="125" t="s">
        <v>248</v>
      </c>
      <c r="C14" s="125" t="s">
        <v>248</v>
      </c>
      <c r="D14" s="125" t="s">
        <v>248</v>
      </c>
      <c r="E14" s="125" t="s">
        <v>248</v>
      </c>
      <c r="F14" s="125" t="s">
        <v>248</v>
      </c>
      <c r="G14" s="126" t="s">
        <v>248</v>
      </c>
      <c r="H14" s="126" t="s">
        <v>248</v>
      </c>
      <c r="I14" s="125" t="s">
        <v>248</v>
      </c>
      <c r="J14" s="125" t="s">
        <v>248</v>
      </c>
      <c r="K14" s="129" t="s">
        <v>248</v>
      </c>
      <c r="L14" s="130" t="s">
        <v>248</v>
      </c>
      <c r="M14" s="118">
        <v>0</v>
      </c>
      <c r="N14" s="131"/>
      <c r="O14" s="131">
        <v>0</v>
      </c>
      <c r="P14" s="131">
        <v>0</v>
      </c>
    </row>
    <row r="15" spans="1:16" s="113" customFormat="1" x14ac:dyDescent="0.25">
      <c r="A15" s="89" t="s">
        <v>656</v>
      </c>
      <c r="B15" s="125" t="s">
        <v>248</v>
      </c>
      <c r="C15" s="125" t="s">
        <v>248</v>
      </c>
      <c r="D15" s="125" t="s">
        <v>248</v>
      </c>
      <c r="E15" s="125" t="s">
        <v>248</v>
      </c>
      <c r="F15" s="125" t="s">
        <v>248</v>
      </c>
      <c r="G15" s="126" t="s">
        <v>248</v>
      </c>
      <c r="H15" s="126" t="s">
        <v>248</v>
      </c>
      <c r="I15" s="125" t="s">
        <v>248</v>
      </c>
      <c r="J15" s="125" t="s">
        <v>248</v>
      </c>
      <c r="K15" s="129" t="s">
        <v>248</v>
      </c>
      <c r="L15" s="130" t="s">
        <v>248</v>
      </c>
      <c r="M15" s="118">
        <v>0</v>
      </c>
      <c r="N15" s="131"/>
      <c r="O15" s="131">
        <v>0</v>
      </c>
      <c r="P15" s="131">
        <v>0</v>
      </c>
    </row>
    <row r="16" spans="1:16" s="113" customFormat="1" x14ac:dyDescent="0.25">
      <c r="A16" s="89" t="s">
        <v>657</v>
      </c>
      <c r="B16" s="125" t="s">
        <v>248</v>
      </c>
      <c r="C16" s="125" t="s">
        <v>248</v>
      </c>
      <c r="D16" s="125" t="s">
        <v>248</v>
      </c>
      <c r="E16" s="125" t="s">
        <v>248</v>
      </c>
      <c r="F16" s="125" t="s">
        <v>248</v>
      </c>
      <c r="G16" s="126" t="s">
        <v>248</v>
      </c>
      <c r="H16" s="126" t="s">
        <v>248</v>
      </c>
      <c r="I16" s="125" t="s">
        <v>248</v>
      </c>
      <c r="J16" s="125" t="s">
        <v>248</v>
      </c>
      <c r="K16" s="129" t="s">
        <v>248</v>
      </c>
      <c r="L16" s="130" t="s">
        <v>248</v>
      </c>
      <c r="M16" s="118">
        <v>0</v>
      </c>
      <c r="N16" s="131"/>
      <c r="O16" s="131">
        <v>0</v>
      </c>
      <c r="P16" s="131">
        <v>0</v>
      </c>
    </row>
    <row r="17" spans="1:16" s="113" customFormat="1" x14ac:dyDescent="0.25">
      <c r="A17" s="89" t="s">
        <v>658</v>
      </c>
      <c r="B17" s="125" t="s">
        <v>248</v>
      </c>
      <c r="C17" s="125" t="s">
        <v>248</v>
      </c>
      <c r="D17" s="125" t="s">
        <v>248</v>
      </c>
      <c r="E17" s="125" t="s">
        <v>248</v>
      </c>
      <c r="F17" s="125" t="s">
        <v>248</v>
      </c>
      <c r="G17" s="126" t="s">
        <v>248</v>
      </c>
      <c r="H17" s="126" t="s">
        <v>248</v>
      </c>
      <c r="I17" s="125" t="s">
        <v>248</v>
      </c>
      <c r="J17" s="125" t="s">
        <v>248</v>
      </c>
      <c r="K17" s="129" t="s">
        <v>248</v>
      </c>
      <c r="L17" s="130" t="s">
        <v>248</v>
      </c>
      <c r="M17" s="118">
        <v>0</v>
      </c>
      <c r="N17" s="131"/>
      <c r="O17" s="131">
        <v>0</v>
      </c>
      <c r="P17" s="131">
        <v>0</v>
      </c>
    </row>
    <row r="18" spans="1:16" s="113" customFormat="1" x14ac:dyDescent="0.25">
      <c r="A18" s="89" t="s">
        <v>414</v>
      </c>
      <c r="B18" s="125" t="s">
        <v>248</v>
      </c>
      <c r="C18" s="125" t="s">
        <v>248</v>
      </c>
      <c r="D18" s="125" t="s">
        <v>248</v>
      </c>
      <c r="E18" s="125" t="s">
        <v>248</v>
      </c>
      <c r="F18" s="125" t="s">
        <v>248</v>
      </c>
      <c r="G18" s="126" t="s">
        <v>248</v>
      </c>
      <c r="H18" s="126" t="s">
        <v>248</v>
      </c>
      <c r="I18" s="125" t="s">
        <v>248</v>
      </c>
      <c r="J18" s="125" t="s">
        <v>248</v>
      </c>
      <c r="K18" s="129" t="s">
        <v>248</v>
      </c>
      <c r="L18" s="130" t="s">
        <v>248</v>
      </c>
      <c r="M18" s="118">
        <v>0</v>
      </c>
      <c r="N18" s="131"/>
      <c r="O18" s="131">
        <v>0</v>
      </c>
      <c r="P18" s="131">
        <v>0</v>
      </c>
    </row>
    <row r="19" spans="1:16" s="113" customFormat="1" x14ac:dyDescent="0.25">
      <c r="A19" s="89" t="s">
        <v>659</v>
      </c>
      <c r="B19" s="125" t="s">
        <v>248</v>
      </c>
      <c r="C19" s="125" t="s">
        <v>248</v>
      </c>
      <c r="D19" s="125" t="s">
        <v>248</v>
      </c>
      <c r="E19" s="125" t="s">
        <v>248</v>
      </c>
      <c r="F19" s="125" t="s">
        <v>248</v>
      </c>
      <c r="G19" s="126" t="s">
        <v>248</v>
      </c>
      <c r="H19" s="126" t="s">
        <v>248</v>
      </c>
      <c r="I19" s="125" t="s">
        <v>248</v>
      </c>
      <c r="J19" s="125" t="s">
        <v>248</v>
      </c>
      <c r="K19" s="129" t="s">
        <v>248</v>
      </c>
      <c r="L19" s="130" t="s">
        <v>248</v>
      </c>
      <c r="M19" s="118">
        <v>0</v>
      </c>
      <c r="N19" s="131"/>
      <c r="O19" s="131">
        <v>0</v>
      </c>
      <c r="P19" s="131">
        <v>0</v>
      </c>
    </row>
    <row r="20" spans="1:16" s="113" customFormat="1" x14ac:dyDescent="0.25">
      <c r="A20" s="89" t="s">
        <v>660</v>
      </c>
      <c r="B20" s="125" t="s">
        <v>248</v>
      </c>
      <c r="C20" s="125" t="s">
        <v>248</v>
      </c>
      <c r="D20" s="125" t="s">
        <v>248</v>
      </c>
      <c r="E20" s="125" t="s">
        <v>248</v>
      </c>
      <c r="F20" s="125" t="s">
        <v>248</v>
      </c>
      <c r="G20" s="126" t="s">
        <v>248</v>
      </c>
      <c r="H20" s="126" t="s">
        <v>248</v>
      </c>
      <c r="I20" s="125" t="s">
        <v>248</v>
      </c>
      <c r="J20" s="125" t="s">
        <v>248</v>
      </c>
      <c r="K20" s="129" t="s">
        <v>248</v>
      </c>
      <c r="L20" s="130" t="s">
        <v>248</v>
      </c>
      <c r="M20" s="118">
        <v>0</v>
      </c>
      <c r="N20" s="131"/>
      <c r="O20" s="131">
        <v>0</v>
      </c>
      <c r="P20" s="131">
        <v>0</v>
      </c>
    </row>
    <row r="21" spans="1:16" s="113" customFormat="1" x14ac:dyDescent="0.25">
      <c r="A21" s="89" t="s">
        <v>661</v>
      </c>
      <c r="B21" s="125" t="s">
        <v>248</v>
      </c>
      <c r="C21" s="125" t="s">
        <v>248</v>
      </c>
      <c r="D21" s="125" t="s">
        <v>248</v>
      </c>
      <c r="E21" s="125" t="s">
        <v>248</v>
      </c>
      <c r="F21" s="125" t="s">
        <v>248</v>
      </c>
      <c r="G21" s="126" t="s">
        <v>248</v>
      </c>
      <c r="H21" s="126" t="s">
        <v>248</v>
      </c>
      <c r="I21" s="125" t="s">
        <v>248</v>
      </c>
      <c r="J21" s="125" t="s">
        <v>248</v>
      </c>
      <c r="K21" s="129" t="s">
        <v>248</v>
      </c>
      <c r="L21" s="130" t="s">
        <v>248</v>
      </c>
      <c r="M21" s="118">
        <v>0</v>
      </c>
      <c r="N21" s="131"/>
      <c r="O21" s="131">
        <v>0</v>
      </c>
      <c r="P21" s="131">
        <v>0</v>
      </c>
    </row>
    <row r="22" spans="1:16" s="113" customFormat="1" x14ac:dyDescent="0.25">
      <c r="A22" s="89" t="s">
        <v>655</v>
      </c>
      <c r="B22" s="125" t="s">
        <v>248</v>
      </c>
      <c r="C22" s="125" t="s">
        <v>248</v>
      </c>
      <c r="D22" s="125" t="s">
        <v>248</v>
      </c>
      <c r="E22" s="125" t="s">
        <v>248</v>
      </c>
      <c r="F22" s="125" t="s">
        <v>248</v>
      </c>
      <c r="G22" s="126" t="s">
        <v>248</v>
      </c>
      <c r="H22" s="126" t="s">
        <v>248</v>
      </c>
      <c r="I22" s="125" t="s">
        <v>248</v>
      </c>
      <c r="J22" s="125" t="s">
        <v>248</v>
      </c>
      <c r="K22" s="129" t="s">
        <v>248</v>
      </c>
      <c r="L22" s="130" t="s">
        <v>248</v>
      </c>
      <c r="M22" s="118">
        <v>0</v>
      </c>
      <c r="N22" s="131"/>
      <c r="O22" s="131">
        <v>0</v>
      </c>
      <c r="P22" s="131">
        <v>0</v>
      </c>
    </row>
    <row r="23" spans="1:16" s="113" customFormat="1" x14ac:dyDescent="0.25">
      <c r="A23" s="89" t="s">
        <v>656</v>
      </c>
      <c r="B23" s="125" t="s">
        <v>248</v>
      </c>
      <c r="C23" s="125" t="s">
        <v>248</v>
      </c>
      <c r="D23" s="125" t="s">
        <v>248</v>
      </c>
      <c r="E23" s="125" t="s">
        <v>248</v>
      </c>
      <c r="F23" s="125" t="s">
        <v>248</v>
      </c>
      <c r="G23" s="126" t="s">
        <v>248</v>
      </c>
      <c r="H23" s="126" t="s">
        <v>248</v>
      </c>
      <c r="I23" s="125" t="s">
        <v>248</v>
      </c>
      <c r="J23" s="125" t="s">
        <v>248</v>
      </c>
      <c r="K23" s="129" t="s">
        <v>248</v>
      </c>
      <c r="L23" s="130" t="s">
        <v>248</v>
      </c>
      <c r="M23" s="118">
        <v>0</v>
      </c>
      <c r="N23" s="131"/>
      <c r="O23" s="131">
        <v>0</v>
      </c>
      <c r="P23" s="131">
        <v>0</v>
      </c>
    </row>
    <row r="24" spans="1:16" s="113" customFormat="1" x14ac:dyDescent="0.25">
      <c r="A24" s="89" t="s">
        <v>657</v>
      </c>
      <c r="B24" s="125" t="s">
        <v>248</v>
      </c>
      <c r="C24" s="125" t="s">
        <v>248</v>
      </c>
      <c r="D24" s="125" t="s">
        <v>248</v>
      </c>
      <c r="E24" s="125" t="s">
        <v>248</v>
      </c>
      <c r="F24" s="125" t="s">
        <v>248</v>
      </c>
      <c r="G24" s="126" t="s">
        <v>248</v>
      </c>
      <c r="H24" s="126" t="s">
        <v>248</v>
      </c>
      <c r="I24" s="125" t="s">
        <v>248</v>
      </c>
      <c r="J24" s="125" t="s">
        <v>248</v>
      </c>
      <c r="K24" s="129" t="s">
        <v>248</v>
      </c>
      <c r="L24" s="130" t="s">
        <v>248</v>
      </c>
      <c r="M24" s="118">
        <v>0</v>
      </c>
      <c r="N24" s="131"/>
      <c r="O24" s="131">
        <v>0</v>
      </c>
      <c r="P24" s="131">
        <v>0</v>
      </c>
    </row>
    <row r="25" spans="1:16" s="113" customFormat="1" x14ac:dyDescent="0.25">
      <c r="A25" s="89" t="s">
        <v>658</v>
      </c>
      <c r="B25" s="125" t="s">
        <v>248</v>
      </c>
      <c r="C25" s="125" t="s">
        <v>248</v>
      </c>
      <c r="D25" s="125" t="s">
        <v>248</v>
      </c>
      <c r="E25" s="125" t="s">
        <v>248</v>
      </c>
      <c r="F25" s="125" t="s">
        <v>248</v>
      </c>
      <c r="G25" s="126" t="s">
        <v>248</v>
      </c>
      <c r="H25" s="126" t="s">
        <v>248</v>
      </c>
      <c r="I25" s="125" t="s">
        <v>248</v>
      </c>
      <c r="J25" s="125" t="s">
        <v>248</v>
      </c>
      <c r="K25" s="129" t="s">
        <v>248</v>
      </c>
      <c r="L25" s="130" t="s">
        <v>248</v>
      </c>
      <c r="M25" s="118">
        <v>0</v>
      </c>
      <c r="N25" s="131"/>
      <c r="O25" s="131">
        <v>0</v>
      </c>
      <c r="P25" s="131">
        <v>0</v>
      </c>
    </row>
    <row r="26" spans="1:16" s="113" customFormat="1" x14ac:dyDescent="0.25">
      <c r="A26" s="75" t="s">
        <v>241</v>
      </c>
      <c r="B26" s="119"/>
      <c r="C26" s="75"/>
      <c r="D26" s="120"/>
      <c r="E26" s="120"/>
      <c r="F26" s="120"/>
      <c r="G26" s="121"/>
      <c r="H26" s="122"/>
      <c r="I26" s="123"/>
      <c r="J26" s="123"/>
      <c r="K26" s="123"/>
      <c r="L26" s="122"/>
      <c r="M26" s="122"/>
      <c r="N26" s="132"/>
      <c r="O26" s="132"/>
      <c r="P26" s="132"/>
    </row>
    <row r="27" spans="1:16" s="113" customFormat="1" x14ac:dyDescent="0.25">
      <c r="A27" s="75" t="s">
        <v>242</v>
      </c>
      <c r="B27" s="119"/>
      <c r="C27" s="75"/>
      <c r="D27" s="120"/>
      <c r="E27" s="120"/>
      <c r="F27" s="120"/>
      <c r="G27" s="121"/>
      <c r="H27" s="122"/>
      <c r="I27" s="123"/>
      <c r="J27" s="123"/>
      <c r="K27" s="123"/>
      <c r="L27" s="122"/>
      <c r="M27" s="122"/>
      <c r="N27" s="132"/>
      <c r="O27" s="132"/>
      <c r="P27" s="132"/>
    </row>
    <row r="28" spans="1:16" s="113" customFormat="1" x14ac:dyDescent="0.25">
      <c r="A28" s="75" t="s">
        <v>243</v>
      </c>
      <c r="B28" s="119"/>
      <c r="C28" s="75"/>
      <c r="D28" s="120"/>
      <c r="E28" s="120"/>
      <c r="F28" s="120"/>
      <c r="G28" s="121"/>
      <c r="H28" s="122"/>
      <c r="I28" s="123"/>
      <c r="J28" s="123"/>
      <c r="K28" s="123"/>
      <c r="L28" s="122"/>
      <c r="M28" s="122"/>
      <c r="N28" s="132"/>
      <c r="O28" s="132"/>
      <c r="P28" s="132"/>
    </row>
    <row r="29" spans="1:16" s="113" customFormat="1" x14ac:dyDescent="0.25">
      <c r="A29" s="75" t="s">
        <v>244</v>
      </c>
      <c r="B29" s="119"/>
      <c r="C29" s="75"/>
      <c r="D29" s="120"/>
      <c r="E29" s="120"/>
      <c r="F29" s="120"/>
      <c r="G29" s="121"/>
      <c r="H29" s="122"/>
      <c r="I29" s="123"/>
      <c r="J29" s="123"/>
      <c r="K29" s="123"/>
      <c r="L29" s="122"/>
      <c r="M29" s="122"/>
      <c r="N29" s="132"/>
      <c r="O29" s="132"/>
      <c r="P29" s="132"/>
    </row>
    <row r="30" spans="1:16" s="113" customFormat="1" x14ac:dyDescent="0.25">
      <c r="A30" s="75" t="s">
        <v>245</v>
      </c>
      <c r="B30" s="119"/>
      <c r="C30" s="75"/>
      <c r="D30" s="120"/>
      <c r="E30" s="120"/>
      <c r="F30" s="120"/>
      <c r="G30" s="121"/>
      <c r="H30" s="122"/>
      <c r="I30" s="123"/>
      <c r="J30" s="123"/>
      <c r="K30" s="123"/>
      <c r="L30" s="122"/>
      <c r="M30" s="122"/>
      <c r="N30" s="132"/>
      <c r="O30" s="132"/>
      <c r="P30" s="132"/>
    </row>
  </sheetData>
  <mergeCells count="2">
    <mergeCell ref="A5:P5"/>
    <mergeCell ref="A4:P4"/>
  </mergeCells>
  <phoneticPr fontId="3" type="noConversion"/>
  <conditionalFormatting sqref="A10:A25 M10:M25">
    <cfRule type="expression" dxfId="76" priority="235" stopIfTrue="1">
      <formula>#REF!&gt;0</formula>
    </cfRule>
  </conditionalFormatting>
  <conditionalFormatting sqref="B10:J25">
    <cfRule type="expression" dxfId="75" priority="237" stopIfTrue="1">
      <formula>LEFT(#REF!,3)="TIR"</formula>
    </cfRule>
  </conditionalFormatting>
  <conditionalFormatting sqref="O10:P25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6"/>
    </row>
    <row r="5" spans="1:15" s="7" customFormat="1" x14ac:dyDescent="0.25">
      <c r="A5" s="217" t="s">
        <v>12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9"/>
    </row>
    <row r="6" spans="1:15" s="7" customFormat="1" ht="31.5" customHeight="1" x14ac:dyDescent="0.25">
      <c r="A6" s="83" t="s">
        <v>157</v>
      </c>
      <c r="B6" s="197" t="s">
        <v>69</v>
      </c>
      <c r="C6" s="197" t="s">
        <v>70</v>
      </c>
      <c r="D6" s="197" t="s">
        <v>5</v>
      </c>
      <c r="E6" s="197" t="s">
        <v>13</v>
      </c>
      <c r="F6" s="197" t="s">
        <v>14</v>
      </c>
      <c r="G6" s="197" t="s">
        <v>6</v>
      </c>
      <c r="H6" s="198" t="s">
        <v>66</v>
      </c>
      <c r="I6" s="198" t="s">
        <v>71</v>
      </c>
      <c r="J6" s="198" t="s">
        <v>67</v>
      </c>
      <c r="K6" s="198" t="s">
        <v>68</v>
      </c>
      <c r="L6" s="198" t="s">
        <v>29</v>
      </c>
      <c r="M6" s="86" t="s">
        <v>17</v>
      </c>
      <c r="N6" s="86" t="s">
        <v>75</v>
      </c>
      <c r="O6" s="87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3" customFormat="1" ht="12.75" customHeight="1" thickBot="1" x14ac:dyDescent="0.3">
      <c r="A9" s="69" t="s">
        <v>52</v>
      </c>
      <c r="B9" s="114" t="s">
        <v>248</v>
      </c>
      <c r="C9" s="114"/>
      <c r="D9" s="114"/>
      <c r="E9" s="114" t="s">
        <v>248</v>
      </c>
      <c r="F9" s="114" t="s">
        <v>248</v>
      </c>
      <c r="G9" s="114" t="s">
        <v>248</v>
      </c>
      <c r="H9" s="114" t="s">
        <v>248</v>
      </c>
      <c r="I9" s="114" t="s">
        <v>248</v>
      </c>
      <c r="J9" s="150" t="s">
        <v>248</v>
      </c>
      <c r="K9" s="114" t="s">
        <v>248</v>
      </c>
      <c r="L9" s="77">
        <v>6.9999999999999997E-7</v>
      </c>
      <c r="M9" s="114" t="s">
        <v>248</v>
      </c>
      <c r="N9" s="102">
        <v>1</v>
      </c>
      <c r="O9" s="56">
        <v>0</v>
      </c>
    </row>
    <row r="10" spans="1:15" s="113" customFormat="1" x14ac:dyDescent="0.25">
      <c r="A10" s="88" t="s">
        <v>137</v>
      </c>
      <c r="B10" s="115" t="s">
        <v>248</v>
      </c>
      <c r="C10" s="137" t="s">
        <v>248</v>
      </c>
      <c r="D10" s="137" t="s">
        <v>248</v>
      </c>
      <c r="E10" s="137" t="s">
        <v>248</v>
      </c>
      <c r="F10" s="137" t="s">
        <v>248</v>
      </c>
      <c r="G10" s="137" t="s">
        <v>248</v>
      </c>
      <c r="H10" s="151" t="s">
        <v>248</v>
      </c>
      <c r="I10" s="151" t="s">
        <v>248</v>
      </c>
      <c r="J10" s="136" t="s">
        <v>248</v>
      </c>
      <c r="K10" s="137" t="s">
        <v>248</v>
      </c>
      <c r="L10" s="117">
        <v>0</v>
      </c>
      <c r="M10" s="151" t="s">
        <v>248</v>
      </c>
      <c r="N10" s="115">
        <v>0</v>
      </c>
      <c r="O10" s="115">
        <v>0</v>
      </c>
    </row>
    <row r="11" spans="1:15" s="113" customFormat="1" x14ac:dyDescent="0.25">
      <c r="A11" s="89" t="s">
        <v>662</v>
      </c>
      <c r="B11" s="115" t="s">
        <v>248</v>
      </c>
      <c r="C11" s="139" t="s">
        <v>248</v>
      </c>
      <c r="D11" s="139" t="s">
        <v>248</v>
      </c>
      <c r="E11" s="139" t="s">
        <v>248</v>
      </c>
      <c r="F11" s="139" t="s">
        <v>248</v>
      </c>
      <c r="G11" s="139" t="s">
        <v>248</v>
      </c>
      <c r="H11" s="152" t="s">
        <v>248</v>
      </c>
      <c r="I11" s="152" t="s">
        <v>248</v>
      </c>
      <c r="J11" s="138" t="s">
        <v>248</v>
      </c>
      <c r="K11" s="139" t="s">
        <v>248</v>
      </c>
      <c r="L11" s="118">
        <v>0</v>
      </c>
      <c r="M11" s="152"/>
      <c r="N11" s="131">
        <v>0</v>
      </c>
      <c r="O11" s="131">
        <v>0</v>
      </c>
    </row>
    <row r="12" spans="1:15" s="113" customFormat="1" x14ac:dyDescent="0.25">
      <c r="A12" s="89" t="s">
        <v>663</v>
      </c>
      <c r="B12" s="115" t="s">
        <v>248</v>
      </c>
      <c r="C12" s="139" t="s">
        <v>248</v>
      </c>
      <c r="D12" s="139" t="s">
        <v>248</v>
      </c>
      <c r="E12" s="139" t="s">
        <v>248</v>
      </c>
      <c r="F12" s="139" t="s">
        <v>248</v>
      </c>
      <c r="G12" s="139" t="s">
        <v>248</v>
      </c>
      <c r="H12" s="152" t="s">
        <v>248</v>
      </c>
      <c r="I12" s="152" t="s">
        <v>248</v>
      </c>
      <c r="J12" s="138" t="s">
        <v>248</v>
      </c>
      <c r="K12" s="139" t="s">
        <v>248</v>
      </c>
      <c r="L12" s="118">
        <v>0</v>
      </c>
      <c r="M12" s="152"/>
      <c r="N12" s="131">
        <v>0</v>
      </c>
      <c r="O12" s="131">
        <v>0</v>
      </c>
    </row>
    <row r="13" spans="1:15" s="113" customFormat="1" x14ac:dyDescent="0.25">
      <c r="A13" s="89" t="s">
        <v>664</v>
      </c>
      <c r="B13" s="115" t="s">
        <v>248</v>
      </c>
      <c r="C13" s="139" t="s">
        <v>248</v>
      </c>
      <c r="D13" s="139" t="s">
        <v>248</v>
      </c>
      <c r="E13" s="139" t="s">
        <v>248</v>
      </c>
      <c r="F13" s="139" t="s">
        <v>248</v>
      </c>
      <c r="G13" s="139" t="s">
        <v>248</v>
      </c>
      <c r="H13" s="152" t="s">
        <v>248</v>
      </c>
      <c r="I13" s="152" t="s">
        <v>248</v>
      </c>
      <c r="J13" s="138" t="s">
        <v>248</v>
      </c>
      <c r="K13" s="139" t="s">
        <v>248</v>
      </c>
      <c r="L13" s="118">
        <v>0</v>
      </c>
      <c r="M13" s="152"/>
      <c r="N13" s="131">
        <v>0</v>
      </c>
      <c r="O13" s="131">
        <v>0</v>
      </c>
    </row>
    <row r="14" spans="1:15" s="113" customFormat="1" x14ac:dyDescent="0.25">
      <c r="A14" s="89" t="s">
        <v>665</v>
      </c>
      <c r="B14" s="115" t="s">
        <v>248</v>
      </c>
      <c r="C14" s="139" t="s">
        <v>248</v>
      </c>
      <c r="D14" s="139" t="s">
        <v>248</v>
      </c>
      <c r="E14" s="139" t="s">
        <v>248</v>
      </c>
      <c r="F14" s="139" t="s">
        <v>248</v>
      </c>
      <c r="G14" s="139" t="s">
        <v>248</v>
      </c>
      <c r="H14" s="152" t="s">
        <v>248</v>
      </c>
      <c r="I14" s="152" t="s">
        <v>248</v>
      </c>
      <c r="J14" s="138" t="s">
        <v>248</v>
      </c>
      <c r="K14" s="139" t="s">
        <v>248</v>
      </c>
      <c r="L14" s="118">
        <v>0</v>
      </c>
      <c r="M14" s="152"/>
      <c r="N14" s="131">
        <v>0</v>
      </c>
      <c r="O14" s="131">
        <v>0</v>
      </c>
    </row>
    <row r="15" spans="1:15" s="113" customFormat="1" x14ac:dyDescent="0.25">
      <c r="A15" s="89" t="s">
        <v>218</v>
      </c>
      <c r="B15" s="115" t="s">
        <v>248</v>
      </c>
      <c r="C15" s="139" t="s">
        <v>248</v>
      </c>
      <c r="D15" s="139" t="s">
        <v>248</v>
      </c>
      <c r="E15" s="139" t="s">
        <v>248</v>
      </c>
      <c r="F15" s="139" t="s">
        <v>248</v>
      </c>
      <c r="G15" s="139" t="s">
        <v>248</v>
      </c>
      <c r="H15" s="152" t="s">
        <v>248</v>
      </c>
      <c r="I15" s="152" t="s">
        <v>248</v>
      </c>
      <c r="J15" s="138" t="s">
        <v>248</v>
      </c>
      <c r="K15" s="139" t="s">
        <v>248</v>
      </c>
      <c r="L15" s="118">
        <v>0</v>
      </c>
      <c r="M15" s="152"/>
      <c r="N15" s="131">
        <v>0</v>
      </c>
      <c r="O15" s="131">
        <v>0</v>
      </c>
    </row>
    <row r="16" spans="1:15" s="113" customFormat="1" x14ac:dyDescent="0.25">
      <c r="A16" s="89" t="s">
        <v>414</v>
      </c>
      <c r="B16" s="115" t="s">
        <v>248</v>
      </c>
      <c r="C16" s="139" t="s">
        <v>248</v>
      </c>
      <c r="D16" s="139" t="s">
        <v>248</v>
      </c>
      <c r="E16" s="139" t="s">
        <v>248</v>
      </c>
      <c r="F16" s="139" t="s">
        <v>248</v>
      </c>
      <c r="G16" s="139" t="s">
        <v>248</v>
      </c>
      <c r="H16" s="152" t="s">
        <v>248</v>
      </c>
      <c r="I16" s="152" t="s">
        <v>248</v>
      </c>
      <c r="J16" s="138" t="s">
        <v>248</v>
      </c>
      <c r="K16" s="139" t="s">
        <v>248</v>
      </c>
      <c r="L16" s="118">
        <v>0</v>
      </c>
      <c r="M16" s="152"/>
      <c r="N16" s="131">
        <v>0</v>
      </c>
      <c r="O16" s="131">
        <v>0</v>
      </c>
    </row>
    <row r="17" spans="1:15" s="113" customFormat="1" x14ac:dyDescent="0.25">
      <c r="A17" s="89" t="s">
        <v>666</v>
      </c>
      <c r="B17" s="115" t="s">
        <v>248</v>
      </c>
      <c r="C17" s="139" t="s">
        <v>248</v>
      </c>
      <c r="D17" s="139" t="s">
        <v>248</v>
      </c>
      <c r="E17" s="139" t="s">
        <v>248</v>
      </c>
      <c r="F17" s="139" t="s">
        <v>248</v>
      </c>
      <c r="G17" s="139" t="s">
        <v>248</v>
      </c>
      <c r="H17" s="152" t="s">
        <v>248</v>
      </c>
      <c r="I17" s="152" t="s">
        <v>248</v>
      </c>
      <c r="J17" s="138" t="s">
        <v>248</v>
      </c>
      <c r="K17" s="139" t="s">
        <v>248</v>
      </c>
      <c r="L17" s="118">
        <v>0</v>
      </c>
      <c r="M17" s="152"/>
      <c r="N17" s="131">
        <v>0</v>
      </c>
      <c r="O17" s="131">
        <v>0</v>
      </c>
    </row>
    <row r="18" spans="1:15" s="113" customFormat="1" x14ac:dyDescent="0.25">
      <c r="A18" s="89" t="s">
        <v>667</v>
      </c>
      <c r="B18" s="115" t="s">
        <v>248</v>
      </c>
      <c r="C18" s="139" t="s">
        <v>248</v>
      </c>
      <c r="D18" s="139" t="s">
        <v>248</v>
      </c>
      <c r="E18" s="139" t="s">
        <v>248</v>
      </c>
      <c r="F18" s="139" t="s">
        <v>248</v>
      </c>
      <c r="G18" s="139" t="s">
        <v>248</v>
      </c>
      <c r="H18" s="152" t="s">
        <v>248</v>
      </c>
      <c r="I18" s="152" t="s">
        <v>248</v>
      </c>
      <c r="J18" s="138" t="s">
        <v>248</v>
      </c>
      <c r="K18" s="139" t="s">
        <v>248</v>
      </c>
      <c r="L18" s="118">
        <v>0</v>
      </c>
      <c r="M18" s="152"/>
      <c r="N18" s="131">
        <v>0</v>
      </c>
      <c r="O18" s="131">
        <v>0</v>
      </c>
    </row>
    <row r="19" spans="1:15" s="113" customFormat="1" x14ac:dyDescent="0.25">
      <c r="A19" s="75" t="s">
        <v>241</v>
      </c>
      <c r="B19" s="119"/>
      <c r="C19" s="75"/>
      <c r="D19" s="140"/>
      <c r="E19" s="140"/>
      <c r="F19" s="140"/>
      <c r="G19" s="141"/>
      <c r="H19" s="124"/>
      <c r="I19" s="142"/>
      <c r="J19" s="142"/>
      <c r="K19" s="142"/>
      <c r="L19" s="124"/>
      <c r="M19" s="124"/>
      <c r="N19" s="124"/>
    </row>
    <row r="20" spans="1:15" s="113" customFormat="1" x14ac:dyDescent="0.25">
      <c r="A20" s="75" t="s">
        <v>242</v>
      </c>
      <c r="B20" s="119"/>
      <c r="C20" s="75"/>
      <c r="D20" s="140"/>
      <c r="E20" s="140"/>
      <c r="F20" s="140"/>
      <c r="G20" s="141"/>
      <c r="H20" s="124"/>
      <c r="I20" s="142"/>
      <c r="J20" s="142"/>
      <c r="K20" s="142"/>
      <c r="L20" s="124"/>
      <c r="M20" s="124"/>
      <c r="N20" s="124"/>
    </row>
    <row r="21" spans="1:15" s="113" customFormat="1" x14ac:dyDescent="0.25">
      <c r="A21" s="75" t="s">
        <v>243</v>
      </c>
      <c r="B21" s="119"/>
      <c r="C21" s="75"/>
      <c r="D21" s="140"/>
      <c r="E21" s="140"/>
      <c r="F21" s="140"/>
      <c r="G21" s="141"/>
      <c r="H21" s="124"/>
      <c r="I21" s="142"/>
      <c r="J21" s="142"/>
      <c r="K21" s="142"/>
      <c r="L21" s="124"/>
      <c r="M21" s="124"/>
      <c r="N21" s="124"/>
    </row>
    <row r="22" spans="1:15" s="113" customFormat="1" x14ac:dyDescent="0.25">
      <c r="A22" s="75" t="s">
        <v>244</v>
      </c>
      <c r="B22" s="119"/>
      <c r="C22" s="75"/>
      <c r="D22" s="140"/>
      <c r="E22" s="140"/>
      <c r="F22" s="140"/>
      <c r="G22" s="141"/>
      <c r="H22" s="124"/>
      <c r="I22" s="142"/>
      <c r="J22" s="142"/>
      <c r="K22" s="142"/>
      <c r="L22" s="124"/>
      <c r="M22" s="124"/>
      <c r="N22" s="124"/>
    </row>
    <row r="23" spans="1:15" s="113" customFormat="1" x14ac:dyDescent="0.25">
      <c r="A23" s="75" t="s">
        <v>245</v>
      </c>
      <c r="B23" s="119"/>
      <c r="C23" s="75"/>
      <c r="D23" s="140"/>
      <c r="E23" s="140"/>
      <c r="F23" s="140"/>
      <c r="G23" s="141"/>
      <c r="H23" s="124"/>
      <c r="I23" s="142"/>
      <c r="J23" s="142"/>
      <c r="K23" s="142"/>
      <c r="L23" s="124"/>
      <c r="M23" s="124"/>
      <c r="N23" s="124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24" t="s">
        <v>28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6"/>
    </row>
    <row r="5" spans="1:18" s="7" customFormat="1" x14ac:dyDescent="0.25">
      <c r="A5" s="217" t="s">
        <v>18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9"/>
    </row>
    <row r="6" spans="1:18" s="7" customFormat="1" ht="30" customHeight="1" x14ac:dyDescent="0.25">
      <c r="A6" s="83" t="s">
        <v>157</v>
      </c>
      <c r="B6" s="197" t="s">
        <v>69</v>
      </c>
      <c r="C6" s="197" t="s">
        <v>79</v>
      </c>
      <c r="D6" s="197" t="s">
        <v>74</v>
      </c>
      <c r="E6" s="197" t="s">
        <v>19</v>
      </c>
      <c r="F6" s="197" t="s">
        <v>70</v>
      </c>
      <c r="G6" s="197" t="s">
        <v>5</v>
      </c>
      <c r="H6" s="197" t="s">
        <v>13</v>
      </c>
      <c r="I6" s="197" t="s">
        <v>14</v>
      </c>
      <c r="J6" s="197" t="s">
        <v>6</v>
      </c>
      <c r="K6" s="198" t="s">
        <v>66</v>
      </c>
      <c r="L6" s="198" t="s">
        <v>71</v>
      </c>
      <c r="M6" s="198" t="s">
        <v>67</v>
      </c>
      <c r="N6" s="198" t="s">
        <v>68</v>
      </c>
      <c r="O6" s="198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3" customFormat="1" ht="12.75" customHeight="1" thickBot="1" x14ac:dyDescent="0.3">
      <c r="A9" s="96" t="s">
        <v>61</v>
      </c>
      <c r="B9" s="64" t="s">
        <v>248</v>
      </c>
      <c r="C9" s="64" t="s">
        <v>248</v>
      </c>
      <c r="D9" s="64" t="s">
        <v>248</v>
      </c>
      <c r="E9" s="64" t="s">
        <v>248</v>
      </c>
      <c r="F9" s="97"/>
      <c r="G9" s="133" t="s">
        <v>248</v>
      </c>
      <c r="H9" s="133" t="s">
        <v>248</v>
      </c>
      <c r="I9" s="133" t="s">
        <v>248</v>
      </c>
      <c r="J9" s="133" t="s">
        <v>248</v>
      </c>
      <c r="K9" s="134" t="s">
        <v>248</v>
      </c>
      <c r="L9" s="134" t="s">
        <v>248</v>
      </c>
      <c r="M9" s="98" t="s">
        <v>248</v>
      </c>
      <c r="N9" s="133" t="s">
        <v>248</v>
      </c>
      <c r="O9" s="99">
        <v>6.0000000000000008E-7</v>
      </c>
      <c r="P9" s="114" t="s">
        <v>248</v>
      </c>
      <c r="Q9" s="102">
        <v>1</v>
      </c>
      <c r="R9" s="56">
        <v>0</v>
      </c>
    </row>
    <row r="10" spans="1:18" s="113" customFormat="1" x14ac:dyDescent="0.25">
      <c r="A10" s="88" t="s">
        <v>137</v>
      </c>
      <c r="B10" s="115" t="s">
        <v>248</v>
      </c>
      <c r="C10" s="115" t="s">
        <v>248</v>
      </c>
      <c r="D10" s="115" t="s">
        <v>248</v>
      </c>
      <c r="E10" s="115" t="s">
        <v>248</v>
      </c>
      <c r="F10" s="116" t="s">
        <v>248</v>
      </c>
      <c r="G10" s="137" t="s">
        <v>248</v>
      </c>
      <c r="H10" s="137" t="s">
        <v>248</v>
      </c>
      <c r="I10" s="137" t="s">
        <v>248</v>
      </c>
      <c r="J10" s="137" t="s">
        <v>248</v>
      </c>
      <c r="K10" s="151" t="s">
        <v>248</v>
      </c>
      <c r="L10" s="151" t="s">
        <v>248</v>
      </c>
      <c r="M10" s="127" t="s">
        <v>248</v>
      </c>
      <c r="N10" s="137" t="s">
        <v>248</v>
      </c>
      <c r="O10" s="117">
        <v>0</v>
      </c>
      <c r="P10" s="151" t="s">
        <v>248</v>
      </c>
      <c r="Q10" s="115">
        <v>0</v>
      </c>
      <c r="R10" s="115">
        <v>0</v>
      </c>
    </row>
    <row r="11" spans="1:18" s="113" customFormat="1" x14ac:dyDescent="0.25">
      <c r="A11" s="89" t="s">
        <v>668</v>
      </c>
      <c r="B11" s="115" t="s">
        <v>248</v>
      </c>
      <c r="C11" s="131" t="s">
        <v>248</v>
      </c>
      <c r="D11" s="131" t="s">
        <v>248</v>
      </c>
      <c r="E11" s="131" t="s">
        <v>248</v>
      </c>
      <c r="F11" s="130" t="s">
        <v>248</v>
      </c>
      <c r="G11" s="139" t="s">
        <v>248</v>
      </c>
      <c r="H11" s="139" t="s">
        <v>248</v>
      </c>
      <c r="I11" s="139" t="s">
        <v>248</v>
      </c>
      <c r="J11" s="139" t="s">
        <v>248</v>
      </c>
      <c r="K11" s="152" t="s">
        <v>248</v>
      </c>
      <c r="L11" s="152" t="s">
        <v>248</v>
      </c>
      <c r="M11" s="129" t="s">
        <v>248</v>
      </c>
      <c r="N11" s="139" t="s">
        <v>248</v>
      </c>
      <c r="O11" s="118">
        <v>0</v>
      </c>
      <c r="P11" s="152"/>
      <c r="Q11" s="131">
        <v>0</v>
      </c>
      <c r="R11" s="131">
        <v>0</v>
      </c>
    </row>
    <row r="12" spans="1:18" s="113" customFormat="1" x14ac:dyDescent="0.25">
      <c r="A12" s="89" t="s">
        <v>669</v>
      </c>
      <c r="B12" s="115" t="s">
        <v>248</v>
      </c>
      <c r="C12" s="131" t="s">
        <v>248</v>
      </c>
      <c r="D12" s="131" t="s">
        <v>248</v>
      </c>
      <c r="E12" s="131" t="s">
        <v>248</v>
      </c>
      <c r="F12" s="130" t="s">
        <v>248</v>
      </c>
      <c r="G12" s="139" t="s">
        <v>248</v>
      </c>
      <c r="H12" s="139" t="s">
        <v>248</v>
      </c>
      <c r="I12" s="139" t="s">
        <v>248</v>
      </c>
      <c r="J12" s="139" t="s">
        <v>248</v>
      </c>
      <c r="K12" s="152" t="s">
        <v>248</v>
      </c>
      <c r="L12" s="152" t="s">
        <v>248</v>
      </c>
      <c r="M12" s="129" t="s">
        <v>248</v>
      </c>
      <c r="N12" s="139" t="s">
        <v>248</v>
      </c>
      <c r="O12" s="118">
        <v>0</v>
      </c>
      <c r="P12" s="152"/>
      <c r="Q12" s="131">
        <v>0</v>
      </c>
      <c r="R12" s="131">
        <v>0</v>
      </c>
    </row>
    <row r="13" spans="1:18" s="113" customFormat="1" x14ac:dyDescent="0.25">
      <c r="A13" s="89" t="s">
        <v>427</v>
      </c>
      <c r="B13" s="115" t="s">
        <v>248</v>
      </c>
      <c r="C13" s="131" t="s">
        <v>248</v>
      </c>
      <c r="D13" s="131" t="s">
        <v>248</v>
      </c>
      <c r="E13" s="131" t="s">
        <v>248</v>
      </c>
      <c r="F13" s="130" t="s">
        <v>248</v>
      </c>
      <c r="G13" s="139" t="s">
        <v>248</v>
      </c>
      <c r="H13" s="139" t="s">
        <v>248</v>
      </c>
      <c r="I13" s="139" t="s">
        <v>248</v>
      </c>
      <c r="J13" s="139" t="s">
        <v>248</v>
      </c>
      <c r="K13" s="152" t="s">
        <v>248</v>
      </c>
      <c r="L13" s="152" t="s">
        <v>248</v>
      </c>
      <c r="M13" s="129" t="s">
        <v>248</v>
      </c>
      <c r="N13" s="130" t="s">
        <v>248</v>
      </c>
      <c r="O13" s="118">
        <v>0</v>
      </c>
      <c r="P13" s="152"/>
      <c r="Q13" s="131">
        <v>0</v>
      </c>
      <c r="R13" s="131">
        <v>0</v>
      </c>
    </row>
    <row r="14" spans="1:18" s="113" customFormat="1" x14ac:dyDescent="0.25">
      <c r="A14" s="89" t="s">
        <v>141</v>
      </c>
      <c r="B14" s="115" t="s">
        <v>248</v>
      </c>
      <c r="C14" s="131" t="s">
        <v>248</v>
      </c>
      <c r="D14" s="131" t="s">
        <v>248</v>
      </c>
      <c r="E14" s="131" t="s">
        <v>248</v>
      </c>
      <c r="F14" s="130" t="s">
        <v>248</v>
      </c>
      <c r="G14" s="139" t="s">
        <v>248</v>
      </c>
      <c r="H14" s="139" t="s">
        <v>248</v>
      </c>
      <c r="I14" s="139" t="s">
        <v>248</v>
      </c>
      <c r="J14" s="139" t="s">
        <v>248</v>
      </c>
      <c r="K14" s="152" t="s">
        <v>248</v>
      </c>
      <c r="L14" s="152" t="s">
        <v>248</v>
      </c>
      <c r="M14" s="129" t="s">
        <v>248</v>
      </c>
      <c r="N14" s="139" t="s">
        <v>248</v>
      </c>
      <c r="O14" s="118">
        <v>0</v>
      </c>
      <c r="P14" s="152"/>
      <c r="Q14" s="131">
        <v>0</v>
      </c>
      <c r="R14" s="131">
        <v>0</v>
      </c>
    </row>
    <row r="15" spans="1:18" s="113" customFormat="1" x14ac:dyDescent="0.25">
      <c r="A15" s="89" t="s">
        <v>414</v>
      </c>
      <c r="B15" s="115" t="s">
        <v>248</v>
      </c>
      <c r="C15" s="131" t="s">
        <v>248</v>
      </c>
      <c r="D15" s="131" t="s">
        <v>248</v>
      </c>
      <c r="E15" s="131" t="s">
        <v>248</v>
      </c>
      <c r="F15" s="130" t="s">
        <v>248</v>
      </c>
      <c r="G15" s="139" t="s">
        <v>248</v>
      </c>
      <c r="H15" s="139" t="s">
        <v>248</v>
      </c>
      <c r="I15" s="139" t="s">
        <v>248</v>
      </c>
      <c r="J15" s="139" t="s">
        <v>248</v>
      </c>
      <c r="K15" s="152" t="s">
        <v>248</v>
      </c>
      <c r="L15" s="152" t="s">
        <v>248</v>
      </c>
      <c r="M15" s="129" t="s">
        <v>248</v>
      </c>
      <c r="N15" s="139" t="s">
        <v>248</v>
      </c>
      <c r="O15" s="118">
        <v>0</v>
      </c>
      <c r="P15" s="152"/>
      <c r="Q15" s="131">
        <v>0</v>
      </c>
      <c r="R15" s="131">
        <v>0</v>
      </c>
    </row>
    <row r="16" spans="1:18" s="113" customFormat="1" x14ac:dyDescent="0.25">
      <c r="A16" s="89" t="s">
        <v>670</v>
      </c>
      <c r="B16" s="115" t="s">
        <v>248</v>
      </c>
      <c r="C16" s="131" t="s">
        <v>248</v>
      </c>
      <c r="D16" s="131" t="s">
        <v>248</v>
      </c>
      <c r="E16" s="131" t="s">
        <v>248</v>
      </c>
      <c r="F16" s="130" t="s">
        <v>248</v>
      </c>
      <c r="G16" s="139" t="s">
        <v>248</v>
      </c>
      <c r="H16" s="139" t="s">
        <v>248</v>
      </c>
      <c r="I16" s="139" t="s">
        <v>248</v>
      </c>
      <c r="J16" s="139" t="s">
        <v>248</v>
      </c>
      <c r="K16" s="152" t="s">
        <v>248</v>
      </c>
      <c r="L16" s="152" t="s">
        <v>248</v>
      </c>
      <c r="M16" s="129" t="s">
        <v>248</v>
      </c>
      <c r="N16" s="139" t="s">
        <v>248</v>
      </c>
      <c r="O16" s="118">
        <v>0</v>
      </c>
      <c r="P16" s="152"/>
      <c r="Q16" s="131">
        <v>0</v>
      </c>
      <c r="R16" s="131">
        <v>0</v>
      </c>
    </row>
    <row r="17" spans="1:18" s="113" customFormat="1" x14ac:dyDescent="0.25">
      <c r="A17" s="89" t="s">
        <v>671</v>
      </c>
      <c r="B17" s="115" t="s">
        <v>248</v>
      </c>
      <c r="C17" s="131" t="s">
        <v>248</v>
      </c>
      <c r="D17" s="131" t="s">
        <v>248</v>
      </c>
      <c r="E17" s="131" t="s">
        <v>248</v>
      </c>
      <c r="F17" s="130" t="s">
        <v>248</v>
      </c>
      <c r="G17" s="139" t="s">
        <v>248</v>
      </c>
      <c r="H17" s="139" t="s">
        <v>248</v>
      </c>
      <c r="I17" s="139" t="s">
        <v>248</v>
      </c>
      <c r="J17" s="139" t="s">
        <v>248</v>
      </c>
      <c r="K17" s="152" t="s">
        <v>248</v>
      </c>
      <c r="L17" s="152" t="s">
        <v>248</v>
      </c>
      <c r="M17" s="129" t="s">
        <v>248</v>
      </c>
      <c r="N17" s="139" t="s">
        <v>248</v>
      </c>
      <c r="O17" s="118">
        <v>0</v>
      </c>
      <c r="P17" s="152"/>
      <c r="Q17" s="131">
        <v>0</v>
      </c>
      <c r="R17" s="131">
        <v>0</v>
      </c>
    </row>
    <row r="18" spans="1:18" s="113" customFormat="1" x14ac:dyDescent="0.25">
      <c r="A18" s="75" t="s">
        <v>241</v>
      </c>
      <c r="B18" s="119"/>
      <c r="C18" s="119"/>
      <c r="D18" s="119"/>
      <c r="E18" s="75"/>
      <c r="F18" s="140"/>
      <c r="G18" s="140"/>
      <c r="H18" s="140"/>
      <c r="I18" s="141"/>
      <c r="J18" s="124"/>
      <c r="K18" s="142"/>
      <c r="L18" s="142"/>
      <c r="M18" s="142"/>
      <c r="N18" s="124"/>
      <c r="O18" s="124"/>
    </row>
    <row r="19" spans="1:18" s="113" customFormat="1" x14ac:dyDescent="0.25">
      <c r="A19" s="75" t="s">
        <v>242</v>
      </c>
      <c r="B19" s="119"/>
      <c r="C19" s="119"/>
      <c r="D19" s="119"/>
      <c r="E19" s="75"/>
      <c r="F19" s="140"/>
      <c r="G19" s="140"/>
      <c r="H19" s="140"/>
      <c r="I19" s="141"/>
      <c r="J19" s="124"/>
      <c r="K19" s="142"/>
      <c r="L19" s="142"/>
      <c r="M19" s="142"/>
      <c r="N19" s="124"/>
      <c r="O19" s="124"/>
    </row>
    <row r="20" spans="1:18" s="113" customFormat="1" x14ac:dyDescent="0.25">
      <c r="A20" s="75" t="s">
        <v>243</v>
      </c>
      <c r="B20" s="119"/>
      <c r="C20" s="119"/>
      <c r="D20" s="119"/>
      <c r="E20" s="75"/>
      <c r="F20" s="140"/>
      <c r="G20" s="140"/>
      <c r="H20" s="140"/>
      <c r="I20" s="141"/>
      <c r="J20" s="124"/>
      <c r="K20" s="142"/>
      <c r="L20" s="142"/>
      <c r="M20" s="142"/>
      <c r="N20" s="124"/>
      <c r="O20" s="124"/>
    </row>
    <row r="21" spans="1:18" s="113" customFormat="1" x14ac:dyDescent="0.25">
      <c r="A21" s="75" t="s">
        <v>244</v>
      </c>
      <c r="B21" s="119"/>
      <c r="C21" s="119"/>
      <c r="D21" s="119"/>
      <c r="E21" s="75"/>
      <c r="F21" s="140"/>
      <c r="G21" s="140"/>
      <c r="H21" s="140"/>
      <c r="I21" s="141"/>
      <c r="J21" s="124"/>
      <c r="K21" s="142"/>
      <c r="L21" s="142"/>
      <c r="M21" s="142"/>
      <c r="N21" s="124"/>
      <c r="O21" s="124"/>
    </row>
    <row r="22" spans="1:18" s="113" customFormat="1" x14ac:dyDescent="0.25">
      <c r="A22" s="75" t="s">
        <v>245</v>
      </c>
      <c r="B22" s="119"/>
      <c r="C22" s="119"/>
      <c r="D22" s="119"/>
      <c r="E22" s="75"/>
      <c r="F22" s="140"/>
      <c r="G22" s="140"/>
      <c r="H22" s="140"/>
      <c r="I22" s="141"/>
      <c r="J22" s="124"/>
      <c r="K22" s="142"/>
      <c r="L22" s="142"/>
      <c r="M22" s="142"/>
      <c r="N22" s="124"/>
      <c r="O22" s="124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34.441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57" customWidth="1"/>
    <col min="7" max="7" width="11.109375" style="57" customWidth="1"/>
    <col min="8" max="8" width="14.109375" style="57" customWidth="1"/>
    <col min="9" max="9" width="7.88671875" style="36" customWidth="1"/>
    <col min="10" max="10" width="11.33203125" style="59" customWidth="1"/>
    <col min="11" max="11" width="12.5546875" style="61" customWidth="1"/>
    <col min="12" max="12" width="14.109375" style="61" customWidth="1"/>
    <col min="13" max="13" width="10.5546875" style="61" customWidth="1"/>
    <col min="14" max="14" width="8.88671875" style="59" bestFit="1" customWidth="1"/>
    <col min="15" max="15" width="10.44140625" style="59" customWidth="1"/>
    <col min="16" max="16" width="22" style="62" customWidth="1"/>
    <col min="17" max="17" width="25.44140625" style="62" customWidth="1"/>
    <col min="18" max="18" width="20.6640625" style="62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60"/>
      <c r="L1" s="60"/>
      <c r="M1" s="60"/>
      <c r="N1" s="59"/>
      <c r="O1" s="59"/>
      <c r="P1" s="62"/>
      <c r="Q1" s="62"/>
      <c r="R1" s="42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60"/>
      <c r="L2" s="60"/>
      <c r="M2" s="60"/>
      <c r="N2" s="59"/>
      <c r="O2" s="59"/>
      <c r="P2" s="62"/>
      <c r="Q2" s="62"/>
      <c r="R2" s="42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60"/>
      <c r="L3" s="60"/>
      <c r="M3" s="60"/>
      <c r="N3" s="59"/>
      <c r="O3" s="59"/>
      <c r="P3" s="62"/>
      <c r="Q3" s="62"/>
      <c r="R3" s="42"/>
    </row>
    <row r="4" spans="1:18" s="7" customFormat="1" ht="13.8" thickBot="1" x14ac:dyDescent="0.3">
      <c r="A4" s="224" t="s">
        <v>28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6"/>
    </row>
    <row r="5" spans="1:18" s="7" customFormat="1" x14ac:dyDescent="0.25">
      <c r="A5" s="217" t="s">
        <v>20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9"/>
    </row>
    <row r="6" spans="1:18" s="7" customFormat="1" ht="30" customHeight="1" x14ac:dyDescent="0.25">
      <c r="A6" s="83" t="s">
        <v>157</v>
      </c>
      <c r="B6" s="197" t="s">
        <v>69</v>
      </c>
      <c r="C6" s="197" t="s">
        <v>79</v>
      </c>
      <c r="D6" s="197" t="s">
        <v>74</v>
      </c>
      <c r="E6" s="197" t="s">
        <v>19</v>
      </c>
      <c r="F6" s="197" t="s">
        <v>70</v>
      </c>
      <c r="G6" s="197" t="s">
        <v>5</v>
      </c>
      <c r="H6" s="197" t="s">
        <v>13</v>
      </c>
      <c r="I6" s="197" t="s">
        <v>14</v>
      </c>
      <c r="J6" s="197" t="s">
        <v>6</v>
      </c>
      <c r="K6" s="198" t="s">
        <v>66</v>
      </c>
      <c r="L6" s="198" t="s">
        <v>71</v>
      </c>
      <c r="M6" s="198" t="s">
        <v>67</v>
      </c>
      <c r="N6" s="198" t="s">
        <v>68</v>
      </c>
      <c r="O6" s="198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3" customFormat="1" ht="12.75" customHeight="1" thickBot="1" x14ac:dyDescent="0.3">
      <c r="A9" s="96" t="s">
        <v>58</v>
      </c>
      <c r="B9" s="64"/>
      <c r="C9" s="64"/>
      <c r="D9" s="64"/>
      <c r="E9" s="64"/>
      <c r="F9" s="97"/>
      <c r="G9" s="97"/>
      <c r="H9" s="97"/>
      <c r="I9" s="97"/>
      <c r="J9" s="97"/>
      <c r="K9" s="64"/>
      <c r="L9" s="64"/>
      <c r="M9" s="98"/>
      <c r="N9" s="97"/>
      <c r="O9" s="101">
        <v>6.0000000000000008E-7</v>
      </c>
      <c r="P9" s="64"/>
      <c r="Q9" s="64">
        <v>1</v>
      </c>
      <c r="R9" s="78">
        <v>0</v>
      </c>
    </row>
    <row r="10" spans="1:18" s="113" customFormat="1" x14ac:dyDescent="0.25">
      <c r="A10" s="88" t="s">
        <v>137</v>
      </c>
      <c r="B10" s="115" t="s">
        <v>248</v>
      </c>
      <c r="C10" s="115" t="s">
        <v>248</v>
      </c>
      <c r="D10" s="115" t="s">
        <v>248</v>
      </c>
      <c r="E10" s="115" t="s">
        <v>248</v>
      </c>
      <c r="F10" s="116" t="s">
        <v>248</v>
      </c>
      <c r="G10" s="116" t="s">
        <v>248</v>
      </c>
      <c r="H10" s="116" t="s">
        <v>248</v>
      </c>
      <c r="I10" s="127" t="s">
        <v>248</v>
      </c>
      <c r="J10" s="116" t="s">
        <v>248</v>
      </c>
      <c r="K10" s="115" t="s">
        <v>248</v>
      </c>
      <c r="L10" s="115" t="s">
        <v>248</v>
      </c>
      <c r="M10" s="127" t="s">
        <v>248</v>
      </c>
      <c r="N10" s="116" t="s">
        <v>248</v>
      </c>
      <c r="O10" s="128">
        <v>0</v>
      </c>
      <c r="P10" s="115" t="s">
        <v>248</v>
      </c>
      <c r="Q10" s="115">
        <v>0</v>
      </c>
      <c r="R10" s="115">
        <v>0</v>
      </c>
    </row>
    <row r="11" spans="1:18" s="113" customFormat="1" x14ac:dyDescent="0.25">
      <c r="A11" s="89" t="s">
        <v>668</v>
      </c>
      <c r="B11" s="131" t="s">
        <v>248</v>
      </c>
      <c r="C11" s="131" t="s">
        <v>248</v>
      </c>
      <c r="D11" s="131" t="s">
        <v>248</v>
      </c>
      <c r="E11" s="131" t="s">
        <v>248</v>
      </c>
      <c r="F11" s="116" t="s">
        <v>248</v>
      </c>
      <c r="G11" s="130" t="s">
        <v>248</v>
      </c>
      <c r="H11" s="130" t="s">
        <v>248</v>
      </c>
      <c r="I11" s="127" t="s">
        <v>248</v>
      </c>
      <c r="J11" s="130" t="s">
        <v>248</v>
      </c>
      <c r="K11" s="131" t="s">
        <v>248</v>
      </c>
      <c r="L11" s="131" t="s">
        <v>248</v>
      </c>
      <c r="M11" s="129" t="s">
        <v>248</v>
      </c>
      <c r="N11" s="116" t="s">
        <v>248</v>
      </c>
      <c r="O11" s="118">
        <v>0</v>
      </c>
      <c r="P11" s="131"/>
      <c r="Q11" s="115">
        <v>0</v>
      </c>
      <c r="R11" s="115">
        <v>0</v>
      </c>
    </row>
    <row r="12" spans="1:18" s="113" customFormat="1" x14ac:dyDescent="0.25">
      <c r="A12" s="89" t="s">
        <v>669</v>
      </c>
      <c r="B12" s="131" t="s">
        <v>248</v>
      </c>
      <c r="C12" s="131" t="s">
        <v>248</v>
      </c>
      <c r="D12" s="131" t="s">
        <v>248</v>
      </c>
      <c r="E12" s="131" t="s">
        <v>248</v>
      </c>
      <c r="F12" s="116" t="s">
        <v>248</v>
      </c>
      <c r="G12" s="130" t="s">
        <v>248</v>
      </c>
      <c r="H12" s="130" t="s">
        <v>248</v>
      </c>
      <c r="I12" s="127" t="s">
        <v>248</v>
      </c>
      <c r="J12" s="130" t="s">
        <v>248</v>
      </c>
      <c r="K12" s="131" t="s">
        <v>248</v>
      </c>
      <c r="L12" s="131" t="s">
        <v>248</v>
      </c>
      <c r="M12" s="129" t="s">
        <v>248</v>
      </c>
      <c r="N12" s="116" t="s">
        <v>248</v>
      </c>
      <c r="O12" s="118">
        <v>0</v>
      </c>
      <c r="P12" s="131"/>
      <c r="Q12" s="115">
        <v>0</v>
      </c>
      <c r="R12" s="115">
        <v>0</v>
      </c>
    </row>
    <row r="13" spans="1:18" s="113" customFormat="1" x14ac:dyDescent="0.25">
      <c r="A13" s="89" t="s">
        <v>427</v>
      </c>
      <c r="B13" s="131" t="s">
        <v>248</v>
      </c>
      <c r="C13" s="131" t="s">
        <v>248</v>
      </c>
      <c r="D13" s="131" t="s">
        <v>248</v>
      </c>
      <c r="E13" s="131" t="s">
        <v>248</v>
      </c>
      <c r="F13" s="116" t="s">
        <v>248</v>
      </c>
      <c r="G13" s="130" t="s">
        <v>248</v>
      </c>
      <c r="H13" s="130" t="s">
        <v>248</v>
      </c>
      <c r="I13" s="127" t="s">
        <v>248</v>
      </c>
      <c r="J13" s="130" t="s">
        <v>248</v>
      </c>
      <c r="K13" s="131" t="s">
        <v>248</v>
      </c>
      <c r="L13" s="131" t="s">
        <v>248</v>
      </c>
      <c r="M13" s="129" t="s">
        <v>248</v>
      </c>
      <c r="N13" s="116" t="s">
        <v>248</v>
      </c>
      <c r="O13" s="118">
        <v>0</v>
      </c>
      <c r="P13" s="131"/>
      <c r="Q13" s="115">
        <v>0</v>
      </c>
      <c r="R13" s="115">
        <v>0</v>
      </c>
    </row>
    <row r="14" spans="1:18" s="113" customFormat="1" x14ac:dyDescent="0.25">
      <c r="A14" s="89" t="s">
        <v>141</v>
      </c>
      <c r="B14" s="131" t="s">
        <v>248</v>
      </c>
      <c r="C14" s="131" t="s">
        <v>248</v>
      </c>
      <c r="D14" s="131" t="s">
        <v>248</v>
      </c>
      <c r="E14" s="131" t="s">
        <v>248</v>
      </c>
      <c r="F14" s="116" t="s">
        <v>248</v>
      </c>
      <c r="G14" s="130" t="s">
        <v>248</v>
      </c>
      <c r="H14" s="130" t="s">
        <v>248</v>
      </c>
      <c r="I14" s="127" t="s">
        <v>248</v>
      </c>
      <c r="J14" s="130" t="s">
        <v>248</v>
      </c>
      <c r="K14" s="131" t="s">
        <v>248</v>
      </c>
      <c r="L14" s="131" t="s">
        <v>248</v>
      </c>
      <c r="M14" s="129" t="s">
        <v>248</v>
      </c>
      <c r="N14" s="116" t="s">
        <v>248</v>
      </c>
      <c r="O14" s="118">
        <v>0</v>
      </c>
      <c r="P14" s="131"/>
      <c r="Q14" s="115">
        <v>0</v>
      </c>
      <c r="R14" s="115">
        <v>0</v>
      </c>
    </row>
    <row r="15" spans="1:18" s="113" customFormat="1" x14ac:dyDescent="0.25">
      <c r="A15" s="89" t="s">
        <v>414</v>
      </c>
      <c r="B15" s="131" t="s">
        <v>248</v>
      </c>
      <c r="C15" s="131" t="s">
        <v>248</v>
      </c>
      <c r="D15" s="131" t="s">
        <v>248</v>
      </c>
      <c r="E15" s="131" t="s">
        <v>248</v>
      </c>
      <c r="F15" s="116" t="s">
        <v>248</v>
      </c>
      <c r="G15" s="130" t="s">
        <v>248</v>
      </c>
      <c r="H15" s="130" t="s">
        <v>248</v>
      </c>
      <c r="I15" s="127" t="s">
        <v>248</v>
      </c>
      <c r="J15" s="130" t="s">
        <v>248</v>
      </c>
      <c r="K15" s="131" t="s">
        <v>248</v>
      </c>
      <c r="L15" s="131" t="s">
        <v>248</v>
      </c>
      <c r="M15" s="129" t="s">
        <v>248</v>
      </c>
      <c r="N15" s="116" t="s">
        <v>248</v>
      </c>
      <c r="O15" s="118">
        <v>0</v>
      </c>
      <c r="P15" s="131"/>
      <c r="Q15" s="115">
        <v>0</v>
      </c>
      <c r="R15" s="115">
        <v>0</v>
      </c>
    </row>
    <row r="16" spans="1:18" s="113" customFormat="1" x14ac:dyDescent="0.25">
      <c r="A16" s="89" t="s">
        <v>672</v>
      </c>
      <c r="B16" s="131" t="s">
        <v>248</v>
      </c>
      <c r="C16" s="131" t="s">
        <v>248</v>
      </c>
      <c r="D16" s="131" t="s">
        <v>248</v>
      </c>
      <c r="E16" s="131" t="s">
        <v>248</v>
      </c>
      <c r="F16" s="116" t="s">
        <v>248</v>
      </c>
      <c r="G16" s="130" t="s">
        <v>248</v>
      </c>
      <c r="H16" s="130" t="s">
        <v>248</v>
      </c>
      <c r="I16" s="127" t="s">
        <v>248</v>
      </c>
      <c r="J16" s="130" t="s">
        <v>248</v>
      </c>
      <c r="K16" s="131" t="s">
        <v>248</v>
      </c>
      <c r="L16" s="131" t="s">
        <v>248</v>
      </c>
      <c r="M16" s="129" t="s">
        <v>248</v>
      </c>
      <c r="N16" s="116" t="s">
        <v>248</v>
      </c>
      <c r="O16" s="118">
        <v>0</v>
      </c>
      <c r="P16" s="131"/>
      <c r="Q16" s="115">
        <v>0</v>
      </c>
      <c r="R16" s="115">
        <v>0</v>
      </c>
    </row>
    <row r="17" spans="1:18" s="113" customFormat="1" x14ac:dyDescent="0.25">
      <c r="A17" s="89" t="s">
        <v>673</v>
      </c>
      <c r="B17" s="131" t="s">
        <v>248</v>
      </c>
      <c r="C17" s="131" t="s">
        <v>248</v>
      </c>
      <c r="D17" s="131" t="s">
        <v>248</v>
      </c>
      <c r="E17" s="131" t="s">
        <v>248</v>
      </c>
      <c r="F17" s="116" t="s">
        <v>248</v>
      </c>
      <c r="G17" s="130" t="s">
        <v>248</v>
      </c>
      <c r="H17" s="130" t="s">
        <v>248</v>
      </c>
      <c r="I17" s="127" t="s">
        <v>248</v>
      </c>
      <c r="J17" s="130" t="s">
        <v>248</v>
      </c>
      <c r="K17" s="131" t="s">
        <v>248</v>
      </c>
      <c r="L17" s="131" t="s">
        <v>248</v>
      </c>
      <c r="M17" s="129" t="s">
        <v>248</v>
      </c>
      <c r="N17" s="116" t="s">
        <v>248</v>
      </c>
      <c r="O17" s="118">
        <v>0</v>
      </c>
      <c r="P17" s="131"/>
      <c r="Q17" s="115">
        <v>0</v>
      </c>
      <c r="R17" s="115">
        <v>0</v>
      </c>
    </row>
    <row r="18" spans="1:18" s="113" customFormat="1" x14ac:dyDescent="0.25">
      <c r="A18" s="75" t="s">
        <v>241</v>
      </c>
      <c r="B18" s="119"/>
      <c r="C18" s="119"/>
      <c r="D18" s="119"/>
      <c r="E18" s="75"/>
      <c r="F18" s="120"/>
      <c r="G18" s="120"/>
      <c r="H18" s="120"/>
      <c r="I18" s="121"/>
      <c r="J18" s="122"/>
      <c r="K18" s="123"/>
      <c r="L18" s="123"/>
      <c r="M18" s="123"/>
      <c r="N18" s="122"/>
      <c r="O18" s="122"/>
      <c r="P18" s="132"/>
      <c r="Q18" s="132"/>
      <c r="R18" s="132"/>
    </row>
    <row r="19" spans="1:18" s="113" customFormat="1" x14ac:dyDescent="0.25">
      <c r="A19" s="75" t="s">
        <v>242</v>
      </c>
      <c r="B19" s="119"/>
      <c r="C19" s="119"/>
      <c r="D19" s="119"/>
      <c r="E19" s="75"/>
      <c r="F19" s="120"/>
      <c r="G19" s="120"/>
      <c r="H19" s="120"/>
      <c r="I19" s="121"/>
      <c r="J19" s="122"/>
      <c r="K19" s="123"/>
      <c r="L19" s="123"/>
      <c r="M19" s="123"/>
      <c r="N19" s="122"/>
      <c r="O19" s="122"/>
      <c r="P19" s="132"/>
      <c r="Q19" s="132"/>
      <c r="R19" s="132"/>
    </row>
    <row r="20" spans="1:18" s="113" customFormat="1" x14ac:dyDescent="0.25">
      <c r="A20" s="75" t="s">
        <v>243</v>
      </c>
      <c r="B20" s="119"/>
      <c r="C20" s="119"/>
      <c r="D20" s="119"/>
      <c r="E20" s="75"/>
      <c r="F20" s="120"/>
      <c r="G20" s="120"/>
      <c r="H20" s="120"/>
      <c r="I20" s="121"/>
      <c r="J20" s="122"/>
      <c r="K20" s="123"/>
      <c r="L20" s="123"/>
      <c r="M20" s="123"/>
      <c r="N20" s="122"/>
      <c r="O20" s="122"/>
      <c r="P20" s="132"/>
      <c r="Q20" s="132"/>
      <c r="R20" s="132"/>
    </row>
    <row r="21" spans="1:18" s="113" customFormat="1" x14ac:dyDescent="0.25">
      <c r="A21" s="75" t="s">
        <v>244</v>
      </c>
      <c r="B21" s="119"/>
      <c r="C21" s="119"/>
      <c r="D21" s="119"/>
      <c r="E21" s="75"/>
      <c r="F21" s="120"/>
      <c r="G21" s="120"/>
      <c r="H21" s="120"/>
      <c r="I21" s="121"/>
      <c r="J21" s="122"/>
      <c r="K21" s="123"/>
      <c r="L21" s="123"/>
      <c r="M21" s="123"/>
      <c r="N21" s="122"/>
      <c r="O21" s="122"/>
      <c r="P21" s="132"/>
      <c r="Q21" s="132"/>
      <c r="R21" s="132"/>
    </row>
    <row r="22" spans="1:18" s="113" customFormat="1" x14ac:dyDescent="0.25">
      <c r="A22" s="75" t="s">
        <v>245</v>
      </c>
      <c r="B22" s="119"/>
      <c r="C22" s="119"/>
      <c r="D22" s="119"/>
      <c r="E22" s="75"/>
      <c r="F22" s="120"/>
      <c r="G22" s="120"/>
      <c r="H22" s="120"/>
      <c r="I22" s="121"/>
      <c r="J22" s="122"/>
      <c r="K22" s="123"/>
      <c r="L22" s="123"/>
      <c r="M22" s="123"/>
      <c r="N22" s="122"/>
      <c r="O22" s="122"/>
      <c r="P22" s="132"/>
      <c r="Q22" s="132"/>
      <c r="R22" s="132"/>
    </row>
  </sheetData>
  <mergeCells count="2">
    <mergeCell ref="A5:R5"/>
    <mergeCell ref="A4:R4"/>
  </mergeCells>
  <phoneticPr fontId="3" type="noConversion"/>
  <conditionalFormatting sqref="A9:A17 O9:O17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17 J9:J17 Q9:R17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17 I9:I17 K9:N17 J18:J55552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7" customWidth="1"/>
    <col min="7" max="7" width="10.5546875" style="57" customWidth="1"/>
    <col min="8" max="8" width="8.88671875" style="57" bestFit="1" customWidth="1"/>
    <col min="9" max="9" width="10.44140625" style="36" customWidth="1"/>
    <col min="10" max="10" width="22" style="59" customWidth="1"/>
    <col min="11" max="11" width="25.44140625" style="59" customWidth="1"/>
    <col min="12" max="12" width="20.6640625" style="61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59"/>
      <c r="L1" s="60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59"/>
      <c r="L2" s="60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59"/>
      <c r="L3" s="60"/>
      <c r="M3" s="13"/>
      <c r="N3" s="13"/>
      <c r="O3" s="12"/>
      <c r="P3" s="12"/>
      <c r="Q3" s="14"/>
    </row>
    <row r="4" spans="1:17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223"/>
      <c r="M4" s="13"/>
      <c r="N4" s="13"/>
      <c r="O4" s="12"/>
      <c r="P4" s="12"/>
      <c r="Q4" s="14"/>
    </row>
    <row r="5" spans="1:17" s="7" customFormat="1" x14ac:dyDescent="0.25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9"/>
    </row>
    <row r="6" spans="1:17" s="7" customFormat="1" ht="33.75" customHeight="1" x14ac:dyDescent="0.25">
      <c r="A6" s="83" t="s">
        <v>157</v>
      </c>
      <c r="B6" s="197" t="s">
        <v>69</v>
      </c>
      <c r="C6" s="197" t="s">
        <v>79</v>
      </c>
      <c r="D6" s="197" t="s">
        <v>74</v>
      </c>
      <c r="E6" s="197" t="s">
        <v>19</v>
      </c>
      <c r="F6" s="197" t="s">
        <v>6</v>
      </c>
      <c r="G6" s="198" t="s">
        <v>67</v>
      </c>
      <c r="H6" s="198" t="s">
        <v>68</v>
      </c>
      <c r="I6" s="198" t="s">
        <v>7</v>
      </c>
      <c r="J6" s="198" t="s">
        <v>17</v>
      </c>
      <c r="K6" s="86" t="s">
        <v>75</v>
      </c>
      <c r="L6" s="87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5">
        <v>10</v>
      </c>
      <c r="L8" s="43">
        <v>11</v>
      </c>
    </row>
    <row r="9" spans="1:17" s="113" customFormat="1" ht="12.75" customHeight="1" thickBot="1" x14ac:dyDescent="0.3">
      <c r="A9" s="96" t="s">
        <v>59</v>
      </c>
      <c r="B9" s="64"/>
      <c r="C9" s="64"/>
      <c r="D9" s="64"/>
      <c r="E9" s="64"/>
      <c r="F9" s="97"/>
      <c r="G9" s="98"/>
      <c r="H9" s="97"/>
      <c r="I9" s="101">
        <v>3.0000000000000004E-7</v>
      </c>
      <c r="J9" s="64"/>
      <c r="K9" s="64">
        <v>1</v>
      </c>
      <c r="L9" s="56">
        <v>0</v>
      </c>
    </row>
    <row r="10" spans="1:17" s="113" customFormat="1" x14ac:dyDescent="0.25">
      <c r="A10" s="88" t="s">
        <v>137</v>
      </c>
      <c r="B10" s="115" t="s">
        <v>248</v>
      </c>
      <c r="C10" s="115" t="s">
        <v>248</v>
      </c>
      <c r="D10" s="115" t="s">
        <v>248</v>
      </c>
      <c r="E10" s="115" t="s">
        <v>248</v>
      </c>
      <c r="F10" s="116" t="s">
        <v>248</v>
      </c>
      <c r="G10" s="127" t="s">
        <v>248</v>
      </c>
      <c r="H10" s="116" t="s">
        <v>248</v>
      </c>
      <c r="I10" s="128">
        <v>0</v>
      </c>
      <c r="J10" s="115" t="s">
        <v>248</v>
      </c>
      <c r="K10" s="115">
        <v>0</v>
      </c>
      <c r="L10" s="115">
        <v>0</v>
      </c>
    </row>
    <row r="11" spans="1:17" s="113" customFormat="1" x14ac:dyDescent="0.25">
      <c r="A11" s="89" t="s">
        <v>414</v>
      </c>
      <c r="B11" s="131" t="s">
        <v>248</v>
      </c>
      <c r="C11" s="131" t="s">
        <v>248</v>
      </c>
      <c r="D11" s="131" t="s">
        <v>248</v>
      </c>
      <c r="E11" s="131" t="s">
        <v>248</v>
      </c>
      <c r="F11" s="130" t="s">
        <v>248</v>
      </c>
      <c r="G11" s="129" t="s">
        <v>248</v>
      </c>
      <c r="H11" s="116" t="s">
        <v>248</v>
      </c>
      <c r="I11" s="117">
        <v>0</v>
      </c>
      <c r="J11" s="115"/>
      <c r="K11" s="115">
        <v>0</v>
      </c>
      <c r="L11" s="115">
        <v>0</v>
      </c>
    </row>
    <row r="12" spans="1:17" s="113" customFormat="1" x14ac:dyDescent="0.25">
      <c r="A12" s="89" t="s">
        <v>143</v>
      </c>
      <c r="B12" s="131" t="s">
        <v>248</v>
      </c>
      <c r="C12" s="131" t="s">
        <v>248</v>
      </c>
      <c r="D12" s="131" t="s">
        <v>248</v>
      </c>
      <c r="E12" s="131" t="s">
        <v>248</v>
      </c>
      <c r="F12" s="130" t="s">
        <v>248</v>
      </c>
      <c r="G12" s="129" t="s">
        <v>248</v>
      </c>
      <c r="H12" s="116" t="s">
        <v>248</v>
      </c>
      <c r="I12" s="117">
        <v>0</v>
      </c>
      <c r="J12" s="115"/>
      <c r="K12" s="115">
        <v>0</v>
      </c>
      <c r="L12" s="115">
        <v>0</v>
      </c>
    </row>
    <row r="13" spans="1:17" s="113" customFormat="1" x14ac:dyDescent="0.25">
      <c r="A13" s="89" t="s">
        <v>144</v>
      </c>
      <c r="B13" s="131" t="s">
        <v>248</v>
      </c>
      <c r="C13" s="131" t="s">
        <v>248</v>
      </c>
      <c r="D13" s="131" t="s">
        <v>248</v>
      </c>
      <c r="E13" s="131" t="s">
        <v>248</v>
      </c>
      <c r="F13" s="130" t="s">
        <v>248</v>
      </c>
      <c r="G13" s="129" t="s">
        <v>248</v>
      </c>
      <c r="H13" s="116" t="s">
        <v>248</v>
      </c>
      <c r="I13" s="117">
        <v>0</v>
      </c>
      <c r="J13" s="115"/>
      <c r="K13" s="115">
        <v>0</v>
      </c>
      <c r="L13" s="115">
        <v>0</v>
      </c>
    </row>
    <row r="14" spans="1:17" s="113" customFormat="1" x14ac:dyDescent="0.25">
      <c r="A14" s="75" t="s">
        <v>241</v>
      </c>
      <c r="B14" s="119"/>
      <c r="C14" s="119"/>
      <c r="D14" s="119"/>
      <c r="E14" s="75"/>
      <c r="F14" s="120"/>
      <c r="G14" s="120"/>
      <c r="H14" s="120"/>
      <c r="I14" s="121"/>
      <c r="J14" s="122"/>
      <c r="K14" s="122"/>
      <c r="L14" s="123"/>
      <c r="M14" s="142"/>
      <c r="N14" s="142"/>
      <c r="O14" s="124"/>
      <c r="P14" s="124"/>
    </row>
    <row r="15" spans="1:17" s="113" customFormat="1" x14ac:dyDescent="0.25">
      <c r="A15" s="75" t="s">
        <v>242</v>
      </c>
      <c r="B15" s="119"/>
      <c r="C15" s="119"/>
      <c r="D15" s="119"/>
      <c r="E15" s="75"/>
      <c r="F15" s="120"/>
      <c r="G15" s="120"/>
      <c r="H15" s="120"/>
      <c r="I15" s="121"/>
      <c r="J15" s="122"/>
      <c r="K15" s="122"/>
      <c r="L15" s="123"/>
      <c r="M15" s="142"/>
      <c r="N15" s="142"/>
      <c r="O15" s="124"/>
      <c r="P15" s="124"/>
    </row>
    <row r="16" spans="1:17" s="113" customFormat="1" x14ac:dyDescent="0.25">
      <c r="A16" s="75" t="s">
        <v>243</v>
      </c>
      <c r="B16" s="119"/>
      <c r="C16" s="119"/>
      <c r="D16" s="119"/>
      <c r="E16" s="75"/>
      <c r="F16" s="120"/>
      <c r="G16" s="120"/>
      <c r="H16" s="120"/>
      <c r="I16" s="121"/>
      <c r="J16" s="122"/>
      <c r="K16" s="122"/>
      <c r="L16" s="123"/>
      <c r="M16" s="142"/>
      <c r="N16" s="142"/>
      <c r="O16" s="124"/>
      <c r="P16" s="124"/>
    </row>
    <row r="17" spans="1:16" s="113" customFormat="1" x14ac:dyDescent="0.25">
      <c r="A17" s="75" t="s">
        <v>244</v>
      </c>
      <c r="B17" s="119"/>
      <c r="C17" s="119"/>
      <c r="D17" s="119"/>
      <c r="E17" s="75"/>
      <c r="F17" s="120"/>
      <c r="G17" s="120"/>
      <c r="H17" s="120"/>
      <c r="I17" s="121"/>
      <c r="J17" s="122"/>
      <c r="K17" s="122"/>
      <c r="L17" s="123"/>
      <c r="M17" s="142"/>
      <c r="N17" s="142"/>
      <c r="O17" s="124"/>
      <c r="P17" s="124"/>
    </row>
    <row r="18" spans="1:16" s="113" customFormat="1" x14ac:dyDescent="0.25">
      <c r="A18" s="75" t="s">
        <v>245</v>
      </c>
      <c r="B18" s="119"/>
      <c r="C18" s="119"/>
      <c r="D18" s="119"/>
      <c r="E18" s="75"/>
      <c r="F18" s="120"/>
      <c r="G18" s="120"/>
      <c r="H18" s="120"/>
      <c r="I18" s="121"/>
      <c r="J18" s="122"/>
      <c r="K18" s="122"/>
      <c r="L18" s="123"/>
      <c r="M18" s="142"/>
      <c r="N18" s="142"/>
      <c r="O18" s="124"/>
      <c r="P18" s="124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25.109375" style="9" bestFit="1" customWidth="1"/>
    <col min="2" max="2" width="13.5546875" style="8" bestFit="1" customWidth="1"/>
    <col min="3" max="3" width="11.33203125" style="57" customWidth="1"/>
    <col min="4" max="4" width="14.109375" style="57" customWidth="1"/>
    <col min="5" max="5" width="10.5546875" style="57" customWidth="1"/>
    <col min="6" max="6" width="8.88671875" style="36" bestFit="1" customWidth="1"/>
    <col min="7" max="7" width="10.44140625" style="59" customWidth="1"/>
    <col min="8" max="8" width="22.88671875" style="61" bestFit="1" customWidth="1"/>
    <col min="9" max="9" width="26.44140625" style="61" bestFit="1" customWidth="1"/>
    <col min="10" max="10" width="20.6640625" style="61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7"/>
      <c r="D1" s="57"/>
      <c r="E1" s="57"/>
      <c r="F1" s="36"/>
      <c r="G1" s="59"/>
      <c r="H1" s="60"/>
      <c r="I1" s="60"/>
      <c r="J1" s="60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7"/>
      <c r="D2" s="57"/>
      <c r="E2" s="57"/>
      <c r="F2" s="36"/>
      <c r="G2" s="59"/>
      <c r="H2" s="60"/>
      <c r="I2" s="60"/>
      <c r="J2" s="60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246</v>
      </c>
      <c r="C3" s="57"/>
      <c r="D3" s="57"/>
      <c r="E3" s="57"/>
      <c r="F3" s="36"/>
      <c r="G3" s="59"/>
      <c r="H3" s="60"/>
      <c r="I3" s="60"/>
      <c r="J3" s="60"/>
      <c r="K3" s="13"/>
      <c r="L3" s="12"/>
      <c r="M3" s="12"/>
      <c r="N3" s="14"/>
    </row>
    <row r="4" spans="1:17" s="7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6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17" t="s">
        <v>30</v>
      </c>
      <c r="B5" s="218"/>
      <c r="C5" s="218"/>
      <c r="D5" s="218"/>
      <c r="E5" s="218"/>
      <c r="F5" s="218"/>
      <c r="G5" s="218"/>
      <c r="H5" s="218"/>
      <c r="I5" s="218"/>
      <c r="J5" s="219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3" t="s">
        <v>157</v>
      </c>
      <c r="B6" s="197" t="s">
        <v>69</v>
      </c>
      <c r="C6" s="197" t="s">
        <v>6</v>
      </c>
      <c r="D6" s="197" t="s">
        <v>13</v>
      </c>
      <c r="E6" s="198" t="s">
        <v>67</v>
      </c>
      <c r="F6" s="198" t="s">
        <v>68</v>
      </c>
      <c r="G6" s="198" t="s">
        <v>29</v>
      </c>
      <c r="H6" s="86" t="s">
        <v>17</v>
      </c>
      <c r="I6" s="86" t="s">
        <v>75</v>
      </c>
      <c r="J6" s="87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3" customFormat="1" ht="12.75" customHeight="1" thickBot="1" x14ac:dyDescent="0.3">
      <c r="A9" s="96" t="s">
        <v>60</v>
      </c>
      <c r="B9" s="64" t="s">
        <v>248</v>
      </c>
      <c r="C9" s="97" t="s">
        <v>248</v>
      </c>
      <c r="D9" s="97" t="s">
        <v>248</v>
      </c>
      <c r="E9" s="98" t="s">
        <v>248</v>
      </c>
      <c r="F9" s="97" t="s">
        <v>248</v>
      </c>
      <c r="G9" s="101">
        <v>8.0000000000000007E-7</v>
      </c>
      <c r="H9" s="64" t="s">
        <v>248</v>
      </c>
      <c r="I9" s="64">
        <v>1</v>
      </c>
      <c r="J9" s="78">
        <v>0</v>
      </c>
    </row>
    <row r="10" spans="1:17" s="113" customFormat="1" x14ac:dyDescent="0.25">
      <c r="A10" s="88" t="s">
        <v>674</v>
      </c>
      <c r="B10" s="115" t="s">
        <v>248</v>
      </c>
      <c r="C10" s="116" t="s">
        <v>248</v>
      </c>
      <c r="D10" s="116" t="s">
        <v>248</v>
      </c>
      <c r="E10" s="127" t="s">
        <v>248</v>
      </c>
      <c r="F10" s="116" t="s">
        <v>248</v>
      </c>
      <c r="G10" s="128">
        <v>0</v>
      </c>
      <c r="H10" s="115" t="s">
        <v>248</v>
      </c>
      <c r="I10" s="115">
        <v>0</v>
      </c>
      <c r="J10" s="115">
        <v>0</v>
      </c>
    </row>
    <row r="11" spans="1:17" s="113" customFormat="1" x14ac:dyDescent="0.25">
      <c r="A11" s="89" t="s">
        <v>675</v>
      </c>
      <c r="B11" s="131" t="s">
        <v>248</v>
      </c>
      <c r="C11" s="130" t="s">
        <v>248</v>
      </c>
      <c r="D11" s="130" t="s">
        <v>248</v>
      </c>
      <c r="E11" s="129" t="s">
        <v>248</v>
      </c>
      <c r="F11" s="116" t="s">
        <v>248</v>
      </c>
      <c r="G11" s="118">
        <v>0</v>
      </c>
      <c r="H11" s="115"/>
      <c r="I11" s="131">
        <v>0</v>
      </c>
      <c r="J11" s="131">
        <v>0</v>
      </c>
    </row>
    <row r="12" spans="1:17" s="113" customFormat="1" x14ac:dyDescent="0.25">
      <c r="A12" s="89" t="s">
        <v>676</v>
      </c>
      <c r="B12" s="131" t="s">
        <v>248</v>
      </c>
      <c r="C12" s="130" t="s">
        <v>248</v>
      </c>
      <c r="D12" s="130" t="s">
        <v>248</v>
      </c>
      <c r="E12" s="129" t="s">
        <v>248</v>
      </c>
      <c r="F12" s="116" t="s">
        <v>248</v>
      </c>
      <c r="G12" s="118">
        <v>0</v>
      </c>
      <c r="H12" s="115"/>
      <c r="I12" s="131">
        <v>0</v>
      </c>
      <c r="J12" s="131">
        <v>0</v>
      </c>
    </row>
    <row r="13" spans="1:17" s="113" customFormat="1" x14ac:dyDescent="0.25">
      <c r="A13" s="89" t="s">
        <v>677</v>
      </c>
      <c r="B13" s="131" t="s">
        <v>248</v>
      </c>
      <c r="C13" s="130" t="s">
        <v>248</v>
      </c>
      <c r="D13" s="130" t="s">
        <v>248</v>
      </c>
      <c r="E13" s="129" t="s">
        <v>248</v>
      </c>
      <c r="F13" s="116" t="s">
        <v>248</v>
      </c>
      <c r="G13" s="118">
        <v>0</v>
      </c>
      <c r="H13" s="115"/>
      <c r="I13" s="131">
        <v>0</v>
      </c>
      <c r="J13" s="131">
        <v>0</v>
      </c>
    </row>
    <row r="14" spans="1:17" s="113" customFormat="1" x14ac:dyDescent="0.25">
      <c r="A14" s="89" t="s">
        <v>678</v>
      </c>
      <c r="B14" s="131" t="s">
        <v>248</v>
      </c>
      <c r="C14" s="130" t="s">
        <v>248</v>
      </c>
      <c r="D14" s="130" t="s">
        <v>248</v>
      </c>
      <c r="E14" s="129" t="s">
        <v>248</v>
      </c>
      <c r="F14" s="116" t="s">
        <v>248</v>
      </c>
      <c r="G14" s="118">
        <v>0</v>
      </c>
      <c r="H14" s="115"/>
      <c r="I14" s="131">
        <v>0</v>
      </c>
      <c r="J14" s="131">
        <v>0</v>
      </c>
    </row>
    <row r="15" spans="1:17" s="113" customFormat="1" x14ac:dyDescent="0.25">
      <c r="A15" s="89" t="s">
        <v>679</v>
      </c>
      <c r="B15" s="131" t="s">
        <v>248</v>
      </c>
      <c r="C15" s="130" t="s">
        <v>248</v>
      </c>
      <c r="D15" s="130" t="s">
        <v>248</v>
      </c>
      <c r="E15" s="129" t="s">
        <v>248</v>
      </c>
      <c r="F15" s="116" t="s">
        <v>248</v>
      </c>
      <c r="G15" s="118">
        <v>0</v>
      </c>
      <c r="H15" s="115"/>
      <c r="I15" s="131">
        <v>0</v>
      </c>
      <c r="J15" s="131">
        <v>0</v>
      </c>
    </row>
    <row r="16" spans="1:17" s="113" customFormat="1" x14ac:dyDescent="0.25">
      <c r="A16" s="89" t="s">
        <v>675</v>
      </c>
      <c r="B16" s="131" t="s">
        <v>248</v>
      </c>
      <c r="C16" s="130" t="s">
        <v>248</v>
      </c>
      <c r="D16" s="130" t="s">
        <v>248</v>
      </c>
      <c r="E16" s="129" t="s">
        <v>248</v>
      </c>
      <c r="F16" s="116" t="s">
        <v>248</v>
      </c>
      <c r="G16" s="118">
        <v>0</v>
      </c>
      <c r="H16" s="115"/>
      <c r="I16" s="131">
        <v>0</v>
      </c>
      <c r="J16" s="131">
        <v>0</v>
      </c>
    </row>
    <row r="17" spans="1:13" s="113" customFormat="1" x14ac:dyDescent="0.25">
      <c r="A17" s="89" t="s">
        <v>676</v>
      </c>
      <c r="B17" s="131" t="s">
        <v>248</v>
      </c>
      <c r="C17" s="130" t="s">
        <v>248</v>
      </c>
      <c r="D17" s="130" t="s">
        <v>248</v>
      </c>
      <c r="E17" s="129" t="s">
        <v>248</v>
      </c>
      <c r="F17" s="116" t="s">
        <v>248</v>
      </c>
      <c r="G17" s="118">
        <v>0</v>
      </c>
      <c r="H17" s="115"/>
      <c r="I17" s="131">
        <v>0</v>
      </c>
      <c r="J17" s="131">
        <v>0</v>
      </c>
    </row>
    <row r="18" spans="1:13" s="113" customFormat="1" x14ac:dyDescent="0.25">
      <c r="A18" s="89" t="s">
        <v>677</v>
      </c>
      <c r="B18" s="131" t="s">
        <v>248</v>
      </c>
      <c r="C18" s="130" t="s">
        <v>248</v>
      </c>
      <c r="D18" s="130" t="s">
        <v>248</v>
      </c>
      <c r="E18" s="129" t="s">
        <v>248</v>
      </c>
      <c r="F18" s="116" t="s">
        <v>248</v>
      </c>
      <c r="G18" s="118">
        <v>0</v>
      </c>
      <c r="H18" s="115"/>
      <c r="I18" s="131">
        <v>0</v>
      </c>
      <c r="J18" s="131">
        <v>0</v>
      </c>
    </row>
    <row r="19" spans="1:13" s="113" customFormat="1" x14ac:dyDescent="0.25">
      <c r="A19" s="89" t="s">
        <v>678</v>
      </c>
      <c r="B19" s="131" t="s">
        <v>248</v>
      </c>
      <c r="C19" s="130" t="s">
        <v>248</v>
      </c>
      <c r="D19" s="130" t="s">
        <v>248</v>
      </c>
      <c r="E19" s="129" t="s">
        <v>248</v>
      </c>
      <c r="F19" s="116" t="s">
        <v>248</v>
      </c>
      <c r="G19" s="118">
        <v>0</v>
      </c>
      <c r="H19" s="115"/>
      <c r="I19" s="131">
        <v>0</v>
      </c>
      <c r="J19" s="131">
        <v>0</v>
      </c>
    </row>
    <row r="20" spans="1:13" s="113" customFormat="1" x14ac:dyDescent="0.25">
      <c r="A20" s="75" t="s">
        <v>241</v>
      </c>
      <c r="B20" s="119"/>
      <c r="C20" s="120"/>
      <c r="D20" s="120"/>
      <c r="E20" s="120"/>
      <c r="F20" s="121"/>
      <c r="G20" s="122"/>
      <c r="H20" s="123"/>
      <c r="I20" s="123"/>
      <c r="J20" s="123"/>
      <c r="K20" s="142"/>
      <c r="L20" s="124"/>
      <c r="M20" s="124"/>
    </row>
    <row r="21" spans="1:13" s="113" customFormat="1" x14ac:dyDescent="0.25">
      <c r="A21" s="75" t="s">
        <v>242</v>
      </c>
      <c r="B21" s="119"/>
      <c r="C21" s="120"/>
      <c r="D21" s="120"/>
      <c r="E21" s="120"/>
      <c r="F21" s="121"/>
      <c r="G21" s="122"/>
      <c r="H21" s="123"/>
      <c r="I21" s="123"/>
      <c r="J21" s="123"/>
      <c r="K21" s="142"/>
      <c r="L21" s="124"/>
      <c r="M21" s="124"/>
    </row>
    <row r="22" spans="1:13" s="113" customFormat="1" x14ac:dyDescent="0.25">
      <c r="A22" s="75" t="s">
        <v>243</v>
      </c>
      <c r="B22" s="119"/>
      <c r="C22" s="120"/>
      <c r="D22" s="120"/>
      <c r="E22" s="120"/>
      <c r="F22" s="121"/>
      <c r="G22" s="122"/>
      <c r="H22" s="123"/>
      <c r="I22" s="123"/>
      <c r="J22" s="123"/>
      <c r="K22" s="142"/>
      <c r="L22" s="124"/>
      <c r="M22" s="124"/>
    </row>
    <row r="23" spans="1:13" s="113" customFormat="1" x14ac:dyDescent="0.25">
      <c r="A23" s="75" t="s">
        <v>244</v>
      </c>
      <c r="B23" s="119"/>
      <c r="C23" s="120"/>
      <c r="D23" s="120"/>
      <c r="E23" s="120"/>
      <c r="F23" s="121"/>
      <c r="G23" s="122"/>
      <c r="H23" s="123"/>
      <c r="I23" s="123"/>
      <c r="J23" s="123"/>
      <c r="K23" s="142"/>
      <c r="L23" s="124"/>
      <c r="M23" s="124"/>
    </row>
    <row r="24" spans="1:13" s="113" customFormat="1" x14ac:dyDescent="0.25">
      <c r="A24" s="75" t="s">
        <v>245</v>
      </c>
      <c r="B24" s="119"/>
      <c r="C24" s="120"/>
      <c r="D24" s="120"/>
      <c r="E24" s="120"/>
      <c r="F24" s="121"/>
      <c r="G24" s="122"/>
      <c r="H24" s="123"/>
      <c r="I24" s="123"/>
      <c r="J24" s="123"/>
      <c r="K24" s="142"/>
      <c r="L24" s="124"/>
      <c r="M24" s="124"/>
    </row>
  </sheetData>
  <mergeCells count="2">
    <mergeCell ref="A5:J5"/>
    <mergeCell ref="A4:J4"/>
  </mergeCells>
  <phoneticPr fontId="3" type="noConversion"/>
  <conditionalFormatting sqref="A10:A19 G10:G19">
    <cfRule type="expression" dxfId="52" priority="337" stopIfTrue="1">
      <formula>#REF!&gt;0</formula>
    </cfRule>
  </conditionalFormatting>
  <conditionalFormatting sqref="B10:D19 I10:J19">
    <cfRule type="expression" dxfId="51" priority="335" stopIfTrue="1">
      <formula>OR(LEFT(#REF!,3)="TIR",LEFT(#REF!,2)="IR")</formula>
    </cfRule>
  </conditionalFormatting>
  <conditionalFormatting sqref="F11:F19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" style="11" customWidth="1"/>
    <col min="8" max="8" width="10.44140625" style="12" customWidth="1"/>
    <col min="9" max="9" width="22.88671875" style="19" bestFit="1" customWidth="1"/>
    <col min="10" max="10" width="26.44140625" style="19" bestFit="1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5"/>
      <c r="K4" s="216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7" t="s">
        <v>31</v>
      </c>
      <c r="B5" s="218"/>
      <c r="C5" s="218"/>
      <c r="D5" s="218"/>
      <c r="E5" s="218"/>
      <c r="F5" s="218"/>
      <c r="G5" s="218"/>
      <c r="H5" s="218"/>
      <c r="I5" s="218"/>
      <c r="J5" s="218"/>
      <c r="K5" s="219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3" t="s">
        <v>157</v>
      </c>
      <c r="B6" s="197" t="s">
        <v>69</v>
      </c>
      <c r="C6" s="197" t="s">
        <v>19</v>
      </c>
      <c r="D6" s="197" t="s">
        <v>6</v>
      </c>
      <c r="E6" s="197" t="s">
        <v>13</v>
      </c>
      <c r="F6" s="198" t="s">
        <v>67</v>
      </c>
      <c r="G6" s="198" t="s">
        <v>68</v>
      </c>
      <c r="H6" s="198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3">
        <v>10</v>
      </c>
    </row>
    <row r="9" spans="1:18" s="113" customFormat="1" ht="12.75" customHeight="1" thickBot="1" x14ac:dyDescent="0.3">
      <c r="A9" s="96" t="s">
        <v>55</v>
      </c>
      <c r="B9" s="64" t="s">
        <v>248</v>
      </c>
      <c r="C9" s="64" t="s">
        <v>248</v>
      </c>
      <c r="D9" s="133" t="s">
        <v>248</v>
      </c>
      <c r="E9" s="133" t="s">
        <v>248</v>
      </c>
      <c r="F9" s="135" t="s">
        <v>248</v>
      </c>
      <c r="G9" s="133" t="s">
        <v>248</v>
      </c>
      <c r="H9" s="147">
        <v>2.0000000000000002E-7</v>
      </c>
      <c r="I9" s="67"/>
      <c r="J9" s="80">
        <v>1</v>
      </c>
      <c r="K9" s="79">
        <v>0</v>
      </c>
    </row>
    <row r="10" spans="1:18" s="113" customFormat="1" x14ac:dyDescent="0.25">
      <c r="A10" s="88" t="s">
        <v>680</v>
      </c>
      <c r="B10" s="115" t="s">
        <v>248</v>
      </c>
      <c r="C10" s="115" t="s">
        <v>248</v>
      </c>
      <c r="D10" s="137" t="s">
        <v>248</v>
      </c>
      <c r="E10" s="137" t="s">
        <v>248</v>
      </c>
      <c r="F10" s="136" t="s">
        <v>248</v>
      </c>
      <c r="G10" s="137" t="s">
        <v>248</v>
      </c>
      <c r="H10" s="117">
        <v>0</v>
      </c>
      <c r="I10" s="115" t="s">
        <v>248</v>
      </c>
      <c r="J10" s="115">
        <v>0</v>
      </c>
      <c r="K10" s="115">
        <v>0</v>
      </c>
    </row>
    <row r="11" spans="1:18" s="113" customFormat="1" x14ac:dyDescent="0.25">
      <c r="A11" s="89" t="s">
        <v>681</v>
      </c>
      <c r="B11" s="131" t="s">
        <v>248</v>
      </c>
      <c r="C11" s="131" t="s">
        <v>248</v>
      </c>
      <c r="D11" s="139" t="s">
        <v>248</v>
      </c>
      <c r="E11" s="139" t="s">
        <v>248</v>
      </c>
      <c r="F11" s="138" t="s">
        <v>248</v>
      </c>
      <c r="G11" s="139" t="s">
        <v>248</v>
      </c>
      <c r="H11" s="118">
        <v>0</v>
      </c>
      <c r="I11" s="131"/>
      <c r="J11" s="115">
        <v>0</v>
      </c>
      <c r="K11" s="115">
        <v>0</v>
      </c>
    </row>
    <row r="12" spans="1:18" s="113" customFormat="1" x14ac:dyDescent="0.25">
      <c r="A12" s="75" t="s">
        <v>241</v>
      </c>
      <c r="B12" s="119"/>
      <c r="C12" s="75"/>
      <c r="D12" s="140"/>
      <c r="E12" s="140"/>
      <c r="F12" s="140"/>
      <c r="G12" s="141"/>
      <c r="H12" s="124"/>
      <c r="I12" s="142"/>
      <c r="J12" s="142"/>
      <c r="K12" s="142"/>
      <c r="L12" s="142"/>
      <c r="M12" s="124"/>
      <c r="N12" s="124"/>
    </row>
    <row r="13" spans="1:18" s="113" customFormat="1" x14ac:dyDescent="0.25">
      <c r="A13" s="75" t="s">
        <v>242</v>
      </c>
      <c r="B13" s="119"/>
      <c r="C13" s="75"/>
      <c r="D13" s="140"/>
      <c r="E13" s="140"/>
      <c r="F13" s="140"/>
      <c r="G13" s="141"/>
      <c r="H13" s="124"/>
      <c r="I13" s="142"/>
      <c r="J13" s="142"/>
      <c r="K13" s="142"/>
      <c r="L13" s="142"/>
      <c r="M13" s="124"/>
      <c r="N13" s="124"/>
    </row>
    <row r="14" spans="1:18" s="113" customFormat="1" x14ac:dyDescent="0.25">
      <c r="A14" s="75" t="s">
        <v>243</v>
      </c>
      <c r="B14" s="119"/>
      <c r="C14" s="75"/>
      <c r="D14" s="140"/>
      <c r="E14" s="140"/>
      <c r="F14" s="140"/>
      <c r="G14" s="141"/>
      <c r="H14" s="124"/>
      <c r="I14" s="142"/>
      <c r="J14" s="142"/>
      <c r="K14" s="142"/>
      <c r="L14" s="142"/>
      <c r="M14" s="124"/>
      <c r="N14" s="124"/>
    </row>
    <row r="15" spans="1:18" s="113" customFormat="1" x14ac:dyDescent="0.25">
      <c r="A15" s="75" t="s">
        <v>244</v>
      </c>
      <c r="B15" s="119"/>
      <c r="C15" s="75"/>
      <c r="D15" s="140"/>
      <c r="E15" s="140"/>
      <c r="F15" s="140"/>
      <c r="G15" s="141"/>
      <c r="H15" s="124"/>
      <c r="I15" s="142"/>
      <c r="J15" s="142"/>
      <c r="K15" s="142"/>
      <c r="L15" s="142"/>
      <c r="M15" s="124"/>
      <c r="N15" s="124"/>
    </row>
    <row r="16" spans="1:18" s="113" customFormat="1" x14ac:dyDescent="0.25">
      <c r="A16" s="75" t="s">
        <v>245</v>
      </c>
      <c r="B16" s="119"/>
      <c r="C16" s="75"/>
      <c r="D16" s="140"/>
      <c r="E16" s="140"/>
      <c r="F16" s="140"/>
      <c r="G16" s="141"/>
      <c r="H16" s="124"/>
      <c r="I16" s="142"/>
      <c r="J16" s="142"/>
      <c r="K16" s="142"/>
      <c r="L16" s="142"/>
      <c r="M16" s="124"/>
      <c r="N16" s="124"/>
    </row>
  </sheetData>
  <mergeCells count="2">
    <mergeCell ref="A5:K5"/>
    <mergeCell ref="A4:K4"/>
  </mergeCells>
  <phoneticPr fontId="3" type="noConversion"/>
  <conditionalFormatting sqref="A9:A11 H9:H11">
    <cfRule type="expression" dxfId="49" priority="343" stopIfTrue="1">
      <formula>#REF!&gt;0</formula>
    </cfRule>
  </conditionalFormatting>
  <conditionalFormatting sqref="J9:K11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1.5546875" style="8" customWidth="1"/>
    <col min="4" max="4" width="11.33203125" style="57" customWidth="1"/>
    <col min="5" max="5" width="14.109375" style="57" customWidth="1"/>
    <col min="6" max="6" width="10.5546875" style="57" customWidth="1"/>
    <col min="7" max="7" width="7" style="36" customWidth="1"/>
    <col min="8" max="8" width="10.44140625" style="59" customWidth="1"/>
    <col min="9" max="9" width="22" style="61" customWidth="1"/>
    <col min="10" max="10" width="25.44140625" style="61" customWidth="1"/>
    <col min="11" max="11" width="20.6640625" style="61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7"/>
      <c r="E1" s="57"/>
      <c r="F1" s="57"/>
      <c r="G1" s="36"/>
      <c r="H1" s="59"/>
      <c r="I1" s="60"/>
      <c r="J1" s="60"/>
      <c r="K1" s="60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7"/>
      <c r="E2" s="57"/>
      <c r="F2" s="57"/>
      <c r="G2" s="36"/>
      <c r="H2" s="59"/>
      <c r="I2" s="60"/>
      <c r="J2" s="60"/>
      <c r="K2" s="60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57"/>
      <c r="E3" s="57"/>
      <c r="F3" s="57"/>
      <c r="G3" s="36"/>
      <c r="H3" s="59"/>
      <c r="I3" s="60"/>
      <c r="J3" s="60"/>
      <c r="K3" s="60"/>
      <c r="L3" s="13"/>
      <c r="M3" s="12"/>
      <c r="N3" s="12"/>
      <c r="O3" s="14"/>
    </row>
    <row r="4" spans="1:18" s="7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5"/>
      <c r="K4" s="216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7" t="s">
        <v>32</v>
      </c>
      <c r="B5" s="218"/>
      <c r="C5" s="218"/>
      <c r="D5" s="218"/>
      <c r="E5" s="218"/>
      <c r="F5" s="218"/>
      <c r="G5" s="218"/>
      <c r="H5" s="218"/>
      <c r="I5" s="218"/>
      <c r="J5" s="218"/>
      <c r="K5" s="219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3" t="s">
        <v>157</v>
      </c>
      <c r="B6" s="197" t="s">
        <v>69</v>
      </c>
      <c r="C6" s="197" t="s">
        <v>19</v>
      </c>
      <c r="D6" s="197" t="s">
        <v>6</v>
      </c>
      <c r="E6" s="197" t="s">
        <v>13</v>
      </c>
      <c r="F6" s="198" t="s">
        <v>67</v>
      </c>
      <c r="G6" s="198" t="s">
        <v>68</v>
      </c>
      <c r="H6" s="198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3" customFormat="1" ht="12.75" customHeight="1" thickBot="1" x14ac:dyDescent="0.3">
      <c r="A9" s="96" t="s">
        <v>56</v>
      </c>
      <c r="B9" s="64" t="s">
        <v>248</v>
      </c>
      <c r="C9" s="64" t="s">
        <v>248</v>
      </c>
      <c r="D9" s="97" t="s">
        <v>248</v>
      </c>
      <c r="E9" s="97" t="s">
        <v>248</v>
      </c>
      <c r="F9" s="98" t="s">
        <v>248</v>
      </c>
      <c r="G9" s="97" t="s">
        <v>248</v>
      </c>
      <c r="H9" s="104">
        <v>9.9999999999999995E-7</v>
      </c>
      <c r="I9" s="64" t="s">
        <v>248</v>
      </c>
      <c r="J9" s="64">
        <v>1</v>
      </c>
      <c r="K9" s="78">
        <v>0</v>
      </c>
    </row>
    <row r="10" spans="1:18" s="113" customFormat="1" x14ac:dyDescent="0.25">
      <c r="A10" s="88" t="s">
        <v>682</v>
      </c>
      <c r="B10" s="115" t="s">
        <v>248</v>
      </c>
      <c r="C10" s="115" t="s">
        <v>248</v>
      </c>
      <c r="D10" s="116" t="s">
        <v>248</v>
      </c>
      <c r="E10" s="116" t="s">
        <v>248</v>
      </c>
      <c r="F10" s="127" t="s">
        <v>248</v>
      </c>
      <c r="G10" s="116" t="s">
        <v>248</v>
      </c>
      <c r="H10" s="117">
        <v>0</v>
      </c>
      <c r="I10" s="115" t="s">
        <v>248</v>
      </c>
      <c r="J10" s="115">
        <v>0</v>
      </c>
      <c r="K10" s="115">
        <v>0</v>
      </c>
    </row>
    <row r="11" spans="1:18" s="113" customFormat="1" x14ac:dyDescent="0.25">
      <c r="A11" s="89" t="s">
        <v>635</v>
      </c>
      <c r="B11" s="131" t="s">
        <v>248</v>
      </c>
      <c r="C11" s="131" t="s">
        <v>248</v>
      </c>
      <c r="D11" s="130" t="s">
        <v>248</v>
      </c>
      <c r="E11" s="130" t="s">
        <v>248</v>
      </c>
      <c r="F11" s="129" t="s">
        <v>248</v>
      </c>
      <c r="G11" s="130" t="s">
        <v>248</v>
      </c>
      <c r="H11" s="118">
        <v>0</v>
      </c>
      <c r="I11" s="131"/>
      <c r="J11" s="131">
        <v>0</v>
      </c>
      <c r="K11" s="131">
        <v>0</v>
      </c>
    </row>
    <row r="12" spans="1:18" s="113" customFormat="1" x14ac:dyDescent="0.25">
      <c r="A12" s="89" t="s">
        <v>683</v>
      </c>
      <c r="B12" s="131" t="s">
        <v>248</v>
      </c>
      <c r="C12" s="131" t="s">
        <v>248</v>
      </c>
      <c r="D12" s="130" t="s">
        <v>248</v>
      </c>
      <c r="E12" s="130" t="s">
        <v>248</v>
      </c>
      <c r="F12" s="129" t="s">
        <v>248</v>
      </c>
      <c r="G12" s="130" t="s">
        <v>248</v>
      </c>
      <c r="H12" s="118">
        <v>0</v>
      </c>
      <c r="I12" s="131"/>
      <c r="J12" s="131">
        <v>0</v>
      </c>
      <c r="K12" s="131">
        <v>0</v>
      </c>
    </row>
    <row r="13" spans="1:18" s="113" customFormat="1" x14ac:dyDescent="0.25">
      <c r="A13" s="89" t="s">
        <v>684</v>
      </c>
      <c r="B13" s="131" t="s">
        <v>248</v>
      </c>
      <c r="C13" s="131" t="s">
        <v>248</v>
      </c>
      <c r="D13" s="130" t="s">
        <v>248</v>
      </c>
      <c r="E13" s="130" t="s">
        <v>248</v>
      </c>
      <c r="F13" s="129" t="s">
        <v>248</v>
      </c>
      <c r="G13" s="130" t="s">
        <v>248</v>
      </c>
      <c r="H13" s="118">
        <v>0</v>
      </c>
      <c r="I13" s="131"/>
      <c r="J13" s="131">
        <v>0</v>
      </c>
      <c r="K13" s="131">
        <v>0</v>
      </c>
    </row>
    <row r="14" spans="1:18" s="113" customFormat="1" x14ac:dyDescent="0.25">
      <c r="A14" s="89" t="s">
        <v>637</v>
      </c>
      <c r="B14" s="131" t="s">
        <v>248</v>
      </c>
      <c r="C14" s="131" t="s">
        <v>248</v>
      </c>
      <c r="D14" s="130" t="s">
        <v>248</v>
      </c>
      <c r="E14" s="130" t="s">
        <v>248</v>
      </c>
      <c r="F14" s="129" t="s">
        <v>248</v>
      </c>
      <c r="G14" s="130" t="s">
        <v>248</v>
      </c>
      <c r="H14" s="118">
        <v>0</v>
      </c>
      <c r="I14" s="131"/>
      <c r="J14" s="131">
        <v>0</v>
      </c>
      <c r="K14" s="131">
        <v>0</v>
      </c>
    </row>
    <row r="15" spans="1:18" s="113" customFormat="1" x14ac:dyDescent="0.25">
      <c r="A15" s="89" t="s">
        <v>141</v>
      </c>
      <c r="B15" s="131" t="s">
        <v>248</v>
      </c>
      <c r="C15" s="131" t="s">
        <v>248</v>
      </c>
      <c r="D15" s="130" t="s">
        <v>248</v>
      </c>
      <c r="E15" s="130" t="s">
        <v>248</v>
      </c>
      <c r="F15" s="129" t="s">
        <v>248</v>
      </c>
      <c r="G15" s="130" t="s">
        <v>248</v>
      </c>
      <c r="H15" s="118">
        <v>0</v>
      </c>
      <c r="I15" s="131"/>
      <c r="J15" s="131">
        <v>0</v>
      </c>
      <c r="K15" s="131">
        <v>0</v>
      </c>
    </row>
    <row r="16" spans="1:18" s="113" customFormat="1" x14ac:dyDescent="0.25">
      <c r="A16" s="89" t="s">
        <v>685</v>
      </c>
      <c r="B16" s="131" t="s">
        <v>248</v>
      </c>
      <c r="C16" s="131" t="s">
        <v>248</v>
      </c>
      <c r="D16" s="130" t="s">
        <v>248</v>
      </c>
      <c r="E16" s="130" t="s">
        <v>248</v>
      </c>
      <c r="F16" s="129" t="s">
        <v>248</v>
      </c>
      <c r="G16" s="130" t="s">
        <v>248</v>
      </c>
      <c r="H16" s="118">
        <v>0</v>
      </c>
      <c r="I16" s="131"/>
      <c r="J16" s="131">
        <v>0</v>
      </c>
      <c r="K16" s="131">
        <v>0</v>
      </c>
    </row>
    <row r="17" spans="1:14" s="113" customFormat="1" x14ac:dyDescent="0.25">
      <c r="A17" s="89" t="s">
        <v>635</v>
      </c>
      <c r="B17" s="131" t="s">
        <v>248</v>
      </c>
      <c r="C17" s="131" t="s">
        <v>248</v>
      </c>
      <c r="D17" s="130" t="s">
        <v>248</v>
      </c>
      <c r="E17" s="130" t="s">
        <v>248</v>
      </c>
      <c r="F17" s="129" t="s">
        <v>248</v>
      </c>
      <c r="G17" s="130" t="s">
        <v>248</v>
      </c>
      <c r="H17" s="118">
        <v>0</v>
      </c>
      <c r="I17" s="131"/>
      <c r="J17" s="131">
        <v>0</v>
      </c>
      <c r="K17" s="131">
        <v>0</v>
      </c>
    </row>
    <row r="18" spans="1:14" s="113" customFormat="1" x14ac:dyDescent="0.25">
      <c r="A18" s="89" t="s">
        <v>642</v>
      </c>
      <c r="B18" s="131" t="s">
        <v>248</v>
      </c>
      <c r="C18" s="131" t="s">
        <v>248</v>
      </c>
      <c r="D18" s="130" t="s">
        <v>248</v>
      </c>
      <c r="E18" s="130" t="s">
        <v>248</v>
      </c>
      <c r="F18" s="129" t="s">
        <v>248</v>
      </c>
      <c r="G18" s="130" t="s">
        <v>248</v>
      </c>
      <c r="H18" s="118">
        <v>0</v>
      </c>
      <c r="I18" s="131"/>
      <c r="J18" s="131">
        <v>0</v>
      </c>
      <c r="K18" s="131">
        <v>0</v>
      </c>
    </row>
    <row r="19" spans="1:14" s="113" customFormat="1" x14ac:dyDescent="0.25">
      <c r="A19" s="89" t="s">
        <v>637</v>
      </c>
      <c r="B19" s="131" t="s">
        <v>248</v>
      </c>
      <c r="C19" s="131" t="s">
        <v>248</v>
      </c>
      <c r="D19" s="130" t="s">
        <v>248</v>
      </c>
      <c r="E19" s="130" t="s">
        <v>248</v>
      </c>
      <c r="F19" s="129" t="s">
        <v>248</v>
      </c>
      <c r="G19" s="130" t="s">
        <v>248</v>
      </c>
      <c r="H19" s="118">
        <v>0</v>
      </c>
      <c r="I19" s="131"/>
      <c r="J19" s="131">
        <v>0</v>
      </c>
      <c r="K19" s="131">
        <v>0</v>
      </c>
    </row>
    <row r="20" spans="1:14" s="113" customFormat="1" x14ac:dyDescent="0.25">
      <c r="A20" s="89" t="s">
        <v>643</v>
      </c>
      <c r="B20" s="131" t="s">
        <v>248</v>
      </c>
      <c r="C20" s="131" t="s">
        <v>248</v>
      </c>
      <c r="D20" s="130" t="s">
        <v>248</v>
      </c>
      <c r="E20" s="130" t="s">
        <v>248</v>
      </c>
      <c r="F20" s="129" t="s">
        <v>248</v>
      </c>
      <c r="G20" s="130" t="s">
        <v>248</v>
      </c>
      <c r="H20" s="118">
        <v>0</v>
      </c>
      <c r="I20" s="131"/>
      <c r="J20" s="131">
        <v>0</v>
      </c>
      <c r="K20" s="131">
        <v>0</v>
      </c>
    </row>
    <row r="21" spans="1:14" s="113" customFormat="1" x14ac:dyDescent="0.25">
      <c r="A21" s="89" t="s">
        <v>141</v>
      </c>
      <c r="B21" s="131" t="s">
        <v>248</v>
      </c>
      <c r="C21" s="131" t="s">
        <v>248</v>
      </c>
      <c r="D21" s="130" t="s">
        <v>248</v>
      </c>
      <c r="E21" s="130" t="s">
        <v>248</v>
      </c>
      <c r="F21" s="129" t="s">
        <v>248</v>
      </c>
      <c r="G21" s="130" t="s">
        <v>248</v>
      </c>
      <c r="H21" s="118">
        <v>0</v>
      </c>
      <c r="I21" s="131"/>
      <c r="J21" s="131">
        <v>0</v>
      </c>
      <c r="K21" s="131">
        <v>0</v>
      </c>
    </row>
    <row r="22" spans="1:14" s="113" customFormat="1" x14ac:dyDescent="0.25">
      <c r="A22" s="75" t="s">
        <v>241</v>
      </c>
      <c r="B22" s="119"/>
      <c r="C22" s="119"/>
      <c r="D22" s="120"/>
      <c r="E22" s="120"/>
      <c r="F22" s="120"/>
      <c r="G22" s="121"/>
      <c r="H22" s="122"/>
      <c r="I22" s="123"/>
      <c r="J22" s="123"/>
      <c r="K22" s="123"/>
      <c r="L22" s="142"/>
      <c r="M22" s="124"/>
      <c r="N22" s="124"/>
    </row>
    <row r="23" spans="1:14" s="113" customFormat="1" x14ac:dyDescent="0.25">
      <c r="A23" s="75" t="s">
        <v>242</v>
      </c>
      <c r="B23" s="119"/>
      <c r="C23" s="119"/>
      <c r="D23" s="120"/>
      <c r="E23" s="120"/>
      <c r="F23" s="120"/>
      <c r="G23" s="121"/>
      <c r="H23" s="122"/>
      <c r="I23" s="123"/>
      <c r="J23" s="123"/>
      <c r="K23" s="123"/>
      <c r="L23" s="142"/>
      <c r="M23" s="124"/>
      <c r="N23" s="124"/>
    </row>
    <row r="24" spans="1:14" s="113" customFormat="1" x14ac:dyDescent="0.25">
      <c r="A24" s="75" t="s">
        <v>243</v>
      </c>
      <c r="B24" s="119"/>
      <c r="C24" s="119"/>
      <c r="D24" s="120"/>
      <c r="E24" s="120"/>
      <c r="F24" s="120"/>
      <c r="G24" s="121"/>
      <c r="H24" s="122"/>
      <c r="I24" s="123"/>
      <c r="J24" s="123"/>
      <c r="K24" s="123"/>
      <c r="L24" s="142"/>
      <c r="M24" s="124"/>
      <c r="N24" s="124"/>
    </row>
    <row r="25" spans="1:14" s="113" customFormat="1" x14ac:dyDescent="0.25">
      <c r="A25" s="75" t="s">
        <v>244</v>
      </c>
      <c r="B25" s="119"/>
      <c r="C25" s="119"/>
      <c r="D25" s="120"/>
      <c r="E25" s="120"/>
      <c r="F25" s="120"/>
      <c r="G25" s="121"/>
      <c r="H25" s="122"/>
      <c r="I25" s="123"/>
      <c r="J25" s="123"/>
      <c r="K25" s="123"/>
      <c r="L25" s="142"/>
      <c r="M25" s="124"/>
      <c r="N25" s="124"/>
    </row>
    <row r="26" spans="1:14" s="113" customFormat="1" x14ac:dyDescent="0.25">
      <c r="A26" s="75" t="s">
        <v>245</v>
      </c>
      <c r="B26" s="119"/>
      <c r="C26" s="119"/>
      <c r="D26" s="120"/>
      <c r="E26" s="120"/>
      <c r="F26" s="120"/>
      <c r="G26" s="121"/>
      <c r="H26" s="122"/>
      <c r="I26" s="123"/>
      <c r="J26" s="123"/>
      <c r="K26" s="123"/>
      <c r="L26" s="142"/>
      <c r="M26" s="124"/>
      <c r="N26" s="124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73"/>
  <sheetViews>
    <sheetView rightToLeft="1" zoomScale="85" workbookViewId="0"/>
  </sheetViews>
  <sheetFormatPr defaultColWidth="9.109375" defaultRowHeight="13.2" x14ac:dyDescent="0.25"/>
  <cols>
    <col min="1" max="1" width="28.44140625" style="9" bestFit="1" customWidth="1"/>
    <col min="2" max="2" width="12.6640625" style="8" bestFit="1" customWidth="1"/>
    <col min="3" max="3" width="11.109375" style="9" customWidth="1"/>
    <col min="4" max="4" width="11.88671875" style="57" bestFit="1" customWidth="1"/>
    <col min="5" max="5" width="13.44140625" style="57" customWidth="1"/>
    <col min="6" max="6" width="12.44140625" style="57" bestFit="1" customWidth="1"/>
    <col min="7" max="7" width="6.6640625" style="36" customWidth="1"/>
    <col min="8" max="8" width="9.88671875" style="59" customWidth="1"/>
    <col min="9" max="9" width="24" style="59" customWidth="1"/>
    <col min="10" max="10" width="19.6640625" style="61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7"/>
      <c r="E1" s="57"/>
      <c r="F1" s="57"/>
      <c r="G1" s="36"/>
      <c r="H1" s="59"/>
      <c r="I1" s="59"/>
      <c r="J1" s="60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7"/>
      <c r="E2" s="57"/>
      <c r="F2" s="57"/>
      <c r="G2" s="36"/>
      <c r="H2" s="59"/>
      <c r="I2" s="59"/>
      <c r="J2" s="60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57"/>
      <c r="E3" s="57"/>
      <c r="F3" s="57"/>
      <c r="G3" s="36"/>
      <c r="H3" s="59"/>
      <c r="I3" s="59"/>
      <c r="J3" s="60"/>
      <c r="K3" s="13"/>
      <c r="L3" s="13"/>
      <c r="M3" s="12"/>
      <c r="N3" s="12"/>
      <c r="O3" s="14"/>
    </row>
    <row r="4" spans="1:15" s="7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6"/>
      <c r="K4" s="13"/>
      <c r="L4" s="13"/>
      <c r="M4" s="12"/>
      <c r="N4" s="12"/>
      <c r="O4" s="12"/>
    </row>
    <row r="5" spans="1:15" s="7" customFormat="1" x14ac:dyDescent="0.25">
      <c r="A5" s="217" t="s">
        <v>33</v>
      </c>
      <c r="B5" s="218"/>
      <c r="C5" s="218"/>
      <c r="D5" s="218"/>
      <c r="E5" s="218"/>
      <c r="F5" s="218"/>
      <c r="G5" s="218"/>
      <c r="H5" s="218"/>
      <c r="I5" s="218"/>
      <c r="J5" s="219"/>
      <c r="K5" s="13"/>
      <c r="L5" s="13"/>
      <c r="M5" s="12"/>
      <c r="N5" s="12"/>
      <c r="O5" s="12"/>
    </row>
    <row r="6" spans="1:15" s="7" customFormat="1" x14ac:dyDescent="0.25">
      <c r="A6" s="83" t="s">
        <v>157</v>
      </c>
      <c r="B6" s="197" t="s">
        <v>69</v>
      </c>
      <c r="C6" s="197" t="s">
        <v>19</v>
      </c>
      <c r="D6" s="197" t="s">
        <v>6</v>
      </c>
      <c r="E6" s="197" t="s">
        <v>13</v>
      </c>
      <c r="F6" s="198" t="s">
        <v>67</v>
      </c>
      <c r="G6" s="198" t="s">
        <v>68</v>
      </c>
      <c r="H6" s="198" t="s">
        <v>29</v>
      </c>
      <c r="I6" s="86" t="s">
        <v>75</v>
      </c>
      <c r="J6" s="87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3" customFormat="1" ht="12.75" customHeight="1" thickBot="1" x14ac:dyDescent="0.3">
      <c r="A9" s="96" t="s">
        <v>62</v>
      </c>
      <c r="B9" s="64"/>
      <c r="C9" s="64"/>
      <c r="D9" s="97"/>
      <c r="E9" s="97"/>
      <c r="F9" s="98"/>
      <c r="G9" s="97"/>
      <c r="H9" s="99">
        <v>-257.06488637474013</v>
      </c>
      <c r="I9" s="64">
        <v>1</v>
      </c>
      <c r="J9" s="78">
        <v>-2.5518452431551315E-3</v>
      </c>
    </row>
    <row r="10" spans="1:15" s="113" customFormat="1" x14ac:dyDescent="0.25">
      <c r="A10" s="88" t="s">
        <v>686</v>
      </c>
      <c r="B10" s="115" t="s">
        <v>248</v>
      </c>
      <c r="C10" s="115" t="s">
        <v>248</v>
      </c>
      <c r="D10" s="116" t="s">
        <v>248</v>
      </c>
      <c r="E10" s="116" t="s">
        <v>248</v>
      </c>
      <c r="F10" s="127" t="s">
        <v>248</v>
      </c>
      <c r="G10" s="116" t="s">
        <v>248</v>
      </c>
      <c r="H10" s="117">
        <v>-225.15614899845681</v>
      </c>
      <c r="I10" s="115">
        <v>0.87587282796076671</v>
      </c>
      <c r="J10" s="115">
        <v>-2.2350919096405155E-3</v>
      </c>
    </row>
    <row r="11" spans="1:15" s="113" customFormat="1" x14ac:dyDescent="0.25">
      <c r="A11" s="89" t="s">
        <v>635</v>
      </c>
      <c r="B11" s="131" t="s">
        <v>248</v>
      </c>
      <c r="C11" s="131" t="s">
        <v>248</v>
      </c>
      <c r="D11" s="130" t="s">
        <v>248</v>
      </c>
      <c r="E11" s="130" t="s">
        <v>248</v>
      </c>
      <c r="F11" s="129" t="s">
        <v>248</v>
      </c>
      <c r="G11" s="130" t="s">
        <v>248</v>
      </c>
      <c r="H11" s="118">
        <v>0</v>
      </c>
      <c r="I11" s="131">
        <v>0</v>
      </c>
      <c r="J11" s="131">
        <v>0</v>
      </c>
    </row>
    <row r="12" spans="1:15" s="113" customFormat="1" x14ac:dyDescent="0.25">
      <c r="A12" s="89" t="s">
        <v>637</v>
      </c>
      <c r="B12" s="131" t="s">
        <v>248</v>
      </c>
      <c r="C12" s="131" t="s">
        <v>248</v>
      </c>
      <c r="D12" s="130" t="s">
        <v>248</v>
      </c>
      <c r="E12" s="130" t="s">
        <v>248</v>
      </c>
      <c r="F12" s="129" t="s">
        <v>248</v>
      </c>
      <c r="G12" s="130" t="s">
        <v>248</v>
      </c>
      <c r="H12" s="118">
        <v>0</v>
      </c>
      <c r="I12" s="131">
        <v>0</v>
      </c>
      <c r="J12" s="131">
        <v>0</v>
      </c>
    </row>
    <row r="13" spans="1:15" s="113" customFormat="1" x14ac:dyDescent="0.25">
      <c r="A13" s="89" t="s">
        <v>687</v>
      </c>
      <c r="B13" s="131" t="s">
        <v>248</v>
      </c>
      <c r="C13" s="131" t="s">
        <v>248</v>
      </c>
      <c r="D13" s="130" t="s">
        <v>248</v>
      </c>
      <c r="E13" s="130" t="s">
        <v>248</v>
      </c>
      <c r="F13" s="129" t="s">
        <v>248</v>
      </c>
      <c r="G13" s="130" t="s">
        <v>248</v>
      </c>
      <c r="H13" s="118">
        <v>0</v>
      </c>
      <c r="I13" s="131">
        <v>0</v>
      </c>
      <c r="J13" s="131">
        <v>0</v>
      </c>
    </row>
    <row r="14" spans="1:15" s="113" customFormat="1" x14ac:dyDescent="0.25">
      <c r="A14" s="89" t="s">
        <v>684</v>
      </c>
      <c r="B14" s="131" t="s">
        <v>248</v>
      </c>
      <c r="C14" s="131" t="s">
        <v>248</v>
      </c>
      <c r="D14" s="130" t="s">
        <v>248</v>
      </c>
      <c r="E14" s="130" t="s">
        <v>248</v>
      </c>
      <c r="F14" s="129" t="s">
        <v>248</v>
      </c>
      <c r="G14" s="130" t="s">
        <v>248</v>
      </c>
      <c r="H14" s="118">
        <v>-4.4853399000000209</v>
      </c>
      <c r="I14" s="131">
        <v>1.7448279161166532E-2</v>
      </c>
      <c r="J14" s="131">
        <v>-4.4525308178665622E-5</v>
      </c>
    </row>
    <row r="15" spans="1:15" x14ac:dyDescent="0.25">
      <c r="A15" s="16" t="s">
        <v>688</v>
      </c>
      <c r="B15" s="24" t="s">
        <v>689</v>
      </c>
      <c r="C15" s="24" t="s">
        <v>200</v>
      </c>
      <c r="D15" s="58" t="s">
        <v>125</v>
      </c>
      <c r="E15" s="58" t="s">
        <v>690</v>
      </c>
      <c r="F15" s="66">
        <v>7196.8</v>
      </c>
      <c r="G15" s="58">
        <v>0.98480000000000001</v>
      </c>
      <c r="H15" s="81">
        <v>26.223459999999999</v>
      </c>
      <c r="I15" s="24">
        <v>-0.10201105397869223</v>
      </c>
      <c r="J15" s="24">
        <v>2.6031642284476709E-4</v>
      </c>
      <c r="K15" s="14"/>
      <c r="L15" s="14"/>
      <c r="M15" s="14"/>
      <c r="N15" s="14"/>
    </row>
    <row r="16" spans="1:15" x14ac:dyDescent="0.25">
      <c r="A16" s="16" t="s">
        <v>691</v>
      </c>
      <c r="B16" s="24" t="s">
        <v>692</v>
      </c>
      <c r="C16" s="24" t="s">
        <v>200</v>
      </c>
      <c r="D16" s="58" t="s">
        <v>126</v>
      </c>
      <c r="E16" s="58" t="s">
        <v>690</v>
      </c>
      <c r="F16" s="66">
        <v>-6500</v>
      </c>
      <c r="G16" s="58">
        <v>0.9899</v>
      </c>
      <c r="H16" s="81">
        <v>-25.857530000000001</v>
      </c>
      <c r="I16" s="24">
        <v>0.10058756123660469</v>
      </c>
      <c r="J16" s="24">
        <v>-2.5668388966220519E-4</v>
      </c>
      <c r="K16" s="14"/>
      <c r="L16" s="14"/>
      <c r="M16" s="14"/>
      <c r="N16" s="14"/>
    </row>
    <row r="17" spans="1:14" x14ac:dyDescent="0.25">
      <c r="A17" s="16" t="s">
        <v>688</v>
      </c>
      <c r="B17" s="24" t="s">
        <v>693</v>
      </c>
      <c r="C17" s="24" t="s">
        <v>200</v>
      </c>
      <c r="D17" s="58" t="s">
        <v>125</v>
      </c>
      <c r="E17" s="58" t="s">
        <v>694</v>
      </c>
      <c r="F17" s="66">
        <v>90375.6</v>
      </c>
      <c r="G17" s="58">
        <v>0.98480000000000001</v>
      </c>
      <c r="H17" s="81">
        <v>329.30773999999997</v>
      </c>
      <c r="I17" s="24">
        <v>-1.2810296444764018</v>
      </c>
      <c r="J17" s="24">
        <v>3.2689894045978152E-3</v>
      </c>
      <c r="K17" s="14"/>
      <c r="L17" s="14"/>
      <c r="M17" s="14"/>
      <c r="N17" s="14"/>
    </row>
    <row r="18" spans="1:14" x14ac:dyDescent="0.25">
      <c r="A18" s="16" t="s">
        <v>691</v>
      </c>
      <c r="B18" s="24" t="s">
        <v>695</v>
      </c>
      <c r="C18" s="24" t="s">
        <v>200</v>
      </c>
      <c r="D18" s="58" t="s">
        <v>126</v>
      </c>
      <c r="E18" s="58" t="s">
        <v>694</v>
      </c>
      <c r="F18" s="66">
        <v>-84000</v>
      </c>
      <c r="G18" s="58">
        <v>0.9899</v>
      </c>
      <c r="H18" s="81">
        <v>-334.15901000000002</v>
      </c>
      <c r="I18" s="24">
        <v>1.2999014167686627</v>
      </c>
      <c r="J18" s="24">
        <v>-3.3171472469517281E-3</v>
      </c>
      <c r="K18" s="14"/>
      <c r="L18" s="14"/>
      <c r="M18" s="14"/>
      <c r="N18" s="14"/>
    </row>
    <row r="19" spans="1:14" s="113" customFormat="1" x14ac:dyDescent="0.25">
      <c r="A19" s="89" t="s">
        <v>683</v>
      </c>
      <c r="B19" s="131" t="s">
        <v>248</v>
      </c>
      <c r="C19" s="131" t="s">
        <v>248</v>
      </c>
      <c r="D19" s="130" t="s">
        <v>248</v>
      </c>
      <c r="E19" s="130" t="s">
        <v>248</v>
      </c>
      <c r="F19" s="129" t="s">
        <v>248</v>
      </c>
      <c r="G19" s="130" t="s">
        <v>248</v>
      </c>
      <c r="H19" s="118">
        <v>-220.67080939845604</v>
      </c>
      <c r="I19" s="131">
        <v>0.85842454996661777</v>
      </c>
      <c r="J19" s="131">
        <v>-2.190566604439898E-3</v>
      </c>
    </row>
    <row r="20" spans="1:14" x14ac:dyDescent="0.25">
      <c r="A20" s="16" t="s">
        <v>696</v>
      </c>
      <c r="B20" s="24" t="s">
        <v>697</v>
      </c>
      <c r="C20" s="24" t="s">
        <v>200</v>
      </c>
      <c r="D20" s="58" t="s">
        <v>254</v>
      </c>
      <c r="E20" s="58" t="s">
        <v>698</v>
      </c>
      <c r="F20" s="66">
        <v>28533.413854760736</v>
      </c>
      <c r="G20" s="58">
        <v>0.99229999999999996</v>
      </c>
      <c r="H20" s="81">
        <v>28.314759501644833</v>
      </c>
      <c r="I20" s="24">
        <v>-0.11014635215627455</v>
      </c>
      <c r="J20" s="24">
        <v>2.8107644480087918E-4</v>
      </c>
      <c r="K20" s="14"/>
      <c r="L20" s="14"/>
      <c r="M20" s="14"/>
      <c r="N20" s="14"/>
    </row>
    <row r="21" spans="1:14" x14ac:dyDescent="0.25">
      <c r="A21" s="16" t="s">
        <v>699</v>
      </c>
      <c r="B21" s="24" t="s">
        <v>700</v>
      </c>
      <c r="C21" s="24" t="s">
        <v>200</v>
      </c>
      <c r="D21" s="58" t="s">
        <v>125</v>
      </c>
      <c r="E21" s="58" t="s">
        <v>698</v>
      </c>
      <c r="F21" s="66">
        <v>-8109.5392510333204</v>
      </c>
      <c r="G21" s="58">
        <v>0.98980000000000001</v>
      </c>
      <c r="H21" s="81">
        <v>-29.700398755100782</v>
      </c>
      <c r="I21" s="24">
        <v>0.11553658367718331</v>
      </c>
      <c r="J21" s="24">
        <v>-2.9483148146701503E-4</v>
      </c>
      <c r="K21" s="14"/>
      <c r="L21" s="14"/>
      <c r="M21" s="14"/>
      <c r="N21" s="14"/>
    </row>
    <row r="22" spans="1:14" x14ac:dyDescent="0.25">
      <c r="A22" s="16" t="s">
        <v>707</v>
      </c>
      <c r="B22" s="24" t="s">
        <v>736</v>
      </c>
      <c r="C22" s="24" t="s">
        <v>200</v>
      </c>
      <c r="D22" s="58" t="s">
        <v>125</v>
      </c>
      <c r="E22" s="58" t="s">
        <v>737</v>
      </c>
      <c r="F22" s="66">
        <v>21174.90804436478</v>
      </c>
      <c r="G22" s="58">
        <v>0.99780000000000002</v>
      </c>
      <c r="H22" s="81">
        <v>78.18232478276083</v>
      </c>
      <c r="I22" s="24">
        <v>-0.30413459374140034</v>
      </c>
      <c r="J22" s="24">
        <v>7.7610441631791082E-4</v>
      </c>
      <c r="K22" s="14"/>
      <c r="L22" s="14"/>
      <c r="M22" s="14"/>
      <c r="N22" s="14"/>
    </row>
    <row r="23" spans="1:14" x14ac:dyDescent="0.25">
      <c r="A23" s="16" t="s">
        <v>704</v>
      </c>
      <c r="B23" s="24" t="s">
        <v>738</v>
      </c>
      <c r="C23" s="24" t="s">
        <v>200</v>
      </c>
      <c r="D23" s="58" t="s">
        <v>254</v>
      </c>
      <c r="E23" s="58" t="s">
        <v>737</v>
      </c>
      <c r="F23" s="66">
        <v>-77097.840189532159</v>
      </c>
      <c r="G23" s="58">
        <v>0.99819999999999998</v>
      </c>
      <c r="H23" s="81">
        <v>-76.963977367694639</v>
      </c>
      <c r="I23" s="24">
        <v>0.2993951389202929</v>
      </c>
      <c r="J23" s="24">
        <v>-7.6401006107751932E-4</v>
      </c>
      <c r="K23" s="14"/>
      <c r="L23" s="14"/>
      <c r="M23" s="14"/>
      <c r="N23" s="14"/>
    </row>
    <row r="24" spans="1:14" x14ac:dyDescent="0.25">
      <c r="A24" s="16" t="s">
        <v>739</v>
      </c>
      <c r="B24" s="24" t="s">
        <v>740</v>
      </c>
      <c r="C24" s="24" t="s">
        <v>200</v>
      </c>
      <c r="D24" s="58" t="s">
        <v>254</v>
      </c>
      <c r="E24" s="58" t="s">
        <v>737</v>
      </c>
      <c r="F24" s="66">
        <v>75884.517958590062</v>
      </c>
      <c r="G24" s="58">
        <v>0.96709999999999996</v>
      </c>
      <c r="H24" s="81">
        <v>73.391295314790369</v>
      </c>
      <c r="I24" s="24">
        <v>-0.28549716124124058</v>
      </c>
      <c r="J24" s="24">
        <v>7.2854457284775331E-4</v>
      </c>
      <c r="K24" s="14"/>
      <c r="L24" s="14"/>
      <c r="M24" s="14"/>
      <c r="N24" s="14"/>
    </row>
    <row r="25" spans="1:14" x14ac:dyDescent="0.25">
      <c r="A25" s="16" t="s">
        <v>741</v>
      </c>
      <c r="B25" s="24" t="s">
        <v>742</v>
      </c>
      <c r="C25" s="24" t="s">
        <v>200</v>
      </c>
      <c r="D25" s="58" t="s">
        <v>125</v>
      </c>
      <c r="E25" s="58" t="s">
        <v>737</v>
      </c>
      <c r="F25" s="66">
        <v>-21174.90804436478</v>
      </c>
      <c r="G25" s="58">
        <v>0.95050000000000001</v>
      </c>
      <c r="H25" s="81">
        <v>-74.473708380280954</v>
      </c>
      <c r="I25" s="24">
        <v>0.289707822139955</v>
      </c>
      <c r="J25" s="24">
        <v>-7.3928952783267705E-4</v>
      </c>
      <c r="K25" s="14"/>
      <c r="L25" s="14"/>
      <c r="M25" s="14"/>
      <c r="N25" s="14"/>
    </row>
    <row r="26" spans="1:14" x14ac:dyDescent="0.25">
      <c r="A26" s="16" t="s">
        <v>699</v>
      </c>
      <c r="B26" s="24" t="s">
        <v>743</v>
      </c>
      <c r="C26" s="24" t="s">
        <v>200</v>
      </c>
      <c r="D26" s="58" t="s">
        <v>125</v>
      </c>
      <c r="E26" s="58" t="s">
        <v>744</v>
      </c>
      <c r="F26" s="66">
        <v>261307.37586662921</v>
      </c>
      <c r="G26" s="58">
        <v>0.98980000000000001</v>
      </c>
      <c r="H26" s="81">
        <v>957.0124951224675</v>
      </c>
      <c r="I26" s="24">
        <v>-3.722844098308193</v>
      </c>
      <c r="J26" s="24">
        <v>9.5001220032759175E-3</v>
      </c>
      <c r="K26" s="14"/>
      <c r="L26" s="14"/>
      <c r="M26" s="14"/>
      <c r="N26" s="14"/>
    </row>
    <row r="27" spans="1:14" x14ac:dyDescent="0.25">
      <c r="A27" s="16" t="s">
        <v>696</v>
      </c>
      <c r="B27" s="24" t="s">
        <v>745</v>
      </c>
      <c r="C27" s="24" t="s">
        <v>200</v>
      </c>
      <c r="D27" s="58" t="s">
        <v>254</v>
      </c>
      <c r="E27" s="58" t="s">
        <v>744</v>
      </c>
      <c r="F27" s="66">
        <v>-955601.07354426302</v>
      </c>
      <c r="G27" s="58">
        <v>0.99229999999999996</v>
      </c>
      <c r="H27" s="81">
        <v>-948.27785720487179</v>
      </c>
      <c r="I27" s="24">
        <v>3.6888657590617249</v>
      </c>
      <c r="J27" s="24">
        <v>-9.4134145398995055E-3</v>
      </c>
      <c r="K27" s="14"/>
      <c r="L27" s="14"/>
      <c r="M27" s="14"/>
      <c r="N27" s="14"/>
    </row>
    <row r="28" spans="1:14" x14ac:dyDescent="0.25">
      <c r="A28" s="16" t="s">
        <v>746</v>
      </c>
      <c r="B28" s="24" t="s">
        <v>747</v>
      </c>
      <c r="C28" s="24" t="s">
        <v>200</v>
      </c>
      <c r="D28" s="58" t="s">
        <v>254</v>
      </c>
      <c r="E28" s="58" t="s">
        <v>744</v>
      </c>
      <c r="F28" s="66">
        <v>942483.44327575818</v>
      </c>
      <c r="G28" s="58">
        <v>0.96430000000000005</v>
      </c>
      <c r="H28" s="81">
        <v>908.84762384931571</v>
      </c>
      <c r="I28" s="24">
        <v>-3.5354794529363676</v>
      </c>
      <c r="J28" s="24">
        <v>9.0219964242483752E-3</v>
      </c>
      <c r="K28" s="14"/>
      <c r="L28" s="14"/>
      <c r="M28" s="14"/>
      <c r="N28" s="14"/>
    </row>
    <row r="29" spans="1:14" x14ac:dyDescent="0.25">
      <c r="A29" s="16" t="s">
        <v>748</v>
      </c>
      <c r="B29" s="24" t="s">
        <v>749</v>
      </c>
      <c r="C29" s="24" t="s">
        <v>200</v>
      </c>
      <c r="D29" s="58" t="s">
        <v>125</v>
      </c>
      <c r="E29" s="58" t="s">
        <v>744</v>
      </c>
      <c r="F29" s="66">
        <v>-261307.37586662921</v>
      </c>
      <c r="G29" s="58">
        <v>0.94579999999999997</v>
      </c>
      <c r="H29" s="81">
        <v>-914.47558355632759</v>
      </c>
      <c r="I29" s="24">
        <v>3.5573726013409601</v>
      </c>
      <c r="J29" s="24">
        <v>-9.077864350862325E-3</v>
      </c>
      <c r="K29" s="14"/>
      <c r="L29" s="14"/>
      <c r="M29" s="14"/>
      <c r="N29" s="14"/>
    </row>
    <row r="30" spans="1:14" x14ac:dyDescent="0.25">
      <c r="A30" s="16" t="s">
        <v>699</v>
      </c>
      <c r="B30" s="24" t="s">
        <v>701</v>
      </c>
      <c r="C30" s="24" t="s">
        <v>200</v>
      </c>
      <c r="D30" s="58" t="s">
        <v>125</v>
      </c>
      <c r="E30" s="58" t="s">
        <v>702</v>
      </c>
      <c r="F30" s="66">
        <v>27031.797503444399</v>
      </c>
      <c r="G30" s="58">
        <v>0.98980000000000001</v>
      </c>
      <c r="H30" s="81">
        <v>99.001329198686932</v>
      </c>
      <c r="I30" s="24">
        <v>-0.38512194564903074</v>
      </c>
      <c r="J30" s="24">
        <v>9.8277160503912808E-4</v>
      </c>
      <c r="K30" s="14"/>
      <c r="L30" s="14"/>
      <c r="M30" s="14"/>
      <c r="N30" s="14"/>
    </row>
    <row r="31" spans="1:14" x14ac:dyDescent="0.25">
      <c r="A31" s="16" t="s">
        <v>696</v>
      </c>
      <c r="B31" s="24" t="s">
        <v>703</v>
      </c>
      <c r="C31" s="24" t="s">
        <v>200</v>
      </c>
      <c r="D31" s="58" t="s">
        <v>254</v>
      </c>
      <c r="E31" s="58" t="s">
        <v>702</v>
      </c>
      <c r="F31" s="66">
        <v>-91583.729941669633</v>
      </c>
      <c r="G31" s="58">
        <v>0.99229999999999996</v>
      </c>
      <c r="H31" s="81">
        <v>-90.881914835559243</v>
      </c>
      <c r="I31" s="24">
        <v>0.35353686813170893</v>
      </c>
      <c r="J31" s="24">
        <v>-9.0217137522186444E-4</v>
      </c>
      <c r="K31" s="14"/>
      <c r="L31" s="14"/>
      <c r="M31" s="14"/>
      <c r="N31" s="14"/>
    </row>
    <row r="32" spans="1:14" x14ac:dyDescent="0.25">
      <c r="A32" s="16" t="s">
        <v>704</v>
      </c>
      <c r="B32" s="24" t="s">
        <v>720</v>
      </c>
      <c r="C32" s="24" t="s">
        <v>200</v>
      </c>
      <c r="D32" s="58" t="s">
        <v>254</v>
      </c>
      <c r="E32" s="58" t="s">
        <v>721</v>
      </c>
      <c r="F32" s="66">
        <v>86872.384986591802</v>
      </c>
      <c r="G32" s="58">
        <v>0.99819999999999998</v>
      </c>
      <c r="H32" s="81">
        <v>86.721550890444277</v>
      </c>
      <c r="I32" s="24">
        <v>-0.33735276767447991</v>
      </c>
      <c r="J32" s="24">
        <v>8.608720554553397E-4</v>
      </c>
      <c r="K32" s="14"/>
      <c r="L32" s="14"/>
      <c r="M32" s="14"/>
      <c r="N32" s="14"/>
    </row>
    <row r="33" spans="1:14" x14ac:dyDescent="0.25">
      <c r="A33" s="16" t="s">
        <v>707</v>
      </c>
      <c r="B33" s="24" t="s">
        <v>722</v>
      </c>
      <c r="C33" s="24" t="s">
        <v>200</v>
      </c>
      <c r="D33" s="58" t="s">
        <v>125</v>
      </c>
      <c r="E33" s="58" t="s">
        <v>721</v>
      </c>
      <c r="F33" s="66">
        <v>-24328.617753099959</v>
      </c>
      <c r="G33" s="58">
        <v>0.99780000000000002</v>
      </c>
      <c r="H33" s="81">
        <v>-89.826500814044138</v>
      </c>
      <c r="I33" s="24">
        <v>0.34943123536171417</v>
      </c>
      <c r="J33" s="24">
        <v>-8.9169443576761151E-4</v>
      </c>
      <c r="K33" s="14"/>
      <c r="L33" s="14"/>
      <c r="M33" s="14"/>
      <c r="N33" s="14"/>
    </row>
    <row r="34" spans="1:14" x14ac:dyDescent="0.25">
      <c r="A34" s="16" t="s">
        <v>723</v>
      </c>
      <c r="B34" s="24" t="s">
        <v>724</v>
      </c>
      <c r="C34" s="24" t="s">
        <v>200</v>
      </c>
      <c r="D34" s="58" t="s">
        <v>254</v>
      </c>
      <c r="E34" s="58" t="s">
        <v>725</v>
      </c>
      <c r="F34" s="66">
        <v>187853.12</v>
      </c>
      <c r="G34" s="58">
        <v>0.98409999999999997</v>
      </c>
      <c r="H34" s="81">
        <v>184.87763000000001</v>
      </c>
      <c r="I34" s="24">
        <v>-0.71918663263286731</v>
      </c>
      <c r="J34" s="24">
        <v>1.8352529874249394E-3</v>
      </c>
      <c r="K34" s="14"/>
      <c r="L34" s="14"/>
      <c r="M34" s="14"/>
      <c r="N34" s="14"/>
    </row>
    <row r="35" spans="1:14" x14ac:dyDescent="0.25">
      <c r="A35" s="16" t="s">
        <v>726</v>
      </c>
      <c r="B35" s="24" t="s">
        <v>727</v>
      </c>
      <c r="C35" s="24" t="s">
        <v>200</v>
      </c>
      <c r="D35" s="58" t="s">
        <v>125</v>
      </c>
      <c r="E35" s="58" t="s">
        <v>725</v>
      </c>
      <c r="F35" s="66">
        <v>-52000</v>
      </c>
      <c r="G35" s="58">
        <v>0.97770000000000001</v>
      </c>
      <c r="H35" s="81">
        <v>-188.12045999999998</v>
      </c>
      <c r="I35" s="24">
        <v>0.731801463252996</v>
      </c>
      <c r="J35" s="24">
        <v>-1.8674440829361226E-3</v>
      </c>
      <c r="K35" s="14"/>
      <c r="L35" s="14"/>
      <c r="M35" s="14"/>
      <c r="N35" s="14"/>
    </row>
    <row r="36" spans="1:14" x14ac:dyDescent="0.25">
      <c r="A36" s="16" t="s">
        <v>707</v>
      </c>
      <c r="B36" s="24" t="s">
        <v>728</v>
      </c>
      <c r="C36" s="24" t="s">
        <v>200</v>
      </c>
      <c r="D36" s="58" t="s">
        <v>125</v>
      </c>
      <c r="E36" s="58" t="s">
        <v>729</v>
      </c>
      <c r="F36" s="66">
        <v>88754.401802975786</v>
      </c>
      <c r="G36" s="58">
        <v>0.99780000000000002</v>
      </c>
      <c r="H36" s="81">
        <v>327.70038259854891</v>
      </c>
      <c r="I36" s="24">
        <v>-1.2747769141867118</v>
      </c>
      <c r="J36" s="24">
        <v>3.2530334045513375E-3</v>
      </c>
      <c r="K36" s="14"/>
      <c r="L36" s="14"/>
      <c r="M36" s="14"/>
      <c r="N36" s="14"/>
    </row>
    <row r="37" spans="1:14" x14ac:dyDescent="0.25">
      <c r="A37" s="16" t="s">
        <v>704</v>
      </c>
      <c r="B37" s="24" t="s">
        <v>730</v>
      </c>
      <c r="C37" s="24" t="s">
        <v>200</v>
      </c>
      <c r="D37" s="58" t="s">
        <v>254</v>
      </c>
      <c r="E37" s="58" t="s">
        <v>729</v>
      </c>
      <c r="F37" s="66">
        <v>-321823.46093759016</v>
      </c>
      <c r="G37" s="58">
        <v>0.99819999999999998</v>
      </c>
      <c r="H37" s="81">
        <v>-321.26468786782738</v>
      </c>
      <c r="I37" s="24">
        <v>1.2497416212632753</v>
      </c>
      <c r="J37" s="24">
        <v>-3.189147211393671E-3</v>
      </c>
      <c r="K37" s="14"/>
      <c r="L37" s="14"/>
      <c r="M37" s="14"/>
      <c r="N37" s="14"/>
    </row>
    <row r="38" spans="1:14" x14ac:dyDescent="0.25">
      <c r="A38" s="16" t="s">
        <v>699</v>
      </c>
      <c r="B38" s="24" t="s">
        <v>750</v>
      </c>
      <c r="C38" s="24" t="s">
        <v>200</v>
      </c>
      <c r="D38" s="58" t="s">
        <v>125</v>
      </c>
      <c r="E38" s="58" t="s">
        <v>744</v>
      </c>
      <c r="F38" s="66">
        <v>53162.535090107318</v>
      </c>
      <c r="G38" s="58">
        <v>0.98980000000000001</v>
      </c>
      <c r="H38" s="81">
        <v>194.70254210357245</v>
      </c>
      <c r="I38" s="24">
        <v>-0.75740621307470968</v>
      </c>
      <c r="J38" s="24">
        <v>1.9327834419708397E-3</v>
      </c>
      <c r="K38" s="14"/>
      <c r="L38" s="14"/>
      <c r="M38" s="14"/>
      <c r="N38" s="14"/>
    </row>
    <row r="39" spans="1:14" x14ac:dyDescent="0.25">
      <c r="A39" s="16" t="s">
        <v>696</v>
      </c>
      <c r="B39" s="24" t="s">
        <v>751</v>
      </c>
      <c r="C39" s="24" t="s">
        <v>200</v>
      </c>
      <c r="D39" s="58" t="s">
        <v>254</v>
      </c>
      <c r="E39" s="58" t="s">
        <v>744</v>
      </c>
      <c r="F39" s="66">
        <v>-193139.4899823599</v>
      </c>
      <c r="G39" s="58">
        <v>0.99229999999999996</v>
      </c>
      <c r="H39" s="81">
        <v>-191.65937206465105</v>
      </c>
      <c r="I39" s="24">
        <v>0.74556807336672493</v>
      </c>
      <c r="J39" s="24">
        <v>-1.9025743414692129E-3</v>
      </c>
      <c r="K39" s="14"/>
      <c r="L39" s="14"/>
      <c r="M39" s="14"/>
      <c r="N39" s="14"/>
    </row>
    <row r="40" spans="1:14" x14ac:dyDescent="0.25">
      <c r="A40" s="16" t="s">
        <v>746</v>
      </c>
      <c r="B40" s="24" t="s">
        <v>752</v>
      </c>
      <c r="C40" s="24" t="s">
        <v>200</v>
      </c>
      <c r="D40" s="58" t="s">
        <v>254</v>
      </c>
      <c r="E40" s="58" t="s">
        <v>744</v>
      </c>
      <c r="F40" s="66">
        <v>190470.73072083649</v>
      </c>
      <c r="G40" s="58">
        <v>0.96430000000000005</v>
      </c>
      <c r="H40" s="81">
        <v>183.67311623690873</v>
      </c>
      <c r="I40" s="24">
        <v>-0.71450099166463577</v>
      </c>
      <c r="J40" s="24">
        <v>1.8232959568090248E-3</v>
      </c>
      <c r="K40" s="14"/>
      <c r="L40" s="14"/>
      <c r="M40" s="14"/>
      <c r="N40" s="14"/>
    </row>
    <row r="41" spans="1:14" x14ac:dyDescent="0.25">
      <c r="A41" s="16" t="s">
        <v>748</v>
      </c>
      <c r="B41" s="24" t="s">
        <v>753</v>
      </c>
      <c r="C41" s="24" t="s">
        <v>200</v>
      </c>
      <c r="D41" s="58" t="s">
        <v>125</v>
      </c>
      <c r="E41" s="58" t="s">
        <v>744</v>
      </c>
      <c r="F41" s="66">
        <v>-53162.535090107318</v>
      </c>
      <c r="G41" s="58">
        <v>0.94579999999999997</v>
      </c>
      <c r="H41" s="81">
        <v>-186.04848079323995</v>
      </c>
      <c r="I41" s="24">
        <v>0.72374132234468236</v>
      </c>
      <c r="J41" s="24">
        <v>-1.8468758507000824E-3</v>
      </c>
      <c r="K41" s="14"/>
      <c r="L41" s="14"/>
      <c r="M41" s="14"/>
      <c r="N41" s="14"/>
    </row>
    <row r="42" spans="1:14" x14ac:dyDescent="0.25">
      <c r="A42" s="16" t="s">
        <v>731</v>
      </c>
      <c r="B42" s="24" t="s">
        <v>754</v>
      </c>
      <c r="C42" s="24" t="s">
        <v>200</v>
      </c>
      <c r="D42" s="58" t="s">
        <v>254</v>
      </c>
      <c r="E42" s="58" t="s">
        <v>755</v>
      </c>
      <c r="F42" s="66">
        <v>148780</v>
      </c>
      <c r="G42" s="58">
        <v>0.99299999999999999</v>
      </c>
      <c r="H42" s="81">
        <v>147.74340000000001</v>
      </c>
      <c r="I42" s="24">
        <v>-0.57473193668552958</v>
      </c>
      <c r="J42" s="24">
        <v>1.4666269587203049E-3</v>
      </c>
      <c r="K42" s="14"/>
      <c r="L42" s="14"/>
      <c r="M42" s="14"/>
      <c r="N42" s="14"/>
    </row>
    <row r="43" spans="1:14" x14ac:dyDescent="0.25">
      <c r="A43" s="16" t="s">
        <v>734</v>
      </c>
      <c r="B43" s="24" t="s">
        <v>756</v>
      </c>
      <c r="C43" s="24" t="s">
        <v>200</v>
      </c>
      <c r="D43" s="58" t="s">
        <v>125</v>
      </c>
      <c r="E43" s="58" t="s">
        <v>755</v>
      </c>
      <c r="F43" s="66">
        <v>-40000</v>
      </c>
      <c r="G43" s="58">
        <v>0.99080000000000001</v>
      </c>
      <c r="H43" s="81">
        <v>-146.64505</v>
      </c>
      <c r="I43" s="24">
        <v>0.57045928002094382</v>
      </c>
      <c r="J43" s="24">
        <v>-1.4557238001351466E-3</v>
      </c>
      <c r="K43" s="14"/>
      <c r="L43" s="14"/>
      <c r="M43" s="14"/>
      <c r="N43" s="14"/>
    </row>
    <row r="44" spans="1:14" x14ac:dyDescent="0.25">
      <c r="A44" s="16" t="s">
        <v>741</v>
      </c>
      <c r="B44" s="24" t="s">
        <v>757</v>
      </c>
      <c r="C44" s="24" t="s">
        <v>200</v>
      </c>
      <c r="D44" s="58" t="s">
        <v>125</v>
      </c>
      <c r="E44" s="58" t="s">
        <v>758</v>
      </c>
      <c r="F44" s="66">
        <v>13515.898751722199</v>
      </c>
      <c r="G44" s="58">
        <v>0.95489999999999997</v>
      </c>
      <c r="H44" s="81">
        <v>47.753685095850848</v>
      </c>
      <c r="I44" s="24">
        <v>-0.18576510300297183</v>
      </c>
      <c r="J44" s="24">
        <v>4.7404379444235668E-4</v>
      </c>
      <c r="K44" s="14"/>
      <c r="L44" s="14"/>
      <c r="M44" s="14"/>
      <c r="N44" s="14"/>
    </row>
    <row r="45" spans="1:14" x14ac:dyDescent="0.25">
      <c r="A45" s="16" t="s">
        <v>739</v>
      </c>
      <c r="B45" s="24" t="s">
        <v>759</v>
      </c>
      <c r="C45" s="24" t="s">
        <v>200</v>
      </c>
      <c r="D45" s="58" t="s">
        <v>254</v>
      </c>
      <c r="E45" s="58" t="s">
        <v>758</v>
      </c>
      <c r="F45" s="66">
        <v>-48657.235506199919</v>
      </c>
      <c r="G45" s="58">
        <v>0.9698</v>
      </c>
      <c r="H45" s="81">
        <v>-47.191679473636583</v>
      </c>
      <c r="I45" s="24">
        <v>0.18357886267221349</v>
      </c>
      <c r="J45" s="24">
        <v>-4.6846484745391713E-4</v>
      </c>
      <c r="K45" s="14"/>
      <c r="L45" s="14"/>
      <c r="M45" s="14"/>
      <c r="N45" s="14"/>
    </row>
    <row r="46" spans="1:14" x14ac:dyDescent="0.25">
      <c r="A46" s="16" t="s">
        <v>731</v>
      </c>
      <c r="B46" s="24" t="s">
        <v>732</v>
      </c>
      <c r="C46" s="24" t="s">
        <v>200</v>
      </c>
      <c r="D46" s="58" t="s">
        <v>254</v>
      </c>
      <c r="E46" s="58" t="s">
        <v>733</v>
      </c>
      <c r="F46" s="66">
        <v>7192000</v>
      </c>
      <c r="G46" s="58">
        <v>0.99299999999999999</v>
      </c>
      <c r="H46" s="81">
        <v>7141.8910900000001</v>
      </c>
      <c r="I46" s="24">
        <v>-27.782445088936818</v>
      </c>
      <c r="J46" s="24">
        <v>7.0896500343422056E-2</v>
      </c>
      <c r="K46" s="14"/>
      <c r="L46" s="14"/>
      <c r="M46" s="14"/>
      <c r="N46" s="14"/>
    </row>
    <row r="47" spans="1:14" x14ac:dyDescent="0.25">
      <c r="A47" s="16" t="s">
        <v>734</v>
      </c>
      <c r="B47" s="24" t="s">
        <v>735</v>
      </c>
      <c r="C47" s="24" t="s">
        <v>200</v>
      </c>
      <c r="D47" s="58" t="s">
        <v>125</v>
      </c>
      <c r="E47" s="58" t="s">
        <v>733</v>
      </c>
      <c r="F47" s="66">
        <v>-2000000</v>
      </c>
      <c r="G47" s="58">
        <v>0.99080000000000001</v>
      </c>
      <c r="H47" s="81">
        <v>-7332.2526100000005</v>
      </c>
      <c r="I47" s="24">
        <v>28.522964428954722</v>
      </c>
      <c r="J47" s="24">
        <v>-7.2786191098711137E-2</v>
      </c>
      <c r="K47" s="14"/>
      <c r="L47" s="14"/>
      <c r="M47" s="14"/>
      <c r="N47" s="14"/>
    </row>
    <row r="48" spans="1:14" x14ac:dyDescent="0.25">
      <c r="A48" s="16" t="s">
        <v>704</v>
      </c>
      <c r="B48" s="24" t="s">
        <v>705</v>
      </c>
      <c r="C48" s="24" t="s">
        <v>200</v>
      </c>
      <c r="D48" s="58" t="s">
        <v>254</v>
      </c>
      <c r="E48" s="58" t="s">
        <v>706</v>
      </c>
      <c r="F48" s="66">
        <v>300287.22786659602</v>
      </c>
      <c r="G48" s="58">
        <v>0.99819999999999998</v>
      </c>
      <c r="H48" s="81">
        <v>299.76584755793812</v>
      </c>
      <c r="I48" s="24">
        <v>-1.1661096612041757</v>
      </c>
      <c r="J48" s="24">
        <v>2.9757313919411173E-3</v>
      </c>
      <c r="K48" s="14"/>
      <c r="L48" s="14"/>
      <c r="M48" s="14"/>
      <c r="N48" s="14"/>
    </row>
    <row r="49" spans="1:14" x14ac:dyDescent="0.25">
      <c r="A49" s="16" t="s">
        <v>707</v>
      </c>
      <c r="B49" s="24" t="s">
        <v>708</v>
      </c>
      <c r="C49" s="24" t="s">
        <v>200</v>
      </c>
      <c r="D49" s="58" t="s">
        <v>125</v>
      </c>
      <c r="E49" s="58" t="s">
        <v>706</v>
      </c>
      <c r="F49" s="66">
        <v>-85600.6920942406</v>
      </c>
      <c r="G49" s="58">
        <v>0.99780000000000002</v>
      </c>
      <c r="H49" s="81">
        <v>-316.05620656726563</v>
      </c>
      <c r="I49" s="24">
        <v>1.229480272566398</v>
      </c>
      <c r="J49" s="24">
        <v>-3.1374433851016374E-3</v>
      </c>
      <c r="K49" s="14"/>
      <c r="L49" s="14"/>
      <c r="M49" s="14"/>
      <c r="N49" s="14"/>
    </row>
    <row r="50" spans="1:14" x14ac:dyDescent="0.25">
      <c r="A50" s="16" t="s">
        <v>696</v>
      </c>
      <c r="B50" s="24" t="s">
        <v>709</v>
      </c>
      <c r="C50" s="24" t="s">
        <v>200</v>
      </c>
      <c r="D50" s="58" t="s">
        <v>254</v>
      </c>
      <c r="E50" s="58" t="s">
        <v>710</v>
      </c>
      <c r="F50" s="66">
        <v>327192.87698169099</v>
      </c>
      <c r="G50" s="58">
        <v>0.99229999999999996</v>
      </c>
      <c r="H50" s="81">
        <v>324.68556589665786</v>
      </c>
      <c r="I50" s="24">
        <v>-1.2630490709001101</v>
      </c>
      <c r="J50" s="24">
        <v>3.2231057634479541E-3</v>
      </c>
      <c r="K50" s="14"/>
      <c r="L50" s="14"/>
      <c r="M50" s="14"/>
      <c r="N50" s="14"/>
    </row>
    <row r="51" spans="1:14" x14ac:dyDescent="0.25">
      <c r="A51" s="16" t="s">
        <v>699</v>
      </c>
      <c r="B51" s="24" t="s">
        <v>711</v>
      </c>
      <c r="C51" s="24" t="s">
        <v>200</v>
      </c>
      <c r="D51" s="58" t="s">
        <v>125</v>
      </c>
      <c r="E51" s="58" t="s">
        <v>710</v>
      </c>
      <c r="F51" s="66">
        <v>-91908.111511710958</v>
      </c>
      <c r="G51" s="58">
        <v>0.98980000000000001</v>
      </c>
      <c r="H51" s="81">
        <v>-336.60451929355673</v>
      </c>
      <c r="I51" s="24">
        <v>1.309414615276808</v>
      </c>
      <c r="J51" s="24">
        <v>-3.3414234573119293E-3</v>
      </c>
      <c r="K51" s="14"/>
      <c r="L51" s="14"/>
      <c r="M51" s="14"/>
      <c r="N51" s="14"/>
    </row>
    <row r="52" spans="1:14" x14ac:dyDescent="0.25">
      <c r="A52" s="16" t="s">
        <v>696</v>
      </c>
      <c r="B52" s="24" t="s">
        <v>712</v>
      </c>
      <c r="C52" s="24" t="s">
        <v>200</v>
      </c>
      <c r="D52" s="58" t="s">
        <v>254</v>
      </c>
      <c r="E52" s="58" t="s">
        <v>426</v>
      </c>
      <c r="F52" s="66">
        <v>170417.9125908397</v>
      </c>
      <c r="G52" s="58">
        <v>0.99229999999999996</v>
      </c>
      <c r="H52" s="81">
        <v>169.11198342235684</v>
      </c>
      <c r="I52" s="24">
        <v>-0.65785718853811614</v>
      </c>
      <c r="J52" s="24">
        <v>1.6787497372464004E-3</v>
      </c>
      <c r="K52" s="14"/>
      <c r="L52" s="14"/>
      <c r="M52" s="14"/>
      <c r="N52" s="14"/>
    </row>
    <row r="53" spans="1:14" x14ac:dyDescent="0.25">
      <c r="A53" s="16" t="s">
        <v>699</v>
      </c>
      <c r="B53" s="24" t="s">
        <v>713</v>
      </c>
      <c r="C53" s="24" t="s">
        <v>200</v>
      </c>
      <c r="D53" s="58" t="s">
        <v>125</v>
      </c>
      <c r="E53" s="58" t="s">
        <v>426</v>
      </c>
      <c r="F53" s="66">
        <v>-47756.175589418439</v>
      </c>
      <c r="G53" s="58">
        <v>0.98980000000000001</v>
      </c>
      <c r="H53" s="81">
        <v>-174.90234825852244</v>
      </c>
      <c r="I53" s="24">
        <v>0.68038210400916421</v>
      </c>
      <c r="J53" s="24">
        <v>-1.7362298356436658E-3</v>
      </c>
      <c r="K53" s="14"/>
      <c r="L53" s="14"/>
      <c r="M53" s="14"/>
      <c r="N53" s="14"/>
    </row>
    <row r="54" spans="1:14" x14ac:dyDescent="0.25">
      <c r="A54" s="16" t="s">
        <v>696</v>
      </c>
      <c r="B54" s="24" t="s">
        <v>714</v>
      </c>
      <c r="C54" s="24" t="s">
        <v>200</v>
      </c>
      <c r="D54" s="58" t="s">
        <v>254</v>
      </c>
      <c r="E54" s="58" t="s">
        <v>715</v>
      </c>
      <c r="F54" s="66">
        <v>163227.0039249651</v>
      </c>
      <c r="G54" s="58">
        <v>0.99229999999999996</v>
      </c>
      <c r="H54" s="81">
        <v>161.97617939106399</v>
      </c>
      <c r="I54" s="24">
        <v>-0.63009842252411252</v>
      </c>
      <c r="J54" s="24">
        <v>1.6079136622377088E-3</v>
      </c>
      <c r="K54" s="14"/>
      <c r="L54" s="14"/>
      <c r="M54" s="14"/>
      <c r="N54" s="14"/>
    </row>
    <row r="55" spans="1:14" x14ac:dyDescent="0.25">
      <c r="A55" s="16" t="s">
        <v>699</v>
      </c>
      <c r="B55" s="24" t="s">
        <v>716</v>
      </c>
      <c r="C55" s="24" t="s">
        <v>200</v>
      </c>
      <c r="D55" s="58" t="s">
        <v>125</v>
      </c>
      <c r="E55" s="58" t="s">
        <v>715</v>
      </c>
      <c r="F55" s="66">
        <v>-45052.995839073999</v>
      </c>
      <c r="G55" s="58">
        <v>0.98980000000000001</v>
      </c>
      <c r="H55" s="81">
        <v>-165.00221534315901</v>
      </c>
      <c r="I55" s="24">
        <v>0.64186990946178701</v>
      </c>
      <c r="J55" s="24">
        <v>-1.6379526751844761E-3</v>
      </c>
      <c r="K55" s="14"/>
      <c r="L55" s="14"/>
      <c r="M55" s="14"/>
      <c r="N55" s="14"/>
    </row>
    <row r="56" spans="1:14" x14ac:dyDescent="0.25">
      <c r="A56" s="16" t="s">
        <v>696</v>
      </c>
      <c r="B56" s="24" t="s">
        <v>717</v>
      </c>
      <c r="C56" s="24" t="s">
        <v>200</v>
      </c>
      <c r="D56" s="58" t="s">
        <v>254</v>
      </c>
      <c r="E56" s="58" t="s">
        <v>718</v>
      </c>
      <c r="F56" s="66">
        <v>227067.09902893295</v>
      </c>
      <c r="G56" s="58">
        <v>0.99229999999999996</v>
      </c>
      <c r="H56" s="81">
        <v>225.32706159289432</v>
      </c>
      <c r="I56" s="24">
        <v>-0.87653768964937695</v>
      </c>
      <c r="J56" s="24">
        <v>2.2367885337779515E-3</v>
      </c>
      <c r="K56" s="14"/>
      <c r="L56" s="14"/>
      <c r="M56" s="14"/>
      <c r="N56" s="14"/>
    </row>
    <row r="57" spans="1:14" x14ac:dyDescent="0.25">
      <c r="A57" s="16" t="s">
        <v>699</v>
      </c>
      <c r="B57" s="24" t="s">
        <v>719</v>
      </c>
      <c r="C57" s="24" t="s">
        <v>200</v>
      </c>
      <c r="D57" s="58" t="s">
        <v>125</v>
      </c>
      <c r="E57" s="58" t="s">
        <v>718</v>
      </c>
      <c r="F57" s="66">
        <v>-63074.194174703603</v>
      </c>
      <c r="G57" s="58">
        <v>0.98980000000000001</v>
      </c>
      <c r="H57" s="81">
        <v>-231.00310147862052</v>
      </c>
      <c r="I57" s="24">
        <v>0.89861787323949149</v>
      </c>
      <c r="J57" s="24">
        <v>-2.2931337452403774E-3</v>
      </c>
      <c r="K57" s="14"/>
      <c r="L57" s="14"/>
      <c r="M57" s="14"/>
      <c r="N57" s="14"/>
    </row>
    <row r="58" spans="1:14" s="113" customFormat="1" x14ac:dyDescent="0.25">
      <c r="A58" s="89" t="s">
        <v>760</v>
      </c>
      <c r="B58" s="131" t="s">
        <v>248</v>
      </c>
      <c r="C58" s="131" t="s">
        <v>248</v>
      </c>
      <c r="D58" s="130" t="s">
        <v>248</v>
      </c>
      <c r="E58" s="130" t="s">
        <v>248</v>
      </c>
      <c r="F58" s="129" t="s">
        <v>248</v>
      </c>
      <c r="G58" s="130" t="s">
        <v>248</v>
      </c>
      <c r="H58" s="118">
        <v>-31.908737376283941</v>
      </c>
      <c r="I58" s="131">
        <v>0.12412717203923568</v>
      </c>
      <c r="J58" s="131">
        <v>-3.1675333351462219E-4</v>
      </c>
    </row>
    <row r="59" spans="1:14" s="113" customFormat="1" x14ac:dyDescent="0.25">
      <c r="A59" s="89" t="s">
        <v>635</v>
      </c>
      <c r="B59" s="131" t="s">
        <v>248</v>
      </c>
      <c r="C59" s="131" t="s">
        <v>248</v>
      </c>
      <c r="D59" s="130" t="s">
        <v>248</v>
      </c>
      <c r="E59" s="130" t="s">
        <v>248</v>
      </c>
      <c r="F59" s="129" t="s">
        <v>248</v>
      </c>
      <c r="G59" s="130" t="s">
        <v>248</v>
      </c>
      <c r="H59" s="118">
        <v>0</v>
      </c>
      <c r="I59" s="131">
        <v>0</v>
      </c>
      <c r="J59" s="131">
        <v>0</v>
      </c>
    </row>
    <row r="60" spans="1:14" s="113" customFormat="1" x14ac:dyDescent="0.25">
      <c r="A60" s="89" t="s">
        <v>642</v>
      </c>
      <c r="B60" s="131" t="s">
        <v>248</v>
      </c>
      <c r="C60" s="131" t="s">
        <v>248</v>
      </c>
      <c r="D60" s="130" t="s">
        <v>248</v>
      </c>
      <c r="E60" s="130" t="s">
        <v>248</v>
      </c>
      <c r="F60" s="129" t="s">
        <v>248</v>
      </c>
      <c r="G60" s="130" t="s">
        <v>248</v>
      </c>
      <c r="H60" s="118">
        <v>-31.908737676283955</v>
      </c>
      <c r="I60" s="131">
        <v>0.12412717320625627</v>
      </c>
      <c r="J60" s="131">
        <v>-3.1675333649267814E-4</v>
      </c>
    </row>
    <row r="61" spans="1:14" x14ac:dyDescent="0.25">
      <c r="A61" s="16" t="s">
        <v>764</v>
      </c>
      <c r="B61" s="24" t="s">
        <v>765</v>
      </c>
      <c r="C61" s="24" t="s">
        <v>200</v>
      </c>
      <c r="D61" s="58" t="s">
        <v>125</v>
      </c>
      <c r="E61" s="58" t="s">
        <v>766</v>
      </c>
      <c r="F61" s="66">
        <v>146779.20000000001</v>
      </c>
      <c r="G61" s="58">
        <v>0.98880000000000001</v>
      </c>
      <c r="H61" s="81">
        <v>537.01742000000002</v>
      </c>
      <c r="I61" s="24">
        <v>-2.0890345140998954</v>
      </c>
      <c r="J61" s="24">
        <v>5.3308927875927092E-3</v>
      </c>
      <c r="K61" s="14"/>
      <c r="L61" s="14"/>
      <c r="M61" s="14"/>
      <c r="N61" s="14"/>
    </row>
    <row r="62" spans="1:14" x14ac:dyDescent="0.25">
      <c r="A62" s="16" t="s">
        <v>767</v>
      </c>
      <c r="B62" s="24" t="s">
        <v>768</v>
      </c>
      <c r="C62" s="24" t="s">
        <v>200</v>
      </c>
      <c r="D62" s="58" t="s">
        <v>2</v>
      </c>
      <c r="E62" s="58" t="s">
        <v>766</v>
      </c>
      <c r="F62" s="66">
        <v>-120000</v>
      </c>
      <c r="G62" s="58">
        <v>0.98899999999999999</v>
      </c>
      <c r="H62" s="81">
        <v>-554.34372999999994</v>
      </c>
      <c r="I62" s="24">
        <v>2.1564350457101993</v>
      </c>
      <c r="J62" s="24">
        <v>-5.5028885135685905E-3</v>
      </c>
      <c r="K62" s="14"/>
      <c r="L62" s="14"/>
      <c r="M62" s="14"/>
      <c r="N62" s="14"/>
    </row>
    <row r="63" spans="1:14" x14ac:dyDescent="0.25">
      <c r="A63" s="16" t="s">
        <v>769</v>
      </c>
      <c r="B63" s="24" t="s">
        <v>770</v>
      </c>
      <c r="C63" s="24" t="s">
        <v>200</v>
      </c>
      <c r="D63" s="58" t="s">
        <v>2</v>
      </c>
      <c r="E63" s="58" t="s">
        <v>771</v>
      </c>
      <c r="F63" s="66">
        <v>15000</v>
      </c>
      <c r="G63" s="58">
        <v>0.98480000000000001</v>
      </c>
      <c r="H63" s="81">
        <v>68.999920000000003</v>
      </c>
      <c r="I63" s="24">
        <v>-0.26841441074692068</v>
      </c>
      <c r="J63" s="24">
        <v>6.849520372588173E-4</v>
      </c>
      <c r="K63" s="14"/>
      <c r="L63" s="14"/>
      <c r="M63" s="14"/>
      <c r="N63" s="14"/>
    </row>
    <row r="64" spans="1:14" x14ac:dyDescent="0.25">
      <c r="A64" s="16" t="s">
        <v>772</v>
      </c>
      <c r="B64" s="24" t="s">
        <v>773</v>
      </c>
      <c r="C64" s="24" t="s">
        <v>200</v>
      </c>
      <c r="D64" s="58" t="s">
        <v>125</v>
      </c>
      <c r="E64" s="58" t="s">
        <v>771</v>
      </c>
      <c r="F64" s="66">
        <v>-19192.5</v>
      </c>
      <c r="G64" s="58">
        <v>0.98480000000000001</v>
      </c>
      <c r="H64" s="81">
        <v>-69.933019999999999</v>
      </c>
      <c r="I64" s="24">
        <v>0.27204423360277263</v>
      </c>
      <c r="J64" s="24">
        <v>-6.942147834470186E-4</v>
      </c>
      <c r="K64" s="14"/>
      <c r="L64" s="14"/>
      <c r="M64" s="14"/>
      <c r="N64" s="14"/>
    </row>
    <row r="65" spans="1:14" x14ac:dyDescent="0.25">
      <c r="A65" s="16" t="s">
        <v>696</v>
      </c>
      <c r="B65" s="24" t="s">
        <v>761</v>
      </c>
      <c r="C65" s="24" t="s">
        <v>200</v>
      </c>
      <c r="D65" s="58" t="s">
        <v>254</v>
      </c>
      <c r="E65" s="58" t="s">
        <v>762</v>
      </c>
      <c r="F65" s="66">
        <v>302170.4430926693</v>
      </c>
      <c r="G65" s="58">
        <v>0.99229999999999996</v>
      </c>
      <c r="H65" s="81">
        <v>299.85488136941075</v>
      </c>
      <c r="I65" s="24">
        <v>-1.1664560088237521</v>
      </c>
      <c r="J65" s="24">
        <v>2.9766152174666122E-3</v>
      </c>
      <c r="K65" s="14"/>
      <c r="L65" s="14"/>
      <c r="M65" s="14"/>
      <c r="N65" s="14"/>
    </row>
    <row r="66" spans="1:14" x14ac:dyDescent="0.25">
      <c r="A66" s="16" t="s">
        <v>699</v>
      </c>
      <c r="B66" s="24" t="s">
        <v>763</v>
      </c>
      <c r="C66" s="24" t="s">
        <v>200</v>
      </c>
      <c r="D66" s="58" t="s">
        <v>125</v>
      </c>
      <c r="E66" s="58" t="s">
        <v>762</v>
      </c>
      <c r="F66" s="66">
        <v>-85600.6920942406</v>
      </c>
      <c r="G66" s="58">
        <v>0.98980000000000001</v>
      </c>
      <c r="H66" s="81">
        <v>-313.50420914569474</v>
      </c>
      <c r="I66" s="24">
        <v>1.2195528279528591</v>
      </c>
      <c r="J66" s="24">
        <v>-3.112110082787892E-3</v>
      </c>
      <c r="K66" s="14"/>
      <c r="L66" s="14"/>
      <c r="M66" s="14"/>
      <c r="N66" s="14"/>
    </row>
    <row r="67" spans="1:14" s="113" customFormat="1" x14ac:dyDescent="0.25">
      <c r="A67" s="89" t="s">
        <v>637</v>
      </c>
      <c r="B67" s="131" t="s">
        <v>248</v>
      </c>
      <c r="C67" s="131" t="s">
        <v>248</v>
      </c>
      <c r="D67" s="130" t="s">
        <v>248</v>
      </c>
      <c r="E67" s="130" t="s">
        <v>248</v>
      </c>
      <c r="F67" s="129" t="s">
        <v>248</v>
      </c>
      <c r="G67" s="130" t="s">
        <v>248</v>
      </c>
      <c r="H67" s="118">
        <v>0</v>
      </c>
      <c r="I67" s="131">
        <v>0</v>
      </c>
      <c r="J67" s="131">
        <v>0</v>
      </c>
    </row>
    <row r="68" spans="1:14" s="113" customFormat="1" x14ac:dyDescent="0.25">
      <c r="A68" s="89" t="s">
        <v>141</v>
      </c>
      <c r="B68" s="131" t="s">
        <v>248</v>
      </c>
      <c r="C68" s="131" t="s">
        <v>248</v>
      </c>
      <c r="D68" s="130" t="s">
        <v>248</v>
      </c>
      <c r="E68" s="130" t="s">
        <v>248</v>
      </c>
      <c r="F68" s="129" t="s">
        <v>248</v>
      </c>
      <c r="G68" s="130" t="s">
        <v>248</v>
      </c>
      <c r="H68" s="118">
        <v>0</v>
      </c>
      <c r="I68" s="131">
        <v>0</v>
      </c>
      <c r="J68" s="131">
        <v>0</v>
      </c>
    </row>
    <row r="69" spans="1:14" s="113" customFormat="1" x14ac:dyDescent="0.25">
      <c r="A69" s="75" t="s">
        <v>241</v>
      </c>
      <c r="B69" s="119"/>
      <c r="C69" s="75"/>
      <c r="D69" s="120"/>
      <c r="E69" s="120"/>
      <c r="F69" s="120"/>
      <c r="G69" s="121"/>
      <c r="H69" s="122"/>
      <c r="I69" s="122"/>
      <c r="J69" s="123"/>
      <c r="K69" s="142"/>
      <c r="L69" s="142"/>
      <c r="M69" s="124"/>
      <c r="N69" s="124"/>
    </row>
    <row r="70" spans="1:14" s="113" customFormat="1" x14ac:dyDescent="0.25">
      <c r="A70" s="75" t="s">
        <v>242</v>
      </c>
      <c r="B70" s="119"/>
      <c r="C70" s="75"/>
      <c r="D70" s="120"/>
      <c r="E70" s="120"/>
      <c r="F70" s="120"/>
      <c r="G70" s="121"/>
      <c r="H70" s="122"/>
      <c r="I70" s="122"/>
      <c r="J70" s="123"/>
      <c r="K70" s="142"/>
      <c r="L70" s="142"/>
      <c r="M70" s="124"/>
      <c r="N70" s="124"/>
    </row>
    <row r="71" spans="1:14" s="113" customFormat="1" x14ac:dyDescent="0.25">
      <c r="A71" s="75" t="s">
        <v>243</v>
      </c>
      <c r="B71" s="119"/>
      <c r="C71" s="75"/>
      <c r="D71" s="120"/>
      <c r="E71" s="120"/>
      <c r="F71" s="120"/>
      <c r="G71" s="121"/>
      <c r="H71" s="122"/>
      <c r="I71" s="122"/>
      <c r="J71" s="123"/>
      <c r="K71" s="142"/>
      <c r="L71" s="142"/>
      <c r="M71" s="124"/>
      <c r="N71" s="124"/>
    </row>
    <row r="72" spans="1:14" s="113" customFormat="1" x14ac:dyDescent="0.25">
      <c r="A72" s="75" t="s">
        <v>244</v>
      </c>
      <c r="B72" s="119"/>
      <c r="C72" s="75"/>
      <c r="D72" s="120"/>
      <c r="E72" s="120"/>
      <c r="F72" s="120"/>
      <c r="G72" s="121"/>
      <c r="H72" s="122"/>
      <c r="I72" s="122"/>
      <c r="J72" s="123"/>
      <c r="K72" s="142"/>
      <c r="L72" s="142"/>
      <c r="M72" s="124"/>
      <c r="N72" s="124"/>
    </row>
    <row r="73" spans="1:14" s="113" customFormat="1" x14ac:dyDescent="0.25">
      <c r="A73" s="75" t="s">
        <v>245</v>
      </c>
      <c r="B73" s="119"/>
      <c r="C73" s="75"/>
      <c r="D73" s="120"/>
      <c r="E73" s="120"/>
      <c r="F73" s="120"/>
      <c r="G73" s="121"/>
      <c r="H73" s="122"/>
      <c r="I73" s="122"/>
      <c r="J73" s="123"/>
      <c r="K73" s="142"/>
      <c r="L73" s="142"/>
      <c r="M73" s="124"/>
      <c r="N73" s="124"/>
    </row>
  </sheetData>
  <mergeCells count="2">
    <mergeCell ref="A5:J5"/>
    <mergeCell ref="A4:J4"/>
  </mergeCells>
  <phoneticPr fontId="3" type="noConversion"/>
  <conditionalFormatting sqref="B10:E68 I10:J68">
    <cfRule type="expression" dxfId="45" priority="355" stopIfTrue="1">
      <formula>OR(LEFT(#REF!,3)="TIR",LEFT(#REF!,2)="IR")</formula>
    </cfRule>
  </conditionalFormatting>
  <conditionalFormatting sqref="H10:I68 A10:A68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6"/>
    </row>
    <row r="5" spans="1:16" s="7" customFormat="1" x14ac:dyDescent="0.25">
      <c r="A5" s="217" t="s">
        <v>34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9"/>
    </row>
    <row r="6" spans="1:16" s="7" customFormat="1" ht="31.5" customHeight="1" x14ac:dyDescent="0.25">
      <c r="A6" s="83" t="s">
        <v>157</v>
      </c>
      <c r="B6" s="197" t="s">
        <v>69</v>
      </c>
      <c r="C6" s="197" t="s">
        <v>27</v>
      </c>
      <c r="D6" s="197" t="s">
        <v>70</v>
      </c>
      <c r="E6" s="197" t="s">
        <v>5</v>
      </c>
      <c r="F6" s="197" t="s">
        <v>13</v>
      </c>
      <c r="G6" s="197" t="s">
        <v>14</v>
      </c>
      <c r="H6" s="197" t="s">
        <v>6</v>
      </c>
      <c r="I6" s="198" t="s">
        <v>66</v>
      </c>
      <c r="J6" s="198" t="s">
        <v>71</v>
      </c>
      <c r="K6" s="198" t="s">
        <v>67</v>
      </c>
      <c r="L6" s="198" t="s">
        <v>68</v>
      </c>
      <c r="M6" s="198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3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4">
        <v>14</v>
      </c>
      <c r="P8" s="22">
        <v>15</v>
      </c>
    </row>
    <row r="9" spans="1:16" s="113" customFormat="1" ht="12.75" customHeight="1" thickBot="1" x14ac:dyDescent="0.3">
      <c r="A9" s="96" t="s">
        <v>57</v>
      </c>
      <c r="B9" s="64" t="s">
        <v>248</v>
      </c>
      <c r="C9" s="64" t="s">
        <v>248</v>
      </c>
      <c r="D9" s="97"/>
      <c r="E9" s="97" t="s">
        <v>248</v>
      </c>
      <c r="F9" s="97" t="s">
        <v>248</v>
      </c>
      <c r="G9" s="97" t="s">
        <v>248</v>
      </c>
      <c r="H9" s="97" t="s">
        <v>248</v>
      </c>
      <c r="I9" s="64" t="s">
        <v>248</v>
      </c>
      <c r="J9" s="64" t="s">
        <v>248</v>
      </c>
      <c r="K9" s="98" t="s">
        <v>248</v>
      </c>
      <c r="L9" s="97" t="s">
        <v>248</v>
      </c>
      <c r="M9" s="99">
        <v>1.2000000000000002E-6</v>
      </c>
      <c r="N9" s="64" t="s">
        <v>248</v>
      </c>
      <c r="O9" s="64">
        <v>0</v>
      </c>
      <c r="P9" s="78">
        <v>0</v>
      </c>
    </row>
    <row r="10" spans="1:16" s="113" customFormat="1" x14ac:dyDescent="0.25">
      <c r="A10" s="88" t="s">
        <v>137</v>
      </c>
      <c r="B10" s="115" t="s">
        <v>248</v>
      </c>
      <c r="C10" s="115" t="s">
        <v>248</v>
      </c>
      <c r="D10" s="116" t="s">
        <v>248</v>
      </c>
      <c r="E10" s="116" t="s">
        <v>248</v>
      </c>
      <c r="F10" s="116" t="s">
        <v>248</v>
      </c>
      <c r="G10" s="116" t="s">
        <v>248</v>
      </c>
      <c r="H10" s="116" t="s">
        <v>248</v>
      </c>
      <c r="I10" s="115" t="s">
        <v>248</v>
      </c>
      <c r="J10" s="115" t="s">
        <v>248</v>
      </c>
      <c r="K10" s="127" t="s">
        <v>248</v>
      </c>
      <c r="L10" s="116" t="s">
        <v>248</v>
      </c>
      <c r="M10" s="117">
        <v>0</v>
      </c>
      <c r="N10" s="115" t="s">
        <v>248</v>
      </c>
      <c r="O10" s="115">
        <v>0</v>
      </c>
      <c r="P10" s="115">
        <v>0</v>
      </c>
    </row>
    <row r="11" spans="1:16" s="113" customFormat="1" x14ac:dyDescent="0.25">
      <c r="A11" s="89" t="s">
        <v>652</v>
      </c>
      <c r="B11" s="131" t="s">
        <v>248</v>
      </c>
      <c r="C11" s="131" t="s">
        <v>248</v>
      </c>
      <c r="D11" s="130" t="s">
        <v>248</v>
      </c>
      <c r="E11" s="130" t="s">
        <v>248</v>
      </c>
      <c r="F11" s="130" t="s">
        <v>248</v>
      </c>
      <c r="G11" s="130" t="s">
        <v>248</v>
      </c>
      <c r="H11" s="130" t="s">
        <v>248</v>
      </c>
      <c r="I11" s="131" t="s">
        <v>248</v>
      </c>
      <c r="J11" s="131" t="s">
        <v>248</v>
      </c>
      <c r="K11" s="129" t="s">
        <v>248</v>
      </c>
      <c r="L11" s="116" t="s">
        <v>248</v>
      </c>
      <c r="M11" s="118">
        <v>0</v>
      </c>
      <c r="N11" s="131"/>
      <c r="O11" s="131">
        <v>0</v>
      </c>
      <c r="P11" s="131">
        <v>0</v>
      </c>
    </row>
    <row r="12" spans="1:16" s="113" customFormat="1" x14ac:dyDescent="0.25">
      <c r="A12" s="89" t="s">
        <v>653</v>
      </c>
      <c r="B12" s="131" t="s">
        <v>248</v>
      </c>
      <c r="C12" s="131" t="s">
        <v>248</v>
      </c>
      <c r="D12" s="130" t="s">
        <v>248</v>
      </c>
      <c r="E12" s="130" t="s">
        <v>248</v>
      </c>
      <c r="F12" s="130" t="s">
        <v>248</v>
      </c>
      <c r="G12" s="130" t="s">
        <v>248</v>
      </c>
      <c r="H12" s="130" t="s">
        <v>248</v>
      </c>
      <c r="I12" s="131" t="s">
        <v>248</v>
      </c>
      <c r="J12" s="131" t="s">
        <v>248</v>
      </c>
      <c r="K12" s="129" t="s">
        <v>248</v>
      </c>
      <c r="L12" s="116" t="s">
        <v>248</v>
      </c>
      <c r="M12" s="118">
        <v>0</v>
      </c>
      <c r="N12" s="131"/>
      <c r="O12" s="131">
        <v>0</v>
      </c>
      <c r="P12" s="131">
        <v>0</v>
      </c>
    </row>
    <row r="13" spans="1:16" s="113" customFormat="1" x14ac:dyDescent="0.25">
      <c r="A13" s="89" t="s">
        <v>654</v>
      </c>
      <c r="B13" s="131" t="s">
        <v>248</v>
      </c>
      <c r="C13" s="131" t="s">
        <v>248</v>
      </c>
      <c r="D13" s="130" t="s">
        <v>248</v>
      </c>
      <c r="E13" s="130" t="s">
        <v>248</v>
      </c>
      <c r="F13" s="130" t="s">
        <v>248</v>
      </c>
      <c r="G13" s="130" t="s">
        <v>248</v>
      </c>
      <c r="H13" s="130" t="s">
        <v>248</v>
      </c>
      <c r="I13" s="131" t="s">
        <v>248</v>
      </c>
      <c r="J13" s="131" t="s">
        <v>248</v>
      </c>
      <c r="K13" s="129" t="s">
        <v>248</v>
      </c>
      <c r="L13" s="116" t="s">
        <v>248</v>
      </c>
      <c r="M13" s="118">
        <v>0</v>
      </c>
      <c r="N13" s="131"/>
      <c r="O13" s="131">
        <v>0</v>
      </c>
      <c r="P13" s="131">
        <v>0</v>
      </c>
    </row>
    <row r="14" spans="1:16" s="113" customFormat="1" x14ac:dyDescent="0.25">
      <c r="A14" s="89" t="s">
        <v>655</v>
      </c>
      <c r="B14" s="131" t="s">
        <v>248</v>
      </c>
      <c r="C14" s="131" t="s">
        <v>248</v>
      </c>
      <c r="D14" s="130" t="s">
        <v>248</v>
      </c>
      <c r="E14" s="130" t="s">
        <v>248</v>
      </c>
      <c r="F14" s="130" t="s">
        <v>248</v>
      </c>
      <c r="G14" s="130" t="s">
        <v>248</v>
      </c>
      <c r="H14" s="130" t="s">
        <v>248</v>
      </c>
      <c r="I14" s="131" t="s">
        <v>248</v>
      </c>
      <c r="J14" s="131" t="s">
        <v>248</v>
      </c>
      <c r="K14" s="129" t="s">
        <v>248</v>
      </c>
      <c r="L14" s="116" t="s">
        <v>248</v>
      </c>
      <c r="M14" s="118">
        <v>0</v>
      </c>
      <c r="N14" s="131"/>
      <c r="O14" s="131">
        <v>0</v>
      </c>
      <c r="P14" s="131">
        <v>0</v>
      </c>
    </row>
    <row r="15" spans="1:16" s="113" customFormat="1" x14ac:dyDescent="0.25">
      <c r="A15" s="89" t="s">
        <v>656</v>
      </c>
      <c r="B15" s="131" t="s">
        <v>248</v>
      </c>
      <c r="C15" s="131" t="s">
        <v>248</v>
      </c>
      <c r="D15" s="130" t="s">
        <v>248</v>
      </c>
      <c r="E15" s="130" t="s">
        <v>248</v>
      </c>
      <c r="F15" s="130" t="s">
        <v>248</v>
      </c>
      <c r="G15" s="130" t="s">
        <v>248</v>
      </c>
      <c r="H15" s="130" t="s">
        <v>248</v>
      </c>
      <c r="I15" s="131" t="s">
        <v>248</v>
      </c>
      <c r="J15" s="131" t="s">
        <v>248</v>
      </c>
      <c r="K15" s="129" t="s">
        <v>248</v>
      </c>
      <c r="L15" s="116" t="s">
        <v>248</v>
      </c>
      <c r="M15" s="118">
        <v>0</v>
      </c>
      <c r="N15" s="131"/>
      <c r="O15" s="131">
        <v>0</v>
      </c>
      <c r="P15" s="131">
        <v>0</v>
      </c>
    </row>
    <row r="16" spans="1:16" s="113" customFormat="1" x14ac:dyDescent="0.25">
      <c r="A16" s="89" t="s">
        <v>657</v>
      </c>
      <c r="B16" s="131" t="s">
        <v>248</v>
      </c>
      <c r="C16" s="131" t="s">
        <v>248</v>
      </c>
      <c r="D16" s="130" t="s">
        <v>248</v>
      </c>
      <c r="E16" s="130" t="s">
        <v>248</v>
      </c>
      <c r="F16" s="130" t="s">
        <v>248</v>
      </c>
      <c r="G16" s="130" t="s">
        <v>248</v>
      </c>
      <c r="H16" s="130" t="s">
        <v>248</v>
      </c>
      <c r="I16" s="131" t="s">
        <v>248</v>
      </c>
      <c r="J16" s="131" t="s">
        <v>248</v>
      </c>
      <c r="K16" s="129" t="s">
        <v>248</v>
      </c>
      <c r="L16" s="116" t="s">
        <v>248</v>
      </c>
      <c r="M16" s="118">
        <v>0</v>
      </c>
      <c r="N16" s="131"/>
      <c r="O16" s="131">
        <v>0</v>
      </c>
      <c r="P16" s="131">
        <v>0</v>
      </c>
    </row>
    <row r="17" spans="1:16" s="113" customFormat="1" x14ac:dyDescent="0.25">
      <c r="A17" s="89" t="s">
        <v>658</v>
      </c>
      <c r="B17" s="131" t="s">
        <v>248</v>
      </c>
      <c r="C17" s="131" t="s">
        <v>248</v>
      </c>
      <c r="D17" s="130" t="s">
        <v>248</v>
      </c>
      <c r="E17" s="130" t="s">
        <v>248</v>
      </c>
      <c r="F17" s="130" t="s">
        <v>248</v>
      </c>
      <c r="G17" s="130" t="s">
        <v>248</v>
      </c>
      <c r="H17" s="130" t="s">
        <v>248</v>
      </c>
      <c r="I17" s="131" t="s">
        <v>248</v>
      </c>
      <c r="J17" s="131" t="s">
        <v>248</v>
      </c>
      <c r="K17" s="129" t="s">
        <v>248</v>
      </c>
      <c r="L17" s="116" t="s">
        <v>248</v>
      </c>
      <c r="M17" s="118">
        <v>0</v>
      </c>
      <c r="N17" s="131"/>
      <c r="O17" s="131">
        <v>0</v>
      </c>
      <c r="P17" s="131">
        <v>0</v>
      </c>
    </row>
    <row r="18" spans="1:16" s="113" customFormat="1" x14ac:dyDescent="0.25">
      <c r="A18" s="89" t="s">
        <v>414</v>
      </c>
      <c r="B18" s="131" t="s">
        <v>248</v>
      </c>
      <c r="C18" s="131" t="s">
        <v>248</v>
      </c>
      <c r="D18" s="130" t="s">
        <v>248</v>
      </c>
      <c r="E18" s="130" t="s">
        <v>248</v>
      </c>
      <c r="F18" s="130" t="s">
        <v>248</v>
      </c>
      <c r="G18" s="130" t="s">
        <v>248</v>
      </c>
      <c r="H18" s="130" t="s">
        <v>248</v>
      </c>
      <c r="I18" s="131" t="s">
        <v>248</v>
      </c>
      <c r="J18" s="131" t="s">
        <v>248</v>
      </c>
      <c r="K18" s="129" t="s">
        <v>248</v>
      </c>
      <c r="L18" s="116" t="s">
        <v>248</v>
      </c>
      <c r="M18" s="118">
        <v>0</v>
      </c>
      <c r="N18" s="131"/>
      <c r="O18" s="131">
        <v>0</v>
      </c>
      <c r="P18" s="131">
        <v>0</v>
      </c>
    </row>
    <row r="19" spans="1:16" s="113" customFormat="1" x14ac:dyDescent="0.25">
      <c r="A19" s="89" t="s">
        <v>652</v>
      </c>
      <c r="B19" s="131" t="s">
        <v>248</v>
      </c>
      <c r="C19" s="131" t="s">
        <v>248</v>
      </c>
      <c r="D19" s="130" t="s">
        <v>248</v>
      </c>
      <c r="E19" s="130" t="s">
        <v>248</v>
      </c>
      <c r="F19" s="130" t="s">
        <v>248</v>
      </c>
      <c r="G19" s="130" t="s">
        <v>248</v>
      </c>
      <c r="H19" s="130" t="s">
        <v>248</v>
      </c>
      <c r="I19" s="131" t="s">
        <v>248</v>
      </c>
      <c r="J19" s="131" t="s">
        <v>248</v>
      </c>
      <c r="K19" s="129" t="s">
        <v>248</v>
      </c>
      <c r="L19" s="116" t="s">
        <v>248</v>
      </c>
      <c r="M19" s="118">
        <v>0</v>
      </c>
      <c r="N19" s="131"/>
      <c r="O19" s="131">
        <v>0</v>
      </c>
      <c r="P19" s="131">
        <v>0</v>
      </c>
    </row>
    <row r="20" spans="1:16" s="113" customFormat="1" x14ac:dyDescent="0.25">
      <c r="A20" s="89" t="s">
        <v>653</v>
      </c>
      <c r="B20" s="131" t="s">
        <v>248</v>
      </c>
      <c r="C20" s="131" t="s">
        <v>248</v>
      </c>
      <c r="D20" s="130" t="s">
        <v>248</v>
      </c>
      <c r="E20" s="130" t="s">
        <v>248</v>
      </c>
      <c r="F20" s="130" t="s">
        <v>248</v>
      </c>
      <c r="G20" s="130" t="s">
        <v>248</v>
      </c>
      <c r="H20" s="130" t="s">
        <v>248</v>
      </c>
      <c r="I20" s="131" t="s">
        <v>248</v>
      </c>
      <c r="J20" s="131" t="s">
        <v>248</v>
      </c>
      <c r="K20" s="129" t="s">
        <v>248</v>
      </c>
      <c r="L20" s="116" t="s">
        <v>248</v>
      </c>
      <c r="M20" s="118">
        <v>0</v>
      </c>
      <c r="N20" s="131"/>
      <c r="O20" s="131">
        <v>0</v>
      </c>
      <c r="P20" s="131">
        <v>0</v>
      </c>
    </row>
    <row r="21" spans="1:16" s="113" customFormat="1" x14ac:dyDescent="0.25">
      <c r="A21" s="89" t="s">
        <v>654</v>
      </c>
      <c r="B21" s="131" t="s">
        <v>248</v>
      </c>
      <c r="C21" s="131" t="s">
        <v>248</v>
      </c>
      <c r="D21" s="130" t="s">
        <v>248</v>
      </c>
      <c r="E21" s="130" t="s">
        <v>248</v>
      </c>
      <c r="F21" s="130" t="s">
        <v>248</v>
      </c>
      <c r="G21" s="130" t="s">
        <v>248</v>
      </c>
      <c r="H21" s="130" t="s">
        <v>248</v>
      </c>
      <c r="I21" s="131" t="s">
        <v>248</v>
      </c>
      <c r="J21" s="131" t="s">
        <v>248</v>
      </c>
      <c r="K21" s="129" t="s">
        <v>248</v>
      </c>
      <c r="L21" s="116" t="s">
        <v>248</v>
      </c>
      <c r="M21" s="118">
        <v>0</v>
      </c>
      <c r="N21" s="131"/>
      <c r="O21" s="131">
        <v>0</v>
      </c>
      <c r="P21" s="131">
        <v>0</v>
      </c>
    </row>
    <row r="22" spans="1:16" s="113" customFormat="1" x14ac:dyDescent="0.25">
      <c r="A22" s="89" t="s">
        <v>655</v>
      </c>
      <c r="B22" s="131" t="s">
        <v>248</v>
      </c>
      <c r="C22" s="131" t="s">
        <v>248</v>
      </c>
      <c r="D22" s="130" t="s">
        <v>248</v>
      </c>
      <c r="E22" s="130" t="s">
        <v>248</v>
      </c>
      <c r="F22" s="130" t="s">
        <v>248</v>
      </c>
      <c r="G22" s="130" t="s">
        <v>248</v>
      </c>
      <c r="H22" s="130" t="s">
        <v>248</v>
      </c>
      <c r="I22" s="131" t="s">
        <v>248</v>
      </c>
      <c r="J22" s="131" t="s">
        <v>248</v>
      </c>
      <c r="K22" s="129" t="s">
        <v>248</v>
      </c>
      <c r="L22" s="116" t="s">
        <v>248</v>
      </c>
      <c r="M22" s="118">
        <v>0</v>
      </c>
      <c r="N22" s="131"/>
      <c r="O22" s="131">
        <v>0</v>
      </c>
      <c r="P22" s="131">
        <v>0</v>
      </c>
    </row>
    <row r="23" spans="1:16" s="113" customFormat="1" x14ac:dyDescent="0.25">
      <c r="A23" s="89" t="s">
        <v>656</v>
      </c>
      <c r="B23" s="131" t="s">
        <v>248</v>
      </c>
      <c r="C23" s="131" t="s">
        <v>248</v>
      </c>
      <c r="D23" s="130" t="s">
        <v>248</v>
      </c>
      <c r="E23" s="130" t="s">
        <v>248</v>
      </c>
      <c r="F23" s="130" t="s">
        <v>248</v>
      </c>
      <c r="G23" s="130" t="s">
        <v>248</v>
      </c>
      <c r="H23" s="130" t="s">
        <v>248</v>
      </c>
      <c r="I23" s="131" t="s">
        <v>248</v>
      </c>
      <c r="J23" s="131" t="s">
        <v>248</v>
      </c>
      <c r="K23" s="129" t="s">
        <v>248</v>
      </c>
      <c r="L23" s="116" t="s">
        <v>248</v>
      </c>
      <c r="M23" s="118">
        <v>0</v>
      </c>
      <c r="N23" s="131"/>
      <c r="O23" s="131">
        <v>0</v>
      </c>
      <c r="P23" s="131">
        <v>0</v>
      </c>
    </row>
    <row r="24" spans="1:16" s="113" customFormat="1" x14ac:dyDescent="0.25">
      <c r="A24" s="89" t="s">
        <v>657</v>
      </c>
      <c r="B24" s="131" t="s">
        <v>248</v>
      </c>
      <c r="C24" s="131" t="s">
        <v>248</v>
      </c>
      <c r="D24" s="130" t="s">
        <v>248</v>
      </c>
      <c r="E24" s="130" t="s">
        <v>248</v>
      </c>
      <c r="F24" s="130" t="s">
        <v>248</v>
      </c>
      <c r="G24" s="130" t="s">
        <v>248</v>
      </c>
      <c r="H24" s="130" t="s">
        <v>248</v>
      </c>
      <c r="I24" s="131" t="s">
        <v>248</v>
      </c>
      <c r="J24" s="131" t="s">
        <v>248</v>
      </c>
      <c r="K24" s="129" t="s">
        <v>248</v>
      </c>
      <c r="L24" s="116" t="s">
        <v>248</v>
      </c>
      <c r="M24" s="118">
        <v>0</v>
      </c>
      <c r="N24" s="131"/>
      <c r="O24" s="131">
        <v>0</v>
      </c>
      <c r="P24" s="131">
        <v>0</v>
      </c>
    </row>
    <row r="25" spans="1:16" s="113" customFormat="1" x14ac:dyDescent="0.25">
      <c r="A25" s="89" t="s">
        <v>658</v>
      </c>
      <c r="B25" s="131" t="s">
        <v>248</v>
      </c>
      <c r="C25" s="131" t="s">
        <v>248</v>
      </c>
      <c r="D25" s="130" t="s">
        <v>248</v>
      </c>
      <c r="E25" s="130" t="s">
        <v>248</v>
      </c>
      <c r="F25" s="130" t="s">
        <v>248</v>
      </c>
      <c r="G25" s="130" t="s">
        <v>248</v>
      </c>
      <c r="H25" s="130" t="s">
        <v>248</v>
      </c>
      <c r="I25" s="131" t="s">
        <v>248</v>
      </c>
      <c r="J25" s="131" t="s">
        <v>248</v>
      </c>
      <c r="K25" s="129" t="s">
        <v>248</v>
      </c>
      <c r="L25" s="116" t="s">
        <v>248</v>
      </c>
      <c r="M25" s="118">
        <v>0</v>
      </c>
      <c r="N25" s="131"/>
      <c r="O25" s="131">
        <v>0</v>
      </c>
      <c r="P25" s="131">
        <v>0</v>
      </c>
    </row>
    <row r="26" spans="1:16" s="113" customFormat="1" x14ac:dyDescent="0.25">
      <c r="A26" s="75" t="s">
        <v>241</v>
      </c>
      <c r="B26" s="119"/>
      <c r="C26" s="75"/>
      <c r="D26" s="120"/>
      <c r="E26" s="120"/>
      <c r="F26" s="120"/>
      <c r="G26" s="121"/>
      <c r="H26" s="122"/>
      <c r="I26" s="123"/>
      <c r="J26" s="123"/>
      <c r="K26" s="123"/>
      <c r="L26" s="122"/>
      <c r="M26" s="122"/>
      <c r="N26" s="132"/>
      <c r="O26" s="132"/>
      <c r="P26" s="132"/>
    </row>
    <row r="27" spans="1:16" s="113" customFormat="1" x14ac:dyDescent="0.25">
      <c r="A27" s="75" t="s">
        <v>242</v>
      </c>
      <c r="B27" s="119"/>
      <c r="C27" s="75"/>
      <c r="D27" s="120"/>
      <c r="E27" s="120"/>
      <c r="F27" s="120"/>
      <c r="G27" s="121"/>
      <c r="H27" s="122"/>
      <c r="I27" s="123"/>
      <c r="J27" s="123"/>
      <c r="K27" s="123"/>
      <c r="L27" s="122"/>
      <c r="M27" s="122"/>
      <c r="N27" s="132"/>
      <c r="O27" s="132"/>
      <c r="P27" s="132"/>
    </row>
    <row r="28" spans="1:16" s="113" customFormat="1" x14ac:dyDescent="0.25">
      <c r="A28" s="75" t="s">
        <v>243</v>
      </c>
      <c r="B28" s="119"/>
      <c r="C28" s="75"/>
      <c r="D28" s="120"/>
      <c r="E28" s="120"/>
      <c r="F28" s="120"/>
      <c r="G28" s="121"/>
      <c r="H28" s="122"/>
      <c r="I28" s="123"/>
      <c r="J28" s="123"/>
      <c r="K28" s="123"/>
      <c r="L28" s="122"/>
      <c r="M28" s="122"/>
      <c r="N28" s="132"/>
      <c r="O28" s="132"/>
      <c r="P28" s="132"/>
    </row>
    <row r="29" spans="1:16" s="113" customFormat="1" x14ac:dyDescent="0.25">
      <c r="A29" s="75" t="s">
        <v>244</v>
      </c>
      <c r="B29" s="119"/>
      <c r="C29" s="75"/>
      <c r="D29" s="120"/>
      <c r="E29" s="120"/>
      <c r="F29" s="120"/>
      <c r="G29" s="121"/>
      <c r="H29" s="122"/>
      <c r="I29" s="123"/>
      <c r="J29" s="123"/>
      <c r="K29" s="123"/>
      <c r="L29" s="122"/>
      <c r="M29" s="122"/>
      <c r="N29" s="132"/>
      <c r="O29" s="132"/>
      <c r="P29" s="132"/>
    </row>
    <row r="30" spans="1:16" s="113" customFormat="1" x14ac:dyDescent="0.25">
      <c r="A30" s="75" t="s">
        <v>245</v>
      </c>
      <c r="B30" s="119"/>
      <c r="C30" s="75"/>
      <c r="D30" s="120"/>
      <c r="E30" s="120"/>
      <c r="F30" s="120"/>
      <c r="G30" s="121"/>
      <c r="H30" s="122"/>
      <c r="I30" s="123"/>
      <c r="J30" s="123"/>
      <c r="K30" s="123"/>
      <c r="L30" s="122"/>
      <c r="M30" s="122"/>
      <c r="N30" s="132"/>
      <c r="O30" s="132"/>
      <c r="P30" s="132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5"/>
  <sheetViews>
    <sheetView rightToLeft="1" zoomScale="80" zoomScaleNormal="80" workbookViewId="0">
      <selection activeCell="W24" sqref="W24"/>
    </sheetView>
  </sheetViews>
  <sheetFormatPr defaultColWidth="9.109375" defaultRowHeight="13.2" x14ac:dyDescent="0.25"/>
  <cols>
    <col min="1" max="1" width="38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7" customWidth="1"/>
    <col min="7" max="7" width="11.109375" style="57" customWidth="1"/>
    <col min="8" max="8" width="7.88671875" style="57" customWidth="1"/>
    <col min="9" max="9" width="10.88671875" style="57" customWidth="1"/>
    <col min="10" max="10" width="11.33203125" style="57" customWidth="1"/>
    <col min="11" max="11" width="18.33203125" style="36" customWidth="1"/>
    <col min="12" max="12" width="14.109375" style="59" customWidth="1"/>
    <col min="13" max="13" width="13" style="61" bestFit="1" customWidth="1"/>
    <col min="14" max="14" width="7.109375" style="61" bestFit="1" customWidth="1"/>
    <col min="15" max="15" width="10.44140625" style="61" customWidth="1"/>
    <col min="16" max="16" width="25.44140625" style="61" customWidth="1"/>
    <col min="17" max="17" width="20.6640625" style="59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2"/>
      <c r="F1" s="57"/>
      <c r="G1" s="57"/>
      <c r="H1" s="57"/>
      <c r="I1" s="57"/>
      <c r="J1" s="57"/>
      <c r="K1" s="36"/>
      <c r="L1" s="59"/>
      <c r="M1" s="60"/>
      <c r="N1" s="60"/>
      <c r="O1" s="60"/>
      <c r="P1" s="60"/>
      <c r="Q1" s="59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2"/>
      <c r="F2" s="57"/>
      <c r="G2" s="57"/>
      <c r="H2" s="57"/>
      <c r="I2" s="57"/>
      <c r="J2" s="57"/>
      <c r="K2" s="36"/>
      <c r="L2" s="59"/>
      <c r="M2" s="60"/>
      <c r="N2" s="60"/>
      <c r="O2" s="60"/>
      <c r="P2" s="60"/>
      <c r="Q2" s="59"/>
      <c r="R2" s="12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42"/>
      <c r="F3" s="57"/>
      <c r="G3" s="57"/>
      <c r="H3" s="57"/>
      <c r="I3" s="57"/>
      <c r="J3" s="57"/>
      <c r="K3" s="36"/>
      <c r="L3" s="59"/>
      <c r="M3" s="60"/>
      <c r="N3" s="60"/>
      <c r="O3" s="60"/>
      <c r="P3" s="60"/>
      <c r="Q3" s="59"/>
      <c r="R3" s="12"/>
      <c r="S3" s="14"/>
    </row>
    <row r="4" spans="1:20" s="7" customFormat="1" x14ac:dyDescent="0.25">
      <c r="A4" s="214" t="s">
        <v>35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6"/>
      <c r="R4" s="12"/>
      <c r="S4" s="12"/>
      <c r="T4" s="12"/>
    </row>
    <row r="5" spans="1:20" s="7" customFormat="1" ht="33.75" customHeight="1" x14ac:dyDescent="0.25">
      <c r="A5" s="83" t="s">
        <v>157</v>
      </c>
      <c r="B5" s="197" t="s">
        <v>80</v>
      </c>
      <c r="C5" s="197" t="s">
        <v>69</v>
      </c>
      <c r="D5" s="197" t="s">
        <v>74</v>
      </c>
      <c r="E5" s="197" t="s">
        <v>70</v>
      </c>
      <c r="F5" s="197" t="s">
        <v>13</v>
      </c>
      <c r="G5" s="197" t="s">
        <v>5</v>
      </c>
      <c r="H5" s="197" t="s">
        <v>14</v>
      </c>
      <c r="I5" s="197" t="s">
        <v>160</v>
      </c>
      <c r="J5" s="197" t="s">
        <v>6</v>
      </c>
      <c r="K5" s="198" t="s">
        <v>36</v>
      </c>
      <c r="L5" s="198" t="s">
        <v>71</v>
      </c>
      <c r="M5" s="198" t="s">
        <v>67</v>
      </c>
      <c r="N5" s="198" t="s">
        <v>68</v>
      </c>
      <c r="O5" s="198" t="s">
        <v>29</v>
      </c>
      <c r="P5" s="86" t="s">
        <v>75</v>
      </c>
      <c r="Q5" s="87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4">
        <v>15</v>
      </c>
      <c r="Q7" s="35">
        <v>16</v>
      </c>
    </row>
    <row r="8" spans="1:20" s="113" customFormat="1" ht="12.75" customHeight="1" thickBot="1" x14ac:dyDescent="0.3">
      <c r="A8" s="96" t="s">
        <v>121</v>
      </c>
      <c r="B8" s="64" t="s">
        <v>248</v>
      </c>
      <c r="C8" s="64" t="s">
        <v>248</v>
      </c>
      <c r="D8" s="64"/>
      <c r="E8" s="97" t="s">
        <v>248</v>
      </c>
      <c r="F8" s="97"/>
      <c r="G8" s="97" t="s">
        <v>248</v>
      </c>
      <c r="H8" s="98" t="s">
        <v>248</v>
      </c>
      <c r="I8" s="98"/>
      <c r="J8" s="97" t="s">
        <v>248</v>
      </c>
      <c r="K8" s="64" t="s">
        <v>248</v>
      </c>
      <c r="L8" s="64" t="s">
        <v>248</v>
      </c>
      <c r="M8" s="106" t="s">
        <v>248</v>
      </c>
      <c r="N8" s="97" t="s">
        <v>248</v>
      </c>
      <c r="O8" s="99">
        <v>2433.9407213000004</v>
      </c>
      <c r="P8" s="64">
        <v>1</v>
      </c>
      <c r="Q8" s="78">
        <v>2.4161370848279684E-2</v>
      </c>
    </row>
    <row r="9" spans="1:20" s="113" customFormat="1" x14ac:dyDescent="0.25">
      <c r="A9" s="88" t="s">
        <v>137</v>
      </c>
      <c r="B9" s="125" t="s">
        <v>248</v>
      </c>
      <c r="C9" s="125" t="s">
        <v>248</v>
      </c>
      <c r="D9" s="125" t="s">
        <v>248</v>
      </c>
      <c r="E9" s="125" t="s">
        <v>248</v>
      </c>
      <c r="F9" s="125" t="s">
        <v>248</v>
      </c>
      <c r="G9" s="125" t="s">
        <v>248</v>
      </c>
      <c r="H9" s="126" t="s">
        <v>248</v>
      </c>
      <c r="I9" s="125" t="s">
        <v>248</v>
      </c>
      <c r="J9" s="126" t="s">
        <v>248</v>
      </c>
      <c r="K9" s="125" t="s">
        <v>248</v>
      </c>
      <c r="L9" s="125" t="s">
        <v>248</v>
      </c>
      <c r="M9" s="153" t="s">
        <v>248</v>
      </c>
      <c r="N9" s="116" t="s">
        <v>248</v>
      </c>
      <c r="O9" s="117">
        <v>2433.9407209000001</v>
      </c>
      <c r="P9" s="115">
        <v>0.99999999983565735</v>
      </c>
      <c r="Q9" s="115">
        <v>2.416137084430894E-2</v>
      </c>
    </row>
    <row r="10" spans="1:20" s="113" customFormat="1" x14ac:dyDescent="0.25">
      <c r="A10" s="89" t="s">
        <v>774</v>
      </c>
      <c r="B10" s="125" t="s">
        <v>248</v>
      </c>
      <c r="C10" s="125" t="s">
        <v>248</v>
      </c>
      <c r="D10" s="125" t="s">
        <v>248</v>
      </c>
      <c r="E10" s="125" t="s">
        <v>248</v>
      </c>
      <c r="F10" s="125" t="s">
        <v>248</v>
      </c>
      <c r="G10" s="125" t="s">
        <v>248</v>
      </c>
      <c r="H10" s="126" t="s">
        <v>248</v>
      </c>
      <c r="I10" s="125" t="s">
        <v>248</v>
      </c>
      <c r="J10" s="126" t="s">
        <v>248</v>
      </c>
      <c r="K10" s="125" t="s">
        <v>248</v>
      </c>
      <c r="L10" s="125" t="s">
        <v>248</v>
      </c>
      <c r="M10" s="154" t="s">
        <v>248</v>
      </c>
      <c r="N10" s="130" t="s">
        <v>248</v>
      </c>
      <c r="O10" s="118">
        <v>2433.9407200999999</v>
      </c>
      <c r="P10" s="131">
        <v>0.99999999950697227</v>
      </c>
      <c r="Q10" s="131">
        <v>2.4161370836367456E-2</v>
      </c>
    </row>
    <row r="11" spans="1:20" s="113" customFormat="1" x14ac:dyDescent="0.25">
      <c r="A11" s="169" t="s">
        <v>828</v>
      </c>
      <c r="B11" s="125" t="s">
        <v>835</v>
      </c>
      <c r="C11" s="168">
        <v>42628</v>
      </c>
      <c r="D11" s="168"/>
      <c r="E11" s="111" t="s">
        <v>422</v>
      </c>
      <c r="F11" s="125"/>
      <c r="G11" s="125" t="s">
        <v>422</v>
      </c>
      <c r="H11" s="112">
        <v>0.7</v>
      </c>
      <c r="I11" s="111" t="s">
        <v>218</v>
      </c>
      <c r="J11" s="112" t="s">
        <v>254</v>
      </c>
      <c r="K11" s="111">
        <v>5.7500000000000002E-2</v>
      </c>
      <c r="L11" s="111">
        <v>5.7500000000000002E-2</v>
      </c>
      <c r="M11" s="154"/>
      <c r="N11" s="130"/>
      <c r="O11" s="81">
        <v>177.76076999999998</v>
      </c>
      <c r="P11" s="24">
        <f>O11/$O$8</f>
        <v>7.3034141071872768E-2</v>
      </c>
      <c r="Q11" s="24">
        <v>1.7646049670230926E-3</v>
      </c>
    </row>
    <row r="12" spans="1:20" s="113" customFormat="1" x14ac:dyDescent="0.25">
      <c r="A12" s="169" t="s">
        <v>829</v>
      </c>
      <c r="B12" s="125" t="s">
        <v>835</v>
      </c>
      <c r="C12" s="168">
        <v>43829</v>
      </c>
      <c r="D12" s="168"/>
      <c r="E12" s="111" t="s">
        <v>422</v>
      </c>
      <c r="F12" s="125"/>
      <c r="G12" s="125" t="s">
        <v>422</v>
      </c>
      <c r="H12" s="112">
        <v>4.2</v>
      </c>
      <c r="I12" s="111" t="s">
        <v>218</v>
      </c>
      <c r="J12" s="112" t="s">
        <v>254</v>
      </c>
      <c r="K12" s="111">
        <v>5.7500000000000002E-2</v>
      </c>
      <c r="L12" s="111">
        <v>5.7500000000000002E-2</v>
      </c>
      <c r="M12" s="154"/>
      <c r="N12" s="130"/>
      <c r="O12" s="81">
        <v>161.63272000000001</v>
      </c>
      <c r="P12" s="24">
        <f t="shared" ref="P12:P15" si="0">O12/$O$8</f>
        <v>6.640782932201808E-2</v>
      </c>
      <c r="Q12" s="24">
        <v>1.6045041914785406E-3</v>
      </c>
    </row>
    <row r="13" spans="1:20" s="113" customFormat="1" x14ac:dyDescent="0.25">
      <c r="A13" s="169" t="s">
        <v>830</v>
      </c>
      <c r="B13" s="125" t="s">
        <v>835</v>
      </c>
      <c r="C13" s="168">
        <v>44443</v>
      </c>
      <c r="D13" s="168"/>
      <c r="E13" s="111" t="s">
        <v>422</v>
      </c>
      <c r="F13" s="125"/>
      <c r="G13" s="125" t="s">
        <v>422</v>
      </c>
      <c r="H13" s="112">
        <v>2.2999999999999998</v>
      </c>
      <c r="I13" s="111" t="s">
        <v>218</v>
      </c>
      <c r="J13" s="112" t="s">
        <v>254</v>
      </c>
      <c r="K13" s="111">
        <v>5.7500000000000002E-2</v>
      </c>
      <c r="L13" s="111">
        <v>5.7500000000000002E-2</v>
      </c>
      <c r="M13" s="154"/>
      <c r="N13" s="130"/>
      <c r="O13" s="81">
        <v>216.70124999999999</v>
      </c>
      <c r="P13" s="24">
        <f t="shared" si="0"/>
        <v>8.9033084538006721E-2</v>
      </c>
      <c r="Q13" s="24">
        <v>2.1511613732890164E-3</v>
      </c>
    </row>
    <row r="14" spans="1:20" s="113" customFormat="1" x14ac:dyDescent="0.25">
      <c r="A14" s="169" t="s">
        <v>831</v>
      </c>
      <c r="B14" s="125" t="s">
        <v>835</v>
      </c>
      <c r="C14" s="168">
        <v>53385</v>
      </c>
      <c r="D14" s="168"/>
      <c r="E14" s="111" t="s">
        <v>422</v>
      </c>
      <c r="F14" s="125"/>
      <c r="G14" s="125" t="s">
        <v>422</v>
      </c>
      <c r="H14" s="112">
        <v>4.7</v>
      </c>
      <c r="I14" s="111" t="s">
        <v>218</v>
      </c>
      <c r="J14" s="112" t="s">
        <v>254</v>
      </c>
      <c r="K14" s="111">
        <v>5.7500000000000002E-2</v>
      </c>
      <c r="L14" s="111">
        <v>5.7500000000000002E-2</v>
      </c>
      <c r="M14" s="154"/>
      <c r="N14" s="130"/>
      <c r="O14" s="81">
        <v>681.46176000000003</v>
      </c>
      <c r="P14" s="24">
        <f t="shared" si="0"/>
        <v>0.27998289113467895</v>
      </c>
      <c r="Q14" s="24">
        <v>6.7647704638784971E-3</v>
      </c>
    </row>
    <row r="15" spans="1:20" s="113" customFormat="1" x14ac:dyDescent="0.25">
      <c r="A15" s="169" t="s">
        <v>832</v>
      </c>
      <c r="B15" s="125" t="s">
        <v>835</v>
      </c>
      <c r="C15" s="168">
        <v>56942</v>
      </c>
      <c r="D15" s="168"/>
      <c r="E15" s="111" t="s">
        <v>422</v>
      </c>
      <c r="F15" s="125"/>
      <c r="G15" s="125" t="s">
        <v>422</v>
      </c>
      <c r="H15" s="112">
        <v>4.9000000000000004</v>
      </c>
      <c r="I15" s="111" t="s">
        <v>218</v>
      </c>
      <c r="J15" s="112" t="s">
        <v>254</v>
      </c>
      <c r="K15" s="111">
        <v>5.7500000000000002E-2</v>
      </c>
      <c r="L15" s="111">
        <v>5.7500000000000002E-2</v>
      </c>
      <c r="M15" s="154"/>
      <c r="N15" s="130"/>
      <c r="O15" s="81">
        <v>295.36921999999998</v>
      </c>
      <c r="P15" s="24">
        <f t="shared" si="0"/>
        <v>0.12135431952600691</v>
      </c>
      <c r="Q15" s="24">
        <v>2.9320867181084815E-3</v>
      </c>
    </row>
    <row r="16" spans="1:20" x14ac:dyDescent="0.25">
      <c r="A16" s="16" t="s">
        <v>833</v>
      </c>
      <c r="B16" s="111" t="s">
        <v>835</v>
      </c>
      <c r="C16" s="111" t="s">
        <v>775</v>
      </c>
      <c r="D16" s="111"/>
      <c r="E16" s="111" t="s">
        <v>422</v>
      </c>
      <c r="F16" s="111" t="s">
        <v>248</v>
      </c>
      <c r="G16" s="111" t="s">
        <v>422</v>
      </c>
      <c r="H16" s="112">
        <v>2.75</v>
      </c>
      <c r="I16" s="111" t="s">
        <v>218</v>
      </c>
      <c r="J16" s="112" t="s">
        <v>254</v>
      </c>
      <c r="K16" s="111">
        <v>5.79E-2</v>
      </c>
      <c r="L16" s="111">
        <v>5.7900000000000007E-2</v>
      </c>
      <c r="M16" s="107">
        <v>2211956.1800000002</v>
      </c>
      <c r="N16" s="58">
        <v>110.0356</v>
      </c>
      <c r="O16" s="81">
        <v>901.01500009999972</v>
      </c>
      <c r="P16" s="24">
        <v>0.37018773391438875</v>
      </c>
      <c r="Q16" s="24">
        <v>8.9442431225898282E-3</v>
      </c>
      <c r="R16" s="14"/>
      <c r="S16" s="113"/>
    </row>
    <row r="17" spans="1:18" s="113" customFormat="1" x14ac:dyDescent="0.25">
      <c r="A17" s="89" t="s">
        <v>776</v>
      </c>
      <c r="B17" s="125" t="s">
        <v>248</v>
      </c>
      <c r="C17" s="125" t="s">
        <v>248</v>
      </c>
      <c r="D17" s="125"/>
      <c r="E17" s="125" t="s">
        <v>248</v>
      </c>
      <c r="F17" s="125" t="s">
        <v>248</v>
      </c>
      <c r="G17" s="125" t="s">
        <v>248</v>
      </c>
      <c r="H17" s="126" t="s">
        <v>248</v>
      </c>
      <c r="I17" s="125" t="s">
        <v>248</v>
      </c>
      <c r="J17" s="126" t="s">
        <v>248</v>
      </c>
      <c r="K17" s="125" t="s">
        <v>248</v>
      </c>
      <c r="L17" s="125" t="s">
        <v>248</v>
      </c>
      <c r="M17" s="154" t="s">
        <v>248</v>
      </c>
      <c r="N17" s="130" t="s">
        <v>248</v>
      </c>
      <c r="O17" s="118">
        <v>0</v>
      </c>
      <c r="P17" s="131">
        <v>0</v>
      </c>
      <c r="Q17" s="131">
        <v>0</v>
      </c>
    </row>
    <row r="18" spans="1:18" s="113" customFormat="1" x14ac:dyDescent="0.25">
      <c r="A18" s="89" t="s">
        <v>777</v>
      </c>
      <c r="B18" s="125" t="s">
        <v>248</v>
      </c>
      <c r="C18" s="125" t="s">
        <v>248</v>
      </c>
      <c r="D18" s="125"/>
      <c r="E18" s="125" t="s">
        <v>248</v>
      </c>
      <c r="F18" s="125" t="s">
        <v>248</v>
      </c>
      <c r="G18" s="125" t="s">
        <v>248</v>
      </c>
      <c r="H18" s="126" t="s">
        <v>248</v>
      </c>
      <c r="I18" s="125" t="s">
        <v>248</v>
      </c>
      <c r="J18" s="126" t="s">
        <v>248</v>
      </c>
      <c r="K18" s="125" t="s">
        <v>248</v>
      </c>
      <c r="L18" s="125" t="s">
        <v>248</v>
      </c>
      <c r="M18" s="154" t="s">
        <v>248</v>
      </c>
      <c r="N18" s="130" t="s">
        <v>248</v>
      </c>
      <c r="O18" s="118">
        <v>0</v>
      </c>
      <c r="P18" s="131">
        <v>0</v>
      </c>
      <c r="Q18" s="131">
        <v>0</v>
      </c>
    </row>
    <row r="19" spans="1:18" s="113" customFormat="1" x14ac:dyDescent="0.25">
      <c r="A19" s="89" t="s">
        <v>778</v>
      </c>
      <c r="B19" s="125" t="s">
        <v>248</v>
      </c>
      <c r="C19" s="125" t="s">
        <v>248</v>
      </c>
      <c r="D19" s="125"/>
      <c r="E19" s="125" t="s">
        <v>248</v>
      </c>
      <c r="F19" s="125" t="s">
        <v>248</v>
      </c>
      <c r="G19" s="125" t="s">
        <v>248</v>
      </c>
      <c r="H19" s="126" t="s">
        <v>248</v>
      </c>
      <c r="I19" s="125" t="s">
        <v>248</v>
      </c>
      <c r="J19" s="126" t="s">
        <v>248</v>
      </c>
      <c r="K19" s="125" t="s">
        <v>248</v>
      </c>
      <c r="L19" s="125" t="s">
        <v>248</v>
      </c>
      <c r="M19" s="154" t="s">
        <v>248</v>
      </c>
      <c r="N19" s="130" t="s">
        <v>248</v>
      </c>
      <c r="O19" s="118">
        <v>0</v>
      </c>
      <c r="P19" s="131">
        <v>0</v>
      </c>
      <c r="Q19" s="131">
        <v>0</v>
      </c>
    </row>
    <row r="20" spans="1:18" s="113" customFormat="1" x14ac:dyDescent="0.25">
      <c r="A20" s="89" t="s">
        <v>779</v>
      </c>
      <c r="B20" s="125" t="s">
        <v>248</v>
      </c>
      <c r="C20" s="125" t="s">
        <v>248</v>
      </c>
      <c r="D20" s="125"/>
      <c r="E20" s="125" t="s">
        <v>248</v>
      </c>
      <c r="F20" s="125" t="s">
        <v>248</v>
      </c>
      <c r="G20" s="125" t="s">
        <v>248</v>
      </c>
      <c r="H20" s="126" t="s">
        <v>248</v>
      </c>
      <c r="I20" s="125" t="s">
        <v>248</v>
      </c>
      <c r="J20" s="126" t="s">
        <v>248</v>
      </c>
      <c r="K20" s="125" t="s">
        <v>248</v>
      </c>
      <c r="L20" s="125" t="s">
        <v>248</v>
      </c>
      <c r="M20" s="154">
        <v>0</v>
      </c>
      <c r="N20" s="130" t="s">
        <v>248</v>
      </c>
      <c r="O20" s="118">
        <v>0</v>
      </c>
      <c r="P20" s="131">
        <v>0</v>
      </c>
      <c r="Q20" s="131">
        <v>0</v>
      </c>
    </row>
    <row r="21" spans="1:18" s="113" customFormat="1" x14ac:dyDescent="0.25">
      <c r="A21" s="89" t="s">
        <v>780</v>
      </c>
      <c r="B21" s="125" t="s">
        <v>248</v>
      </c>
      <c r="C21" s="125" t="s">
        <v>248</v>
      </c>
      <c r="D21" s="125"/>
      <c r="E21" s="125" t="s">
        <v>248</v>
      </c>
      <c r="F21" s="125" t="s">
        <v>248</v>
      </c>
      <c r="G21" s="125" t="s">
        <v>248</v>
      </c>
      <c r="H21" s="126" t="s">
        <v>248</v>
      </c>
      <c r="I21" s="125" t="s">
        <v>248</v>
      </c>
      <c r="J21" s="126" t="s">
        <v>248</v>
      </c>
      <c r="K21" s="125" t="s">
        <v>248</v>
      </c>
      <c r="L21" s="125" t="s">
        <v>248</v>
      </c>
      <c r="M21" s="154" t="s">
        <v>248</v>
      </c>
      <c r="N21" s="130" t="s">
        <v>248</v>
      </c>
      <c r="O21" s="118">
        <v>0</v>
      </c>
      <c r="P21" s="131">
        <v>0</v>
      </c>
      <c r="Q21" s="131">
        <v>0</v>
      </c>
    </row>
    <row r="22" spans="1:18" s="113" customFormat="1" x14ac:dyDescent="0.25">
      <c r="A22" s="89" t="s">
        <v>781</v>
      </c>
      <c r="B22" s="125" t="s">
        <v>248</v>
      </c>
      <c r="C22" s="125" t="s">
        <v>248</v>
      </c>
      <c r="D22" s="125"/>
      <c r="E22" s="125" t="s">
        <v>248</v>
      </c>
      <c r="F22" s="125" t="s">
        <v>248</v>
      </c>
      <c r="G22" s="125" t="s">
        <v>248</v>
      </c>
      <c r="H22" s="126" t="s">
        <v>248</v>
      </c>
      <c r="I22" s="125" t="s">
        <v>248</v>
      </c>
      <c r="J22" s="126" t="s">
        <v>248</v>
      </c>
      <c r="K22" s="125" t="s">
        <v>248</v>
      </c>
      <c r="L22" s="125" t="s">
        <v>248</v>
      </c>
      <c r="M22" s="154" t="s">
        <v>248</v>
      </c>
      <c r="N22" s="130" t="s">
        <v>248</v>
      </c>
      <c r="O22" s="118">
        <v>0</v>
      </c>
      <c r="P22" s="131">
        <v>0</v>
      </c>
      <c r="Q22" s="131">
        <v>0</v>
      </c>
    </row>
    <row r="23" spans="1:18" s="113" customFormat="1" x14ac:dyDescent="0.25">
      <c r="A23" s="89" t="s">
        <v>782</v>
      </c>
      <c r="B23" s="125" t="s">
        <v>248</v>
      </c>
      <c r="C23" s="125" t="s">
        <v>248</v>
      </c>
      <c r="D23" s="125"/>
      <c r="E23" s="125" t="s">
        <v>248</v>
      </c>
      <c r="F23" s="125" t="s">
        <v>248</v>
      </c>
      <c r="G23" s="125" t="s">
        <v>248</v>
      </c>
      <c r="H23" s="126" t="s">
        <v>248</v>
      </c>
      <c r="I23" s="125" t="s">
        <v>248</v>
      </c>
      <c r="J23" s="126" t="s">
        <v>248</v>
      </c>
      <c r="K23" s="125" t="s">
        <v>248</v>
      </c>
      <c r="L23" s="125" t="s">
        <v>248</v>
      </c>
      <c r="M23" s="154" t="s">
        <v>248</v>
      </c>
      <c r="N23" s="130" t="s">
        <v>248</v>
      </c>
      <c r="O23" s="118">
        <v>0</v>
      </c>
      <c r="P23" s="131">
        <v>0</v>
      </c>
      <c r="Q23" s="131">
        <v>0</v>
      </c>
    </row>
    <row r="24" spans="1:18" s="113" customFormat="1" x14ac:dyDescent="0.25">
      <c r="A24" s="89" t="s">
        <v>783</v>
      </c>
      <c r="B24" s="125" t="s">
        <v>248</v>
      </c>
      <c r="C24" s="125" t="s">
        <v>248</v>
      </c>
      <c r="D24" s="125"/>
      <c r="E24" s="125" t="s">
        <v>248</v>
      </c>
      <c r="F24" s="125" t="s">
        <v>248</v>
      </c>
      <c r="G24" s="125" t="s">
        <v>248</v>
      </c>
      <c r="H24" s="126" t="s">
        <v>248</v>
      </c>
      <c r="I24" s="125" t="s">
        <v>248</v>
      </c>
      <c r="J24" s="126" t="s">
        <v>248</v>
      </c>
      <c r="K24" s="125" t="s">
        <v>248</v>
      </c>
      <c r="L24" s="125" t="s">
        <v>248</v>
      </c>
      <c r="M24" s="154" t="s">
        <v>248</v>
      </c>
      <c r="N24" s="130" t="s">
        <v>248</v>
      </c>
      <c r="O24" s="118">
        <v>0</v>
      </c>
      <c r="P24" s="131">
        <v>0</v>
      </c>
      <c r="Q24" s="131">
        <v>0</v>
      </c>
    </row>
    <row r="25" spans="1:18" s="113" customFormat="1" x14ac:dyDescent="0.25">
      <c r="A25" s="89" t="s">
        <v>784</v>
      </c>
      <c r="B25" s="125" t="s">
        <v>248</v>
      </c>
      <c r="C25" s="125" t="s">
        <v>248</v>
      </c>
      <c r="D25" s="125"/>
      <c r="E25" s="125" t="s">
        <v>248</v>
      </c>
      <c r="F25" s="125" t="s">
        <v>248</v>
      </c>
      <c r="G25" s="125" t="s">
        <v>248</v>
      </c>
      <c r="H25" s="126" t="s">
        <v>248</v>
      </c>
      <c r="I25" s="125" t="s">
        <v>248</v>
      </c>
      <c r="J25" s="126" t="s">
        <v>248</v>
      </c>
      <c r="K25" s="125" t="s">
        <v>248</v>
      </c>
      <c r="L25" s="125" t="s">
        <v>248</v>
      </c>
      <c r="M25" s="154" t="s">
        <v>248</v>
      </c>
      <c r="N25" s="130" t="s">
        <v>248</v>
      </c>
      <c r="O25" s="118">
        <v>0</v>
      </c>
      <c r="P25" s="131">
        <v>0</v>
      </c>
      <c r="Q25" s="131">
        <v>0</v>
      </c>
    </row>
    <row r="26" spans="1:18" s="113" customFormat="1" x14ac:dyDescent="0.25">
      <c r="A26" s="89" t="s">
        <v>414</v>
      </c>
      <c r="B26" s="125" t="s">
        <v>248</v>
      </c>
      <c r="C26" s="125" t="s">
        <v>248</v>
      </c>
      <c r="D26" s="125"/>
      <c r="E26" s="125" t="s">
        <v>248</v>
      </c>
      <c r="F26" s="125" t="s">
        <v>248</v>
      </c>
      <c r="G26" s="125" t="s">
        <v>248</v>
      </c>
      <c r="H26" s="126" t="s">
        <v>248</v>
      </c>
      <c r="I26" s="125" t="s">
        <v>248</v>
      </c>
      <c r="J26" s="126" t="s">
        <v>248</v>
      </c>
      <c r="K26" s="125" t="s">
        <v>248</v>
      </c>
      <c r="L26" s="125" t="s">
        <v>248</v>
      </c>
      <c r="M26" s="154" t="s">
        <v>248</v>
      </c>
      <c r="N26" s="130" t="s">
        <v>248</v>
      </c>
      <c r="O26" s="118">
        <v>0</v>
      </c>
      <c r="P26" s="131">
        <v>0</v>
      </c>
      <c r="Q26" s="131">
        <v>0</v>
      </c>
    </row>
    <row r="27" spans="1:18" s="113" customFormat="1" x14ac:dyDescent="0.25">
      <c r="A27" s="89" t="s">
        <v>776</v>
      </c>
      <c r="B27" s="125" t="s">
        <v>248</v>
      </c>
      <c r="C27" s="125" t="s">
        <v>248</v>
      </c>
      <c r="D27" s="125"/>
      <c r="E27" s="125" t="s">
        <v>248</v>
      </c>
      <c r="F27" s="125" t="s">
        <v>248</v>
      </c>
      <c r="G27" s="125" t="s">
        <v>248</v>
      </c>
      <c r="H27" s="126" t="s">
        <v>248</v>
      </c>
      <c r="I27" s="125" t="s">
        <v>248</v>
      </c>
      <c r="J27" s="126" t="s">
        <v>248</v>
      </c>
      <c r="K27" s="125" t="s">
        <v>248</v>
      </c>
      <c r="L27" s="125" t="s">
        <v>248</v>
      </c>
      <c r="M27" s="154" t="s">
        <v>248</v>
      </c>
      <c r="N27" s="130" t="s">
        <v>248</v>
      </c>
      <c r="O27" s="118">
        <v>0</v>
      </c>
      <c r="P27" s="131">
        <v>0</v>
      </c>
      <c r="Q27" s="131">
        <v>0</v>
      </c>
    </row>
    <row r="28" spans="1:18" s="113" customFormat="1" x14ac:dyDescent="0.25">
      <c r="A28" s="89" t="s">
        <v>783</v>
      </c>
      <c r="B28" s="125" t="s">
        <v>248</v>
      </c>
      <c r="C28" s="125" t="s">
        <v>248</v>
      </c>
      <c r="D28" s="125"/>
      <c r="E28" s="125" t="s">
        <v>248</v>
      </c>
      <c r="F28" s="125" t="s">
        <v>248</v>
      </c>
      <c r="G28" s="125" t="s">
        <v>248</v>
      </c>
      <c r="H28" s="126" t="s">
        <v>248</v>
      </c>
      <c r="I28" s="125" t="s">
        <v>248</v>
      </c>
      <c r="J28" s="126" t="s">
        <v>248</v>
      </c>
      <c r="K28" s="125" t="s">
        <v>248</v>
      </c>
      <c r="L28" s="125" t="s">
        <v>248</v>
      </c>
      <c r="M28" s="154" t="s">
        <v>248</v>
      </c>
      <c r="N28" s="130" t="s">
        <v>248</v>
      </c>
      <c r="O28" s="118">
        <v>0</v>
      </c>
      <c r="P28" s="131">
        <v>0</v>
      </c>
      <c r="Q28" s="131">
        <v>0</v>
      </c>
    </row>
    <row r="29" spans="1:18" s="113" customFormat="1" x14ac:dyDescent="0.25">
      <c r="A29" s="89" t="s">
        <v>777</v>
      </c>
      <c r="B29" s="125" t="s">
        <v>248</v>
      </c>
      <c r="C29" s="125" t="s">
        <v>248</v>
      </c>
      <c r="D29" s="125"/>
      <c r="E29" s="125" t="s">
        <v>248</v>
      </c>
      <c r="F29" s="125" t="s">
        <v>248</v>
      </c>
      <c r="G29" s="125" t="s">
        <v>248</v>
      </c>
      <c r="H29" s="126" t="s">
        <v>248</v>
      </c>
      <c r="I29" s="125" t="s">
        <v>248</v>
      </c>
      <c r="J29" s="126" t="s">
        <v>248</v>
      </c>
      <c r="K29" s="125" t="s">
        <v>248</v>
      </c>
      <c r="L29" s="125" t="s">
        <v>248</v>
      </c>
      <c r="M29" s="154" t="s">
        <v>248</v>
      </c>
      <c r="N29" s="130" t="s">
        <v>248</v>
      </c>
      <c r="O29" s="118">
        <v>0</v>
      </c>
      <c r="P29" s="131">
        <v>0</v>
      </c>
      <c r="Q29" s="131">
        <v>0</v>
      </c>
    </row>
    <row r="30" spans="1:18" s="113" customFormat="1" x14ac:dyDescent="0.25">
      <c r="A30" s="89" t="s">
        <v>784</v>
      </c>
      <c r="B30" s="125" t="s">
        <v>248</v>
      </c>
      <c r="C30" s="125" t="s">
        <v>248</v>
      </c>
      <c r="D30" s="125"/>
      <c r="E30" s="125" t="s">
        <v>248</v>
      </c>
      <c r="F30" s="125" t="s">
        <v>248</v>
      </c>
      <c r="G30" s="125" t="s">
        <v>248</v>
      </c>
      <c r="H30" s="126" t="s">
        <v>248</v>
      </c>
      <c r="I30" s="125" t="s">
        <v>248</v>
      </c>
      <c r="J30" s="126" t="s">
        <v>248</v>
      </c>
      <c r="K30" s="125" t="s">
        <v>248</v>
      </c>
      <c r="L30" s="125" t="s">
        <v>248</v>
      </c>
      <c r="M30" s="154" t="s">
        <v>248</v>
      </c>
      <c r="N30" s="130" t="s">
        <v>248</v>
      </c>
      <c r="O30" s="118">
        <v>0</v>
      </c>
      <c r="P30" s="131">
        <v>0</v>
      </c>
      <c r="Q30" s="131">
        <v>0</v>
      </c>
    </row>
    <row r="31" spans="1:18" s="113" customFormat="1" x14ac:dyDescent="0.25">
      <c r="A31" s="75" t="s">
        <v>241</v>
      </c>
      <c r="B31" s="75"/>
      <c r="C31" s="119"/>
      <c r="D31" s="119"/>
      <c r="E31" s="119"/>
      <c r="F31" s="120"/>
      <c r="G31" s="120"/>
      <c r="H31" s="120"/>
      <c r="I31" s="120"/>
      <c r="J31" s="120"/>
      <c r="K31" s="121"/>
      <c r="L31" s="122"/>
      <c r="M31" s="123"/>
      <c r="N31" s="123"/>
      <c r="O31" s="123"/>
      <c r="P31" s="123"/>
      <c r="Q31" s="122"/>
      <c r="R31" s="124"/>
    </row>
    <row r="32" spans="1:18" s="113" customFormat="1" x14ac:dyDescent="0.25">
      <c r="A32" s="75" t="s">
        <v>242</v>
      </c>
      <c r="B32" s="75"/>
      <c r="C32" s="119"/>
      <c r="D32" s="119"/>
      <c r="E32" s="119"/>
      <c r="F32" s="120"/>
      <c r="G32" s="120"/>
      <c r="H32" s="120"/>
      <c r="I32" s="120"/>
      <c r="J32" s="120"/>
      <c r="K32" s="121"/>
      <c r="L32" s="122"/>
      <c r="M32" s="123"/>
      <c r="N32" s="123"/>
      <c r="O32" s="123"/>
      <c r="P32" s="123"/>
      <c r="Q32" s="122"/>
      <c r="R32" s="124"/>
    </row>
    <row r="33" spans="1:18" s="113" customFormat="1" x14ac:dyDescent="0.25">
      <c r="A33" s="75" t="s">
        <v>243</v>
      </c>
      <c r="B33" s="75"/>
      <c r="C33" s="119"/>
      <c r="D33" s="119"/>
      <c r="E33" s="119"/>
      <c r="F33" s="120"/>
      <c r="G33" s="120"/>
      <c r="H33" s="120"/>
      <c r="I33" s="120"/>
      <c r="J33" s="120"/>
      <c r="K33" s="121"/>
      <c r="L33" s="122"/>
      <c r="M33" s="123"/>
      <c r="N33" s="123"/>
      <c r="O33" s="123"/>
      <c r="P33" s="123"/>
      <c r="Q33" s="122"/>
      <c r="R33" s="124"/>
    </row>
    <row r="34" spans="1:18" s="113" customFormat="1" x14ac:dyDescent="0.25">
      <c r="A34" s="75" t="s">
        <v>244</v>
      </c>
      <c r="B34" s="75"/>
      <c r="C34" s="119"/>
      <c r="D34" s="119"/>
      <c r="E34" s="119"/>
      <c r="F34" s="120"/>
      <c r="G34" s="120"/>
      <c r="H34" s="120"/>
      <c r="I34" s="120"/>
      <c r="J34" s="120"/>
      <c r="K34" s="121"/>
      <c r="L34" s="122"/>
      <c r="M34" s="123"/>
      <c r="N34" s="123"/>
      <c r="O34" s="123"/>
      <c r="P34" s="123"/>
      <c r="Q34" s="122"/>
      <c r="R34" s="124"/>
    </row>
    <row r="35" spans="1:18" s="113" customFormat="1" x14ac:dyDescent="0.25">
      <c r="A35" s="75" t="s">
        <v>245</v>
      </c>
      <c r="B35" s="75"/>
      <c r="C35" s="119"/>
      <c r="D35" s="119"/>
      <c r="E35" s="119"/>
      <c r="F35" s="120"/>
      <c r="G35" s="120"/>
      <c r="H35" s="120"/>
      <c r="I35" s="120"/>
      <c r="J35" s="120"/>
      <c r="K35" s="121"/>
      <c r="L35" s="122"/>
      <c r="M35" s="123"/>
      <c r="N35" s="123"/>
      <c r="O35" s="123"/>
      <c r="P35" s="123"/>
      <c r="Q35" s="122"/>
      <c r="R35" s="124"/>
    </row>
  </sheetData>
  <mergeCells count="1">
    <mergeCell ref="A4:Q4"/>
  </mergeCells>
  <phoneticPr fontId="3" type="noConversion"/>
  <conditionalFormatting sqref="B9:L30">
    <cfRule type="expression" dxfId="41" priority="376" stopIfTrue="1">
      <formula>LEFT(#REF!,3)="TIR"</formula>
    </cfRule>
  </conditionalFormatting>
  <conditionalFormatting sqref="O9:P30 A9:A30">
    <cfRule type="expression" dxfId="40" priority="374" stopIfTrue="1">
      <formula>#REF!&gt;0</formula>
    </cfRule>
  </conditionalFormatting>
  <conditionalFormatting sqref="P9:Q30">
    <cfRule type="expression" dxfId="39" priority="37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workbookViewId="0"/>
  </sheetViews>
  <sheetFormatPr defaultColWidth="9.109375" defaultRowHeight="13.2" x14ac:dyDescent="0.25"/>
  <cols>
    <col min="1" max="1" width="30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7" customWidth="1"/>
    <col min="6" max="6" width="7.88671875" style="57" customWidth="1"/>
    <col min="7" max="7" width="11.33203125" style="57" customWidth="1"/>
    <col min="8" max="8" width="17.6640625" style="36" customWidth="1"/>
    <col min="9" max="9" width="14.109375" style="59" customWidth="1"/>
    <col min="10" max="10" width="10.88671875" style="61" bestFit="1" customWidth="1"/>
    <col min="11" max="11" width="7.109375" style="61" bestFit="1" customWidth="1"/>
    <col min="12" max="12" width="10.44140625" style="61" customWidth="1"/>
    <col min="13" max="13" width="25.44140625" style="61" customWidth="1"/>
    <col min="14" max="14" width="20.6640625" style="59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2"/>
      <c r="E1" s="57"/>
      <c r="F1" s="57"/>
      <c r="G1" s="57"/>
      <c r="H1" s="36"/>
      <c r="I1" s="59"/>
      <c r="J1" s="60"/>
      <c r="K1" s="60"/>
      <c r="L1" s="60"/>
      <c r="M1" s="60"/>
      <c r="N1" s="59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2"/>
      <c r="E2" s="57"/>
      <c r="F2" s="57"/>
      <c r="G2" s="57"/>
      <c r="H2" s="36"/>
      <c r="I2" s="59"/>
      <c r="J2" s="60"/>
      <c r="K2" s="60"/>
      <c r="L2" s="60"/>
      <c r="M2" s="60"/>
      <c r="N2" s="59"/>
      <c r="O2" s="12"/>
      <c r="P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42"/>
      <c r="E3" s="57"/>
      <c r="F3" s="57"/>
      <c r="G3" s="57"/>
      <c r="H3" s="36"/>
      <c r="I3" s="59"/>
      <c r="J3" s="60"/>
      <c r="K3" s="60"/>
      <c r="L3" s="60"/>
      <c r="M3" s="60"/>
      <c r="N3" s="59"/>
      <c r="O3" s="12"/>
      <c r="P3" s="14"/>
    </row>
    <row r="4" spans="1:17" s="7" customFormat="1" x14ac:dyDescent="0.25">
      <c r="A4" s="214" t="s">
        <v>37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6"/>
      <c r="O4" s="12"/>
      <c r="P4" s="12"/>
      <c r="Q4" s="12"/>
    </row>
    <row r="5" spans="1:17" s="7" customFormat="1" ht="30.75" customHeight="1" x14ac:dyDescent="0.25">
      <c r="A5" s="83" t="s">
        <v>157</v>
      </c>
      <c r="B5" s="197" t="s">
        <v>69</v>
      </c>
      <c r="C5" s="197" t="s">
        <v>74</v>
      </c>
      <c r="D5" s="197" t="s">
        <v>70</v>
      </c>
      <c r="E5" s="197" t="s">
        <v>5</v>
      </c>
      <c r="F5" s="197" t="s">
        <v>14</v>
      </c>
      <c r="G5" s="197" t="s">
        <v>6</v>
      </c>
      <c r="H5" s="198" t="s">
        <v>89</v>
      </c>
      <c r="I5" s="198" t="s">
        <v>71</v>
      </c>
      <c r="J5" s="198" t="s">
        <v>67</v>
      </c>
      <c r="K5" s="198" t="s">
        <v>68</v>
      </c>
      <c r="L5" s="198" t="s">
        <v>29</v>
      </c>
      <c r="M5" s="86" t="s">
        <v>75</v>
      </c>
      <c r="N5" s="87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5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4">
        <v>12</v>
      </c>
      <c r="N7" s="35">
        <v>13</v>
      </c>
    </row>
    <row r="8" spans="1:17" s="113" customFormat="1" ht="12.75" customHeight="1" thickBot="1" x14ac:dyDescent="0.3">
      <c r="A8" s="96" t="s">
        <v>122</v>
      </c>
      <c r="B8" s="64" t="s">
        <v>248</v>
      </c>
      <c r="C8" s="97" t="s">
        <v>248</v>
      </c>
      <c r="D8" s="97"/>
      <c r="E8" s="97" t="s">
        <v>248</v>
      </c>
      <c r="F8" s="97" t="s">
        <v>248</v>
      </c>
      <c r="G8" s="97" t="s">
        <v>248</v>
      </c>
      <c r="H8" s="64" t="s">
        <v>248</v>
      </c>
      <c r="I8" s="64" t="s">
        <v>248</v>
      </c>
      <c r="J8" s="98" t="s">
        <v>248</v>
      </c>
      <c r="K8" s="97" t="s">
        <v>248</v>
      </c>
      <c r="L8" s="99">
        <v>202.9428719999363</v>
      </c>
      <c r="M8" s="64">
        <v>1</v>
      </c>
      <c r="N8" s="78">
        <v>2.0145839824671063E-3</v>
      </c>
    </row>
    <row r="9" spans="1:17" s="113" customFormat="1" x14ac:dyDescent="0.25">
      <c r="A9" s="88" t="s">
        <v>137</v>
      </c>
      <c r="B9" s="115" t="s">
        <v>248</v>
      </c>
      <c r="C9" s="116" t="s">
        <v>248</v>
      </c>
      <c r="D9" s="116" t="s">
        <v>248</v>
      </c>
      <c r="E9" s="116" t="s">
        <v>248</v>
      </c>
      <c r="F9" s="116" t="s">
        <v>248</v>
      </c>
      <c r="G9" s="116" t="s">
        <v>248</v>
      </c>
      <c r="H9" s="115" t="s">
        <v>248</v>
      </c>
      <c r="I9" s="115" t="s">
        <v>248</v>
      </c>
      <c r="J9" s="127" t="s">
        <v>248</v>
      </c>
      <c r="K9" s="116" t="s">
        <v>248</v>
      </c>
      <c r="L9" s="117">
        <v>202.94287189993628</v>
      </c>
      <c r="M9" s="115">
        <v>0.99999999950725049</v>
      </c>
      <c r="N9" s="115">
        <v>2.0145839814744207E-3</v>
      </c>
    </row>
    <row r="10" spans="1:17" s="113" customFormat="1" x14ac:dyDescent="0.25">
      <c r="A10" s="89" t="s">
        <v>785</v>
      </c>
      <c r="B10" s="131" t="s">
        <v>248</v>
      </c>
      <c r="C10" s="130" t="s">
        <v>248</v>
      </c>
      <c r="D10" s="130" t="s">
        <v>248</v>
      </c>
      <c r="E10" s="130" t="s">
        <v>248</v>
      </c>
      <c r="F10" s="130" t="s">
        <v>248</v>
      </c>
      <c r="G10" s="130" t="s">
        <v>248</v>
      </c>
      <c r="H10" s="131" t="s">
        <v>248</v>
      </c>
      <c r="I10" s="131" t="s">
        <v>248</v>
      </c>
      <c r="J10" s="129" t="s">
        <v>248</v>
      </c>
      <c r="K10" s="130" t="s">
        <v>248</v>
      </c>
      <c r="L10" s="118">
        <v>0</v>
      </c>
      <c r="M10" s="131">
        <v>0</v>
      </c>
      <c r="N10" s="131">
        <v>0</v>
      </c>
    </row>
    <row r="11" spans="1:17" s="113" customFormat="1" x14ac:dyDescent="0.25">
      <c r="A11" s="89" t="s">
        <v>669</v>
      </c>
      <c r="B11" s="131" t="s">
        <v>248</v>
      </c>
      <c r="C11" s="130" t="s">
        <v>248</v>
      </c>
      <c r="D11" s="130" t="s">
        <v>248</v>
      </c>
      <c r="E11" s="130" t="s">
        <v>248</v>
      </c>
      <c r="F11" s="130" t="s">
        <v>248</v>
      </c>
      <c r="G11" s="130" t="s">
        <v>248</v>
      </c>
      <c r="H11" s="131" t="s">
        <v>248</v>
      </c>
      <c r="I11" s="131" t="s">
        <v>248</v>
      </c>
      <c r="J11" s="129" t="s">
        <v>248</v>
      </c>
      <c r="K11" s="130" t="s">
        <v>248</v>
      </c>
      <c r="L11" s="118">
        <v>202.9428714999363</v>
      </c>
      <c r="M11" s="131">
        <v>0.99999999753625246</v>
      </c>
      <c r="N11" s="131">
        <v>2.0145839775036799E-3</v>
      </c>
    </row>
    <row r="12" spans="1:17" x14ac:dyDescent="0.25">
      <c r="A12" s="16" t="s">
        <v>786</v>
      </c>
      <c r="B12" s="24" t="s">
        <v>787</v>
      </c>
      <c r="C12" s="58" t="s">
        <v>251</v>
      </c>
      <c r="D12" s="58" t="s">
        <v>252</v>
      </c>
      <c r="E12" s="58" t="s">
        <v>253</v>
      </c>
      <c r="F12" s="58">
        <v>0.45</v>
      </c>
      <c r="G12" s="58" t="s">
        <v>254</v>
      </c>
      <c r="H12" s="24">
        <v>4.8300000429153445E-2</v>
      </c>
      <c r="I12" s="24">
        <v>4.9299999999999997E-2</v>
      </c>
      <c r="J12" s="66">
        <v>202477.17389996638</v>
      </c>
      <c r="K12" s="58">
        <v>100.23</v>
      </c>
      <c r="L12" s="81">
        <v>202.94287139993631</v>
      </c>
      <c r="M12" s="24">
        <v>0.99999999704350295</v>
      </c>
      <c r="N12" s="24">
        <v>2.0145839765109948E-3</v>
      </c>
      <c r="O12" s="14"/>
    </row>
    <row r="13" spans="1:17" s="113" customFormat="1" x14ac:dyDescent="0.25">
      <c r="A13" s="89" t="s">
        <v>788</v>
      </c>
      <c r="B13" s="131" t="s">
        <v>248</v>
      </c>
      <c r="C13" s="130" t="s">
        <v>248</v>
      </c>
      <c r="D13" s="130" t="s">
        <v>248</v>
      </c>
      <c r="E13" s="130" t="s">
        <v>248</v>
      </c>
      <c r="F13" s="130" t="s">
        <v>248</v>
      </c>
      <c r="G13" s="130" t="s">
        <v>248</v>
      </c>
      <c r="H13" s="131" t="s">
        <v>248</v>
      </c>
      <c r="I13" s="131" t="s">
        <v>248</v>
      </c>
      <c r="J13" s="129" t="s">
        <v>248</v>
      </c>
      <c r="K13" s="130" t="s">
        <v>248</v>
      </c>
      <c r="L13" s="118">
        <v>0</v>
      </c>
      <c r="M13" s="131">
        <v>0</v>
      </c>
      <c r="N13" s="131">
        <v>0</v>
      </c>
    </row>
    <row r="14" spans="1:17" s="113" customFormat="1" x14ac:dyDescent="0.25">
      <c r="A14" s="89" t="s">
        <v>789</v>
      </c>
      <c r="B14" s="131" t="s">
        <v>248</v>
      </c>
      <c r="C14" s="130" t="s">
        <v>248</v>
      </c>
      <c r="D14" s="130" t="s">
        <v>248</v>
      </c>
      <c r="E14" s="130" t="s">
        <v>248</v>
      </c>
      <c r="F14" s="130" t="s">
        <v>248</v>
      </c>
      <c r="G14" s="130" t="s">
        <v>248</v>
      </c>
      <c r="H14" s="131" t="s">
        <v>248</v>
      </c>
      <c r="I14" s="131" t="s">
        <v>248</v>
      </c>
      <c r="J14" s="129" t="s">
        <v>248</v>
      </c>
      <c r="K14" s="130" t="s">
        <v>248</v>
      </c>
      <c r="L14" s="118">
        <v>0</v>
      </c>
      <c r="M14" s="131">
        <v>0</v>
      </c>
      <c r="N14" s="131">
        <v>0</v>
      </c>
    </row>
    <row r="15" spans="1:17" s="113" customFormat="1" x14ac:dyDescent="0.25">
      <c r="A15" s="89" t="s">
        <v>141</v>
      </c>
      <c r="B15" s="131" t="s">
        <v>248</v>
      </c>
      <c r="C15" s="130" t="s">
        <v>248</v>
      </c>
      <c r="D15" s="130" t="s">
        <v>248</v>
      </c>
      <c r="E15" s="130" t="s">
        <v>248</v>
      </c>
      <c r="F15" s="130" t="s">
        <v>248</v>
      </c>
      <c r="G15" s="130" t="s">
        <v>248</v>
      </c>
      <c r="H15" s="131" t="s">
        <v>248</v>
      </c>
      <c r="I15" s="131" t="s">
        <v>248</v>
      </c>
      <c r="J15" s="129" t="s">
        <v>248</v>
      </c>
      <c r="K15" s="130" t="s">
        <v>248</v>
      </c>
      <c r="L15" s="118">
        <v>0</v>
      </c>
      <c r="M15" s="131">
        <v>0</v>
      </c>
      <c r="N15" s="131">
        <v>0</v>
      </c>
    </row>
    <row r="16" spans="1:17" s="113" customFormat="1" x14ac:dyDescent="0.25">
      <c r="A16" s="89" t="s">
        <v>428</v>
      </c>
      <c r="B16" s="131" t="s">
        <v>248</v>
      </c>
      <c r="C16" s="130" t="s">
        <v>248</v>
      </c>
      <c r="D16" s="130" t="s">
        <v>248</v>
      </c>
      <c r="E16" s="130" t="s">
        <v>248</v>
      </c>
      <c r="F16" s="130" t="s">
        <v>248</v>
      </c>
      <c r="G16" s="130" t="s">
        <v>248</v>
      </c>
      <c r="H16" s="131" t="s">
        <v>248</v>
      </c>
      <c r="I16" s="131" t="s">
        <v>248</v>
      </c>
      <c r="J16" s="129" t="s">
        <v>248</v>
      </c>
      <c r="K16" s="130" t="s">
        <v>248</v>
      </c>
      <c r="L16" s="118">
        <v>0</v>
      </c>
      <c r="M16" s="131">
        <v>0</v>
      </c>
      <c r="N16" s="131">
        <v>0</v>
      </c>
    </row>
    <row r="17" spans="1:15" s="113" customFormat="1" x14ac:dyDescent="0.25">
      <c r="A17" s="75" t="s">
        <v>241</v>
      </c>
      <c r="B17" s="75"/>
      <c r="C17" s="119"/>
      <c r="D17" s="119"/>
      <c r="E17" s="120"/>
      <c r="F17" s="120"/>
      <c r="G17" s="120"/>
      <c r="H17" s="121"/>
      <c r="I17" s="122"/>
      <c r="J17" s="123"/>
      <c r="K17" s="123"/>
      <c r="L17" s="123"/>
      <c r="M17" s="123"/>
      <c r="N17" s="122"/>
      <c r="O17" s="124"/>
    </row>
    <row r="18" spans="1:15" s="113" customFormat="1" x14ac:dyDescent="0.25">
      <c r="A18" s="75" t="s">
        <v>242</v>
      </c>
      <c r="B18" s="75"/>
      <c r="C18" s="119"/>
      <c r="D18" s="119"/>
      <c r="E18" s="120"/>
      <c r="F18" s="120"/>
      <c r="G18" s="120"/>
      <c r="H18" s="121"/>
      <c r="I18" s="122"/>
      <c r="J18" s="123"/>
      <c r="K18" s="123"/>
      <c r="L18" s="123"/>
      <c r="M18" s="123"/>
      <c r="N18" s="122"/>
      <c r="O18" s="124"/>
    </row>
    <row r="19" spans="1:15" s="113" customFormat="1" x14ac:dyDescent="0.25">
      <c r="A19" s="75" t="s">
        <v>243</v>
      </c>
      <c r="B19" s="75"/>
      <c r="C19" s="119"/>
      <c r="D19" s="119"/>
      <c r="E19" s="120"/>
      <c r="F19" s="120"/>
      <c r="G19" s="120"/>
      <c r="H19" s="121"/>
      <c r="I19" s="122"/>
      <c r="J19" s="123"/>
      <c r="K19" s="123"/>
      <c r="L19" s="123"/>
      <c r="M19" s="123"/>
      <c r="N19" s="122"/>
      <c r="O19" s="124"/>
    </row>
    <row r="20" spans="1:15" s="113" customFormat="1" x14ac:dyDescent="0.25">
      <c r="A20" s="75" t="s">
        <v>244</v>
      </c>
      <c r="B20" s="75"/>
      <c r="C20" s="119"/>
      <c r="D20" s="119"/>
      <c r="E20" s="120"/>
      <c r="F20" s="120"/>
      <c r="G20" s="120"/>
      <c r="H20" s="121"/>
      <c r="I20" s="122"/>
      <c r="J20" s="123"/>
      <c r="K20" s="123"/>
      <c r="L20" s="123"/>
      <c r="M20" s="123"/>
      <c r="N20" s="122"/>
      <c r="O20" s="124"/>
    </row>
    <row r="21" spans="1:15" s="113" customFormat="1" x14ac:dyDescent="0.25">
      <c r="A21" s="75" t="s">
        <v>245</v>
      </c>
      <c r="B21" s="75"/>
      <c r="C21" s="119"/>
      <c r="D21" s="119"/>
      <c r="E21" s="120"/>
      <c r="F21" s="120"/>
      <c r="G21" s="120"/>
      <c r="H21" s="121"/>
      <c r="I21" s="122"/>
      <c r="J21" s="123"/>
      <c r="K21" s="123"/>
      <c r="L21" s="123"/>
      <c r="M21" s="123"/>
      <c r="N21" s="122"/>
      <c r="O21" s="124"/>
    </row>
  </sheetData>
  <mergeCells count="1">
    <mergeCell ref="A4:N4"/>
  </mergeCells>
  <phoneticPr fontId="3" type="noConversion"/>
  <conditionalFormatting sqref="B9:E16 G9:G16 M9:N16">
    <cfRule type="expression" dxfId="38" priority="378" stopIfTrue="1">
      <formula>OR(LEFT(#REF!,3)="TIR",LEFT(#REF!,2)="IR")</formula>
    </cfRule>
  </conditionalFormatting>
  <conditionalFormatting sqref="L8:M16 A8:A16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3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7" customWidth="1"/>
    <col min="6" max="6" width="13" style="57" customWidth="1"/>
    <col min="7" max="7" width="24" style="57" customWidth="1"/>
    <col min="8" max="8" width="18.6640625" style="57" customWidth="1"/>
    <col min="9" max="9" width="13.33203125" style="57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27" t="s">
        <v>38</v>
      </c>
      <c r="B4" s="228"/>
      <c r="C4" s="228"/>
      <c r="D4" s="228"/>
      <c r="E4" s="228"/>
      <c r="F4" s="228"/>
      <c r="G4" s="228"/>
      <c r="H4" s="228"/>
      <c r="I4" s="229"/>
      <c r="J4" s="11"/>
      <c r="K4" s="11"/>
      <c r="L4" s="11"/>
    </row>
    <row r="5" spans="1:17" s="7" customFormat="1" ht="33" customHeight="1" x14ac:dyDescent="0.25">
      <c r="A5" s="83" t="s">
        <v>157</v>
      </c>
      <c r="B5" s="84" t="s">
        <v>39</v>
      </c>
      <c r="C5" s="84" t="s">
        <v>41</v>
      </c>
      <c r="D5" s="84" t="s">
        <v>42</v>
      </c>
      <c r="E5" s="84" t="s">
        <v>6</v>
      </c>
      <c r="F5" s="85" t="s">
        <v>82</v>
      </c>
      <c r="G5" s="86" t="s">
        <v>75</v>
      </c>
      <c r="H5" s="86" t="s">
        <v>8</v>
      </c>
      <c r="I5" s="87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43">
        <v>8</v>
      </c>
    </row>
    <row r="8" spans="1:17" s="113" customFormat="1" ht="12.75" customHeight="1" thickBot="1" x14ac:dyDescent="0.3">
      <c r="A8" s="143" t="s">
        <v>73</v>
      </c>
      <c r="B8" s="67"/>
      <c r="C8" s="67" t="s">
        <v>248</v>
      </c>
      <c r="D8" s="155"/>
      <c r="E8" s="144"/>
      <c r="F8" s="147">
        <v>4.0000000000000003E-7</v>
      </c>
      <c r="G8" s="67">
        <v>1</v>
      </c>
      <c r="H8" s="67">
        <v>0</v>
      </c>
      <c r="I8" s="79"/>
    </row>
    <row r="9" spans="1:17" s="113" customFormat="1" x14ac:dyDescent="0.25">
      <c r="A9" s="88" t="s">
        <v>790</v>
      </c>
      <c r="B9" s="115" t="s">
        <v>248</v>
      </c>
      <c r="C9" s="115" t="s">
        <v>248</v>
      </c>
      <c r="D9" s="115" t="s">
        <v>248</v>
      </c>
      <c r="E9" s="116" t="s">
        <v>248</v>
      </c>
      <c r="F9" s="117">
        <v>0</v>
      </c>
      <c r="G9" s="115">
        <v>0</v>
      </c>
      <c r="H9" s="115">
        <v>0</v>
      </c>
      <c r="I9" s="115" t="s">
        <v>248</v>
      </c>
    </row>
    <row r="10" spans="1:17" s="113" customFormat="1" x14ac:dyDescent="0.25">
      <c r="A10" s="89" t="s">
        <v>791</v>
      </c>
      <c r="B10" s="115" t="s">
        <v>248</v>
      </c>
      <c r="C10" s="115" t="s">
        <v>248</v>
      </c>
      <c r="D10" s="115" t="s">
        <v>248</v>
      </c>
      <c r="E10" s="116" t="s">
        <v>248</v>
      </c>
      <c r="F10" s="117">
        <v>0</v>
      </c>
      <c r="G10" s="115">
        <v>0</v>
      </c>
      <c r="H10" s="115">
        <v>0</v>
      </c>
      <c r="I10" s="115" t="s">
        <v>248</v>
      </c>
    </row>
    <row r="11" spans="1:17" s="113" customFormat="1" x14ac:dyDescent="0.25">
      <c r="A11" s="89" t="s">
        <v>792</v>
      </c>
      <c r="B11" s="115" t="s">
        <v>248</v>
      </c>
      <c r="C11" s="115" t="s">
        <v>248</v>
      </c>
      <c r="D11" s="115" t="s">
        <v>248</v>
      </c>
      <c r="E11" s="116" t="s">
        <v>248</v>
      </c>
      <c r="F11" s="117">
        <v>0</v>
      </c>
      <c r="G11" s="115">
        <v>0</v>
      </c>
      <c r="H11" s="115">
        <v>0</v>
      </c>
      <c r="I11" s="115" t="s">
        <v>248</v>
      </c>
    </row>
    <row r="12" spans="1:17" s="113" customFormat="1" x14ac:dyDescent="0.25">
      <c r="A12" s="89" t="s">
        <v>793</v>
      </c>
      <c r="B12" s="115" t="s">
        <v>248</v>
      </c>
      <c r="C12" s="115" t="s">
        <v>248</v>
      </c>
      <c r="D12" s="115" t="s">
        <v>248</v>
      </c>
      <c r="E12" s="116" t="s">
        <v>248</v>
      </c>
      <c r="F12" s="117">
        <v>0</v>
      </c>
      <c r="G12" s="115">
        <v>0</v>
      </c>
      <c r="H12" s="115">
        <v>0</v>
      </c>
      <c r="I12" s="115" t="s">
        <v>248</v>
      </c>
    </row>
    <row r="13" spans="1:17" s="113" customFormat="1" x14ac:dyDescent="0.25">
      <c r="A13" s="89" t="s">
        <v>791</v>
      </c>
      <c r="B13" s="115" t="s">
        <v>248</v>
      </c>
      <c r="C13" s="115" t="s">
        <v>248</v>
      </c>
      <c r="D13" s="115" t="s">
        <v>248</v>
      </c>
      <c r="E13" s="116" t="s">
        <v>248</v>
      </c>
      <c r="F13" s="117">
        <v>0</v>
      </c>
      <c r="G13" s="115">
        <v>0</v>
      </c>
      <c r="H13" s="115">
        <v>0</v>
      </c>
      <c r="I13" s="115" t="s">
        <v>248</v>
      </c>
    </row>
    <row r="14" spans="1:17" s="113" customFormat="1" x14ac:dyDescent="0.25">
      <c r="A14" s="89" t="s">
        <v>792</v>
      </c>
      <c r="B14" s="115" t="s">
        <v>248</v>
      </c>
      <c r="C14" s="115" t="s">
        <v>248</v>
      </c>
      <c r="D14" s="115" t="s">
        <v>248</v>
      </c>
      <c r="E14" s="116" t="s">
        <v>248</v>
      </c>
      <c r="F14" s="117">
        <v>0</v>
      </c>
      <c r="G14" s="115">
        <v>0</v>
      </c>
      <c r="H14" s="115">
        <v>0</v>
      </c>
      <c r="I14" s="115" t="s">
        <v>248</v>
      </c>
    </row>
    <row r="15" spans="1:17" s="113" customFormat="1" x14ac:dyDescent="0.25">
      <c r="A15" s="75" t="s">
        <v>241</v>
      </c>
      <c r="B15" s="119"/>
      <c r="C15" s="75"/>
      <c r="D15" s="140"/>
      <c r="E15" s="120"/>
      <c r="F15" s="120"/>
      <c r="G15" s="120"/>
      <c r="H15" s="120"/>
      <c r="I15" s="120"/>
      <c r="J15" s="141"/>
      <c r="K15" s="124"/>
      <c r="L15" s="142"/>
      <c r="M15" s="142"/>
      <c r="N15" s="142"/>
      <c r="O15" s="124"/>
      <c r="P15" s="124"/>
    </row>
    <row r="16" spans="1:17" s="113" customFormat="1" x14ac:dyDescent="0.25">
      <c r="A16" s="75" t="s">
        <v>242</v>
      </c>
      <c r="B16" s="119"/>
      <c r="C16" s="75"/>
      <c r="D16" s="140"/>
      <c r="E16" s="120"/>
      <c r="F16" s="120"/>
      <c r="G16" s="120"/>
      <c r="H16" s="120"/>
      <c r="I16" s="120"/>
      <c r="J16" s="141"/>
      <c r="K16" s="124"/>
      <c r="L16" s="142"/>
      <c r="M16" s="142"/>
      <c r="N16" s="142"/>
      <c r="O16" s="124"/>
      <c r="P16" s="124"/>
    </row>
    <row r="17" spans="1:16" s="113" customFormat="1" x14ac:dyDescent="0.25">
      <c r="A17" s="75" t="s">
        <v>243</v>
      </c>
      <c r="B17" s="119"/>
      <c r="C17" s="75"/>
      <c r="D17" s="140"/>
      <c r="E17" s="120"/>
      <c r="F17" s="120"/>
      <c r="G17" s="120"/>
      <c r="H17" s="120"/>
      <c r="I17" s="120"/>
      <c r="J17" s="141"/>
      <c r="K17" s="124"/>
      <c r="L17" s="142"/>
      <c r="M17" s="142"/>
      <c r="N17" s="142"/>
      <c r="O17" s="124"/>
      <c r="P17" s="124"/>
    </row>
    <row r="18" spans="1:16" s="113" customFormat="1" x14ac:dyDescent="0.25">
      <c r="A18" s="75" t="s">
        <v>244</v>
      </c>
      <c r="B18" s="119"/>
      <c r="C18" s="75"/>
      <c r="D18" s="140"/>
      <c r="E18" s="120"/>
      <c r="F18" s="120"/>
      <c r="G18" s="120"/>
      <c r="H18" s="120"/>
      <c r="I18" s="120"/>
      <c r="J18" s="141"/>
      <c r="K18" s="124"/>
      <c r="L18" s="142"/>
      <c r="M18" s="142"/>
      <c r="N18" s="142"/>
      <c r="O18" s="124"/>
      <c r="P18" s="124"/>
    </row>
    <row r="19" spans="1:16" s="113" customFormat="1" x14ac:dyDescent="0.25">
      <c r="A19" s="75" t="s">
        <v>245</v>
      </c>
      <c r="B19" s="119"/>
      <c r="C19" s="75"/>
      <c r="D19" s="140"/>
      <c r="E19" s="120"/>
      <c r="F19" s="120"/>
      <c r="G19" s="120"/>
      <c r="H19" s="120"/>
      <c r="I19" s="120"/>
      <c r="J19" s="141"/>
      <c r="K19" s="124"/>
      <c r="L19" s="142"/>
      <c r="M19" s="142"/>
      <c r="N19" s="142"/>
      <c r="O19" s="124"/>
      <c r="P19" s="124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7" customWidth="1"/>
    <col min="6" max="6" width="10.6640625" style="57" customWidth="1"/>
    <col min="7" max="7" width="13.44140625" style="57" customWidth="1"/>
    <col min="8" max="8" width="9.88671875" style="57" customWidth="1"/>
    <col min="9" max="9" width="24" style="57" customWidth="1"/>
    <col min="10" max="10" width="22.33203125" style="57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57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57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57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14" t="s">
        <v>86</v>
      </c>
      <c r="B4" s="215"/>
      <c r="C4" s="215"/>
      <c r="D4" s="215"/>
      <c r="E4" s="215"/>
      <c r="F4" s="215"/>
      <c r="G4" s="215"/>
      <c r="H4" s="215"/>
      <c r="I4" s="215"/>
      <c r="J4" s="216"/>
      <c r="K4" s="11"/>
      <c r="L4" s="11"/>
      <c r="M4" s="11"/>
    </row>
    <row r="5" spans="1:18" s="7" customFormat="1" ht="33" customHeight="1" x14ac:dyDescent="0.25">
      <c r="A5" s="83" t="s">
        <v>157</v>
      </c>
      <c r="B5" s="197" t="s">
        <v>74</v>
      </c>
      <c r="C5" s="197" t="s">
        <v>70</v>
      </c>
      <c r="D5" s="197" t="s">
        <v>83</v>
      </c>
      <c r="E5" s="197" t="s">
        <v>84</v>
      </c>
      <c r="F5" s="198" t="s">
        <v>6</v>
      </c>
      <c r="G5" s="86" t="s">
        <v>71</v>
      </c>
      <c r="H5" s="86" t="s">
        <v>29</v>
      </c>
      <c r="I5" s="86" t="s">
        <v>75</v>
      </c>
      <c r="J5" s="87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55">
        <v>8</v>
      </c>
      <c r="J7" s="43">
        <v>9</v>
      </c>
    </row>
    <row r="8" spans="1:18" s="113" customFormat="1" ht="12.75" customHeight="1" thickBot="1" x14ac:dyDescent="0.3">
      <c r="A8" s="96" t="s">
        <v>123</v>
      </c>
      <c r="B8" s="67"/>
      <c r="C8" s="67"/>
      <c r="D8" s="155"/>
      <c r="E8" s="144"/>
      <c r="F8" s="103"/>
      <c r="G8" s="103"/>
      <c r="H8" s="147">
        <v>2.0000000000000002E-7</v>
      </c>
      <c r="I8" s="67">
        <v>1</v>
      </c>
      <c r="J8" s="78">
        <v>1.9853705258174713E-12</v>
      </c>
    </row>
    <row r="9" spans="1:18" s="113" customFormat="1" x14ac:dyDescent="0.25">
      <c r="A9" s="88" t="s">
        <v>137</v>
      </c>
      <c r="B9" s="115" t="s">
        <v>248</v>
      </c>
      <c r="C9" s="115" t="s">
        <v>248</v>
      </c>
      <c r="D9" s="115" t="s">
        <v>248</v>
      </c>
      <c r="E9" s="115" t="s">
        <v>248</v>
      </c>
      <c r="F9" s="128" t="s">
        <v>248</v>
      </c>
      <c r="G9" s="156" t="s">
        <v>248</v>
      </c>
      <c r="H9" s="117">
        <v>0</v>
      </c>
      <c r="I9" s="115">
        <v>0</v>
      </c>
      <c r="J9" s="115">
        <v>0</v>
      </c>
    </row>
    <row r="10" spans="1:18" s="113" customFormat="1" x14ac:dyDescent="0.25">
      <c r="A10" s="88" t="s">
        <v>414</v>
      </c>
      <c r="B10" s="115" t="s">
        <v>248</v>
      </c>
      <c r="C10" s="115" t="s">
        <v>248</v>
      </c>
      <c r="D10" s="115" t="s">
        <v>248</v>
      </c>
      <c r="E10" s="115" t="s">
        <v>248</v>
      </c>
      <c r="F10" s="128" t="s">
        <v>248</v>
      </c>
      <c r="G10" s="156" t="s">
        <v>248</v>
      </c>
      <c r="H10" s="117">
        <v>0</v>
      </c>
      <c r="I10" s="115">
        <v>0</v>
      </c>
      <c r="J10" s="115">
        <v>0</v>
      </c>
    </row>
    <row r="11" spans="1:18" s="113" customFormat="1" x14ac:dyDescent="0.25">
      <c r="A11" s="75" t="s">
        <v>241</v>
      </c>
      <c r="B11" s="119"/>
      <c r="C11" s="75"/>
      <c r="D11" s="140"/>
      <c r="E11" s="120"/>
      <c r="F11" s="120"/>
      <c r="G11" s="120"/>
      <c r="H11" s="120"/>
      <c r="I11" s="120"/>
      <c r="J11" s="120"/>
      <c r="K11" s="141"/>
      <c r="L11" s="124"/>
      <c r="M11" s="142"/>
      <c r="N11" s="142"/>
      <c r="O11" s="142"/>
      <c r="P11" s="124"/>
      <c r="Q11" s="124"/>
    </row>
    <row r="12" spans="1:18" s="113" customFormat="1" x14ac:dyDescent="0.25">
      <c r="A12" s="75" t="s">
        <v>242</v>
      </c>
      <c r="B12" s="119"/>
      <c r="C12" s="75"/>
      <c r="D12" s="140"/>
      <c r="E12" s="120"/>
      <c r="F12" s="120"/>
      <c r="G12" s="120"/>
      <c r="H12" s="120"/>
      <c r="I12" s="120"/>
      <c r="J12" s="120"/>
      <c r="K12" s="141"/>
      <c r="L12" s="124"/>
      <c r="M12" s="142"/>
      <c r="N12" s="142"/>
      <c r="O12" s="142"/>
      <c r="P12" s="124"/>
      <c r="Q12" s="124"/>
    </row>
    <row r="13" spans="1:18" s="113" customFormat="1" x14ac:dyDescent="0.25">
      <c r="A13" s="75" t="s">
        <v>243</v>
      </c>
      <c r="B13" s="119"/>
      <c r="C13" s="75"/>
      <c r="D13" s="140"/>
      <c r="E13" s="120"/>
      <c r="F13" s="120"/>
      <c r="G13" s="120"/>
      <c r="H13" s="120"/>
      <c r="I13" s="120"/>
      <c r="J13" s="120"/>
      <c r="K13" s="141"/>
      <c r="L13" s="124"/>
      <c r="M13" s="142"/>
      <c r="N13" s="142"/>
      <c r="O13" s="142"/>
      <c r="P13" s="124"/>
      <c r="Q13" s="124"/>
    </row>
    <row r="14" spans="1:18" s="113" customFormat="1" x14ac:dyDescent="0.25">
      <c r="A14" s="75" t="s">
        <v>244</v>
      </c>
      <c r="B14" s="119"/>
      <c r="C14" s="75"/>
      <c r="D14" s="140"/>
      <c r="E14" s="120"/>
      <c r="F14" s="120"/>
      <c r="G14" s="120"/>
      <c r="H14" s="120"/>
      <c r="I14" s="120"/>
      <c r="J14" s="120"/>
      <c r="K14" s="141"/>
      <c r="L14" s="124"/>
      <c r="M14" s="142"/>
      <c r="N14" s="142"/>
      <c r="O14" s="142"/>
      <c r="P14" s="124"/>
      <c r="Q14" s="124"/>
    </row>
    <row r="15" spans="1:18" s="113" customFormat="1" x14ac:dyDescent="0.25">
      <c r="A15" s="75" t="s">
        <v>245</v>
      </c>
      <c r="B15" s="119"/>
      <c r="C15" s="75"/>
      <c r="D15" s="140"/>
      <c r="E15" s="120"/>
      <c r="F15" s="120"/>
      <c r="G15" s="120"/>
      <c r="H15" s="120"/>
      <c r="I15" s="120"/>
      <c r="J15" s="120"/>
      <c r="K15" s="141"/>
      <c r="L15" s="124"/>
      <c r="M15" s="142"/>
      <c r="N15" s="142"/>
      <c r="O15" s="142"/>
      <c r="P15" s="124"/>
      <c r="Q15" s="124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6"/>
  <sheetViews>
    <sheetView rightToLeft="1" zoomScale="85" workbookViewId="0"/>
  </sheetViews>
  <sheetFormatPr defaultColWidth="9.109375" defaultRowHeight="13.2" x14ac:dyDescent="0.25"/>
  <cols>
    <col min="1" max="1" width="23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0.6640625" style="10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14" t="s">
        <v>87</v>
      </c>
      <c r="B4" s="215"/>
      <c r="C4" s="215"/>
      <c r="D4" s="215"/>
      <c r="E4" s="215"/>
      <c r="F4" s="215"/>
      <c r="G4" s="215"/>
      <c r="H4" s="215"/>
      <c r="I4" s="215"/>
      <c r="J4" s="216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3" t="s">
        <v>157</v>
      </c>
      <c r="B5" s="197" t="s">
        <v>81</v>
      </c>
      <c r="C5" s="197" t="s">
        <v>70</v>
      </c>
      <c r="D5" s="197" t="s">
        <v>5</v>
      </c>
      <c r="E5" s="198" t="s">
        <v>66</v>
      </c>
      <c r="F5" s="198" t="s">
        <v>6</v>
      </c>
      <c r="G5" s="198" t="s">
        <v>71</v>
      </c>
      <c r="H5" s="198" t="s">
        <v>29</v>
      </c>
      <c r="I5" s="86" t="s">
        <v>75</v>
      </c>
      <c r="J5" s="87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3" customFormat="1" ht="12.75" customHeight="1" thickBot="1" x14ac:dyDescent="0.3">
      <c r="A8" s="69" t="s">
        <v>124</v>
      </c>
      <c r="B8" s="114"/>
      <c r="C8" s="114"/>
      <c r="D8" s="114" t="s">
        <v>248</v>
      </c>
      <c r="E8" s="114" t="s">
        <v>248</v>
      </c>
      <c r="F8" s="114" t="s">
        <v>248</v>
      </c>
      <c r="G8" s="114" t="s">
        <v>248</v>
      </c>
      <c r="H8" s="91">
        <v>-59.0503298</v>
      </c>
      <c r="I8" s="74">
        <v>1</v>
      </c>
      <c r="J8" s="56">
        <v>-5.8618392162360544E-4</v>
      </c>
    </row>
    <row r="9" spans="1:20" s="113" customFormat="1" x14ac:dyDescent="0.25">
      <c r="A9" s="88" t="s">
        <v>137</v>
      </c>
      <c r="B9" s="157"/>
      <c r="C9" s="116" t="s">
        <v>248</v>
      </c>
      <c r="D9" s="137" t="s">
        <v>248</v>
      </c>
      <c r="E9" s="151" t="s">
        <v>248</v>
      </c>
      <c r="F9" s="128" t="s">
        <v>248</v>
      </c>
      <c r="G9" s="151" t="s">
        <v>248</v>
      </c>
      <c r="H9" s="117">
        <v>-59.050329900000001</v>
      </c>
      <c r="I9" s="115">
        <v>1.0000000016934707</v>
      </c>
      <c r="J9" s="115">
        <v>-5.8618392261629065E-4</v>
      </c>
    </row>
    <row r="10" spans="1:20" x14ac:dyDescent="0.25">
      <c r="A10" s="16" t="s">
        <v>794</v>
      </c>
      <c r="B10" s="23" t="s">
        <v>795</v>
      </c>
      <c r="C10" s="63" t="s">
        <v>422</v>
      </c>
      <c r="D10" s="25" t="s">
        <v>248</v>
      </c>
      <c r="E10" s="17">
        <v>0</v>
      </c>
      <c r="F10" s="65" t="s">
        <v>254</v>
      </c>
      <c r="G10" s="17">
        <v>0</v>
      </c>
      <c r="H10" s="82">
        <v>-59.050330000000002</v>
      </c>
      <c r="I10" s="73">
        <v>1.0000000033869414</v>
      </c>
      <c r="J10" s="32">
        <v>-5.8618392360897597E-4</v>
      </c>
      <c r="K10" s="14"/>
      <c r="L10" s="14"/>
      <c r="M10" s="14"/>
      <c r="N10" s="14"/>
      <c r="O10" s="14"/>
      <c r="P10" s="14"/>
    </row>
    <row r="11" spans="1:20" s="113" customFormat="1" x14ac:dyDescent="0.25">
      <c r="A11" s="89" t="s">
        <v>414</v>
      </c>
      <c r="B11" s="158" t="s">
        <v>248</v>
      </c>
      <c r="C11" s="116" t="s">
        <v>248</v>
      </c>
      <c r="D11" s="139" t="s">
        <v>248</v>
      </c>
      <c r="E11" s="152" t="s">
        <v>248</v>
      </c>
      <c r="F11" s="128" t="s">
        <v>248</v>
      </c>
      <c r="G11" s="152" t="s">
        <v>248</v>
      </c>
      <c r="H11" s="117">
        <v>0</v>
      </c>
      <c r="I11" s="115">
        <v>0</v>
      </c>
      <c r="J11" s="115">
        <v>0</v>
      </c>
    </row>
    <row r="12" spans="1:20" s="113" customFormat="1" x14ac:dyDescent="0.25">
      <c r="A12" s="75" t="s">
        <v>241</v>
      </c>
      <c r="B12" s="75"/>
      <c r="C12" s="119"/>
      <c r="D12" s="75"/>
      <c r="E12" s="140"/>
      <c r="F12" s="140"/>
      <c r="G12" s="140"/>
      <c r="H12" s="140"/>
      <c r="I12" s="140"/>
      <c r="J12" s="121"/>
      <c r="K12" s="124"/>
      <c r="L12" s="142"/>
      <c r="M12" s="142"/>
      <c r="N12" s="142"/>
      <c r="O12" s="124"/>
      <c r="P12" s="124"/>
    </row>
    <row r="13" spans="1:20" s="113" customFormat="1" x14ac:dyDescent="0.25">
      <c r="A13" s="75" t="s">
        <v>242</v>
      </c>
      <c r="B13" s="75"/>
      <c r="C13" s="119"/>
      <c r="D13" s="75"/>
      <c r="E13" s="140"/>
      <c r="F13" s="140"/>
      <c r="G13" s="140"/>
      <c r="H13" s="140"/>
      <c r="I13" s="140"/>
      <c r="J13" s="121"/>
      <c r="K13" s="124"/>
      <c r="L13" s="142"/>
      <c r="M13" s="142"/>
      <c r="N13" s="142"/>
      <c r="O13" s="124"/>
      <c r="P13" s="124"/>
    </row>
    <row r="14" spans="1:20" s="113" customFormat="1" x14ac:dyDescent="0.25">
      <c r="A14" s="75" t="s">
        <v>243</v>
      </c>
      <c r="B14" s="75"/>
      <c r="C14" s="119"/>
      <c r="D14" s="75"/>
      <c r="E14" s="140"/>
      <c r="F14" s="140"/>
      <c r="G14" s="140"/>
      <c r="H14" s="140"/>
      <c r="I14" s="140"/>
      <c r="J14" s="121"/>
      <c r="K14" s="124"/>
      <c r="L14" s="142"/>
      <c r="M14" s="142"/>
      <c r="N14" s="142"/>
      <c r="O14" s="124"/>
      <c r="P14" s="124"/>
    </row>
    <row r="15" spans="1:20" s="113" customFormat="1" x14ac:dyDescent="0.25">
      <c r="A15" s="75" t="s">
        <v>244</v>
      </c>
      <c r="B15" s="75"/>
      <c r="C15" s="119"/>
      <c r="D15" s="75"/>
      <c r="E15" s="140"/>
      <c r="F15" s="140"/>
      <c r="G15" s="140"/>
      <c r="H15" s="140"/>
      <c r="I15" s="140"/>
      <c r="J15" s="121"/>
      <c r="K15" s="124"/>
      <c r="L15" s="142"/>
      <c r="M15" s="142"/>
      <c r="N15" s="142"/>
      <c r="O15" s="124"/>
      <c r="P15" s="124"/>
    </row>
    <row r="16" spans="1:20" s="113" customFormat="1" x14ac:dyDescent="0.25">
      <c r="A16" s="75" t="s">
        <v>245</v>
      </c>
      <c r="B16" s="75"/>
      <c r="C16" s="119"/>
      <c r="D16" s="75"/>
      <c r="E16" s="140"/>
      <c r="F16" s="140"/>
      <c r="G16" s="140"/>
      <c r="H16" s="140"/>
      <c r="I16" s="140"/>
      <c r="J16" s="121"/>
      <c r="K16" s="124"/>
      <c r="L16" s="142"/>
      <c r="M16" s="142"/>
      <c r="N16" s="142"/>
      <c r="O16" s="124"/>
      <c r="P16" s="124"/>
    </row>
  </sheetData>
  <mergeCells count="1">
    <mergeCell ref="A4:J4"/>
  </mergeCells>
  <phoneticPr fontId="3" type="noConversion"/>
  <conditionalFormatting sqref="A9:A11 F9:F11 H9:J11">
    <cfRule type="expression" dxfId="28" priority="423" stopIfTrue="1">
      <formula>LEFT(#REF!,3)="TIR"</formula>
    </cfRule>
  </conditionalFormatting>
  <conditionalFormatting sqref="B9:D11 J9:J11">
    <cfRule type="expression" dxfId="27" priority="420" stopIfTrue="1">
      <formula>LEFT(#REF!,3)="TIR"</formula>
    </cfRule>
  </conditionalFormatting>
  <conditionalFormatting sqref="H9:J11 F9:F11 A9:A1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1 K12:K5554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1"/>
  <sheetViews>
    <sheetView showGridLines="0" rightToLeft="1" workbookViewId="0"/>
  </sheetViews>
  <sheetFormatPr defaultRowHeight="13.2" x14ac:dyDescent="0.25"/>
  <cols>
    <col min="1" max="1" width="26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246</v>
      </c>
    </row>
    <row r="4" spans="1:3" x14ac:dyDescent="0.25">
      <c r="A4" s="214" t="s">
        <v>128</v>
      </c>
      <c r="B4" s="215"/>
      <c r="C4" s="216"/>
    </row>
    <row r="5" spans="1:3" x14ac:dyDescent="0.25">
      <c r="A5" s="83" t="s">
        <v>157</v>
      </c>
      <c r="B5" s="197" t="s">
        <v>63</v>
      </c>
      <c r="C5" s="92" t="s">
        <v>64</v>
      </c>
    </row>
    <row r="6" spans="1:3" x14ac:dyDescent="0.25">
      <c r="A6" s="26"/>
      <c r="B6" s="3" t="s">
        <v>10</v>
      </c>
      <c r="C6" s="43" t="s">
        <v>40</v>
      </c>
    </row>
    <row r="7" spans="1:3" s="108" customFormat="1" x14ac:dyDescent="0.25">
      <c r="A7" s="159"/>
      <c r="B7" s="160">
        <v>1</v>
      </c>
      <c r="C7" s="161">
        <v>2</v>
      </c>
    </row>
    <row r="8" spans="1:3" s="108" customFormat="1" ht="13.8" thickBot="1" x14ac:dyDescent="0.3">
      <c r="A8" s="69" t="s">
        <v>826</v>
      </c>
      <c r="B8" s="162">
        <v>2.0000000000000002E-7</v>
      </c>
      <c r="C8" s="110" t="s">
        <v>248</v>
      </c>
    </row>
    <row r="9" spans="1:3" s="108" customFormat="1" x14ac:dyDescent="0.25">
      <c r="A9" s="109" t="s">
        <v>137</v>
      </c>
      <c r="B9" s="163">
        <v>1.0000000000000001E-7</v>
      </c>
      <c r="C9" s="164" t="s">
        <v>248</v>
      </c>
    </row>
    <row r="10" spans="1:3" s="108" customFormat="1" x14ac:dyDescent="0.25">
      <c r="A10" s="165" t="s">
        <v>414</v>
      </c>
      <c r="B10" s="166">
        <v>1.0000000000000001E-7</v>
      </c>
      <c r="C10" s="167" t="s">
        <v>248</v>
      </c>
    </row>
    <row r="11" spans="1:3" x14ac:dyDescent="0.25">
      <c r="A11" t="s">
        <v>825</v>
      </c>
    </row>
  </sheetData>
  <mergeCells count="1">
    <mergeCell ref="A4:C4"/>
  </mergeCells>
  <phoneticPr fontId="3" type="noConversion"/>
  <conditionalFormatting sqref="A8:C1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7" t="s">
        <v>98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9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3" t="s">
        <v>102</v>
      </c>
      <c r="M5" s="84" t="s">
        <v>17</v>
      </c>
      <c r="N5" s="84" t="s">
        <v>75</v>
      </c>
      <c r="O5" s="92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4" t="s">
        <v>116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5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200" t="s">
        <v>144</v>
      </c>
      <c r="B16" s="201"/>
      <c r="C16" s="201"/>
      <c r="D16" s="201"/>
      <c r="E16" s="201"/>
      <c r="F16" s="201"/>
      <c r="G16" s="201"/>
      <c r="H16" s="202"/>
      <c r="I16" s="203"/>
      <c r="J16" s="204"/>
      <c r="K16" s="205"/>
      <c r="L16" s="204"/>
      <c r="M16" s="206"/>
      <c r="N16" s="207"/>
      <c r="O16" s="208"/>
      <c r="P16" s="14"/>
      <c r="Q16" s="14"/>
      <c r="R16" s="14"/>
      <c r="S16" s="14"/>
      <c r="T16" s="14"/>
      <c r="U16" s="14"/>
    </row>
    <row r="17" spans="1:19" x14ac:dyDescent="0.25">
      <c r="A17" s="105" t="s">
        <v>145</v>
      </c>
      <c r="O17" s="37"/>
      <c r="Q17" s="18"/>
      <c r="R17" s="18"/>
      <c r="S17" s="18"/>
    </row>
    <row r="18" spans="1:19" x14ac:dyDescent="0.25">
      <c r="A18" s="105" t="s">
        <v>146</v>
      </c>
      <c r="O18" s="37"/>
      <c r="Q18" s="18"/>
      <c r="R18" s="18"/>
      <c r="S18" s="18"/>
    </row>
    <row r="19" spans="1:19" x14ac:dyDescent="0.25">
      <c r="A19" s="105" t="s">
        <v>147</v>
      </c>
      <c r="O19" s="37"/>
      <c r="Q19" s="18"/>
      <c r="R19" s="18"/>
      <c r="S19" s="18"/>
    </row>
    <row r="20" spans="1:19" x14ac:dyDescent="0.25">
      <c r="A20" s="105" t="s">
        <v>148</v>
      </c>
      <c r="O20" s="37"/>
      <c r="Q20" s="18"/>
      <c r="R20" s="18"/>
      <c r="S20" s="18"/>
    </row>
    <row r="21" spans="1:19" x14ac:dyDescent="0.25">
      <c r="A21" s="105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7" t="s">
        <v>117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9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3" t="s">
        <v>102</v>
      </c>
      <c r="M5" s="84" t="s">
        <v>17</v>
      </c>
      <c r="N5" s="84" t="s">
        <v>75</v>
      </c>
      <c r="O5" s="92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4" t="s">
        <v>119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5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200" t="s">
        <v>144</v>
      </c>
      <c r="B16" s="201"/>
      <c r="C16" s="201"/>
      <c r="D16" s="201"/>
      <c r="E16" s="201"/>
      <c r="F16" s="201"/>
      <c r="G16" s="201"/>
      <c r="H16" s="202"/>
      <c r="I16" s="203"/>
      <c r="J16" s="204"/>
      <c r="K16" s="205"/>
      <c r="L16" s="204"/>
      <c r="M16" s="206"/>
      <c r="N16" s="207"/>
      <c r="O16" s="208"/>
      <c r="P16" s="14"/>
      <c r="Q16" s="14"/>
      <c r="R16" s="14"/>
      <c r="S16" s="14"/>
      <c r="T16" s="14"/>
      <c r="U16" s="14"/>
    </row>
    <row r="17" spans="1:19" x14ac:dyDescent="0.25">
      <c r="A17" s="105" t="s">
        <v>145</v>
      </c>
      <c r="O17" s="37"/>
      <c r="Q17" s="18"/>
      <c r="R17" s="18"/>
      <c r="S17" s="18"/>
    </row>
    <row r="18" spans="1:19" x14ac:dyDescent="0.25">
      <c r="A18" s="105" t="s">
        <v>146</v>
      </c>
      <c r="O18" s="37"/>
      <c r="Q18" s="18"/>
      <c r="R18" s="18"/>
      <c r="S18" s="18"/>
    </row>
    <row r="19" spans="1:19" x14ac:dyDescent="0.25">
      <c r="A19" s="105" t="s">
        <v>147</v>
      </c>
      <c r="O19" s="37"/>
      <c r="Q19" s="18"/>
      <c r="R19" s="18"/>
      <c r="S19" s="18"/>
    </row>
    <row r="20" spans="1:19" x14ac:dyDescent="0.25">
      <c r="A20" s="105" t="s">
        <v>148</v>
      </c>
      <c r="O20" s="37"/>
      <c r="Q20" s="18"/>
      <c r="R20" s="18"/>
      <c r="S20" s="18"/>
    </row>
    <row r="21" spans="1:19" x14ac:dyDescent="0.25">
      <c r="A21" s="105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7" t="s">
        <v>118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9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3" t="s">
        <v>102</v>
      </c>
      <c r="M5" s="84" t="s">
        <v>17</v>
      </c>
      <c r="N5" s="84" t="s">
        <v>75</v>
      </c>
      <c r="O5" s="92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4" t="s">
        <v>120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5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200" t="s">
        <v>144</v>
      </c>
      <c r="B16" s="201"/>
      <c r="C16" s="201"/>
      <c r="D16" s="201"/>
      <c r="E16" s="201"/>
      <c r="F16" s="201"/>
      <c r="G16" s="201"/>
      <c r="H16" s="202"/>
      <c r="I16" s="203"/>
      <c r="J16" s="204"/>
      <c r="K16" s="205"/>
      <c r="L16" s="204"/>
      <c r="M16" s="206"/>
      <c r="N16" s="207"/>
      <c r="O16" s="208"/>
      <c r="P16" s="14"/>
      <c r="Q16" s="14"/>
      <c r="R16" s="14"/>
      <c r="S16" s="14"/>
      <c r="T16" s="14"/>
      <c r="U16" s="14"/>
    </row>
    <row r="17" spans="1:19" x14ac:dyDescent="0.25">
      <c r="A17" s="105" t="s">
        <v>145</v>
      </c>
      <c r="O17" s="37"/>
      <c r="Q17" s="18"/>
      <c r="R17" s="18"/>
      <c r="S17" s="18"/>
    </row>
    <row r="18" spans="1:19" x14ac:dyDescent="0.25">
      <c r="A18" s="105" t="s">
        <v>146</v>
      </c>
      <c r="O18" s="37"/>
      <c r="Q18" s="18"/>
      <c r="R18" s="18"/>
      <c r="S18" s="18"/>
    </row>
    <row r="19" spans="1:19" x14ac:dyDescent="0.25">
      <c r="A19" s="105" t="s">
        <v>147</v>
      </c>
      <c r="O19" s="37"/>
      <c r="Q19" s="18"/>
      <c r="R19" s="18"/>
      <c r="S19" s="18"/>
    </row>
    <row r="20" spans="1:19" x14ac:dyDescent="0.25">
      <c r="A20" s="105" t="s">
        <v>148</v>
      </c>
      <c r="O20" s="37"/>
      <c r="Q20" s="18"/>
      <c r="R20" s="18"/>
      <c r="S20" s="18"/>
    </row>
    <row r="21" spans="1:19" x14ac:dyDescent="0.25">
      <c r="A21" s="105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2025-05-21T19:03:40Z</dcterms:modified>
</cp:coreProperties>
</file>