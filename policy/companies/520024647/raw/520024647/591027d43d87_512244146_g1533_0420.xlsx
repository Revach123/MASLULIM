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הלכתי הוד\דוח נכסים\רבעון 4\"/>
    </mc:Choice>
  </mc:AlternateContent>
  <xr:revisionPtr revIDLastSave="0" documentId="8_{34ACA6A7-96CA-45E5-B6B1-752ACB65C873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קונצרני'!$A$5:$T$29</definedName>
    <definedName name="_xlnm.Print_Area" localSheetId="9">אופציות!$A$5:$K$25</definedName>
    <definedName name="_xlnm.Print_Area" localSheetId="21">הלוואות!$A$5:$Q$32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עתידיים'!$A$5:$J$93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מזומנים!$A$5:$K$44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נאמנות'!$A$5:$N$26</definedName>
    <definedName name="_xlnm.Print_Area" localSheetId="6">'קרנות סל'!$A$5:$M$79</definedName>
    <definedName name="_xlnm.Print_Area" localSheetId="2">'תעודות התחייבות ממשלתיות'!$A$5:$Q$47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<sst xmlns="http://schemas.openxmlformats.org/spreadsheetml/2006/main" count="4986" uniqueCount="824">
  <si>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</si>
  <si>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</si>
  <si>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</si>
  <si>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</si>
  <si>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</si>
  <si>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</si>
  <si>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</si>
  <si>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</si>
  <si>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</si>
  <si>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</si>
  <si>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</si>
  <si>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</si>
  <si>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</si>
  <si>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</si>
  <si>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</si>
  <si>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</si>
  <si>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</si>
  <si>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</si>
  <si>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</si>
  <si>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</si>
  <si>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</si>
  <si>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</si>
  <si>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</si>
  <si>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</si>
  <si>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</si>
  <si>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</si>
  <si>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</si>
  <si>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</si>
  <si>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</si>
  <si>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</si>
  <si>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</si>
  <si>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</si>
  <si>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</si>
  <si>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</si>
  <si>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</si>
  <si>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</si>
  <si>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</si>
  <si>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</si>
  <si>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</si>
  <si>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</si>
  <si>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</si>
  <si>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</si>
  <si>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</si>
  <si>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</si>
  <si>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</si>
  <si>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</si>
  <si>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</si>
  <si>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</si>
  <si>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</si>
  <si>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</si>
  <si>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</si>
  <si>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</si>
  <si>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</si>
  <si>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</si>
  <si>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</si>
  <si>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</si>
  <si>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</si>
  <si>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</si>
  <si>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</si>
  <si>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</si>
  <si>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</si>
  <si>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</si>
  <si>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</si>
  <si>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</si>
  <si>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</si>
  <si>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</si>
  <si>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</si>
  <si>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</si>
  <si>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</si>
  <si>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</si>
  <si>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</si>
  <si>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</si>
  <si>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</si>
  <si>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</si>
  <si>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</si>
  <si>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</si>
  <si>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</si>
  <si>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</si>
  <si>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</si>
  <si>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</si>
  <si>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</si>
  <si>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</si>
  <si>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</si>
  <si>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</si>
  <si>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</si>
  <si>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</si>
  <si>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</si>
  <si>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</si>
  <si>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</si>
  <si>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</si>
  <si>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</si>
  <si>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</si>
  <si>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</si>
  <si>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</si>
  <si>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</si>
  <si>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</si>
  <si>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</si>
  <si>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</si>
  <si>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</si>
  <si>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</si>
  <si>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</si>
  <si>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</si>
  <si>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</si>
  <si>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</si>
  <si>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</si>
  <si>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</si>
  <si>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</si>
  <si>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</si>
  <si>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</si>
  <si>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</si>
  <si>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</si>
  <si>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</si>
  <si>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</si>
  <si>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</si>
  <si>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</si>
  <si>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</si>
  <si>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</si>
  <si>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</si>
  <si>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</si>
  <si>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</si>
  <si>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</si>
  <si>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</si>
  <si>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</si>
  <si>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</si>
  <si>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</si>
  <si>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</si>
  <si>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</si>
  <si>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</si>
  <si>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</si>
  <si>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</si>
  <si>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</si>
  <si>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</si>
  <si>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</si>
  <si>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</si>
  <si>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</si>
  <si>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</si>
  <si>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</si>
  <si>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</si>
  <si>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</si>
  <si>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</si>
  <si>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</si>
  <si>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</si>
  <si>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</si>
  <si>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</si>
  <si>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</si>
  <si>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</si>
  <si>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</si>
  <si>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</si>
  <si>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</si>
  <si>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</si>
  <si>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</si>
  <si>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</si>
  <si>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</si>
  <si>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</si>
  <si>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</si>
  <si>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</si>
  <si>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</si>
  <si>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</si>
  <si>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</si>
  <si>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</si>
  <si>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</si>
  <si>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</si>
  <si>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</si>
  <si>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</si>
  <si>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</si>
  <si>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</si>
  <si>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</si>
  <si>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</si>
  <si>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</si>
  <si>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</si>
  <si>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</si>
  <si>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</si>
  <si>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</si>
  <si>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</si>
  <si>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</si>
  <si>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</si>
  <si>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</si>
  <si>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</si>
  <si>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</si>
  <si>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</si>
  <si>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</si>
  <si>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</si>
  <si>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</si>
  <si>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</si>
  <si>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</si>
  <si>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</si>
  <si>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</si>
  <si>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</si>
  <si>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</si>
  <si>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</si>
  <si>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</si>
  <si>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</si>
  <si>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</si>
  <si>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</si>
  <si>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</si>
  <si>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</si>
  <si>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</si>
  <si>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</si>
  <si>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</si>
  <si>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</si>
  <si>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</si>
  <si>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</si>
  <si>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</si>
  <si>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</si>
  <si>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</si>
  <si>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</si>
  <si>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</si>
  <si>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</si>
  <si>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</si>
  <si>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</si>
  <si>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</si>
  <si>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</si>
  <si>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</si>
  <si>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</si>
  <si>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</si>
  <si>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</si>
  <si>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</si>
  <si>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</si>
  <si>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</si>
  <si>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</si>
  <si>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</si>
  <si>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</si>
  <si>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</si>
  <si>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</si>
  <si>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</si>
  <si>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</si>
  <si>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</si>
  <si>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</si>
  <si>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</si>
  <si>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</si>
  <si>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</si>
  <si>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</si>
  <si>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</si>
  <si>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</si>
  <si>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</si>
  <si>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</si>
  <si>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1533</t>
  </si>
  <si>
    <t>12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</si>
  <si>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</si>
  <si>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</si>
  <si>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</si>
  <si>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</si>
  <si>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</si>
  <si>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</si>
  <si>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</si>
  <si>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</si>
  <si>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</si>
  <si>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30023840</t>
  </si>
  <si>
    <t>10</t>
  </si>
  <si>
    <t>30089270</t>
  </si>
  <si>
    <t>30091530</t>
  </si>
  <si>
    <t>30098590</t>
  </si>
  <si>
    <t>30098610</t>
  </si>
  <si>
    <t>27295737</t>
  </si>
  <si>
    <t>27295738</t>
  </si>
  <si>
    <t>30023370</t>
  </si>
  <si>
    <t>30038310</t>
  </si>
  <si>
    <t xml:space="preserve">יתרות מזומנים ועו"ש נקובים במט"ח </t>
  </si>
  <si>
    <t>30005940</t>
  </si>
  <si>
    <t>30021060</t>
  </si>
  <si>
    <t>30023860</t>
  </si>
  <si>
    <t>30021080</t>
  </si>
  <si>
    <t>30023880</t>
  </si>
  <si>
    <t>30023900</t>
  </si>
  <si>
    <t>30023920</t>
  </si>
  <si>
    <t>יין יפני</t>
  </si>
  <si>
    <t>2960326</t>
  </si>
  <si>
    <t>30041720</t>
  </si>
  <si>
    <t>30006470</t>
  </si>
  <si>
    <t>30036360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</si>
  <si>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</si>
  <si>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</si>
  <si>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</si>
  <si>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</si>
  <si>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</si>
  <si>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</si>
  <si>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</si>
  <si>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30028700</t>
  </si>
  <si>
    <t>88</t>
  </si>
  <si>
    <t>A1</t>
  </si>
  <si>
    <t>Moodys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</si>
  <si>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</si>
  <si>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</si>
  <si>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</si>
  <si>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</si>
  <si>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</si>
  <si>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</si>
  <si>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</si>
  <si>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</si>
  <si>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</si>
  <si>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</si>
  <si>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</si>
  <si>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</si>
  <si>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</si>
  <si>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</si>
  <si>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</si>
  <si>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</si>
  <si>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</si>
  <si>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</si>
  <si>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</si>
  <si>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</si>
  <si>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</si>
  <si>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</si>
  <si>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</si>
  <si>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</si>
  <si>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</si>
  <si>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</si>
  <si>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</si>
  <si>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</si>
  <si>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</si>
  <si>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</si>
  <si>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</si>
  <si>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</si>
  <si>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</si>
  <si>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</si>
  <si>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</si>
  <si>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</si>
  <si>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</si>
  <si>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</si>
  <si>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</si>
  <si>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</si>
  <si>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</si>
  <si>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</si>
  <si>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</si>
  <si>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</si>
  <si>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</si>
  <si>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</si>
  <si>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</si>
  <si>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</si>
  <si>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</si>
  <si>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</si>
  <si>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</si>
  <si>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</si>
  <si>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</si>
  <si>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</si>
  <si>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</si>
  <si>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</si>
  <si>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</si>
  <si>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</si>
  <si>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</si>
  <si>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</si>
  <si>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</si>
  <si>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</si>
  <si>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</si>
  <si>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</si>
  <si>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</si>
  <si>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</si>
  <si>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</si>
  <si>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</si>
  <si>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</si>
  <si>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</si>
  <si>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</si>
  <si>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</si>
  <si>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</si>
  <si>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</si>
  <si>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</si>
  <si>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</si>
  <si>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</si>
  <si>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</si>
  <si>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</si>
  <si>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</si>
  <si>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</si>
  <si>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</si>
  <si>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</si>
  <si>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</si>
  <si>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</si>
  <si>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</si>
  <si>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</si>
  <si>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סה"כ אג"ח שהנפיקו ממשלות זרות בחו"ל</t>
  </si>
  <si>
    <t>MBONO 8 07/12/23</t>
  </si>
  <si>
    <t>MX0MGO000003</t>
  </si>
  <si>
    <t>BBB-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</si>
  <si>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</si>
  <si>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</si>
  <si>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</si>
  <si>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</si>
  <si>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</si>
  <si>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</si>
  <si>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</si>
  <si>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</si>
  <si>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</si>
  <si>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</si>
  <si>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</si>
  <si>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</si>
  <si>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</si>
  <si>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</si>
  <si>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</si>
  <si>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</si>
  <si>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</si>
  <si>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</si>
  <si>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</si>
  <si>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</si>
  <si>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</si>
  <si>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</si>
  <si>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</si>
  <si>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</si>
  <si>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</si>
  <si>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</si>
  <si>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</si>
  <si>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</si>
  <si>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</si>
  <si>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28/12/2010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</si>
  <si>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</si>
  <si>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</si>
  <si>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</si>
  <si>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</si>
  <si>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</si>
  <si>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</si>
  <si>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</si>
  <si>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ilAA-</t>
  </si>
  <si>
    <t>18/05/2007</t>
  </si>
  <si>
    <t>פועלים הנפקות שה נדחה 1</t>
  </si>
  <si>
    <t>1940444</t>
  </si>
  <si>
    <t>ilAA</t>
  </si>
  <si>
    <t>30/06/2009</t>
  </si>
  <si>
    <t>הראל הנפקות אגח טז</t>
  </si>
  <si>
    <t>1157601</t>
  </si>
  <si>
    <t>513834200</t>
  </si>
  <si>
    <t>18/04/2019</t>
  </si>
  <si>
    <t>סה"כ צמודות למדד אחר</t>
  </si>
  <si>
    <t>XDGU LN Equity</t>
  </si>
  <si>
    <t>IE00BZ036H21</t>
  </si>
  <si>
    <t>LSE</t>
  </si>
  <si>
    <t>Bloomberg</t>
  </si>
  <si>
    <t>NR</t>
  </si>
  <si>
    <t>24/07/2019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</si>
  <si>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</si>
  <si>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</si>
  <si>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</si>
  <si>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</si>
  <si>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</si>
  <si>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</si>
  <si>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</si>
  <si>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</si>
  <si>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</si>
  <si>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513865626</t>
  </si>
  <si>
    <t>מניות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</si>
  <si>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</si>
  <si>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</si>
  <si>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</si>
  <si>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</si>
  <si>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</si>
  <si>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</si>
  <si>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</si>
  <si>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</si>
  <si>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</si>
  <si>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</si>
  <si>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</si>
  <si>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</si>
  <si>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</si>
  <si>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</si>
  <si>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</si>
  <si>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</si>
  <si>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</si>
  <si>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</si>
  <si>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</si>
  <si>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</si>
  <si>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</si>
  <si>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</si>
  <si>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</si>
  <si>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</si>
  <si>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</si>
  <si>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</si>
  <si>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</si>
  <si>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</si>
  <si>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</si>
  <si>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</si>
  <si>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</si>
  <si>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</si>
  <si>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</si>
  <si>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</si>
  <si>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</si>
  <si>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</si>
  <si>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VOO US Equity</t>
  </si>
  <si>
    <t>US9229083632</t>
  </si>
  <si>
    <t>NYSE</t>
  </si>
  <si>
    <t>Stocks</t>
  </si>
  <si>
    <t>SPXS LN Equity</t>
  </si>
  <si>
    <t>IE00B3YCGJ38</t>
  </si>
  <si>
    <t>XSPU LN Equity</t>
  </si>
  <si>
    <t>LU0490618542</t>
  </si>
  <si>
    <t>XDAX GY Equity</t>
  </si>
  <si>
    <t>LU0274211480</t>
  </si>
  <si>
    <t>DAX</t>
  </si>
  <si>
    <t>1306 JP Equity</t>
  </si>
  <si>
    <t>JP3027630007</t>
  </si>
  <si>
    <t>TSE</t>
  </si>
  <si>
    <t>VMID LN Equity</t>
  </si>
  <si>
    <t>IE00BKX55Q28</t>
  </si>
  <si>
    <t>EEM US Equity</t>
  </si>
  <si>
    <t>US4642872349</t>
  </si>
  <si>
    <t>MXFS LN Equity</t>
  </si>
  <si>
    <t>IE00B3DWVS88</t>
  </si>
  <si>
    <t>AEEM FP Equity</t>
  </si>
  <si>
    <t>LU1681045370</t>
  </si>
  <si>
    <t>CAC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</si>
  <si>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</si>
  <si>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</si>
  <si>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</si>
  <si>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</si>
  <si>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</si>
  <si>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</si>
  <si>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</si>
  <si>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</si>
  <si>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 Equity</t>
  </si>
  <si>
    <t>US4642895290</t>
  </si>
  <si>
    <t>NASDAQ</t>
  </si>
  <si>
    <t>FLXK LN Equity</t>
  </si>
  <si>
    <t>IE00BHZRR030</t>
  </si>
  <si>
    <t>AASU FP Equity</t>
  </si>
  <si>
    <t>LU1681044563</t>
  </si>
  <si>
    <t>סה"כ שעוקבות אחר מדדים אחרים</t>
  </si>
  <si>
    <t>SGLD LN Equity</t>
  </si>
  <si>
    <t>IE00B579F325</t>
  </si>
  <si>
    <t>EMLB LN Equity</t>
  </si>
  <si>
    <t>IE00B4P11460</t>
  </si>
  <si>
    <t>Bonds</t>
  </si>
  <si>
    <t>CYBA NA Equity</t>
  </si>
  <si>
    <t>IE00BKPSFD61</t>
  </si>
  <si>
    <t>IGAA LN Equity</t>
  </si>
  <si>
    <t>IE00BFM6T814</t>
  </si>
  <si>
    <t>XLE US Equity</t>
  </si>
  <si>
    <t>US81369Y5069</t>
  </si>
  <si>
    <t>XLV US Equity</t>
  </si>
  <si>
    <t>US81369Y2090</t>
  </si>
  <si>
    <t>XLP US Equity</t>
  </si>
  <si>
    <t>US81369Y3080</t>
  </si>
  <si>
    <t>XLU US Equity</t>
  </si>
  <si>
    <t>US81369Y8865</t>
  </si>
  <si>
    <t>XLF US Equity</t>
  </si>
  <si>
    <t>US81369Y6059</t>
  </si>
  <si>
    <t>KBE US Equity</t>
  </si>
  <si>
    <t>US78464A7972</t>
  </si>
  <si>
    <t>SOXX US Equity</t>
  </si>
  <si>
    <t>US4642875235</t>
  </si>
  <si>
    <t>XBI US Equity</t>
  </si>
  <si>
    <t>US78464A8707</t>
  </si>
  <si>
    <t>IBUY US Equity</t>
  </si>
  <si>
    <t>US0321081020</t>
  </si>
  <si>
    <t>FIVG US Equity</t>
  </si>
  <si>
    <t>US26922A2895</t>
  </si>
  <si>
    <t>IHF US Equity</t>
  </si>
  <si>
    <t>US4642888287</t>
  </si>
  <si>
    <t>TAN US Equity</t>
  </si>
  <si>
    <t>US46138G7060</t>
  </si>
  <si>
    <t>XLVS LN Equity</t>
  </si>
  <si>
    <t>IE00B3WMTH43</t>
  </si>
  <si>
    <t>JETS US Equity</t>
  </si>
  <si>
    <t>US26922A8421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</si>
  <si>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</si>
  <si>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</si>
  <si>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</si>
  <si>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</si>
  <si>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</si>
  <si>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</si>
  <si>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</si>
  <si>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</si>
  <si>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</si>
  <si>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</si>
  <si>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</si>
  <si>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</si>
  <si>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</si>
  <si>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</si>
  <si>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HKSE</t>
  </si>
  <si>
    <t>2809 HK Equity</t>
  </si>
  <si>
    <t>HK0000562675</t>
  </si>
  <si>
    <t>2845 HK Equity</t>
  </si>
  <si>
    <t>HK0000562659</t>
  </si>
  <si>
    <t>סה"כ אג"ח ממשלתי</t>
  </si>
  <si>
    <t>PIMEMBI ID Equity</t>
  </si>
  <si>
    <t>IE0030759645</t>
  </si>
  <si>
    <t>DEMDHCI LX Equity</t>
  </si>
  <si>
    <t>LU1204911488</t>
  </si>
  <si>
    <t>BAEMBUA ID Equity</t>
  </si>
  <si>
    <t>IE00BKZGKM40</t>
  </si>
  <si>
    <t>IEMDTRI LX Equity</t>
  </si>
  <si>
    <t>LU1194085475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</si>
  <si>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</si>
  <si>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</si>
  <si>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</si>
  <si>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</si>
  <si>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</si>
  <si>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</si>
  <si>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</si>
  <si>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</si>
  <si>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</si>
  <si>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</si>
  <si>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</si>
  <si>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</si>
  <si>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EEM US 02/19/21 C52 Equity</t>
  </si>
  <si>
    <t>70346937</t>
  </si>
  <si>
    <t>EEM US 02/19/21 P44 Equity</t>
  </si>
  <si>
    <t>70352133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</si>
  <si>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</si>
  <si>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</si>
  <si>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</si>
  <si>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</si>
  <si>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</si>
  <si>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</si>
  <si>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GXH1 Index</t>
  </si>
  <si>
    <t>DE000C5HZJF7</t>
  </si>
  <si>
    <t>ESH1 Index</t>
  </si>
  <si>
    <t>70750732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</si>
  <si>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</si>
  <si>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</si>
  <si>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</si>
  <si>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</si>
  <si>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</si>
  <si>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</si>
  <si>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</si>
  <si>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</si>
  <si>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</si>
  <si>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</si>
  <si>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</si>
  <si>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</si>
  <si>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</si>
  <si>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</si>
  <si>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</si>
  <si>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</si>
  <si>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</si>
  <si>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</si>
  <si>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</si>
  <si>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</si>
  <si>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</si>
  <si>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</si>
  <si>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</si>
  <si>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</si>
  <si>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</si>
  <si>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</si>
  <si>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</si>
  <si>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</si>
  <si>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</si>
  <si>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</si>
  <si>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</si>
  <si>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</si>
  <si>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</si>
  <si>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</si>
  <si>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</si>
  <si>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</si>
  <si>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06/01/2021 - USD</t>
  </si>
  <si>
    <t>445146906</t>
  </si>
  <si>
    <t>17/07/2020</t>
  </si>
  <si>
    <t>FW EURUSD 06/01/2021 - EUR</t>
  </si>
  <si>
    <t>445146907</t>
  </si>
  <si>
    <t>445149958</t>
  </si>
  <si>
    <t>12/08/2020</t>
  </si>
  <si>
    <t>445149959</t>
  </si>
  <si>
    <t>FW USDJPY 28/04/2021 - JPY</t>
  </si>
  <si>
    <t>445156234</t>
  </si>
  <si>
    <t>12/10/2020</t>
  </si>
  <si>
    <t>FW USDJPY 28/04/2021 - USD</t>
  </si>
  <si>
    <t>445156235</t>
  </si>
  <si>
    <t>FW GBPUSD 17/02/2021 - USD</t>
  </si>
  <si>
    <t>445164754</t>
  </si>
  <si>
    <t>24/12/2020</t>
  </si>
  <si>
    <t>FW GBPUSD 17/02/2021 - GBP</t>
  </si>
  <si>
    <t>445164755</t>
  </si>
  <si>
    <t>FW USDILS 12/05/2021 - ILS</t>
  </si>
  <si>
    <t>445137726</t>
  </si>
  <si>
    <t>06/05/2020</t>
  </si>
  <si>
    <t>FW USDILS 12/05/2021 - USD</t>
  </si>
  <si>
    <t>445137727</t>
  </si>
  <si>
    <t>445137972</t>
  </si>
  <si>
    <t>07/05/2020</t>
  </si>
  <si>
    <t>445137973</t>
  </si>
  <si>
    <t>FW USDILS 13/01/2021 - ILS</t>
  </si>
  <si>
    <t>445143384</t>
  </si>
  <si>
    <t>23/06/2020</t>
  </si>
  <si>
    <t>FW USDILS 13/01/2021 - USD</t>
  </si>
  <si>
    <t>445143385</t>
  </si>
  <si>
    <t>FW USDILS 03/02/2021 - ILS</t>
  </si>
  <si>
    <t>445144018</t>
  </si>
  <si>
    <t>06/07/2020</t>
  </si>
  <si>
    <t>FW USDILS 03/02/2021 - USD</t>
  </si>
  <si>
    <t>445144019</t>
  </si>
  <si>
    <t>FW USDILS 03/03/2021 - ILS</t>
  </si>
  <si>
    <t>445145382</t>
  </si>
  <si>
    <t>09/07/2020</t>
  </si>
  <si>
    <t>FW USDILS 03/03/2021 - USD</t>
  </si>
  <si>
    <t>445145383</t>
  </si>
  <si>
    <t>FW USDILS 07/04/2021 - ILS</t>
  </si>
  <si>
    <t>445145946</t>
  </si>
  <si>
    <t>13/07/2020</t>
  </si>
  <si>
    <t>FW USDILS 07/04/2021 - USD</t>
  </si>
  <si>
    <t>445145947</t>
  </si>
  <si>
    <t>FW USDILS 21/04/2021 - ILS</t>
  </si>
  <si>
    <t>445146156</t>
  </si>
  <si>
    <t>FW USDILS 21/04/2021 - USD</t>
  </si>
  <si>
    <t>445146157</t>
  </si>
  <si>
    <t>FW USDILS 10/08/2021 - ILS</t>
  </si>
  <si>
    <t>445149204</t>
  </si>
  <si>
    <t>10/08/2020</t>
  </si>
  <si>
    <t>FW USDILS 10/08/2021 - USD</t>
  </si>
  <si>
    <t>445149205</t>
  </si>
  <si>
    <t>445149340</t>
  </si>
  <si>
    <t>445149341</t>
  </si>
  <si>
    <t>445149454</t>
  </si>
  <si>
    <t>11/08/2020</t>
  </si>
  <si>
    <t>445149455</t>
  </si>
  <si>
    <t>445149698</t>
  </si>
  <si>
    <t>445149699</t>
  </si>
  <si>
    <t>FW USDILS 01/09/2021 - ILS</t>
  </si>
  <si>
    <t>445150136</t>
  </si>
  <si>
    <t>17/08/2020</t>
  </si>
  <si>
    <t>FW USDILS 01/09/2021 - USD</t>
  </si>
  <si>
    <t>445150137</t>
  </si>
  <si>
    <t>FW USDILS 06/10/2021 - ILS</t>
  </si>
  <si>
    <t>445152308</t>
  </si>
  <si>
    <t>07/09/2020</t>
  </si>
  <si>
    <t>FW USDILS 06/10/2021 - USD</t>
  </si>
  <si>
    <t>445152309</t>
  </si>
  <si>
    <t>445155948</t>
  </si>
  <si>
    <t>08/10/2020</t>
  </si>
  <si>
    <t>445155949</t>
  </si>
  <si>
    <t>FW USDILS 14/09/2021 - ILS</t>
  </si>
  <si>
    <t>445155950</t>
  </si>
  <si>
    <t>FW USDILS 14/09/2021 - USD</t>
  </si>
  <si>
    <t>445155951</t>
  </si>
  <si>
    <t>445158544</t>
  </si>
  <si>
    <t>16/11/2020</t>
  </si>
  <si>
    <t>445158545</t>
  </si>
  <si>
    <t>FW USDILS 23/06/2021 - ILS</t>
  </si>
  <si>
    <t>445158546</t>
  </si>
  <si>
    <t>FW USDILS 23/06/2021 - USD</t>
  </si>
  <si>
    <t>445158547</t>
  </si>
  <si>
    <t>445160076</t>
  </si>
  <si>
    <t>25/11/2020</t>
  </si>
  <si>
    <t>445160077</t>
  </si>
  <si>
    <t>FW USDILS 03/11/2021 - ILS</t>
  </si>
  <si>
    <t>445161156</t>
  </si>
  <si>
    <t>30/11/2020</t>
  </si>
  <si>
    <t>FW USDILS 03/11/2021 - USD</t>
  </si>
  <si>
    <t>445161157</t>
  </si>
  <si>
    <t>FW USDILS 24/02/2021 - USD</t>
  </si>
  <si>
    <t>445161860</t>
  </si>
  <si>
    <t>07/12/2020</t>
  </si>
  <si>
    <t>FW USDILS 24/02/2021 - ILS</t>
  </si>
  <si>
    <t>445161861</t>
  </si>
  <si>
    <t>445163980</t>
  </si>
  <si>
    <t>21/12/2020</t>
  </si>
  <si>
    <t>445163981</t>
  </si>
  <si>
    <t>FW USDILS 26/05/2021 - ILS</t>
  </si>
  <si>
    <t>445164550</t>
  </si>
  <si>
    <t>22/12/2020</t>
  </si>
  <si>
    <t>FW USDILS 26/05/2021 - USD</t>
  </si>
  <si>
    <t>445164551</t>
  </si>
  <si>
    <t>סה"כ חוזים עתידיים בחו"ל</t>
  </si>
  <si>
    <t>445144742</t>
  </si>
  <si>
    <t>445144743</t>
  </si>
  <si>
    <t>445147664</t>
  </si>
  <si>
    <t>31/07/2020</t>
  </si>
  <si>
    <t>445147665</t>
  </si>
  <si>
    <t>445148256</t>
  </si>
  <si>
    <t>05/08/2020</t>
  </si>
  <si>
    <t>445148257</t>
  </si>
  <si>
    <t>445151560</t>
  </si>
  <si>
    <t>31/08/2020</t>
  </si>
  <si>
    <t>445151561</t>
  </si>
  <si>
    <t>445157684</t>
  </si>
  <si>
    <t>09/11/2020</t>
  </si>
  <si>
    <t>445157685</t>
  </si>
  <si>
    <t>445158410</t>
  </si>
  <si>
    <t>11/11/2020</t>
  </si>
  <si>
    <t>445158411</t>
  </si>
  <si>
    <t>445159016</t>
  </si>
  <si>
    <t>23/11/2020</t>
  </si>
  <si>
    <t>445159017</t>
  </si>
  <si>
    <t>445162656</t>
  </si>
  <si>
    <t>08/12/2020</t>
  </si>
  <si>
    <t>445162657</t>
  </si>
  <si>
    <t>445163634</t>
  </si>
  <si>
    <t>17/12/2020</t>
  </si>
  <si>
    <t>445163635</t>
  </si>
  <si>
    <t>ND FW USDKRW 04/02/2021 - KRW</t>
  </si>
  <si>
    <t>445163788</t>
  </si>
  <si>
    <t>ND FW USDKRW 04/02/2021 - USD</t>
  </si>
  <si>
    <t>445163789</t>
  </si>
  <si>
    <t>סה"כ כנגד חסכון עמיתים/מבוטחים</t>
  </si>
  <si>
    <t>הלוואות עמיתים גמל הלכתי - שקלי</t>
  </si>
  <si>
    <t>333405004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</si>
  <si>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</si>
  <si>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</si>
  <si>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</si>
  <si>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</si>
  <si>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</si>
  <si>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</si>
  <si>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</si>
  <si>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</si>
  <si>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</si>
  <si>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</si>
  <si>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</si>
  <si>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</si>
  <si>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</si>
  <si>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</si>
  <si>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</si>
  <si>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</si>
  <si>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</si>
  <si>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</si>
  <si>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</si>
  <si>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</si>
  <si>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</si>
  <si>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</si>
  <si>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</si>
  <si>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</si>
  <si>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דולר  הפועלים בנק הפועלים בע"מ</t>
  </si>
  <si>
    <t>אירו  הפועלים בנק הפועלים בע"מ</t>
  </si>
  <si>
    <t>פזו מקסיקני  הפועלים בנק הפועלים בע"מ</t>
  </si>
  <si>
    <t>דולר קנדי  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</si>
  <si>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</si>
  <si>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</si>
  <si>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</si>
  <si>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הונג קונג  לאומי בנק לאומי לישראל בע"מ</t>
  </si>
  <si>
    <t>יורו  BNY Bny Mellon</t>
  </si>
  <si>
    <t>*בעל עניין/צד קשור</t>
  </si>
  <si>
    <t>סה"כ יתרות התחייבות להשקעה</t>
  </si>
  <si>
    <t>יין יפני  לאומי בנק לאומי לישראל בע"מ</t>
  </si>
  <si>
    <t>יין יפני  לאומי עדכון ידני בנק לאומי לישראל בע"מ</t>
  </si>
  <si>
    <t>עמית א</t>
  </si>
  <si>
    <t>עמית ב</t>
  </si>
  <si>
    <t>עמית ג</t>
  </si>
  <si>
    <t>עמית ד</t>
  </si>
  <si>
    <t>עמית ה</t>
  </si>
  <si>
    <t>עמית ו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</si>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</sst>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8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10" fontId="0" fillId="3" borderId="32" xfId="1" applyNumberFormat="1" applyFont="1" applyFill="1" applyBorder="1" applyAlignment="1">
      <alignment horizontal="center"/>
    </xf>
    <xf numFmtId="2" fontId="0" fillId="3" borderId="32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  <xf numFmtId="4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0" fillId="3" borderId="32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4" fontId="3" fillId="3" borderId="32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D13B3-719E-48B8-86F7-DCB6BB9EDB35}" name="טבלה2" displayName="טבלה2" ref="A6:C42" totalsRowShown="0" headerRowBorderDxfId="572" tableBorderDxfId="573">
  <autoFilter ref="A6:C42" xr:uid="{C67B2C31-9699-411E-97CD-2335776109D5}">
    <filterColumn colId="0" hiddenButton="1"/>
    <filterColumn colId="1" hiddenButton="1"/>
    <filterColumn colId="2" hiddenButton="1"/>
  </autoFilter>
  <tableColumns count="3">
    <tableColumn id="1" xr3:uid="{77A61B63-2437-409A-82F3-730C25F1F636}" name="עמודה ריקה" dataDxfId="571" dataCellStyle="היפר-קישור"/>
    <tableColumn id="2" xr3:uid="{8FCCE92B-003D-49F7-AB8D-CD265A94F9B0}" name="שווי הוגן" dataDxfId="570" dataCellStyle="Comma"/>
    <tableColumn id="3" xr3:uid="{DB61F7D6-2D3B-4B3A-9835-C0CAFE675000}" name="שיעור מנכסי השקעה" dataDxfId="56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B9BC29-8700-4539-B65F-1A628C449DAA}" name="טבלה3" displayName="טבלה3" ref="B44:C68" totalsRowShown="0" headerRowDxfId="563" headerRowBorderDxfId="567" tableBorderDxfId="568" totalsRowBorderDxfId="566">
  <autoFilter ref="B44:C68" xr:uid="{32C59B25-F610-4A6C-B00F-79254662527C}">
    <filterColumn colId="0" hiddenButton="1"/>
    <filterColumn colId="1" hiddenButton="1"/>
  </autoFilter>
  <tableColumns count="2">
    <tableColumn id="1" xr3:uid="{A4D51F4A-18F9-402E-81AF-908A8C41E0E1}" name="שם המטבע" dataDxfId="565"/>
    <tableColumn id="2" xr3:uid="{5609284B-C2E0-40E4-9B53-985D2DBFD510}" name="שע&quot;ח" dataDxfId="5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6436D3-515F-469D-9079-E82D42B8C176}" name="טבלה4" displayName="טבלה4" ref="A6:K44" totalsRowShown="0" headerRowDxfId="549" headerRowBorderDxfId="561" tableBorderDxfId="562" headerRowCellStyle="Percent">
  <autoFilter ref="A6:K44" xr:uid="{E635F53A-8DF6-49D0-AE5F-A9CA6A48F8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CAFC648-C5E8-489D-800C-C64BEB973729}" name="שם המנפיק/שם נייר ערך" dataDxfId="560"/>
    <tableColumn id="2" xr3:uid="{7A084B33-B49F-422B-9C6A-DF3D7E9F195E}" name="מספר נ&quot;ע" dataDxfId="559" dataCellStyle="Percent"/>
    <tableColumn id="3" xr3:uid="{5BBA1892-D30F-44E7-8049-315F74013BD6}" name="מספר מנפיק" dataDxfId="558" dataCellStyle="Percent"/>
    <tableColumn id="4" xr3:uid="{04D0A7D8-27A9-4F01-8043-A58A8E8A0B31}" name="דירוג" dataDxfId="557" dataCellStyle="Percent"/>
    <tableColumn id="5" xr3:uid="{BED412ED-E450-4668-8C31-996F9AD05660}" name="שם מדרג" dataDxfId="556" dataCellStyle="Percent"/>
    <tableColumn id="6" xr3:uid="{5A4C3ED3-420D-4784-BE82-476B02654367}" name="סוג מטבע" dataDxfId="555" dataCellStyle="Percent"/>
    <tableColumn id="7" xr3:uid="{065ABF3C-C0B8-4058-B037-71F0434712B1}" name="שעור ריבית" dataDxfId="554" dataCellStyle="Percent"/>
    <tableColumn id="8" xr3:uid="{97E12E05-F150-46C0-8458-DE7C4F48F26D}" name="תשואה לפדיון" dataDxfId="553" dataCellStyle="Percent"/>
    <tableColumn id="9" xr3:uid="{DE3BAC04-E711-44D5-8B22-C9EF110ED0E9}" name="שווי שוק" dataDxfId="552" dataCellStyle="Comma"/>
    <tableColumn id="10" xr3:uid="{1EE145BB-797D-4D8C-87A5-993409B70B29}" name="שעור מנכסי אפיק ההשקעה" dataDxfId="551" dataCellStyle="Percent"/>
    <tableColumn id="11" xr3:uid="{42B56B08-AE97-404F-9968-DDADF3046717}" name="שעור מנכסי השקעה" dataDxfId="55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091E62-D7A7-4E71-A5C5-F0D50CBAD9EF}" name="טבלה5" displayName="טבלה5" ref="A7:Q47" totalsRowShown="0" headerRowDxfId="529" headerRowBorderDxfId="547" tableBorderDxfId="548" headerRowCellStyle="Percent">
  <autoFilter ref="A7:Q47" xr:uid="{45A98203-0B2D-402A-B88C-B9EBD00405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99B537E-DB1B-43F0-9D86-A3C730A0BB11}" name="שם המנפיק/שם נייר ערך" dataDxfId="546"/>
    <tableColumn id="2" xr3:uid="{9EF2EC9E-FBFD-45B3-AB23-456B3EA1FEBC}" name="מספר נ&quot;ע" dataDxfId="545" dataCellStyle="Percent"/>
    <tableColumn id="3" xr3:uid="{0B2DCF7E-466B-475C-89CF-BCE469A3D676}" name="זירת מסחר" dataDxfId="544" dataCellStyle="Percent"/>
    <tableColumn id="4" xr3:uid="{32271FBC-BD57-408A-B648-1AF6D2510492}" name="דירוג" dataDxfId="543" dataCellStyle="Percent"/>
    <tableColumn id="5" xr3:uid="{2E1E2091-090A-4BB0-903E-BF3EC4AFF9C0}" name="שם מדרג" dataDxfId="542" dataCellStyle="Percent"/>
    <tableColumn id="6" xr3:uid="{9D43696D-391C-4BAA-A722-97EF9B7B6A77}" name="תאריך רכישה" dataDxfId="541" dataCellStyle="Percent"/>
    <tableColumn id="7" xr3:uid="{D848EAE7-51E4-4EBB-B9E3-2DD69EED831C}" name="מח&quot;מ" dataDxfId="540" dataCellStyle="Percent"/>
    <tableColumn id="8" xr3:uid="{79E49876-69CC-496B-9B01-2CEE1232A96D}" name="סוג מטבע" dataDxfId="539" dataCellStyle="Percent"/>
    <tableColumn id="9" xr3:uid="{7F27EFA6-1C3E-451C-8250-4619B871290F}" name="שעור ריבית" dataDxfId="538" dataCellStyle="Percent"/>
    <tableColumn id="10" xr3:uid="{EC7AFA9B-C2E7-455A-A730-9ED57492FDB3}" name="תשואה לפדיון" dataDxfId="537" dataCellStyle="Percent"/>
    <tableColumn id="11" xr3:uid="{3BDA31AD-9A2B-4EC0-9C64-B80B737C8F7B}" name="ערך נקוב" dataDxfId="536" dataCellStyle="Percent"/>
    <tableColumn id="12" xr3:uid="{4C0081D3-F801-4571-B504-BE8A6511003D}" name="שער" dataDxfId="535" dataCellStyle="Percent"/>
    <tableColumn id="13" xr3:uid="{758DA9B5-617B-4CE3-BB8A-7452EFE92156}" name="פדיון/ריבית לקבל" dataDxfId="534" dataCellStyle="Percent"/>
    <tableColumn id="14" xr3:uid="{7563A382-E5EF-4C87-AFBC-CE978809FEE6}" name="שווי שוק" dataDxfId="533" dataCellStyle="Comma"/>
    <tableColumn id="15" xr3:uid="{B0FE9C69-DFDE-4FC2-A02D-B57278B51B2D}" name="שעור מערך נקוב מונפק" dataDxfId="532" dataCellStyle="Percent"/>
    <tableColumn id="16" xr3:uid="{B5C6BB13-A2F6-4D3A-A253-7CFA675A568D}" name="שעור מנכסי אפיק ההשקעה" dataDxfId="531" dataCellStyle="Percent"/>
    <tableColumn id="17" xr3:uid="{2A99B269-AFCF-40E7-92A3-4B731D022452}" name="שעור מנכסי השקעה" dataDxfId="53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E4657C-F41A-4ED9-9A54-9E656F0E2391}" name="טבלה6" displayName="טבלה6" ref="A7:T17" totalsRowShown="0" headerRowDxfId="506" headerRowBorderDxfId="527" tableBorderDxfId="528" headerRowCellStyle="Percent">
  <autoFilter ref="A7:T17" xr:uid="{7BEAB905-0411-4355-AA1D-3C5410138A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4946CB4-60C0-42FA-BED9-2DBF23E8EA60}" name="שם המנפיק/שם נייר ערך" dataDxfId="526"/>
    <tableColumn id="2" xr3:uid="{6EB47894-A9EE-40BD-9DAB-334A38401E6B}" name="מספר נ&quot;ע" dataDxfId="525" dataCellStyle="Percent"/>
    <tableColumn id="3" xr3:uid="{CD66F36C-F20E-4F91-965E-C4AF8103B503}" name="זירת מסחר" dataDxfId="524" dataCellStyle="Percent"/>
    <tableColumn id="4" xr3:uid="{31236256-D1F0-45DC-9CB6-D63EEF6BE7E7}" name="ספק מידע" dataDxfId="523" dataCellStyle="Percent"/>
    <tableColumn id="5" xr3:uid="{2D2B174B-0538-45B8-BAC0-249DC0BF71DB}" name="מספר מנפיק" dataDxfId="522" dataCellStyle="Percent"/>
    <tableColumn id="6" xr3:uid="{DDE7AB37-1CD8-4DC2-B92B-A2A7C3FEF77C}" name="ענף מסחר" dataDxfId="521" dataCellStyle="Percent"/>
    <tableColumn id="7" xr3:uid="{15B892E2-3487-4BA7-887C-6C32655CA1E4}" name="דירוג" dataDxfId="520" dataCellStyle="Percent"/>
    <tableColumn id="8" xr3:uid="{D3888603-346D-4930-A5E7-EEA5C151867A}" name="שם מדרג" dataDxfId="519" dataCellStyle="Percent"/>
    <tableColumn id="9" xr3:uid="{8921A292-369F-45EB-A543-88C10E17DA71}" name="תאריך רכישה" dataDxfId="518" dataCellStyle="Percent"/>
    <tableColumn id="10" xr3:uid="{F3B30400-062A-4509-9D78-F7C4761B12CF}" name="מח&quot;מ" dataDxfId="517" dataCellStyle="Percent"/>
    <tableColumn id="11" xr3:uid="{B33B84AB-2BF0-4006-A5D3-09884A7861CA}" name="סוג מטבע" dataDxfId="516" dataCellStyle="Percent"/>
    <tableColumn id="12" xr3:uid="{5AD1F60F-028E-4497-BC8C-3C7DEDF004D9}" name="שעור ריבית" dataDxfId="515" dataCellStyle="Percent"/>
    <tableColumn id="13" xr3:uid="{BDA1C060-07EA-4892-9339-9707769ECF41}" name="תשואה לפדיון" dataDxfId="514" dataCellStyle="Percent"/>
    <tableColumn id="14" xr3:uid="{82A1A90A-62FD-4153-801A-AAEE53B80FE5}" name="ערך נקוב" dataDxfId="513" dataCellStyle="Percent"/>
    <tableColumn id="15" xr3:uid="{00ADAD4A-CA9A-4EC6-9BF8-06A16F5B9A3E}" name="שער" dataDxfId="512" dataCellStyle="Percent"/>
    <tableColumn id="16" xr3:uid="{E6B299A5-19A6-42DC-96D4-B224E51622EC}" name="פדיון/ריבית לקבל" dataDxfId="511" dataCellStyle="Percent"/>
    <tableColumn id="17" xr3:uid="{AEB24E26-1AC3-4145-887C-0992871CC450}" name="שווי שוק" dataDxfId="510" dataCellStyle="Comma"/>
    <tableColumn id="18" xr3:uid="{015ED44C-2A3E-4EBB-A6E2-A00747B72A7B}" name="שעור מערך נקוב מונפק" dataDxfId="509" dataCellStyle="Percent"/>
    <tableColumn id="19" xr3:uid="{5E09384B-EBFC-4055-B803-98D7E3BB0642}" name="שעור מנכסי אפיק ההשקעה" dataDxfId="508" dataCellStyle="Percent"/>
    <tableColumn id="20" xr3:uid="{CF6C1D49-1026-486B-84A5-9220A4E139D2}" name="שעור מנכסי השקעה" dataDxfId="50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924583-4C82-406B-A249-D2F097D868A8}" name="טבלה7" displayName="טבלה7" ref="A7:T29" totalsRowShown="0" headerRowDxfId="482" dataDxfId="483" headerRowBorderDxfId="504" tableBorderDxfId="505" headerRowCellStyle="Percent" dataCellStyle="Percent">
  <autoFilter ref="A7:T29" xr:uid="{04312CC0-A6DB-48F1-A3C4-AE2E5790FA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C75BA3B-28F0-4B97-AFAB-879FC5FE1FC2}" name="שם המנפיק/שם נייר ערך" dataDxfId="503"/>
    <tableColumn id="2" xr3:uid="{3AB49D0B-8457-4FA1-9DF8-FC2C2EF8E838}" name="מספר נ&quot;ע" dataDxfId="502" dataCellStyle="Percent"/>
    <tableColumn id="3" xr3:uid="{53C0AF93-CB2B-4DF7-A444-34B2A5E3414D}" name="זירת מסחר" dataDxfId="501" dataCellStyle="Percent"/>
    <tableColumn id="4" xr3:uid="{CF691669-D9C1-4DA9-9CEC-7E093BF7DDE6}" name="ספק מידע" dataDxfId="500" dataCellStyle="Percent"/>
    <tableColumn id="5" xr3:uid="{C6D79CDF-2EA1-4719-A342-F04E7B4CBEE9}" name="מספר מנפיק" dataDxfId="499" dataCellStyle="Percent"/>
    <tableColumn id="6" xr3:uid="{379B7A8A-930D-4D1D-8592-6B226E4A8985}" name="ענף מסחר" dataDxfId="498" dataCellStyle="Percent"/>
    <tableColumn id="7" xr3:uid="{9C0D1511-23D1-4B22-BF89-6422F155E178}" name="דירוג" dataDxfId="497" dataCellStyle="Percent"/>
    <tableColumn id="8" xr3:uid="{B4BAF153-707A-4BB5-A9ED-A93F7AE17D01}" name="שם מדרג" dataDxfId="496" dataCellStyle="Percent"/>
    <tableColumn id="9" xr3:uid="{A88A28B5-10E1-49DD-BEE9-5FEA84526F64}" name="תאריך רכישה" dataDxfId="495" dataCellStyle="Percent"/>
    <tableColumn id="10" xr3:uid="{B20054B0-D8C0-495A-A5FF-B567ED0382C4}" name="מח&quot;מ" dataDxfId="494" dataCellStyle="Percent"/>
    <tableColumn id="11" xr3:uid="{D0B62229-F917-4CFF-A2A1-89D994896DB1}" name="סוג מטבע" dataDxfId="493" dataCellStyle="Percent"/>
    <tableColumn id="12" xr3:uid="{377D7C5F-1385-45B7-A301-3DE14E2C7972}" name="שעור ריבית" dataDxfId="492" dataCellStyle="Percent"/>
    <tableColumn id="13" xr3:uid="{0654E2F3-2B0D-4CCC-8762-9C7154F67EBE}" name="תשואה לפדיון" dataDxfId="491" dataCellStyle="Percent"/>
    <tableColumn id="14" xr3:uid="{EB716419-3D78-4573-9BC9-929054E5E4B5}" name="ערך נקוב" dataDxfId="490" dataCellStyle="Percent"/>
    <tableColumn id="15" xr3:uid="{232F724D-F0A4-48FD-A8D6-4C4BA91713D1}" name="שער" dataDxfId="489" dataCellStyle="Percent"/>
    <tableColumn id="16" xr3:uid="{0DD815B2-E284-4A9A-8358-4407A7BE7DBC}" name="פדיון/ריבית לקבל" dataDxfId="488" dataCellStyle="Comma"/>
    <tableColumn id="17" xr3:uid="{149C5D86-68F2-41AA-8CC2-C767DE6EBE35}" name="שווי שוק" dataDxfId="487" dataCellStyle="Comma"/>
    <tableColumn id="18" xr3:uid="{AB5176EA-85C1-422C-BEA7-271B488B158C}" name="שעור מערך נקוב מונפק" dataDxfId="486" dataCellStyle="Percent"/>
    <tableColumn id="19" xr3:uid="{01BE3396-98F2-4E42-BF5C-A3FD02D058FD}" name="שעור מנכסי אפיק ההשקעה" dataDxfId="485" dataCellStyle="Percent"/>
    <tableColumn id="20" xr3:uid="{D0042B51-2899-470D-B08F-4983444C12E2}" name="שעור מנכסי השקעה" dataDxfId="48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123C2C-E21D-437F-A630-59A401A0B037}" name="טבלה8" displayName="טבלה8" ref="A7:N20" totalsRowShown="0" headerRowDxfId="464" dataDxfId="465" headerRowBorderDxfId="480" tableBorderDxfId="481" headerRowCellStyle="Percent" dataCellStyle="Percent">
  <autoFilter ref="A7:N20" xr:uid="{E5DD9112-1280-4AC4-AF62-C82A276F3C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74ACC79-A964-4848-A7DE-B43924CD1633}" name="שם המנפיק/שם נייר ערך" dataDxfId="479"/>
    <tableColumn id="2" xr3:uid="{E19DD27F-C431-4A1D-B675-35B8A0453588}" name="מספר נ&quot;ע" dataDxfId="478" dataCellStyle="Percent"/>
    <tableColumn id="3" xr3:uid="{910436DF-7251-4EFD-BB97-A6594C5C8E88}" name="זירת מסחר" dataDxfId="477" dataCellStyle="Percent"/>
    <tableColumn id="4" xr3:uid="{1DF32098-EB9C-4A37-BC92-F7F8D8ED34B1}" name="ספק מידע" dataDxfId="476" dataCellStyle="Percent"/>
    <tableColumn id="5" xr3:uid="{BBE27BD1-DE7E-450F-999C-B05C15F68337}" name="מספר מנפיק" dataDxfId="475" dataCellStyle="Percent"/>
    <tableColumn id="6" xr3:uid="{E72E4F22-4AA7-4239-AC75-E46D4F6C3E66}" name="ענף מסחר" dataDxfId="474" dataCellStyle="Percent"/>
    <tableColumn id="7" xr3:uid="{98CDF695-9AB1-41DC-87CA-182486273137}" name="סוג מטבע" dataDxfId="473" dataCellStyle="Percent"/>
    <tableColumn id="8" xr3:uid="{F0E2FF07-B431-478E-A775-622718E19F41}" name="ערך נקוב" dataDxfId="472" dataCellStyle="Percent"/>
    <tableColumn id="9" xr3:uid="{D3454DE7-BCC3-4637-A811-86AD29CCD552}" name="שער" dataDxfId="471" dataCellStyle="Percent"/>
    <tableColumn id="10" xr3:uid="{BDA25AFC-166D-414F-92DE-3FE1E235BBCE}" name="פדיון/ריבית לקבל" dataDxfId="470" dataCellStyle="Percent"/>
    <tableColumn id="11" xr3:uid="{93E0179C-FAF6-41A7-920E-3AF3140F7865}" name="שווי שוק" dataDxfId="469" dataCellStyle="Comma"/>
    <tableColumn id="12" xr3:uid="{0DCC6AFD-5F2E-49FF-AD82-6F2C1912AB89}" name="שעור מערך נקוב מונפק" dataDxfId="468" dataCellStyle="Percent"/>
    <tableColumn id="13" xr3:uid="{39C0C2C1-A567-48E2-B617-67F06B0104F1}" name="שעור מנכסי אפיק ההשקעה" dataDxfId="467" dataCellStyle="Percent"/>
    <tableColumn id="14" xr3:uid="{EEA192D8-F10C-425E-939C-605C7CDC27F8}" name="שעור מנכסי השקעה" dataDxfId="46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49031A-8389-480F-90F4-7A79C8A812D3}" name="טבלה9" displayName="טבלה9" ref="A7:M79" totalsRowShown="0" headerRowDxfId="448" headerRowBorderDxfId="462" tableBorderDxfId="463" headerRowCellStyle="Percent">
  <autoFilter ref="A7:M79" xr:uid="{B8D129E0-3572-46D5-9687-90742BC3C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010D126-2C32-4286-8C69-72CE922C88CF}" name="שם המנפיק/שם נייר ערך" dataDxfId="461"/>
    <tableColumn id="2" xr3:uid="{4BF1815F-3AA3-4E4E-B446-CC7C8FFFAC54}" name="מספר נ&quot;ע" dataDxfId="460" dataCellStyle="Percent"/>
    <tableColumn id="3" xr3:uid="{51BA429A-2BA5-488E-B5F4-D93EE3C7BEFA}" name="זירת מסחר" dataDxfId="459" dataCellStyle="Percent"/>
    <tableColumn id="4" xr3:uid="{5556E349-23A4-431E-B118-F9252B5D9CC4}" name="מספר מנפיק" dataDxfId="458" dataCellStyle="Percent"/>
    <tableColumn id="5" xr3:uid="{0A3753E6-35BD-4BDF-B413-B25A80BE8DD6}" name="ענף מסחר" dataDxfId="457" dataCellStyle="Percent"/>
    <tableColumn id="6" xr3:uid="{DE05345B-5B73-4A8B-B882-EEC50A36EBB9}" name="סוג מטבע" dataDxfId="456" dataCellStyle="Percent"/>
    <tableColumn id="7" xr3:uid="{3EB3188A-95F7-4935-A5C6-D4196CF5A3BE}" name="ערך נקוב" dataDxfId="455" dataCellStyle="Percent"/>
    <tableColumn id="8" xr3:uid="{C5AED116-6362-4FF6-962E-5B5D038E5C19}" name="שער" dataDxfId="454" dataCellStyle="Percent"/>
    <tableColumn id="9" xr3:uid="{2754FFDE-CAA3-40B5-AEDF-84FD353C0B36}" name="פדיון/ריבית לקבל" dataDxfId="453" dataCellStyle="Comma"/>
    <tableColumn id="10" xr3:uid="{FF190BB7-2D98-4E00-A695-9697BF28CCF3}" name="שווי שוק" dataDxfId="452" dataCellStyle="Comma"/>
    <tableColumn id="11" xr3:uid="{2524C14E-81CC-41FD-9458-E01F9090B357}" name="שעור מערך נקוב מונפק" dataDxfId="451" dataCellStyle="Percent"/>
    <tableColumn id="12" xr3:uid="{8B0E9CB6-745D-4485-A9FE-994BBCB5B43C}" name="שעור מנכסי אפיק ההשקעה" dataDxfId="450" dataCellStyle="Percent"/>
    <tableColumn id="13" xr3:uid="{2251819B-3B2E-4A69-9AC9-1B29C0262FA0}" name="שעור מנכסי השקעה" dataDxfId="44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E530E-9CF1-4B9C-86CD-F40D86B1052D}" name="טבלה10" displayName="טבלה10" ref="A7:N26" totalsRowShown="0" headerRowDxfId="430" dataDxfId="431" headerRowBorderDxfId="446" tableBorderDxfId="447" headerRowCellStyle="Percent" dataCellStyle="Percent">
  <autoFilter ref="A7:N26" xr:uid="{5CE1541E-8461-4D33-B9E0-8514D45112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8A20A98-9C6F-47D5-B9A2-2877F8014147}" name="שם המנפיק/שם נייר ערך" dataDxfId="445"/>
    <tableColumn id="2" xr3:uid="{F18DC865-ED72-462A-A977-B02F937A4B8F}" name="מספר נ&quot;ע" dataDxfId="444" dataCellStyle="Percent"/>
    <tableColumn id="3" xr3:uid="{86678EAA-9170-4C36-9837-8B0415D9AA48}" name="זירת מסחר" dataDxfId="443" dataCellStyle="Percent"/>
    <tableColumn id="4" xr3:uid="{283B3B94-8B60-4AB0-809B-F349D15006C6}" name="מספר מנפיק" dataDxfId="442" dataCellStyle="Percent"/>
    <tableColumn id="5" xr3:uid="{9CD2007E-A493-4DA0-ACD1-2C1434F1110E}" name="ענף מסחר" dataDxfId="441" dataCellStyle="Percent"/>
    <tableColumn id="6" xr3:uid="{2EA607D4-4989-4A96-AED0-368D0E4EF58E}" name="דירוג" dataDxfId="440" dataCellStyle="Percent"/>
    <tableColumn id="7" xr3:uid="{5846B0DC-C41D-4112-B30C-2C2F76D8A610}" name="שם מדרג" dataDxfId="439" dataCellStyle="Percent"/>
    <tableColumn id="8" xr3:uid="{33870029-CD38-4F22-8111-4398E2FBC078}" name="סוג מטבע" dataDxfId="438" dataCellStyle="Percent"/>
    <tableColumn id="9" xr3:uid="{39A3D700-2493-4A85-9FC4-F4466AAD6A8F}" name="ערך נקוב" dataDxfId="437" dataCellStyle="Percent"/>
    <tableColumn id="10" xr3:uid="{72638799-C7E0-408F-9348-5493E36046D6}" name="שער" dataDxfId="436" dataCellStyle="Percent"/>
    <tableColumn id="11" xr3:uid="{CBE631BF-CE70-4288-BC0B-501F967B4535}" name="שווי שוק" dataDxfId="435" dataCellStyle="Comma"/>
    <tableColumn id="12" xr3:uid="{7E48AD6F-9261-485B-88AF-492656458783}" name="שעור מערך נקוב מונפק" dataDxfId="434" dataCellStyle="Percent"/>
    <tableColumn id="13" xr3:uid="{92FE13A7-603C-4E16-BC57-2DE95767612E}" name="שעור מנכסי אפיק ההשקעה" dataDxfId="433" dataCellStyle="Percent"/>
    <tableColumn id="14" xr3:uid="{C17E7D6A-138B-4275-A4FA-4C3660CA4C2F}" name="שעור מנכסי השקעה" dataDxfId="43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DD0CE3-A0FC-4C68-B63A-9891472F50F4}" name="טבלה11" displayName="טבלה11" ref="A7:K14" totalsRowShown="0" headerRowDxfId="415" dataDxfId="416" headerRowBorderDxfId="428" tableBorderDxfId="429" headerRowCellStyle="Percent" dataCellStyle="Percent">
  <autoFilter ref="A7:K14" xr:uid="{627A99B9-A336-4213-841E-004E3D9F68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5CA723A-47F5-4FFE-B888-5C96DDAB6903}" name="שם המנפיק/שם נייר ערך" dataDxfId="427"/>
    <tableColumn id="2" xr3:uid="{381AFBF7-4AB9-4DA0-8378-E193E8A2F129}" name="מספר נ&quot;ע" dataDxfId="426" dataCellStyle="Percent"/>
    <tableColumn id="3" xr3:uid="{36CFB257-6533-4752-AE29-FC9BF32A44B3}" name="זירת מסחר" dataDxfId="425" dataCellStyle="Percent"/>
    <tableColumn id="4" xr3:uid="{D2342D95-16BD-401F-8306-6BF64E11D498}" name="ענף מסחר" dataDxfId="424" dataCellStyle="Percent"/>
    <tableColumn id="5" xr3:uid="{67F54CF2-87A7-4DEF-AA0F-8A1C35235DEF}" name="סוג מטבע" dataDxfId="423" dataCellStyle="Percent"/>
    <tableColumn id="6" xr3:uid="{D06FB497-405F-461F-97FD-8F93673AA18C}" name="ערך נקוב" dataDxfId="422" dataCellStyle="Percent"/>
    <tableColumn id="7" xr3:uid="{EB733A14-4B31-45B8-A0D7-934E240A1FA5}" name="שער" dataDxfId="421" dataCellStyle="Percent"/>
    <tableColumn id="8" xr3:uid="{B5746294-0FD8-4119-A6CB-A71AEB426E13}" name="שווי שוק" dataDxfId="420" dataCellStyle="Comma"/>
    <tableColumn id="9" xr3:uid="{B3B0113B-BCBF-44E8-A2A2-8F8402B491E4}" name="שעור מערך נקוב מונפק" dataDxfId="419" dataCellStyle="Percent"/>
    <tableColumn id="10" xr3:uid="{456078FE-6878-4404-855E-11466F6227F1}" name="שעור מנכסי אפיק ההשקעה" dataDxfId="418" dataCellStyle="Percent"/>
    <tableColumn id="11" xr3:uid="{2BFD5BBC-47D2-4E4E-9594-8B7538FBB382}" name="שעור מנכסי השקעה" dataDxfId="41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C4426F-B24D-4725-9919-D99D6C8011BA}" name="טבלה12" displayName="טבלה12" ref="A7:K25" totalsRowShown="0" headerRowDxfId="401" headerRowBorderDxfId="413" tableBorderDxfId="414" headerRowCellStyle="Percent">
  <autoFilter ref="A7:K25" xr:uid="{03B248E6-CF76-4A72-B109-B427083710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D783FB9-753F-41EB-8A1C-C16531660343}" name="שם המנפיק/שם נייר ערך" dataDxfId="412"/>
    <tableColumn id="2" xr3:uid="{5F844614-FF66-4CD1-8910-F31325F9DA2F}" name="מספר נ&quot;ע" dataDxfId="411" dataCellStyle="Percent"/>
    <tableColumn id="3" xr3:uid="{41AAD492-128E-48F4-B1C3-C78B8DAA7993}" name="זירת מסחר" dataDxfId="410" dataCellStyle="Percent"/>
    <tableColumn id="4" xr3:uid="{DD5B46A6-8ED8-4FDC-8B97-5E874320B474}" name="ענף מסחר" dataDxfId="409" dataCellStyle="Percent"/>
    <tableColumn id="5" xr3:uid="{CC49F4FA-21E1-475B-B8F3-A4A87480BCAC}" name="סוג מטבע" dataDxfId="408" dataCellStyle="Percent"/>
    <tableColumn id="6" xr3:uid="{B3D33F26-C82F-45E4-BE90-C5157DEDFD0C}" name="ערך נקוב" dataDxfId="407" dataCellStyle="Percent"/>
    <tableColumn id="7" xr3:uid="{136127F5-FE8B-408A-A507-EA81FD2CAE35}" name="שער" dataDxfId="406" dataCellStyle="Percent"/>
    <tableColumn id="8" xr3:uid="{2BA041FE-9E83-4D85-A148-5162321C703F}" name="שווי שוק" dataDxfId="405" dataCellStyle="Comma"/>
    <tableColumn id="9" xr3:uid="{C6F42D4A-47C4-47F6-ACC8-E44018AF067A}" name="שעור מערך נקוב מונפק" dataDxfId="404" dataCellStyle="Percent"/>
    <tableColumn id="10" xr3:uid="{9F191B45-ED88-4919-99AC-5F60E0AB3CB5}" name="שעור מנכסי אפיק ההשקעה" dataDxfId="403" dataCellStyle="Percent"/>
    <tableColumn id="11" xr3:uid="{AF8E24F7-C79A-4274-A8A8-A1DB19A23934}" name="שעור מנכסי השקעה" dataDxfId="40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78D513-E725-4DCC-8BCE-F475C215AD5C}" name="טבלה13" displayName="טבלה13" ref="A7:P26" totalsRowShown="0" headerRowDxfId="381" dataDxfId="382" headerRowBorderDxfId="399" tableBorderDxfId="400" headerRowCellStyle="Percent" dataCellStyle="Percent">
  <autoFilter ref="A7:P26" xr:uid="{B50DF46E-8FB1-4209-B566-75B171E73C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F115B04-2406-4FB7-921E-E2C2F2F3FFA2}" name="שם המנפיק/שם נייר ערך" dataDxfId="398"/>
    <tableColumn id="2" xr3:uid="{E36F204B-2647-46E6-AB2C-FE35822FF88A}" name="מספר נ&quot;ע" dataDxfId="397" dataCellStyle="Percent"/>
    <tableColumn id="3" xr3:uid="{4C0025F2-2B5B-41E5-B0F8-756689AE2FD3}" name="נכס הבסיס" dataDxfId="396" dataCellStyle="Percent"/>
    <tableColumn id="4" xr3:uid="{0D035991-3937-4064-A285-4B0953BBE6DB}" name="דירוג" dataDxfId="395" dataCellStyle="Percent"/>
    <tableColumn id="5" xr3:uid="{F0493F60-15BC-4324-BA91-1573974854DA}" name="שם מדרג" dataDxfId="394" dataCellStyle="Percent"/>
    <tableColumn id="6" xr3:uid="{28638BAF-6EAE-4F07-8888-64F6C96B44F4}" name="תאריך רכישה" dataDxfId="393" dataCellStyle="Percent"/>
    <tableColumn id="7" xr3:uid="{4D844A6C-8D6E-4473-BC89-A688D2AAC25E}" name="מח&quot;מ" dataDxfId="392" dataCellStyle="Percent"/>
    <tableColumn id="8" xr3:uid="{A03A887E-BD2A-4A7B-ACC5-73F4A97983C4}" name="סוג מטבע" dataDxfId="391" dataCellStyle="Percent"/>
    <tableColumn id="9" xr3:uid="{1009020E-3962-4713-8DBE-20E063D47636}" name="שעור ריבית" dataDxfId="390" dataCellStyle="Percent"/>
    <tableColumn id="10" xr3:uid="{B332DD33-9DFB-4EE4-A669-EA708881F8E6}" name="תשואה לפדיון" dataDxfId="389" dataCellStyle="Percent"/>
    <tableColumn id="11" xr3:uid="{4C4EDC97-F69B-4D49-97B0-ED60229745ED}" name="ערך נקוב" dataDxfId="388" dataCellStyle="Percent"/>
    <tableColumn id="12" xr3:uid="{DD922888-A14E-4F74-A521-AC9EB3ECB99C}" name="שער" dataDxfId="387" dataCellStyle="Percent"/>
    <tableColumn id="13" xr3:uid="{AD90EA40-850A-49F3-A658-3666455A9871}" name="שווי שוק" dataDxfId="386" dataCellStyle="Comma"/>
    <tableColumn id="14" xr3:uid="{42F5E63D-86FA-4CE5-9E63-943BABCBA2D4}" name="שעור מערך נקוב מונפק" dataDxfId="385" dataCellStyle="Percent"/>
    <tableColumn id="15" xr3:uid="{B3205899-A7C0-4E94-8276-6912728912E3}" name="שעור מנכסי אפיק ההשקעה" dataDxfId="384" dataCellStyle="Percent"/>
    <tableColumn id="16" xr3:uid="{0E59FBDE-35E8-43A5-99FA-5949A8A05371}" name="שעור מנכסי השקעה" dataDxfId="38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EAB20A-737C-4F62-8D25-E06669AFD453}" name="טבלה14" displayName="טבלה14" ref="A7:O19" totalsRowShown="0" headerRowDxfId="363" headerRowBorderDxfId="379" tableBorderDxfId="380" headerRowCellStyle="Percent">
  <autoFilter ref="A7:O19" xr:uid="{1FF9FA2D-D879-418A-AE76-065B9878A7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6817FD2-FAA1-41B0-92A2-D13286560C38}" name="שם המנפיק/שם נייר ערך" dataDxfId="378"/>
    <tableColumn id="2" xr3:uid="{968E33FB-8E41-4877-8FF7-09F2179EEBC4}" name="מספר נ&quot;ע" dataDxfId="377" dataCellStyle="Percent"/>
    <tableColumn id="3" xr3:uid="{E1384630-9E4A-4468-8D7F-3AF91152CD78}" name="דירוג" dataDxfId="376" dataCellStyle="Percent"/>
    <tableColumn id="4" xr3:uid="{7172E2C4-C624-4A1C-A832-1A160A7F11DC}" name="שם מדרג" dataDxfId="375" dataCellStyle="Percent"/>
    <tableColumn id="5" xr3:uid="{3E90B7A5-5C89-4A12-98C8-39704D351828}" name="תאריך רכישה" dataDxfId="374" dataCellStyle="Percent"/>
    <tableColumn id="6" xr3:uid="{7EFD74E1-648D-4F65-9196-40D5108C8F08}" name="מח&quot;מ" dataDxfId="373" dataCellStyle="Percent"/>
    <tableColumn id="7" xr3:uid="{1F25DE29-A44A-4E81-AAB3-3AA6658D887B}" name="סוג מטבע" dataDxfId="372" dataCellStyle="Percent"/>
    <tableColumn id="8" xr3:uid="{EAA33E48-E798-4515-9B8F-E993CC4AF9F8}" name="שעור ריבית" dataDxfId="371" dataCellStyle="Percent"/>
    <tableColumn id="9" xr3:uid="{DC6FCD71-DC08-4BD1-AC7E-B3B9F4681646}" name="תשואה לפדיון" dataDxfId="370" dataCellStyle="Percent"/>
    <tableColumn id="10" xr3:uid="{D3F3C9A4-3511-498E-83F4-FF127EFA7E7C}" name="ערך נקוב" dataDxfId="369" dataCellStyle="Percent"/>
    <tableColumn id="11" xr3:uid="{02798D1B-ADE0-4213-8D14-18D5C24288EF}" name="שער" dataDxfId="368" dataCellStyle="Percent"/>
    <tableColumn id="12" xr3:uid="{AC9B55F8-D415-4C21-83C3-1058C7E85172}" name="שווי הוגן" dataDxfId="367" dataCellStyle="Comma"/>
    <tableColumn id="13" xr3:uid="{F479ED5B-210E-4FFB-B4A5-26FD8AE7FB0E}" name="שעור מערך נקוב מונפק" dataDxfId="366" dataCellStyle="Percent"/>
    <tableColumn id="14" xr3:uid="{247A7BEE-AF50-48C8-8DCC-A9707C2B00C3}" name="שעור מנכסי אפיק ההשקעה" dataDxfId="365" dataCellStyle="Percent"/>
    <tableColumn id="15" xr3:uid="{D69C6E97-75B5-4163-A838-7644DAA534A5}" name="שעור מנכסי השקעה" dataDxfId="364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BC57C6-1738-47F0-88E4-CF11855237DA}" name="טבלה15" displayName="טבלה15" ref="A7:R18" totalsRowShown="0" headerRowDxfId="342" headerRowBorderDxfId="361" tableBorderDxfId="362" headerRowCellStyle="Percent">
  <autoFilter ref="A7:R18" xr:uid="{B1CC8EAD-9402-4874-B273-44B4A5459C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0F7A473-D03E-4F7A-B43F-D348FED7B47C}" name="שם המנפיק/שם נייר ערך" dataDxfId="360"/>
    <tableColumn id="2" xr3:uid="{74679A18-4F4E-4DF6-B408-8395C23DE650}" name="מספר נ&quot;ע" dataDxfId="359" dataCellStyle="Percent"/>
    <tableColumn id="3" xr3:uid="{2E6FD52B-F1AD-4EEB-BB96-5461367B6BB7}" name="ספק המידע" dataDxfId="358" dataCellStyle="Percent"/>
    <tableColumn id="4" xr3:uid="{199E2437-4578-46F2-9F02-5BE900884D20}" name="מספר מנפיק" dataDxfId="357" dataCellStyle="Percent"/>
    <tableColumn id="5" xr3:uid="{F6BB8D6E-FB8B-4F1E-A41E-A2E8CE9BA625}" name="ענף מסחר" dataDxfId="356" dataCellStyle="Percent"/>
    <tableColumn id="6" xr3:uid="{E626C51D-AD28-43C0-9923-2FDDD1367FB6}" name="דירוג" dataDxfId="355" dataCellStyle="Percent"/>
    <tableColumn id="7" xr3:uid="{F04627E2-63AC-47C5-A9DB-756CBD823A75}" name="שם מדרג" dataDxfId="354" dataCellStyle="Percent"/>
    <tableColumn id="8" xr3:uid="{E99A9C78-90E0-4CEF-A33B-43028B0DA218}" name="תאריך רכישה" dataDxfId="353" dataCellStyle="Percent"/>
    <tableColumn id="9" xr3:uid="{4A4CBE56-1D46-4E43-AEEA-EE808DF0459A}" name="מח&quot;מ" dataDxfId="352" dataCellStyle="Percent"/>
    <tableColumn id="10" xr3:uid="{954C4B1B-B75E-435E-9722-9D4B7A38E3D5}" name="סוג מטבע" dataDxfId="351" dataCellStyle="Percent"/>
    <tableColumn id="11" xr3:uid="{CE5438E6-E9B0-43DE-9B43-4DE54B39A84D}" name="שעור ריבית" dataDxfId="350" dataCellStyle="Percent"/>
    <tableColumn id="12" xr3:uid="{2A9B3ABD-85BF-41AA-8C06-8EDF69A8EB69}" name="תשואה לפדיון" dataDxfId="349" dataCellStyle="Percent"/>
    <tableColumn id="13" xr3:uid="{5B12B146-08CA-45E7-952C-A11C40BDDFB0}" name="ערך נקוב" dataDxfId="348" dataCellStyle="Percent"/>
    <tableColumn id="14" xr3:uid="{974A2231-F70F-4B43-A4AA-94A3A85E5D1B}" name="שער" dataDxfId="347" dataCellStyle="Percent"/>
    <tableColumn id="15" xr3:uid="{D86F4016-9AC9-4B1C-B6AF-0029FE7A3838}" name="שווי הוגן" dataDxfId="346" dataCellStyle="Comma"/>
    <tableColumn id="16" xr3:uid="{F6816F00-F780-47D7-A1B0-DB548E186FD3}" name="שעור מערך נקוב מונפק" dataDxfId="345" dataCellStyle="Percent"/>
    <tableColumn id="17" xr3:uid="{209BDE49-8BA2-47FB-99FE-E8A4EBCAF9C8}" name="שעור מנכסי אפיק ההשקעה" dataDxfId="344" dataCellStyle="Percent"/>
    <tableColumn id="18" xr3:uid="{3A865390-81EC-483C-BF16-D9C5BBA19741}" name="שעור מנכסי השקעה" dataDxfId="34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252E9B-1514-4F92-96B3-1BE48E6E8E48}" name="טבלה16" displayName="טבלה16" ref="A7:R18" totalsRowShown="0" headerRowDxfId="320" dataDxfId="321" headerRowBorderDxfId="340" tableBorderDxfId="341" headerRowCellStyle="Percent" dataCellStyle="Percent">
  <autoFilter ref="A7:R18" xr:uid="{1AC3A670-7091-414A-9AAA-B3FE540095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9C44B14-F4BF-42E5-90BC-29DA79CE2BB3}" name="שם המנפיק/שם נייר ערך" dataDxfId="339"/>
    <tableColumn id="2" xr3:uid="{8FC090C8-2E6B-4685-8E6D-89BEAF098CCC}" name="מספר נ&quot;ע" dataDxfId="338" dataCellStyle="Percent"/>
    <tableColumn id="3" xr3:uid="{0B8199DC-CA9D-4269-909F-4C05676B1558}" name="ספק המידע" dataDxfId="337" dataCellStyle="Percent"/>
    <tableColumn id="4" xr3:uid="{8623DE65-971C-4FAE-9372-A57791E44E13}" name="מספר מנפיק" dataDxfId="336" dataCellStyle="Percent"/>
    <tableColumn id="5" xr3:uid="{ECF31F43-86F6-496A-BDCD-7DC88E6FBE8F}" name="ענף מסחר" dataDxfId="335" dataCellStyle="Percent"/>
    <tableColumn id="6" xr3:uid="{A1FA2B79-7216-4D9C-84D7-02A17923C15D}" name="דירוג" dataDxfId="334" dataCellStyle="Percent"/>
    <tableColumn id="7" xr3:uid="{DE9D1956-89DB-4F79-84D9-FA11ED008CC8}" name="שם מדרג" dataDxfId="333" dataCellStyle="Percent"/>
    <tableColumn id="8" xr3:uid="{3B528427-06A4-44BE-9CA4-CE12C3E286AB}" name="תאריך רכישה" dataDxfId="332" dataCellStyle="Percent"/>
    <tableColumn id="9" xr3:uid="{BDA01221-C971-4F4B-9709-85656719693D}" name="מח&quot;מ" dataDxfId="331" dataCellStyle="Percent"/>
    <tableColumn id="10" xr3:uid="{BCEFD184-4C1A-45A3-84E1-85E021B58A8B}" name="סוג מטבע" dataDxfId="330" dataCellStyle="Percent"/>
    <tableColumn id="11" xr3:uid="{C62B6D81-772F-458E-A3D7-F8BC75C669BF}" name="שעור ריבית" dataDxfId="329" dataCellStyle="Percent"/>
    <tableColumn id="12" xr3:uid="{8D211E18-EB80-4374-A44C-A7E95A88D2F5}" name="תשואה לפדיון" dataDxfId="328" dataCellStyle="Percent"/>
    <tableColumn id="13" xr3:uid="{49C695B3-910A-4F76-8854-2294C667442D}" name="ערך נקוב" dataDxfId="327" dataCellStyle="Percent"/>
    <tableColumn id="14" xr3:uid="{DB6DEB9E-7E39-4BB6-8166-671E132E0FDD}" name="שער" dataDxfId="326" dataCellStyle="Percent"/>
    <tableColumn id="15" xr3:uid="{84E51B83-6747-4DDA-862A-821E6C7CB7FA}" name="שווי הוגן" dataDxfId="325" dataCellStyle="Comma"/>
    <tableColumn id="16" xr3:uid="{275A3C9E-BDB9-49F2-99F7-3FB45B4414B5}" name="שעור מערך נקוב מונפק" dataDxfId="324" dataCellStyle="Percent"/>
    <tableColumn id="17" xr3:uid="{52E8D965-32E2-4EE8-8B4D-F988D1D1A32E}" name="שעור מנכסי אפיק ההשקעה" dataDxfId="323" dataCellStyle="Percent"/>
    <tableColumn id="18" xr3:uid="{93B30E72-EF05-483E-8024-5B9EAFD731D6}" name="שעור מנכסי השקעה" dataDxfId="32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91EAABE-D7B6-4CA2-8556-78AD743FE5A3}" name="טבלה17" displayName="טבלה17" ref="A7:L14" totalsRowShown="0" headerRowDxfId="304" dataDxfId="305" headerRowBorderDxfId="318" tableBorderDxfId="319" headerRowCellStyle="Percent" dataCellStyle="Percent">
  <autoFilter ref="A7:L14" xr:uid="{ACAB48D6-50CC-46E2-85A1-684C075175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0C4B186-6117-4ADA-8397-390401159887}" name="שם המנפיק/שם נייר ערך" dataDxfId="317"/>
    <tableColumn id="2" xr3:uid="{535E9366-3A6F-4F69-B0AD-36583858FE25}" name="מספר נ&quot;ע" dataDxfId="316" dataCellStyle="Percent"/>
    <tableColumn id="3" xr3:uid="{339DF060-EA62-4EB3-924F-7ABDBBB6796E}" name="ספק המידע" dataDxfId="315" dataCellStyle="Percent"/>
    <tableColumn id="4" xr3:uid="{D5130098-741E-4496-BBE2-6D4BDA46A55E}" name="מספר מנפיק" dataDxfId="314" dataCellStyle="Percent"/>
    <tableColumn id="5" xr3:uid="{18D0382A-3546-4183-8911-299287FC2582}" name="ענף מסחר" dataDxfId="313" dataCellStyle="Percent"/>
    <tableColumn id="6" xr3:uid="{59671936-7226-4EE8-BCE2-A57712502E73}" name="סוג מטבע" dataDxfId="312" dataCellStyle="Percent"/>
    <tableColumn id="7" xr3:uid="{FCC182DA-3388-4753-AABE-D79843C02C5A}" name="ערך נקוב" dataDxfId="311" dataCellStyle="Percent"/>
    <tableColumn id="8" xr3:uid="{586684AC-6CEA-4DAF-8D31-C182E5A6BA90}" name="שער" dataDxfId="310" dataCellStyle="Percent"/>
    <tableColumn id="9" xr3:uid="{2BD8706A-1FF2-47FA-AFE1-99909BF105A5}" name="שווי שוק" dataDxfId="309" dataCellStyle="Comma"/>
    <tableColumn id="10" xr3:uid="{312C09B2-44CE-4519-8D30-0F9AAA39AA3E}" name="שעור מערך נקוב מונפק" dataDxfId="308" dataCellStyle="Percent"/>
    <tableColumn id="11" xr3:uid="{4DA4363D-5540-47F6-A675-9C8FFE0005A3}" name="שעור מנכסי אפיק ההשקעה" dataDxfId="307" dataCellStyle="Percent"/>
    <tableColumn id="12" xr3:uid="{E78BC233-5D27-439F-9CB8-F8D1E1D9734A}" name="שעור מנכסי השקעה" dataDxfId="30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E7317FA-FA3B-45A5-BD9B-6FFCEB3CDF77}" name="טבלה18" displayName="טבלה18" ref="A7:J20" totalsRowShown="0" headerRowDxfId="290" dataDxfId="291" headerRowBorderDxfId="302" tableBorderDxfId="303" headerRowCellStyle="Percent" dataCellStyle="Percent">
  <autoFilter ref="A7:J20" xr:uid="{0D2A18F4-D440-4D3B-A7FC-16349A34B3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73A3D1B-8D90-4A32-B0C9-CC238B7047E1}" name="שם המנפיק/שם נייר ערך" dataDxfId="301"/>
    <tableColumn id="2" xr3:uid="{055C5B88-FCE5-41FB-A39B-3224F55516DC}" name="מספר נ&quot;ע" dataDxfId="300" dataCellStyle="Percent"/>
    <tableColumn id="3" xr3:uid="{B026D4BF-D050-4C97-B25E-DDD761082ED3}" name="סוג מטבע" dataDxfId="299" dataCellStyle="Percent"/>
    <tableColumn id="4" xr3:uid="{C21F25FF-0263-419C-A737-D47BB6245405}" name="תאריך רכישה" dataDxfId="298" dataCellStyle="Percent"/>
    <tableColumn id="5" xr3:uid="{FE1C5479-213A-4DAF-9142-CC631FDE58A8}" name="ערך נקוב" dataDxfId="297" dataCellStyle="Percent"/>
    <tableColumn id="6" xr3:uid="{34C722E6-899D-4207-BB2D-B5D55FAF81F1}" name="שער" dataDxfId="296" dataCellStyle="Percent"/>
    <tableColumn id="7" xr3:uid="{D2519935-9A0A-4E02-97DB-F3FAD85A44F6}" name="שווי הוגן" dataDxfId="295" dataCellStyle="Comma"/>
    <tableColumn id="8" xr3:uid="{A347E007-F9D0-4ADF-879D-527777677A06}" name="שעור מערך נקוב מונפק" dataDxfId="294" dataCellStyle="Percent"/>
    <tableColumn id="9" xr3:uid="{6C031354-240E-4427-A92C-8E65B4725C56}" name="שעור מנכסי אפיק ההשקעה" dataDxfId="293" dataCellStyle="Percent"/>
    <tableColumn id="10" xr3:uid="{3BF6F813-4789-4DC5-9B22-7D0C213D983E}" name="שעור מנכסי השקעה" dataDxfId="29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F2BC48-AE77-4767-BCFF-894AC43A26A3}" name="טבלה19" displayName="טבלה19" ref="A7:K12" totalsRowShown="0" headerRowDxfId="287" headerRowBorderDxfId="288" tableBorderDxfId="289" headerRowCellStyle="Percent">
  <autoFilter ref="A7:K12" xr:uid="{5A00CB7A-0C0D-4C0C-93D0-4AAE2CC630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34B96B8-7516-4F02-A788-8F9D085C44D2}" name="שם המנפיק/שם נייר ערך"/>
    <tableColumn id="2" xr3:uid="{2401B8A2-08D5-4D5A-B909-2A7E7C17F269}" name="מספר נ&quot;ע"/>
    <tableColumn id="3" xr3:uid="{3267DDB2-CCCF-4DE6-83C3-EE6E28C48967}" name="ענף מסחר"/>
    <tableColumn id="4" xr3:uid="{587970DF-55A6-4048-8FAB-57913AE32FE5}" name="סוג מטבע"/>
    <tableColumn id="5" xr3:uid="{1E87669E-5475-4FD8-BA37-4D6A04ED51BE}" name="תאריך רכישה"/>
    <tableColumn id="6" xr3:uid="{C6642485-9C62-4D9B-A7D7-6EA4F75E2EAE}" name="ערך נקוב"/>
    <tableColumn id="7" xr3:uid="{E3839F83-F81F-447F-8C09-68A8F919E1A0}" name="שער"/>
    <tableColumn id="8" xr3:uid="{FBDBA035-301D-455D-9904-25BECA44DD58}" name="שווי הוגן"/>
    <tableColumn id="9" xr3:uid="{462AA05C-808C-4E03-A358-2C84694F3867}" name="שעור מערך נקוב מונפק"/>
    <tableColumn id="10" xr3:uid="{3FE8FEA8-1A17-4E41-9E8A-FFA3ECCBFC95}" name="שעור מנכסי אפיק ההשקעה"/>
    <tableColumn id="11" xr3:uid="{5DEE792B-3001-4F6E-A209-548CA8BA3DF3}" name="שעור מנכסי השקעה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007B3FE-A2A8-476F-9893-854498E9E780}" name="טבלה20" displayName="טבלה20" ref="A7:K22" totalsRowShown="0" headerRowDxfId="272" dataDxfId="273" headerRowBorderDxfId="285" tableBorderDxfId="286" headerRowCellStyle="Percent" dataCellStyle="Percent">
  <autoFilter ref="A7:K22" xr:uid="{EF6AACA1-36AB-4250-B133-5B95A1E6FA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6B0AC54-C6BF-4523-8D54-01D5150C5098}" name="שם המנפיק/שם נייר ערך" dataDxfId="284"/>
    <tableColumn id="2" xr3:uid="{62B36067-D691-40F5-A3F7-4A420F61CFE9}" name="מספר נ&quot;ע" dataDxfId="283" dataCellStyle="Percent"/>
    <tableColumn id="3" xr3:uid="{023C91E7-B21D-4F18-823A-DFE9BC07A826}" name="ענף מסחר" dataDxfId="282" dataCellStyle="Percent"/>
    <tableColumn id="4" xr3:uid="{A816F1C2-B05B-40D6-BF5E-0B64146957F9}" name="סוג מטבע" dataDxfId="281" dataCellStyle="Percent"/>
    <tableColumn id="5" xr3:uid="{431BE8D1-5A08-44F9-9B3F-6318B0F927A8}" name="תאריך רכישה" dataDxfId="280" dataCellStyle="Percent"/>
    <tableColumn id="6" xr3:uid="{97786216-B0EE-4BCE-9F65-DD8E42CD3703}" name="ערך נקוב" dataDxfId="279" dataCellStyle="Percent"/>
    <tableColumn id="7" xr3:uid="{8424DB6F-370F-46B9-88E1-18CD23344188}" name="שער" dataDxfId="278" dataCellStyle="Percent"/>
    <tableColumn id="8" xr3:uid="{38E44D01-8B3B-4E47-ADEA-A763A887F4E2}" name="שווי הוגן" dataDxfId="277" dataCellStyle="Comma"/>
    <tableColumn id="9" xr3:uid="{4562571C-1A87-4A9A-811A-5FBD0F9AC337}" name="שעור מערך נקוב מונפק" dataDxfId="276" dataCellStyle="Percent"/>
    <tableColumn id="10" xr3:uid="{417A09F4-1290-4841-92C8-D7CF37CFE73A}" name="שעור מנכסי אפיק ההשקעה" dataDxfId="275" dataCellStyle="Percent"/>
    <tableColumn id="11" xr3:uid="{36107BC7-3292-41DA-B593-90373672794C}" name="שעור מנכסי השקעה" dataDxfId="274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5895D9-AFAA-4F8F-80DB-2FE400647761}" name="טבלה21" displayName="טבלה21" ref="A7:J93" totalsRowShown="0" headerRowDxfId="258" dataDxfId="259" headerRowBorderDxfId="270" tableBorderDxfId="271" headerRowCellStyle="Percent" dataCellStyle="Percent">
  <autoFilter ref="A7:J93" xr:uid="{8A134FF2-A97E-4856-A8FC-048F102C66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073244B-1D8E-40AD-93C9-D40AC053E4C0}" name="שם המנפיק/שם נייר ערך" dataDxfId="269"/>
    <tableColumn id="2" xr3:uid="{12A3BBB2-3C57-4CCB-912A-9819FBF37068}" name="מספר נ&quot;ע" dataDxfId="268" dataCellStyle="Percent"/>
    <tableColumn id="3" xr3:uid="{70AFB28D-228F-4799-8003-C68708930803}" name="ענף מסחר" dataDxfId="267" dataCellStyle="Percent"/>
    <tableColumn id="4" xr3:uid="{9D3ADB70-1A34-4024-A1C5-1743B770DC1C}" name="סוג מטבע" dataDxfId="266" dataCellStyle="Percent"/>
    <tableColumn id="5" xr3:uid="{EBEEC71E-B53D-4A29-9FC3-79D732335A6D}" name="תאריך רכישה" dataDxfId="265" dataCellStyle="Percent"/>
    <tableColumn id="6" xr3:uid="{8FC93B17-875F-4212-B479-054A30ABEC19}" name="ערך נקוב" dataDxfId="264" dataCellStyle="Percent"/>
    <tableColumn id="7" xr3:uid="{2FCD7CDB-0EA7-4B99-9F28-4255C18947FA}" name="שער" dataDxfId="263" dataCellStyle="Percent"/>
    <tableColumn id="8" xr3:uid="{F01DFB42-C558-4274-82D7-EC2120D8D264}" name="שווי הוגן" dataDxfId="262" dataCellStyle="Comma"/>
    <tableColumn id="9" xr3:uid="{CB4607A0-A825-4D2A-80A6-9533BF95A8AA}" name="שעור מנכסי אפיק ההשקעה" dataDxfId="261" dataCellStyle="Percent"/>
    <tableColumn id="10" xr3:uid="{BDB41502-5AD8-4CE4-A6F3-DB15E742FFE7}" name="שעור מנכסי השקעה" dataDxfId="26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0DE5653-DD31-4FF3-B822-3820FFAA54A2}" name="טבלה22" displayName="טבלה22" ref="A7:P26" totalsRowShown="0" headerRowDxfId="238" dataDxfId="239" headerRowBorderDxfId="256" tableBorderDxfId="257" headerRowCellStyle="Percent" dataCellStyle="Percent">
  <autoFilter ref="A7:P26" xr:uid="{0800D613-1628-48AD-BBA8-0805E43159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9ECBBB7-BDF7-4B30-ADE6-E39D8DDA32D8}" name="שם המנפיק/שם נייר ערך" dataDxfId="255"/>
    <tableColumn id="2" xr3:uid="{B8DE1D6F-207B-447B-AD03-1D8BDD36B5D6}" name="מספר נ&quot;ע" dataDxfId="254" dataCellStyle="Percent"/>
    <tableColumn id="3" xr3:uid="{4A300B4B-71F4-4136-8ACA-704615048A5D}" name="נכס הבסיס" dataDxfId="253" dataCellStyle="Percent"/>
    <tableColumn id="4" xr3:uid="{09DD191A-6B7F-4429-ABBC-B2342BD82BD7}" name="דירוג" dataDxfId="252" dataCellStyle="Percent"/>
    <tableColumn id="5" xr3:uid="{4415EB55-8E9A-4572-A272-9F17057072B3}" name="שם מדרג" dataDxfId="251" dataCellStyle="Percent"/>
    <tableColumn id="6" xr3:uid="{FA6DFFDA-0C32-4B09-8111-41671D06AF50}" name="תאריך רכישה" dataDxfId="250" dataCellStyle="Percent"/>
    <tableColumn id="7" xr3:uid="{29FCE25A-5216-4077-A893-F20506DA53F6}" name="מח&quot;מ" dataDxfId="249" dataCellStyle="Percent"/>
    <tableColumn id="8" xr3:uid="{428DEEB4-2A17-4FF9-A78E-85A58A8F2761}" name="סוג מטבע" dataDxfId="248" dataCellStyle="Percent"/>
    <tableColumn id="9" xr3:uid="{2F6386CE-8E69-4A9A-9AB2-22B1B4B95977}" name="שעור ריבית" dataDxfId="247" dataCellStyle="Percent"/>
    <tableColumn id="10" xr3:uid="{7BE6E1B4-2AE8-487F-8568-2F7FDA075334}" name="תשואה לפדיון" dataDxfId="246" dataCellStyle="Percent"/>
    <tableColumn id="11" xr3:uid="{873F3E4A-6F3E-45F3-8A85-6F8B13FFC109}" name="ערך נקוב" dataDxfId="245" dataCellStyle="Percent"/>
    <tableColumn id="12" xr3:uid="{35A2CAAC-A91A-44B7-9495-E77EC194EB38}" name="שער" dataDxfId="244" dataCellStyle="Percent"/>
    <tableColumn id="13" xr3:uid="{815D2513-42A3-4E62-B2DC-0F38DC26FC2E}" name="שווי שוק" dataDxfId="243" dataCellStyle="Comma"/>
    <tableColumn id="14" xr3:uid="{EFDCF3EC-3B3F-459D-A19C-415EA1909060}" name="שעור מערך נקוב מונפק" dataDxfId="242" dataCellStyle="Percent"/>
    <tableColumn id="15" xr3:uid="{D80300BD-4B4A-4DA3-810F-50F4EE4B9A1E}" name="שעור מנכסי אפיק ההשקעה" dataDxfId="241" dataCellStyle="Percent"/>
    <tableColumn id="16" xr3:uid="{B3EF90AF-3A34-4700-A07A-AD4F7E9BFDDB}" name="שעור מנכסי השקעה" dataDxfId="240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2D37F-2602-47EC-A294-5014A9A0EE30}" name="טבלה1" displayName="טבלה1" ref="A6:Q32" totalsRowShown="0" headerRowDxfId="574" dataDxfId="575" headerRowBorderDxfId="593" tableBorderDxfId="594" headerRowCellStyle="Percent" dataCellStyle="Percent">
  <autoFilter ref="A6:Q32" xr:uid="{35E64690-CC17-4A4F-80B8-0A2E3DA734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DACE9582-E85C-404E-B4EC-770F180BFAA1}" name="שם המנפיק/שם נייר ערך" dataDxfId="592"/>
    <tableColumn id="2" xr3:uid="{C1DDB089-40CC-4BEF-BFD8-53A33156677F}" name="קונסורציום" dataDxfId="591" dataCellStyle="Percent"/>
    <tableColumn id="3" xr3:uid="{72D526D8-F1E9-48AF-91E1-0CFFC4BFD55B}" name="מספר נ&quot;ע" dataDxfId="590" dataCellStyle="Percent"/>
    <tableColumn id="4" xr3:uid="{46D6D738-E5E6-4111-9736-5648E9EB2B18}" name="מספר מנפיק" dataDxfId="589" dataCellStyle="Percent"/>
    <tableColumn id="5" xr3:uid="{8402DF31-1814-4DB8-AE5A-FC9A05B35F34}" name="דירוג" dataDxfId="588" dataCellStyle="Percent"/>
    <tableColumn id="6" xr3:uid="{FCEB134D-299B-4D4E-9221-438439B1BDD1}" name="תאריך רכישה" dataDxfId="587" dataCellStyle="Percent"/>
    <tableColumn id="7" xr3:uid="{E452C792-2F6A-445E-99C6-31E631E4B66E}" name="שם מדרג" dataDxfId="586" dataCellStyle="Percent"/>
    <tableColumn id="8" xr3:uid="{7DF1A6E7-D6D6-433B-A950-E04A76C379D3}" name="מח&quot;מ" dataDxfId="585" dataCellStyle="Percent"/>
    <tableColumn id="9" xr3:uid="{D094E210-A329-46DA-9098-4CFEF953093E}" name="ענף משק" dataDxfId="584" dataCellStyle="Percent"/>
    <tableColumn id="10" xr3:uid="{90C8E65D-4974-4FEE-9839-3B463421FFEB}" name="סוג מטבע" dataDxfId="583" dataCellStyle="Percent"/>
    <tableColumn id="11" xr3:uid="{846ABB8D-20E8-4A2D-88EC-CD760FC9F385}" name="שעור ריבית ממוצע" dataDxfId="582" dataCellStyle="Percent"/>
    <tableColumn id="12" xr3:uid="{DA63BA6A-41AF-450D-BB79-84B27B1A5CA3}" name="תשואה לפדיון" dataDxfId="581" dataCellStyle="Percent"/>
    <tableColumn id="13" xr3:uid="{D07E2D33-8301-4C3F-86A0-FD32F072E0EA}" name="ערך נקוב" dataDxfId="580" dataCellStyle="Comma"/>
    <tableColumn id="14" xr3:uid="{A40F6518-EDC0-49BD-BB20-C19F1024D47E}" name="שער" dataDxfId="579" dataCellStyle="Percent"/>
    <tableColumn id="15" xr3:uid="{2D47CEF5-2033-4CAD-B750-DEDF078386C1}" name="שווי הוגן" dataDxfId="578" dataCellStyle="Comma"/>
    <tableColumn id="16" xr3:uid="{9CD67A1E-85FB-4415-902E-2808136A37E9}" name="שעור מנכסי אפיק ההשקעה" dataDxfId="577" dataCellStyle="Percent"/>
    <tableColumn id="17" xr3:uid="{96A960D7-A477-43A0-B62E-32B245C7EEAA}" name="שעור מנכסי השקעה" dataDxfId="57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0974AEF-55B5-415C-9D3D-D1EBC9DA374B}" name="טבלה23" displayName="טבלה23" ref="A6:N16" totalsRowShown="0" headerRowDxfId="220" dataDxfId="221" headerRowBorderDxfId="236" tableBorderDxfId="237" headerRowCellStyle="Percent" dataCellStyle="Percent">
  <autoFilter ref="A6:N16" xr:uid="{14B39B2B-C8A3-45BB-B69D-406ACB1D2F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97BD6BE-9C55-4E9D-B77B-5A6679B5FC7D}" name="שם המנפיק/שם נייר ערך" dataDxfId="235"/>
    <tableColumn id="2" xr3:uid="{3EB7DAB4-F449-4666-A68B-38FEF863F5E6}" name="מספר נ&quot;ע" dataDxfId="234" dataCellStyle="Percent"/>
    <tableColumn id="3" xr3:uid="{AAB515BF-88C8-4287-875F-52B50E696152}" name="מספר מנפיק" dataDxfId="233" dataCellStyle="Percent"/>
    <tableColumn id="4" xr3:uid="{0478EC10-6E17-423A-94A5-626759D1DAC2}" name="דירוג" dataDxfId="232" dataCellStyle="Percent"/>
    <tableColumn id="5" xr3:uid="{856A92A8-C754-40EF-8876-628C84AABC9E}" name="שם מדרג" dataDxfId="231" dataCellStyle="Percent"/>
    <tableColumn id="6" xr3:uid="{3DF96F1B-C630-4AA7-BF93-4A03DB7CC343}" name="מח&quot;מ" dataDxfId="230" dataCellStyle="Percent"/>
    <tableColumn id="7" xr3:uid="{5459DA94-D6FC-45BF-9E4B-FEC19217749D}" name="סוג מטבע" dataDxfId="229" dataCellStyle="Percent"/>
    <tableColumn id="8" xr3:uid="{6D287DB9-DE31-4F12-9CAA-3DAF9C65719C}" name="תנאי ושיעור ריבית" dataDxfId="228" dataCellStyle="Percent"/>
    <tableColumn id="9" xr3:uid="{A94655EA-C887-4FE4-BB4D-5968FDDAA973}" name="תשואה לפדיון" dataDxfId="227" dataCellStyle="Percent"/>
    <tableColumn id="10" xr3:uid="{9EEC699A-46E2-4C8C-8741-40B320CE885C}" name="ערך נקוב" dataDxfId="226" dataCellStyle="Percent"/>
    <tableColumn id="11" xr3:uid="{C31E3F47-D69E-43D2-A9E8-F354A92D3935}" name="שער" dataDxfId="225" dataCellStyle="Percent"/>
    <tableColumn id="12" xr3:uid="{B2B8DAE1-6F47-49C3-93E8-1EE64DB28CBB}" name="שווי הוגן" dataDxfId="224" dataCellStyle="Comma"/>
    <tableColumn id="13" xr3:uid="{21F6A53E-A093-407B-BC10-950255994E41}" name="שעור מנכסי אפיק ההשקעה" dataDxfId="223" dataCellStyle="Percent"/>
    <tableColumn id="14" xr3:uid="{0875CA60-C2BF-40F8-8676-7F2A703ACF1F}" name="שעור מנכסי השקעה" dataDxfId="22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3F23A6C-DEB2-4C3B-8A0F-948E64B63920}" name="טבלה24" displayName="טבלה24" ref="A6:I15" totalsRowShown="0" headerRowDxfId="207" dataDxfId="208" headerRowBorderDxfId="218" tableBorderDxfId="219" headerRowCellStyle="Percent" dataCellStyle="Percent">
  <autoFilter ref="A6:I15" xr:uid="{0CC4B521-CC7F-4EC8-AEB3-DA0E2B9827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2406EEF-CB3F-437B-8EAA-E397D9D9A3B0}" name="שם המנפיק/שם נייר ערך" dataDxfId="217"/>
    <tableColumn id="2" xr3:uid="{D12B481C-945A-48AB-B24A-26396C17B515}" name="תאריך שערוך אחרון" dataDxfId="216" dataCellStyle="Percent"/>
    <tableColumn id="3" xr3:uid="{A4DCAA81-044B-4E5F-9122-4BFD0F6697D2}" name="אופי הנכס" dataDxfId="215" dataCellStyle="Percent"/>
    <tableColumn id="4" xr3:uid="{D84E5E28-1F44-49FE-B3DC-82EB62BBDB06}" name="שעור תשואה במהלך התקופה" dataDxfId="214" dataCellStyle="Percent"/>
    <tableColumn id="5" xr3:uid="{A3C9A85B-ED73-4180-A4EA-564E8BE0375F}" name="סוג מטבע" dataDxfId="213" dataCellStyle="Percent"/>
    <tableColumn id="6" xr3:uid="{2C05D8D6-B456-409B-ADFD-92B16394E7C5}" name="שווי משוערך" dataDxfId="212" dataCellStyle="Comma"/>
    <tableColumn id="7" xr3:uid="{38315139-D3D3-407C-AC31-EF71E3E1F2AD}" name="שעור מנכסי אפיק ההשקעה" dataDxfId="211" dataCellStyle="Percent"/>
    <tableColumn id="8" xr3:uid="{1122651E-EA27-4D7A-BDF5-621AAE72334F}" name="שעור מנכסי השקעה" dataDxfId="210" dataCellStyle="Percent"/>
    <tableColumn id="9" xr3:uid="{665D40ED-532E-44AC-B2FE-3C201D6D03FF}" name="כתובת הנכס" dataDxfId="20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DE2D7FE-1B79-4CC3-B5CE-FF0B4736A8D3}" name="טבלה25" displayName="טבלה25" ref="A6:J11" totalsRowShown="0" headerRowDxfId="204" headerRowBorderDxfId="205" tableBorderDxfId="206" headerRowCellStyle="Percent">
  <autoFilter ref="A6:J11" xr:uid="{053269E9-45BB-456D-A659-61131C1679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DB880A6-39AA-47F2-A5BB-7F0B88F0F108}" name="שם המנפיק/שם נייר ערך"/>
    <tableColumn id="2" xr3:uid="{C9445E21-6A03-42A6-B362-E0E2FB4BAE26}" name="מספר מנפיק"/>
    <tableColumn id="3" xr3:uid="{7B13856C-677D-495B-AF7F-4D2E067DAF05}" name="דירוג"/>
    <tableColumn id="4" xr3:uid="{F338CAB1-298A-47FB-A91F-61CA0BBB4F6E}" name="שם המדרג"/>
    <tableColumn id="5" xr3:uid="{45AB9E96-C59E-443E-AD20-73CA88EFF6AC}" name="שעור הריבית"/>
    <tableColumn id="6" xr3:uid="{2D8CACC2-17EA-48CD-BA40-CEDC77C28494}" name="סוג מטבע"/>
    <tableColumn id="7" xr3:uid="{872AC5B5-E3EF-46ED-80A9-198FFDD58E45}" name="תשואה לפדיון"/>
    <tableColumn id="8" xr3:uid="{814A0365-2F4D-4850-9F9D-037C61CFF277}" name="שווי הוגן"/>
    <tableColumn id="9" xr3:uid="{82EC55F9-BA51-405A-ADDB-8D721D950054}" name="שעור מנכסי אפיק ההשקעה"/>
    <tableColumn id="10" xr3:uid="{DD63CFEE-1615-4ED4-AF52-73131879AA80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D343669-843D-4E8C-8E8B-795BE363EA15}" name="טבלה26" displayName="טבלה26" ref="A6:J12" totalsRowShown="0" headerRowDxfId="201" headerRowBorderDxfId="202" tableBorderDxfId="203" headerRowCellStyle="Percent">
  <autoFilter ref="A6:J12" xr:uid="{C51051EF-ABF4-434D-BBF4-C67BF3358D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941F168-68A7-45A1-8F57-D51FC553F3B2}" name="שם המנפיק/שם נייר ערך"/>
    <tableColumn id="2" xr3:uid="{A796E18B-7676-41F8-B4A2-BFB830A17DFC}" name="מספר נייר"/>
    <tableColumn id="3" xr3:uid="{8A7F11B1-DFBB-4579-91EB-003A15FA8985}" name="דירוג"/>
    <tableColumn id="4" xr3:uid="{1645DC2B-CD90-4974-A50C-C2C9D8486021}" name="שם מדרג"/>
    <tableColumn id="5" xr3:uid="{DB2277DF-4E34-48C9-AD92-2E1DC1F5F882}" name="שעור ריבית"/>
    <tableColumn id="6" xr3:uid="{C1A71018-F7F7-44C6-8FF7-8A4A456B96BF}" name="סוג מטבע"/>
    <tableColumn id="7" xr3:uid="{FD798D71-0643-4264-A7AA-0B1D5CA0097F}" name="תשואה לפדיון"/>
    <tableColumn id="8" xr3:uid="{919970C9-A5CD-4372-BB5A-F9ABF1F5FD3A}" name="שווי הוגן"/>
    <tableColumn id="9" xr3:uid="{7CFF0523-E3B5-4767-85C0-5992BD423A27}" name="שעור מנכסי אפיק ההשקעה"/>
    <tableColumn id="10" xr3:uid="{4D7BADEA-973F-43C0-9400-57A62253E041}" name="שעור מ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7F13349-4129-4692-B0DA-D443AD89863B}" name="טבלה27" displayName="טבלה27" ref="A6:C11" totalsRowShown="0" headerRowBorderDxfId="199" tableBorderDxfId="200">
  <autoFilter ref="A6:C11" xr:uid="{483EE1CC-DFCC-4D3F-96CD-28397501C81B}">
    <filterColumn colId="0" hiddenButton="1"/>
    <filterColumn colId="1" hiddenButton="1"/>
    <filterColumn colId="2" hiddenButton="1"/>
  </autoFilter>
  <tableColumns count="3">
    <tableColumn id="1" xr3:uid="{850E97DE-9500-4BB9-A16C-71F1E3C92A5A}" name="שם המנפיק/שם נייר ערך"/>
    <tableColumn id="2" xr3:uid="{E7538683-75CF-4335-9EF6-2E4E7C5ACCEB}" name="סכום ההתחייבות"/>
    <tableColumn id="3" xr3:uid="{D617E532-CB71-4E39-AAD2-496FCCE83660}" name="תאריך סיום ההתחייבות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61DD699-F8F0-4150-8FED-FF5B45BD89BA}" name="טבלה28" displayName="טבלה28" ref="A6:O19" totalsRowShown="0" headerRowDxfId="181" headerRowBorderDxfId="197" tableBorderDxfId="198" headerRowCellStyle="Percent">
  <autoFilter ref="A6:O19" xr:uid="{A436F65F-42F5-4ADF-A473-56DEE16C13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DDC7929-AA6E-4E2D-9975-2D96974C7008}" name="שם המנפיק/שם נייר ערך" dataDxfId="196"/>
    <tableColumn id="2" xr3:uid="{335EDA67-D38D-43E1-B1DF-E1D132D94B71}" name="מספר ני&quot;ע" dataDxfId="195" dataCellStyle="Percent"/>
    <tableColumn id="3" xr3:uid="{3F33521F-E8DD-43C0-A639-C467E07EAD0E}" name="ענף מסחר" dataDxfId="194" dataCellStyle="Percent"/>
    <tableColumn id="4" xr3:uid="{C2F7022E-4EB1-440D-B938-8962160750D8}" name="דירוג" dataDxfId="193" dataCellStyle="Percent"/>
    <tableColumn id="5" xr3:uid="{DB0234E3-4E8F-425F-87FE-424AC85CA5F3}" name="שם מדרג" dataDxfId="192" dataCellStyle="Percent"/>
    <tableColumn id="6" xr3:uid="{F99BF9A9-7D4E-4A1E-B188-1EB427BB3806}" name="תאריך רכישה" dataDxfId="191" dataCellStyle="Percent"/>
    <tableColumn id="7" xr3:uid="{68FE2E4C-0D79-47E7-9DFE-B3D71D4658E6}" name="מח&quot;מ" dataDxfId="190" dataCellStyle="Percent"/>
    <tableColumn id="8" xr3:uid="{D85A2746-CD22-404C-87A6-F5B7E630D5D7}" name="סוג מטבע" dataDxfId="189" dataCellStyle="Percent"/>
    <tableColumn id="9" xr3:uid="{5BE3D022-AB8F-4F11-A2AA-36FB7E7F7435}" name="שיעור ריבית" dataDxfId="188" dataCellStyle="Percent"/>
    <tableColumn id="10" xr3:uid="{8451CD46-B25F-4587-9549-1CEFF64C2620}" name="ריבית אפקטיבית" dataDxfId="187" dataCellStyle="Percent"/>
    <tableColumn id="11" xr3:uid="{64DFD5C5-21B0-46E1-AE40-21649BA524AE}" name="ערך נקוב" dataDxfId="186" dataCellStyle="Comma"/>
    <tableColumn id="12" xr3:uid="{C2079A5A-8269-498D-B2E3-F6ED6277E4B5}" name="עלות מתואמת" dataDxfId="185" dataCellStyle="Percent"/>
    <tableColumn id="13" xr3:uid="{1FC1BCFE-1956-4AD8-9E3F-7DCFEA849118}" name="שעור מערך נקוב מונפק" dataDxfId="184" dataCellStyle="Comma"/>
    <tableColumn id="14" xr3:uid="{0B548116-E922-45DC-A79C-97674C8B028B}" name="שעור מנכסי אפיק ההשקעה" dataDxfId="183" dataCellStyle="Percent"/>
    <tableColumn id="15" xr3:uid="{F5B882B7-03DA-4DC7-A450-FF222DB60581}" name="שעור מסך נכסי השקעה**" dataDxfId="182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6DDD939-BA25-488F-9CC7-FFC8C536A9A2}" name="טבלה29" displayName="טבלה29" ref="A6:O18" totalsRowShown="0" headerRowDxfId="163" headerRowBorderDxfId="179" tableBorderDxfId="180" headerRowCellStyle="Percent">
  <autoFilter ref="A6:O18" xr:uid="{BFE2C84D-E4EC-4BDB-83A6-F6360842FC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5F20CB8-DBFE-4B3B-9DDD-700A37D22410}" name="שם המנפיק/שם נייר ערך" dataDxfId="178"/>
    <tableColumn id="2" xr3:uid="{895A55E8-C902-4335-A2CE-6DDE8183749B}" name="מספר ני&quot;ע" dataDxfId="177" dataCellStyle="Percent"/>
    <tableColumn id="3" xr3:uid="{DA5D9796-5F87-4150-A40B-26391EB82D66}" name="ענף מסחר" dataDxfId="176" dataCellStyle="Percent"/>
    <tableColumn id="4" xr3:uid="{FA1F13B3-239F-4113-9880-A6DFA981C63F}" name="דירוג" dataDxfId="175" dataCellStyle="Percent"/>
    <tableColumn id="5" xr3:uid="{B767E31A-E897-41F5-8113-0724B8216B7D}" name="שם מדרג" dataDxfId="174" dataCellStyle="Percent"/>
    <tableColumn id="6" xr3:uid="{D2521989-DE88-434F-B8E9-50E387607FDB}" name="תאריך רכישה" dataDxfId="173" dataCellStyle="Percent"/>
    <tableColumn id="7" xr3:uid="{011746AB-8F46-4969-9F2E-57EC38CE0305}" name="מח&quot;מ" dataDxfId="172" dataCellStyle="Percent"/>
    <tableColumn id="8" xr3:uid="{C76FD5E9-AF1A-4097-AA04-EFA66B0BAAC4}" name="סוג מטבע" dataDxfId="171" dataCellStyle="Percent"/>
    <tableColumn id="9" xr3:uid="{A08D0BD2-3928-42CF-A6E2-16D84BE666E2}" name="שיעור ריבית" dataDxfId="170" dataCellStyle="Percent"/>
    <tableColumn id="10" xr3:uid="{A5F5A635-9E7A-438D-894C-B7F67034E153}" name="ריבית אפקטיבית" dataDxfId="169" dataCellStyle="Percent"/>
    <tableColumn id="11" xr3:uid="{20A6996E-87EE-470B-A40D-D9EEE643983B}" name="ערך נקוב" dataDxfId="168" dataCellStyle="Comma"/>
    <tableColumn id="12" xr3:uid="{46F58E0D-2D1E-4BF1-A9CC-E3042A1565B2}" name="עלות מתואמת" dataDxfId="167" dataCellStyle="Percent"/>
    <tableColumn id="13" xr3:uid="{7D803AB4-BDA8-406E-AAEA-4A8433CC6344}" name="שעור מערך נקוב מונפק" dataDxfId="166" dataCellStyle="Comma"/>
    <tableColumn id="14" xr3:uid="{BE2EC464-B881-46A0-A6F8-D524AA75FC8F}" name="שעור מנכסי אפיק ההשקעה" dataDxfId="165" dataCellStyle="Percent"/>
    <tableColumn id="15" xr3:uid="{FFB733F5-36A2-43F7-9E2B-98466A836C4D}" name="שעור מסך נכסי השקעה**" dataDxfId="16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6CCE209-A058-425E-8E82-07D44C5EDB59}" name="טבלה30" displayName="טבלה30" ref="A6:O19" totalsRowShown="0" headerRowDxfId="0" headerRowBorderDxfId="16" tableBorderDxfId="17" headerRowCellStyle="Percent">
  <autoFilter ref="A6:O19" xr:uid="{323D9FBE-5CD8-4714-809D-3DBEED4BE6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B00A92D-72E0-464A-A624-77E2C9E4FC36}" name="שם המנפיק/שם נייר ערך" dataDxfId="15"/>
    <tableColumn id="2" xr3:uid="{8204AEF1-7A14-4BBC-8139-508065E0CC4B}" name="מספר ני&quot;ע" dataDxfId="14" dataCellStyle="Percent"/>
    <tableColumn id="3" xr3:uid="{DD7D5BF7-AB3E-475C-95E7-08E6BEDE3D23}" name="ענף מסחר" dataDxfId="13" dataCellStyle="Percent"/>
    <tableColumn id="4" xr3:uid="{3A712CFB-7845-423D-984D-B4009BFBA6EB}" name="דירוג" dataDxfId="12" dataCellStyle="Percent"/>
    <tableColumn id="5" xr3:uid="{A09B037D-97AC-4BAE-8AD0-06EA08B53FE7}" name="שם מדרג" dataDxfId="11" dataCellStyle="Percent"/>
    <tableColumn id="6" xr3:uid="{7F2AE806-D8F4-421F-887B-90A1BCEAB18C}" name="תאריך רכישה" dataDxfId="10" dataCellStyle="Percent"/>
    <tableColumn id="7" xr3:uid="{5E039BAA-23B3-48D6-BDA1-47FEE77ABDDF}" name="מח&quot;מ" dataDxfId="9" dataCellStyle="Percent"/>
    <tableColumn id="8" xr3:uid="{68154389-F5ED-479A-AB45-D87EFEA1433C}" name="סוג מטבע" dataDxfId="8" dataCellStyle="Percent"/>
    <tableColumn id="9" xr3:uid="{1896E080-62E3-4A67-ABB7-0E3BFDFE0364}" name="שיעור ריבית" dataDxfId="7" dataCellStyle="Percent"/>
    <tableColumn id="10" xr3:uid="{ACC97B43-0AC2-42F7-AD80-67DCB256C1DE}" name="ריבית אפקטיבית" dataDxfId="6" dataCellStyle="Percent"/>
    <tableColumn id="11" xr3:uid="{06236947-A1CF-447C-9F4C-E1FED8F51FB1}" name="ערך נקוב" dataDxfId="5" dataCellStyle="Comma"/>
    <tableColumn id="12" xr3:uid="{DD5B8AB4-2FC3-4C42-876C-A27A2EAE67A2}" name="עלות מתואמת" dataDxfId="4" dataCellStyle="Percent"/>
    <tableColumn id="13" xr3:uid="{B62E9923-4267-439A-A477-EA5CF979073F}" name="שעור מערך נקוב מונפק" dataDxfId="3" dataCellStyle="Comma"/>
    <tableColumn id="14" xr3:uid="{F066207F-27AD-491C-8B2B-7C0D1B904D9D}" name="שעור מנכסי אפיק ההשקעה" dataDxfId="2" dataCellStyle="Percent"/>
    <tableColumn id="15" xr3:uid="{EC2A961F-2A7D-441F-B38F-98E02653427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59" t="s">
        <v>225</v>
      </c>
      <c r="B1" s="59" t="s">
        <v>235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226</v>
      </c>
      <c r="B2" s="59" t="s">
        <v>151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227</v>
      </c>
      <c r="B3" s="59" t="s">
        <v>228</v>
      </c>
      <c r="C3" s="59"/>
      <c r="D3" s="63" t="s">
        <v>239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229</v>
      </c>
      <c r="B4" s="59" t="s">
        <v>236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26" t="s">
        <v>823</v>
      </c>
      <c r="B6" s="221" t="s">
        <v>29</v>
      </c>
      <c r="C6" s="222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210"/>
      <c r="B7" s="64" t="s">
        <v>10</v>
      </c>
      <c r="C7" s="217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211"/>
      <c r="B8" s="58" t="s">
        <v>49</v>
      </c>
      <c r="C8" s="218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212" t="s">
        <v>98</v>
      </c>
      <c r="B9" s="58"/>
      <c r="C9" s="21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13" t="s">
        <v>43</v>
      </c>
      <c r="B10" s="117">
        <v>3969.8202013432606</v>
      </c>
      <c r="C10" s="219">
        <v>5.5748349093172278E-2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14" t="s">
        <v>45</v>
      </c>
      <c r="B11" s="117">
        <v>64513.736716931402</v>
      </c>
      <c r="C11" s="219">
        <v>0.90596906998043525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15" t="s">
        <v>12</v>
      </c>
      <c r="B12" s="117">
        <v>11885.106901331406</v>
      </c>
      <c r="C12" s="219">
        <v>0.16690304722639579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15" t="s">
        <v>18</v>
      </c>
      <c r="B13" s="117">
        <v>0</v>
      </c>
      <c r="C13" s="219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15" t="s">
        <v>20</v>
      </c>
      <c r="B14" s="117">
        <v>1929.9942705999999</v>
      </c>
      <c r="C14" s="219">
        <v>2.7102989276145257E-2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15" t="s">
        <v>21</v>
      </c>
      <c r="B15" s="117">
        <v>6.9999999999999997E-7</v>
      </c>
      <c r="C15" s="219">
        <v>9.830128919192907E-12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15" t="s">
        <v>158</v>
      </c>
      <c r="B16" s="117">
        <v>47393.154410999989</v>
      </c>
      <c r="C16" s="219">
        <v>0.66554402535335122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15" t="s">
        <v>44</v>
      </c>
      <c r="B17" s="117">
        <v>3196.7091507999999</v>
      </c>
      <c r="C17" s="219">
        <v>4.4891518670753826E-2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15" t="s">
        <v>23</v>
      </c>
      <c r="B18" s="117">
        <v>2.0000000000000002E-7</v>
      </c>
      <c r="C18" s="219">
        <v>2.8086082626265452E-12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15" t="s">
        <v>24</v>
      </c>
      <c r="B19" s="117">
        <v>10.651310899999999</v>
      </c>
      <c r="C19" s="219">
        <v>1.4957679900772089E-4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15" t="s">
        <v>25</v>
      </c>
      <c r="B20" s="117">
        <v>98.120670199999992</v>
      </c>
      <c r="C20" s="219">
        <v>1.3779126252908707E-3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15" t="s">
        <v>26</v>
      </c>
      <c r="B21" s="117">
        <v>1.2000000000000002E-6</v>
      </c>
      <c r="C21" s="219">
        <v>1.6851649575759273E-11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212" t="s">
        <v>46</v>
      </c>
      <c r="B22" s="117">
        <v>368.92368120401289</v>
      </c>
      <c r="C22" s="219">
        <v>5.1808104965409595E-3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15" t="s">
        <v>12</v>
      </c>
      <c r="B23" s="117">
        <v>6.9999999999999997E-7</v>
      </c>
      <c r="C23" s="219">
        <v>9.830128919192907E-12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15" t="s">
        <v>18</v>
      </c>
      <c r="B24" s="117">
        <v>6.0000000000000008E-7</v>
      </c>
      <c r="C24" s="219">
        <v>8.4258247878796364E-12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15" t="s">
        <v>20</v>
      </c>
      <c r="B25" s="117">
        <v>6.0000000000000008E-7</v>
      </c>
      <c r="C25" s="219">
        <v>8.4258247878796364E-12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15" t="s">
        <v>21</v>
      </c>
      <c r="B26" s="117">
        <v>3.0000000000000004E-7</v>
      </c>
      <c r="C26" s="219">
        <v>4.2129123939398182E-12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15" t="s">
        <v>30</v>
      </c>
      <c r="B27" s="117">
        <v>8.0000000000000007E-7</v>
      </c>
      <c r="C27" s="219">
        <v>1.1234433050506181E-11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15" t="s">
        <v>31</v>
      </c>
      <c r="B28" s="117">
        <v>2.0000000000000002E-7</v>
      </c>
      <c r="C28" s="219">
        <v>2.8086082626265452E-12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15" t="s">
        <v>32</v>
      </c>
      <c r="B29" s="117">
        <v>9.9999999999999995E-7</v>
      </c>
      <c r="C29" s="219">
        <v>1.4043041313132724E-11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15" t="s">
        <v>33</v>
      </c>
      <c r="B30" s="117">
        <v>368.92367580401293</v>
      </c>
      <c r="C30" s="219">
        <v>5.1808104207085376E-3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15" t="s">
        <v>34</v>
      </c>
      <c r="B31" s="117">
        <v>1.2000000000000002E-6</v>
      </c>
      <c r="C31" s="219">
        <v>1.6851649575759273E-11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15" t="s">
        <v>35</v>
      </c>
      <c r="B32" s="117">
        <v>2396.1388313000002</v>
      </c>
      <c r="C32" s="219">
        <v>3.3649076599947467E-2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15" t="s">
        <v>37</v>
      </c>
      <c r="B33" s="117">
        <v>6.0000000000000008E-7</v>
      </c>
      <c r="C33" s="219">
        <v>8.4258247878796364E-12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15" t="s">
        <v>47</v>
      </c>
      <c r="B34" s="117">
        <v>4.0000000000000003E-7</v>
      </c>
      <c r="C34" s="219">
        <v>5.6172165252530904E-12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15" t="s">
        <v>86</v>
      </c>
      <c r="B35" s="117">
        <v>2.0000000000000002E-7</v>
      </c>
      <c r="C35" s="219">
        <v>2.8086082626265452E-12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15" t="s">
        <v>87</v>
      </c>
      <c r="B36" s="117">
        <v>-38.9734798</v>
      </c>
      <c r="C36" s="219">
        <v>-5.4730618694794368E-4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212" t="s">
        <v>94</v>
      </c>
      <c r="B37" s="100"/>
      <c r="C37" s="21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15" t="s">
        <v>95</v>
      </c>
      <c r="B38" s="100">
        <v>0</v>
      </c>
      <c r="C38" s="21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15" t="s">
        <v>96</v>
      </c>
      <c r="B39" s="100">
        <v>0</v>
      </c>
      <c r="C39" s="21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15" t="s">
        <v>97</v>
      </c>
      <c r="B40" s="100">
        <v>0</v>
      </c>
      <c r="C40" s="21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16" t="s">
        <v>48</v>
      </c>
      <c r="B41" s="67">
        <v>71209.645952178704</v>
      </c>
      <c r="C41" s="220">
        <v>0.99999999999999989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23" t="s">
        <v>93</v>
      </c>
      <c r="B42" s="224">
        <v>2.0000000000000002E-7</v>
      </c>
      <c r="C42" s="225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32" t="s">
        <v>0</v>
      </c>
      <c r="C44" s="233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27" t="s">
        <v>49</v>
      </c>
      <c r="C45" s="218" t="s">
        <v>50</v>
      </c>
      <c r="D45" s="59"/>
      <c r="E45" s="133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28" t="s">
        <v>126</v>
      </c>
      <c r="C46" s="230">
        <v>3.2149999999999999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28" t="s">
        <v>127</v>
      </c>
      <c r="C47" s="230">
        <v>3.9441000000000002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29" t="s">
        <v>2</v>
      </c>
      <c r="C48" s="230">
        <v>4.3918999999999997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28" t="s">
        <v>132</v>
      </c>
      <c r="C49" s="230">
        <v>2.5217000000000001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29" t="s">
        <v>3</v>
      </c>
      <c r="C50" s="230">
        <v>2.4634146341463414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29" t="s">
        <v>65</v>
      </c>
      <c r="C51" s="230">
        <v>0.41470000000000001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28" t="s">
        <v>128</v>
      </c>
      <c r="C52" s="230">
        <v>2.3273999999999999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29" t="s">
        <v>91</v>
      </c>
      <c r="C53" s="231">
        <v>0.53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28" t="s">
        <v>133</v>
      </c>
      <c r="C54" s="231">
        <v>0.39319999999999999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28" t="s">
        <v>265</v>
      </c>
      <c r="C55" s="230">
        <v>3.1191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28" t="s">
        <v>131</v>
      </c>
      <c r="C56" s="231">
        <v>0.16200000000000001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29" t="s">
        <v>90</v>
      </c>
      <c r="C57" s="231">
        <v>3.6497999999999999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29" t="s">
        <v>92</v>
      </c>
      <c r="C58" s="231">
        <v>0.49419999999999997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29" t="s">
        <v>129</v>
      </c>
      <c r="C59" s="231">
        <v>0.62019999999999997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28" t="s">
        <v>224</v>
      </c>
      <c r="C60" s="231">
        <v>0.15040000000000001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28" t="s">
        <v>152</v>
      </c>
      <c r="C61" s="231">
        <v>0.37669999999999998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28" t="s">
        <v>161</v>
      </c>
      <c r="C62" s="231">
        <v>0.4526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28" t="s">
        <v>153</v>
      </c>
      <c r="C63" s="231">
        <v>0.86539999999999995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28" t="s">
        <v>154</v>
      </c>
      <c r="C64" s="231">
        <v>4.3969766E-2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28" t="s">
        <v>162</v>
      </c>
      <c r="C65" s="231">
        <v>2.2879000000000001E-4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28" t="s">
        <v>155</v>
      </c>
      <c r="C66" s="231">
        <v>4.3099999999999999E-2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28" t="s">
        <v>223</v>
      </c>
      <c r="C67" s="231">
        <v>2.9510000000000001E-3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34" t="s">
        <v>156</v>
      </c>
      <c r="C68" s="235">
        <v>6.6720000000000002E-2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9"/>
  <sheetViews>
    <sheetView rightToLeft="1" zoomScale="90" zoomScaleNormal="90" workbookViewId="0">
      <selection activeCell="A6" sqref="A6:K44"/>
    </sheetView>
  </sheetViews>
  <sheetFormatPr defaultRowHeight="12.75" x14ac:dyDescent="0.2"/>
  <cols>
    <col min="1" max="1" width="45.285156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1" customWidth="1"/>
    <col min="6" max="6" width="11.42578125" style="54" bestFit="1" customWidth="1"/>
    <col min="7" max="7" width="11.85546875" style="83" customWidth="1"/>
    <col min="8" max="8" width="13.7109375" style="85" customWidth="1"/>
    <col min="9" max="9" width="10" style="83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1"/>
      <c r="F1" s="54"/>
      <c r="G1" s="83"/>
      <c r="H1" s="84"/>
      <c r="I1" s="83"/>
      <c r="J1" s="29"/>
      <c r="K1" s="31"/>
    </row>
    <row r="2" spans="1:11" s="23" customFormat="1" ht="14.25" customHeight="1" x14ac:dyDescent="0.2">
      <c r="A2" s="26" t="s">
        <v>226</v>
      </c>
      <c r="B2" s="25" t="s">
        <v>151</v>
      </c>
      <c r="C2" s="25"/>
      <c r="D2" s="25"/>
      <c r="E2" s="81"/>
      <c r="F2" s="54"/>
      <c r="G2" s="83"/>
      <c r="H2" s="84"/>
      <c r="I2" s="83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1"/>
      <c r="F3" s="54"/>
      <c r="G3" s="83"/>
      <c r="H3" s="84"/>
      <c r="I3" s="83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54"/>
      <c r="G4" s="83"/>
      <c r="H4" s="84"/>
      <c r="I4" s="83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39" customFormat="1" ht="12.75" customHeight="1" thickBot="1" x14ac:dyDescent="0.25">
      <c r="A9" s="93" t="s">
        <v>78</v>
      </c>
      <c r="B9" s="140"/>
      <c r="C9" s="140"/>
      <c r="D9" s="140"/>
      <c r="E9" s="140"/>
      <c r="F9" s="140"/>
      <c r="G9" s="140"/>
      <c r="H9" s="140"/>
      <c r="I9" s="102">
        <v>3969.8202013432606</v>
      </c>
      <c r="J9" s="98">
        <v>1</v>
      </c>
      <c r="K9" s="80">
        <v>5.5748349093172278E-2</v>
      </c>
    </row>
    <row r="10" spans="1:11" s="139" customFormat="1" x14ac:dyDescent="0.2">
      <c r="A10" s="141" t="s">
        <v>238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2" t="s">
        <v>239</v>
      </c>
      <c r="G10" s="142" t="s">
        <v>239</v>
      </c>
      <c r="H10" s="142" t="s">
        <v>239</v>
      </c>
      <c r="I10" s="143">
        <v>3647.8207311432598</v>
      </c>
      <c r="J10" s="142">
        <v>0.91888814760652227</v>
      </c>
      <c r="K10" s="142">
        <v>5.1226497230346814E-2</v>
      </c>
    </row>
    <row r="11" spans="1:11" s="139" customFormat="1" x14ac:dyDescent="0.2">
      <c r="A11" s="144" t="s">
        <v>240</v>
      </c>
      <c r="B11" s="145" t="s">
        <v>239</v>
      </c>
      <c r="C11" s="145" t="s">
        <v>239</v>
      </c>
      <c r="D11" s="146" t="s">
        <v>239</v>
      </c>
      <c r="E11" s="147" t="s">
        <v>239</v>
      </c>
      <c r="F11" s="142" t="s">
        <v>239</v>
      </c>
      <c r="G11" s="145" t="s">
        <v>239</v>
      </c>
      <c r="H11" s="145" t="s">
        <v>239</v>
      </c>
      <c r="I11" s="148">
        <v>1961.8834655566</v>
      </c>
      <c r="J11" s="142">
        <v>0.4941995773241219</v>
      </c>
      <c r="K11" s="142">
        <v>2.7550810558363337E-2</v>
      </c>
    </row>
    <row r="12" spans="1:11" x14ac:dyDescent="0.2">
      <c r="A12" s="69" t="s">
        <v>798</v>
      </c>
      <c r="B12" s="41" t="s">
        <v>241</v>
      </c>
      <c r="C12" s="41" t="s">
        <v>242</v>
      </c>
      <c r="D12" s="87" t="s">
        <v>243</v>
      </c>
      <c r="E12" s="82" t="s">
        <v>244</v>
      </c>
      <c r="F12" s="50" t="s">
        <v>245</v>
      </c>
      <c r="G12" s="41">
        <v>0</v>
      </c>
      <c r="H12" s="41">
        <v>0</v>
      </c>
      <c r="I12" s="106">
        <v>65.407139999999998</v>
      </c>
      <c r="J12" s="50">
        <v>1.647609631737687E-2</v>
      </c>
      <c r="K12" s="50">
        <v>9.1851516919385593E-4</v>
      </c>
    </row>
    <row r="13" spans="1:11" x14ac:dyDescent="0.2">
      <c r="A13" s="69" t="s">
        <v>798</v>
      </c>
      <c r="B13" s="41" t="s">
        <v>250</v>
      </c>
      <c r="C13" s="41" t="s">
        <v>242</v>
      </c>
      <c r="D13" s="87" t="s">
        <v>243</v>
      </c>
      <c r="E13" s="82" t="s">
        <v>244</v>
      </c>
      <c r="F13" s="50" t="s">
        <v>245</v>
      </c>
      <c r="G13" s="41">
        <v>0</v>
      </c>
      <c r="H13" s="41">
        <v>0</v>
      </c>
      <c r="I13" s="106">
        <v>94.372525581045721</v>
      </c>
      <c r="J13" s="50">
        <v>2.3772493663343507E-2</v>
      </c>
      <c r="K13" s="50">
        <v>1.3252772755592999E-3</v>
      </c>
    </row>
    <row r="14" spans="1:11" x14ac:dyDescent="0.2">
      <c r="A14" s="69" t="s">
        <v>798</v>
      </c>
      <c r="B14" s="41" t="s">
        <v>256</v>
      </c>
      <c r="C14" s="41" t="s">
        <v>242</v>
      </c>
      <c r="D14" s="87" t="s">
        <v>243</v>
      </c>
      <c r="E14" s="82" t="s">
        <v>244</v>
      </c>
      <c r="F14" s="50" t="s">
        <v>245</v>
      </c>
      <c r="G14" s="41">
        <v>0</v>
      </c>
      <c r="H14" s="41">
        <v>0</v>
      </c>
      <c r="I14" s="106">
        <v>5.3757513866166239E-3</v>
      </c>
      <c r="J14" s="50">
        <v>1.3541548770389252E-6</v>
      </c>
      <c r="K14" s="50">
        <v>7.5491898811387775E-8</v>
      </c>
    </row>
    <row r="15" spans="1:11" x14ac:dyDescent="0.2">
      <c r="A15" s="69" t="s">
        <v>800</v>
      </c>
      <c r="B15" s="41" t="s">
        <v>246</v>
      </c>
      <c r="C15" s="41" t="s">
        <v>237</v>
      </c>
      <c r="D15" s="87" t="s">
        <v>243</v>
      </c>
      <c r="E15" s="82" t="s">
        <v>244</v>
      </c>
      <c r="F15" s="50" t="s">
        <v>245</v>
      </c>
      <c r="G15" s="41">
        <v>0</v>
      </c>
      <c r="H15" s="41">
        <v>0</v>
      </c>
      <c r="I15" s="106">
        <v>256.63130000000001</v>
      </c>
      <c r="J15" s="50">
        <v>6.4645572591213118E-2</v>
      </c>
      <c r="K15" s="50">
        <v>3.6038839481429582E-3</v>
      </c>
    </row>
    <row r="16" spans="1:11" x14ac:dyDescent="0.2">
      <c r="A16" s="69" t="s">
        <v>800</v>
      </c>
      <c r="B16" s="41" t="s">
        <v>249</v>
      </c>
      <c r="C16" s="41" t="s">
        <v>237</v>
      </c>
      <c r="D16" s="87" t="s">
        <v>243</v>
      </c>
      <c r="E16" s="82" t="s">
        <v>244</v>
      </c>
      <c r="F16" s="50" t="s">
        <v>245</v>
      </c>
      <c r="G16" s="41">
        <v>0</v>
      </c>
      <c r="H16" s="41">
        <v>0</v>
      </c>
      <c r="I16" s="106">
        <v>97.735999725097415</v>
      </c>
      <c r="J16" s="50">
        <v>2.4619754741543876E-2</v>
      </c>
      <c r="K16" s="50">
        <v>1.3725106819198717E-3</v>
      </c>
    </row>
    <row r="17" spans="1:11" x14ac:dyDescent="0.2">
      <c r="A17" s="69" t="s">
        <v>801</v>
      </c>
      <c r="B17" s="41" t="s">
        <v>255</v>
      </c>
      <c r="C17" s="41" t="s">
        <v>237</v>
      </c>
      <c r="D17" s="87" t="s">
        <v>243</v>
      </c>
      <c r="E17" s="82" t="s">
        <v>244</v>
      </c>
      <c r="F17" s="50" t="s">
        <v>245</v>
      </c>
      <c r="G17" s="41">
        <v>0</v>
      </c>
      <c r="H17" s="41">
        <v>0</v>
      </c>
      <c r="I17" s="106">
        <v>0.15351755247254817</v>
      </c>
      <c r="J17" s="50">
        <v>3.8671160074353678E-5</v>
      </c>
      <c r="K17" s="50">
        <v>2.1558533316630148E-6</v>
      </c>
    </row>
    <row r="18" spans="1:11" x14ac:dyDescent="0.2">
      <c r="A18" s="69" t="s">
        <v>802</v>
      </c>
      <c r="B18" s="41" t="s">
        <v>247</v>
      </c>
      <c r="C18" s="41" t="s">
        <v>248</v>
      </c>
      <c r="D18" s="87" t="s">
        <v>243</v>
      </c>
      <c r="E18" s="82" t="s">
        <v>244</v>
      </c>
      <c r="F18" s="50" t="s">
        <v>245</v>
      </c>
      <c r="G18" s="41">
        <v>0</v>
      </c>
      <c r="H18" s="41">
        <v>0</v>
      </c>
      <c r="I18" s="106">
        <v>1445.79258</v>
      </c>
      <c r="J18" s="50">
        <v>0.36419598537757197</v>
      </c>
      <c r="K18" s="50">
        <v>2.030332493116075E-2</v>
      </c>
    </row>
    <row r="19" spans="1:11" x14ac:dyDescent="0.2">
      <c r="A19" s="69" t="s">
        <v>802</v>
      </c>
      <c r="B19" s="41" t="s">
        <v>251</v>
      </c>
      <c r="C19" s="41" t="s">
        <v>248</v>
      </c>
      <c r="D19" s="87" t="s">
        <v>243</v>
      </c>
      <c r="E19" s="82" t="s">
        <v>244</v>
      </c>
      <c r="F19" s="50" t="s">
        <v>245</v>
      </c>
      <c r="G19" s="41">
        <v>0</v>
      </c>
      <c r="H19" s="41">
        <v>0</v>
      </c>
      <c r="I19" s="106">
        <v>1.1215856371815209</v>
      </c>
      <c r="J19" s="50">
        <v>2.8252806935740116E-4</v>
      </c>
      <c r="K19" s="50">
        <v>1.5750473439156389E-5</v>
      </c>
    </row>
    <row r="20" spans="1:11" x14ac:dyDescent="0.2">
      <c r="A20" s="69" t="s">
        <v>802</v>
      </c>
      <c r="B20" s="41" t="s">
        <v>252</v>
      </c>
      <c r="C20" s="41" t="s">
        <v>248</v>
      </c>
      <c r="D20" s="87" t="s">
        <v>243</v>
      </c>
      <c r="E20" s="82" t="s">
        <v>244</v>
      </c>
      <c r="F20" s="50" t="s">
        <v>245</v>
      </c>
      <c r="G20" s="41">
        <v>0</v>
      </c>
      <c r="H20" s="41">
        <v>0</v>
      </c>
      <c r="I20" s="106">
        <v>0.66169291117509343</v>
      </c>
      <c r="J20" s="50">
        <v>1.6668082623772171E-4</v>
      </c>
      <c r="K20" s="50">
        <v>9.2921808882388987E-6</v>
      </c>
    </row>
    <row r="21" spans="1:11" x14ac:dyDescent="0.2">
      <c r="A21" s="69" t="s">
        <v>803</v>
      </c>
      <c r="B21" s="41" t="s">
        <v>253</v>
      </c>
      <c r="C21" s="41" t="s">
        <v>248</v>
      </c>
      <c r="D21" s="87" t="s">
        <v>243</v>
      </c>
      <c r="E21" s="82" t="s">
        <v>244</v>
      </c>
      <c r="F21" s="50" t="s">
        <v>245</v>
      </c>
      <c r="G21" s="41">
        <v>0</v>
      </c>
      <c r="H21" s="41">
        <v>0</v>
      </c>
      <c r="I21" s="106">
        <v>9.5765569980040053E-4</v>
      </c>
      <c r="J21" s="50">
        <v>2.4123402351480813E-7</v>
      </c>
      <c r="K21" s="50">
        <v>1.3448398556054055E-8</v>
      </c>
    </row>
    <row r="22" spans="1:11" x14ac:dyDescent="0.2">
      <c r="A22" s="69" t="s">
        <v>803</v>
      </c>
      <c r="B22" s="41" t="s">
        <v>254</v>
      </c>
      <c r="C22" s="41" t="s">
        <v>248</v>
      </c>
      <c r="D22" s="87" t="s">
        <v>243</v>
      </c>
      <c r="E22" s="82" t="s">
        <v>244</v>
      </c>
      <c r="F22" s="50" t="s">
        <v>245</v>
      </c>
      <c r="G22" s="41">
        <v>0</v>
      </c>
      <c r="H22" s="41">
        <v>0</v>
      </c>
      <c r="I22" s="106">
        <v>7.9064254109482372E-4</v>
      </c>
      <c r="J22" s="50">
        <v>1.9916331244102577E-7</v>
      </c>
      <c r="K22" s="50">
        <v>1.1103025868514848E-8</v>
      </c>
    </row>
    <row r="23" spans="1:11" s="139" customFormat="1" x14ac:dyDescent="0.2">
      <c r="A23" s="144" t="s">
        <v>257</v>
      </c>
      <c r="B23" s="145" t="s">
        <v>239</v>
      </c>
      <c r="C23" s="145" t="s">
        <v>239</v>
      </c>
      <c r="D23" s="146" t="s">
        <v>239</v>
      </c>
      <c r="E23" s="147" t="s">
        <v>239</v>
      </c>
      <c r="F23" s="142" t="s">
        <v>239</v>
      </c>
      <c r="G23" s="145" t="s">
        <v>239</v>
      </c>
      <c r="H23" s="145" t="s">
        <v>239</v>
      </c>
      <c r="I23" s="148">
        <v>1685.9372650866603</v>
      </c>
      <c r="J23" s="142">
        <v>0.42468857015645012</v>
      </c>
      <c r="K23" s="142">
        <v>2.3675686664961969E-2</v>
      </c>
    </row>
    <row r="24" spans="1:11" x14ac:dyDescent="0.2">
      <c r="A24" s="69" t="s">
        <v>799</v>
      </c>
      <c r="B24" s="41" t="s">
        <v>258</v>
      </c>
      <c r="C24" s="41" t="s">
        <v>242</v>
      </c>
      <c r="D24" s="87" t="s">
        <v>243</v>
      </c>
      <c r="E24" s="82" t="s">
        <v>244</v>
      </c>
      <c r="F24" s="50" t="s">
        <v>126</v>
      </c>
      <c r="G24" s="41">
        <v>0</v>
      </c>
      <c r="H24" s="41">
        <v>0</v>
      </c>
      <c r="I24" s="106">
        <v>0.22037999999999999</v>
      </c>
      <c r="J24" s="50">
        <v>5.5513849197863025E-5</v>
      </c>
      <c r="K24" s="50">
        <v>3.0948054445881897E-6</v>
      </c>
    </row>
    <row r="25" spans="1:11" x14ac:dyDescent="0.2">
      <c r="A25" s="69" t="s">
        <v>799</v>
      </c>
      <c r="B25" s="41" t="s">
        <v>270</v>
      </c>
      <c r="C25" s="41" t="s">
        <v>242</v>
      </c>
      <c r="D25" s="87" t="s">
        <v>243</v>
      </c>
      <c r="E25" s="82" t="s">
        <v>244</v>
      </c>
      <c r="F25" s="50" t="s">
        <v>126</v>
      </c>
      <c r="G25" s="41">
        <v>0</v>
      </c>
      <c r="H25" s="41">
        <v>0</v>
      </c>
      <c r="I25" s="106">
        <v>6.7467449866603904</v>
      </c>
      <c r="J25" s="50">
        <v>1.6995089561934081E-3</v>
      </c>
      <c r="K25" s="50">
        <v>9.4744818576842946E-5</v>
      </c>
    </row>
    <row r="26" spans="1:11" x14ac:dyDescent="0.2">
      <c r="A26" s="69" t="s">
        <v>804</v>
      </c>
      <c r="B26" s="41" t="s">
        <v>259</v>
      </c>
      <c r="C26" s="41" t="s">
        <v>237</v>
      </c>
      <c r="D26" s="87" t="s">
        <v>243</v>
      </c>
      <c r="E26" s="82" t="s">
        <v>244</v>
      </c>
      <c r="F26" s="50" t="s">
        <v>126</v>
      </c>
      <c r="G26" s="41">
        <v>0</v>
      </c>
      <c r="H26" s="41">
        <v>0</v>
      </c>
      <c r="I26" s="106">
        <v>64.440550000000002</v>
      </c>
      <c r="J26" s="50">
        <v>1.6232611738485128E-2</v>
      </c>
      <c r="K26" s="50">
        <v>9.0494130589099497E-4</v>
      </c>
    </row>
    <row r="27" spans="1:11" x14ac:dyDescent="0.2">
      <c r="A27" s="69" t="s">
        <v>805</v>
      </c>
      <c r="B27" s="41" t="s">
        <v>261</v>
      </c>
      <c r="C27" s="41" t="s">
        <v>237</v>
      </c>
      <c r="D27" s="87" t="s">
        <v>243</v>
      </c>
      <c r="E27" s="82" t="s">
        <v>244</v>
      </c>
      <c r="F27" s="50" t="s">
        <v>127</v>
      </c>
      <c r="G27" s="41">
        <v>0</v>
      </c>
      <c r="H27" s="41">
        <v>0</v>
      </c>
      <c r="I27" s="106">
        <v>121.69110000000001</v>
      </c>
      <c r="J27" s="50">
        <v>3.0654058327080812E-2</v>
      </c>
      <c r="K27" s="50">
        <v>1.7089131447405657E-3</v>
      </c>
    </row>
    <row r="28" spans="1:11" x14ac:dyDescent="0.2">
      <c r="A28" s="69" t="s">
        <v>806</v>
      </c>
      <c r="B28" s="41" t="s">
        <v>268</v>
      </c>
      <c r="C28" s="41" t="s">
        <v>237</v>
      </c>
      <c r="D28" s="87" t="s">
        <v>243</v>
      </c>
      <c r="E28" s="82" t="s">
        <v>244</v>
      </c>
      <c r="F28" s="50" t="s">
        <v>131</v>
      </c>
      <c r="G28" s="41">
        <v>0</v>
      </c>
      <c r="H28" s="41">
        <v>0</v>
      </c>
      <c r="I28" s="106">
        <v>2.5618300000000001</v>
      </c>
      <c r="J28" s="50">
        <v>6.4532645562465475E-4</v>
      </c>
      <c r="K28" s="50">
        <v>3.5975884527222809E-5</v>
      </c>
    </row>
    <row r="29" spans="1:11" x14ac:dyDescent="0.2">
      <c r="A29" s="69" t="s">
        <v>807</v>
      </c>
      <c r="B29" s="41" t="s">
        <v>269</v>
      </c>
      <c r="C29" s="41" t="s">
        <v>237</v>
      </c>
      <c r="D29" s="87" t="s">
        <v>243</v>
      </c>
      <c r="E29" s="82" t="s">
        <v>244</v>
      </c>
      <c r="F29" s="50" t="s">
        <v>132</v>
      </c>
      <c r="G29" s="41">
        <v>0</v>
      </c>
      <c r="H29" s="41">
        <v>0</v>
      </c>
      <c r="I29" s="106">
        <v>1.5650000000000001E-2</v>
      </c>
      <c r="J29" s="50">
        <v>3.9422440327913437E-6</v>
      </c>
      <c r="K29" s="50">
        <v>2.1977359655052714E-7</v>
      </c>
    </row>
    <row r="30" spans="1:11" x14ac:dyDescent="0.2">
      <c r="A30" s="69" t="s">
        <v>808</v>
      </c>
      <c r="B30" s="41" t="s">
        <v>260</v>
      </c>
      <c r="C30" s="41" t="s">
        <v>248</v>
      </c>
      <c r="D30" s="87" t="s">
        <v>243</v>
      </c>
      <c r="E30" s="82" t="s">
        <v>244</v>
      </c>
      <c r="F30" s="50" t="s">
        <v>126</v>
      </c>
      <c r="G30" s="41">
        <v>0</v>
      </c>
      <c r="H30" s="41">
        <v>0</v>
      </c>
      <c r="I30" s="106">
        <v>5.0396999999999998</v>
      </c>
      <c r="J30" s="50">
        <v>1.2695033387896827E-3</v>
      </c>
      <c r="K30" s="50">
        <v>7.077271530579499E-5</v>
      </c>
    </row>
    <row r="31" spans="1:11" x14ac:dyDescent="0.2">
      <c r="A31" s="69" t="s">
        <v>809</v>
      </c>
      <c r="B31" s="41" t="s">
        <v>262</v>
      </c>
      <c r="C31" s="41" t="s">
        <v>248</v>
      </c>
      <c r="D31" s="87" t="s">
        <v>243</v>
      </c>
      <c r="E31" s="82" t="s">
        <v>244</v>
      </c>
      <c r="F31" s="50" t="s">
        <v>127</v>
      </c>
      <c r="G31" s="41">
        <v>0</v>
      </c>
      <c r="H31" s="41">
        <v>0</v>
      </c>
      <c r="I31" s="106">
        <v>1728.04186</v>
      </c>
      <c r="J31" s="50">
        <v>0.43529474191684697</v>
      </c>
      <c r="K31" s="50">
        <v>2.4266963230802716E-2</v>
      </c>
    </row>
    <row r="32" spans="1:11" x14ac:dyDescent="0.2">
      <c r="A32" s="69" t="s">
        <v>810</v>
      </c>
      <c r="B32" s="41" t="s">
        <v>263</v>
      </c>
      <c r="C32" s="41" t="s">
        <v>248</v>
      </c>
      <c r="D32" s="87" t="s">
        <v>243</v>
      </c>
      <c r="E32" s="82" t="s">
        <v>244</v>
      </c>
      <c r="F32" s="50" t="s">
        <v>2</v>
      </c>
      <c r="G32" s="41">
        <v>0</v>
      </c>
      <c r="H32" s="41">
        <v>0</v>
      </c>
      <c r="I32" s="106">
        <v>0.25951000000000002</v>
      </c>
      <c r="J32" s="50">
        <v>6.537071878272726E-5</v>
      </c>
      <c r="K32" s="50">
        <v>3.6443096511710735E-6</v>
      </c>
    </row>
    <row r="33" spans="1:11" x14ac:dyDescent="0.2">
      <c r="A33" s="69" t="s">
        <v>815</v>
      </c>
      <c r="B33" s="41" t="s">
        <v>264</v>
      </c>
      <c r="C33" s="41" t="s">
        <v>248</v>
      </c>
      <c r="D33" s="87" t="s">
        <v>243</v>
      </c>
      <c r="E33" s="82" t="s">
        <v>244</v>
      </c>
      <c r="F33" s="50" t="s">
        <v>265</v>
      </c>
      <c r="G33" s="41">
        <v>0</v>
      </c>
      <c r="H33" s="41">
        <v>0</v>
      </c>
      <c r="I33" s="106">
        <v>61.185790000000004</v>
      </c>
      <c r="J33" s="50">
        <v>1.5412735815918484E-2</v>
      </c>
      <c r="K33" s="50">
        <v>8.5923457674666318E-4</v>
      </c>
    </row>
    <row r="34" spans="1:11" x14ac:dyDescent="0.2">
      <c r="A34" s="69" t="s">
        <v>816</v>
      </c>
      <c r="B34" s="41" t="s">
        <v>266</v>
      </c>
      <c r="C34" s="41" t="s">
        <v>248</v>
      </c>
      <c r="D34" s="87" t="s">
        <v>243</v>
      </c>
      <c r="E34" s="82" t="s">
        <v>244</v>
      </c>
      <c r="F34" s="50" t="s">
        <v>265</v>
      </c>
      <c r="G34" s="41">
        <v>0</v>
      </c>
      <c r="H34" s="41">
        <v>0</v>
      </c>
      <c r="I34" s="106">
        <v>-332.08807999999999</v>
      </c>
      <c r="J34" s="50">
        <v>-8.3653179024992613E-2</v>
      </c>
      <c r="K34" s="50">
        <v>-4.6635266270389254E-3</v>
      </c>
    </row>
    <row r="35" spans="1:11" x14ac:dyDescent="0.2">
      <c r="A35" s="69" t="s">
        <v>811</v>
      </c>
      <c r="B35" s="41" t="s">
        <v>267</v>
      </c>
      <c r="C35" s="41" t="s">
        <v>248</v>
      </c>
      <c r="D35" s="87" t="s">
        <v>243</v>
      </c>
      <c r="E35" s="82" t="s">
        <v>244</v>
      </c>
      <c r="F35" s="50" t="s">
        <v>65</v>
      </c>
      <c r="G35" s="41">
        <v>0</v>
      </c>
      <c r="H35" s="41">
        <v>0</v>
      </c>
      <c r="I35" s="106">
        <v>27.822230000000001</v>
      </c>
      <c r="J35" s="50">
        <v>7.0084357953002115E-3</v>
      </c>
      <c r="K35" s="50">
        <v>3.9070872531348069E-4</v>
      </c>
    </row>
    <row r="36" spans="1:11" s="139" customFormat="1" x14ac:dyDescent="0.2">
      <c r="A36" s="144" t="s">
        <v>271</v>
      </c>
      <c r="B36" s="145" t="s">
        <v>239</v>
      </c>
      <c r="C36" s="145" t="s">
        <v>239</v>
      </c>
      <c r="D36" s="146" t="s">
        <v>239</v>
      </c>
      <c r="E36" s="147" t="s">
        <v>239</v>
      </c>
      <c r="F36" s="142" t="s">
        <v>239</v>
      </c>
      <c r="G36" s="145" t="s">
        <v>239</v>
      </c>
      <c r="H36" s="145" t="s">
        <v>239</v>
      </c>
      <c r="I36" s="148">
        <v>0</v>
      </c>
      <c r="J36" s="142">
        <v>0</v>
      </c>
      <c r="K36" s="142">
        <v>0</v>
      </c>
    </row>
    <row r="37" spans="1:11" s="139" customFormat="1" x14ac:dyDescent="0.2">
      <c r="A37" s="144" t="s">
        <v>272</v>
      </c>
      <c r="B37" s="145" t="s">
        <v>239</v>
      </c>
      <c r="C37" s="145" t="s">
        <v>239</v>
      </c>
      <c r="D37" s="146" t="s">
        <v>239</v>
      </c>
      <c r="E37" s="147" t="s">
        <v>239</v>
      </c>
      <c r="F37" s="142" t="s">
        <v>239</v>
      </c>
      <c r="G37" s="145" t="s">
        <v>239</v>
      </c>
      <c r="H37" s="145" t="s">
        <v>239</v>
      </c>
      <c r="I37" s="148">
        <v>0</v>
      </c>
      <c r="J37" s="142">
        <v>0</v>
      </c>
      <c r="K37" s="142">
        <v>0</v>
      </c>
    </row>
    <row r="38" spans="1:11" s="139" customFormat="1" x14ac:dyDescent="0.2">
      <c r="A38" s="144" t="s">
        <v>273</v>
      </c>
      <c r="B38" s="145" t="s">
        <v>239</v>
      </c>
      <c r="C38" s="145" t="s">
        <v>239</v>
      </c>
      <c r="D38" s="146" t="s">
        <v>239</v>
      </c>
      <c r="E38" s="147" t="s">
        <v>239</v>
      </c>
      <c r="F38" s="142" t="s">
        <v>239</v>
      </c>
      <c r="G38" s="145" t="s">
        <v>239</v>
      </c>
      <c r="H38" s="145" t="s">
        <v>239</v>
      </c>
      <c r="I38" s="148">
        <v>0</v>
      </c>
      <c r="J38" s="142">
        <v>0</v>
      </c>
      <c r="K38" s="142">
        <v>0</v>
      </c>
    </row>
    <row r="39" spans="1:11" s="139" customFormat="1" x14ac:dyDescent="0.2">
      <c r="A39" s="144" t="s">
        <v>274</v>
      </c>
      <c r="B39" s="145" t="s">
        <v>239</v>
      </c>
      <c r="C39" s="145" t="s">
        <v>239</v>
      </c>
      <c r="D39" s="146" t="s">
        <v>239</v>
      </c>
      <c r="E39" s="147" t="s">
        <v>239</v>
      </c>
      <c r="F39" s="142" t="s">
        <v>239</v>
      </c>
      <c r="G39" s="145" t="s">
        <v>239</v>
      </c>
      <c r="H39" s="145" t="s">
        <v>239</v>
      </c>
      <c r="I39" s="148">
        <v>0</v>
      </c>
      <c r="J39" s="142">
        <v>0</v>
      </c>
      <c r="K39" s="142">
        <v>0</v>
      </c>
    </row>
    <row r="40" spans="1:11" s="139" customFormat="1" x14ac:dyDescent="0.2">
      <c r="A40" s="144" t="s">
        <v>275</v>
      </c>
      <c r="B40" s="145" t="s">
        <v>239</v>
      </c>
      <c r="C40" s="145" t="s">
        <v>239</v>
      </c>
      <c r="D40" s="146" t="s">
        <v>239</v>
      </c>
      <c r="E40" s="147" t="s">
        <v>239</v>
      </c>
      <c r="F40" s="142" t="s">
        <v>239</v>
      </c>
      <c r="G40" s="145" t="s">
        <v>239</v>
      </c>
      <c r="H40" s="145" t="s">
        <v>239</v>
      </c>
      <c r="I40" s="148">
        <v>0</v>
      </c>
      <c r="J40" s="142">
        <v>0</v>
      </c>
      <c r="K40" s="142">
        <v>0</v>
      </c>
    </row>
    <row r="41" spans="1:11" s="139" customFormat="1" x14ac:dyDescent="0.2">
      <c r="A41" s="144" t="s">
        <v>276</v>
      </c>
      <c r="B41" s="145" t="s">
        <v>239</v>
      </c>
      <c r="C41" s="145" t="s">
        <v>239</v>
      </c>
      <c r="D41" s="146" t="s">
        <v>239</v>
      </c>
      <c r="E41" s="147" t="s">
        <v>239</v>
      </c>
      <c r="F41" s="142" t="s">
        <v>239</v>
      </c>
      <c r="G41" s="145" t="s">
        <v>239</v>
      </c>
      <c r="H41" s="145" t="s">
        <v>239</v>
      </c>
      <c r="I41" s="148">
        <v>321.99947019999996</v>
      </c>
      <c r="J41" s="142">
        <v>8.1111852393477568E-2</v>
      </c>
      <c r="K41" s="142">
        <v>4.5218518628254486E-3</v>
      </c>
    </row>
    <row r="42" spans="1:11" s="139" customFormat="1" x14ac:dyDescent="0.2">
      <c r="A42" s="144" t="s">
        <v>257</v>
      </c>
      <c r="B42" s="145" t="s">
        <v>239</v>
      </c>
      <c r="C42" s="145" t="s">
        <v>239</v>
      </c>
      <c r="D42" s="146" t="s">
        <v>239</v>
      </c>
      <c r="E42" s="147" t="s">
        <v>239</v>
      </c>
      <c r="F42" s="142" t="s">
        <v>239</v>
      </c>
      <c r="G42" s="145" t="s">
        <v>239</v>
      </c>
      <c r="H42" s="145" t="s">
        <v>239</v>
      </c>
      <c r="I42" s="148">
        <v>321.9994701</v>
      </c>
      <c r="J42" s="142">
        <v>8.111185236828751E-2</v>
      </c>
      <c r="K42" s="142">
        <v>4.5218518614211457E-3</v>
      </c>
    </row>
    <row r="43" spans="1:11" x14ac:dyDescent="0.2">
      <c r="A43" s="69" t="s">
        <v>812</v>
      </c>
      <c r="B43" s="41" t="s">
        <v>277</v>
      </c>
      <c r="C43" s="41" t="s">
        <v>278</v>
      </c>
      <c r="D43" s="87" t="s">
        <v>279</v>
      </c>
      <c r="E43" s="82" t="s">
        <v>280</v>
      </c>
      <c r="F43" s="50" t="s">
        <v>127</v>
      </c>
      <c r="G43" s="41">
        <v>0</v>
      </c>
      <c r="H43" s="41">
        <v>0</v>
      </c>
      <c r="I43" s="106">
        <v>321.99946999999997</v>
      </c>
      <c r="J43" s="50">
        <v>8.1111852343097451E-2</v>
      </c>
      <c r="K43" s="50">
        <v>4.5218518600168411E-3</v>
      </c>
    </row>
    <row r="44" spans="1:11" s="139" customFormat="1" x14ac:dyDescent="0.2">
      <c r="A44" s="236" t="s">
        <v>275</v>
      </c>
      <c r="B44" s="209" t="s">
        <v>239</v>
      </c>
      <c r="C44" s="209" t="s">
        <v>239</v>
      </c>
      <c r="D44" s="205" t="s">
        <v>239</v>
      </c>
      <c r="E44" s="207" t="s">
        <v>239</v>
      </c>
      <c r="F44" s="204" t="s">
        <v>239</v>
      </c>
      <c r="G44" s="209" t="s">
        <v>239</v>
      </c>
      <c r="H44" s="209" t="s">
        <v>239</v>
      </c>
      <c r="I44" s="208">
        <v>0</v>
      </c>
      <c r="J44" s="204">
        <v>0</v>
      </c>
      <c r="K44" s="204">
        <v>0</v>
      </c>
    </row>
    <row r="45" spans="1:11" s="139" customFormat="1" x14ac:dyDescent="0.2">
      <c r="A45" s="99" t="s">
        <v>230</v>
      </c>
      <c r="B45" s="149"/>
      <c r="C45" s="149"/>
      <c r="D45" s="149"/>
      <c r="E45" s="150"/>
      <c r="F45" s="151"/>
      <c r="G45" s="152"/>
      <c r="H45" s="153"/>
      <c r="I45" s="152"/>
      <c r="J45" s="154"/>
    </row>
    <row r="46" spans="1:11" s="139" customFormat="1" x14ac:dyDescent="0.2">
      <c r="A46" s="99" t="s">
        <v>231</v>
      </c>
      <c r="B46" s="149"/>
      <c r="C46" s="149"/>
      <c r="D46" s="149"/>
      <c r="E46" s="150"/>
      <c r="F46" s="151"/>
      <c r="G46" s="152"/>
      <c r="H46" s="153"/>
      <c r="I46" s="152"/>
      <c r="J46" s="154"/>
    </row>
    <row r="47" spans="1:11" s="139" customFormat="1" x14ac:dyDescent="0.2">
      <c r="A47" s="99" t="s">
        <v>232</v>
      </c>
      <c r="B47" s="149"/>
      <c r="C47" s="149"/>
      <c r="D47" s="149"/>
      <c r="E47" s="150"/>
      <c r="F47" s="151"/>
      <c r="G47" s="152"/>
      <c r="H47" s="153"/>
      <c r="I47" s="152"/>
      <c r="J47" s="154"/>
    </row>
    <row r="48" spans="1:11" s="139" customFormat="1" x14ac:dyDescent="0.2">
      <c r="A48" s="99" t="s">
        <v>233</v>
      </c>
      <c r="B48" s="149"/>
      <c r="C48" s="149"/>
      <c r="D48" s="149"/>
      <c r="E48" s="150"/>
      <c r="F48" s="151"/>
      <c r="G48" s="152"/>
      <c r="H48" s="153"/>
      <c r="I48" s="152"/>
      <c r="J48" s="154"/>
    </row>
    <row r="49" spans="1:10" s="139" customFormat="1" x14ac:dyDescent="0.2">
      <c r="A49" s="99" t="s">
        <v>234</v>
      </c>
      <c r="B49" s="149"/>
      <c r="C49" s="149"/>
      <c r="D49" s="149"/>
      <c r="E49" s="150"/>
      <c r="F49" s="151"/>
      <c r="G49" s="152"/>
      <c r="H49" s="153"/>
      <c r="I49" s="152"/>
      <c r="J49" s="154"/>
    </row>
  </sheetData>
  <mergeCells count="1">
    <mergeCell ref="A5:K5"/>
  </mergeCells>
  <conditionalFormatting sqref="G1:G4 G11:H44 G45:G55579">
    <cfRule type="expression" dxfId="160" priority="39" stopIfTrue="1">
      <formula>LEFT(#REF!,3)="TIR"</formula>
    </cfRule>
  </conditionalFormatting>
  <conditionalFormatting sqref="G6">
    <cfRule type="expression" dxfId="159" priority="42" stopIfTrue="1">
      <formula>LEFT(#REF!,3)="TIR"</formula>
    </cfRule>
  </conditionalFormatting>
  <conditionalFormatting sqref="B10:F44 G10:H10 J10:K44">
    <cfRule type="expression" dxfId="158" priority="43" stopIfTrue="1">
      <formula>LEFT(#REF!,3)="TIR"</formula>
    </cfRule>
  </conditionalFormatting>
  <conditionalFormatting sqref="A10:A44 I10:J44">
    <cfRule type="expression" dxfId="157" priority="46" stopIfTrue="1">
      <formula>#REF!&gt;0</formula>
    </cfRule>
  </conditionalFormatting>
  <conditionalFormatting sqref="A10:A44 I10:K44">
    <cfRule type="expression" dxfId="156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2"/>
  <sheetViews>
    <sheetView rightToLeft="1" zoomScale="80" zoomScaleNormal="80" workbookViewId="0">
      <selection activeCell="A7" sqref="A7:Q47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1" customWidth="1"/>
    <col min="6" max="6" width="14.140625" style="81" customWidth="1"/>
    <col min="7" max="7" width="7.85546875" style="81" customWidth="1"/>
    <col min="8" max="8" width="12" style="54" bestFit="1" customWidth="1"/>
    <col min="9" max="9" width="12.5703125" style="83" customWidth="1"/>
    <col min="10" max="10" width="14.140625" style="85" customWidth="1"/>
    <col min="11" max="11" width="12.42578125" style="85" bestFit="1" customWidth="1"/>
    <col min="12" max="12" width="9.28515625" style="85" bestFit="1" customWidth="1"/>
    <col min="13" max="13" width="16.5703125" style="85" customWidth="1"/>
    <col min="14" max="14" width="11.28515625" style="83" bestFit="1" customWidth="1"/>
    <col min="15" max="15" width="22" style="83" customWidth="1"/>
    <col min="16" max="16" width="25.42578125" style="83" customWidth="1"/>
    <col min="17" max="17" width="20.7109375" style="86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4"/>
      <c r="K1" s="84"/>
      <c r="L1" s="84"/>
      <c r="M1" s="84"/>
      <c r="N1" s="83"/>
      <c r="O1" s="83"/>
      <c r="P1" s="83"/>
      <c r="Q1" s="86"/>
    </row>
    <row r="2" spans="1:17" s="23" customFormat="1" x14ac:dyDescent="0.2">
      <c r="A2" s="26" t="s">
        <v>226</v>
      </c>
      <c r="B2" s="25" t="s">
        <v>151</v>
      </c>
      <c r="C2" s="25"/>
      <c r="D2" s="25"/>
      <c r="E2" s="81"/>
      <c r="F2" s="81"/>
      <c r="G2" s="81"/>
      <c r="H2" s="54"/>
      <c r="I2" s="83"/>
      <c r="J2" s="84"/>
      <c r="K2" s="84"/>
      <c r="L2" s="84"/>
      <c r="M2" s="84"/>
      <c r="N2" s="83"/>
      <c r="O2" s="83"/>
      <c r="P2" s="83"/>
      <c r="Q2" s="86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4"/>
      <c r="K3" s="84"/>
      <c r="L3" s="84"/>
      <c r="M3" s="84"/>
      <c r="N3" s="83"/>
      <c r="O3" s="83"/>
      <c r="P3" s="83"/>
      <c r="Q3" s="86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4"/>
      <c r="K4" s="84"/>
      <c r="L4" s="84"/>
      <c r="M4" s="84"/>
      <c r="N4" s="83"/>
      <c r="O4" s="83"/>
      <c r="P4" s="83"/>
      <c r="Q4" s="86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7" t="s">
        <v>157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135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39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239</v>
      </c>
      <c r="N10" s="128">
        <v>11885.106901331406</v>
      </c>
      <c r="O10" s="88"/>
      <c r="P10" s="88">
        <v>1</v>
      </c>
      <c r="Q10" s="103">
        <v>0.16690304722639579</v>
      </c>
    </row>
    <row r="11" spans="1:17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6" t="s">
        <v>239</v>
      </c>
      <c r="N11" s="156">
        <v>11811.007851131406</v>
      </c>
      <c r="O11" s="142" t="s">
        <v>239</v>
      </c>
      <c r="P11" s="142">
        <v>0.99376538630950806</v>
      </c>
      <c r="Q11" s="142">
        <v>0.1658624712031733</v>
      </c>
    </row>
    <row r="12" spans="1:17" s="139" customFormat="1" x14ac:dyDescent="0.2">
      <c r="A12" s="114" t="s">
        <v>281</v>
      </c>
      <c r="B12" s="142" t="s">
        <v>239</v>
      </c>
      <c r="C12" s="142" t="s">
        <v>239</v>
      </c>
      <c r="D12" s="146" t="s">
        <v>239</v>
      </c>
      <c r="E12" s="147" t="s">
        <v>239</v>
      </c>
      <c r="F12" s="147" t="s">
        <v>239</v>
      </c>
      <c r="G12" s="147" t="s">
        <v>239</v>
      </c>
      <c r="H12" s="142" t="s">
        <v>239</v>
      </c>
      <c r="I12" s="145" t="s">
        <v>239</v>
      </c>
      <c r="J12" s="145" t="s">
        <v>239</v>
      </c>
      <c r="K12" s="157" t="s">
        <v>239</v>
      </c>
      <c r="L12" s="147" t="s">
        <v>239</v>
      </c>
      <c r="M12" s="147" t="s">
        <v>239</v>
      </c>
      <c r="N12" s="148">
        <v>6346.2516954602997</v>
      </c>
      <c r="O12" s="145" t="s">
        <v>239</v>
      </c>
      <c r="P12" s="142">
        <v>0.53396673232694047</v>
      </c>
      <c r="Q12" s="142">
        <v>8.9120674742887582E-2</v>
      </c>
    </row>
    <row r="13" spans="1:17" x14ac:dyDescent="0.2">
      <c r="A13" s="33" t="s">
        <v>282</v>
      </c>
      <c r="B13" s="50" t="s">
        <v>283</v>
      </c>
      <c r="C13" s="50" t="s">
        <v>284</v>
      </c>
      <c r="D13" s="87" t="s">
        <v>285</v>
      </c>
      <c r="E13" s="82" t="s">
        <v>239</v>
      </c>
      <c r="F13" s="82" t="s">
        <v>286</v>
      </c>
      <c r="G13" s="82">
        <v>0.57999999999999996</v>
      </c>
      <c r="H13" s="50" t="s">
        <v>245</v>
      </c>
      <c r="I13" s="41">
        <v>0.04</v>
      </c>
      <c r="J13" s="41">
        <v>-3.0999999999999999E-3</v>
      </c>
      <c r="K13" s="90">
        <v>1340562.6559148689</v>
      </c>
      <c r="L13" s="82">
        <v>136</v>
      </c>
      <c r="M13" s="90">
        <v>0</v>
      </c>
      <c r="N13" s="106">
        <v>1823.1652120442218</v>
      </c>
      <c r="O13" s="41">
        <v>8.6221976894546539E-5</v>
      </c>
      <c r="P13" s="50">
        <v>0.15339914290884377</v>
      </c>
      <c r="Q13" s="50">
        <v>2.560278439340339E-2</v>
      </c>
    </row>
    <row r="14" spans="1:17" x14ac:dyDescent="0.2">
      <c r="A14" s="33" t="s">
        <v>287</v>
      </c>
      <c r="B14" s="50" t="s">
        <v>288</v>
      </c>
      <c r="C14" s="50" t="s">
        <v>284</v>
      </c>
      <c r="D14" s="87" t="s">
        <v>285</v>
      </c>
      <c r="E14" s="82" t="s">
        <v>239</v>
      </c>
      <c r="F14" s="82" t="s">
        <v>289</v>
      </c>
      <c r="G14" s="82">
        <v>3.38</v>
      </c>
      <c r="H14" s="50" t="s">
        <v>245</v>
      </c>
      <c r="I14" s="41">
        <v>0.04</v>
      </c>
      <c r="J14" s="41">
        <v>-8.8999999999999999E-3</v>
      </c>
      <c r="K14" s="90">
        <v>594119.95811368071</v>
      </c>
      <c r="L14" s="82">
        <v>147.74</v>
      </c>
      <c r="M14" s="82">
        <v>0</v>
      </c>
      <c r="N14" s="106">
        <v>877.75282611644298</v>
      </c>
      <c r="O14" s="41">
        <v>4.6856201807691184E-5</v>
      </c>
      <c r="P14" s="50">
        <v>7.385317047658313E-2</v>
      </c>
      <c r="Q14" s="50">
        <v>1.2326319199872213E-2</v>
      </c>
    </row>
    <row r="15" spans="1:17" x14ac:dyDescent="0.2">
      <c r="A15" s="33" t="s">
        <v>290</v>
      </c>
      <c r="B15" s="50" t="s">
        <v>291</v>
      </c>
      <c r="C15" s="50" t="s">
        <v>284</v>
      </c>
      <c r="D15" s="87" t="s">
        <v>285</v>
      </c>
      <c r="E15" s="82" t="s">
        <v>239</v>
      </c>
      <c r="F15" s="82" t="s">
        <v>292</v>
      </c>
      <c r="G15" s="82">
        <v>12.55</v>
      </c>
      <c r="H15" s="50" t="s">
        <v>245</v>
      </c>
      <c r="I15" s="41">
        <v>0.04</v>
      </c>
      <c r="J15" s="41">
        <v>-2.7000000000000001E-3</v>
      </c>
      <c r="K15" s="90">
        <v>328640.33707679319</v>
      </c>
      <c r="L15" s="82">
        <v>201.91</v>
      </c>
      <c r="M15" s="82">
        <v>0</v>
      </c>
      <c r="N15" s="106">
        <v>663.55770458602387</v>
      </c>
      <c r="O15" s="41">
        <v>1.985094153714006E-5</v>
      </c>
      <c r="P15" s="50">
        <v>5.5831025340772507E-2</v>
      </c>
      <c r="Q15" s="50">
        <v>9.3183682591490534E-3</v>
      </c>
    </row>
    <row r="16" spans="1:17" x14ac:dyDescent="0.2">
      <c r="A16" s="33" t="s">
        <v>293</v>
      </c>
      <c r="B16" s="50" t="s">
        <v>294</v>
      </c>
      <c r="C16" s="50" t="s">
        <v>284</v>
      </c>
      <c r="D16" s="87" t="s">
        <v>285</v>
      </c>
      <c r="E16" s="82" t="s">
        <v>239</v>
      </c>
      <c r="F16" s="82" t="s">
        <v>295</v>
      </c>
      <c r="G16" s="82">
        <v>17.03</v>
      </c>
      <c r="H16" s="50" t="s">
        <v>245</v>
      </c>
      <c r="I16" s="41">
        <v>2.75E-2</v>
      </c>
      <c r="J16" s="41">
        <v>-5.9999999999999995E-4</v>
      </c>
      <c r="K16" s="90">
        <v>342667.02895849739</v>
      </c>
      <c r="L16" s="82">
        <v>170.79</v>
      </c>
      <c r="M16" s="82">
        <v>0</v>
      </c>
      <c r="N16" s="106">
        <v>585.24101875538258</v>
      </c>
      <c r="O16" s="41">
        <v>1.9105553758845386E-5</v>
      </c>
      <c r="P16" s="50">
        <v>4.924154436421789E-2</v>
      </c>
      <c r="Q16" s="50">
        <v>8.2185638045217217E-3</v>
      </c>
    </row>
    <row r="17" spans="1:17" x14ac:dyDescent="0.2">
      <c r="A17" s="33" t="s">
        <v>296</v>
      </c>
      <c r="B17" s="50" t="s">
        <v>297</v>
      </c>
      <c r="C17" s="50" t="s">
        <v>284</v>
      </c>
      <c r="D17" s="87" t="s">
        <v>285</v>
      </c>
      <c r="E17" s="82" t="s">
        <v>239</v>
      </c>
      <c r="F17" s="82" t="s">
        <v>298</v>
      </c>
      <c r="G17" s="82">
        <v>1.72</v>
      </c>
      <c r="H17" s="50" t="s">
        <v>245</v>
      </c>
      <c r="I17" s="41">
        <v>2.7699999999999999E-2</v>
      </c>
      <c r="J17" s="41">
        <v>-7.0999999999999995E-3</v>
      </c>
      <c r="K17" s="90">
        <v>1120376.8223568078</v>
      </c>
      <c r="L17" s="82">
        <v>110.72</v>
      </c>
      <c r="M17" s="82">
        <v>0</v>
      </c>
      <c r="N17" s="106">
        <v>1240.4812137108588</v>
      </c>
      <c r="O17" s="41">
        <v>6.4030314006309881E-5</v>
      </c>
      <c r="P17" s="50">
        <v>0.10437274346871009</v>
      </c>
      <c r="Q17" s="50">
        <v>1.7420128932306614E-2</v>
      </c>
    </row>
    <row r="18" spans="1:17" x14ac:dyDescent="0.2">
      <c r="A18" s="33" t="s">
        <v>299</v>
      </c>
      <c r="B18" s="50" t="s">
        <v>300</v>
      </c>
      <c r="C18" s="50" t="s">
        <v>284</v>
      </c>
      <c r="D18" s="87" t="s">
        <v>285</v>
      </c>
      <c r="E18" s="82" t="s">
        <v>239</v>
      </c>
      <c r="F18" s="82" t="s">
        <v>301</v>
      </c>
      <c r="G18" s="82">
        <v>2.69</v>
      </c>
      <c r="H18" s="50" t="s">
        <v>245</v>
      </c>
      <c r="I18" s="41">
        <v>1.7600000000000001E-2</v>
      </c>
      <c r="J18" s="41">
        <v>-7.8000000000000005E-3</v>
      </c>
      <c r="K18" s="90">
        <v>775382.68401808967</v>
      </c>
      <c r="L18" s="82">
        <v>109.42</v>
      </c>
      <c r="M18" s="82">
        <v>0</v>
      </c>
      <c r="N18" s="106">
        <v>848.42373285176677</v>
      </c>
      <c r="O18" s="41">
        <v>4.3984352249471478E-5</v>
      </c>
      <c r="P18" s="50">
        <v>7.138545238972345E-2</v>
      </c>
      <c r="Q18" s="50">
        <v>1.1914449531479642E-2</v>
      </c>
    </row>
    <row r="19" spans="1:17" x14ac:dyDescent="0.2">
      <c r="A19" s="33" t="s">
        <v>302</v>
      </c>
      <c r="B19" s="50" t="s">
        <v>303</v>
      </c>
      <c r="C19" s="50" t="s">
        <v>284</v>
      </c>
      <c r="D19" s="87" t="s">
        <v>285</v>
      </c>
      <c r="E19" s="82" t="s">
        <v>239</v>
      </c>
      <c r="F19" s="82" t="s">
        <v>304</v>
      </c>
      <c r="G19" s="82">
        <v>21.96</v>
      </c>
      <c r="H19" s="50" t="s">
        <v>245</v>
      </c>
      <c r="I19" s="41">
        <v>0.01</v>
      </c>
      <c r="J19" s="41">
        <v>1.8E-3</v>
      </c>
      <c r="K19" s="90">
        <v>92121.877245239011</v>
      </c>
      <c r="L19" s="82">
        <v>121.2</v>
      </c>
      <c r="M19" s="82">
        <v>0</v>
      </c>
      <c r="N19" s="106">
        <v>111.65171521768585</v>
      </c>
      <c r="O19" s="41">
        <v>5.2027669461622302E-6</v>
      </c>
      <c r="P19" s="50">
        <v>9.3942541825331235E-3</v>
      </c>
      <c r="Q19" s="50">
        <v>1.567929649484092E-3</v>
      </c>
    </row>
    <row r="20" spans="1:17" x14ac:dyDescent="0.2">
      <c r="A20" s="33" t="s">
        <v>305</v>
      </c>
      <c r="B20" s="50" t="s">
        <v>306</v>
      </c>
      <c r="C20" s="50" t="s">
        <v>284</v>
      </c>
      <c r="D20" s="87" t="s">
        <v>285</v>
      </c>
      <c r="E20" s="82" t="s">
        <v>239</v>
      </c>
      <c r="F20" s="82" t="s">
        <v>307</v>
      </c>
      <c r="G20" s="82">
        <v>6.27</v>
      </c>
      <c r="H20" s="50" t="s">
        <v>245</v>
      </c>
      <c r="I20" s="41">
        <v>7.4999999999999997E-3</v>
      </c>
      <c r="J20" s="41">
        <v>-8.6999999999999994E-3</v>
      </c>
      <c r="K20" s="90">
        <v>174258.45069756272</v>
      </c>
      <c r="L20" s="82">
        <v>112.38</v>
      </c>
      <c r="M20" s="82">
        <v>0</v>
      </c>
      <c r="N20" s="106">
        <v>195.83164689203093</v>
      </c>
      <c r="O20" s="41">
        <v>8.9829673263661178E-6</v>
      </c>
      <c r="P20" s="50">
        <v>1.6477062303082293E-2</v>
      </c>
      <c r="Q20" s="50">
        <v>2.75007190772361E-3</v>
      </c>
    </row>
    <row r="21" spans="1:17" x14ac:dyDescent="0.2">
      <c r="A21" s="33" t="s">
        <v>308</v>
      </c>
      <c r="B21" s="50" t="s">
        <v>309</v>
      </c>
      <c r="C21" s="50" t="s">
        <v>284</v>
      </c>
      <c r="D21" s="87" t="s">
        <v>285</v>
      </c>
      <c r="E21" s="82" t="s">
        <v>239</v>
      </c>
      <c r="F21" s="82" t="s">
        <v>310</v>
      </c>
      <c r="G21" s="82">
        <v>8.25</v>
      </c>
      <c r="H21" s="50" t="s">
        <v>245</v>
      </c>
      <c r="I21" s="41">
        <v>5.0000000000000001E-3</v>
      </c>
      <c r="J21" s="41">
        <v>-7.4000000000000003E-3</v>
      </c>
      <c r="K21" s="90">
        <v>131.84532628667034</v>
      </c>
      <c r="L21" s="82">
        <v>111.20999999999998</v>
      </c>
      <c r="M21" s="82">
        <v>0</v>
      </c>
      <c r="N21" s="106">
        <v>0.14662518588680931</v>
      </c>
      <c r="O21" s="41">
        <v>7.1264881787001932E-9</v>
      </c>
      <c r="P21" s="50">
        <v>1.2336884060368352E-5</v>
      </c>
      <c r="Q21" s="50">
        <v>2.0590635429542284E-6</v>
      </c>
    </row>
    <row r="22" spans="1:17" s="139" customFormat="1" x14ac:dyDescent="0.2">
      <c r="A22" s="114" t="s">
        <v>140</v>
      </c>
      <c r="B22" s="142" t="s">
        <v>239</v>
      </c>
      <c r="C22" s="142" t="s">
        <v>239</v>
      </c>
      <c r="D22" s="146" t="s">
        <v>239</v>
      </c>
      <c r="E22" s="147" t="s">
        <v>239</v>
      </c>
      <c r="F22" s="147" t="s">
        <v>239</v>
      </c>
      <c r="G22" s="147" t="s">
        <v>239</v>
      </c>
      <c r="H22" s="142" t="s">
        <v>239</v>
      </c>
      <c r="I22" s="145" t="s">
        <v>239</v>
      </c>
      <c r="J22" s="145" t="s">
        <v>239</v>
      </c>
      <c r="K22" s="157" t="s">
        <v>239</v>
      </c>
      <c r="L22" s="147" t="s">
        <v>239</v>
      </c>
      <c r="M22" s="147" t="s">
        <v>239</v>
      </c>
      <c r="N22" s="148">
        <v>5464.7561555711081</v>
      </c>
      <c r="O22" s="145" t="s">
        <v>239</v>
      </c>
      <c r="P22" s="142">
        <v>0.45979865397415393</v>
      </c>
      <c r="Q22" s="142">
        <v>7.6741796458881434E-2</v>
      </c>
    </row>
    <row r="23" spans="1:17" s="139" customFormat="1" x14ac:dyDescent="0.2">
      <c r="A23" s="114" t="s">
        <v>311</v>
      </c>
      <c r="B23" s="142" t="s">
        <v>239</v>
      </c>
      <c r="C23" s="142" t="s">
        <v>239</v>
      </c>
      <c r="D23" s="146" t="s">
        <v>239</v>
      </c>
      <c r="E23" s="147" t="s">
        <v>239</v>
      </c>
      <c r="F23" s="147" t="s">
        <v>239</v>
      </c>
      <c r="G23" s="147" t="s">
        <v>239</v>
      </c>
      <c r="H23" s="142" t="s">
        <v>239</v>
      </c>
      <c r="I23" s="145" t="s">
        <v>239</v>
      </c>
      <c r="J23" s="145" t="s">
        <v>239</v>
      </c>
      <c r="K23" s="157" t="s">
        <v>239</v>
      </c>
      <c r="L23" s="147" t="s">
        <v>239</v>
      </c>
      <c r="M23" s="147" t="s">
        <v>239</v>
      </c>
      <c r="N23" s="148">
        <v>48.526560211920938</v>
      </c>
      <c r="O23" s="145" t="s">
        <v>239</v>
      </c>
      <c r="P23" s="142">
        <v>4.0829721276200584E-3</v>
      </c>
      <c r="Q23" s="142">
        <v>6.8146048984022844E-4</v>
      </c>
    </row>
    <row r="24" spans="1:17" x14ac:dyDescent="0.2">
      <c r="A24" s="33" t="s">
        <v>312</v>
      </c>
      <c r="B24" s="50" t="s">
        <v>313</v>
      </c>
      <c r="C24" s="50" t="s">
        <v>284</v>
      </c>
      <c r="D24" s="87" t="s">
        <v>285</v>
      </c>
      <c r="E24" s="82" t="s">
        <v>239</v>
      </c>
      <c r="F24" s="82" t="s">
        <v>314</v>
      </c>
      <c r="G24" s="82">
        <v>0.51</v>
      </c>
      <c r="H24" s="50" t="s">
        <v>245</v>
      </c>
      <c r="I24" s="41">
        <v>0</v>
      </c>
      <c r="J24" s="41">
        <v>5.9999999999999995E-4</v>
      </c>
      <c r="K24" s="90">
        <v>48541.122449234994</v>
      </c>
      <c r="L24" s="82">
        <v>99.97</v>
      </c>
      <c r="M24" s="82">
        <v>0</v>
      </c>
      <c r="N24" s="106">
        <v>48.526560111920936</v>
      </c>
      <c r="O24" s="41">
        <v>6.9344460641764279E-6</v>
      </c>
      <c r="P24" s="50">
        <v>4.0829721192061673E-3</v>
      </c>
      <c r="Q24" s="50">
        <v>6.8146048843592425E-4</v>
      </c>
    </row>
    <row r="25" spans="1:17" s="139" customFormat="1" x14ac:dyDescent="0.2">
      <c r="A25" s="114" t="s">
        <v>315</v>
      </c>
      <c r="B25" s="142" t="s">
        <v>239</v>
      </c>
      <c r="C25" s="142" t="s">
        <v>239</v>
      </c>
      <c r="D25" s="146" t="s">
        <v>239</v>
      </c>
      <c r="E25" s="147" t="s">
        <v>239</v>
      </c>
      <c r="F25" s="147" t="s">
        <v>239</v>
      </c>
      <c r="G25" s="147" t="s">
        <v>239</v>
      </c>
      <c r="H25" s="142" t="s">
        <v>239</v>
      </c>
      <c r="I25" s="145" t="s">
        <v>239</v>
      </c>
      <c r="J25" s="145" t="s">
        <v>239</v>
      </c>
      <c r="K25" s="157" t="s">
        <v>239</v>
      </c>
      <c r="L25" s="147" t="s">
        <v>239</v>
      </c>
      <c r="M25" s="147" t="s">
        <v>239</v>
      </c>
      <c r="N25" s="148">
        <v>4086.751838867337</v>
      </c>
      <c r="O25" s="145" t="s">
        <v>239</v>
      </c>
      <c r="P25" s="142">
        <v>0.34385486582451574</v>
      </c>
      <c r="Q25" s="142">
        <v>5.7390424909735144E-2</v>
      </c>
    </row>
    <row r="26" spans="1:17" x14ac:dyDescent="0.2">
      <c r="A26" s="33" t="s">
        <v>316</v>
      </c>
      <c r="B26" s="50" t="s">
        <v>317</v>
      </c>
      <c r="C26" s="50" t="s">
        <v>284</v>
      </c>
      <c r="D26" s="87" t="s">
        <v>285</v>
      </c>
      <c r="E26" s="82" t="s">
        <v>239</v>
      </c>
      <c r="F26" s="82" t="s">
        <v>318</v>
      </c>
      <c r="G26" s="82">
        <v>5.14</v>
      </c>
      <c r="H26" s="50" t="s">
        <v>245</v>
      </c>
      <c r="I26" s="41">
        <v>6.25E-2</v>
      </c>
      <c r="J26" s="41">
        <v>3.4999999999999996E-3</v>
      </c>
      <c r="K26" s="90">
        <v>8506.8476496956791</v>
      </c>
      <c r="L26" s="82">
        <v>135.04</v>
      </c>
      <c r="M26" s="82">
        <v>0</v>
      </c>
      <c r="N26" s="106">
        <v>11.487647062905051</v>
      </c>
      <c r="O26" s="41">
        <v>5.1417110336272437E-7</v>
      </c>
      <c r="P26" s="50">
        <v>9.6655816041656042E-4</v>
      </c>
      <c r="Q26" s="50">
        <v>1.6132150229506342E-4</v>
      </c>
    </row>
    <row r="27" spans="1:17" x14ac:dyDescent="0.2">
      <c r="A27" s="33" t="s">
        <v>319</v>
      </c>
      <c r="B27" s="50" t="s">
        <v>320</v>
      </c>
      <c r="C27" s="50" t="s">
        <v>284</v>
      </c>
      <c r="D27" s="87" t="s">
        <v>285</v>
      </c>
      <c r="E27" s="82" t="s">
        <v>239</v>
      </c>
      <c r="F27" s="82" t="s">
        <v>321</v>
      </c>
      <c r="G27" s="82">
        <v>1.03</v>
      </c>
      <c r="H27" s="50" t="s">
        <v>245</v>
      </c>
      <c r="I27" s="41">
        <v>5.5E-2</v>
      </c>
      <c r="J27" s="41">
        <v>4.0000000000000002E-4</v>
      </c>
      <c r="K27" s="90">
        <v>1083.4280993025463</v>
      </c>
      <c r="L27" s="82">
        <v>110.96999999999998</v>
      </c>
      <c r="M27" s="82">
        <v>0</v>
      </c>
      <c r="N27" s="106">
        <v>1.2022801593630399</v>
      </c>
      <c r="O27" s="41">
        <v>6.1136241201873388E-8</v>
      </c>
      <c r="P27" s="50">
        <v>1.0115854820189769E-4</v>
      </c>
      <c r="Q27" s="50">
        <v>1.6883669947894965E-5</v>
      </c>
    </row>
    <row r="28" spans="1:17" x14ac:dyDescent="0.2">
      <c r="A28" s="33" t="s">
        <v>322</v>
      </c>
      <c r="B28" s="50" t="s">
        <v>323</v>
      </c>
      <c r="C28" s="50" t="s">
        <v>284</v>
      </c>
      <c r="D28" s="87" t="s">
        <v>285</v>
      </c>
      <c r="E28" s="82" t="s">
        <v>239</v>
      </c>
      <c r="F28" s="82" t="s">
        <v>324</v>
      </c>
      <c r="G28" s="82">
        <v>14.56</v>
      </c>
      <c r="H28" s="50" t="s">
        <v>245</v>
      </c>
      <c r="I28" s="41">
        <v>5.5E-2</v>
      </c>
      <c r="J28" s="41">
        <v>1.52E-2</v>
      </c>
      <c r="K28" s="90">
        <v>672245.81909815327</v>
      </c>
      <c r="L28" s="82">
        <v>176.34</v>
      </c>
      <c r="M28" s="82">
        <v>0</v>
      </c>
      <c r="N28" s="106">
        <v>1185.438277397104</v>
      </c>
      <c r="O28" s="41">
        <v>3.4556324825929791E-5</v>
      </c>
      <c r="P28" s="50">
        <v>9.9741490525786319E-2</v>
      </c>
      <c r="Q28" s="50">
        <v>1.6647158703656424E-2</v>
      </c>
    </row>
    <row r="29" spans="1:17" x14ac:dyDescent="0.2">
      <c r="A29" s="33" t="s">
        <v>325</v>
      </c>
      <c r="B29" s="50" t="s">
        <v>326</v>
      </c>
      <c r="C29" s="50" t="s">
        <v>284</v>
      </c>
      <c r="D29" s="87" t="s">
        <v>285</v>
      </c>
      <c r="E29" s="82" t="s">
        <v>239</v>
      </c>
      <c r="F29" s="82" t="s">
        <v>327</v>
      </c>
      <c r="G29" s="82">
        <v>2.13</v>
      </c>
      <c r="H29" s="50" t="s">
        <v>245</v>
      </c>
      <c r="I29" s="41">
        <v>4.2599999999999999E-2</v>
      </c>
      <c r="J29" s="41">
        <v>1E-3</v>
      </c>
      <c r="K29" s="90">
        <v>429493.57616998116</v>
      </c>
      <c r="L29" s="82">
        <v>112.5</v>
      </c>
      <c r="M29" s="82">
        <v>0</v>
      </c>
      <c r="N29" s="106">
        <v>483.18027319122882</v>
      </c>
      <c r="O29" s="41">
        <v>2.3348338494062763E-5</v>
      </c>
      <c r="P29" s="50">
        <v>4.0654263962665867E-2</v>
      </c>
      <c r="Q29" s="50">
        <v>6.7853205381151827E-3</v>
      </c>
    </row>
    <row r="30" spans="1:17" x14ac:dyDescent="0.2">
      <c r="A30" s="33" t="s">
        <v>328</v>
      </c>
      <c r="B30" s="50" t="s">
        <v>329</v>
      </c>
      <c r="C30" s="50" t="s">
        <v>284</v>
      </c>
      <c r="D30" s="87" t="s">
        <v>285</v>
      </c>
      <c r="E30" s="82" t="s">
        <v>239</v>
      </c>
      <c r="F30" s="82" t="s">
        <v>330</v>
      </c>
      <c r="G30" s="82">
        <v>18.3</v>
      </c>
      <c r="H30" s="50" t="s">
        <v>245</v>
      </c>
      <c r="I30" s="41">
        <v>3.7599999999999995E-2</v>
      </c>
      <c r="J30" s="41">
        <v>1.83E-2</v>
      </c>
      <c r="K30" s="90">
        <v>564762.75921735878</v>
      </c>
      <c r="L30" s="82">
        <v>142.52000000000001</v>
      </c>
      <c r="M30" s="82">
        <v>0</v>
      </c>
      <c r="N30" s="106">
        <v>804.89988443101856</v>
      </c>
      <c r="O30" s="41">
        <v>2.6943136320953548E-5</v>
      </c>
      <c r="P30" s="50">
        <v>6.7723403004549432E-2</v>
      </c>
      <c r="Q30" s="50">
        <v>1.1303242330000549E-2</v>
      </c>
    </row>
    <row r="31" spans="1:17" x14ac:dyDescent="0.2">
      <c r="A31" s="33" t="s">
        <v>331</v>
      </c>
      <c r="B31" s="50" t="s">
        <v>332</v>
      </c>
      <c r="C31" s="50" t="s">
        <v>284</v>
      </c>
      <c r="D31" s="87" t="s">
        <v>285</v>
      </c>
      <c r="E31" s="82" t="s">
        <v>239</v>
      </c>
      <c r="F31" s="82" t="s">
        <v>333</v>
      </c>
      <c r="G31" s="82">
        <v>1.9</v>
      </c>
      <c r="H31" s="50" t="s">
        <v>245</v>
      </c>
      <c r="I31" s="41">
        <v>1.2500000000000001E-2</v>
      </c>
      <c r="J31" s="41">
        <v>5.0000000000000001E-4</v>
      </c>
      <c r="K31" s="90">
        <v>141609.55798495191</v>
      </c>
      <c r="L31" s="82">
        <v>102.41</v>
      </c>
      <c r="M31" s="82">
        <v>0</v>
      </c>
      <c r="N31" s="106">
        <v>145.02234832984041</v>
      </c>
      <c r="O31" s="41">
        <v>9.2830409376815952E-6</v>
      </c>
      <c r="P31" s="50">
        <v>1.2202023047314329E-2</v>
      </c>
      <c r="Q31" s="50">
        <v>2.0365548289234736E-3</v>
      </c>
    </row>
    <row r="32" spans="1:17" x14ac:dyDescent="0.2">
      <c r="A32" s="33" t="s">
        <v>334</v>
      </c>
      <c r="B32" s="50" t="s">
        <v>335</v>
      </c>
      <c r="C32" s="50" t="s">
        <v>284</v>
      </c>
      <c r="D32" s="87" t="s">
        <v>285</v>
      </c>
      <c r="E32" s="82" t="s">
        <v>239</v>
      </c>
      <c r="F32" s="82" t="s">
        <v>336</v>
      </c>
      <c r="G32" s="82">
        <v>7.2</v>
      </c>
      <c r="H32" s="50" t="s">
        <v>245</v>
      </c>
      <c r="I32" s="41">
        <v>2.2599999999999999E-2</v>
      </c>
      <c r="J32" s="41">
        <v>5.6999999999999993E-3</v>
      </c>
      <c r="K32" s="90">
        <v>593.51368919283732</v>
      </c>
      <c r="L32" s="82">
        <v>113.26</v>
      </c>
      <c r="M32" s="82">
        <v>0</v>
      </c>
      <c r="N32" s="106">
        <v>0.67221360217852555</v>
      </c>
      <c r="O32" s="41">
        <v>3.3492754936079822E-8</v>
      </c>
      <c r="P32" s="50">
        <v>5.6559323173039536E-5</v>
      </c>
      <c r="Q32" s="50">
        <v>9.4399233866428005E-6</v>
      </c>
    </row>
    <row r="33" spans="1:17" x14ac:dyDescent="0.2">
      <c r="A33" s="33" t="s">
        <v>337</v>
      </c>
      <c r="B33" s="50" t="s">
        <v>338</v>
      </c>
      <c r="C33" s="50" t="s">
        <v>284</v>
      </c>
      <c r="D33" s="87" t="s">
        <v>285</v>
      </c>
      <c r="E33" s="82" t="s">
        <v>239</v>
      </c>
      <c r="F33" s="82" t="s">
        <v>339</v>
      </c>
      <c r="G33" s="82">
        <v>2.87</v>
      </c>
      <c r="H33" s="50" t="s">
        <v>245</v>
      </c>
      <c r="I33" s="41">
        <v>1.4999999999999999E-2</v>
      </c>
      <c r="J33" s="41">
        <v>1.7000000000000001E-3</v>
      </c>
      <c r="K33" s="90">
        <v>283856.13683789078</v>
      </c>
      <c r="L33" s="82">
        <v>104</v>
      </c>
      <c r="M33" s="82">
        <v>0</v>
      </c>
      <c r="N33" s="106">
        <v>295.21038231140636</v>
      </c>
      <c r="O33" s="41">
        <v>1.6878954960351562E-5</v>
      </c>
      <c r="P33" s="50">
        <v>2.483868128088406E-2</v>
      </c>
      <c r="Q33" s="50">
        <v>4.1456515948647852E-3</v>
      </c>
    </row>
    <row r="34" spans="1:17" x14ac:dyDescent="0.2">
      <c r="A34" s="33" t="s">
        <v>340</v>
      </c>
      <c r="B34" s="50" t="s">
        <v>341</v>
      </c>
      <c r="C34" s="50" t="s">
        <v>284</v>
      </c>
      <c r="D34" s="87" t="s">
        <v>285</v>
      </c>
      <c r="E34" s="82" t="s">
        <v>239</v>
      </c>
      <c r="F34" s="82" t="s">
        <v>342</v>
      </c>
      <c r="G34" s="82">
        <v>1.57</v>
      </c>
      <c r="H34" s="50" t="s">
        <v>245</v>
      </c>
      <c r="I34" s="41">
        <v>7.4999999999999997E-3</v>
      </c>
      <c r="J34" s="41">
        <v>4.0000000000000002E-4</v>
      </c>
      <c r="K34" s="90">
        <v>596801.03786489822</v>
      </c>
      <c r="L34" s="82">
        <v>101.44</v>
      </c>
      <c r="M34" s="82">
        <v>0</v>
      </c>
      <c r="N34" s="106">
        <v>605.394972809921</v>
      </c>
      <c r="O34" s="41">
        <v>3.8577456058097896E-5</v>
      </c>
      <c r="P34" s="50">
        <v>5.0937276192450809E-2</v>
      </c>
      <c r="Q34" s="50">
        <v>8.5015866139325821E-3</v>
      </c>
    </row>
    <row r="35" spans="1:17" x14ac:dyDescent="0.2">
      <c r="A35" s="33" t="s">
        <v>343</v>
      </c>
      <c r="B35" s="50" t="s">
        <v>344</v>
      </c>
      <c r="C35" s="50" t="s">
        <v>284</v>
      </c>
      <c r="D35" s="87" t="s">
        <v>285</v>
      </c>
      <c r="E35" s="82" t="s">
        <v>239</v>
      </c>
      <c r="F35" s="82" t="s">
        <v>345</v>
      </c>
      <c r="G35" s="82">
        <v>8.82</v>
      </c>
      <c r="H35" s="50" t="s">
        <v>245</v>
      </c>
      <c r="I35" s="41">
        <v>0.01</v>
      </c>
      <c r="J35" s="41">
        <v>7.7000000000000002E-3</v>
      </c>
      <c r="K35" s="90">
        <v>10189.841804931504</v>
      </c>
      <c r="L35" s="82">
        <v>102.79</v>
      </c>
      <c r="M35" s="82">
        <v>0</v>
      </c>
      <c r="N35" s="106">
        <v>10.474138385843817</v>
      </c>
      <c r="O35" s="41">
        <v>6.1857448389395854E-7</v>
      </c>
      <c r="P35" s="50">
        <v>8.8128263992900827E-4</v>
      </c>
      <c r="Q35" s="50">
        <v>1.4708875807187404E-4</v>
      </c>
    </row>
    <row r="36" spans="1:17" x14ac:dyDescent="0.2">
      <c r="A36" s="33" t="s">
        <v>346</v>
      </c>
      <c r="B36" s="50" t="s">
        <v>347</v>
      </c>
      <c r="C36" s="50" t="s">
        <v>284</v>
      </c>
      <c r="D36" s="87" t="s">
        <v>285</v>
      </c>
      <c r="E36" s="82" t="s">
        <v>239</v>
      </c>
      <c r="F36" s="82" t="s">
        <v>348</v>
      </c>
      <c r="G36" s="82">
        <v>0.16</v>
      </c>
      <c r="H36" s="50" t="s">
        <v>245</v>
      </c>
      <c r="I36" s="41">
        <v>0</v>
      </c>
      <c r="J36" s="41">
        <v>5.9999999999999995E-4</v>
      </c>
      <c r="K36" s="90">
        <v>293319.65871831676</v>
      </c>
      <c r="L36" s="82">
        <v>100</v>
      </c>
      <c r="M36" s="82">
        <v>0</v>
      </c>
      <c r="N36" s="106">
        <v>293.31965871831676</v>
      </c>
      <c r="O36" s="41">
        <v>5.3458895674533282E-5</v>
      </c>
      <c r="P36" s="50">
        <v>2.4679597849091135E-2</v>
      </c>
      <c r="Q36" s="50">
        <v>4.1191000853353131E-3</v>
      </c>
    </row>
    <row r="37" spans="1:17" x14ac:dyDescent="0.2">
      <c r="A37" s="33" t="s">
        <v>349</v>
      </c>
      <c r="B37" s="50" t="s">
        <v>350</v>
      </c>
      <c r="C37" s="50" t="s">
        <v>284</v>
      </c>
      <c r="D37" s="87" t="s">
        <v>285</v>
      </c>
      <c r="E37" s="82" t="s">
        <v>239</v>
      </c>
      <c r="F37" s="82" t="s">
        <v>351</v>
      </c>
      <c r="G37" s="82">
        <v>14.56</v>
      </c>
      <c r="H37" s="50" t="s">
        <v>245</v>
      </c>
      <c r="I37" s="41">
        <v>1.4999999999999999E-2</v>
      </c>
      <c r="J37" s="41">
        <v>1.43E-2</v>
      </c>
      <c r="K37" s="90">
        <v>245779.94344507085</v>
      </c>
      <c r="L37" s="82">
        <v>101.9</v>
      </c>
      <c r="M37" s="82">
        <v>0</v>
      </c>
      <c r="N37" s="106">
        <v>250.44976236821003</v>
      </c>
      <c r="O37" s="41">
        <v>2.0723845999062449E-5</v>
      </c>
      <c r="P37" s="50">
        <v>2.1072571281639366E-2</v>
      </c>
      <c r="Q37" s="50">
        <v>3.5170763598010471E-3</v>
      </c>
    </row>
    <row r="38" spans="1:17" s="139" customFormat="1" x14ac:dyDescent="0.2">
      <c r="A38" s="114" t="s">
        <v>352</v>
      </c>
      <c r="B38" s="142" t="s">
        <v>239</v>
      </c>
      <c r="C38" s="142" t="s">
        <v>239</v>
      </c>
      <c r="D38" s="146" t="s">
        <v>239</v>
      </c>
      <c r="E38" s="147" t="s">
        <v>239</v>
      </c>
      <c r="F38" s="147" t="s">
        <v>239</v>
      </c>
      <c r="G38" s="147" t="s">
        <v>239</v>
      </c>
      <c r="H38" s="142" t="s">
        <v>239</v>
      </c>
      <c r="I38" s="145" t="s">
        <v>239</v>
      </c>
      <c r="J38" s="145" t="s">
        <v>239</v>
      </c>
      <c r="K38" s="157" t="s">
        <v>239</v>
      </c>
      <c r="L38" s="147" t="s">
        <v>239</v>
      </c>
      <c r="M38" s="147" t="s">
        <v>239</v>
      </c>
      <c r="N38" s="148">
        <v>1329.4777564918511</v>
      </c>
      <c r="O38" s="145" t="s">
        <v>239</v>
      </c>
      <c r="P38" s="142">
        <v>0.11186081602201818</v>
      </c>
      <c r="Q38" s="142">
        <v>1.8669911059306071E-2</v>
      </c>
    </row>
    <row r="39" spans="1:17" x14ac:dyDescent="0.2">
      <c r="A39" s="33" t="s">
        <v>353</v>
      </c>
      <c r="B39" s="50" t="s">
        <v>354</v>
      </c>
      <c r="C39" s="50" t="s">
        <v>284</v>
      </c>
      <c r="D39" s="87" t="s">
        <v>285</v>
      </c>
      <c r="E39" s="82" t="s">
        <v>239</v>
      </c>
      <c r="F39" s="82" t="s">
        <v>355</v>
      </c>
      <c r="G39" s="82">
        <v>0.91</v>
      </c>
      <c r="H39" s="50" t="s">
        <v>245</v>
      </c>
      <c r="I39" s="41">
        <v>4.0000000000000002E-4</v>
      </c>
      <c r="J39" s="41">
        <v>8.9999999999999998E-4</v>
      </c>
      <c r="K39" s="90">
        <v>629854.72789650015</v>
      </c>
      <c r="L39" s="82">
        <v>99.95</v>
      </c>
      <c r="M39" s="82">
        <v>0</v>
      </c>
      <c r="N39" s="106">
        <v>629.53980052965539</v>
      </c>
      <c r="O39" s="41">
        <v>4.4929642345438162E-5</v>
      </c>
      <c r="P39" s="50">
        <v>5.296879580099801E-2</v>
      </c>
      <c r="Q39" s="50">
        <v>8.8406534270992852E-3</v>
      </c>
    </row>
    <row r="40" spans="1:17" x14ac:dyDescent="0.2">
      <c r="A40" s="33" t="s">
        <v>356</v>
      </c>
      <c r="B40" s="50" t="s">
        <v>357</v>
      </c>
      <c r="C40" s="50" t="s">
        <v>284</v>
      </c>
      <c r="D40" s="87" t="s">
        <v>285</v>
      </c>
      <c r="E40" s="82" t="s">
        <v>239</v>
      </c>
      <c r="F40" s="82" t="s">
        <v>358</v>
      </c>
      <c r="G40" s="82">
        <v>5.41</v>
      </c>
      <c r="H40" s="50" t="s">
        <v>245</v>
      </c>
      <c r="I40" s="41">
        <v>1.2999999999999999E-3</v>
      </c>
      <c r="J40" s="41">
        <v>1.7000000000000001E-3</v>
      </c>
      <c r="K40" s="90">
        <v>399643.90180723905</v>
      </c>
      <c r="L40" s="82">
        <v>99.25</v>
      </c>
      <c r="M40" s="82">
        <v>0</v>
      </c>
      <c r="N40" s="106">
        <v>396.64657253934013</v>
      </c>
      <c r="O40" s="41">
        <v>1.9860692339800141E-5</v>
      </c>
      <c r="P40" s="50">
        <v>3.3373412274054222E-2</v>
      </c>
      <c r="Q40" s="50">
        <v>5.5701242048824496E-3</v>
      </c>
    </row>
    <row r="41" spans="1:17" x14ac:dyDescent="0.2">
      <c r="A41" s="33" t="s">
        <v>359</v>
      </c>
      <c r="B41" s="50" t="s">
        <v>360</v>
      </c>
      <c r="C41" s="50" t="s">
        <v>284</v>
      </c>
      <c r="D41" s="87" t="s">
        <v>285</v>
      </c>
      <c r="E41" s="82" t="s">
        <v>239</v>
      </c>
      <c r="F41" s="82" t="s">
        <v>361</v>
      </c>
      <c r="G41" s="82">
        <v>9.9</v>
      </c>
      <c r="H41" s="50" t="s">
        <v>245</v>
      </c>
      <c r="I41" s="41">
        <v>0.04</v>
      </c>
      <c r="J41" s="41">
        <v>2.5000000000000001E-3</v>
      </c>
      <c r="K41" s="90">
        <v>309828.77038066805</v>
      </c>
      <c r="L41" s="82">
        <v>97.89</v>
      </c>
      <c r="M41" s="82">
        <v>0</v>
      </c>
      <c r="N41" s="106">
        <v>303.29138332285538</v>
      </c>
      <c r="O41" s="41">
        <v>3.1125031280933082E-5</v>
      </c>
      <c r="P41" s="50">
        <v>2.5518607938552051E-2</v>
      </c>
      <c r="Q41" s="50">
        <v>4.259133425920031E-3</v>
      </c>
    </row>
    <row r="42" spans="1:17" s="139" customFormat="1" x14ac:dyDescent="0.2">
      <c r="A42" s="114" t="s">
        <v>362</v>
      </c>
      <c r="B42" s="142" t="s">
        <v>239</v>
      </c>
      <c r="C42" s="142" t="s">
        <v>239</v>
      </c>
      <c r="D42" s="146" t="s">
        <v>239</v>
      </c>
      <c r="E42" s="147" t="s">
        <v>239</v>
      </c>
      <c r="F42" s="147" t="s">
        <v>239</v>
      </c>
      <c r="G42" s="147" t="s">
        <v>239</v>
      </c>
      <c r="H42" s="142" t="s">
        <v>239</v>
      </c>
      <c r="I42" s="145" t="s">
        <v>239</v>
      </c>
      <c r="J42" s="145" t="s">
        <v>239</v>
      </c>
      <c r="K42" s="157" t="s">
        <v>239</v>
      </c>
      <c r="L42" s="147" t="s">
        <v>239</v>
      </c>
      <c r="M42" s="147" t="s">
        <v>239</v>
      </c>
      <c r="N42" s="148">
        <v>0</v>
      </c>
      <c r="O42" s="145" t="s">
        <v>239</v>
      </c>
      <c r="P42" s="142">
        <v>0</v>
      </c>
      <c r="Q42" s="142">
        <v>0</v>
      </c>
    </row>
    <row r="43" spans="1:17" s="139" customFormat="1" x14ac:dyDescent="0.2">
      <c r="A43" s="114" t="s">
        <v>363</v>
      </c>
      <c r="B43" s="142" t="s">
        <v>239</v>
      </c>
      <c r="C43" s="142" t="s">
        <v>239</v>
      </c>
      <c r="D43" s="146" t="s">
        <v>239</v>
      </c>
      <c r="E43" s="147" t="s">
        <v>239</v>
      </c>
      <c r="F43" s="147" t="s">
        <v>239</v>
      </c>
      <c r="G43" s="147" t="s">
        <v>239</v>
      </c>
      <c r="H43" s="142" t="s">
        <v>239</v>
      </c>
      <c r="I43" s="145" t="s">
        <v>239</v>
      </c>
      <c r="J43" s="145" t="s">
        <v>239</v>
      </c>
      <c r="K43" s="157" t="s">
        <v>239</v>
      </c>
      <c r="L43" s="147" t="s">
        <v>239</v>
      </c>
      <c r="M43" s="147" t="s">
        <v>239</v>
      </c>
      <c r="N43" s="148">
        <v>74.099050199999994</v>
      </c>
      <c r="O43" s="145" t="s">
        <v>239</v>
      </c>
      <c r="P43" s="142">
        <v>6.2346136904918538E-3</v>
      </c>
      <c r="Q43" s="142">
        <v>1.0405760232224956E-3</v>
      </c>
    </row>
    <row r="44" spans="1:17" s="139" customFormat="1" x14ac:dyDescent="0.2">
      <c r="A44" s="114" t="s">
        <v>364</v>
      </c>
      <c r="B44" s="142" t="s">
        <v>239</v>
      </c>
      <c r="C44" s="142" t="s">
        <v>239</v>
      </c>
      <c r="D44" s="146" t="s">
        <v>239</v>
      </c>
      <c r="E44" s="147" t="s">
        <v>239</v>
      </c>
      <c r="F44" s="147" t="s">
        <v>239</v>
      </c>
      <c r="G44" s="147" t="s">
        <v>239</v>
      </c>
      <c r="H44" s="142" t="s">
        <v>239</v>
      </c>
      <c r="I44" s="145" t="s">
        <v>239</v>
      </c>
      <c r="J44" s="145" t="s">
        <v>239</v>
      </c>
      <c r="K44" s="157" t="s">
        <v>239</v>
      </c>
      <c r="L44" s="147" t="s">
        <v>239</v>
      </c>
      <c r="M44" s="147" t="s">
        <v>239</v>
      </c>
      <c r="N44" s="148">
        <v>4.2119301000000009</v>
      </c>
      <c r="O44" s="145" t="s">
        <v>239</v>
      </c>
      <c r="P44" s="142">
        <v>3.5438722890478733E-4</v>
      </c>
      <c r="Q44" s="142">
        <v>5.9148308402327259E-5</v>
      </c>
    </row>
    <row r="45" spans="1:17" x14ac:dyDescent="0.2">
      <c r="A45" s="33" t="s">
        <v>365</v>
      </c>
      <c r="B45" s="50" t="s">
        <v>366</v>
      </c>
      <c r="C45" s="50" t="s">
        <v>218</v>
      </c>
      <c r="D45" s="87" t="s">
        <v>279</v>
      </c>
      <c r="E45" s="82" t="s">
        <v>280</v>
      </c>
      <c r="F45" s="82" t="s">
        <v>367</v>
      </c>
      <c r="G45" s="82">
        <v>17.408999999999999</v>
      </c>
      <c r="H45" s="50" t="s">
        <v>126</v>
      </c>
      <c r="I45" s="41">
        <v>4.1299999999999996E-2</v>
      </c>
      <c r="J45" s="41">
        <v>2.606E-2</v>
      </c>
      <c r="K45" s="90">
        <v>1000</v>
      </c>
      <c r="L45" s="82">
        <v>131.00899999999999</v>
      </c>
      <c r="M45" s="82">
        <v>0</v>
      </c>
      <c r="N45" s="106">
        <v>4.2119300000000006</v>
      </c>
      <c r="O45" s="41">
        <v>9.9999999999999995E-7</v>
      </c>
      <c r="P45" s="50">
        <v>3.5438722049089579E-4</v>
      </c>
      <c r="Q45" s="50">
        <v>5.9148306998023123E-5</v>
      </c>
    </row>
    <row r="46" spans="1:17" s="139" customFormat="1" x14ac:dyDescent="0.2">
      <c r="A46" s="114" t="s">
        <v>368</v>
      </c>
      <c r="B46" s="142" t="s">
        <v>239</v>
      </c>
      <c r="C46" s="142" t="s">
        <v>239</v>
      </c>
      <c r="D46" s="146" t="s">
        <v>239</v>
      </c>
      <c r="E46" s="147" t="s">
        <v>239</v>
      </c>
      <c r="F46" s="147" t="s">
        <v>239</v>
      </c>
      <c r="G46" s="147" t="s">
        <v>239</v>
      </c>
      <c r="H46" s="142" t="s">
        <v>239</v>
      </c>
      <c r="I46" s="145" t="s">
        <v>239</v>
      </c>
      <c r="J46" s="145" t="s">
        <v>239</v>
      </c>
      <c r="K46" s="157" t="s">
        <v>239</v>
      </c>
      <c r="L46" s="147" t="s">
        <v>239</v>
      </c>
      <c r="M46" s="147" t="s">
        <v>239</v>
      </c>
      <c r="N46" s="148">
        <v>69.887120100000004</v>
      </c>
      <c r="O46" s="145" t="s">
        <v>239</v>
      </c>
      <c r="P46" s="142">
        <v>5.8802264615870669E-3</v>
      </c>
      <c r="Q46" s="142">
        <v>9.8142771482016855E-4</v>
      </c>
    </row>
    <row r="47" spans="1:17" x14ac:dyDescent="0.2">
      <c r="A47" s="238" t="s">
        <v>369</v>
      </c>
      <c r="B47" s="239" t="s">
        <v>370</v>
      </c>
      <c r="C47" s="239" t="s">
        <v>218</v>
      </c>
      <c r="D47" s="240" t="s">
        <v>371</v>
      </c>
      <c r="E47" s="241" t="s">
        <v>372</v>
      </c>
      <c r="F47" s="241" t="s">
        <v>373</v>
      </c>
      <c r="G47" s="241">
        <v>2.637</v>
      </c>
      <c r="H47" s="239" t="s">
        <v>131</v>
      </c>
      <c r="I47" s="242">
        <v>8.09E-2</v>
      </c>
      <c r="J47" s="242">
        <v>4.4260000000000001E-2</v>
      </c>
      <c r="K47" s="243">
        <v>3910</v>
      </c>
      <c r="L47" s="241">
        <v>11033.3</v>
      </c>
      <c r="M47" s="241">
        <v>0</v>
      </c>
      <c r="N47" s="244">
        <v>69.887119999999996</v>
      </c>
      <c r="O47" s="242">
        <v>1.5221097141353387E-8</v>
      </c>
      <c r="P47" s="239">
        <v>5.8802264531731749E-3</v>
      </c>
      <c r="Q47" s="239">
        <v>9.8142771341586414E-4</v>
      </c>
    </row>
    <row r="48" spans="1:17" s="139" customFormat="1" x14ac:dyDescent="0.2">
      <c r="A48" s="99" t="s">
        <v>230</v>
      </c>
      <c r="B48" s="149"/>
      <c r="C48" s="149"/>
      <c r="D48" s="149"/>
      <c r="E48" s="150"/>
      <c r="F48" s="150"/>
      <c r="G48" s="150"/>
      <c r="H48" s="151"/>
      <c r="I48" s="152"/>
      <c r="J48" s="153"/>
      <c r="K48" s="153"/>
      <c r="L48" s="153"/>
      <c r="M48" s="153"/>
      <c r="N48" s="152"/>
      <c r="O48" s="152"/>
      <c r="P48" s="152"/>
      <c r="Q48" s="158"/>
    </row>
    <row r="49" spans="1:17" s="139" customFormat="1" x14ac:dyDescent="0.2">
      <c r="A49" s="99" t="s">
        <v>231</v>
      </c>
      <c r="B49" s="149"/>
      <c r="C49" s="149"/>
      <c r="D49" s="149"/>
      <c r="E49" s="150"/>
      <c r="F49" s="150"/>
      <c r="G49" s="150"/>
      <c r="H49" s="151"/>
      <c r="I49" s="152"/>
      <c r="J49" s="153"/>
      <c r="K49" s="153"/>
      <c r="L49" s="153"/>
      <c r="M49" s="153"/>
      <c r="N49" s="152"/>
      <c r="O49" s="152"/>
      <c r="P49" s="152"/>
      <c r="Q49" s="158"/>
    </row>
    <row r="50" spans="1:17" s="139" customFormat="1" x14ac:dyDescent="0.2">
      <c r="A50" s="99" t="s">
        <v>232</v>
      </c>
      <c r="B50" s="149"/>
      <c r="C50" s="149"/>
      <c r="D50" s="149"/>
      <c r="E50" s="150"/>
      <c r="F50" s="150"/>
      <c r="G50" s="150"/>
      <c r="H50" s="151"/>
      <c r="I50" s="152"/>
      <c r="J50" s="153"/>
      <c r="K50" s="153"/>
      <c r="L50" s="153"/>
      <c r="M50" s="153"/>
      <c r="N50" s="152"/>
      <c r="O50" s="152"/>
      <c r="P50" s="152"/>
      <c r="Q50" s="158"/>
    </row>
    <row r="51" spans="1:17" s="139" customFormat="1" x14ac:dyDescent="0.2">
      <c r="A51" s="99" t="s">
        <v>233</v>
      </c>
      <c r="B51" s="149"/>
      <c r="C51" s="149"/>
      <c r="D51" s="149"/>
      <c r="E51" s="150"/>
      <c r="F51" s="150"/>
      <c r="G51" s="150"/>
      <c r="H51" s="151"/>
      <c r="I51" s="152"/>
      <c r="J51" s="153"/>
      <c r="K51" s="153"/>
      <c r="L51" s="153"/>
      <c r="M51" s="153"/>
      <c r="N51" s="152"/>
      <c r="O51" s="152"/>
      <c r="P51" s="152"/>
      <c r="Q51" s="158"/>
    </row>
    <row r="52" spans="1:17" s="139" customFormat="1" x14ac:dyDescent="0.2">
      <c r="A52" s="99" t="s">
        <v>234</v>
      </c>
      <c r="B52" s="149"/>
      <c r="C52" s="149"/>
      <c r="D52" s="149"/>
      <c r="E52" s="150"/>
      <c r="F52" s="150"/>
      <c r="G52" s="150"/>
      <c r="H52" s="151"/>
      <c r="I52" s="152"/>
      <c r="J52" s="153"/>
      <c r="K52" s="153"/>
      <c r="L52" s="153"/>
      <c r="M52" s="153"/>
      <c r="N52" s="152"/>
      <c r="O52" s="152"/>
      <c r="P52" s="152"/>
      <c r="Q52" s="158"/>
    </row>
  </sheetData>
  <mergeCells count="2">
    <mergeCell ref="A6:Q6"/>
    <mergeCell ref="A5:Q5"/>
  </mergeCells>
  <conditionalFormatting sqref="I1:I4 G10 I10:M10 O10:O47 K11:M11 G12:G47 I12:M47 I48:I55582">
    <cfRule type="expression" dxfId="155" priority="68" stopIfTrue="1">
      <formula>LEFT(#REF!,3)="TIR"</formula>
    </cfRule>
  </conditionalFormatting>
  <conditionalFormatting sqref="I7">
    <cfRule type="expression" dxfId="154" priority="76" stopIfTrue="1">
      <formula>LEFT(#REF!,3)="TIR"</formula>
    </cfRule>
  </conditionalFormatting>
  <conditionalFormatting sqref="B10:F10 H10 P10:Q47 D12:F47">
    <cfRule type="expression" dxfId="153" priority="77" stopIfTrue="1">
      <formula>OR(LEFT(#REF!,3)="TIR",LEFT(#REF!,2)="IR")</formula>
    </cfRule>
  </conditionalFormatting>
  <conditionalFormatting sqref="A10:A47 N10:N47">
    <cfRule type="expression" dxfId="152" priority="81" stopIfTrue="1">
      <formula>#REF!&gt;0</formula>
    </cfRule>
    <cfRule type="expression" dxfId="151" priority="82" stopIfTrue="1">
      <formula>LEFT(#REF!,3)="TIR"</formula>
    </cfRule>
  </conditionalFormatting>
  <conditionalFormatting sqref="F12:F47">
    <cfRule type="expression" dxfId="150" priority="85" stopIfTrue="1">
      <formula>LEFT(#REF!,3)="TIR"</formula>
    </cfRule>
  </conditionalFormatting>
  <conditionalFormatting sqref="B11:C47 D11:J11 H12:H47">
    <cfRule type="expression" dxfId="149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9" customFormat="1" ht="12.75" customHeight="1" thickBot="1" x14ac:dyDescent="0.25">
      <c r="A10" s="123" t="s">
        <v>61</v>
      </c>
      <c r="B10" s="88" t="s">
        <v>239</v>
      </c>
      <c r="C10" s="88" t="s">
        <v>239</v>
      </c>
      <c r="D10" s="88" t="s">
        <v>239</v>
      </c>
      <c r="E10" s="88" t="s">
        <v>239</v>
      </c>
      <c r="F10" s="88" t="s">
        <v>239</v>
      </c>
      <c r="G10" s="159"/>
      <c r="H10" s="159" t="s">
        <v>239</v>
      </c>
      <c r="I10" s="159" t="s">
        <v>239</v>
      </c>
      <c r="J10" s="159" t="s">
        <v>239</v>
      </c>
      <c r="K10" s="159" t="s">
        <v>239</v>
      </c>
      <c r="L10" s="160" t="s">
        <v>239</v>
      </c>
      <c r="M10" s="160" t="s">
        <v>239</v>
      </c>
      <c r="N10" s="161" t="s">
        <v>239</v>
      </c>
      <c r="O10" s="159"/>
      <c r="P10" s="159" t="s">
        <v>239</v>
      </c>
      <c r="Q10" s="126">
        <v>4.9999999999999998E-7</v>
      </c>
      <c r="R10" s="88" t="s">
        <v>239</v>
      </c>
      <c r="S10" s="88">
        <v>1</v>
      </c>
      <c r="T10" s="103">
        <v>0</v>
      </c>
    </row>
    <row r="11" spans="1:20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6" t="s">
        <v>239</v>
      </c>
      <c r="K11" s="142" t="s">
        <v>239</v>
      </c>
      <c r="L11" s="142" t="s">
        <v>239</v>
      </c>
      <c r="M11" s="142" t="s">
        <v>239</v>
      </c>
      <c r="N11" s="162" t="s">
        <v>239</v>
      </c>
      <c r="O11" s="163" t="s">
        <v>239</v>
      </c>
      <c r="P11" s="163" t="s">
        <v>239</v>
      </c>
      <c r="Q11" s="143">
        <v>0</v>
      </c>
      <c r="R11" s="142" t="s">
        <v>239</v>
      </c>
      <c r="S11" s="142">
        <v>0</v>
      </c>
      <c r="T11" s="142">
        <v>0</v>
      </c>
    </row>
    <row r="12" spans="1:20" s="139" customFormat="1" x14ac:dyDescent="0.2">
      <c r="A12" s="114" t="s">
        <v>139</v>
      </c>
      <c r="B12" s="142" t="s">
        <v>239</v>
      </c>
      <c r="C12" s="145" t="s">
        <v>239</v>
      </c>
      <c r="D12" s="145" t="s">
        <v>239</v>
      </c>
      <c r="E12" s="145" t="s">
        <v>239</v>
      </c>
      <c r="F12" s="142" t="s">
        <v>239</v>
      </c>
      <c r="G12" s="142" t="s">
        <v>239</v>
      </c>
      <c r="H12" s="142" t="s">
        <v>239</v>
      </c>
      <c r="I12" s="142" t="s">
        <v>239</v>
      </c>
      <c r="J12" s="146" t="s">
        <v>239</v>
      </c>
      <c r="K12" s="142" t="s">
        <v>239</v>
      </c>
      <c r="L12" s="142" t="s">
        <v>239</v>
      </c>
      <c r="M12" s="142" t="s">
        <v>239</v>
      </c>
      <c r="N12" s="164" t="s">
        <v>239</v>
      </c>
      <c r="O12" s="165" t="s">
        <v>239</v>
      </c>
      <c r="P12" s="165" t="s">
        <v>239</v>
      </c>
      <c r="Q12" s="148">
        <v>0</v>
      </c>
      <c r="R12" s="145" t="s">
        <v>239</v>
      </c>
      <c r="S12" s="145">
        <v>0</v>
      </c>
      <c r="T12" s="142">
        <v>0</v>
      </c>
    </row>
    <row r="13" spans="1:20" s="139" customFormat="1" x14ac:dyDescent="0.2">
      <c r="A13" s="114" t="s">
        <v>140</v>
      </c>
      <c r="B13" s="142" t="s">
        <v>239</v>
      </c>
      <c r="C13" s="145" t="s">
        <v>239</v>
      </c>
      <c r="D13" s="145" t="s">
        <v>239</v>
      </c>
      <c r="E13" s="145" t="s">
        <v>239</v>
      </c>
      <c r="F13" s="142" t="s">
        <v>239</v>
      </c>
      <c r="G13" s="142" t="s">
        <v>239</v>
      </c>
      <c r="H13" s="142" t="s">
        <v>239</v>
      </c>
      <c r="I13" s="142" t="s">
        <v>239</v>
      </c>
      <c r="J13" s="146" t="s">
        <v>239</v>
      </c>
      <c r="K13" s="142" t="s">
        <v>239</v>
      </c>
      <c r="L13" s="142" t="s">
        <v>239</v>
      </c>
      <c r="M13" s="142" t="s">
        <v>239</v>
      </c>
      <c r="N13" s="164" t="s">
        <v>239</v>
      </c>
      <c r="O13" s="165" t="s">
        <v>239</v>
      </c>
      <c r="P13" s="165" t="s">
        <v>239</v>
      </c>
      <c r="Q13" s="148">
        <v>0</v>
      </c>
      <c r="R13" s="145" t="s">
        <v>239</v>
      </c>
      <c r="S13" s="145">
        <v>0</v>
      </c>
      <c r="T13" s="142">
        <v>0</v>
      </c>
    </row>
    <row r="14" spans="1:20" s="139" customFormat="1" x14ac:dyDescent="0.2">
      <c r="A14" s="114" t="s">
        <v>374</v>
      </c>
      <c r="B14" s="142" t="s">
        <v>239</v>
      </c>
      <c r="C14" s="145" t="s">
        <v>239</v>
      </c>
      <c r="D14" s="145" t="s">
        <v>239</v>
      </c>
      <c r="E14" s="145" t="s">
        <v>239</v>
      </c>
      <c r="F14" s="142" t="s">
        <v>239</v>
      </c>
      <c r="G14" s="142" t="s">
        <v>239</v>
      </c>
      <c r="H14" s="142" t="s">
        <v>239</v>
      </c>
      <c r="I14" s="142" t="s">
        <v>239</v>
      </c>
      <c r="J14" s="146" t="s">
        <v>239</v>
      </c>
      <c r="K14" s="142" t="s">
        <v>239</v>
      </c>
      <c r="L14" s="142" t="s">
        <v>239</v>
      </c>
      <c r="M14" s="142" t="s">
        <v>239</v>
      </c>
      <c r="N14" s="164" t="s">
        <v>239</v>
      </c>
      <c r="O14" s="165" t="s">
        <v>239</v>
      </c>
      <c r="P14" s="165" t="s">
        <v>239</v>
      </c>
      <c r="Q14" s="148">
        <v>0</v>
      </c>
      <c r="R14" s="145" t="s">
        <v>239</v>
      </c>
      <c r="S14" s="145">
        <v>0</v>
      </c>
      <c r="T14" s="142">
        <v>0</v>
      </c>
    </row>
    <row r="15" spans="1:20" s="139" customFormat="1" x14ac:dyDescent="0.2">
      <c r="A15" s="114" t="s">
        <v>375</v>
      </c>
      <c r="B15" s="142" t="s">
        <v>239</v>
      </c>
      <c r="C15" s="145" t="s">
        <v>239</v>
      </c>
      <c r="D15" s="145" t="s">
        <v>239</v>
      </c>
      <c r="E15" s="145" t="s">
        <v>239</v>
      </c>
      <c r="F15" s="142" t="s">
        <v>239</v>
      </c>
      <c r="G15" s="142" t="s">
        <v>239</v>
      </c>
      <c r="H15" s="142" t="s">
        <v>239</v>
      </c>
      <c r="I15" s="142" t="s">
        <v>239</v>
      </c>
      <c r="J15" s="146" t="s">
        <v>239</v>
      </c>
      <c r="K15" s="142" t="s">
        <v>239</v>
      </c>
      <c r="L15" s="142" t="s">
        <v>239</v>
      </c>
      <c r="M15" s="142" t="s">
        <v>239</v>
      </c>
      <c r="N15" s="164" t="s">
        <v>239</v>
      </c>
      <c r="O15" s="165" t="s">
        <v>239</v>
      </c>
      <c r="P15" s="165" t="s">
        <v>239</v>
      </c>
      <c r="Q15" s="148">
        <v>0</v>
      </c>
      <c r="R15" s="145" t="s">
        <v>239</v>
      </c>
      <c r="S15" s="145">
        <v>0</v>
      </c>
      <c r="T15" s="142">
        <v>0</v>
      </c>
    </row>
    <row r="16" spans="1:20" s="139" customFormat="1" x14ac:dyDescent="0.2">
      <c r="A16" s="114" t="s">
        <v>144</v>
      </c>
      <c r="B16" s="142" t="s">
        <v>239</v>
      </c>
      <c r="C16" s="145" t="s">
        <v>239</v>
      </c>
      <c r="D16" s="145" t="s">
        <v>239</v>
      </c>
      <c r="E16" s="145" t="s">
        <v>239</v>
      </c>
      <c r="F16" s="142" t="s">
        <v>239</v>
      </c>
      <c r="G16" s="142" t="s">
        <v>239</v>
      </c>
      <c r="H16" s="142" t="s">
        <v>239</v>
      </c>
      <c r="I16" s="142" t="s">
        <v>239</v>
      </c>
      <c r="J16" s="146" t="s">
        <v>239</v>
      </c>
      <c r="K16" s="142" t="s">
        <v>239</v>
      </c>
      <c r="L16" s="142" t="s">
        <v>239</v>
      </c>
      <c r="M16" s="142" t="s">
        <v>239</v>
      </c>
      <c r="N16" s="164" t="s">
        <v>239</v>
      </c>
      <c r="O16" s="165" t="s">
        <v>239</v>
      </c>
      <c r="P16" s="165" t="s">
        <v>239</v>
      </c>
      <c r="Q16" s="148">
        <v>0</v>
      </c>
      <c r="R16" s="145" t="s">
        <v>239</v>
      </c>
      <c r="S16" s="145">
        <v>0</v>
      </c>
      <c r="T16" s="142">
        <v>0</v>
      </c>
    </row>
    <row r="17" spans="1:20" s="139" customFormat="1" x14ac:dyDescent="0.2">
      <c r="A17" s="203" t="s">
        <v>145</v>
      </c>
      <c r="B17" s="204" t="s">
        <v>239</v>
      </c>
      <c r="C17" s="209" t="s">
        <v>239</v>
      </c>
      <c r="D17" s="209" t="s">
        <v>239</v>
      </c>
      <c r="E17" s="209" t="s">
        <v>239</v>
      </c>
      <c r="F17" s="204" t="s">
        <v>239</v>
      </c>
      <c r="G17" s="204" t="s">
        <v>239</v>
      </c>
      <c r="H17" s="204" t="s">
        <v>239</v>
      </c>
      <c r="I17" s="204" t="s">
        <v>239</v>
      </c>
      <c r="J17" s="205" t="s">
        <v>239</v>
      </c>
      <c r="K17" s="204" t="s">
        <v>239</v>
      </c>
      <c r="L17" s="204" t="s">
        <v>239</v>
      </c>
      <c r="M17" s="204" t="s">
        <v>239</v>
      </c>
      <c r="N17" s="245" t="s">
        <v>239</v>
      </c>
      <c r="O17" s="246" t="s">
        <v>239</v>
      </c>
      <c r="P17" s="246" t="s">
        <v>239</v>
      </c>
      <c r="Q17" s="208">
        <v>0</v>
      </c>
      <c r="R17" s="209" t="s">
        <v>239</v>
      </c>
      <c r="S17" s="209">
        <v>0</v>
      </c>
      <c r="T17" s="204">
        <v>0</v>
      </c>
    </row>
    <row r="18" spans="1:20" s="139" customFormat="1" x14ac:dyDescent="0.2">
      <c r="A18" s="99" t="s">
        <v>230</v>
      </c>
      <c r="B18" s="149"/>
      <c r="C18" s="149"/>
      <c r="D18" s="149"/>
      <c r="E18" s="149"/>
      <c r="F18" s="99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9" t="s">
        <v>231</v>
      </c>
      <c r="B19" s="149"/>
      <c r="C19" s="149"/>
      <c r="D19" s="149"/>
      <c r="E19" s="149"/>
      <c r="F19" s="99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9" t="s">
        <v>232</v>
      </c>
      <c r="B20" s="149"/>
      <c r="C20" s="149"/>
      <c r="D20" s="149"/>
      <c r="E20" s="149"/>
      <c r="F20" s="99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9" t="s">
        <v>233</v>
      </c>
      <c r="B21" s="149"/>
      <c r="C21" s="149"/>
      <c r="D21" s="149"/>
      <c r="E21" s="149"/>
      <c r="F21" s="99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9" t="s">
        <v>234</v>
      </c>
      <c r="B22" s="149"/>
      <c r="C22" s="149"/>
      <c r="D22" s="149"/>
      <c r="E22" s="149"/>
      <c r="F22" s="99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48" priority="104" stopIfTrue="1">
      <formula>LEFT(#REF!,3)="TIR"</formula>
    </cfRule>
  </conditionalFormatting>
  <conditionalFormatting sqref="L7">
    <cfRule type="expression" dxfId="147" priority="110" stopIfTrue="1">
      <formula>LEFT(#REF!,3)="TIR"</formula>
    </cfRule>
  </conditionalFormatting>
  <conditionalFormatting sqref="B10:I17 K10 J11:M17">
    <cfRule type="expression" dxfId="146" priority="111" stopIfTrue="1">
      <formula>LEFT(#REF!,3)="TIR"</formula>
    </cfRule>
  </conditionalFormatting>
  <conditionalFormatting sqref="A10:A17 Q10:Q17">
    <cfRule type="expression" dxfId="145" priority="114" stopIfTrue="1">
      <formula>#REF!&gt;0</formula>
    </cfRule>
    <cfRule type="expression" dxfId="144" priority="115" stopIfTrue="1">
      <formula>LEFT(#REF!,3)="TIR"</formula>
    </cfRule>
  </conditionalFormatting>
  <conditionalFormatting sqref="S10:T17">
    <cfRule type="expression" dxfId="143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"/>
  <sheetViews>
    <sheetView rightToLeft="1" zoomScale="80" zoomScaleNormal="80" workbookViewId="0">
      <selection activeCell="A7" sqref="A7:T29"/>
    </sheetView>
  </sheetViews>
  <sheetFormatPr defaultRowHeight="12.75" x14ac:dyDescent="0.2"/>
  <cols>
    <col min="1" max="1" width="38.42578125" style="26" bestFit="1" customWidth="1"/>
    <col min="2" max="2" width="13.855468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7.5703125" style="81" customWidth="1"/>
    <col min="8" max="8" width="11.140625" style="81" customWidth="1"/>
    <col min="9" max="9" width="14.140625" style="81" customWidth="1"/>
    <col min="10" max="10" width="7.85546875" style="54" customWidth="1"/>
    <col min="11" max="11" width="12" style="83" bestFit="1" customWidth="1"/>
    <col min="12" max="12" width="12.5703125" style="85" customWidth="1"/>
    <col min="13" max="13" width="14.140625" style="85" customWidth="1"/>
    <col min="14" max="14" width="10.85546875" style="85" bestFit="1" customWidth="1"/>
    <col min="15" max="15" width="8.85546875" style="83" bestFit="1" customWidth="1"/>
    <col min="16" max="16" width="16.5703125" style="83" bestFit="1" customWidth="1"/>
    <col min="17" max="17" width="10.42578125" style="83" customWidth="1"/>
    <col min="18" max="18" width="22.85546875" style="86" bestFit="1" customWidth="1"/>
    <col min="19" max="19" width="26.42578125" style="86" bestFit="1" customWidth="1"/>
    <col min="20" max="20" width="20.7109375" style="86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54"/>
      <c r="K1" s="83"/>
      <c r="L1" s="84"/>
      <c r="M1" s="84"/>
      <c r="N1" s="84"/>
      <c r="O1" s="83"/>
      <c r="P1" s="83"/>
      <c r="Q1" s="83"/>
      <c r="R1" s="86"/>
      <c r="S1" s="86"/>
      <c r="T1" s="61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54"/>
      <c r="K2" s="83"/>
      <c r="L2" s="84"/>
      <c r="M2" s="84"/>
      <c r="N2" s="84"/>
      <c r="O2" s="83"/>
      <c r="P2" s="83"/>
      <c r="Q2" s="83"/>
      <c r="R2" s="86"/>
      <c r="S2" s="86"/>
      <c r="T2" s="6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54"/>
      <c r="K3" s="83"/>
      <c r="L3" s="84"/>
      <c r="M3" s="84"/>
      <c r="N3" s="84"/>
      <c r="O3" s="83"/>
      <c r="P3" s="83"/>
      <c r="Q3" s="83"/>
      <c r="R3" s="86"/>
      <c r="S3" s="86"/>
      <c r="T3" s="6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54"/>
      <c r="K4" s="83"/>
      <c r="L4" s="84"/>
      <c r="M4" s="84"/>
      <c r="N4" s="84"/>
      <c r="O4" s="83"/>
      <c r="P4" s="83"/>
      <c r="Q4" s="83"/>
      <c r="R4" s="86"/>
      <c r="S4" s="86"/>
      <c r="T4" s="6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6"/>
      <c r="L8" s="71" t="s">
        <v>9</v>
      </c>
      <c r="M8" s="71" t="s">
        <v>9</v>
      </c>
      <c r="N8" s="15" t="s">
        <v>134</v>
      </c>
      <c r="O8" s="71"/>
      <c r="P8" s="15" t="s">
        <v>136</v>
      </c>
      <c r="Q8" s="15" t="s">
        <v>136</v>
      </c>
      <c r="R8" s="75" t="s">
        <v>9</v>
      </c>
      <c r="S8" s="75" t="s">
        <v>9</v>
      </c>
      <c r="T8" s="72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9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239</v>
      </c>
      <c r="Q10" s="128">
        <v>1929.9942705999999</v>
      </c>
      <c r="R10" s="88" t="s">
        <v>239</v>
      </c>
      <c r="S10" s="88">
        <v>1</v>
      </c>
      <c r="T10" s="103">
        <v>2.7102989276145257E-2</v>
      </c>
    </row>
    <row r="11" spans="1:20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2" t="s">
        <v>239</v>
      </c>
      <c r="J11" s="146" t="s">
        <v>239</v>
      </c>
      <c r="K11" s="146" t="s">
        <v>239</v>
      </c>
      <c r="L11" s="142" t="s">
        <v>239</v>
      </c>
      <c r="M11" s="142" t="s">
        <v>239</v>
      </c>
      <c r="N11" s="155" t="s">
        <v>239</v>
      </c>
      <c r="O11" s="146" t="s">
        <v>239</v>
      </c>
      <c r="P11" s="143" t="s">
        <v>239</v>
      </c>
      <c r="Q11" s="156">
        <v>1612.9640203999998</v>
      </c>
      <c r="R11" s="142" t="s">
        <v>239</v>
      </c>
      <c r="S11" s="142">
        <v>0.8357351340211796</v>
      </c>
      <c r="T11" s="142">
        <v>2.2650920375073852E-2</v>
      </c>
    </row>
    <row r="12" spans="1:20" s="139" customFormat="1" x14ac:dyDescent="0.2">
      <c r="A12" s="114" t="s">
        <v>139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2" t="s">
        <v>239</v>
      </c>
      <c r="J12" s="146" t="s">
        <v>239</v>
      </c>
      <c r="K12" s="146" t="s">
        <v>239</v>
      </c>
      <c r="L12" s="142" t="s">
        <v>239</v>
      </c>
      <c r="M12" s="142" t="s">
        <v>239</v>
      </c>
      <c r="N12" s="155" t="s">
        <v>239</v>
      </c>
      <c r="O12" s="147" t="s">
        <v>239</v>
      </c>
      <c r="P12" s="148" t="s">
        <v>239</v>
      </c>
      <c r="Q12" s="148">
        <v>1610.7876200999999</v>
      </c>
      <c r="R12" s="145" t="s">
        <v>239</v>
      </c>
      <c r="S12" s="145">
        <v>0.834607462124349</v>
      </c>
      <c r="T12" s="145">
        <v>2.2620357095747039E-2</v>
      </c>
    </row>
    <row r="13" spans="1:20" x14ac:dyDescent="0.2">
      <c r="A13" s="33" t="s">
        <v>376</v>
      </c>
      <c r="B13" s="50" t="s">
        <v>377</v>
      </c>
      <c r="C13" s="50" t="s">
        <v>284</v>
      </c>
      <c r="D13" s="50" t="s">
        <v>239</v>
      </c>
      <c r="E13" s="50" t="s">
        <v>378</v>
      </c>
      <c r="F13" s="50" t="s">
        <v>200</v>
      </c>
      <c r="G13" s="50" t="s">
        <v>243</v>
      </c>
      <c r="H13" s="50" t="s">
        <v>244</v>
      </c>
      <c r="I13" s="50" t="s">
        <v>379</v>
      </c>
      <c r="J13" s="87">
        <v>4.5</v>
      </c>
      <c r="K13" s="87" t="s">
        <v>245</v>
      </c>
      <c r="L13" s="50">
        <v>1.4999999999999999E-2</v>
      </c>
      <c r="M13" s="50">
        <v>-3.0999999999999999E-3</v>
      </c>
      <c r="N13" s="122">
        <v>138948.1</v>
      </c>
      <c r="O13" s="82">
        <v>109.77</v>
      </c>
      <c r="P13" s="106">
        <v>0</v>
      </c>
      <c r="Q13" s="106">
        <v>152.52332000000001</v>
      </c>
      <c r="R13" s="41">
        <v>2.9896167651566471E-4</v>
      </c>
      <c r="S13" s="41">
        <v>7.9027861545196865E-2</v>
      </c>
      <c r="T13" s="41">
        <v>2.1418912839761628E-3</v>
      </c>
    </row>
    <row r="14" spans="1:20" x14ac:dyDescent="0.2">
      <c r="A14" s="33" t="s">
        <v>380</v>
      </c>
      <c r="B14" s="50" t="s">
        <v>381</v>
      </c>
      <c r="C14" s="50" t="s">
        <v>284</v>
      </c>
      <c r="D14" s="50" t="s">
        <v>239</v>
      </c>
      <c r="E14" s="50" t="s">
        <v>382</v>
      </c>
      <c r="F14" s="50" t="s">
        <v>200</v>
      </c>
      <c r="G14" s="50" t="s">
        <v>383</v>
      </c>
      <c r="H14" s="50" t="s">
        <v>384</v>
      </c>
      <c r="I14" s="50" t="s">
        <v>385</v>
      </c>
      <c r="J14" s="87">
        <v>5.32</v>
      </c>
      <c r="K14" s="87" t="s">
        <v>245</v>
      </c>
      <c r="L14" s="50">
        <v>1.7500000000000002E-2</v>
      </c>
      <c r="M14" s="50">
        <v>-3.8E-3</v>
      </c>
      <c r="N14" s="122">
        <v>861548.08</v>
      </c>
      <c r="O14" s="82">
        <v>111.22000000000001</v>
      </c>
      <c r="P14" s="106">
        <v>0</v>
      </c>
      <c r="Q14" s="106">
        <v>958.21377000000007</v>
      </c>
      <c r="R14" s="41">
        <v>2.087627476980398E-4</v>
      </c>
      <c r="S14" s="41">
        <v>0.49648529251960366</v>
      </c>
      <c r="T14" s="41">
        <v>1.3456235558922659E-2</v>
      </c>
    </row>
    <row r="15" spans="1:20" x14ac:dyDescent="0.2">
      <c r="A15" s="33" t="s">
        <v>390</v>
      </c>
      <c r="B15" s="50" t="s">
        <v>391</v>
      </c>
      <c r="C15" s="50" t="s">
        <v>284</v>
      </c>
      <c r="D15" s="50" t="s">
        <v>239</v>
      </c>
      <c r="E15" s="50" t="s">
        <v>392</v>
      </c>
      <c r="F15" s="50" t="s">
        <v>200</v>
      </c>
      <c r="G15" s="50" t="s">
        <v>388</v>
      </c>
      <c r="H15" s="50" t="s">
        <v>244</v>
      </c>
      <c r="I15" s="50" t="s">
        <v>393</v>
      </c>
      <c r="J15" s="87">
        <v>0.22</v>
      </c>
      <c r="K15" s="87" t="s">
        <v>245</v>
      </c>
      <c r="L15" s="50">
        <v>4.2000000000000003E-2</v>
      </c>
      <c r="M15" s="50">
        <v>3.1200000000000002E-2</v>
      </c>
      <c r="N15" s="122">
        <v>1000</v>
      </c>
      <c r="O15" s="82">
        <v>123.07</v>
      </c>
      <c r="P15" s="106">
        <v>0</v>
      </c>
      <c r="Q15" s="106">
        <v>1.2307000000000001</v>
      </c>
      <c r="R15" s="41">
        <v>3.8339148104129126E-5</v>
      </c>
      <c r="S15" s="41">
        <v>6.3767028677105754E-4</v>
      </c>
      <c r="T15" s="41">
        <v>1.7282770944072445E-5</v>
      </c>
    </row>
    <row r="16" spans="1:20" x14ac:dyDescent="0.2">
      <c r="A16" s="33" t="s">
        <v>399</v>
      </c>
      <c r="B16" s="50" t="s">
        <v>400</v>
      </c>
      <c r="C16" s="50" t="s">
        <v>284</v>
      </c>
      <c r="D16" s="50" t="s">
        <v>239</v>
      </c>
      <c r="E16" s="50" t="s">
        <v>392</v>
      </c>
      <c r="F16" s="50" t="s">
        <v>200</v>
      </c>
      <c r="G16" s="50" t="s">
        <v>388</v>
      </c>
      <c r="H16" s="50" t="s">
        <v>244</v>
      </c>
      <c r="I16" s="50" t="s">
        <v>401</v>
      </c>
      <c r="J16" s="87">
        <v>7.0000000000000007E-2</v>
      </c>
      <c r="K16" s="87" t="s">
        <v>245</v>
      </c>
      <c r="L16" s="50">
        <v>3.1E-2</v>
      </c>
      <c r="M16" s="50">
        <v>4.24E-2</v>
      </c>
      <c r="N16" s="122">
        <v>5374</v>
      </c>
      <c r="O16" s="82">
        <v>108.85000000000001</v>
      </c>
      <c r="P16" s="106">
        <v>0</v>
      </c>
      <c r="Q16" s="106">
        <v>5.8495900000000001</v>
      </c>
      <c r="R16" s="41">
        <v>3.1241025617175937E-5</v>
      </c>
      <c r="S16" s="41">
        <v>3.0308846451556925E-3</v>
      </c>
      <c r="T16" s="41">
        <v>8.2146034034888049E-5</v>
      </c>
    </row>
    <row r="17" spans="1:20" x14ac:dyDescent="0.2">
      <c r="A17" s="33" t="s">
        <v>394</v>
      </c>
      <c r="B17" s="50" t="s">
        <v>395</v>
      </c>
      <c r="C17" s="50" t="s">
        <v>284</v>
      </c>
      <c r="D17" s="50" t="s">
        <v>239</v>
      </c>
      <c r="E17" s="50" t="s">
        <v>396</v>
      </c>
      <c r="F17" s="50" t="s">
        <v>200</v>
      </c>
      <c r="G17" s="50" t="s">
        <v>397</v>
      </c>
      <c r="H17" s="50" t="s">
        <v>384</v>
      </c>
      <c r="I17" s="50" t="s">
        <v>398</v>
      </c>
      <c r="J17" s="87">
        <v>0.93</v>
      </c>
      <c r="K17" s="87" t="s">
        <v>245</v>
      </c>
      <c r="L17" s="50">
        <v>3.85E-2</v>
      </c>
      <c r="M17" s="50">
        <v>2.9999999999999997E-4</v>
      </c>
      <c r="N17" s="122">
        <v>25000</v>
      </c>
      <c r="O17" s="82">
        <v>112.03</v>
      </c>
      <c r="P17" s="106">
        <v>0</v>
      </c>
      <c r="Q17" s="106">
        <v>28.0075</v>
      </c>
      <c r="R17" s="41">
        <v>1.1738935466376167E-4</v>
      </c>
      <c r="S17" s="41">
        <v>1.4511701110539038E-2</v>
      </c>
      <c r="T17" s="41">
        <v>3.9331047957756479E-4</v>
      </c>
    </row>
    <row r="18" spans="1:20" x14ac:dyDescent="0.2">
      <c r="A18" s="33" t="s">
        <v>386</v>
      </c>
      <c r="B18" s="50" t="s">
        <v>387</v>
      </c>
      <c r="C18" s="50" t="s">
        <v>284</v>
      </c>
      <c r="D18" s="50" t="s">
        <v>239</v>
      </c>
      <c r="E18" s="50" t="s">
        <v>382</v>
      </c>
      <c r="F18" s="50" t="s">
        <v>200</v>
      </c>
      <c r="G18" s="50" t="s">
        <v>388</v>
      </c>
      <c r="H18" s="50" t="s">
        <v>244</v>
      </c>
      <c r="I18" s="50" t="s">
        <v>389</v>
      </c>
      <c r="J18" s="87">
        <v>0.24</v>
      </c>
      <c r="K18" s="87" t="s">
        <v>245</v>
      </c>
      <c r="L18" s="50">
        <v>4.0999999999999995E-2</v>
      </c>
      <c r="M18" s="50">
        <v>3.1E-2</v>
      </c>
      <c r="N18" s="122">
        <v>52308.6</v>
      </c>
      <c r="O18" s="82">
        <v>125.4</v>
      </c>
      <c r="P18" s="106">
        <v>0</v>
      </c>
      <c r="Q18" s="106">
        <v>65.594979999999993</v>
      </c>
      <c r="R18" s="41">
        <v>6.7138794272552033E-5</v>
      </c>
      <c r="S18" s="41">
        <v>3.3987137163680653E-2</v>
      </c>
      <c r="T18" s="41">
        <v>9.2115301407411467E-4</v>
      </c>
    </row>
    <row r="19" spans="1:20" x14ac:dyDescent="0.2">
      <c r="A19" s="33" t="s">
        <v>411</v>
      </c>
      <c r="B19" s="50" t="s">
        <v>412</v>
      </c>
      <c r="C19" s="50" t="s">
        <v>284</v>
      </c>
      <c r="D19" s="50" t="s">
        <v>239</v>
      </c>
      <c r="E19" s="50" t="s">
        <v>382</v>
      </c>
      <c r="F19" s="50" t="s">
        <v>200</v>
      </c>
      <c r="G19" s="50" t="s">
        <v>413</v>
      </c>
      <c r="H19" s="50" t="s">
        <v>244</v>
      </c>
      <c r="I19" s="50" t="s">
        <v>414</v>
      </c>
      <c r="J19" s="87">
        <v>0.49</v>
      </c>
      <c r="K19" s="87" t="s">
        <v>245</v>
      </c>
      <c r="L19" s="50">
        <v>6.5000000000000002E-2</v>
      </c>
      <c r="M19" s="50">
        <v>1.52E-2</v>
      </c>
      <c r="N19" s="122">
        <v>35804.76</v>
      </c>
      <c r="O19" s="82">
        <v>112.49</v>
      </c>
      <c r="P19" s="106">
        <v>0.38708999999999999</v>
      </c>
      <c r="Q19" s="106">
        <v>40.66386</v>
      </c>
      <c r="R19" s="41">
        <v>3.4475554977829776E-5</v>
      </c>
      <c r="S19" s="41">
        <v>2.1069420059655591E-2</v>
      </c>
      <c r="T19" s="41">
        <v>5.710442659314452E-4</v>
      </c>
    </row>
    <row r="20" spans="1:20" x14ac:dyDescent="0.2">
      <c r="A20" s="33" t="s">
        <v>406</v>
      </c>
      <c r="B20" s="50" t="s">
        <v>407</v>
      </c>
      <c r="C20" s="50" t="s">
        <v>284</v>
      </c>
      <c r="D20" s="50" t="s">
        <v>239</v>
      </c>
      <c r="E20" s="50" t="s">
        <v>408</v>
      </c>
      <c r="F20" s="50" t="s">
        <v>200</v>
      </c>
      <c r="G20" s="50" t="s">
        <v>409</v>
      </c>
      <c r="H20" s="50" t="s">
        <v>244</v>
      </c>
      <c r="I20" s="50" t="s">
        <v>410</v>
      </c>
      <c r="J20" s="87">
        <v>0.99</v>
      </c>
      <c r="K20" s="87" t="s">
        <v>245</v>
      </c>
      <c r="L20" s="50">
        <v>4.4999999999999998E-2</v>
      </c>
      <c r="M20" s="50">
        <v>1.03E-2</v>
      </c>
      <c r="N20" s="122">
        <v>183837</v>
      </c>
      <c r="O20" s="82">
        <v>124.73</v>
      </c>
      <c r="P20" s="106">
        <v>2.49369</v>
      </c>
      <c r="Q20" s="106">
        <v>231.79357999999999</v>
      </c>
      <c r="R20" s="41">
        <v>1.080133346611795E-4</v>
      </c>
      <c r="S20" s="41">
        <v>0.12010065704906968</v>
      </c>
      <c r="T20" s="41">
        <v>3.2550868200589352E-3</v>
      </c>
    </row>
    <row r="21" spans="1:20" x14ac:dyDescent="0.2">
      <c r="A21" s="33" t="s">
        <v>402</v>
      </c>
      <c r="B21" s="50" t="s">
        <v>403</v>
      </c>
      <c r="C21" s="50" t="s">
        <v>284</v>
      </c>
      <c r="D21" s="50" t="s">
        <v>239</v>
      </c>
      <c r="E21" s="50" t="s">
        <v>396</v>
      </c>
      <c r="F21" s="50" t="s">
        <v>200</v>
      </c>
      <c r="G21" s="50" t="s">
        <v>404</v>
      </c>
      <c r="H21" s="50" t="s">
        <v>244</v>
      </c>
      <c r="I21" s="50" t="s">
        <v>405</v>
      </c>
      <c r="J21" s="87">
        <v>0.98</v>
      </c>
      <c r="K21" s="87" t="s">
        <v>245</v>
      </c>
      <c r="L21" s="50">
        <v>5.0999999999999997E-2</v>
      </c>
      <c r="M21" s="50">
        <v>1.3000000000000001E-2</v>
      </c>
      <c r="N21" s="122">
        <v>100000</v>
      </c>
      <c r="O21" s="82">
        <v>125.37</v>
      </c>
      <c r="P21" s="106">
        <v>1.5403199999999999</v>
      </c>
      <c r="Q21" s="106">
        <v>126.91032000000001</v>
      </c>
      <c r="R21" s="41">
        <v>8.7165537953287747E-5</v>
      </c>
      <c r="S21" s="41">
        <v>6.5756837692863154E-2</v>
      </c>
      <c r="T21" s="41">
        <v>1.7822068668228944E-3</v>
      </c>
    </row>
    <row r="22" spans="1:20" s="139" customFormat="1" x14ac:dyDescent="0.2">
      <c r="A22" s="114" t="s">
        <v>140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2" t="s">
        <v>239</v>
      </c>
      <c r="H22" s="142" t="s">
        <v>239</v>
      </c>
      <c r="I22" s="142" t="s">
        <v>239</v>
      </c>
      <c r="J22" s="146" t="s">
        <v>239</v>
      </c>
      <c r="K22" s="146" t="s">
        <v>239</v>
      </c>
      <c r="L22" s="142" t="s">
        <v>239</v>
      </c>
      <c r="M22" s="142" t="s">
        <v>239</v>
      </c>
      <c r="N22" s="155" t="s">
        <v>239</v>
      </c>
      <c r="O22" s="147" t="s">
        <v>239</v>
      </c>
      <c r="P22" s="148" t="s">
        <v>239</v>
      </c>
      <c r="Q22" s="148">
        <v>2.1764001000000004</v>
      </c>
      <c r="R22" s="145" t="s">
        <v>239</v>
      </c>
      <c r="S22" s="145">
        <v>1.127671793203509E-3</v>
      </c>
      <c r="T22" s="145">
        <v>3.0563276518206199E-5</v>
      </c>
    </row>
    <row r="23" spans="1:20" x14ac:dyDescent="0.2">
      <c r="A23" s="33" t="s">
        <v>415</v>
      </c>
      <c r="B23" s="50" t="s">
        <v>416</v>
      </c>
      <c r="C23" s="50" t="s">
        <v>284</v>
      </c>
      <c r="D23" s="50" t="s">
        <v>239</v>
      </c>
      <c r="E23" s="50" t="s">
        <v>417</v>
      </c>
      <c r="F23" s="50" t="s">
        <v>201</v>
      </c>
      <c r="G23" s="50" t="s">
        <v>409</v>
      </c>
      <c r="H23" s="50" t="s">
        <v>244</v>
      </c>
      <c r="I23" s="50" t="s">
        <v>418</v>
      </c>
      <c r="J23" s="87">
        <v>5.14</v>
      </c>
      <c r="K23" s="87" t="s">
        <v>245</v>
      </c>
      <c r="L23" s="50">
        <v>2.9100000000000001E-2</v>
      </c>
      <c r="M23" s="50">
        <v>1.2500000000000001E-2</v>
      </c>
      <c r="N23" s="122">
        <v>2000</v>
      </c>
      <c r="O23" s="82">
        <v>108.82000000000001</v>
      </c>
      <c r="P23" s="106">
        <v>0</v>
      </c>
      <c r="Q23" s="106">
        <v>2.1764000000000001</v>
      </c>
      <c r="R23" s="41">
        <v>3.3333333333333333E-6</v>
      </c>
      <c r="S23" s="41">
        <v>1.1276717413898835E-3</v>
      </c>
      <c r="T23" s="41">
        <v>3.0563275113902063E-5</v>
      </c>
    </row>
    <row r="24" spans="1:20" s="139" customFormat="1" x14ac:dyDescent="0.2">
      <c r="A24" s="114" t="s">
        <v>374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42" t="s">
        <v>239</v>
      </c>
      <c r="G24" s="142" t="s">
        <v>239</v>
      </c>
      <c r="H24" s="142" t="s">
        <v>239</v>
      </c>
      <c r="I24" s="142" t="s">
        <v>239</v>
      </c>
      <c r="J24" s="146" t="s">
        <v>239</v>
      </c>
      <c r="K24" s="146" t="s">
        <v>239</v>
      </c>
      <c r="L24" s="142" t="s">
        <v>239</v>
      </c>
      <c r="M24" s="142" t="s">
        <v>239</v>
      </c>
      <c r="N24" s="155" t="s">
        <v>239</v>
      </c>
      <c r="O24" s="147" t="s">
        <v>239</v>
      </c>
      <c r="P24" s="148" t="s">
        <v>239</v>
      </c>
      <c r="Q24" s="148">
        <v>0</v>
      </c>
      <c r="R24" s="145" t="s">
        <v>239</v>
      </c>
      <c r="S24" s="145">
        <v>0</v>
      </c>
      <c r="T24" s="145">
        <v>0</v>
      </c>
    </row>
    <row r="25" spans="1:20" s="139" customFormat="1" x14ac:dyDescent="0.2">
      <c r="A25" s="114" t="s">
        <v>419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2" t="s">
        <v>239</v>
      </c>
      <c r="H25" s="142" t="s">
        <v>239</v>
      </c>
      <c r="I25" s="142" t="s">
        <v>239</v>
      </c>
      <c r="J25" s="146" t="s">
        <v>239</v>
      </c>
      <c r="K25" s="146" t="s">
        <v>239</v>
      </c>
      <c r="L25" s="142" t="s">
        <v>239</v>
      </c>
      <c r="M25" s="142" t="s">
        <v>239</v>
      </c>
      <c r="N25" s="155" t="s">
        <v>239</v>
      </c>
      <c r="O25" s="147" t="s">
        <v>239</v>
      </c>
      <c r="P25" s="148" t="s">
        <v>239</v>
      </c>
      <c r="Q25" s="148">
        <v>0</v>
      </c>
      <c r="R25" s="145" t="s">
        <v>239</v>
      </c>
      <c r="S25" s="145">
        <v>0</v>
      </c>
      <c r="T25" s="145">
        <v>0</v>
      </c>
    </row>
    <row r="26" spans="1:20" s="139" customFormat="1" x14ac:dyDescent="0.2">
      <c r="A26" s="114" t="s">
        <v>363</v>
      </c>
      <c r="B26" s="142" t="s">
        <v>239</v>
      </c>
      <c r="C26" s="142" t="s">
        <v>239</v>
      </c>
      <c r="D26" s="142" t="s">
        <v>239</v>
      </c>
      <c r="E26" s="142" t="s">
        <v>239</v>
      </c>
      <c r="F26" s="142" t="s">
        <v>239</v>
      </c>
      <c r="G26" s="142" t="s">
        <v>239</v>
      </c>
      <c r="H26" s="142" t="s">
        <v>239</v>
      </c>
      <c r="I26" s="142" t="s">
        <v>239</v>
      </c>
      <c r="J26" s="146" t="s">
        <v>239</v>
      </c>
      <c r="K26" s="146" t="s">
        <v>239</v>
      </c>
      <c r="L26" s="142" t="s">
        <v>239</v>
      </c>
      <c r="M26" s="142" t="s">
        <v>239</v>
      </c>
      <c r="N26" s="155" t="s">
        <v>239</v>
      </c>
      <c r="O26" s="147" t="s">
        <v>239</v>
      </c>
      <c r="P26" s="148" t="s">
        <v>239</v>
      </c>
      <c r="Q26" s="148">
        <v>317.03025020000001</v>
      </c>
      <c r="R26" s="145" t="s">
        <v>239</v>
      </c>
      <c r="S26" s="145">
        <v>0.16426486597882028</v>
      </c>
      <c r="T26" s="145">
        <v>4.4520689010714041E-3</v>
      </c>
    </row>
    <row r="27" spans="1:20" s="139" customFormat="1" x14ac:dyDescent="0.2">
      <c r="A27" s="114" t="s">
        <v>144</v>
      </c>
      <c r="B27" s="142" t="s">
        <v>239</v>
      </c>
      <c r="C27" s="142" t="s">
        <v>239</v>
      </c>
      <c r="D27" s="142" t="s">
        <v>239</v>
      </c>
      <c r="E27" s="142" t="s">
        <v>239</v>
      </c>
      <c r="F27" s="142" t="s">
        <v>239</v>
      </c>
      <c r="G27" s="142" t="s">
        <v>239</v>
      </c>
      <c r="H27" s="142" t="s">
        <v>239</v>
      </c>
      <c r="I27" s="142" t="s">
        <v>239</v>
      </c>
      <c r="J27" s="146" t="s">
        <v>239</v>
      </c>
      <c r="K27" s="146" t="s">
        <v>239</v>
      </c>
      <c r="L27" s="142" t="s">
        <v>239</v>
      </c>
      <c r="M27" s="142" t="s">
        <v>239</v>
      </c>
      <c r="N27" s="155" t="s">
        <v>239</v>
      </c>
      <c r="O27" s="147" t="s">
        <v>239</v>
      </c>
      <c r="P27" s="148" t="s">
        <v>239</v>
      </c>
      <c r="Q27" s="148">
        <v>0</v>
      </c>
      <c r="R27" s="145" t="s">
        <v>239</v>
      </c>
      <c r="S27" s="145">
        <v>0</v>
      </c>
      <c r="T27" s="145">
        <v>0</v>
      </c>
    </row>
    <row r="28" spans="1:20" s="139" customFormat="1" x14ac:dyDescent="0.2">
      <c r="A28" s="114" t="s">
        <v>145</v>
      </c>
      <c r="B28" s="142" t="s">
        <v>239</v>
      </c>
      <c r="C28" s="142" t="s">
        <v>239</v>
      </c>
      <c r="D28" s="142" t="s">
        <v>239</v>
      </c>
      <c r="E28" s="142" t="s">
        <v>239</v>
      </c>
      <c r="F28" s="142" t="s">
        <v>239</v>
      </c>
      <c r="G28" s="142" t="s">
        <v>239</v>
      </c>
      <c r="H28" s="142" t="s">
        <v>239</v>
      </c>
      <c r="I28" s="142" t="s">
        <v>239</v>
      </c>
      <c r="J28" s="146" t="s">
        <v>239</v>
      </c>
      <c r="K28" s="146" t="s">
        <v>239</v>
      </c>
      <c r="L28" s="142" t="s">
        <v>239</v>
      </c>
      <c r="M28" s="142" t="s">
        <v>239</v>
      </c>
      <c r="N28" s="155" t="s">
        <v>239</v>
      </c>
      <c r="O28" s="147" t="s">
        <v>239</v>
      </c>
      <c r="P28" s="148" t="s">
        <v>239</v>
      </c>
      <c r="Q28" s="148">
        <v>317.03025009999999</v>
      </c>
      <c r="R28" s="145" t="s">
        <v>239</v>
      </c>
      <c r="S28" s="145">
        <v>0.16426486592700668</v>
      </c>
      <c r="T28" s="145">
        <v>4.4520688996670995E-3</v>
      </c>
    </row>
    <row r="29" spans="1:20" x14ac:dyDescent="0.2">
      <c r="A29" s="238" t="s">
        <v>420</v>
      </c>
      <c r="B29" s="239" t="s">
        <v>421</v>
      </c>
      <c r="C29" s="239" t="s">
        <v>422</v>
      </c>
      <c r="D29" s="239" t="s">
        <v>423</v>
      </c>
      <c r="E29" s="239" t="s">
        <v>239</v>
      </c>
      <c r="F29" s="239" t="s">
        <v>187</v>
      </c>
      <c r="G29" s="239" t="s">
        <v>424</v>
      </c>
      <c r="H29" s="239" t="s">
        <v>239</v>
      </c>
      <c r="I29" s="239" t="s">
        <v>425</v>
      </c>
      <c r="J29" s="240">
        <v>0</v>
      </c>
      <c r="K29" s="240" t="s">
        <v>126</v>
      </c>
      <c r="L29" s="239">
        <v>0</v>
      </c>
      <c r="M29" s="239">
        <v>0</v>
      </c>
      <c r="N29" s="247">
        <v>5749</v>
      </c>
      <c r="O29" s="241">
        <v>1715.25</v>
      </c>
      <c r="P29" s="244">
        <v>0</v>
      </c>
      <c r="Q29" s="244">
        <v>317.03025000000002</v>
      </c>
      <c r="R29" s="242">
        <v>5.6854974284126251E-5</v>
      </c>
      <c r="S29" s="242">
        <v>0.16426486587519304</v>
      </c>
      <c r="T29" s="242">
        <v>4.4520688982627957E-3</v>
      </c>
    </row>
    <row r="30" spans="1:20" s="139" customFormat="1" x14ac:dyDescent="0.2">
      <c r="A30" s="99" t="s">
        <v>230</v>
      </c>
      <c r="B30" s="149"/>
      <c r="C30" s="149"/>
      <c r="D30" s="149"/>
      <c r="E30" s="149"/>
      <c r="F30" s="149"/>
      <c r="G30" s="150"/>
      <c r="H30" s="150"/>
      <c r="I30" s="150"/>
      <c r="J30" s="151"/>
      <c r="K30" s="152"/>
      <c r="L30" s="153"/>
      <c r="M30" s="153"/>
      <c r="N30" s="153"/>
      <c r="O30" s="152"/>
      <c r="P30" s="152"/>
      <c r="Q30" s="152"/>
      <c r="R30" s="158"/>
      <c r="S30" s="158"/>
      <c r="T30" s="158"/>
    </row>
    <row r="31" spans="1:20" s="139" customFormat="1" x14ac:dyDescent="0.2">
      <c r="A31" s="99" t="s">
        <v>231</v>
      </c>
      <c r="B31" s="149"/>
      <c r="C31" s="149"/>
      <c r="D31" s="149"/>
      <c r="E31" s="149"/>
      <c r="F31" s="149"/>
      <c r="G31" s="150"/>
      <c r="H31" s="150"/>
      <c r="I31" s="150"/>
      <c r="J31" s="151"/>
      <c r="K31" s="152"/>
      <c r="L31" s="153"/>
      <c r="M31" s="153"/>
      <c r="N31" s="153"/>
      <c r="O31" s="152"/>
      <c r="P31" s="152"/>
      <c r="Q31" s="152"/>
      <c r="R31" s="158"/>
      <c r="S31" s="158"/>
      <c r="T31" s="158"/>
    </row>
    <row r="32" spans="1:20" s="139" customFormat="1" x14ac:dyDescent="0.2">
      <c r="A32" s="99" t="s">
        <v>232</v>
      </c>
      <c r="B32" s="149"/>
      <c r="C32" s="149"/>
      <c r="D32" s="149"/>
      <c r="E32" s="149"/>
      <c r="F32" s="149"/>
      <c r="G32" s="150"/>
      <c r="H32" s="150"/>
      <c r="I32" s="150"/>
      <c r="J32" s="151"/>
      <c r="K32" s="152"/>
      <c r="L32" s="153"/>
      <c r="M32" s="153"/>
      <c r="N32" s="153"/>
      <c r="O32" s="152"/>
      <c r="P32" s="152"/>
      <c r="Q32" s="152"/>
      <c r="R32" s="158"/>
      <c r="S32" s="158"/>
      <c r="T32" s="158"/>
    </row>
    <row r="33" spans="1:20" s="139" customFormat="1" x14ac:dyDescent="0.2">
      <c r="A33" s="99" t="s">
        <v>233</v>
      </c>
      <c r="B33" s="149"/>
      <c r="C33" s="149"/>
      <c r="D33" s="149"/>
      <c r="E33" s="149"/>
      <c r="F33" s="149"/>
      <c r="G33" s="150"/>
      <c r="H33" s="150"/>
      <c r="I33" s="150"/>
      <c r="J33" s="151"/>
      <c r="K33" s="152"/>
      <c r="L33" s="153"/>
      <c r="M33" s="153"/>
      <c r="N33" s="153"/>
      <c r="O33" s="152"/>
      <c r="P33" s="152"/>
      <c r="Q33" s="152"/>
      <c r="R33" s="158"/>
      <c r="S33" s="158"/>
      <c r="T33" s="158"/>
    </row>
    <row r="34" spans="1:20" s="139" customFormat="1" x14ac:dyDescent="0.2">
      <c r="A34" s="99" t="s">
        <v>234</v>
      </c>
      <c r="B34" s="149"/>
      <c r="C34" s="149"/>
      <c r="D34" s="149"/>
      <c r="E34" s="149"/>
      <c r="F34" s="149"/>
      <c r="G34" s="150"/>
      <c r="H34" s="150"/>
      <c r="I34" s="150"/>
      <c r="J34" s="151"/>
      <c r="K34" s="152"/>
      <c r="L34" s="153"/>
      <c r="M34" s="153"/>
      <c r="N34" s="153"/>
      <c r="O34" s="152"/>
      <c r="P34" s="152"/>
      <c r="Q34" s="152"/>
      <c r="R34" s="158"/>
      <c r="S34" s="158"/>
      <c r="T34" s="158"/>
    </row>
  </sheetData>
  <sortState ref="A13:Z21">
    <sortCondition ref="A13:A21" customList="א,ב,ג,ד,ה,ו,ז,ח,ט,י,כ,ל,מ,נ,ס,ע,פ,צ,ק,ר,ש,ת"/>
  </sortState>
  <mergeCells count="2">
    <mergeCell ref="A6:T6"/>
    <mergeCell ref="A5:T5"/>
  </mergeCells>
  <conditionalFormatting sqref="S11:T29">
    <cfRule type="expression" dxfId="142" priority="123" stopIfTrue="1">
      <formula>OR(LEFT(#REF!,3)="TIR",LEFT(#REF!,2)="IR")</formula>
    </cfRule>
  </conditionalFormatting>
  <conditionalFormatting sqref="A11:A29 P11:Q29">
    <cfRule type="expression" dxfId="141" priority="124" stopIfTrue="1">
      <formula>#REF!&gt;0</formula>
    </cfRule>
  </conditionalFormatting>
  <conditionalFormatting sqref="B11:M29">
    <cfRule type="expression" dxfId="140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6.5703125" style="81" bestFit="1" customWidth="1"/>
    <col min="11" max="11" width="10.42578125" style="54" customWidth="1"/>
    <col min="12" max="12" width="22.85546875" style="83" bestFit="1" customWidth="1"/>
    <col min="13" max="13" width="26.42578125" style="83" bestFit="1" customWidth="1"/>
    <col min="14" max="14" width="20.7109375" style="85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83"/>
      <c r="M1" s="83"/>
      <c r="N1" s="84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81"/>
      <c r="K2" s="54"/>
      <c r="L2" s="83"/>
      <c r="M2" s="83"/>
      <c r="N2" s="84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83"/>
      <c r="M3" s="83"/>
      <c r="N3" s="84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83"/>
      <c r="M4" s="83"/>
      <c r="N4" s="84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135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134</v>
      </c>
      <c r="I8" s="71"/>
      <c r="J8" s="15" t="s">
        <v>136</v>
      </c>
      <c r="K8" s="15" t="s">
        <v>136</v>
      </c>
      <c r="L8" s="71" t="s">
        <v>9</v>
      </c>
      <c r="M8" s="75" t="s">
        <v>9</v>
      </c>
      <c r="N8" s="72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5">
        <v>13</v>
      </c>
    </row>
    <row r="10" spans="1:19" s="139" customFormat="1" ht="12.75" customHeight="1" thickBot="1" x14ac:dyDescent="0.25">
      <c r="A10" s="169" t="s">
        <v>59</v>
      </c>
      <c r="B10" s="91" t="s">
        <v>239</v>
      </c>
      <c r="C10" s="91" t="s">
        <v>239</v>
      </c>
      <c r="D10" s="91" t="s">
        <v>239</v>
      </c>
      <c r="E10" s="91" t="s">
        <v>239</v>
      </c>
      <c r="F10" s="91" t="s">
        <v>239</v>
      </c>
      <c r="G10" s="170" t="s">
        <v>239</v>
      </c>
      <c r="H10" s="171" t="s">
        <v>239</v>
      </c>
      <c r="I10" s="170" t="s">
        <v>239</v>
      </c>
      <c r="J10" s="170" t="s">
        <v>239</v>
      </c>
      <c r="K10" s="172">
        <v>6.9999999999999997E-7</v>
      </c>
      <c r="L10" s="91" t="s">
        <v>239</v>
      </c>
      <c r="M10" s="91">
        <v>1</v>
      </c>
      <c r="N10" s="104">
        <v>0</v>
      </c>
    </row>
    <row r="11" spans="1:19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55" t="s">
        <v>239</v>
      </c>
      <c r="I11" s="146" t="s">
        <v>239</v>
      </c>
      <c r="J11" s="146" t="s">
        <v>239</v>
      </c>
      <c r="K11" s="143">
        <v>0</v>
      </c>
      <c r="L11" s="142" t="s">
        <v>239</v>
      </c>
      <c r="M11" s="142">
        <v>0</v>
      </c>
      <c r="N11" s="142">
        <v>0</v>
      </c>
    </row>
    <row r="12" spans="1:19" s="139" customFormat="1" x14ac:dyDescent="0.2">
      <c r="A12" s="114" t="s">
        <v>426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57" t="s">
        <v>239</v>
      </c>
      <c r="I12" s="146" t="s">
        <v>239</v>
      </c>
      <c r="J12" s="146" t="s">
        <v>239</v>
      </c>
      <c r="K12" s="148">
        <v>0</v>
      </c>
      <c r="L12" s="145" t="s">
        <v>239</v>
      </c>
      <c r="M12" s="142">
        <v>0</v>
      </c>
      <c r="N12" s="142">
        <v>0</v>
      </c>
    </row>
    <row r="13" spans="1:19" s="139" customFormat="1" x14ac:dyDescent="0.2">
      <c r="A13" s="114" t="s">
        <v>427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6" t="s">
        <v>239</v>
      </c>
      <c r="H13" s="157" t="s">
        <v>239</v>
      </c>
      <c r="I13" s="146" t="s">
        <v>239</v>
      </c>
      <c r="J13" s="157" t="s">
        <v>239</v>
      </c>
      <c r="K13" s="148">
        <v>0</v>
      </c>
      <c r="L13" s="145" t="s">
        <v>239</v>
      </c>
      <c r="M13" s="142">
        <v>0</v>
      </c>
      <c r="N13" s="142">
        <v>0</v>
      </c>
    </row>
    <row r="14" spans="1:19" s="139" customFormat="1" x14ac:dyDescent="0.2">
      <c r="A14" s="114" t="s">
        <v>428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6" t="s">
        <v>239</v>
      </c>
      <c r="H14" s="157" t="s">
        <v>239</v>
      </c>
      <c r="I14" s="146" t="s">
        <v>239</v>
      </c>
      <c r="J14" s="146" t="s">
        <v>239</v>
      </c>
      <c r="K14" s="148">
        <v>0</v>
      </c>
      <c r="L14" s="145" t="s">
        <v>239</v>
      </c>
      <c r="M14" s="142">
        <v>0</v>
      </c>
      <c r="N14" s="142">
        <v>0</v>
      </c>
    </row>
    <row r="15" spans="1:19" s="139" customFormat="1" x14ac:dyDescent="0.2">
      <c r="A15" s="114" t="s">
        <v>429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6" t="s">
        <v>239</v>
      </c>
      <c r="H15" s="157" t="s">
        <v>239</v>
      </c>
      <c r="I15" s="146" t="s">
        <v>239</v>
      </c>
      <c r="J15" s="146" t="s">
        <v>239</v>
      </c>
      <c r="K15" s="148">
        <v>0</v>
      </c>
      <c r="L15" s="145" t="s">
        <v>239</v>
      </c>
      <c r="M15" s="142">
        <v>0</v>
      </c>
      <c r="N15" s="142">
        <v>0</v>
      </c>
    </row>
    <row r="16" spans="1:19" s="139" customFormat="1" x14ac:dyDescent="0.2">
      <c r="A16" s="114" t="s">
        <v>430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6" t="s">
        <v>239</v>
      </c>
      <c r="H16" s="157" t="s">
        <v>239</v>
      </c>
      <c r="I16" s="146" t="s">
        <v>239</v>
      </c>
      <c r="J16" s="146" t="s">
        <v>239</v>
      </c>
      <c r="K16" s="148">
        <v>0</v>
      </c>
      <c r="L16" s="145" t="s">
        <v>239</v>
      </c>
      <c r="M16" s="142">
        <v>0</v>
      </c>
      <c r="N16" s="142">
        <v>0</v>
      </c>
    </row>
    <row r="17" spans="1:18" s="139" customFormat="1" x14ac:dyDescent="0.2">
      <c r="A17" s="114" t="s">
        <v>431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6" t="s">
        <v>239</v>
      </c>
      <c r="H17" s="157" t="s">
        <v>239</v>
      </c>
      <c r="I17" s="146" t="s">
        <v>239</v>
      </c>
      <c r="J17" s="146" t="s">
        <v>239</v>
      </c>
      <c r="K17" s="148">
        <v>0</v>
      </c>
      <c r="L17" s="145" t="s">
        <v>239</v>
      </c>
      <c r="M17" s="142">
        <v>0</v>
      </c>
      <c r="N17" s="142">
        <v>0</v>
      </c>
    </row>
    <row r="18" spans="1:18" s="139" customFormat="1" x14ac:dyDescent="0.2">
      <c r="A18" s="114" t="s">
        <v>363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6" t="s">
        <v>239</v>
      </c>
      <c r="H18" s="157" t="s">
        <v>239</v>
      </c>
      <c r="I18" s="146" t="s">
        <v>239</v>
      </c>
      <c r="J18" s="146" t="s">
        <v>239</v>
      </c>
      <c r="K18" s="148">
        <v>0</v>
      </c>
      <c r="L18" s="145" t="s">
        <v>239</v>
      </c>
      <c r="M18" s="142">
        <v>0</v>
      </c>
      <c r="N18" s="142">
        <v>0</v>
      </c>
    </row>
    <row r="19" spans="1:18" s="139" customFormat="1" x14ac:dyDescent="0.2">
      <c r="A19" s="114" t="s">
        <v>144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6" t="s">
        <v>239</v>
      </c>
      <c r="H19" s="157" t="s">
        <v>239</v>
      </c>
      <c r="I19" s="146" t="s">
        <v>239</v>
      </c>
      <c r="J19" s="146" t="s">
        <v>239</v>
      </c>
      <c r="K19" s="148">
        <v>0</v>
      </c>
      <c r="L19" s="145" t="s">
        <v>239</v>
      </c>
      <c r="M19" s="142">
        <v>0</v>
      </c>
      <c r="N19" s="142">
        <v>0</v>
      </c>
    </row>
    <row r="20" spans="1:18" s="139" customFormat="1" x14ac:dyDescent="0.2">
      <c r="A20" s="203" t="s">
        <v>145</v>
      </c>
      <c r="B20" s="204" t="s">
        <v>239</v>
      </c>
      <c r="C20" s="204" t="s">
        <v>239</v>
      </c>
      <c r="D20" s="204" t="s">
        <v>239</v>
      </c>
      <c r="E20" s="204" t="s">
        <v>239</v>
      </c>
      <c r="F20" s="204" t="s">
        <v>239</v>
      </c>
      <c r="G20" s="205" t="s">
        <v>239</v>
      </c>
      <c r="H20" s="248" t="s">
        <v>239</v>
      </c>
      <c r="I20" s="205" t="s">
        <v>239</v>
      </c>
      <c r="J20" s="205" t="s">
        <v>239</v>
      </c>
      <c r="K20" s="208">
        <v>0</v>
      </c>
      <c r="L20" s="209" t="s">
        <v>239</v>
      </c>
      <c r="M20" s="204">
        <v>0</v>
      </c>
      <c r="N20" s="204">
        <v>0</v>
      </c>
    </row>
    <row r="21" spans="1:18" s="139" customFormat="1" x14ac:dyDescent="0.2">
      <c r="A21" s="99" t="s">
        <v>230</v>
      </c>
      <c r="B21" s="149"/>
      <c r="C21" s="149"/>
      <c r="D21" s="149"/>
      <c r="E21" s="149"/>
      <c r="F21" s="149"/>
      <c r="G21" s="150"/>
      <c r="H21" s="150"/>
      <c r="I21" s="150"/>
      <c r="J21" s="150"/>
      <c r="K21" s="151"/>
      <c r="L21" s="152"/>
      <c r="M21" s="152"/>
      <c r="N21" s="153"/>
      <c r="O21" s="168"/>
      <c r="P21" s="168"/>
      <c r="Q21" s="154"/>
      <c r="R21" s="154"/>
    </row>
    <row r="22" spans="1:18" s="139" customFormat="1" x14ac:dyDescent="0.2">
      <c r="A22" s="99" t="s">
        <v>231</v>
      </c>
      <c r="B22" s="149"/>
      <c r="C22" s="149"/>
      <c r="D22" s="149"/>
      <c r="E22" s="149"/>
      <c r="F22" s="149"/>
      <c r="G22" s="150"/>
      <c r="H22" s="150"/>
      <c r="I22" s="150"/>
      <c r="J22" s="150"/>
      <c r="K22" s="151"/>
      <c r="L22" s="152"/>
      <c r="M22" s="152"/>
      <c r="N22" s="153"/>
      <c r="O22" s="168"/>
      <c r="P22" s="168"/>
      <c r="Q22" s="154"/>
      <c r="R22" s="154"/>
    </row>
    <row r="23" spans="1:18" s="139" customFormat="1" x14ac:dyDescent="0.2">
      <c r="A23" s="99" t="s">
        <v>232</v>
      </c>
      <c r="B23" s="149"/>
      <c r="C23" s="149"/>
      <c r="D23" s="149"/>
      <c r="E23" s="149"/>
      <c r="F23" s="149"/>
      <c r="G23" s="150"/>
      <c r="H23" s="150"/>
      <c r="I23" s="150"/>
      <c r="J23" s="150"/>
      <c r="K23" s="151"/>
      <c r="L23" s="152"/>
      <c r="M23" s="152"/>
      <c r="N23" s="153"/>
      <c r="O23" s="168"/>
      <c r="P23" s="168"/>
      <c r="Q23" s="154"/>
      <c r="R23" s="154"/>
    </row>
    <row r="24" spans="1:18" s="139" customFormat="1" x14ac:dyDescent="0.2">
      <c r="A24" s="99" t="s">
        <v>233</v>
      </c>
      <c r="B24" s="149"/>
      <c r="C24" s="149"/>
      <c r="D24" s="149"/>
      <c r="E24" s="149"/>
      <c r="F24" s="149"/>
      <c r="G24" s="150"/>
      <c r="H24" s="150"/>
      <c r="I24" s="150"/>
      <c r="J24" s="150"/>
      <c r="K24" s="151"/>
      <c r="L24" s="152"/>
      <c r="M24" s="152"/>
      <c r="N24" s="153"/>
      <c r="O24" s="168"/>
      <c r="P24" s="168"/>
      <c r="Q24" s="154"/>
      <c r="R24" s="154"/>
    </row>
    <row r="25" spans="1:18" s="139" customFormat="1" x14ac:dyDescent="0.2">
      <c r="A25" s="99" t="s">
        <v>234</v>
      </c>
      <c r="B25" s="149"/>
      <c r="C25" s="149"/>
      <c r="D25" s="149"/>
      <c r="E25" s="149"/>
      <c r="F25" s="149"/>
      <c r="G25" s="150"/>
      <c r="H25" s="150"/>
      <c r="I25" s="150"/>
      <c r="J25" s="150"/>
      <c r="K25" s="151"/>
      <c r="L25" s="152"/>
      <c r="M25" s="152"/>
      <c r="N25" s="153"/>
      <c r="O25" s="168"/>
      <c r="P25" s="168"/>
      <c r="Q25" s="154"/>
      <c r="R25" s="154"/>
    </row>
  </sheetData>
  <mergeCells count="2">
    <mergeCell ref="A6:N6"/>
    <mergeCell ref="A5:N5"/>
  </mergeCells>
  <conditionalFormatting sqref="B10:G20 M10:N20">
    <cfRule type="expression" dxfId="139" priority="134" stopIfTrue="1">
      <formula>LEFT(#REF!,3)="TIR"</formula>
    </cfRule>
  </conditionalFormatting>
  <conditionalFormatting sqref="L1:M4 H10:J20 L10:M55555">
    <cfRule type="expression" dxfId="138" priority="136" stopIfTrue="1">
      <formula>LEFT(#REF!,3)="TIR"</formula>
    </cfRule>
  </conditionalFormatting>
  <conditionalFormatting sqref="A10:A20 K10:K20">
    <cfRule type="expression" dxfId="137" priority="139" stopIfTrue="1">
      <formula>#REF!&gt;0</formula>
    </cfRule>
    <cfRule type="expression" dxfId="13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4"/>
  <sheetViews>
    <sheetView rightToLeft="1" topLeftCell="A7" zoomScale="80" zoomScaleNormal="80" workbookViewId="0">
      <selection activeCell="A7" sqref="A7:M79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.85546875" style="25" bestFit="1" customWidth="1"/>
    <col min="7" max="7" width="12.42578125" style="81" bestFit="1" customWidth="1"/>
    <col min="8" max="8" width="10.28515625" style="81" bestFit="1" customWidth="1"/>
    <col min="9" max="9" width="16.5703125" style="81" bestFit="1" customWidth="1"/>
    <col min="10" max="10" width="11.28515625" style="81" bestFit="1" customWidth="1"/>
    <col min="11" max="11" width="22.85546875" style="54" bestFit="1" customWidth="1"/>
    <col min="12" max="12" width="26.42578125" style="54" bestFit="1" customWidth="1"/>
    <col min="13" max="13" width="20.7109375" style="83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54"/>
      <c r="M1" s="83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1"/>
      <c r="H2" s="81"/>
      <c r="I2" s="81"/>
      <c r="J2" s="81"/>
      <c r="K2" s="54"/>
      <c r="L2" s="54"/>
      <c r="M2" s="83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54"/>
      <c r="M3" s="83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54"/>
      <c r="M4" s="83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08" t="s">
        <v>157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135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134</v>
      </c>
      <c r="H8" s="70"/>
      <c r="I8" s="15" t="s">
        <v>136</v>
      </c>
      <c r="J8" s="15" t="s">
        <v>136</v>
      </c>
      <c r="K8" s="70" t="s">
        <v>9</v>
      </c>
      <c r="L8" s="70" t="s">
        <v>9</v>
      </c>
      <c r="M8" s="76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5">
        <v>12</v>
      </c>
    </row>
    <row r="10" spans="1:19" s="139" customFormat="1" ht="12.75" customHeight="1" thickBot="1" x14ac:dyDescent="0.25">
      <c r="A10" s="169" t="s">
        <v>159</v>
      </c>
      <c r="B10" s="91"/>
      <c r="C10" s="91"/>
      <c r="D10" s="91"/>
      <c r="E10" s="91"/>
      <c r="F10" s="170"/>
      <c r="G10" s="171"/>
      <c r="H10" s="170"/>
      <c r="I10" s="172" t="s">
        <v>239</v>
      </c>
      <c r="J10" s="131">
        <v>47393.154410999989</v>
      </c>
      <c r="K10" s="91" t="s">
        <v>239</v>
      </c>
      <c r="L10" s="91">
        <v>1</v>
      </c>
      <c r="M10" s="104">
        <v>0.66554402535335122</v>
      </c>
    </row>
    <row r="11" spans="1:19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55" t="s">
        <v>239</v>
      </c>
      <c r="H11" s="146" t="s">
        <v>239</v>
      </c>
      <c r="I11" s="143" t="s">
        <v>239</v>
      </c>
      <c r="J11" s="173">
        <v>31395.836780599999</v>
      </c>
      <c r="K11" s="142" t="s">
        <v>239</v>
      </c>
      <c r="L11" s="142">
        <v>0.66245509864844532</v>
      </c>
      <c r="M11" s="142">
        <v>0.44089303297033766</v>
      </c>
    </row>
    <row r="12" spans="1:19" s="139" customFormat="1" x14ac:dyDescent="0.2">
      <c r="A12" s="114" t="s">
        <v>432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57" t="s">
        <v>239</v>
      </c>
      <c r="H12" s="146" t="s">
        <v>239</v>
      </c>
      <c r="I12" s="148" t="s">
        <v>239</v>
      </c>
      <c r="J12" s="148">
        <v>11298.307520099999</v>
      </c>
      <c r="K12" s="145" t="s">
        <v>239</v>
      </c>
      <c r="L12" s="142">
        <v>0.23839534760905581</v>
      </c>
      <c r="M12" s="142">
        <v>0.15866259927324242</v>
      </c>
    </row>
    <row r="13" spans="1:19" x14ac:dyDescent="0.2">
      <c r="A13" s="33" t="s">
        <v>437</v>
      </c>
      <c r="B13" s="50" t="s">
        <v>438</v>
      </c>
      <c r="C13" s="50" t="s">
        <v>284</v>
      </c>
      <c r="D13" s="50" t="s">
        <v>439</v>
      </c>
      <c r="E13" s="50" t="s">
        <v>436</v>
      </c>
      <c r="F13" s="50" t="s">
        <v>245</v>
      </c>
      <c r="G13" s="90">
        <v>141688</v>
      </c>
      <c r="H13" s="87">
        <v>1558</v>
      </c>
      <c r="I13" s="106">
        <v>0</v>
      </c>
      <c r="J13" s="106">
        <v>2207.4990400000002</v>
      </c>
      <c r="K13" s="41">
        <v>1.1008473202120176E-2</v>
      </c>
      <c r="L13" s="50">
        <v>4.6578436642057269E-2</v>
      </c>
      <c r="M13" s="50">
        <v>3.1000000217420831E-2</v>
      </c>
      <c r="N13" s="31"/>
      <c r="O13" s="31"/>
      <c r="P13" s="31"/>
      <c r="Q13" s="31"/>
      <c r="R13" s="31"/>
    </row>
    <row r="14" spans="1:19" x14ac:dyDescent="0.2">
      <c r="A14" s="33" t="s">
        <v>446</v>
      </c>
      <c r="B14" s="50" t="s">
        <v>447</v>
      </c>
      <c r="C14" s="50" t="s">
        <v>284</v>
      </c>
      <c r="D14" s="50" t="s">
        <v>448</v>
      </c>
      <c r="E14" s="50" t="s">
        <v>436</v>
      </c>
      <c r="F14" s="50" t="s">
        <v>245</v>
      </c>
      <c r="G14" s="90">
        <v>6384</v>
      </c>
      <c r="H14" s="87">
        <v>2436</v>
      </c>
      <c r="I14" s="106">
        <v>0</v>
      </c>
      <c r="J14" s="106">
        <v>155.51424</v>
      </c>
      <c r="K14" s="41">
        <v>2.0769073860018913E-3</v>
      </c>
      <c r="L14" s="50">
        <v>3.2813650395869197E-3</v>
      </c>
      <c r="M14" s="50">
        <v>2.1838928971004376E-3</v>
      </c>
      <c r="N14" s="31"/>
      <c r="O14" s="31"/>
      <c r="P14" s="31"/>
      <c r="Q14" s="31"/>
      <c r="R14" s="31"/>
    </row>
    <row r="15" spans="1:19" x14ac:dyDescent="0.2">
      <c r="A15" s="33" t="s">
        <v>433</v>
      </c>
      <c r="B15" s="50" t="s">
        <v>434</v>
      </c>
      <c r="C15" s="50" t="s">
        <v>284</v>
      </c>
      <c r="D15" s="50" t="s">
        <v>435</v>
      </c>
      <c r="E15" s="50" t="s">
        <v>436</v>
      </c>
      <c r="F15" s="50" t="s">
        <v>245</v>
      </c>
      <c r="G15" s="90">
        <v>183749</v>
      </c>
      <c r="H15" s="87">
        <v>1552</v>
      </c>
      <c r="I15" s="106">
        <v>0</v>
      </c>
      <c r="J15" s="106">
        <v>2851.7844799999998</v>
      </c>
      <c r="K15" s="41">
        <v>2.0054082471348701E-2</v>
      </c>
      <c r="L15" s="50">
        <v>6.017291981177135E-2</v>
      </c>
      <c r="M15" s="50">
        <v>4.0047727268790717E-2</v>
      </c>
      <c r="N15" s="31"/>
      <c r="O15" s="31"/>
      <c r="P15" s="31"/>
      <c r="Q15" s="31"/>
      <c r="R15" s="31"/>
    </row>
    <row r="16" spans="1:19" x14ac:dyDescent="0.2">
      <c r="A16" s="33" t="s">
        <v>440</v>
      </c>
      <c r="B16" s="50" t="s">
        <v>441</v>
      </c>
      <c r="C16" s="50" t="s">
        <v>284</v>
      </c>
      <c r="D16" s="50" t="s">
        <v>442</v>
      </c>
      <c r="E16" s="50" t="s">
        <v>436</v>
      </c>
      <c r="F16" s="50" t="s">
        <v>245</v>
      </c>
      <c r="G16" s="90">
        <v>19935</v>
      </c>
      <c r="H16" s="87">
        <v>15480.000000000002</v>
      </c>
      <c r="I16" s="106">
        <v>0</v>
      </c>
      <c r="J16" s="106">
        <v>3085.9380000000001</v>
      </c>
      <c r="K16" s="41">
        <v>1.2913527624649389E-2</v>
      </c>
      <c r="L16" s="50">
        <v>6.5113581029832251E-2</v>
      </c>
      <c r="M16" s="50">
        <v>4.3335954823766176E-2</v>
      </c>
      <c r="N16" s="31"/>
      <c r="O16" s="31"/>
      <c r="P16" s="31"/>
      <c r="Q16" s="31"/>
      <c r="R16" s="31"/>
    </row>
    <row r="17" spans="1:18" x14ac:dyDescent="0.2">
      <c r="A17" s="33" t="s">
        <v>443</v>
      </c>
      <c r="B17" s="50" t="s">
        <v>444</v>
      </c>
      <c r="C17" s="50" t="s">
        <v>284</v>
      </c>
      <c r="D17" s="50" t="s">
        <v>445</v>
      </c>
      <c r="E17" s="50" t="s">
        <v>436</v>
      </c>
      <c r="F17" s="50" t="s">
        <v>245</v>
      </c>
      <c r="G17" s="90">
        <v>192646</v>
      </c>
      <c r="H17" s="87">
        <v>1556</v>
      </c>
      <c r="I17" s="106">
        <v>0</v>
      </c>
      <c r="J17" s="106">
        <v>2997.5717599999998</v>
      </c>
      <c r="K17" s="41">
        <v>1.1019102538524474E-2</v>
      </c>
      <c r="L17" s="50">
        <v>6.3249045083698011E-2</v>
      </c>
      <c r="M17" s="50">
        <v>4.209502406475997E-2</v>
      </c>
      <c r="N17" s="31"/>
      <c r="O17" s="31"/>
      <c r="P17" s="31"/>
      <c r="Q17" s="31"/>
      <c r="R17" s="31"/>
    </row>
    <row r="18" spans="1:18" s="139" customFormat="1" x14ac:dyDescent="0.2">
      <c r="A18" s="114" t="s">
        <v>449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57" t="s">
        <v>239</v>
      </c>
      <c r="H18" s="146" t="s">
        <v>239</v>
      </c>
      <c r="I18" s="148" t="s">
        <v>239</v>
      </c>
      <c r="J18" s="148">
        <v>0</v>
      </c>
      <c r="K18" s="145" t="s">
        <v>239</v>
      </c>
      <c r="L18" s="142">
        <v>0</v>
      </c>
      <c r="M18" s="142">
        <v>0</v>
      </c>
    </row>
    <row r="19" spans="1:18" s="139" customFormat="1" x14ac:dyDescent="0.2">
      <c r="A19" s="114" t="s">
        <v>450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57" t="s">
        <v>239</v>
      </c>
      <c r="H19" s="146" t="s">
        <v>239</v>
      </c>
      <c r="I19" s="148" t="s">
        <v>239</v>
      </c>
      <c r="J19" s="148">
        <v>20097.5292601</v>
      </c>
      <c r="K19" s="145" t="s">
        <v>239</v>
      </c>
      <c r="L19" s="142">
        <v>0.42405975103094945</v>
      </c>
      <c r="M19" s="142">
        <v>0.28223043369147804</v>
      </c>
    </row>
    <row r="20" spans="1:18" x14ac:dyDescent="0.2">
      <c r="A20" s="33" t="s">
        <v>460</v>
      </c>
      <c r="B20" s="50" t="s">
        <v>461</v>
      </c>
      <c r="C20" s="50" t="s">
        <v>284</v>
      </c>
      <c r="D20" s="50" t="s">
        <v>439</v>
      </c>
      <c r="E20" s="50" t="s">
        <v>453</v>
      </c>
      <c r="F20" s="50" t="s">
        <v>245</v>
      </c>
      <c r="G20" s="90">
        <v>1490741</v>
      </c>
      <c r="H20" s="87">
        <v>354.1</v>
      </c>
      <c r="I20" s="106">
        <v>0</v>
      </c>
      <c r="J20" s="106">
        <v>5278.7138800000002</v>
      </c>
      <c r="K20" s="41">
        <v>1.4858087538350318E-2</v>
      </c>
      <c r="L20" s="50">
        <v>0.11138135761595995</v>
      </c>
      <c r="M20" s="50">
        <v>7.4129197097047142E-2</v>
      </c>
      <c r="N20" s="31"/>
      <c r="O20" s="31"/>
      <c r="P20" s="31"/>
      <c r="Q20" s="31"/>
      <c r="R20" s="31"/>
    </row>
    <row r="21" spans="1:18" x14ac:dyDescent="0.2">
      <c r="A21" s="33" t="s">
        <v>468</v>
      </c>
      <c r="B21" s="50" t="s">
        <v>469</v>
      </c>
      <c r="C21" s="50" t="s">
        <v>284</v>
      </c>
      <c r="D21" s="50" t="s">
        <v>439</v>
      </c>
      <c r="E21" s="50" t="s">
        <v>453</v>
      </c>
      <c r="F21" s="50" t="s">
        <v>245</v>
      </c>
      <c r="G21" s="90">
        <v>229145</v>
      </c>
      <c r="H21" s="87">
        <v>381.02</v>
      </c>
      <c r="I21" s="106">
        <v>0</v>
      </c>
      <c r="J21" s="106">
        <v>873.08826999999997</v>
      </c>
      <c r="K21" s="41">
        <v>1.0045575862981581E-2</v>
      </c>
      <c r="L21" s="50">
        <v>1.8422244327281061E-2</v>
      </c>
      <c r="M21" s="50">
        <v>1.2260814645621577E-2</v>
      </c>
      <c r="N21" s="31"/>
      <c r="O21" s="31"/>
      <c r="P21" s="31"/>
      <c r="Q21" s="31"/>
      <c r="R21" s="31"/>
    </row>
    <row r="22" spans="1:18" x14ac:dyDescent="0.2">
      <c r="A22" s="33" t="s">
        <v>451</v>
      </c>
      <c r="B22" s="50" t="s">
        <v>452</v>
      </c>
      <c r="C22" s="50" t="s">
        <v>284</v>
      </c>
      <c r="D22" s="50" t="s">
        <v>435</v>
      </c>
      <c r="E22" s="50" t="s">
        <v>453</v>
      </c>
      <c r="F22" s="50" t="s">
        <v>245</v>
      </c>
      <c r="G22" s="90">
        <v>1167946</v>
      </c>
      <c r="H22" s="87">
        <v>344.12</v>
      </c>
      <c r="I22" s="106">
        <v>0</v>
      </c>
      <c r="J22" s="106">
        <v>4019.1357699999999</v>
      </c>
      <c r="K22" s="41">
        <v>1.289419802599469E-2</v>
      </c>
      <c r="L22" s="50">
        <v>8.4804141440881914E-2</v>
      </c>
      <c r="M22" s="50">
        <v>5.6440889661199499E-2</v>
      </c>
      <c r="N22" s="31"/>
      <c r="O22" s="31"/>
      <c r="P22" s="31"/>
      <c r="Q22" s="31"/>
      <c r="R22" s="31"/>
    </row>
    <row r="23" spans="1:18" x14ac:dyDescent="0.2">
      <c r="A23" s="33" t="s">
        <v>464</v>
      </c>
      <c r="B23" s="50" t="s">
        <v>465</v>
      </c>
      <c r="C23" s="50" t="s">
        <v>284</v>
      </c>
      <c r="D23" s="50" t="s">
        <v>435</v>
      </c>
      <c r="E23" s="50" t="s">
        <v>453</v>
      </c>
      <c r="F23" s="50" t="s">
        <v>245</v>
      </c>
      <c r="G23" s="90">
        <v>347535</v>
      </c>
      <c r="H23" s="87">
        <v>377.62</v>
      </c>
      <c r="I23" s="106">
        <v>0</v>
      </c>
      <c r="J23" s="106">
        <v>1312.36166</v>
      </c>
      <c r="K23" s="41">
        <v>2.3005487729115721E-2</v>
      </c>
      <c r="L23" s="50">
        <v>2.7690954027221274E-2</v>
      </c>
      <c r="M23" s="50">
        <v>1.8429549009151443E-2</v>
      </c>
      <c r="N23" s="31"/>
      <c r="O23" s="31"/>
      <c r="P23" s="31"/>
      <c r="Q23" s="31"/>
      <c r="R23" s="31"/>
    </row>
    <row r="24" spans="1:18" x14ac:dyDescent="0.2">
      <c r="A24" s="33" t="s">
        <v>458</v>
      </c>
      <c r="B24" s="50" t="s">
        <v>459</v>
      </c>
      <c r="C24" s="50" t="s">
        <v>284</v>
      </c>
      <c r="D24" s="50" t="s">
        <v>442</v>
      </c>
      <c r="E24" s="50" t="s">
        <v>453</v>
      </c>
      <c r="F24" s="50" t="s">
        <v>245</v>
      </c>
      <c r="G24" s="90">
        <v>3269352</v>
      </c>
      <c r="H24" s="87">
        <v>105.14000000000001</v>
      </c>
      <c r="I24" s="106">
        <v>0</v>
      </c>
      <c r="J24" s="106">
        <v>3437.39669</v>
      </c>
      <c r="K24" s="41">
        <v>1.3147043471863856E-2</v>
      </c>
      <c r="L24" s="50">
        <v>7.2529392329331366E-2</v>
      </c>
      <c r="M24" s="50">
        <v>4.8271503727295682E-2</v>
      </c>
      <c r="N24" s="31"/>
      <c r="O24" s="31"/>
      <c r="P24" s="31"/>
      <c r="Q24" s="31"/>
      <c r="R24" s="31"/>
    </row>
    <row r="25" spans="1:18" x14ac:dyDescent="0.2">
      <c r="A25" s="33" t="s">
        <v>462</v>
      </c>
      <c r="B25" s="50" t="s">
        <v>463</v>
      </c>
      <c r="C25" s="50" t="s">
        <v>284</v>
      </c>
      <c r="D25" s="50" t="s">
        <v>442</v>
      </c>
      <c r="E25" s="50" t="s">
        <v>453</v>
      </c>
      <c r="F25" s="50" t="s">
        <v>245</v>
      </c>
      <c r="G25" s="90">
        <v>30028</v>
      </c>
      <c r="H25" s="87">
        <v>3795.1</v>
      </c>
      <c r="I25" s="106">
        <v>0</v>
      </c>
      <c r="J25" s="106">
        <v>1139.5926200000001</v>
      </c>
      <c r="K25" s="41">
        <v>1.7293877858964014E-2</v>
      </c>
      <c r="L25" s="50">
        <v>2.4045511090426588E-2</v>
      </c>
      <c r="M25" s="50">
        <v>1.6003346242801163E-2</v>
      </c>
      <c r="N25" s="31"/>
      <c r="O25" s="31"/>
      <c r="P25" s="31"/>
      <c r="Q25" s="31"/>
      <c r="R25" s="31"/>
    </row>
    <row r="26" spans="1:18" x14ac:dyDescent="0.2">
      <c r="A26" s="33" t="s">
        <v>454</v>
      </c>
      <c r="B26" s="50" t="s">
        <v>455</v>
      </c>
      <c r="C26" s="50" t="s">
        <v>284</v>
      </c>
      <c r="D26" s="50" t="s">
        <v>445</v>
      </c>
      <c r="E26" s="50" t="s">
        <v>453</v>
      </c>
      <c r="F26" s="50" t="s">
        <v>245</v>
      </c>
      <c r="G26" s="90">
        <v>46857</v>
      </c>
      <c r="H26" s="87">
        <v>3431.1</v>
      </c>
      <c r="I26" s="106">
        <v>0</v>
      </c>
      <c r="J26" s="106">
        <v>1607.7105200000001</v>
      </c>
      <c r="K26" s="41">
        <v>2.7017022505824946E-2</v>
      </c>
      <c r="L26" s="50">
        <v>3.3922842654821241E-2</v>
      </c>
      <c r="M26" s="50">
        <v>2.2577145251918097E-2</v>
      </c>
      <c r="N26" s="31"/>
      <c r="O26" s="31"/>
      <c r="P26" s="31"/>
      <c r="Q26" s="31"/>
      <c r="R26" s="31"/>
    </row>
    <row r="27" spans="1:18" x14ac:dyDescent="0.2">
      <c r="A27" s="33" t="s">
        <v>456</v>
      </c>
      <c r="B27" s="50" t="s">
        <v>457</v>
      </c>
      <c r="C27" s="50" t="s">
        <v>284</v>
      </c>
      <c r="D27" s="50" t="s">
        <v>445</v>
      </c>
      <c r="E27" s="50" t="s">
        <v>453</v>
      </c>
      <c r="F27" s="50" t="s">
        <v>245</v>
      </c>
      <c r="G27" s="90">
        <v>21488</v>
      </c>
      <c r="H27" s="87">
        <v>3493.6</v>
      </c>
      <c r="I27" s="106">
        <v>0</v>
      </c>
      <c r="J27" s="106">
        <v>750.70475999999996</v>
      </c>
      <c r="K27" s="41">
        <v>2.6482230975139635E-2</v>
      </c>
      <c r="L27" s="50">
        <v>1.583994079587496E-2</v>
      </c>
      <c r="M27" s="50">
        <v>1.0542177958645387E-2</v>
      </c>
      <c r="N27" s="31"/>
      <c r="O27" s="31"/>
      <c r="P27" s="31"/>
      <c r="Q27" s="31"/>
      <c r="R27" s="31"/>
    </row>
    <row r="28" spans="1:18" x14ac:dyDescent="0.2">
      <c r="A28" s="33" t="s">
        <v>466</v>
      </c>
      <c r="B28" s="50" t="s">
        <v>467</v>
      </c>
      <c r="C28" s="50" t="s">
        <v>284</v>
      </c>
      <c r="D28" s="50" t="s">
        <v>445</v>
      </c>
      <c r="E28" s="50" t="s">
        <v>453</v>
      </c>
      <c r="F28" s="50" t="s">
        <v>245</v>
      </c>
      <c r="G28" s="90">
        <v>439460</v>
      </c>
      <c r="H28" s="87">
        <v>382.02</v>
      </c>
      <c r="I28" s="106">
        <v>0</v>
      </c>
      <c r="J28" s="106">
        <v>1678.82509</v>
      </c>
      <c r="K28" s="41">
        <v>1.1739647079698007E-2</v>
      </c>
      <c r="L28" s="50">
        <v>3.5423366747041073E-2</v>
      </c>
      <c r="M28" s="50">
        <v>2.3575810096393764E-2</v>
      </c>
      <c r="N28" s="31"/>
      <c r="O28" s="31"/>
      <c r="P28" s="31"/>
      <c r="Q28" s="31"/>
      <c r="R28" s="31"/>
    </row>
    <row r="29" spans="1:18" s="139" customFormat="1" x14ac:dyDescent="0.2">
      <c r="A29" s="114" t="s">
        <v>470</v>
      </c>
      <c r="B29" s="142" t="s">
        <v>239</v>
      </c>
      <c r="C29" s="142" t="s">
        <v>239</v>
      </c>
      <c r="D29" s="142" t="s">
        <v>239</v>
      </c>
      <c r="E29" s="142" t="s">
        <v>239</v>
      </c>
      <c r="F29" s="142" t="s">
        <v>239</v>
      </c>
      <c r="G29" s="157" t="s">
        <v>239</v>
      </c>
      <c r="H29" s="146" t="s">
        <v>239</v>
      </c>
      <c r="I29" s="148" t="s">
        <v>239</v>
      </c>
      <c r="J29" s="148">
        <v>0</v>
      </c>
      <c r="K29" s="145" t="s">
        <v>239</v>
      </c>
      <c r="L29" s="142">
        <v>0</v>
      </c>
      <c r="M29" s="142">
        <v>0</v>
      </c>
    </row>
    <row r="30" spans="1:18" s="139" customFormat="1" x14ac:dyDescent="0.2">
      <c r="A30" s="114" t="s">
        <v>471</v>
      </c>
      <c r="B30" s="142" t="s">
        <v>239</v>
      </c>
      <c r="C30" s="142" t="s">
        <v>239</v>
      </c>
      <c r="D30" s="142" t="s">
        <v>239</v>
      </c>
      <c r="E30" s="142" t="s">
        <v>239</v>
      </c>
      <c r="F30" s="142" t="s">
        <v>239</v>
      </c>
      <c r="G30" s="157" t="s">
        <v>239</v>
      </c>
      <c r="H30" s="146" t="s">
        <v>239</v>
      </c>
      <c r="I30" s="148" t="s">
        <v>239</v>
      </c>
      <c r="J30" s="148">
        <v>0</v>
      </c>
      <c r="K30" s="145" t="s">
        <v>239</v>
      </c>
      <c r="L30" s="142">
        <v>0</v>
      </c>
      <c r="M30" s="142">
        <v>0</v>
      </c>
    </row>
    <row r="31" spans="1:18" s="139" customFormat="1" x14ac:dyDescent="0.2">
      <c r="A31" s="114" t="s">
        <v>142</v>
      </c>
      <c r="B31" s="142" t="s">
        <v>239</v>
      </c>
      <c r="C31" s="142" t="s">
        <v>239</v>
      </c>
      <c r="D31" s="142" t="s">
        <v>239</v>
      </c>
      <c r="E31" s="142" t="s">
        <v>239</v>
      </c>
      <c r="F31" s="142" t="s">
        <v>239</v>
      </c>
      <c r="G31" s="157" t="s">
        <v>239</v>
      </c>
      <c r="H31" s="146" t="s">
        <v>239</v>
      </c>
      <c r="I31" s="148" t="s">
        <v>239</v>
      </c>
      <c r="J31" s="148">
        <v>0</v>
      </c>
      <c r="K31" s="145" t="s">
        <v>239</v>
      </c>
      <c r="L31" s="142">
        <v>0</v>
      </c>
      <c r="M31" s="142">
        <v>0</v>
      </c>
    </row>
    <row r="32" spans="1:18" s="139" customFormat="1" x14ac:dyDescent="0.2">
      <c r="A32" s="114" t="s">
        <v>363</v>
      </c>
      <c r="B32" s="142" t="s">
        <v>239</v>
      </c>
      <c r="C32" s="142" t="s">
        <v>239</v>
      </c>
      <c r="D32" s="142" t="s">
        <v>239</v>
      </c>
      <c r="E32" s="142" t="s">
        <v>239</v>
      </c>
      <c r="F32" s="142" t="s">
        <v>239</v>
      </c>
      <c r="G32" s="157" t="s">
        <v>239</v>
      </c>
      <c r="H32" s="146" t="s">
        <v>239</v>
      </c>
      <c r="I32" s="148" t="s">
        <v>239</v>
      </c>
      <c r="J32" s="148">
        <v>15997.317630400004</v>
      </c>
      <c r="K32" s="145" t="s">
        <v>239</v>
      </c>
      <c r="L32" s="142">
        <v>0.33754490135155496</v>
      </c>
      <c r="M32" s="142">
        <v>0.22465099238301375</v>
      </c>
    </row>
    <row r="33" spans="1:18" s="139" customFormat="1" x14ac:dyDescent="0.2">
      <c r="A33" s="114" t="s">
        <v>472</v>
      </c>
      <c r="B33" s="142" t="s">
        <v>239</v>
      </c>
      <c r="C33" s="142" t="s">
        <v>239</v>
      </c>
      <c r="D33" s="142" t="s">
        <v>239</v>
      </c>
      <c r="E33" s="142" t="s">
        <v>239</v>
      </c>
      <c r="F33" s="142" t="s">
        <v>239</v>
      </c>
      <c r="G33" s="157" t="s">
        <v>239</v>
      </c>
      <c r="H33" s="146" t="s">
        <v>239</v>
      </c>
      <c r="I33" s="148" t="s">
        <v>239</v>
      </c>
      <c r="J33" s="148">
        <v>11468.917200099997</v>
      </c>
      <c r="K33" s="145" t="s">
        <v>239</v>
      </c>
      <c r="L33" s="142">
        <v>0.24199522784746422</v>
      </c>
      <c r="M33" s="142">
        <v>0.16105847805790274</v>
      </c>
    </row>
    <row r="34" spans="1:18" x14ac:dyDescent="0.2">
      <c r="A34" s="33" t="s">
        <v>493</v>
      </c>
      <c r="B34" s="50" t="s">
        <v>494</v>
      </c>
      <c r="C34" s="50" t="s">
        <v>495</v>
      </c>
      <c r="D34" s="50" t="s">
        <v>239</v>
      </c>
      <c r="E34" s="50" t="s">
        <v>476</v>
      </c>
      <c r="F34" s="50" t="s">
        <v>127</v>
      </c>
      <c r="G34" s="90">
        <v>45535</v>
      </c>
      <c r="H34" s="87">
        <v>483.22</v>
      </c>
      <c r="I34" s="106">
        <v>0</v>
      </c>
      <c r="J34" s="106">
        <v>867.83699000000001</v>
      </c>
      <c r="K34" s="41">
        <v>5.4914159340239255E-5</v>
      </c>
      <c r="L34" s="50">
        <v>1.8311441827104345E-2</v>
      </c>
      <c r="M34" s="50">
        <v>1.2187070703634751E-2</v>
      </c>
      <c r="N34" s="31"/>
      <c r="O34" s="31"/>
      <c r="P34" s="31"/>
      <c r="Q34" s="31"/>
      <c r="R34" s="31"/>
    </row>
    <row r="35" spans="1:18" x14ac:dyDescent="0.2">
      <c r="A35" s="33" t="s">
        <v>509</v>
      </c>
      <c r="B35" s="50" t="s">
        <v>510</v>
      </c>
      <c r="C35" s="50" t="s">
        <v>495</v>
      </c>
      <c r="D35" s="50" t="s">
        <v>239</v>
      </c>
      <c r="E35" s="50" t="s">
        <v>476</v>
      </c>
      <c r="F35" s="50" t="s">
        <v>126</v>
      </c>
      <c r="G35" s="90">
        <v>664</v>
      </c>
      <c r="H35" s="87">
        <v>4496.96</v>
      </c>
      <c r="I35" s="106">
        <v>0</v>
      </c>
      <c r="J35" s="106">
        <v>95.999300000000005</v>
      </c>
      <c r="K35" s="41">
        <v>8.0616158037390895E-6</v>
      </c>
      <c r="L35" s="50">
        <v>2.0255942275435139E-3</v>
      </c>
      <c r="M35" s="50">
        <v>1.3481221359318224E-3</v>
      </c>
      <c r="N35" s="31"/>
      <c r="O35" s="31"/>
      <c r="P35" s="31"/>
      <c r="Q35" s="31"/>
      <c r="R35" s="31"/>
    </row>
    <row r="36" spans="1:18" x14ac:dyDescent="0.2">
      <c r="A36" s="33" t="s">
        <v>498</v>
      </c>
      <c r="B36" s="50" t="s">
        <v>499</v>
      </c>
      <c r="C36" s="50" t="s">
        <v>475</v>
      </c>
      <c r="D36" s="50" t="s">
        <v>239</v>
      </c>
      <c r="E36" s="50" t="s">
        <v>476</v>
      </c>
      <c r="F36" s="50" t="s">
        <v>126</v>
      </c>
      <c r="G36" s="90">
        <v>1696</v>
      </c>
      <c r="H36" s="87">
        <v>2281.9900000000002</v>
      </c>
      <c r="I36" s="106">
        <v>0</v>
      </c>
      <c r="J36" s="106">
        <v>124.42869</v>
      </c>
      <c r="K36" s="41">
        <v>3.2379753413667962E-4</v>
      </c>
      <c r="L36" s="50">
        <v>2.6254570210907926E-3</v>
      </c>
      <c r="M36" s="50">
        <v>1.7473572342089846E-3</v>
      </c>
      <c r="N36" s="31"/>
      <c r="O36" s="31"/>
      <c r="P36" s="31"/>
      <c r="Q36" s="31"/>
      <c r="R36" s="31"/>
    </row>
    <row r="37" spans="1:18" x14ac:dyDescent="0.2">
      <c r="A37" s="33" t="s">
        <v>507</v>
      </c>
      <c r="B37" s="50" t="s">
        <v>508</v>
      </c>
      <c r="C37" s="50" t="s">
        <v>422</v>
      </c>
      <c r="D37" s="50" t="s">
        <v>239</v>
      </c>
      <c r="E37" s="50" t="s">
        <v>476</v>
      </c>
      <c r="F37" s="50" t="s">
        <v>126</v>
      </c>
      <c r="G37" s="90">
        <v>960</v>
      </c>
      <c r="H37" s="87">
        <v>4265</v>
      </c>
      <c r="I37" s="106">
        <v>0</v>
      </c>
      <c r="J37" s="106">
        <v>131.63495999999998</v>
      </c>
      <c r="K37" s="41">
        <v>5.8783403975472624E-5</v>
      </c>
      <c r="L37" s="50">
        <v>2.7775099934991328E-3</v>
      </c>
      <c r="M37" s="50">
        <v>1.8485551815325733E-3</v>
      </c>
      <c r="N37" s="31"/>
      <c r="O37" s="31"/>
      <c r="P37" s="31"/>
      <c r="Q37" s="31"/>
      <c r="R37" s="31"/>
    </row>
    <row r="38" spans="1:18" x14ac:dyDescent="0.2">
      <c r="A38" s="33" t="s">
        <v>477</v>
      </c>
      <c r="B38" s="50" t="s">
        <v>478</v>
      </c>
      <c r="C38" s="50" t="s">
        <v>422</v>
      </c>
      <c r="D38" s="50" t="s">
        <v>239</v>
      </c>
      <c r="E38" s="50" t="s">
        <v>476</v>
      </c>
      <c r="F38" s="50" t="s">
        <v>126</v>
      </c>
      <c r="G38" s="90">
        <v>412</v>
      </c>
      <c r="H38" s="87">
        <v>69431</v>
      </c>
      <c r="I38" s="106">
        <v>0</v>
      </c>
      <c r="J38" s="106">
        <v>919.66913</v>
      </c>
      <c r="K38" s="41">
        <v>2.6682658991732263E-5</v>
      </c>
      <c r="L38" s="50">
        <v>1.9405104839076592E-2</v>
      </c>
      <c r="M38" s="50">
        <v>1.2914951587002829E-2</v>
      </c>
      <c r="N38" s="31"/>
      <c r="O38" s="31"/>
      <c r="P38" s="31"/>
      <c r="Q38" s="31"/>
      <c r="R38" s="31"/>
    </row>
    <row r="39" spans="1:18" x14ac:dyDescent="0.2">
      <c r="A39" s="33" t="s">
        <v>491</v>
      </c>
      <c r="B39" s="50" t="s">
        <v>492</v>
      </c>
      <c r="C39" s="50" t="s">
        <v>422</v>
      </c>
      <c r="D39" s="50" t="s">
        <v>239</v>
      </c>
      <c r="E39" s="50" t="s">
        <v>476</v>
      </c>
      <c r="F39" s="50" t="s">
        <v>126</v>
      </c>
      <c r="G39" s="90">
        <v>2953</v>
      </c>
      <c r="H39" s="87">
        <v>5721.5</v>
      </c>
      <c r="I39" s="106">
        <v>0</v>
      </c>
      <c r="J39" s="106">
        <v>543.19319999999993</v>
      </c>
      <c r="K39" s="41">
        <v>2.714224512600004E-4</v>
      </c>
      <c r="L39" s="50">
        <v>1.1461427430834279E-2</v>
      </c>
      <c r="M39" s="50">
        <v>7.6280845486127657E-3</v>
      </c>
      <c r="N39" s="31"/>
      <c r="O39" s="31"/>
      <c r="P39" s="31"/>
      <c r="Q39" s="31"/>
      <c r="R39" s="31"/>
    </row>
    <row r="40" spans="1:18" x14ac:dyDescent="0.2">
      <c r="A40" s="33" t="s">
        <v>489</v>
      </c>
      <c r="B40" s="50" t="s">
        <v>490</v>
      </c>
      <c r="C40" s="50" t="s">
        <v>475</v>
      </c>
      <c r="D40" s="50" t="s">
        <v>239</v>
      </c>
      <c r="E40" s="50" t="s">
        <v>476</v>
      </c>
      <c r="F40" s="50" t="s">
        <v>126</v>
      </c>
      <c r="G40" s="90">
        <v>2126</v>
      </c>
      <c r="H40" s="87">
        <v>5167</v>
      </c>
      <c r="I40" s="106">
        <v>0</v>
      </c>
      <c r="J40" s="106">
        <v>353.16909999999996</v>
      </c>
      <c r="K40" s="41">
        <v>3.8879147888458847E-6</v>
      </c>
      <c r="L40" s="50">
        <v>7.451901110807453E-3</v>
      </c>
      <c r="M40" s="50">
        <v>4.959568261821902E-3</v>
      </c>
      <c r="N40" s="31"/>
      <c r="O40" s="31"/>
      <c r="P40" s="31"/>
      <c r="Q40" s="31"/>
      <c r="R40" s="31"/>
    </row>
    <row r="41" spans="1:18" x14ac:dyDescent="0.2">
      <c r="A41" s="33" t="s">
        <v>504</v>
      </c>
      <c r="B41" s="50" t="s">
        <v>505</v>
      </c>
      <c r="C41" s="50" t="s">
        <v>506</v>
      </c>
      <c r="D41" s="50" t="s">
        <v>239</v>
      </c>
      <c r="E41" s="50" t="s">
        <v>476</v>
      </c>
      <c r="F41" s="50" t="s">
        <v>126</v>
      </c>
      <c r="G41" s="90">
        <v>439</v>
      </c>
      <c r="H41" s="87">
        <v>4244</v>
      </c>
      <c r="I41" s="106">
        <v>0</v>
      </c>
      <c r="J41" s="106">
        <v>59.899169999999998</v>
      </c>
      <c r="K41" s="41">
        <v>2.7985039542095906E-5</v>
      </c>
      <c r="L41" s="50">
        <v>1.2638781010553995E-3</v>
      </c>
      <c r="M41" s="50">
        <v>8.4116651893236026E-4</v>
      </c>
      <c r="N41" s="31"/>
      <c r="O41" s="31"/>
      <c r="P41" s="31"/>
      <c r="Q41" s="31"/>
      <c r="R41" s="31"/>
    </row>
    <row r="42" spans="1:18" x14ac:dyDescent="0.2">
      <c r="A42" s="33" t="s">
        <v>500</v>
      </c>
      <c r="B42" s="50" t="s">
        <v>501</v>
      </c>
      <c r="C42" s="50" t="s">
        <v>495</v>
      </c>
      <c r="D42" s="50" t="s">
        <v>239</v>
      </c>
      <c r="E42" s="50" t="s">
        <v>476</v>
      </c>
      <c r="F42" s="50" t="s">
        <v>127</v>
      </c>
      <c r="G42" s="90">
        <v>688</v>
      </c>
      <c r="H42" s="87">
        <v>12862.2</v>
      </c>
      <c r="I42" s="106">
        <v>0</v>
      </c>
      <c r="J42" s="106">
        <v>349.02103999999997</v>
      </c>
      <c r="K42" s="41">
        <v>1.7648012443900868E-4</v>
      </c>
      <c r="L42" s="50">
        <v>7.3643766560301353E-3</v>
      </c>
      <c r="M42" s="50">
        <v>4.9013168838725482E-3</v>
      </c>
      <c r="N42" s="31"/>
      <c r="O42" s="31"/>
      <c r="P42" s="31"/>
      <c r="Q42" s="31"/>
      <c r="R42" s="31"/>
    </row>
    <row r="43" spans="1:18" x14ac:dyDescent="0.2">
      <c r="A43" s="33" t="s">
        <v>484</v>
      </c>
      <c r="B43" s="50" t="s">
        <v>485</v>
      </c>
      <c r="C43" s="50" t="s">
        <v>486</v>
      </c>
      <c r="D43" s="50" t="s">
        <v>239</v>
      </c>
      <c r="E43" s="50" t="s">
        <v>476</v>
      </c>
      <c r="F43" s="50" t="s">
        <v>265</v>
      </c>
      <c r="G43" s="90">
        <v>22023</v>
      </c>
      <c r="H43" s="87">
        <v>187500</v>
      </c>
      <c r="I43" s="106">
        <v>0</v>
      </c>
      <c r="J43" s="106">
        <v>1287.9738600000001</v>
      </c>
      <c r="K43" s="41">
        <v>2.8625686298976791E-6</v>
      </c>
      <c r="L43" s="50">
        <v>2.7176369161472407E-2</v>
      </c>
      <c r="M43" s="50">
        <v>1.8087070126215025E-2</v>
      </c>
      <c r="N43" s="31"/>
      <c r="O43" s="31"/>
      <c r="P43" s="31"/>
      <c r="Q43" s="31"/>
      <c r="R43" s="31"/>
    </row>
    <row r="44" spans="1:18" x14ac:dyDescent="0.2">
      <c r="A44" s="33" t="s">
        <v>473</v>
      </c>
      <c r="B44" s="50" t="s">
        <v>474</v>
      </c>
      <c r="C44" s="50" t="s">
        <v>475</v>
      </c>
      <c r="D44" s="50" t="s">
        <v>239</v>
      </c>
      <c r="E44" s="50" t="s">
        <v>476</v>
      </c>
      <c r="F44" s="50" t="s">
        <v>126</v>
      </c>
      <c r="G44" s="90">
        <v>4315</v>
      </c>
      <c r="H44" s="87">
        <v>34369</v>
      </c>
      <c r="I44" s="106">
        <v>0</v>
      </c>
      <c r="J44" s="106">
        <v>4767.9168499999996</v>
      </c>
      <c r="K44" s="41">
        <v>8.3795346533888417E-6</v>
      </c>
      <c r="L44" s="50">
        <v>0.10060349240845978</v>
      </c>
      <c r="M44" s="50">
        <v>6.6956053302131641E-2</v>
      </c>
      <c r="N44" s="31"/>
      <c r="O44" s="31"/>
      <c r="P44" s="31"/>
      <c r="Q44" s="31"/>
      <c r="R44" s="31"/>
    </row>
    <row r="45" spans="1:18" x14ac:dyDescent="0.2">
      <c r="A45" s="33" t="s">
        <v>487</v>
      </c>
      <c r="B45" s="50" t="s">
        <v>488</v>
      </c>
      <c r="C45" s="50" t="s">
        <v>422</v>
      </c>
      <c r="D45" s="50" t="s">
        <v>239</v>
      </c>
      <c r="E45" s="50" t="s">
        <v>476</v>
      </c>
      <c r="F45" s="50" t="s">
        <v>2</v>
      </c>
      <c r="G45" s="90">
        <v>2269</v>
      </c>
      <c r="H45" s="87">
        <v>3215</v>
      </c>
      <c r="I45" s="106">
        <v>1.1858499999999998</v>
      </c>
      <c r="J45" s="106">
        <v>321.5677</v>
      </c>
      <c r="K45" s="41">
        <v>2.9975365771461418E-5</v>
      </c>
      <c r="L45" s="50">
        <v>6.7851086089632364E-3</v>
      </c>
      <c r="M45" s="50">
        <v>4.5157884960690701E-3</v>
      </c>
      <c r="N45" s="31"/>
      <c r="O45" s="31"/>
      <c r="P45" s="31"/>
      <c r="Q45" s="31"/>
      <c r="R45" s="31"/>
    </row>
    <row r="46" spans="1:18" x14ac:dyDescent="0.2">
      <c r="A46" s="33" t="s">
        <v>496</v>
      </c>
      <c r="B46" s="50" t="s">
        <v>497</v>
      </c>
      <c r="C46" s="50" t="s">
        <v>475</v>
      </c>
      <c r="D46" s="50" t="s">
        <v>239</v>
      </c>
      <c r="E46" s="50" t="s">
        <v>476</v>
      </c>
      <c r="F46" s="50" t="s">
        <v>126</v>
      </c>
      <c r="G46" s="90">
        <v>1098</v>
      </c>
      <c r="H46" s="87">
        <v>3967</v>
      </c>
      <c r="I46" s="106">
        <v>0</v>
      </c>
      <c r="J46" s="106">
        <v>140.03787</v>
      </c>
      <c r="K46" s="41">
        <v>1.275347576642727E-5</v>
      </c>
      <c r="L46" s="50">
        <v>2.9548121820626712E-3</v>
      </c>
      <c r="M46" s="50">
        <v>1.9665575938131096E-3</v>
      </c>
      <c r="N46" s="31"/>
      <c r="O46" s="31"/>
      <c r="P46" s="31"/>
      <c r="Q46" s="31"/>
      <c r="R46" s="31"/>
    </row>
    <row r="47" spans="1:18" x14ac:dyDescent="0.2">
      <c r="A47" s="33" t="s">
        <v>479</v>
      </c>
      <c r="B47" s="50" t="s">
        <v>480</v>
      </c>
      <c r="C47" s="50" t="s">
        <v>422</v>
      </c>
      <c r="D47" s="50" t="s">
        <v>239</v>
      </c>
      <c r="E47" s="50" t="s">
        <v>476</v>
      </c>
      <c r="F47" s="50" t="s">
        <v>126</v>
      </c>
      <c r="G47" s="90">
        <v>2585</v>
      </c>
      <c r="H47" s="87">
        <v>7019</v>
      </c>
      <c r="I47" s="106">
        <v>0</v>
      </c>
      <c r="J47" s="106">
        <v>583.33329000000003</v>
      </c>
      <c r="K47" s="41">
        <v>2.5467987321218179E-5</v>
      </c>
      <c r="L47" s="50">
        <v>1.2308387091968031E-2</v>
      </c>
      <c r="M47" s="50">
        <v>8.1917734907956327E-3</v>
      </c>
      <c r="N47" s="31"/>
      <c r="O47" s="31"/>
      <c r="P47" s="31"/>
      <c r="Q47" s="31"/>
      <c r="R47" s="31"/>
    </row>
    <row r="48" spans="1:18" x14ac:dyDescent="0.2">
      <c r="A48" s="33" t="s">
        <v>481</v>
      </c>
      <c r="B48" s="50" t="s">
        <v>482</v>
      </c>
      <c r="C48" s="50" t="s">
        <v>483</v>
      </c>
      <c r="D48" s="50" t="s">
        <v>239</v>
      </c>
      <c r="E48" s="50" t="s">
        <v>476</v>
      </c>
      <c r="F48" s="50" t="s">
        <v>127</v>
      </c>
      <c r="G48" s="90">
        <v>675</v>
      </c>
      <c r="H48" s="87">
        <v>13176</v>
      </c>
      <c r="I48" s="106">
        <v>0</v>
      </c>
      <c r="J48" s="106">
        <v>350.78035999999997</v>
      </c>
      <c r="K48" s="41">
        <v>2.4111691355490702E-5</v>
      </c>
      <c r="L48" s="50">
        <v>7.4014984729225694E-3</v>
      </c>
      <c r="M48" s="50">
        <v>4.9260230873155696E-3</v>
      </c>
      <c r="N48" s="31"/>
      <c r="O48" s="31"/>
      <c r="P48" s="31"/>
      <c r="Q48" s="31"/>
      <c r="R48" s="31"/>
    </row>
    <row r="49" spans="1:18" x14ac:dyDescent="0.2">
      <c r="A49" s="33" t="s">
        <v>502</v>
      </c>
      <c r="B49" s="50" t="s">
        <v>503</v>
      </c>
      <c r="C49" s="50" t="s">
        <v>422</v>
      </c>
      <c r="D49" s="50" t="s">
        <v>239</v>
      </c>
      <c r="E49" s="50" t="s">
        <v>476</v>
      </c>
      <c r="F49" s="50" t="s">
        <v>126</v>
      </c>
      <c r="G49" s="90">
        <v>9532</v>
      </c>
      <c r="H49" s="87">
        <v>1868</v>
      </c>
      <c r="I49" s="106">
        <v>0</v>
      </c>
      <c r="J49" s="106">
        <v>572.45568999999989</v>
      </c>
      <c r="K49" s="41">
        <v>1.0019399815877236E-4</v>
      </c>
      <c r="L49" s="50">
        <v>1.2078868712463935E-2</v>
      </c>
      <c r="M49" s="50">
        <v>8.0390189046078975E-3</v>
      </c>
      <c r="N49" s="31"/>
      <c r="O49" s="31"/>
      <c r="P49" s="31"/>
      <c r="Q49" s="31"/>
      <c r="R49" s="31"/>
    </row>
    <row r="50" spans="1:18" s="139" customFormat="1" x14ac:dyDescent="0.2">
      <c r="A50" s="114" t="s">
        <v>511</v>
      </c>
      <c r="B50" s="142" t="s">
        <v>239</v>
      </c>
      <c r="C50" s="142" t="s">
        <v>239</v>
      </c>
      <c r="D50" s="142" t="s">
        <v>239</v>
      </c>
      <c r="E50" s="142" t="s">
        <v>239</v>
      </c>
      <c r="F50" s="142" t="s">
        <v>239</v>
      </c>
      <c r="G50" s="157" t="s">
        <v>239</v>
      </c>
      <c r="H50" s="146" t="s">
        <v>239</v>
      </c>
      <c r="I50" s="148" t="s">
        <v>239</v>
      </c>
      <c r="J50" s="148">
        <v>660.06826009999997</v>
      </c>
      <c r="K50" s="145" t="s">
        <v>239</v>
      </c>
      <c r="L50" s="142">
        <v>1.3927502153070393E-2</v>
      </c>
      <c r="M50" s="142">
        <v>9.2693658460719364E-3</v>
      </c>
    </row>
    <row r="51" spans="1:18" x14ac:dyDescent="0.2">
      <c r="A51" s="33" t="s">
        <v>512</v>
      </c>
      <c r="B51" s="50" t="s">
        <v>513</v>
      </c>
      <c r="C51" s="50" t="s">
        <v>422</v>
      </c>
      <c r="D51" s="50" t="s">
        <v>239</v>
      </c>
      <c r="E51" s="50" t="s">
        <v>187</v>
      </c>
      <c r="F51" s="50" t="s">
        <v>126</v>
      </c>
      <c r="G51" s="90">
        <v>315</v>
      </c>
      <c r="H51" s="87">
        <v>18345</v>
      </c>
      <c r="I51" s="106">
        <v>0</v>
      </c>
      <c r="J51" s="106">
        <v>185.78440000000001</v>
      </c>
      <c r="K51" s="41">
        <v>4.1279139632652346E-6</v>
      </c>
      <c r="L51" s="50">
        <v>3.9200682526605423E-3</v>
      </c>
      <c r="M51" s="50">
        <v>2.6089780045355756E-3</v>
      </c>
      <c r="N51" s="31"/>
      <c r="O51" s="31"/>
      <c r="P51" s="31"/>
      <c r="Q51" s="31"/>
      <c r="R51" s="31"/>
    </row>
    <row r="52" spans="1:18" x14ac:dyDescent="0.2">
      <c r="A52" s="33" t="s">
        <v>514</v>
      </c>
      <c r="B52" s="50" t="s">
        <v>515</v>
      </c>
      <c r="C52" s="50" t="s">
        <v>422</v>
      </c>
      <c r="D52" s="50" t="s">
        <v>239</v>
      </c>
      <c r="E52" s="50" t="s">
        <v>516</v>
      </c>
      <c r="F52" s="50" t="s">
        <v>126</v>
      </c>
      <c r="G52" s="90">
        <v>261</v>
      </c>
      <c r="H52" s="87">
        <v>10986</v>
      </c>
      <c r="I52" s="106">
        <v>0</v>
      </c>
      <c r="J52" s="106">
        <v>92.185169999999999</v>
      </c>
      <c r="K52" s="41">
        <v>1.0448170469306997E-4</v>
      </c>
      <c r="L52" s="50">
        <v>1.945115727063817E-3</v>
      </c>
      <c r="M52" s="50">
        <v>1.2945601507681633E-3</v>
      </c>
      <c r="N52" s="31"/>
      <c r="O52" s="31"/>
      <c r="P52" s="31"/>
      <c r="Q52" s="31"/>
      <c r="R52" s="31"/>
    </row>
    <row r="53" spans="1:18" x14ac:dyDescent="0.2">
      <c r="A53" s="33" t="s">
        <v>517</v>
      </c>
      <c r="B53" s="50" t="s">
        <v>518</v>
      </c>
      <c r="C53" s="50" t="s">
        <v>218</v>
      </c>
      <c r="D53" s="50" t="s">
        <v>239</v>
      </c>
      <c r="E53" s="50" t="s">
        <v>516</v>
      </c>
      <c r="F53" s="50" t="s">
        <v>126</v>
      </c>
      <c r="G53" s="90">
        <v>19902</v>
      </c>
      <c r="H53" s="87">
        <v>537</v>
      </c>
      <c r="I53" s="106">
        <v>0</v>
      </c>
      <c r="J53" s="106">
        <v>343.59906999999998</v>
      </c>
      <c r="K53" s="41">
        <v>1.6985916665996971E-5</v>
      </c>
      <c r="L53" s="50">
        <v>7.249972580855483E-3</v>
      </c>
      <c r="M53" s="50">
        <v>4.8251759351639828E-3</v>
      </c>
      <c r="N53" s="31"/>
      <c r="O53" s="31"/>
      <c r="P53" s="31"/>
      <c r="Q53" s="31"/>
      <c r="R53" s="31"/>
    </row>
    <row r="54" spans="1:18" x14ac:dyDescent="0.2">
      <c r="A54" s="33" t="s">
        <v>519</v>
      </c>
      <c r="B54" s="50" t="s">
        <v>520</v>
      </c>
      <c r="C54" s="50" t="s">
        <v>422</v>
      </c>
      <c r="D54" s="50" t="s">
        <v>239</v>
      </c>
      <c r="E54" s="50" t="s">
        <v>516</v>
      </c>
      <c r="F54" s="50" t="s">
        <v>126</v>
      </c>
      <c r="G54" s="90">
        <v>2000</v>
      </c>
      <c r="H54" s="87">
        <v>598.75</v>
      </c>
      <c r="I54" s="106">
        <v>0</v>
      </c>
      <c r="J54" s="106">
        <v>38.49962</v>
      </c>
      <c r="K54" s="41">
        <v>6.2422525842613586E-5</v>
      </c>
      <c r="L54" s="50">
        <v>8.1234559038054254E-4</v>
      </c>
      <c r="M54" s="50">
        <v>5.4065175419991092E-4</v>
      </c>
      <c r="N54" s="31"/>
      <c r="O54" s="31"/>
      <c r="P54" s="31"/>
      <c r="Q54" s="31"/>
      <c r="R54" s="31"/>
    </row>
    <row r="55" spans="1:18" s="139" customFormat="1" x14ac:dyDescent="0.2">
      <c r="A55" s="114" t="s">
        <v>142</v>
      </c>
      <c r="B55" s="142" t="s">
        <v>239</v>
      </c>
      <c r="C55" s="142" t="s">
        <v>239</v>
      </c>
      <c r="D55" s="142" t="s">
        <v>239</v>
      </c>
      <c r="E55" s="142" t="s">
        <v>239</v>
      </c>
      <c r="F55" s="142" t="s">
        <v>239</v>
      </c>
      <c r="G55" s="157" t="s">
        <v>239</v>
      </c>
      <c r="H55" s="146" t="s">
        <v>239</v>
      </c>
      <c r="I55" s="148" t="s">
        <v>239</v>
      </c>
      <c r="J55" s="148">
        <v>3868.3321700999995</v>
      </c>
      <c r="K55" s="145" t="s">
        <v>239</v>
      </c>
      <c r="L55" s="142">
        <v>8.1622171348910186E-2</v>
      </c>
      <c r="M55" s="142">
        <v>5.4323148477634656E-2</v>
      </c>
    </row>
    <row r="56" spans="1:18" x14ac:dyDescent="0.2">
      <c r="A56" s="33" t="s">
        <v>537</v>
      </c>
      <c r="B56" s="50" t="s">
        <v>538</v>
      </c>
      <c r="C56" s="50" t="s">
        <v>475</v>
      </c>
      <c r="D56" s="50" t="s">
        <v>239</v>
      </c>
      <c r="E56" s="50" t="s">
        <v>476</v>
      </c>
      <c r="F56" s="50" t="s">
        <v>126</v>
      </c>
      <c r="G56" s="90">
        <v>383</v>
      </c>
      <c r="H56" s="87">
        <v>11432</v>
      </c>
      <c r="I56" s="106">
        <v>0.75902000000000003</v>
      </c>
      <c r="J56" s="106">
        <v>141.52638000000002</v>
      </c>
      <c r="K56" s="41">
        <v>2.9988911932588059E-5</v>
      </c>
      <c r="L56" s="50">
        <v>2.9862198825734128E-3</v>
      </c>
      <c r="M56" s="50">
        <v>1.9874608012381213E-3</v>
      </c>
      <c r="N56" s="31"/>
      <c r="O56" s="31"/>
      <c r="P56" s="31"/>
      <c r="Q56" s="31"/>
      <c r="R56" s="31"/>
    </row>
    <row r="57" spans="1:18" x14ac:dyDescent="0.2">
      <c r="A57" s="33" t="s">
        <v>561</v>
      </c>
      <c r="B57" s="50" t="s">
        <v>562</v>
      </c>
      <c r="C57" s="50" t="s">
        <v>563</v>
      </c>
      <c r="D57" s="50" t="s">
        <v>239</v>
      </c>
      <c r="E57" s="50" t="s">
        <v>476</v>
      </c>
      <c r="F57" s="50" t="s">
        <v>65</v>
      </c>
      <c r="G57" s="90">
        <v>17510</v>
      </c>
      <c r="H57" s="87">
        <v>1755.9999999999998</v>
      </c>
      <c r="I57" s="106">
        <v>0</v>
      </c>
      <c r="J57" s="106">
        <v>127.51013</v>
      </c>
      <c r="K57" s="41">
        <v>8.017875934529002E-5</v>
      </c>
      <c r="L57" s="50">
        <v>2.6904756938990497E-3</v>
      </c>
      <c r="M57" s="50">
        <v>1.7906300234329245E-3</v>
      </c>
      <c r="N57" s="31"/>
      <c r="O57" s="31"/>
      <c r="P57" s="31"/>
      <c r="Q57" s="31"/>
      <c r="R57" s="31"/>
    </row>
    <row r="58" spans="1:18" x14ac:dyDescent="0.2">
      <c r="A58" s="33" t="s">
        <v>539</v>
      </c>
      <c r="B58" s="50" t="s">
        <v>540</v>
      </c>
      <c r="C58" s="50" t="s">
        <v>475</v>
      </c>
      <c r="D58" s="50" t="s">
        <v>239</v>
      </c>
      <c r="E58" s="50" t="s">
        <v>476</v>
      </c>
      <c r="F58" s="50" t="s">
        <v>126</v>
      </c>
      <c r="G58" s="90">
        <v>1747</v>
      </c>
      <c r="H58" s="87">
        <v>3360</v>
      </c>
      <c r="I58" s="106">
        <v>0</v>
      </c>
      <c r="J58" s="106">
        <v>188.71792000000002</v>
      </c>
      <c r="K58" s="41">
        <v>6.6397392995869376E-5</v>
      </c>
      <c r="L58" s="50">
        <v>3.9819657996049834E-3</v>
      </c>
      <c r="M58" s="50">
        <v>2.6501735470884765E-3</v>
      </c>
      <c r="N58" s="31"/>
      <c r="O58" s="31"/>
      <c r="P58" s="31"/>
      <c r="Q58" s="31"/>
      <c r="R58" s="31"/>
    </row>
    <row r="59" spans="1:18" x14ac:dyDescent="0.2">
      <c r="A59" s="33" t="s">
        <v>551</v>
      </c>
      <c r="B59" s="50" t="s">
        <v>552</v>
      </c>
      <c r="C59" s="50" t="s">
        <v>475</v>
      </c>
      <c r="D59" s="50" t="s">
        <v>239</v>
      </c>
      <c r="E59" s="50" t="s">
        <v>476</v>
      </c>
      <c r="F59" s="50" t="s">
        <v>126</v>
      </c>
      <c r="G59" s="90">
        <v>468</v>
      </c>
      <c r="H59" s="87">
        <v>5775</v>
      </c>
      <c r="I59" s="106">
        <v>0</v>
      </c>
      <c r="J59" s="106">
        <v>86.891800000000003</v>
      </c>
      <c r="K59" s="41">
        <v>1.1085281772940173E-5</v>
      </c>
      <c r="L59" s="50">
        <v>1.833425123942211E-3</v>
      </c>
      <c r="M59" s="50">
        <v>1.220225137172466E-3</v>
      </c>
      <c r="N59" s="31"/>
      <c r="O59" s="31"/>
      <c r="P59" s="31"/>
      <c r="Q59" s="31"/>
      <c r="R59" s="31"/>
    </row>
    <row r="60" spans="1:18" x14ac:dyDescent="0.2">
      <c r="A60" s="33" t="s">
        <v>553</v>
      </c>
      <c r="B60" s="50" t="s">
        <v>554</v>
      </c>
      <c r="C60" s="50" t="s">
        <v>506</v>
      </c>
      <c r="D60" s="50" t="s">
        <v>239</v>
      </c>
      <c r="E60" s="50" t="s">
        <v>476</v>
      </c>
      <c r="F60" s="50" t="s">
        <v>126</v>
      </c>
      <c r="G60" s="90">
        <v>1105</v>
      </c>
      <c r="H60" s="87">
        <v>1928</v>
      </c>
      <c r="I60" s="106">
        <v>2.2789999999999998E-2</v>
      </c>
      <c r="J60" s="106">
        <v>68.51643</v>
      </c>
      <c r="K60" s="41">
        <v>3.6653551329417669E-5</v>
      </c>
      <c r="L60" s="50">
        <v>1.4457030947089117E-3</v>
      </c>
      <c r="M60" s="50">
        <v>9.6217905711836642E-4</v>
      </c>
      <c r="N60" s="31"/>
      <c r="O60" s="31"/>
      <c r="P60" s="31"/>
      <c r="Q60" s="31"/>
      <c r="R60" s="31"/>
    </row>
    <row r="61" spans="1:18" x14ac:dyDescent="0.2">
      <c r="A61" s="33" t="s">
        <v>564</v>
      </c>
      <c r="B61" s="50" t="s">
        <v>565</v>
      </c>
      <c r="C61" s="50" t="s">
        <v>563</v>
      </c>
      <c r="D61" s="50" t="s">
        <v>239</v>
      </c>
      <c r="E61" s="50" t="s">
        <v>476</v>
      </c>
      <c r="F61" s="50" t="s">
        <v>65</v>
      </c>
      <c r="G61" s="90">
        <v>3035</v>
      </c>
      <c r="H61" s="87">
        <v>10950</v>
      </c>
      <c r="I61" s="106">
        <v>0</v>
      </c>
      <c r="J61" s="106">
        <v>137.81827999999999</v>
      </c>
      <c r="K61" s="41">
        <v>1.6322541596666177E-4</v>
      </c>
      <c r="L61" s="50">
        <v>2.9079786250313876E-3</v>
      </c>
      <c r="M61" s="50">
        <v>1.9353877997448934E-3</v>
      </c>
      <c r="N61" s="31"/>
      <c r="O61" s="31"/>
      <c r="P61" s="31"/>
      <c r="Q61" s="31"/>
      <c r="R61" s="31"/>
    </row>
    <row r="62" spans="1:18" x14ac:dyDescent="0.2">
      <c r="A62" s="33" t="s">
        <v>566</v>
      </c>
      <c r="B62" s="50" t="s">
        <v>567</v>
      </c>
      <c r="C62" s="50" t="s">
        <v>563</v>
      </c>
      <c r="D62" s="50" t="s">
        <v>239</v>
      </c>
      <c r="E62" s="50" t="s">
        <v>476</v>
      </c>
      <c r="F62" s="50" t="s">
        <v>65</v>
      </c>
      <c r="G62" s="90">
        <v>527</v>
      </c>
      <c r="H62" s="87">
        <v>12985</v>
      </c>
      <c r="I62" s="106">
        <v>0</v>
      </c>
      <c r="J62" s="106">
        <v>28.378310000000003</v>
      </c>
      <c r="K62" s="41">
        <v>1.6203971036770039E-5</v>
      </c>
      <c r="L62" s="50">
        <v>5.9878500075980108E-4</v>
      </c>
      <c r="M62" s="50">
        <v>3.9851777972688753E-4</v>
      </c>
      <c r="N62" s="31"/>
      <c r="O62" s="31"/>
      <c r="P62" s="31"/>
      <c r="Q62" s="31"/>
      <c r="R62" s="31"/>
    </row>
    <row r="63" spans="1:18" x14ac:dyDescent="0.2">
      <c r="A63" s="33" t="s">
        <v>543</v>
      </c>
      <c r="B63" s="50" t="s">
        <v>544</v>
      </c>
      <c r="C63" s="50" t="s">
        <v>475</v>
      </c>
      <c r="D63" s="50" t="s">
        <v>239</v>
      </c>
      <c r="E63" s="50" t="s">
        <v>476</v>
      </c>
      <c r="F63" s="50" t="s">
        <v>126</v>
      </c>
      <c r="G63" s="90">
        <v>1308</v>
      </c>
      <c r="H63" s="87">
        <v>10276</v>
      </c>
      <c r="I63" s="106">
        <v>0</v>
      </c>
      <c r="J63" s="106">
        <v>432.1284</v>
      </c>
      <c r="K63" s="41">
        <v>3.7242333873423104E-5</v>
      </c>
      <c r="L63" s="50">
        <v>9.1179497412753486E-3</v>
      </c>
      <c r="M63" s="50">
        <v>6.068396973777943E-3</v>
      </c>
      <c r="N63" s="31"/>
      <c r="O63" s="31"/>
      <c r="P63" s="31"/>
      <c r="Q63" s="31"/>
      <c r="R63" s="31"/>
    </row>
    <row r="64" spans="1:18" x14ac:dyDescent="0.2">
      <c r="A64" s="33" t="s">
        <v>545</v>
      </c>
      <c r="B64" s="50" t="s">
        <v>546</v>
      </c>
      <c r="C64" s="50" t="s">
        <v>422</v>
      </c>
      <c r="D64" s="50" t="s">
        <v>239</v>
      </c>
      <c r="E64" s="50" t="s">
        <v>476</v>
      </c>
      <c r="F64" s="50" t="s">
        <v>126</v>
      </c>
      <c r="G64" s="90">
        <v>135</v>
      </c>
      <c r="H64" s="87">
        <v>51863.5</v>
      </c>
      <c r="I64" s="106">
        <v>0</v>
      </c>
      <c r="J64" s="106">
        <v>225.10055</v>
      </c>
      <c r="K64" s="41">
        <v>1.8688871815104763E-4</v>
      </c>
      <c r="L64" s="50">
        <v>4.749642702570436E-3</v>
      </c>
      <c r="M64" s="50">
        <v>3.1610963232588983E-3</v>
      </c>
      <c r="N64" s="31"/>
      <c r="O64" s="31"/>
      <c r="P64" s="31"/>
      <c r="Q64" s="31"/>
      <c r="R64" s="31"/>
    </row>
    <row r="65" spans="1:18" x14ac:dyDescent="0.2">
      <c r="A65" s="33" t="s">
        <v>549</v>
      </c>
      <c r="B65" s="50" t="s">
        <v>550</v>
      </c>
      <c r="C65" s="50" t="s">
        <v>475</v>
      </c>
      <c r="D65" s="50" t="s">
        <v>239</v>
      </c>
      <c r="E65" s="50" t="s">
        <v>476</v>
      </c>
      <c r="F65" s="50" t="s">
        <v>126</v>
      </c>
      <c r="G65" s="90">
        <v>48</v>
      </c>
      <c r="H65" s="87">
        <v>4003</v>
      </c>
      <c r="I65" s="106">
        <v>0</v>
      </c>
      <c r="J65" s="106">
        <v>6.1774199999999997</v>
      </c>
      <c r="K65" s="41">
        <v>2.8198655770079442E-6</v>
      </c>
      <c r="L65" s="50">
        <v>1.3034414097927644E-4</v>
      </c>
      <c r="M65" s="50">
        <v>8.6749764268572344E-5</v>
      </c>
      <c r="N65" s="31"/>
      <c r="O65" s="31"/>
      <c r="P65" s="31"/>
      <c r="Q65" s="31"/>
      <c r="R65" s="31"/>
    </row>
    <row r="66" spans="1:18" x14ac:dyDescent="0.2">
      <c r="A66" s="33" t="s">
        <v>533</v>
      </c>
      <c r="B66" s="50" t="s">
        <v>534</v>
      </c>
      <c r="C66" s="50" t="s">
        <v>506</v>
      </c>
      <c r="D66" s="50" t="s">
        <v>239</v>
      </c>
      <c r="E66" s="50" t="s">
        <v>476</v>
      </c>
      <c r="F66" s="50" t="s">
        <v>126</v>
      </c>
      <c r="G66" s="90">
        <v>109</v>
      </c>
      <c r="H66" s="87">
        <v>37918</v>
      </c>
      <c r="I66" s="106">
        <v>0</v>
      </c>
      <c r="J66" s="106">
        <v>132.87794</v>
      </c>
      <c r="K66" s="41">
        <v>8.5451645657582563E-6</v>
      </c>
      <c r="L66" s="50">
        <v>2.8037369879975516E-3</v>
      </c>
      <c r="M66" s="50">
        <v>1.8660104010239712E-3</v>
      </c>
      <c r="N66" s="31"/>
      <c r="O66" s="31"/>
      <c r="P66" s="31"/>
      <c r="Q66" s="31"/>
      <c r="R66" s="31"/>
    </row>
    <row r="67" spans="1:18" x14ac:dyDescent="0.2">
      <c r="A67" s="33" t="s">
        <v>541</v>
      </c>
      <c r="B67" s="50" t="s">
        <v>542</v>
      </c>
      <c r="C67" s="50" t="s">
        <v>475</v>
      </c>
      <c r="D67" s="50" t="s">
        <v>239</v>
      </c>
      <c r="E67" s="50" t="s">
        <v>476</v>
      </c>
      <c r="F67" s="50" t="s">
        <v>126</v>
      </c>
      <c r="G67" s="90">
        <v>118</v>
      </c>
      <c r="H67" s="87">
        <v>23468</v>
      </c>
      <c r="I67" s="106">
        <v>0</v>
      </c>
      <c r="J67" s="106">
        <v>89.030550000000005</v>
      </c>
      <c r="K67" s="41">
        <v>2.4851177250811139E-5</v>
      </c>
      <c r="L67" s="50">
        <v>1.878552949396758E-3</v>
      </c>
      <c r="M67" s="50">
        <v>1.2502596917809286E-3</v>
      </c>
      <c r="N67" s="31"/>
      <c r="O67" s="31"/>
      <c r="P67" s="31"/>
      <c r="Q67" s="31"/>
      <c r="R67" s="31"/>
    </row>
    <row r="68" spans="1:18" x14ac:dyDescent="0.2">
      <c r="A68" s="33" t="s">
        <v>547</v>
      </c>
      <c r="B68" s="50" t="s">
        <v>548</v>
      </c>
      <c r="C68" s="50" t="s">
        <v>475</v>
      </c>
      <c r="D68" s="50" t="s">
        <v>239</v>
      </c>
      <c r="E68" s="50" t="s">
        <v>476</v>
      </c>
      <c r="F68" s="50" t="s">
        <v>126</v>
      </c>
      <c r="G68" s="90">
        <v>2752</v>
      </c>
      <c r="H68" s="87">
        <v>2238</v>
      </c>
      <c r="I68" s="106">
        <v>7.6090000000000005E-2</v>
      </c>
      <c r="J68" s="106">
        <v>198.08716000000001</v>
      </c>
      <c r="K68" s="41">
        <v>2.0892906332940548E-5</v>
      </c>
      <c r="L68" s="50">
        <v>4.1796576417378918E-3</v>
      </c>
      <c r="M68" s="50">
        <v>2.7817461714811321E-3</v>
      </c>
      <c r="N68" s="31"/>
      <c r="O68" s="31"/>
      <c r="P68" s="31"/>
      <c r="Q68" s="31"/>
      <c r="R68" s="31"/>
    </row>
    <row r="69" spans="1:18" x14ac:dyDescent="0.2">
      <c r="A69" s="33" t="s">
        <v>531</v>
      </c>
      <c r="B69" s="50" t="s">
        <v>532</v>
      </c>
      <c r="C69" s="50" t="s">
        <v>475</v>
      </c>
      <c r="D69" s="50" t="s">
        <v>239</v>
      </c>
      <c r="E69" s="50" t="s">
        <v>476</v>
      </c>
      <c r="F69" s="50" t="s">
        <v>126</v>
      </c>
      <c r="G69" s="90">
        <v>1730</v>
      </c>
      <c r="H69" s="87">
        <v>4182</v>
      </c>
      <c r="I69" s="106">
        <v>0</v>
      </c>
      <c r="J69" s="106">
        <v>232.60074</v>
      </c>
      <c r="K69" s="41">
        <v>2.8162887630403938E-5</v>
      </c>
      <c r="L69" s="50">
        <v>4.907897414526457E-3</v>
      </c>
      <c r="M69" s="50">
        <v>3.2664218012852433E-3</v>
      </c>
      <c r="N69" s="31"/>
      <c r="O69" s="31"/>
      <c r="P69" s="31"/>
      <c r="Q69" s="31"/>
      <c r="R69" s="31"/>
    </row>
    <row r="70" spans="1:18" x14ac:dyDescent="0.2">
      <c r="A70" s="33" t="s">
        <v>559</v>
      </c>
      <c r="B70" s="50" t="s">
        <v>560</v>
      </c>
      <c r="C70" s="50" t="s">
        <v>475</v>
      </c>
      <c r="D70" s="50" t="s">
        <v>239</v>
      </c>
      <c r="E70" s="50" t="s">
        <v>476</v>
      </c>
      <c r="F70" s="50" t="s">
        <v>126</v>
      </c>
      <c r="G70" s="90">
        <v>1291</v>
      </c>
      <c r="H70" s="87">
        <v>7679.0000000000009</v>
      </c>
      <c r="I70" s="106">
        <v>0.91886999999999996</v>
      </c>
      <c r="J70" s="106">
        <v>319.64075000000003</v>
      </c>
      <c r="K70" s="41">
        <v>2.7636771137158084E-5</v>
      </c>
      <c r="L70" s="50">
        <v>6.744449783359664E-3</v>
      </c>
      <c r="M70" s="50">
        <v>4.4887282576107287E-3</v>
      </c>
      <c r="N70" s="31"/>
      <c r="O70" s="31"/>
      <c r="P70" s="31"/>
      <c r="Q70" s="31"/>
      <c r="R70" s="31"/>
    </row>
    <row r="71" spans="1:18" x14ac:dyDescent="0.2">
      <c r="A71" s="33" t="s">
        <v>555</v>
      </c>
      <c r="B71" s="50" t="s">
        <v>556</v>
      </c>
      <c r="C71" s="50" t="s">
        <v>495</v>
      </c>
      <c r="D71" s="50" t="s">
        <v>239</v>
      </c>
      <c r="E71" s="50" t="s">
        <v>476</v>
      </c>
      <c r="F71" s="50" t="s">
        <v>127</v>
      </c>
      <c r="G71" s="90">
        <v>530</v>
      </c>
      <c r="H71" s="87">
        <v>6703.4000000000005</v>
      </c>
      <c r="I71" s="106">
        <v>0</v>
      </c>
      <c r="J71" s="106">
        <v>140.12606</v>
      </c>
      <c r="K71" s="41">
        <v>5.6872096907477791E-5</v>
      </c>
      <c r="L71" s="50">
        <v>2.9566729993282873E-3</v>
      </c>
      <c r="M71" s="50">
        <v>1.9677960496265147E-3</v>
      </c>
      <c r="N71" s="31"/>
      <c r="O71" s="31"/>
      <c r="P71" s="31"/>
      <c r="Q71" s="31"/>
      <c r="R71" s="31"/>
    </row>
    <row r="72" spans="1:18" x14ac:dyDescent="0.2">
      <c r="A72" s="33" t="s">
        <v>557</v>
      </c>
      <c r="B72" s="50" t="s">
        <v>558</v>
      </c>
      <c r="C72" s="50" t="s">
        <v>495</v>
      </c>
      <c r="D72" s="50" t="s">
        <v>239</v>
      </c>
      <c r="E72" s="50" t="s">
        <v>476</v>
      </c>
      <c r="F72" s="50" t="s">
        <v>127</v>
      </c>
      <c r="G72" s="90">
        <v>149</v>
      </c>
      <c r="H72" s="87">
        <v>15494</v>
      </c>
      <c r="I72" s="106">
        <v>0</v>
      </c>
      <c r="J72" s="106">
        <v>91.053719999999998</v>
      </c>
      <c r="K72" s="41">
        <v>5.5992472206689632E-5</v>
      </c>
      <c r="L72" s="50">
        <v>1.9212420260185585E-3</v>
      </c>
      <c r="M72" s="50">
        <v>1.2786711516744194E-3</v>
      </c>
      <c r="N72" s="31"/>
      <c r="O72" s="31"/>
      <c r="P72" s="31"/>
      <c r="Q72" s="31"/>
      <c r="R72" s="31"/>
    </row>
    <row r="73" spans="1:18" x14ac:dyDescent="0.2">
      <c r="A73" s="33" t="s">
        <v>527</v>
      </c>
      <c r="B73" s="50" t="s">
        <v>528</v>
      </c>
      <c r="C73" s="50" t="s">
        <v>475</v>
      </c>
      <c r="D73" s="50" t="s">
        <v>239</v>
      </c>
      <c r="E73" s="50" t="s">
        <v>476</v>
      </c>
      <c r="F73" s="50" t="s">
        <v>126</v>
      </c>
      <c r="G73" s="90">
        <v>1086</v>
      </c>
      <c r="H73" s="87">
        <v>6270</v>
      </c>
      <c r="I73" s="106">
        <v>0</v>
      </c>
      <c r="J73" s="106">
        <v>218.91642000000002</v>
      </c>
      <c r="K73" s="41">
        <v>5.7961759670348523E-6</v>
      </c>
      <c r="L73" s="50">
        <v>4.6191569799622651E-3</v>
      </c>
      <c r="M73" s="50">
        <v>3.0742523301831152E-3</v>
      </c>
      <c r="N73" s="31"/>
      <c r="O73" s="31"/>
      <c r="P73" s="31"/>
      <c r="Q73" s="31"/>
      <c r="R73" s="31"/>
    </row>
    <row r="74" spans="1:18" x14ac:dyDescent="0.2">
      <c r="A74" s="33" t="s">
        <v>529</v>
      </c>
      <c r="B74" s="50" t="s">
        <v>530</v>
      </c>
      <c r="C74" s="50" t="s">
        <v>475</v>
      </c>
      <c r="D74" s="50" t="s">
        <v>239</v>
      </c>
      <c r="E74" s="50" t="s">
        <v>476</v>
      </c>
      <c r="F74" s="50" t="s">
        <v>126</v>
      </c>
      <c r="G74" s="90">
        <v>3760</v>
      </c>
      <c r="H74" s="87">
        <v>2948</v>
      </c>
      <c r="I74" s="106">
        <v>5.9999999999999995E-5</v>
      </c>
      <c r="J74" s="106">
        <v>356.36609000000004</v>
      </c>
      <c r="K74" s="41">
        <v>4.5412600121814711E-6</v>
      </c>
      <c r="L74" s="50">
        <v>7.5193578994456455E-3</v>
      </c>
      <c r="M74" s="50">
        <v>5.0044637244695753E-3</v>
      </c>
      <c r="N74" s="31"/>
      <c r="O74" s="31"/>
      <c r="P74" s="31"/>
      <c r="Q74" s="31"/>
      <c r="R74" s="31"/>
    </row>
    <row r="75" spans="1:18" x14ac:dyDescent="0.2">
      <c r="A75" s="33" t="s">
        <v>535</v>
      </c>
      <c r="B75" s="50" t="s">
        <v>536</v>
      </c>
      <c r="C75" s="50" t="s">
        <v>475</v>
      </c>
      <c r="D75" s="50" t="s">
        <v>239</v>
      </c>
      <c r="E75" s="50" t="s">
        <v>476</v>
      </c>
      <c r="F75" s="50" t="s">
        <v>126</v>
      </c>
      <c r="G75" s="90">
        <v>219</v>
      </c>
      <c r="H75" s="87">
        <v>14078</v>
      </c>
      <c r="I75" s="106">
        <v>0</v>
      </c>
      <c r="J75" s="106">
        <v>99.121080000000006</v>
      </c>
      <c r="K75" s="41">
        <v>4.2757931069060737E-6</v>
      </c>
      <c r="L75" s="50">
        <v>2.0914640781326409E-3</v>
      </c>
      <c r="M75" s="50">
        <v>1.3919614214423339E-3</v>
      </c>
      <c r="N75" s="31"/>
      <c r="O75" s="31"/>
      <c r="P75" s="31"/>
      <c r="Q75" s="31"/>
      <c r="R75" s="31"/>
    </row>
    <row r="76" spans="1:18" x14ac:dyDescent="0.2">
      <c r="A76" s="33" t="s">
        <v>521</v>
      </c>
      <c r="B76" s="50" t="s">
        <v>522</v>
      </c>
      <c r="C76" s="50" t="s">
        <v>475</v>
      </c>
      <c r="D76" s="50" t="s">
        <v>239</v>
      </c>
      <c r="E76" s="50" t="s">
        <v>476</v>
      </c>
      <c r="F76" s="50" t="s">
        <v>126</v>
      </c>
      <c r="G76" s="90">
        <v>800</v>
      </c>
      <c r="H76" s="87">
        <v>3790</v>
      </c>
      <c r="I76" s="106">
        <v>0</v>
      </c>
      <c r="J76" s="106">
        <v>97.478800000000007</v>
      </c>
      <c r="K76" s="41">
        <v>2.2142264046498754E-6</v>
      </c>
      <c r="L76" s="50">
        <v>2.056811816209792E-3</v>
      </c>
      <c r="M76" s="50">
        <v>1.3688988155546023E-3</v>
      </c>
      <c r="N76" s="31"/>
      <c r="O76" s="31"/>
      <c r="P76" s="31"/>
      <c r="Q76" s="31"/>
      <c r="R76" s="31"/>
    </row>
    <row r="77" spans="1:18" x14ac:dyDescent="0.2">
      <c r="A77" s="33" t="s">
        <v>523</v>
      </c>
      <c r="B77" s="50" t="s">
        <v>524</v>
      </c>
      <c r="C77" s="50" t="s">
        <v>475</v>
      </c>
      <c r="D77" s="50" t="s">
        <v>239</v>
      </c>
      <c r="E77" s="50" t="s">
        <v>476</v>
      </c>
      <c r="F77" s="50" t="s">
        <v>126</v>
      </c>
      <c r="G77" s="90">
        <v>948</v>
      </c>
      <c r="H77" s="87">
        <v>11344</v>
      </c>
      <c r="I77" s="106">
        <v>0</v>
      </c>
      <c r="J77" s="106">
        <v>345.74470000000002</v>
      </c>
      <c r="K77" s="41">
        <v>4.2352636603302817E-6</v>
      </c>
      <c r="L77" s="50">
        <v>7.2952455749548586E-3</v>
      </c>
      <c r="M77" s="50">
        <v>4.85530710589668E-3</v>
      </c>
      <c r="N77" s="31"/>
      <c r="O77" s="31"/>
      <c r="P77" s="31"/>
      <c r="Q77" s="31"/>
      <c r="R77" s="31"/>
    </row>
    <row r="78" spans="1:18" x14ac:dyDescent="0.2">
      <c r="A78" s="33" t="s">
        <v>525</v>
      </c>
      <c r="B78" s="50" t="s">
        <v>526</v>
      </c>
      <c r="C78" s="50" t="s">
        <v>475</v>
      </c>
      <c r="D78" s="50" t="s">
        <v>239</v>
      </c>
      <c r="E78" s="50" t="s">
        <v>476</v>
      </c>
      <c r="F78" s="50" t="s">
        <v>126</v>
      </c>
      <c r="G78" s="90">
        <v>482</v>
      </c>
      <c r="H78" s="87">
        <v>6745</v>
      </c>
      <c r="I78" s="106">
        <v>0</v>
      </c>
      <c r="J78" s="106">
        <v>104.52253999999999</v>
      </c>
      <c r="K78" s="41">
        <v>2.4620759217888383E-6</v>
      </c>
      <c r="L78" s="50">
        <v>2.2054353903849925E-3</v>
      </c>
      <c r="M78" s="50">
        <v>1.4678143473735676E-3</v>
      </c>
      <c r="N78" s="31"/>
      <c r="O78" s="31"/>
      <c r="P78" s="31"/>
      <c r="Q78" s="31"/>
      <c r="R78" s="31"/>
    </row>
    <row r="79" spans="1:18" s="139" customFormat="1" x14ac:dyDescent="0.2">
      <c r="A79" s="203" t="s">
        <v>471</v>
      </c>
      <c r="B79" s="204" t="s">
        <v>239</v>
      </c>
      <c r="C79" s="204" t="s">
        <v>239</v>
      </c>
      <c r="D79" s="204" t="s">
        <v>239</v>
      </c>
      <c r="E79" s="204" t="s">
        <v>239</v>
      </c>
      <c r="F79" s="204" t="s">
        <v>239</v>
      </c>
      <c r="G79" s="248" t="s">
        <v>239</v>
      </c>
      <c r="H79" s="205" t="s">
        <v>239</v>
      </c>
      <c r="I79" s="208" t="s">
        <v>239</v>
      </c>
      <c r="J79" s="208">
        <v>0</v>
      </c>
      <c r="K79" s="209" t="s">
        <v>239</v>
      </c>
      <c r="L79" s="204">
        <v>0</v>
      </c>
      <c r="M79" s="204">
        <v>0</v>
      </c>
    </row>
    <row r="80" spans="1:18" s="139" customFormat="1" x14ac:dyDescent="0.2">
      <c r="A80" s="99" t="s">
        <v>230</v>
      </c>
      <c r="B80" s="149"/>
      <c r="C80" s="149"/>
      <c r="D80" s="149"/>
      <c r="E80" s="149"/>
      <c r="F80" s="149"/>
      <c r="G80" s="150"/>
      <c r="H80" s="150"/>
      <c r="I80" s="150"/>
      <c r="J80" s="150"/>
      <c r="K80" s="151"/>
      <c r="L80" s="151"/>
      <c r="M80" s="152"/>
      <c r="N80" s="168"/>
      <c r="O80" s="168"/>
      <c r="P80" s="168"/>
      <c r="Q80" s="154"/>
      <c r="R80" s="154"/>
    </row>
    <row r="81" spans="1:18" s="139" customFormat="1" x14ac:dyDescent="0.2">
      <c r="A81" s="99" t="s">
        <v>231</v>
      </c>
      <c r="B81" s="149"/>
      <c r="C81" s="149"/>
      <c r="D81" s="149"/>
      <c r="E81" s="149"/>
      <c r="F81" s="149"/>
      <c r="G81" s="150"/>
      <c r="H81" s="150"/>
      <c r="I81" s="150"/>
      <c r="J81" s="150"/>
      <c r="K81" s="151"/>
      <c r="L81" s="151"/>
      <c r="M81" s="152"/>
      <c r="N81" s="168"/>
      <c r="O81" s="168"/>
      <c r="P81" s="168"/>
      <c r="Q81" s="154"/>
      <c r="R81" s="154"/>
    </row>
    <row r="82" spans="1:18" s="139" customFormat="1" x14ac:dyDescent="0.2">
      <c r="A82" s="99" t="s">
        <v>232</v>
      </c>
      <c r="B82" s="149"/>
      <c r="C82" s="149"/>
      <c r="D82" s="149"/>
      <c r="E82" s="149"/>
      <c r="F82" s="149"/>
      <c r="G82" s="150"/>
      <c r="H82" s="150"/>
      <c r="I82" s="150"/>
      <c r="J82" s="150"/>
      <c r="K82" s="151"/>
      <c r="L82" s="151"/>
      <c r="M82" s="152"/>
      <c r="N82" s="168"/>
      <c r="O82" s="168"/>
      <c r="P82" s="168"/>
      <c r="Q82" s="154"/>
      <c r="R82" s="154"/>
    </row>
    <row r="83" spans="1:18" s="139" customFormat="1" x14ac:dyDescent="0.2">
      <c r="A83" s="99" t="s">
        <v>233</v>
      </c>
      <c r="B83" s="149"/>
      <c r="C83" s="149"/>
      <c r="D83" s="149"/>
      <c r="E83" s="149"/>
      <c r="F83" s="149"/>
      <c r="G83" s="150"/>
      <c r="H83" s="150"/>
      <c r="I83" s="150"/>
      <c r="J83" s="150"/>
      <c r="K83" s="151"/>
      <c r="L83" s="151"/>
      <c r="M83" s="152"/>
      <c r="N83" s="168"/>
      <c r="O83" s="168"/>
      <c r="P83" s="168"/>
      <c r="Q83" s="154"/>
      <c r="R83" s="154"/>
    </row>
    <row r="84" spans="1:18" s="139" customFormat="1" x14ac:dyDescent="0.2">
      <c r="A84" s="99" t="s">
        <v>234</v>
      </c>
      <c r="B84" s="149"/>
      <c r="C84" s="149"/>
      <c r="D84" s="149"/>
      <c r="E84" s="149"/>
      <c r="F84" s="149"/>
      <c r="G84" s="150"/>
      <c r="H84" s="150"/>
      <c r="I84" s="150"/>
      <c r="J84" s="150"/>
      <c r="K84" s="151"/>
      <c r="L84" s="151"/>
      <c r="M84" s="152"/>
      <c r="N84" s="168"/>
      <c r="O84" s="168"/>
      <c r="P84" s="168"/>
      <c r="Q84" s="154"/>
      <c r="R84" s="154"/>
    </row>
  </sheetData>
  <mergeCells count="2">
    <mergeCell ref="A6:M6"/>
    <mergeCell ref="A5:M5"/>
  </mergeCells>
  <conditionalFormatting sqref="C10:E10">
    <cfRule type="expression" dxfId="135" priority="16" stopIfTrue="1">
      <formula>LEFT($IC10,3)="TIR"</formula>
    </cfRule>
  </conditionalFormatting>
  <conditionalFormatting sqref="M1:M4 G10:H79 K10:K79 M80:M55614">
    <cfRule type="expression" dxfId="134" priority="152" stopIfTrue="1">
      <formula>LEFT(#REF!,3)="TIR"</formula>
    </cfRule>
  </conditionalFormatting>
  <conditionalFormatting sqref="B10:F10 L10:M79">
    <cfRule type="expression" dxfId="133" priority="156" stopIfTrue="1">
      <formula>OR(LEFT(#REF!,3)="TIR",LEFT(#REF!,2)="IR")</formula>
    </cfRule>
  </conditionalFormatting>
  <conditionalFormatting sqref="A10:A79 I10:J79">
    <cfRule type="expression" dxfId="132" priority="158" stopIfTrue="1">
      <formula>#REF!&gt;0</formula>
    </cfRule>
    <cfRule type="expression" dxfId="131" priority="159" stopIfTrue="1">
      <formula>LEFT(#REF!,3)="TIR"</formula>
    </cfRule>
  </conditionalFormatting>
  <conditionalFormatting sqref="C10:D10 B11:F79">
    <cfRule type="expression" dxfId="13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1"/>
  <sheetViews>
    <sheetView rightToLeft="1" zoomScale="80" zoomScaleNormal="80" workbookViewId="0">
      <selection activeCell="A7" sqref="A7:N26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1" customWidth="1"/>
    <col min="7" max="7" width="11.140625" style="81" customWidth="1"/>
    <col min="8" max="8" width="12.7109375" style="81" bestFit="1" customWidth="1"/>
    <col min="9" max="9" width="10.85546875" style="54" bestFit="1" customWidth="1"/>
    <col min="10" max="10" width="9.2851562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84"/>
      <c r="M1" s="84"/>
      <c r="N1" s="84"/>
      <c r="O1" s="29"/>
      <c r="P1" s="29"/>
      <c r="Q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81"/>
      <c r="G2" s="81"/>
      <c r="H2" s="81"/>
      <c r="I2" s="54"/>
      <c r="J2" s="83"/>
      <c r="K2" s="84"/>
      <c r="L2" s="84"/>
      <c r="M2" s="84"/>
      <c r="N2" s="84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84"/>
      <c r="M3" s="84"/>
      <c r="N3" s="84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84"/>
      <c r="M4" s="84"/>
      <c r="N4" s="84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08" t="s">
        <v>157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4"/>
      <c r="H8" s="46"/>
      <c r="I8" s="15" t="s">
        <v>134</v>
      </c>
      <c r="J8" s="70"/>
      <c r="K8" s="15" t="s">
        <v>136</v>
      </c>
      <c r="L8" s="77" t="s">
        <v>9</v>
      </c>
      <c r="M8" s="77" t="s">
        <v>9</v>
      </c>
      <c r="N8" s="76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39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3196.7091507999999</v>
      </c>
      <c r="L10" s="88"/>
      <c r="M10" s="88">
        <v>1</v>
      </c>
      <c r="N10" s="103">
        <v>4.4891518670753826E-2</v>
      </c>
    </row>
    <row r="11" spans="1:19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55" t="s">
        <v>239</v>
      </c>
      <c r="J11" s="146" t="s">
        <v>239</v>
      </c>
      <c r="K11" s="143">
        <v>0</v>
      </c>
      <c r="L11" s="142" t="s">
        <v>239</v>
      </c>
      <c r="M11" s="142">
        <v>0</v>
      </c>
      <c r="N11" s="142">
        <v>0</v>
      </c>
    </row>
    <row r="12" spans="1:19" s="139" customFormat="1" x14ac:dyDescent="0.2">
      <c r="A12" s="114" t="s">
        <v>58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57" t="s">
        <v>239</v>
      </c>
      <c r="J12" s="147" t="s">
        <v>239</v>
      </c>
      <c r="K12" s="148">
        <v>0</v>
      </c>
      <c r="L12" s="145" t="s">
        <v>239</v>
      </c>
      <c r="M12" s="145">
        <v>0</v>
      </c>
      <c r="N12" s="142">
        <v>0</v>
      </c>
    </row>
    <row r="13" spans="1:19" s="139" customFormat="1" x14ac:dyDescent="0.2">
      <c r="A13" s="114" t="s">
        <v>568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57" t="s">
        <v>239</v>
      </c>
      <c r="J13" s="147" t="s">
        <v>239</v>
      </c>
      <c r="K13" s="148">
        <v>0</v>
      </c>
      <c r="L13" s="145" t="s">
        <v>239</v>
      </c>
      <c r="M13" s="145">
        <v>0</v>
      </c>
      <c r="N13" s="142">
        <v>0</v>
      </c>
    </row>
    <row r="14" spans="1:19" s="139" customFormat="1" x14ac:dyDescent="0.2">
      <c r="A14" s="114" t="s">
        <v>59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2" t="s">
        <v>239</v>
      </c>
      <c r="H14" s="142" t="s">
        <v>239</v>
      </c>
      <c r="I14" s="157" t="s">
        <v>239</v>
      </c>
      <c r="J14" s="147" t="s">
        <v>239</v>
      </c>
      <c r="K14" s="148">
        <v>0</v>
      </c>
      <c r="L14" s="145" t="s">
        <v>239</v>
      </c>
      <c r="M14" s="145">
        <v>0</v>
      </c>
      <c r="N14" s="142">
        <v>0</v>
      </c>
    </row>
    <row r="15" spans="1:19" s="139" customFormat="1" x14ac:dyDescent="0.2">
      <c r="A15" s="114" t="s">
        <v>142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2" t="s">
        <v>239</v>
      </c>
      <c r="I15" s="157" t="s">
        <v>239</v>
      </c>
      <c r="J15" s="147" t="s">
        <v>239</v>
      </c>
      <c r="K15" s="148">
        <v>0</v>
      </c>
      <c r="L15" s="145" t="s">
        <v>239</v>
      </c>
      <c r="M15" s="145">
        <v>0</v>
      </c>
      <c r="N15" s="142">
        <v>0</v>
      </c>
    </row>
    <row r="16" spans="1:19" s="139" customFormat="1" x14ac:dyDescent="0.2">
      <c r="A16" s="114" t="s">
        <v>363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57" t="s">
        <v>239</v>
      </c>
      <c r="J16" s="147" t="s">
        <v>239</v>
      </c>
      <c r="K16" s="148">
        <v>3196.7091503999995</v>
      </c>
      <c r="L16" s="145" t="s">
        <v>239</v>
      </c>
      <c r="M16" s="145">
        <v>0.9999999998748712</v>
      </c>
      <c r="N16" s="142">
        <v>0</v>
      </c>
    </row>
    <row r="17" spans="1:16" s="139" customFormat="1" x14ac:dyDescent="0.2">
      <c r="A17" s="114" t="s">
        <v>58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57" t="s">
        <v>239</v>
      </c>
      <c r="J17" s="147" t="s">
        <v>239</v>
      </c>
      <c r="K17" s="148">
        <v>63.766310099999998</v>
      </c>
      <c r="L17" s="145" t="s">
        <v>239</v>
      </c>
      <c r="M17" s="145">
        <v>1.994748570855813E-2</v>
      </c>
      <c r="N17" s="142">
        <v>8.9547292712033246E-4</v>
      </c>
    </row>
    <row r="18" spans="1:16" x14ac:dyDescent="0.2">
      <c r="A18" s="33" t="s">
        <v>571</v>
      </c>
      <c r="B18" s="50" t="s">
        <v>572</v>
      </c>
      <c r="C18" s="50" t="s">
        <v>218</v>
      </c>
      <c r="D18" s="50" t="s">
        <v>239</v>
      </c>
      <c r="E18" s="50" t="s">
        <v>516</v>
      </c>
      <c r="F18" s="50" t="s">
        <v>424</v>
      </c>
      <c r="G18" s="50" t="s">
        <v>239</v>
      </c>
      <c r="H18" s="50" t="s">
        <v>126</v>
      </c>
      <c r="I18" s="90">
        <v>600</v>
      </c>
      <c r="J18" s="82">
        <v>1448</v>
      </c>
      <c r="K18" s="106">
        <v>27.931919999999998</v>
      </c>
      <c r="L18" s="41">
        <v>9.5532576680297417E-6</v>
      </c>
      <c r="M18" s="41">
        <v>8.737710777663282E-3</v>
      </c>
      <c r="N18" s="50">
        <v>3.9224910651511818E-4</v>
      </c>
      <c r="O18" s="31"/>
      <c r="P18" s="31"/>
    </row>
    <row r="19" spans="1:16" x14ac:dyDescent="0.2">
      <c r="A19" s="33" t="s">
        <v>569</v>
      </c>
      <c r="B19" s="50" t="s">
        <v>570</v>
      </c>
      <c r="C19" s="50" t="s">
        <v>218</v>
      </c>
      <c r="D19" s="50" t="s">
        <v>239</v>
      </c>
      <c r="E19" s="50" t="s">
        <v>516</v>
      </c>
      <c r="F19" s="50" t="s">
        <v>424</v>
      </c>
      <c r="G19" s="50" t="s">
        <v>239</v>
      </c>
      <c r="H19" s="50" t="s">
        <v>126</v>
      </c>
      <c r="I19" s="90">
        <v>200</v>
      </c>
      <c r="J19" s="82">
        <v>5573</v>
      </c>
      <c r="K19" s="106">
        <v>35.834389999999999</v>
      </c>
      <c r="L19" s="41">
        <v>2.2268437642852027E-6</v>
      </c>
      <c r="M19" s="41">
        <v>1.1209774899612678E-2</v>
      </c>
      <c r="N19" s="50">
        <v>5.0322381920091014E-4</v>
      </c>
      <c r="O19" s="31"/>
      <c r="P19" s="31"/>
    </row>
    <row r="20" spans="1:16" s="139" customFormat="1" x14ac:dyDescent="0.2">
      <c r="A20" s="114" t="s">
        <v>568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2" t="s">
        <v>239</v>
      </c>
      <c r="H20" s="142" t="s">
        <v>239</v>
      </c>
      <c r="I20" s="157" t="s">
        <v>239</v>
      </c>
      <c r="J20" s="147" t="s">
        <v>239</v>
      </c>
      <c r="K20" s="148">
        <v>0</v>
      </c>
      <c r="L20" s="145" t="s">
        <v>239</v>
      </c>
      <c r="M20" s="145">
        <v>0</v>
      </c>
      <c r="N20" s="142">
        <v>0</v>
      </c>
    </row>
    <row r="21" spans="1:16" s="139" customFormat="1" x14ac:dyDescent="0.2">
      <c r="A21" s="114" t="s">
        <v>59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2" t="s">
        <v>239</v>
      </c>
      <c r="H21" s="142" t="s">
        <v>239</v>
      </c>
      <c r="I21" s="157" t="s">
        <v>239</v>
      </c>
      <c r="J21" s="147" t="s">
        <v>239</v>
      </c>
      <c r="K21" s="148">
        <v>0</v>
      </c>
      <c r="L21" s="145" t="s">
        <v>239</v>
      </c>
      <c r="M21" s="145">
        <v>0</v>
      </c>
      <c r="N21" s="142">
        <v>0</v>
      </c>
    </row>
    <row r="22" spans="1:16" s="139" customFormat="1" x14ac:dyDescent="0.2">
      <c r="A22" s="114" t="s">
        <v>142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2" t="s">
        <v>239</v>
      </c>
      <c r="H22" s="142" t="s">
        <v>239</v>
      </c>
      <c r="I22" s="157" t="s">
        <v>239</v>
      </c>
      <c r="J22" s="147" t="s">
        <v>239</v>
      </c>
      <c r="K22" s="148">
        <v>3132.9428400999996</v>
      </c>
      <c r="L22" s="145" t="s">
        <v>239</v>
      </c>
      <c r="M22" s="145">
        <v>0.98005251410374872</v>
      </c>
      <c r="N22" s="142">
        <v>0</v>
      </c>
    </row>
    <row r="23" spans="1:16" x14ac:dyDescent="0.2">
      <c r="A23" s="33" t="s">
        <v>573</v>
      </c>
      <c r="B23" s="50" t="s">
        <v>574</v>
      </c>
      <c r="C23" s="50" t="s">
        <v>218</v>
      </c>
      <c r="D23" s="50" t="s">
        <v>239</v>
      </c>
      <c r="E23" s="50" t="s">
        <v>187</v>
      </c>
      <c r="F23" s="50" t="s">
        <v>424</v>
      </c>
      <c r="G23" s="50" t="s">
        <v>239</v>
      </c>
      <c r="H23" s="50" t="s">
        <v>126</v>
      </c>
      <c r="I23" s="90">
        <v>200</v>
      </c>
      <c r="J23" s="82">
        <v>11247</v>
      </c>
      <c r="K23" s="106">
        <v>72.318210000000008</v>
      </c>
      <c r="L23" s="41">
        <v>7.9475787244430205E-6</v>
      </c>
      <c r="M23" s="41">
        <v>2.2622705597693128E-2</v>
      </c>
      <c r="N23" s="50">
        <v>1.0155676107218082E-3</v>
      </c>
      <c r="O23" s="31"/>
      <c r="P23" s="31"/>
    </row>
    <row r="24" spans="1:16" x14ac:dyDescent="0.2">
      <c r="A24" s="33" t="s">
        <v>575</v>
      </c>
      <c r="B24" s="50" t="s">
        <v>576</v>
      </c>
      <c r="C24" s="50" t="s">
        <v>218</v>
      </c>
      <c r="D24" s="50" t="s">
        <v>239</v>
      </c>
      <c r="E24" s="50" t="s">
        <v>187</v>
      </c>
      <c r="F24" s="50" t="s">
        <v>424</v>
      </c>
      <c r="G24" s="50" t="s">
        <v>239</v>
      </c>
      <c r="H24" s="50" t="s">
        <v>126</v>
      </c>
      <c r="I24" s="90">
        <v>800</v>
      </c>
      <c r="J24" s="82">
        <v>2470</v>
      </c>
      <c r="K24" s="106">
        <v>63.528400000000005</v>
      </c>
      <c r="L24" s="41">
        <v>1.241479743915628E-5</v>
      </c>
      <c r="M24" s="41">
        <v>1.9873062265956087E-2</v>
      </c>
      <c r="N24" s="50">
        <v>8.9213194575722102E-4</v>
      </c>
      <c r="O24" s="31"/>
      <c r="P24" s="31"/>
    </row>
    <row r="25" spans="1:16" x14ac:dyDescent="0.2">
      <c r="A25" s="33" t="s">
        <v>577</v>
      </c>
      <c r="B25" s="50" t="s">
        <v>578</v>
      </c>
      <c r="C25" s="50" t="s">
        <v>218</v>
      </c>
      <c r="D25" s="50" t="s">
        <v>579</v>
      </c>
      <c r="E25" s="50" t="s">
        <v>187</v>
      </c>
      <c r="F25" s="50" t="s">
        <v>580</v>
      </c>
      <c r="G25" s="50" t="s">
        <v>280</v>
      </c>
      <c r="H25" s="50" t="s">
        <v>126</v>
      </c>
      <c r="I25" s="90">
        <v>899570.28</v>
      </c>
      <c r="J25" s="82">
        <v>100</v>
      </c>
      <c r="K25" s="106">
        <v>2892.1184500000004</v>
      </c>
      <c r="L25" s="41" t="s">
        <v>239</v>
      </c>
      <c r="M25" s="41">
        <v>0.90471741831008501</v>
      </c>
      <c r="N25" s="50">
        <v>4.0614138875823387E-2</v>
      </c>
      <c r="O25" s="31"/>
      <c r="P25" s="31"/>
    </row>
    <row r="26" spans="1:16" x14ac:dyDescent="0.2">
      <c r="A26" s="238" t="s">
        <v>581</v>
      </c>
      <c r="B26" s="239" t="s">
        <v>582</v>
      </c>
      <c r="C26" s="239" t="s">
        <v>218</v>
      </c>
      <c r="D26" s="239" t="s">
        <v>579</v>
      </c>
      <c r="E26" s="239" t="s">
        <v>187</v>
      </c>
      <c r="F26" s="239" t="s">
        <v>583</v>
      </c>
      <c r="G26" s="239" t="s">
        <v>372</v>
      </c>
      <c r="H26" s="239" t="s">
        <v>2</v>
      </c>
      <c r="I26" s="243">
        <v>23902.59</v>
      </c>
      <c r="J26" s="241">
        <v>100</v>
      </c>
      <c r="K26" s="244">
        <v>104.97778</v>
      </c>
      <c r="L26" s="242" t="s">
        <v>239</v>
      </c>
      <c r="M26" s="242">
        <v>3.2839327898732527E-2</v>
      </c>
      <c r="N26" s="239">
        <v>1.4742073015009583E-3</v>
      </c>
      <c r="O26" s="31"/>
      <c r="P26" s="31"/>
    </row>
    <row r="27" spans="1:16" s="139" customFormat="1" x14ac:dyDescent="0.2">
      <c r="A27" s="99" t="s">
        <v>230</v>
      </c>
      <c r="B27" s="149"/>
      <c r="C27" s="149"/>
      <c r="D27" s="149"/>
      <c r="E27" s="149"/>
      <c r="F27" s="150"/>
      <c r="G27" s="150"/>
      <c r="H27" s="150"/>
      <c r="I27" s="151"/>
      <c r="J27" s="152"/>
      <c r="K27" s="153"/>
      <c r="L27" s="153"/>
      <c r="M27" s="153"/>
      <c r="N27" s="153"/>
      <c r="O27" s="154"/>
      <c r="P27" s="154"/>
    </row>
    <row r="28" spans="1:16" s="139" customFormat="1" x14ac:dyDescent="0.2">
      <c r="A28" s="99" t="s">
        <v>231</v>
      </c>
      <c r="B28" s="149"/>
      <c r="C28" s="149"/>
      <c r="D28" s="149"/>
      <c r="E28" s="149"/>
      <c r="F28" s="150"/>
      <c r="G28" s="150"/>
      <c r="H28" s="150"/>
      <c r="I28" s="151"/>
      <c r="J28" s="152"/>
      <c r="K28" s="153"/>
      <c r="L28" s="153"/>
      <c r="M28" s="153"/>
      <c r="N28" s="153"/>
      <c r="O28" s="154"/>
      <c r="P28" s="154"/>
    </row>
    <row r="29" spans="1:16" s="139" customFormat="1" x14ac:dyDescent="0.2">
      <c r="A29" s="99" t="s">
        <v>232</v>
      </c>
      <c r="B29" s="149"/>
      <c r="C29" s="149"/>
      <c r="D29" s="149"/>
      <c r="E29" s="149"/>
      <c r="F29" s="150"/>
      <c r="G29" s="150"/>
      <c r="H29" s="150"/>
      <c r="I29" s="151"/>
      <c r="J29" s="152"/>
      <c r="K29" s="153"/>
      <c r="L29" s="153"/>
      <c r="M29" s="153"/>
      <c r="N29" s="153"/>
      <c r="O29" s="154"/>
      <c r="P29" s="154"/>
    </row>
    <row r="30" spans="1:16" s="139" customFormat="1" x14ac:dyDescent="0.2">
      <c r="A30" s="99" t="s">
        <v>233</v>
      </c>
      <c r="B30" s="149"/>
      <c r="C30" s="149"/>
      <c r="D30" s="149"/>
      <c r="E30" s="149"/>
      <c r="F30" s="150"/>
      <c r="G30" s="150"/>
      <c r="H30" s="150"/>
      <c r="I30" s="151"/>
      <c r="J30" s="152"/>
      <c r="K30" s="153"/>
      <c r="L30" s="153"/>
      <c r="M30" s="153"/>
      <c r="N30" s="153"/>
      <c r="O30" s="154"/>
      <c r="P30" s="154"/>
    </row>
    <row r="31" spans="1:16" s="139" customFormat="1" x14ac:dyDescent="0.2">
      <c r="A31" s="99" t="s">
        <v>234</v>
      </c>
      <c r="B31" s="149"/>
      <c r="C31" s="149"/>
      <c r="D31" s="149"/>
      <c r="E31" s="149"/>
      <c r="F31" s="150"/>
      <c r="G31" s="150"/>
      <c r="H31" s="150"/>
      <c r="I31" s="151"/>
      <c r="J31" s="152"/>
      <c r="K31" s="153"/>
      <c r="L31" s="153"/>
      <c r="M31" s="153"/>
      <c r="N31" s="153"/>
      <c r="O31" s="154"/>
      <c r="P31" s="154"/>
    </row>
  </sheetData>
  <mergeCells count="2">
    <mergeCell ref="A6:N6"/>
    <mergeCell ref="A5:N5"/>
  </mergeCells>
  <conditionalFormatting sqref="C10:D10">
    <cfRule type="expression" dxfId="129" priority="16" stopIfTrue="1">
      <formula>LEFT($IB10,3)="TIR"</formula>
    </cfRule>
  </conditionalFormatting>
  <conditionalFormatting sqref="J1:J4 I10:J26 L10:L26 J27:J55561">
    <cfRule type="expression" dxfId="128" priority="174" stopIfTrue="1">
      <formula>LEFT(#REF!,3)="TIR"</formula>
    </cfRule>
  </conditionalFormatting>
  <conditionalFormatting sqref="B10:H10 M10:N26">
    <cfRule type="expression" dxfId="127" priority="178" stopIfTrue="1">
      <formula>OR(LEFT(#REF!,3)="TIR",LEFT(#REF!,2)="IR")</formula>
    </cfRule>
  </conditionalFormatting>
  <conditionalFormatting sqref="A10:A26 K10:K26">
    <cfRule type="expression" dxfId="126" priority="180" stopIfTrue="1">
      <formula>#REF!&gt;0</formula>
    </cfRule>
    <cfRule type="expression" dxfId="125" priority="181" stopIfTrue="1">
      <formula>LEFT(#REF!,3)="TIR"</formula>
    </cfRule>
  </conditionalFormatting>
  <conditionalFormatting sqref="C10:D10 B11:H26">
    <cfRule type="expression" dxfId="124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4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81"/>
      <c r="F2" s="81"/>
      <c r="G2" s="81"/>
      <c r="H2" s="54"/>
      <c r="I2" s="83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0"/>
      <c r="H8" s="15" t="s">
        <v>136</v>
      </c>
      <c r="I8" s="70" t="s">
        <v>9</v>
      </c>
      <c r="J8" s="70" t="s">
        <v>9</v>
      </c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9" customFormat="1" ht="12.75" customHeight="1" thickBot="1" x14ac:dyDescent="0.25">
      <c r="A10" s="169" t="s">
        <v>55</v>
      </c>
      <c r="B10" s="91"/>
      <c r="C10" s="91"/>
      <c r="D10" s="91"/>
      <c r="E10" s="170"/>
      <c r="F10" s="174"/>
      <c r="G10" s="170"/>
      <c r="H10" s="172">
        <v>2.0000000000000002E-7</v>
      </c>
      <c r="I10" s="91"/>
      <c r="J10" s="105">
        <v>1</v>
      </c>
      <c r="K10" s="104">
        <v>0</v>
      </c>
    </row>
    <row r="11" spans="1:16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 t="s">
        <v>239</v>
      </c>
      <c r="J11" s="142">
        <v>0</v>
      </c>
      <c r="K11" s="142">
        <v>0</v>
      </c>
    </row>
    <row r="12" spans="1:16" s="139" customFormat="1" x14ac:dyDescent="0.2">
      <c r="A12" s="114" t="s">
        <v>584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6" t="s">
        <v>239</v>
      </c>
      <c r="H12" s="148">
        <v>0</v>
      </c>
      <c r="I12" s="145" t="s">
        <v>239</v>
      </c>
      <c r="J12" s="142">
        <v>0</v>
      </c>
      <c r="K12" s="142">
        <v>0</v>
      </c>
    </row>
    <row r="13" spans="1:16" s="139" customFormat="1" x14ac:dyDescent="0.2">
      <c r="A13" s="114" t="s">
        <v>363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57" t="s">
        <v>239</v>
      </c>
      <c r="G13" s="146" t="s">
        <v>239</v>
      </c>
      <c r="H13" s="148">
        <v>0</v>
      </c>
      <c r="I13" s="145" t="s">
        <v>239</v>
      </c>
      <c r="J13" s="142">
        <v>0</v>
      </c>
      <c r="K13" s="142">
        <v>0</v>
      </c>
    </row>
    <row r="14" spans="1:16" s="139" customFormat="1" x14ac:dyDescent="0.2">
      <c r="A14" s="203" t="s">
        <v>585</v>
      </c>
      <c r="B14" s="204" t="s">
        <v>239</v>
      </c>
      <c r="C14" s="204" t="s">
        <v>239</v>
      </c>
      <c r="D14" s="204" t="s">
        <v>239</v>
      </c>
      <c r="E14" s="204" t="s">
        <v>239</v>
      </c>
      <c r="F14" s="248" t="s">
        <v>239</v>
      </c>
      <c r="G14" s="205" t="s">
        <v>239</v>
      </c>
      <c r="H14" s="208">
        <v>0</v>
      </c>
      <c r="I14" s="209" t="s">
        <v>239</v>
      </c>
      <c r="J14" s="204">
        <v>0</v>
      </c>
      <c r="K14" s="204">
        <v>0</v>
      </c>
    </row>
    <row r="15" spans="1:16" s="139" customFormat="1" x14ac:dyDescent="0.2">
      <c r="A15" s="99" t="s">
        <v>230</v>
      </c>
      <c r="B15" s="149"/>
      <c r="C15" s="149"/>
      <c r="D15" s="149"/>
      <c r="E15" s="150"/>
      <c r="F15" s="150"/>
      <c r="G15" s="150"/>
      <c r="H15" s="151"/>
      <c r="I15" s="152"/>
      <c r="J15" s="152"/>
      <c r="K15" s="153"/>
      <c r="L15" s="168"/>
      <c r="M15" s="168"/>
      <c r="N15" s="154"/>
      <c r="O15" s="154"/>
    </row>
    <row r="16" spans="1:16" s="139" customFormat="1" x14ac:dyDescent="0.2">
      <c r="A16" s="99" t="s">
        <v>231</v>
      </c>
      <c r="B16" s="149"/>
      <c r="C16" s="149"/>
      <c r="D16" s="149"/>
      <c r="E16" s="150"/>
      <c r="F16" s="150"/>
      <c r="G16" s="150"/>
      <c r="H16" s="151"/>
      <c r="I16" s="152"/>
      <c r="J16" s="152"/>
      <c r="K16" s="153"/>
      <c r="L16" s="168"/>
      <c r="M16" s="168"/>
      <c r="N16" s="154"/>
      <c r="O16" s="154"/>
    </row>
    <row r="17" spans="1:15" s="139" customFormat="1" x14ac:dyDescent="0.2">
      <c r="A17" s="99" t="s">
        <v>232</v>
      </c>
      <c r="B17" s="149"/>
      <c r="C17" s="149"/>
      <c r="D17" s="149"/>
      <c r="E17" s="150"/>
      <c r="F17" s="150"/>
      <c r="G17" s="150"/>
      <c r="H17" s="151"/>
      <c r="I17" s="152"/>
      <c r="J17" s="152"/>
      <c r="K17" s="153"/>
      <c r="L17" s="168"/>
      <c r="M17" s="168"/>
      <c r="N17" s="154"/>
      <c r="O17" s="154"/>
    </row>
    <row r="18" spans="1:15" s="139" customFormat="1" x14ac:dyDescent="0.2">
      <c r="A18" s="99" t="s">
        <v>233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9" t="s">
        <v>234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</sheetData>
  <mergeCells count="2">
    <mergeCell ref="A6:K6"/>
    <mergeCell ref="A5:K5"/>
  </mergeCells>
  <conditionalFormatting sqref="J11:K14">
    <cfRule type="expression" dxfId="123" priority="190" stopIfTrue="1">
      <formula>OR(LEFT(#REF!,3)="TIR",LEFT(#REF!,2)="IR")</formula>
    </cfRule>
  </conditionalFormatting>
  <conditionalFormatting sqref="A10:A14 H10:H14">
    <cfRule type="expression" dxfId="122" priority="191" stopIfTrue="1">
      <formula>#REF!&gt;0</formula>
    </cfRule>
  </conditionalFormatting>
  <conditionalFormatting sqref="G11:G14">
    <cfRule type="expression" dxfId="121" priority="193" stopIfTrue="1">
      <formula>LEFT(#REF!,3)="TIR"</formula>
    </cfRule>
  </conditionalFormatting>
  <conditionalFormatting sqref="B11:E14">
    <cfRule type="expression" dxfId="120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0"/>
  <sheetViews>
    <sheetView rightToLeft="1" zoomScale="90" zoomScaleNormal="90" workbookViewId="0">
      <selection activeCell="A7" sqref="A7:K25"/>
    </sheetView>
  </sheetViews>
  <sheetFormatPr defaultRowHeight="12.75" x14ac:dyDescent="0.2"/>
  <cols>
    <col min="1" max="1" width="26.7109375" style="26" bestFit="1" customWidth="1"/>
    <col min="2" max="2" width="16.14062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81" customWidth="1"/>
    <col min="7" max="7" width="8.7109375" style="81" bestFit="1" customWidth="1"/>
    <col min="8" max="8" width="9.5703125" style="81" customWidth="1"/>
    <col min="9" max="9" width="21.140625" style="54" customWidth="1"/>
    <col min="10" max="10" width="24" style="83" customWidth="1"/>
    <col min="11" max="11" width="19.570312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25"/>
      <c r="F2" s="81"/>
      <c r="G2" s="81"/>
      <c r="H2" s="81"/>
      <c r="I2" s="54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0"/>
      <c r="H8" s="15" t="s">
        <v>136</v>
      </c>
      <c r="I8" s="70" t="s">
        <v>9</v>
      </c>
      <c r="J8" s="77"/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9" customFormat="1" ht="12.75" customHeight="1" thickBot="1" x14ac:dyDescent="0.25">
      <c r="A10" s="169" t="s">
        <v>56</v>
      </c>
      <c r="B10" s="91"/>
      <c r="C10" s="91"/>
      <c r="D10" s="91"/>
      <c r="E10" s="170"/>
      <c r="F10" s="171"/>
      <c r="G10" s="174"/>
      <c r="H10" s="131">
        <v>10.651310899999999</v>
      </c>
      <c r="I10" s="91"/>
      <c r="J10" s="91">
        <v>1</v>
      </c>
      <c r="K10" s="104">
        <v>1.4957679900772089E-4</v>
      </c>
    </row>
    <row r="11" spans="1:16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 t="s">
        <v>239</v>
      </c>
      <c r="J11" s="142">
        <v>0</v>
      </c>
      <c r="K11" s="142">
        <v>0</v>
      </c>
    </row>
    <row r="12" spans="1:16" s="139" customFormat="1" x14ac:dyDescent="0.2">
      <c r="A12" s="114" t="s">
        <v>586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6" t="s">
        <v>239</v>
      </c>
      <c r="H12" s="148">
        <v>0</v>
      </c>
      <c r="I12" s="145" t="s">
        <v>239</v>
      </c>
      <c r="J12" s="142">
        <v>0</v>
      </c>
      <c r="K12" s="145">
        <v>0</v>
      </c>
    </row>
    <row r="13" spans="1:16" s="139" customFormat="1" x14ac:dyDescent="0.2">
      <c r="A13" s="114" t="s">
        <v>587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57" t="s">
        <v>239</v>
      </c>
      <c r="G13" s="146" t="s">
        <v>239</v>
      </c>
      <c r="H13" s="148">
        <v>0</v>
      </c>
      <c r="I13" s="145" t="s">
        <v>239</v>
      </c>
      <c r="J13" s="142">
        <v>0</v>
      </c>
      <c r="K13" s="145">
        <v>0</v>
      </c>
    </row>
    <row r="14" spans="1:16" s="139" customFormat="1" x14ac:dyDescent="0.2">
      <c r="A14" s="114" t="s">
        <v>588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57" t="s">
        <v>239</v>
      </c>
      <c r="G14" s="146" t="s">
        <v>239</v>
      </c>
      <c r="H14" s="148">
        <v>0</v>
      </c>
      <c r="I14" s="145" t="s">
        <v>239</v>
      </c>
      <c r="J14" s="142">
        <v>0</v>
      </c>
      <c r="K14" s="145">
        <v>0</v>
      </c>
    </row>
    <row r="15" spans="1:16" s="139" customFormat="1" x14ac:dyDescent="0.2">
      <c r="A15" s="114" t="s">
        <v>142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57" t="s">
        <v>239</v>
      </c>
      <c r="G15" s="146" t="s">
        <v>239</v>
      </c>
      <c r="H15" s="148">
        <v>0</v>
      </c>
      <c r="I15" s="145" t="s">
        <v>239</v>
      </c>
      <c r="J15" s="142">
        <v>0</v>
      </c>
      <c r="K15" s="145">
        <v>0</v>
      </c>
    </row>
    <row r="16" spans="1:16" s="139" customFormat="1" x14ac:dyDescent="0.2">
      <c r="A16" s="114" t="s">
        <v>363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57" t="s">
        <v>239</v>
      </c>
      <c r="G16" s="146" t="s">
        <v>239</v>
      </c>
      <c r="H16" s="148">
        <v>10.651310500000001</v>
      </c>
      <c r="I16" s="145" t="s">
        <v>239</v>
      </c>
      <c r="J16" s="142">
        <v>0.99999996244593736</v>
      </c>
      <c r="K16" s="145">
        <v>1.495767933905044E-4</v>
      </c>
    </row>
    <row r="17" spans="1:15" s="139" customFormat="1" x14ac:dyDescent="0.2">
      <c r="A17" s="114" t="s">
        <v>586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57" t="s">
        <v>239</v>
      </c>
      <c r="G17" s="146" t="s">
        <v>239</v>
      </c>
      <c r="H17" s="148">
        <v>10.6513101</v>
      </c>
      <c r="I17" s="145" t="s">
        <v>239</v>
      </c>
      <c r="J17" s="142">
        <v>0.99999992489187428</v>
      </c>
      <c r="K17" s="145">
        <v>1.4957678777328785E-4</v>
      </c>
    </row>
    <row r="18" spans="1:15" x14ac:dyDescent="0.2">
      <c r="A18" s="33" t="s">
        <v>589</v>
      </c>
      <c r="B18" s="50" t="s">
        <v>590</v>
      </c>
      <c r="C18" s="50" t="s">
        <v>475</v>
      </c>
      <c r="D18" s="50" t="s">
        <v>187</v>
      </c>
      <c r="E18" s="50" t="s">
        <v>126</v>
      </c>
      <c r="F18" s="90">
        <v>23</v>
      </c>
      <c r="G18" s="87">
        <v>130</v>
      </c>
      <c r="H18" s="115">
        <v>9.6128499999999999</v>
      </c>
      <c r="I18" s="41">
        <v>3.5437265893525161E-7</v>
      </c>
      <c r="J18" s="50">
        <v>0.9025039349851296</v>
      </c>
      <c r="K18" s="41">
        <v>1.349936496869479E-4</v>
      </c>
      <c r="L18" s="31"/>
      <c r="M18" s="31"/>
      <c r="N18" s="31"/>
      <c r="O18" s="31"/>
    </row>
    <row r="19" spans="1:15" x14ac:dyDescent="0.2">
      <c r="A19" s="33" t="s">
        <v>591</v>
      </c>
      <c r="B19" s="50" t="s">
        <v>592</v>
      </c>
      <c r="C19" s="50" t="s">
        <v>475</v>
      </c>
      <c r="D19" s="50" t="s">
        <v>187</v>
      </c>
      <c r="E19" s="50" t="s">
        <v>126</v>
      </c>
      <c r="F19" s="90">
        <v>-23</v>
      </c>
      <c r="G19" s="87">
        <v>25</v>
      </c>
      <c r="H19" s="115">
        <v>-1.8486199999999999</v>
      </c>
      <c r="I19" s="41">
        <v>-3.5437265893525161E-7</v>
      </c>
      <c r="J19" s="50">
        <v>-0.17355797960981498</v>
      </c>
      <c r="K19" s="41">
        <v>-2.5960247032283415E-5</v>
      </c>
      <c r="L19" s="31"/>
      <c r="M19" s="31"/>
      <c r="N19" s="31"/>
      <c r="O19" s="31"/>
    </row>
    <row r="20" spans="1:15" x14ac:dyDescent="0.2">
      <c r="A20" s="33" t="s">
        <v>593</v>
      </c>
      <c r="B20" s="50" t="s">
        <v>594</v>
      </c>
      <c r="C20" s="50" t="s">
        <v>218</v>
      </c>
      <c r="D20" s="50" t="s">
        <v>187</v>
      </c>
      <c r="E20" s="50" t="s">
        <v>127</v>
      </c>
      <c r="F20" s="90">
        <v>2</v>
      </c>
      <c r="G20" s="87">
        <v>7700</v>
      </c>
      <c r="H20" s="115">
        <v>6.0739099999999997</v>
      </c>
      <c r="I20" s="41" t="s">
        <v>239</v>
      </c>
      <c r="J20" s="50">
        <v>0.57024999617652705</v>
      </c>
      <c r="K20" s="41">
        <v>8.5296169062249976E-5</v>
      </c>
      <c r="L20" s="31"/>
      <c r="M20" s="31"/>
      <c r="N20" s="31"/>
      <c r="O20" s="31"/>
    </row>
    <row r="21" spans="1:15" x14ac:dyDescent="0.2">
      <c r="A21" s="33" t="s">
        <v>595</v>
      </c>
      <c r="B21" s="50" t="s">
        <v>596</v>
      </c>
      <c r="C21" s="50" t="s">
        <v>218</v>
      </c>
      <c r="D21" s="50" t="s">
        <v>187</v>
      </c>
      <c r="E21" s="50" t="s">
        <v>127</v>
      </c>
      <c r="F21" s="90">
        <v>-2</v>
      </c>
      <c r="G21" s="87">
        <v>4040</v>
      </c>
      <c r="H21" s="115">
        <v>-3.1868300000000001</v>
      </c>
      <c r="I21" s="41" t="s">
        <v>239</v>
      </c>
      <c r="J21" s="50">
        <v>-0.29919603604848305</v>
      </c>
      <c r="K21" s="41">
        <v>-4.4752785347930759E-5</v>
      </c>
      <c r="L21" s="31"/>
      <c r="M21" s="31"/>
      <c r="N21" s="31"/>
      <c r="O21" s="31"/>
    </row>
    <row r="22" spans="1:15" s="139" customFormat="1" x14ac:dyDescent="0.2">
      <c r="A22" s="114" t="s">
        <v>597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57" t="s">
        <v>239</v>
      </c>
      <c r="G22" s="146" t="s">
        <v>239</v>
      </c>
      <c r="H22" s="148">
        <v>0</v>
      </c>
      <c r="I22" s="145" t="s">
        <v>239</v>
      </c>
      <c r="J22" s="142">
        <v>0</v>
      </c>
      <c r="K22" s="145">
        <v>0</v>
      </c>
    </row>
    <row r="23" spans="1:15" s="139" customFormat="1" x14ac:dyDescent="0.2">
      <c r="A23" s="114" t="s">
        <v>588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57" t="s">
        <v>239</v>
      </c>
      <c r="G23" s="146" t="s">
        <v>239</v>
      </c>
      <c r="H23" s="148">
        <v>0</v>
      </c>
      <c r="I23" s="145" t="s">
        <v>239</v>
      </c>
      <c r="J23" s="142">
        <v>0</v>
      </c>
      <c r="K23" s="145">
        <v>0</v>
      </c>
    </row>
    <row r="24" spans="1:15" s="139" customFormat="1" x14ac:dyDescent="0.2">
      <c r="A24" s="114" t="s">
        <v>598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57" t="s">
        <v>239</v>
      </c>
      <c r="G24" s="146" t="s">
        <v>239</v>
      </c>
      <c r="H24" s="148">
        <v>0</v>
      </c>
      <c r="I24" s="145" t="s">
        <v>239</v>
      </c>
      <c r="J24" s="142">
        <v>0</v>
      </c>
      <c r="K24" s="145">
        <v>0</v>
      </c>
    </row>
    <row r="25" spans="1:15" s="139" customFormat="1" x14ac:dyDescent="0.2">
      <c r="A25" s="203" t="s">
        <v>142</v>
      </c>
      <c r="B25" s="204" t="s">
        <v>239</v>
      </c>
      <c r="C25" s="204" t="s">
        <v>239</v>
      </c>
      <c r="D25" s="204" t="s">
        <v>239</v>
      </c>
      <c r="E25" s="204" t="s">
        <v>239</v>
      </c>
      <c r="F25" s="248" t="s">
        <v>239</v>
      </c>
      <c r="G25" s="205" t="s">
        <v>239</v>
      </c>
      <c r="H25" s="208">
        <v>0</v>
      </c>
      <c r="I25" s="209" t="s">
        <v>239</v>
      </c>
      <c r="J25" s="204">
        <v>0</v>
      </c>
      <c r="K25" s="209">
        <v>0</v>
      </c>
    </row>
    <row r="26" spans="1:15" s="139" customFormat="1" x14ac:dyDescent="0.2">
      <c r="A26" s="99" t="s">
        <v>230</v>
      </c>
      <c r="B26" s="149"/>
      <c r="C26" s="149"/>
      <c r="D26" s="149"/>
      <c r="E26" s="149"/>
      <c r="F26" s="150"/>
      <c r="G26" s="150"/>
      <c r="H26" s="150"/>
      <c r="I26" s="151"/>
      <c r="J26" s="152"/>
      <c r="K26" s="153"/>
      <c r="L26" s="168"/>
      <c r="M26" s="168"/>
      <c r="N26" s="154"/>
      <c r="O26" s="154"/>
    </row>
    <row r="27" spans="1:15" s="139" customFormat="1" x14ac:dyDescent="0.2">
      <c r="A27" s="99" t="s">
        <v>231</v>
      </c>
      <c r="B27" s="149"/>
      <c r="C27" s="149"/>
      <c r="D27" s="149"/>
      <c r="E27" s="149"/>
      <c r="F27" s="150"/>
      <c r="G27" s="150"/>
      <c r="H27" s="150"/>
      <c r="I27" s="151"/>
      <c r="J27" s="152"/>
      <c r="K27" s="153"/>
      <c r="L27" s="168"/>
      <c r="M27" s="168"/>
      <c r="N27" s="154"/>
      <c r="O27" s="154"/>
    </row>
    <row r="28" spans="1:15" s="139" customFormat="1" x14ac:dyDescent="0.2">
      <c r="A28" s="99" t="s">
        <v>232</v>
      </c>
      <c r="B28" s="149"/>
      <c r="C28" s="149"/>
      <c r="D28" s="149"/>
      <c r="E28" s="149"/>
      <c r="F28" s="150"/>
      <c r="G28" s="150"/>
      <c r="H28" s="150"/>
      <c r="I28" s="151"/>
      <c r="J28" s="152"/>
      <c r="K28" s="153"/>
      <c r="L28" s="168"/>
      <c r="M28" s="168"/>
      <c r="N28" s="154"/>
      <c r="O28" s="154"/>
    </row>
    <row r="29" spans="1:15" s="139" customFormat="1" x14ac:dyDescent="0.2">
      <c r="A29" s="99" t="s">
        <v>233</v>
      </c>
      <c r="B29" s="149"/>
      <c r="C29" s="149"/>
      <c r="D29" s="149"/>
      <c r="E29" s="149"/>
      <c r="F29" s="150"/>
      <c r="G29" s="150"/>
      <c r="H29" s="150"/>
      <c r="I29" s="151"/>
      <c r="J29" s="152"/>
      <c r="K29" s="153"/>
      <c r="L29" s="168"/>
      <c r="M29" s="168"/>
      <c r="N29" s="154"/>
      <c r="O29" s="154"/>
    </row>
    <row r="30" spans="1:15" s="139" customFormat="1" x14ac:dyDescent="0.2">
      <c r="A30" s="99" t="s">
        <v>234</v>
      </c>
      <c r="B30" s="149"/>
      <c r="C30" s="149"/>
      <c r="D30" s="149"/>
      <c r="E30" s="149"/>
      <c r="F30" s="150"/>
      <c r="G30" s="150"/>
      <c r="H30" s="150"/>
      <c r="I30" s="151"/>
      <c r="J30" s="152"/>
      <c r="K30" s="153"/>
      <c r="L30" s="168"/>
      <c r="M30" s="168"/>
      <c r="N30" s="154"/>
      <c r="O30" s="154"/>
    </row>
  </sheetData>
  <mergeCells count="2">
    <mergeCell ref="A6:K6"/>
    <mergeCell ref="A5:K5"/>
  </mergeCells>
  <conditionalFormatting sqref="J1:J4 F10:I25 I26:I55560">
    <cfRule type="expression" dxfId="119" priority="205" stopIfTrue="1">
      <formula>LEFT(#REF!,3)="TIR"</formula>
    </cfRule>
  </conditionalFormatting>
  <conditionalFormatting sqref="B10:F25 J10:K25">
    <cfRule type="expression" dxfId="118" priority="208" stopIfTrue="1">
      <formula>LEFT(#REF!,3)="TIR"</formula>
    </cfRule>
  </conditionalFormatting>
  <conditionalFormatting sqref="A10:A25 I10:I25">
    <cfRule type="expression" dxfId="117" priority="210" stopIfTrue="1">
      <formula>#REF!&gt;0</formula>
    </cfRule>
    <cfRule type="expression" dxfId="116" priority="211" stopIfTrue="1">
      <formula>LEFT(#REF!,3)="TIR"</formula>
    </cfRule>
  </conditionalFormatting>
  <conditionalFormatting sqref="H11:H25 J11:K25">
    <cfRule type="expression" dxfId="115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19.42578125" style="26" bestFit="1" customWidth="1"/>
    <col min="2" max="2" width="14.28515625" style="25" bestFit="1" customWidth="1"/>
    <col min="3" max="3" width="9.140625" style="26" bestFit="1" customWidth="1"/>
    <col min="4" max="4" width="8.5703125" style="26" bestFit="1" customWidth="1"/>
    <col min="5" max="5" width="10.85546875" style="81" bestFit="1" customWidth="1"/>
    <col min="6" max="6" width="7.7109375" style="27" bestFit="1" customWidth="1"/>
    <col min="7" max="7" width="8.5703125" style="27" bestFit="1" customWidth="1"/>
    <col min="8" max="8" width="8" style="28" bestFit="1" customWidth="1"/>
    <col min="9" max="9" width="11.7109375" style="28" bestFit="1" customWidth="1"/>
    <col min="10" max="10" width="16.28515625" style="29" bestFit="1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1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6"/>
      <c r="D2" s="26"/>
      <c r="E2" s="81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1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1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22" t="s">
        <v>157</v>
      </c>
      <c r="B7" s="17" t="s">
        <v>69</v>
      </c>
      <c r="C7" s="17" t="s">
        <v>76</v>
      </c>
      <c r="D7" s="17" t="s">
        <v>19</v>
      </c>
      <c r="E7" s="17" t="s">
        <v>6</v>
      </c>
      <c r="F7" s="18" t="s">
        <v>67</v>
      </c>
      <c r="G7" s="18" t="s">
        <v>68</v>
      </c>
      <c r="H7" s="18" t="s">
        <v>7</v>
      </c>
      <c r="I7" s="47" t="s">
        <v>75</v>
      </c>
      <c r="J7" s="19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5">
        <v>9</v>
      </c>
    </row>
    <row r="10" spans="1:16" s="139" customFormat="1" ht="12.75" customHeight="1" thickBot="1" x14ac:dyDescent="0.25">
      <c r="A10" s="169" t="s">
        <v>62</v>
      </c>
      <c r="B10" s="91"/>
      <c r="C10" s="91"/>
      <c r="D10" s="91"/>
      <c r="E10" s="170"/>
      <c r="F10" s="171"/>
      <c r="G10" s="170"/>
      <c r="H10" s="172">
        <v>98.120670199999992</v>
      </c>
      <c r="I10" s="91">
        <v>1</v>
      </c>
      <c r="J10" s="104">
        <v>1.3779126252908707E-3</v>
      </c>
    </row>
    <row r="11" spans="1:16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114" t="s">
        <v>363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57" t="s">
        <v>239</v>
      </c>
      <c r="G12" s="147" t="s">
        <v>239</v>
      </c>
      <c r="H12" s="148">
        <v>98.120670099999984</v>
      </c>
      <c r="I12" s="142">
        <v>0.99999999898084668</v>
      </c>
      <c r="J12" s="142">
        <v>1.3779126238865666E-3</v>
      </c>
    </row>
    <row r="13" spans="1:16" x14ac:dyDescent="0.2">
      <c r="A13" s="33" t="s">
        <v>599</v>
      </c>
      <c r="B13" s="50" t="s">
        <v>600</v>
      </c>
      <c r="C13" s="50" t="s">
        <v>218</v>
      </c>
      <c r="D13" s="50" t="s">
        <v>187</v>
      </c>
      <c r="E13" s="50" t="s">
        <v>127</v>
      </c>
      <c r="F13" s="90">
        <v>1</v>
      </c>
      <c r="G13" s="82">
        <v>13746</v>
      </c>
      <c r="H13" s="106">
        <v>45.603650000000002</v>
      </c>
      <c r="I13" s="50">
        <v>0.46477108143519391</v>
      </c>
      <c r="J13" s="50">
        <v>6.4041394097964516E-4</v>
      </c>
      <c r="K13" s="31"/>
      <c r="L13" s="31"/>
      <c r="M13" s="31"/>
      <c r="N13" s="31"/>
      <c r="O13" s="31"/>
    </row>
    <row r="14" spans="1:16" x14ac:dyDescent="0.2">
      <c r="A14" s="33" t="s">
        <v>601</v>
      </c>
      <c r="B14" s="50" t="s">
        <v>602</v>
      </c>
      <c r="C14" s="50" t="s">
        <v>218</v>
      </c>
      <c r="D14" s="50" t="s">
        <v>187</v>
      </c>
      <c r="E14" s="50" t="s">
        <v>126</v>
      </c>
      <c r="F14" s="90">
        <v>3</v>
      </c>
      <c r="G14" s="82">
        <v>3748.75</v>
      </c>
      <c r="H14" s="106">
        <v>52.517019999999995</v>
      </c>
      <c r="I14" s="50">
        <v>0.53522891652649962</v>
      </c>
      <c r="J14" s="50">
        <v>7.3749868150261742E-4</v>
      </c>
      <c r="K14" s="31"/>
      <c r="L14" s="31"/>
      <c r="M14" s="31"/>
      <c r="N14" s="31"/>
      <c r="O14" s="31"/>
    </row>
    <row r="15" spans="1:16" s="139" customFormat="1" x14ac:dyDescent="0.2">
      <c r="A15" s="99" t="s">
        <v>230</v>
      </c>
      <c r="B15" s="149"/>
      <c r="C15" s="99"/>
      <c r="D15" s="99"/>
      <c r="E15" s="150"/>
      <c r="F15" s="166"/>
      <c r="G15" s="166"/>
      <c r="H15" s="167"/>
      <c r="I15" s="167"/>
      <c r="J15" s="154"/>
      <c r="K15" s="168"/>
      <c r="L15" s="168"/>
      <c r="M15" s="168"/>
      <c r="N15" s="154"/>
      <c r="O15" s="154"/>
    </row>
    <row r="16" spans="1:16" s="139" customFormat="1" x14ac:dyDescent="0.2">
      <c r="A16" s="99" t="s">
        <v>231</v>
      </c>
      <c r="B16" s="149"/>
      <c r="C16" s="99"/>
      <c r="D16" s="99"/>
      <c r="E16" s="150"/>
      <c r="F16" s="166"/>
      <c r="G16" s="166"/>
      <c r="H16" s="167"/>
      <c r="I16" s="167"/>
      <c r="J16" s="154"/>
      <c r="K16" s="168"/>
      <c r="L16" s="168"/>
      <c r="M16" s="168"/>
      <c r="N16" s="154"/>
      <c r="O16" s="154"/>
    </row>
    <row r="17" spans="1:15" s="139" customFormat="1" x14ac:dyDescent="0.2">
      <c r="A17" s="99" t="s">
        <v>232</v>
      </c>
      <c r="B17" s="149"/>
      <c r="C17" s="99"/>
      <c r="D17" s="99"/>
      <c r="E17" s="150"/>
      <c r="F17" s="166"/>
      <c r="G17" s="166"/>
      <c r="H17" s="167"/>
      <c r="I17" s="167"/>
      <c r="J17" s="154"/>
      <c r="K17" s="168"/>
      <c r="L17" s="168"/>
      <c r="M17" s="168"/>
      <c r="N17" s="154"/>
      <c r="O17" s="154"/>
    </row>
    <row r="18" spans="1:15" s="139" customFormat="1" x14ac:dyDescent="0.2">
      <c r="A18" s="99" t="s">
        <v>233</v>
      </c>
      <c r="B18" s="149"/>
      <c r="C18" s="99"/>
      <c r="D18" s="99"/>
      <c r="E18" s="150"/>
      <c r="F18" s="166"/>
      <c r="G18" s="166"/>
      <c r="H18" s="167"/>
      <c r="I18" s="167"/>
      <c r="J18" s="154"/>
      <c r="K18" s="168"/>
      <c r="L18" s="168"/>
      <c r="M18" s="168"/>
      <c r="N18" s="154"/>
      <c r="O18" s="154"/>
    </row>
    <row r="19" spans="1:15" s="139" customFormat="1" x14ac:dyDescent="0.2">
      <c r="A19" s="99" t="s">
        <v>234</v>
      </c>
      <c r="B19" s="149"/>
      <c r="C19" s="99"/>
      <c r="D19" s="99"/>
      <c r="E19" s="150"/>
      <c r="F19" s="166"/>
      <c r="G19" s="166"/>
      <c r="H19" s="167"/>
      <c r="I19" s="167"/>
      <c r="J19" s="154"/>
      <c r="K19" s="168"/>
      <c r="L19" s="168"/>
      <c r="M19" s="168"/>
      <c r="N19" s="154"/>
      <c r="O19" s="154"/>
    </row>
  </sheetData>
  <mergeCells count="2">
    <mergeCell ref="A6:J6"/>
    <mergeCell ref="A5:J5"/>
  </mergeCells>
  <conditionalFormatting sqref="J1:J4 F10:G14 J15:J55549">
    <cfRule type="expression" dxfId="114" priority="231" stopIfTrue="1">
      <formula>LEFT(#REF!,3)="TIR"</formula>
    </cfRule>
  </conditionalFormatting>
  <conditionalFormatting sqref="B10:E14 I10:J14">
    <cfRule type="expression" dxfId="113" priority="234" stopIfTrue="1">
      <formula>LEFT(#REF!,3)="TIR"</formula>
    </cfRule>
  </conditionalFormatting>
  <conditionalFormatting sqref="A10:A14 H10:I10 I11:I14">
    <cfRule type="expression" dxfId="112" priority="236" stopIfTrue="1">
      <formula>#REF!&gt;0</formula>
    </cfRule>
    <cfRule type="expression" dxfId="111" priority="237" stopIfTrue="1">
      <formula>LEFT(#REF!,3)="TIR"</formula>
    </cfRule>
  </conditionalFormatting>
  <conditionalFormatting sqref="J11:J14">
    <cfRule type="expression" dxfId="110" priority="242" stopIfTrue="1">
      <formula>OR(LEFT(#REF!,3)="TIR",LEFT(#REF!,2)="IR")</formula>
    </cfRule>
  </conditionalFormatting>
  <conditionalFormatting sqref="H11:I14">
    <cfRule type="expression" dxfId="109" priority="243" stopIfTrue="1">
      <formula>#REF!&gt;0</formula>
    </cfRule>
    <cfRule type="expression" dxfId="108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151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74"/>
      <c r="F8" s="74" t="s">
        <v>40</v>
      </c>
      <c r="G8" s="74" t="s">
        <v>16</v>
      </c>
      <c r="H8" s="46"/>
      <c r="I8" s="70" t="s">
        <v>9</v>
      </c>
      <c r="J8" s="70" t="s">
        <v>9</v>
      </c>
      <c r="K8" s="15" t="s">
        <v>134</v>
      </c>
      <c r="L8" s="70"/>
      <c r="M8" s="15" t="s">
        <v>136</v>
      </c>
      <c r="N8" s="77" t="s">
        <v>9</v>
      </c>
      <c r="O8" s="77" t="s">
        <v>9</v>
      </c>
      <c r="P8" s="76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39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1.2000000000000002E-6</v>
      </c>
      <c r="N10" s="88"/>
      <c r="O10" s="88">
        <v>1</v>
      </c>
      <c r="P10" s="103">
        <v>0</v>
      </c>
    </row>
    <row r="11" spans="1:16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46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3">
        <v>0</v>
      </c>
      <c r="N11" s="142" t="s">
        <v>239</v>
      </c>
      <c r="O11" s="142">
        <v>0</v>
      </c>
      <c r="P11" s="142">
        <v>0</v>
      </c>
    </row>
    <row r="12" spans="1:16" s="139" customFormat="1" x14ac:dyDescent="0.2">
      <c r="A12" s="114" t="s">
        <v>603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46" t="s">
        <v>239</v>
      </c>
      <c r="I12" s="142" t="s">
        <v>239</v>
      </c>
      <c r="J12" s="142" t="s">
        <v>239</v>
      </c>
      <c r="K12" s="157" t="s">
        <v>239</v>
      </c>
      <c r="L12" s="147" t="s">
        <v>239</v>
      </c>
      <c r="M12" s="148">
        <v>0</v>
      </c>
      <c r="N12" s="145" t="s">
        <v>239</v>
      </c>
      <c r="O12" s="145">
        <v>0</v>
      </c>
      <c r="P12" s="145">
        <v>0</v>
      </c>
    </row>
    <row r="13" spans="1:16" s="139" customFormat="1" x14ac:dyDescent="0.2">
      <c r="A13" s="114" t="s">
        <v>604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6" t="s">
        <v>239</v>
      </c>
      <c r="H13" s="146" t="s">
        <v>239</v>
      </c>
      <c r="I13" s="142" t="s">
        <v>239</v>
      </c>
      <c r="J13" s="142" t="s">
        <v>239</v>
      </c>
      <c r="K13" s="157" t="s">
        <v>239</v>
      </c>
      <c r="L13" s="147" t="s">
        <v>239</v>
      </c>
      <c r="M13" s="148">
        <v>0</v>
      </c>
      <c r="N13" s="145" t="s">
        <v>239</v>
      </c>
      <c r="O13" s="145">
        <v>0</v>
      </c>
      <c r="P13" s="145">
        <v>0</v>
      </c>
    </row>
    <row r="14" spans="1:16" s="139" customFormat="1" x14ac:dyDescent="0.2">
      <c r="A14" s="114" t="s">
        <v>605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6" t="s">
        <v>239</v>
      </c>
      <c r="H14" s="146" t="s">
        <v>239</v>
      </c>
      <c r="I14" s="142" t="s">
        <v>239</v>
      </c>
      <c r="J14" s="142" t="s">
        <v>239</v>
      </c>
      <c r="K14" s="157" t="s">
        <v>239</v>
      </c>
      <c r="L14" s="147" t="s">
        <v>239</v>
      </c>
      <c r="M14" s="148">
        <v>0</v>
      </c>
      <c r="N14" s="145" t="s">
        <v>239</v>
      </c>
      <c r="O14" s="145">
        <v>0</v>
      </c>
      <c r="P14" s="145">
        <v>0</v>
      </c>
    </row>
    <row r="15" spans="1:16" s="139" customFormat="1" x14ac:dyDescent="0.2">
      <c r="A15" s="114" t="s">
        <v>606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6" t="s">
        <v>239</v>
      </c>
      <c r="H15" s="146" t="s">
        <v>239</v>
      </c>
      <c r="I15" s="142" t="s">
        <v>239</v>
      </c>
      <c r="J15" s="142" t="s">
        <v>239</v>
      </c>
      <c r="K15" s="157" t="s">
        <v>239</v>
      </c>
      <c r="L15" s="147" t="s">
        <v>239</v>
      </c>
      <c r="M15" s="148">
        <v>0</v>
      </c>
      <c r="N15" s="145" t="s">
        <v>239</v>
      </c>
      <c r="O15" s="145">
        <v>0</v>
      </c>
      <c r="P15" s="145">
        <v>0</v>
      </c>
    </row>
    <row r="16" spans="1:16" s="139" customFormat="1" x14ac:dyDescent="0.2">
      <c r="A16" s="114" t="s">
        <v>607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6" t="s">
        <v>239</v>
      </c>
      <c r="H16" s="146" t="s">
        <v>239</v>
      </c>
      <c r="I16" s="142" t="s">
        <v>239</v>
      </c>
      <c r="J16" s="142" t="s">
        <v>239</v>
      </c>
      <c r="K16" s="157" t="s">
        <v>239</v>
      </c>
      <c r="L16" s="147" t="s">
        <v>239</v>
      </c>
      <c r="M16" s="148">
        <v>0</v>
      </c>
      <c r="N16" s="145" t="s">
        <v>239</v>
      </c>
      <c r="O16" s="145">
        <v>0</v>
      </c>
      <c r="P16" s="145">
        <v>0</v>
      </c>
    </row>
    <row r="17" spans="1:16" s="139" customFormat="1" x14ac:dyDescent="0.2">
      <c r="A17" s="114" t="s">
        <v>608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6" t="s">
        <v>239</v>
      </c>
      <c r="H17" s="146" t="s">
        <v>239</v>
      </c>
      <c r="I17" s="142" t="s">
        <v>239</v>
      </c>
      <c r="J17" s="142" t="s">
        <v>239</v>
      </c>
      <c r="K17" s="157" t="s">
        <v>239</v>
      </c>
      <c r="L17" s="147" t="s">
        <v>239</v>
      </c>
      <c r="M17" s="148">
        <v>0</v>
      </c>
      <c r="N17" s="145" t="s">
        <v>239</v>
      </c>
      <c r="O17" s="145">
        <v>0</v>
      </c>
      <c r="P17" s="145">
        <v>0</v>
      </c>
    </row>
    <row r="18" spans="1:16" s="139" customFormat="1" x14ac:dyDescent="0.2">
      <c r="A18" s="114" t="s">
        <v>609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6" t="s">
        <v>239</v>
      </c>
      <c r="H18" s="146" t="s">
        <v>239</v>
      </c>
      <c r="I18" s="142" t="s">
        <v>239</v>
      </c>
      <c r="J18" s="142" t="s">
        <v>239</v>
      </c>
      <c r="K18" s="157" t="s">
        <v>239</v>
      </c>
      <c r="L18" s="147" t="s">
        <v>239</v>
      </c>
      <c r="M18" s="148">
        <v>0</v>
      </c>
      <c r="N18" s="145" t="s">
        <v>239</v>
      </c>
      <c r="O18" s="145">
        <v>0</v>
      </c>
      <c r="P18" s="145">
        <v>0</v>
      </c>
    </row>
    <row r="19" spans="1:16" s="139" customFormat="1" x14ac:dyDescent="0.2">
      <c r="A19" s="114" t="s">
        <v>363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6" t="s">
        <v>239</v>
      </c>
      <c r="H19" s="146" t="s">
        <v>239</v>
      </c>
      <c r="I19" s="142" t="s">
        <v>239</v>
      </c>
      <c r="J19" s="142" t="s">
        <v>239</v>
      </c>
      <c r="K19" s="157" t="s">
        <v>239</v>
      </c>
      <c r="L19" s="147" t="s">
        <v>239</v>
      </c>
      <c r="M19" s="148">
        <v>0</v>
      </c>
      <c r="N19" s="145" t="s">
        <v>239</v>
      </c>
      <c r="O19" s="145">
        <v>0</v>
      </c>
      <c r="P19" s="145">
        <v>0</v>
      </c>
    </row>
    <row r="20" spans="1:16" s="139" customFormat="1" x14ac:dyDescent="0.2">
      <c r="A20" s="114" t="s">
        <v>610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6" t="s">
        <v>239</v>
      </c>
      <c r="H20" s="146" t="s">
        <v>239</v>
      </c>
      <c r="I20" s="142" t="s">
        <v>239</v>
      </c>
      <c r="J20" s="142" t="s">
        <v>239</v>
      </c>
      <c r="K20" s="157" t="s">
        <v>239</v>
      </c>
      <c r="L20" s="147" t="s">
        <v>239</v>
      </c>
      <c r="M20" s="148">
        <v>0</v>
      </c>
      <c r="N20" s="145" t="s">
        <v>239</v>
      </c>
      <c r="O20" s="145">
        <v>0</v>
      </c>
      <c r="P20" s="145">
        <v>0</v>
      </c>
    </row>
    <row r="21" spans="1:16" s="139" customFormat="1" x14ac:dyDescent="0.2">
      <c r="A21" s="114" t="s">
        <v>611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6" t="s">
        <v>239</v>
      </c>
      <c r="H21" s="146" t="s">
        <v>239</v>
      </c>
      <c r="I21" s="142" t="s">
        <v>239</v>
      </c>
      <c r="J21" s="142" t="s">
        <v>239</v>
      </c>
      <c r="K21" s="157" t="s">
        <v>239</v>
      </c>
      <c r="L21" s="147" t="s">
        <v>239</v>
      </c>
      <c r="M21" s="148">
        <v>0</v>
      </c>
      <c r="N21" s="145" t="s">
        <v>239</v>
      </c>
      <c r="O21" s="145">
        <v>0</v>
      </c>
      <c r="P21" s="145">
        <v>0</v>
      </c>
    </row>
    <row r="22" spans="1:16" s="139" customFormat="1" x14ac:dyDescent="0.2">
      <c r="A22" s="114" t="s">
        <v>612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6" t="s">
        <v>239</v>
      </c>
      <c r="H22" s="146" t="s">
        <v>239</v>
      </c>
      <c r="I22" s="142" t="s">
        <v>239</v>
      </c>
      <c r="J22" s="142" t="s">
        <v>239</v>
      </c>
      <c r="K22" s="157" t="s">
        <v>239</v>
      </c>
      <c r="L22" s="147" t="s">
        <v>239</v>
      </c>
      <c r="M22" s="148">
        <v>0</v>
      </c>
      <c r="N22" s="145" t="s">
        <v>239</v>
      </c>
      <c r="O22" s="145">
        <v>0</v>
      </c>
      <c r="P22" s="145">
        <v>0</v>
      </c>
    </row>
    <row r="23" spans="1:16" s="139" customFormat="1" x14ac:dyDescent="0.2">
      <c r="A23" s="114" t="s">
        <v>606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42" t="s">
        <v>239</v>
      </c>
      <c r="G23" s="146" t="s">
        <v>239</v>
      </c>
      <c r="H23" s="146" t="s">
        <v>239</v>
      </c>
      <c r="I23" s="142" t="s">
        <v>239</v>
      </c>
      <c r="J23" s="142" t="s">
        <v>239</v>
      </c>
      <c r="K23" s="157" t="s">
        <v>239</v>
      </c>
      <c r="L23" s="147" t="s">
        <v>239</v>
      </c>
      <c r="M23" s="148">
        <v>0</v>
      </c>
      <c r="N23" s="145" t="s">
        <v>239</v>
      </c>
      <c r="O23" s="145">
        <v>0</v>
      </c>
      <c r="P23" s="145">
        <v>0</v>
      </c>
    </row>
    <row r="24" spans="1:16" s="139" customFormat="1" x14ac:dyDescent="0.2">
      <c r="A24" s="114" t="s">
        <v>607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42" t="s">
        <v>239</v>
      </c>
      <c r="G24" s="146" t="s">
        <v>239</v>
      </c>
      <c r="H24" s="146" t="s">
        <v>239</v>
      </c>
      <c r="I24" s="142" t="s">
        <v>239</v>
      </c>
      <c r="J24" s="142" t="s">
        <v>239</v>
      </c>
      <c r="K24" s="157" t="s">
        <v>239</v>
      </c>
      <c r="L24" s="147" t="s">
        <v>239</v>
      </c>
      <c r="M24" s="148">
        <v>0</v>
      </c>
      <c r="N24" s="145" t="s">
        <v>239</v>
      </c>
      <c r="O24" s="145">
        <v>0</v>
      </c>
      <c r="P24" s="145">
        <v>0</v>
      </c>
    </row>
    <row r="25" spans="1:16" s="139" customFormat="1" x14ac:dyDescent="0.2">
      <c r="A25" s="114" t="s">
        <v>608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6" t="s">
        <v>239</v>
      </c>
      <c r="H25" s="146" t="s">
        <v>239</v>
      </c>
      <c r="I25" s="142" t="s">
        <v>239</v>
      </c>
      <c r="J25" s="142" t="s">
        <v>239</v>
      </c>
      <c r="K25" s="157" t="s">
        <v>239</v>
      </c>
      <c r="L25" s="147" t="s">
        <v>239</v>
      </c>
      <c r="M25" s="148">
        <v>0</v>
      </c>
      <c r="N25" s="145" t="s">
        <v>239</v>
      </c>
      <c r="O25" s="145">
        <v>0</v>
      </c>
      <c r="P25" s="145">
        <v>0</v>
      </c>
    </row>
    <row r="26" spans="1:16" s="139" customFormat="1" x14ac:dyDescent="0.2">
      <c r="A26" s="203" t="s">
        <v>609</v>
      </c>
      <c r="B26" s="204" t="s">
        <v>239</v>
      </c>
      <c r="C26" s="204" t="s">
        <v>239</v>
      </c>
      <c r="D26" s="204" t="s">
        <v>239</v>
      </c>
      <c r="E26" s="204" t="s">
        <v>239</v>
      </c>
      <c r="F26" s="204" t="s">
        <v>239</v>
      </c>
      <c r="G26" s="205" t="s">
        <v>239</v>
      </c>
      <c r="H26" s="205" t="s">
        <v>239</v>
      </c>
      <c r="I26" s="204" t="s">
        <v>239</v>
      </c>
      <c r="J26" s="204" t="s">
        <v>239</v>
      </c>
      <c r="K26" s="248" t="s">
        <v>239</v>
      </c>
      <c r="L26" s="207" t="s">
        <v>239</v>
      </c>
      <c r="M26" s="208">
        <v>0</v>
      </c>
      <c r="N26" s="209" t="s">
        <v>239</v>
      </c>
      <c r="O26" s="209">
        <v>0</v>
      </c>
      <c r="P26" s="209">
        <v>0</v>
      </c>
    </row>
    <row r="27" spans="1:16" s="139" customFormat="1" x14ac:dyDescent="0.2">
      <c r="A27" s="99" t="s">
        <v>230</v>
      </c>
      <c r="B27" s="149"/>
      <c r="C27" s="99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9" t="s">
        <v>231</v>
      </c>
      <c r="B28" s="149"/>
      <c r="C28" s="99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9" t="s">
        <v>232</v>
      </c>
      <c r="B29" s="149"/>
      <c r="C29" s="99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9" t="s">
        <v>233</v>
      </c>
      <c r="B30" s="149"/>
      <c r="C30" s="99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9" t="s">
        <v>234</v>
      </c>
      <c r="B31" s="149"/>
      <c r="C31" s="99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O11:P26">
    <cfRule type="expression" dxfId="107" priority="249" stopIfTrue="1">
      <formula>OR(LEFT(#REF!,3)="TIR",LEFT(#REF!,2)="IR")</formula>
    </cfRule>
  </conditionalFormatting>
  <conditionalFormatting sqref="A11:A26 M11:M26">
    <cfRule type="expression" dxfId="106" priority="250" stopIfTrue="1">
      <formula>#REF!&gt;0</formula>
    </cfRule>
  </conditionalFormatting>
  <conditionalFormatting sqref="B11:J26">
    <cfRule type="expression" dxfId="10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08" t="s">
        <v>157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39" customFormat="1" ht="12.75" customHeight="1" thickBot="1" x14ac:dyDescent="0.25">
      <c r="A10" s="93" t="s">
        <v>52</v>
      </c>
      <c r="B10" s="140" t="s">
        <v>239</v>
      </c>
      <c r="C10" s="140"/>
      <c r="D10" s="140"/>
      <c r="E10" s="140" t="s">
        <v>239</v>
      </c>
      <c r="F10" s="140" t="s">
        <v>239</v>
      </c>
      <c r="G10" s="140" t="s">
        <v>239</v>
      </c>
      <c r="H10" s="140" t="s">
        <v>239</v>
      </c>
      <c r="I10" s="140" t="s">
        <v>239</v>
      </c>
      <c r="J10" s="175" t="s">
        <v>239</v>
      </c>
      <c r="K10" s="140" t="s">
        <v>239</v>
      </c>
      <c r="L10" s="130">
        <v>6.9999999999999997E-7</v>
      </c>
      <c r="M10" s="140" t="s">
        <v>239</v>
      </c>
      <c r="N10" s="129">
        <v>1</v>
      </c>
      <c r="O10" s="80">
        <v>0</v>
      </c>
    </row>
    <row r="11" spans="1:15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46" t="s">
        <v>239</v>
      </c>
      <c r="H11" s="142" t="s">
        <v>239</v>
      </c>
      <c r="I11" s="142" t="s">
        <v>239</v>
      </c>
      <c r="J11" s="164" t="s">
        <v>239</v>
      </c>
      <c r="K11" s="163" t="s">
        <v>239</v>
      </c>
      <c r="L11" s="143">
        <v>0</v>
      </c>
      <c r="M11" s="176" t="s">
        <v>239</v>
      </c>
      <c r="N11" s="142">
        <v>0</v>
      </c>
      <c r="O11" s="142">
        <v>0</v>
      </c>
    </row>
    <row r="12" spans="1:15" s="139" customFormat="1" x14ac:dyDescent="0.2">
      <c r="A12" s="114" t="s">
        <v>613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6" t="s">
        <v>239</v>
      </c>
      <c r="G12" s="146" t="s">
        <v>239</v>
      </c>
      <c r="H12" s="142" t="s">
        <v>239</v>
      </c>
      <c r="I12" s="142" t="s">
        <v>239</v>
      </c>
      <c r="J12" s="164" t="s">
        <v>239</v>
      </c>
      <c r="K12" s="165" t="s">
        <v>239</v>
      </c>
      <c r="L12" s="148">
        <v>0</v>
      </c>
      <c r="M12" s="177" t="s">
        <v>239</v>
      </c>
      <c r="N12" s="145">
        <v>0</v>
      </c>
      <c r="O12" s="145">
        <v>0</v>
      </c>
    </row>
    <row r="13" spans="1:15" s="139" customFormat="1" x14ac:dyDescent="0.2">
      <c r="A13" s="114" t="s">
        <v>614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6" t="s">
        <v>239</v>
      </c>
      <c r="G13" s="146" t="s">
        <v>239</v>
      </c>
      <c r="H13" s="142" t="s">
        <v>239</v>
      </c>
      <c r="I13" s="142" t="s">
        <v>239</v>
      </c>
      <c r="J13" s="164" t="s">
        <v>239</v>
      </c>
      <c r="K13" s="165" t="s">
        <v>239</v>
      </c>
      <c r="L13" s="148">
        <v>0</v>
      </c>
      <c r="M13" s="177" t="s">
        <v>239</v>
      </c>
      <c r="N13" s="145">
        <v>0</v>
      </c>
      <c r="O13" s="145">
        <v>0</v>
      </c>
    </row>
    <row r="14" spans="1:15" s="139" customFormat="1" x14ac:dyDescent="0.2">
      <c r="A14" s="114" t="s">
        <v>615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6" t="s">
        <v>239</v>
      </c>
      <c r="G14" s="146" t="s">
        <v>239</v>
      </c>
      <c r="H14" s="142" t="s">
        <v>239</v>
      </c>
      <c r="I14" s="142" t="s">
        <v>239</v>
      </c>
      <c r="J14" s="164" t="s">
        <v>239</v>
      </c>
      <c r="K14" s="165" t="s">
        <v>239</v>
      </c>
      <c r="L14" s="148">
        <v>0</v>
      </c>
      <c r="M14" s="177" t="s">
        <v>239</v>
      </c>
      <c r="N14" s="145">
        <v>0</v>
      </c>
      <c r="O14" s="145">
        <v>0</v>
      </c>
    </row>
    <row r="15" spans="1:15" s="139" customFormat="1" x14ac:dyDescent="0.2">
      <c r="A15" s="114" t="s">
        <v>616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6" t="s">
        <v>239</v>
      </c>
      <c r="G15" s="146" t="s">
        <v>239</v>
      </c>
      <c r="H15" s="142" t="s">
        <v>239</v>
      </c>
      <c r="I15" s="142" t="s">
        <v>239</v>
      </c>
      <c r="J15" s="164" t="s">
        <v>239</v>
      </c>
      <c r="K15" s="165" t="s">
        <v>239</v>
      </c>
      <c r="L15" s="148">
        <v>0</v>
      </c>
      <c r="M15" s="177" t="s">
        <v>239</v>
      </c>
      <c r="N15" s="145">
        <v>0</v>
      </c>
      <c r="O15" s="145">
        <v>0</v>
      </c>
    </row>
    <row r="16" spans="1:15" s="139" customFormat="1" x14ac:dyDescent="0.2">
      <c r="A16" s="114" t="s">
        <v>218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6" t="s">
        <v>239</v>
      </c>
      <c r="G16" s="146" t="s">
        <v>239</v>
      </c>
      <c r="H16" s="142" t="s">
        <v>239</v>
      </c>
      <c r="I16" s="142" t="s">
        <v>239</v>
      </c>
      <c r="J16" s="164" t="s">
        <v>239</v>
      </c>
      <c r="K16" s="165" t="s">
        <v>239</v>
      </c>
      <c r="L16" s="148">
        <v>0</v>
      </c>
      <c r="M16" s="177" t="s">
        <v>239</v>
      </c>
      <c r="N16" s="145">
        <v>0</v>
      </c>
      <c r="O16" s="145">
        <v>0</v>
      </c>
    </row>
    <row r="17" spans="1:15" s="139" customFormat="1" x14ac:dyDescent="0.2">
      <c r="A17" s="114" t="s">
        <v>363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6" t="s">
        <v>239</v>
      </c>
      <c r="G17" s="146" t="s">
        <v>239</v>
      </c>
      <c r="H17" s="142" t="s">
        <v>239</v>
      </c>
      <c r="I17" s="142" t="s">
        <v>239</v>
      </c>
      <c r="J17" s="164" t="s">
        <v>239</v>
      </c>
      <c r="K17" s="165" t="s">
        <v>239</v>
      </c>
      <c r="L17" s="148">
        <v>0</v>
      </c>
      <c r="M17" s="177" t="s">
        <v>239</v>
      </c>
      <c r="N17" s="145">
        <v>0</v>
      </c>
      <c r="O17" s="145">
        <v>0</v>
      </c>
    </row>
    <row r="18" spans="1:15" s="139" customFormat="1" x14ac:dyDescent="0.2">
      <c r="A18" s="114" t="s">
        <v>617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6" t="s">
        <v>239</v>
      </c>
      <c r="G18" s="146" t="s">
        <v>239</v>
      </c>
      <c r="H18" s="142" t="s">
        <v>239</v>
      </c>
      <c r="I18" s="142" t="s">
        <v>239</v>
      </c>
      <c r="J18" s="164" t="s">
        <v>239</v>
      </c>
      <c r="K18" s="165" t="s">
        <v>239</v>
      </c>
      <c r="L18" s="148">
        <v>0</v>
      </c>
      <c r="M18" s="177" t="s">
        <v>239</v>
      </c>
      <c r="N18" s="145">
        <v>0</v>
      </c>
      <c r="O18" s="145">
        <v>0</v>
      </c>
    </row>
    <row r="19" spans="1:15" s="139" customFormat="1" x14ac:dyDescent="0.2">
      <c r="A19" s="203" t="s">
        <v>618</v>
      </c>
      <c r="B19" s="204" t="s">
        <v>239</v>
      </c>
      <c r="C19" s="204" t="s">
        <v>239</v>
      </c>
      <c r="D19" s="204" t="s">
        <v>239</v>
      </c>
      <c r="E19" s="204" t="s">
        <v>239</v>
      </c>
      <c r="F19" s="205" t="s">
        <v>239</v>
      </c>
      <c r="G19" s="205" t="s">
        <v>239</v>
      </c>
      <c r="H19" s="204" t="s">
        <v>239</v>
      </c>
      <c r="I19" s="204" t="s">
        <v>239</v>
      </c>
      <c r="J19" s="245" t="s">
        <v>239</v>
      </c>
      <c r="K19" s="246" t="s">
        <v>239</v>
      </c>
      <c r="L19" s="208">
        <v>0</v>
      </c>
      <c r="M19" s="249" t="s">
        <v>239</v>
      </c>
      <c r="N19" s="209">
        <v>0</v>
      </c>
      <c r="O19" s="209">
        <v>0</v>
      </c>
    </row>
    <row r="20" spans="1:15" s="139" customFormat="1" x14ac:dyDescent="0.2">
      <c r="A20" s="99" t="s">
        <v>230</v>
      </c>
      <c r="B20" s="149"/>
      <c r="C20" s="99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9" t="s">
        <v>231</v>
      </c>
      <c r="B21" s="149"/>
      <c r="C21" s="99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9" t="s">
        <v>232</v>
      </c>
      <c r="B22" s="149"/>
      <c r="C22" s="99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9" t="s">
        <v>233</v>
      </c>
      <c r="B23" s="149"/>
      <c r="C23" s="99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9" t="s">
        <v>234</v>
      </c>
      <c r="B24" s="149"/>
      <c r="C24" s="99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4" priority="264" stopIfTrue="1">
      <formula>LEFT(#REF!,3)="TIR"</formula>
    </cfRule>
  </conditionalFormatting>
  <conditionalFormatting sqref="H7">
    <cfRule type="expression" dxfId="103" priority="268" stopIfTrue="1">
      <formula>LEFT(#REF!,3)="TIR"</formula>
    </cfRule>
  </conditionalFormatting>
  <conditionalFormatting sqref="N11:O19">
    <cfRule type="expression" dxfId="102" priority="269" stopIfTrue="1">
      <formula>OR(LEFT(#REF!,3)="TIR",LEFT(#REF!,2)="IR")</formula>
    </cfRule>
  </conditionalFormatting>
  <conditionalFormatting sqref="A11:A19 L11:L19">
    <cfRule type="expression" dxfId="101" priority="270" stopIfTrue="1">
      <formula>#REF!&gt;0</formula>
    </cfRule>
    <cfRule type="expression" dxfId="100" priority="271" stopIfTrue="1">
      <formula>LEFT(#REF!,3)="TIR"</formula>
    </cfRule>
  </conditionalFormatting>
  <conditionalFormatting sqref="B11:I19">
    <cfRule type="expression" dxfId="99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00" t="s">
        <v>28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2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9" customFormat="1" ht="12.75" customHeight="1" thickBot="1" x14ac:dyDescent="0.25">
      <c r="A10" s="123" t="s">
        <v>61</v>
      </c>
      <c r="B10" s="88" t="s">
        <v>239</v>
      </c>
      <c r="C10" s="88" t="s">
        <v>239</v>
      </c>
      <c r="D10" s="88" t="s">
        <v>239</v>
      </c>
      <c r="E10" s="88" t="s">
        <v>239</v>
      </c>
      <c r="F10" s="124"/>
      <c r="G10" s="159" t="s">
        <v>239</v>
      </c>
      <c r="H10" s="159" t="s">
        <v>239</v>
      </c>
      <c r="I10" s="159" t="s">
        <v>239</v>
      </c>
      <c r="J10" s="159" t="s">
        <v>239</v>
      </c>
      <c r="K10" s="160" t="s">
        <v>239</v>
      </c>
      <c r="L10" s="160" t="s">
        <v>239</v>
      </c>
      <c r="M10" s="125" t="s">
        <v>239</v>
      </c>
      <c r="N10" s="159" t="s">
        <v>239</v>
      </c>
      <c r="O10" s="126">
        <v>6.0000000000000008E-7</v>
      </c>
      <c r="P10" s="140" t="s">
        <v>239</v>
      </c>
      <c r="Q10" s="129">
        <v>1</v>
      </c>
      <c r="R10" s="80">
        <v>0</v>
      </c>
    </row>
    <row r="11" spans="1:18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6" t="s">
        <v>239</v>
      </c>
      <c r="J11" s="142" t="s">
        <v>239</v>
      </c>
      <c r="K11" s="142" t="s">
        <v>239</v>
      </c>
      <c r="L11" s="142" t="s">
        <v>239</v>
      </c>
      <c r="M11" s="155" t="s">
        <v>239</v>
      </c>
      <c r="N11" s="163" t="s">
        <v>239</v>
      </c>
      <c r="O11" s="143">
        <v>0</v>
      </c>
      <c r="P11" s="176" t="s">
        <v>239</v>
      </c>
      <c r="Q11" s="142">
        <v>0</v>
      </c>
      <c r="R11" s="142">
        <v>0</v>
      </c>
    </row>
    <row r="12" spans="1:18" s="139" customFormat="1" x14ac:dyDescent="0.2">
      <c r="A12" s="114" t="s">
        <v>619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6" t="s">
        <v>239</v>
      </c>
      <c r="J12" s="142" t="s">
        <v>239</v>
      </c>
      <c r="K12" s="142" t="s">
        <v>239</v>
      </c>
      <c r="L12" s="142" t="s">
        <v>239</v>
      </c>
      <c r="M12" s="157" t="s">
        <v>239</v>
      </c>
      <c r="N12" s="165" t="s">
        <v>239</v>
      </c>
      <c r="O12" s="148">
        <v>0</v>
      </c>
      <c r="P12" s="177" t="s">
        <v>239</v>
      </c>
      <c r="Q12" s="145">
        <v>0</v>
      </c>
      <c r="R12" s="145">
        <v>0</v>
      </c>
    </row>
    <row r="13" spans="1:18" s="139" customFormat="1" x14ac:dyDescent="0.2">
      <c r="A13" s="114" t="s">
        <v>620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46" t="s">
        <v>239</v>
      </c>
      <c r="J13" s="142" t="s">
        <v>239</v>
      </c>
      <c r="K13" s="142" t="s">
        <v>239</v>
      </c>
      <c r="L13" s="142" t="s">
        <v>239</v>
      </c>
      <c r="M13" s="157" t="s">
        <v>239</v>
      </c>
      <c r="N13" s="165" t="s">
        <v>239</v>
      </c>
      <c r="O13" s="148">
        <v>0</v>
      </c>
      <c r="P13" s="177" t="s">
        <v>239</v>
      </c>
      <c r="Q13" s="145">
        <v>0</v>
      </c>
      <c r="R13" s="145">
        <v>0</v>
      </c>
    </row>
    <row r="14" spans="1:18" s="139" customFormat="1" x14ac:dyDescent="0.2">
      <c r="A14" s="114" t="s">
        <v>374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2" t="s">
        <v>239</v>
      </c>
      <c r="H14" s="142" t="s">
        <v>239</v>
      </c>
      <c r="I14" s="146" t="s">
        <v>239</v>
      </c>
      <c r="J14" s="142" t="s">
        <v>239</v>
      </c>
      <c r="K14" s="142" t="s">
        <v>239</v>
      </c>
      <c r="L14" s="142" t="s">
        <v>239</v>
      </c>
      <c r="M14" s="157" t="s">
        <v>239</v>
      </c>
      <c r="N14" s="147" t="s">
        <v>239</v>
      </c>
      <c r="O14" s="148">
        <v>0</v>
      </c>
      <c r="P14" s="177" t="s">
        <v>239</v>
      </c>
      <c r="Q14" s="145">
        <v>0</v>
      </c>
      <c r="R14" s="145">
        <v>0</v>
      </c>
    </row>
    <row r="15" spans="1:18" s="139" customFormat="1" x14ac:dyDescent="0.2">
      <c r="A15" s="114" t="s">
        <v>142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2" t="s">
        <v>239</v>
      </c>
      <c r="I15" s="146" t="s">
        <v>239</v>
      </c>
      <c r="J15" s="142" t="s">
        <v>239</v>
      </c>
      <c r="K15" s="142" t="s">
        <v>239</v>
      </c>
      <c r="L15" s="142" t="s">
        <v>239</v>
      </c>
      <c r="M15" s="157" t="s">
        <v>239</v>
      </c>
      <c r="N15" s="165" t="s">
        <v>239</v>
      </c>
      <c r="O15" s="148">
        <v>0</v>
      </c>
      <c r="P15" s="177" t="s">
        <v>239</v>
      </c>
      <c r="Q15" s="145">
        <v>0</v>
      </c>
      <c r="R15" s="145">
        <v>0</v>
      </c>
    </row>
    <row r="16" spans="1:18" s="139" customFormat="1" x14ac:dyDescent="0.2">
      <c r="A16" s="114" t="s">
        <v>363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46" t="s">
        <v>239</v>
      </c>
      <c r="J16" s="142" t="s">
        <v>239</v>
      </c>
      <c r="K16" s="142" t="s">
        <v>239</v>
      </c>
      <c r="L16" s="142" t="s">
        <v>239</v>
      </c>
      <c r="M16" s="157" t="s">
        <v>239</v>
      </c>
      <c r="N16" s="165" t="s">
        <v>239</v>
      </c>
      <c r="O16" s="148">
        <v>0</v>
      </c>
      <c r="P16" s="177" t="s">
        <v>239</v>
      </c>
      <c r="Q16" s="145">
        <v>0</v>
      </c>
      <c r="R16" s="145">
        <v>0</v>
      </c>
    </row>
    <row r="17" spans="1:18" s="139" customFormat="1" x14ac:dyDescent="0.2">
      <c r="A17" s="114" t="s">
        <v>621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46" t="s">
        <v>239</v>
      </c>
      <c r="J17" s="142" t="s">
        <v>239</v>
      </c>
      <c r="K17" s="142" t="s">
        <v>239</v>
      </c>
      <c r="L17" s="142" t="s">
        <v>239</v>
      </c>
      <c r="M17" s="157" t="s">
        <v>239</v>
      </c>
      <c r="N17" s="165" t="s">
        <v>239</v>
      </c>
      <c r="O17" s="148">
        <v>0</v>
      </c>
      <c r="P17" s="177" t="s">
        <v>239</v>
      </c>
      <c r="Q17" s="145">
        <v>0</v>
      </c>
      <c r="R17" s="145">
        <v>0</v>
      </c>
    </row>
    <row r="18" spans="1:18" s="139" customFormat="1" x14ac:dyDescent="0.2">
      <c r="A18" s="203" t="s">
        <v>622</v>
      </c>
      <c r="B18" s="204" t="s">
        <v>239</v>
      </c>
      <c r="C18" s="204" t="s">
        <v>239</v>
      </c>
      <c r="D18" s="204" t="s">
        <v>239</v>
      </c>
      <c r="E18" s="204" t="s">
        <v>239</v>
      </c>
      <c r="F18" s="204" t="s">
        <v>239</v>
      </c>
      <c r="G18" s="204" t="s">
        <v>239</v>
      </c>
      <c r="H18" s="204" t="s">
        <v>239</v>
      </c>
      <c r="I18" s="205" t="s">
        <v>239</v>
      </c>
      <c r="J18" s="204" t="s">
        <v>239</v>
      </c>
      <c r="K18" s="204" t="s">
        <v>239</v>
      </c>
      <c r="L18" s="204" t="s">
        <v>239</v>
      </c>
      <c r="M18" s="248" t="s">
        <v>239</v>
      </c>
      <c r="N18" s="246" t="s">
        <v>239</v>
      </c>
      <c r="O18" s="208">
        <v>0</v>
      </c>
      <c r="P18" s="249" t="s">
        <v>239</v>
      </c>
      <c r="Q18" s="209">
        <v>0</v>
      </c>
      <c r="R18" s="209">
        <v>0</v>
      </c>
    </row>
    <row r="19" spans="1:18" s="139" customFormat="1" x14ac:dyDescent="0.2">
      <c r="A19" s="99" t="s">
        <v>230</v>
      </c>
      <c r="B19" s="149"/>
      <c r="C19" s="149"/>
      <c r="D19" s="149"/>
      <c r="E19" s="99"/>
      <c r="F19" s="166"/>
      <c r="G19" s="166"/>
      <c r="H19" s="166"/>
      <c r="I19" s="167"/>
      <c r="J19" s="154"/>
      <c r="K19" s="168"/>
      <c r="L19" s="168"/>
      <c r="M19" s="168"/>
      <c r="N19" s="154"/>
      <c r="O19" s="154"/>
    </row>
    <row r="20" spans="1:18" s="139" customFormat="1" x14ac:dyDescent="0.2">
      <c r="A20" s="99" t="s">
        <v>231</v>
      </c>
      <c r="B20" s="149"/>
      <c r="C20" s="149"/>
      <c r="D20" s="149"/>
      <c r="E20" s="99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9" t="s">
        <v>232</v>
      </c>
      <c r="B21" s="149"/>
      <c r="C21" s="149"/>
      <c r="D21" s="149"/>
      <c r="E21" s="99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9" t="s">
        <v>233</v>
      </c>
      <c r="B22" s="149"/>
      <c r="C22" s="149"/>
      <c r="D22" s="149"/>
      <c r="E22" s="99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9" t="s">
        <v>234</v>
      </c>
      <c r="B23" s="149"/>
      <c r="C23" s="149"/>
      <c r="D23" s="149"/>
      <c r="E23" s="99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</sheetData>
  <mergeCells count="2">
    <mergeCell ref="A6:R6"/>
    <mergeCell ref="A5:R5"/>
  </mergeCells>
  <conditionalFormatting sqref="J1:J4 I10 K10:N10 M11:N18 P11:Q18 J19:J55553">
    <cfRule type="expression" dxfId="98" priority="290" stopIfTrue="1">
      <formula>LEFT(#REF!,3)="TIR"</formula>
    </cfRule>
  </conditionalFormatting>
  <conditionalFormatting sqref="K7">
    <cfRule type="expression" dxfId="97" priority="296" stopIfTrue="1">
      <formula>LEFT(#REF!,3)="TIR"</formula>
    </cfRule>
  </conditionalFormatting>
  <conditionalFormatting sqref="B10:H10 J10 B11:L18">
    <cfRule type="expression" dxfId="96" priority="297" stopIfTrue="1">
      <formula>LEFT(#REF!,3)="TIR"</formula>
    </cfRule>
  </conditionalFormatting>
  <conditionalFormatting sqref="A10:A18 O11:O18">
    <cfRule type="expression" dxfId="95" priority="300" stopIfTrue="1">
      <formula>#REF!&gt;0</formula>
    </cfRule>
    <cfRule type="expression" dxfId="94" priority="301" stopIfTrue="1">
      <formula>LEFT(#REF!,3)="TIR"</formula>
    </cfRule>
  </conditionalFormatting>
  <conditionalFormatting sqref="Q11:R18">
    <cfRule type="expression" dxfId="93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81" customWidth="1"/>
    <col min="7" max="7" width="11.140625" style="81" customWidth="1"/>
    <col min="8" max="8" width="14.140625" style="81" customWidth="1"/>
    <col min="9" max="9" width="7.85546875" style="54" customWidth="1"/>
    <col min="10" max="10" width="11.28515625" style="83" customWidth="1"/>
    <col min="11" max="11" width="12.5703125" style="85" customWidth="1"/>
    <col min="12" max="12" width="14.140625" style="85" customWidth="1"/>
    <col min="13" max="13" width="10.5703125" style="85" customWidth="1"/>
    <col min="14" max="14" width="8.85546875" style="83" bestFit="1" customWidth="1"/>
    <col min="15" max="15" width="10.42578125" style="83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4"/>
      <c r="L1" s="84"/>
      <c r="M1" s="84"/>
      <c r="N1" s="83"/>
      <c r="O1" s="83"/>
      <c r="P1" s="86"/>
      <c r="Q1" s="86"/>
      <c r="R1" s="61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81"/>
      <c r="G2" s="81"/>
      <c r="H2" s="81"/>
      <c r="I2" s="54"/>
      <c r="J2" s="83"/>
      <c r="K2" s="84"/>
      <c r="L2" s="84"/>
      <c r="M2" s="84"/>
      <c r="N2" s="83"/>
      <c r="O2" s="83"/>
      <c r="P2" s="86"/>
      <c r="Q2" s="86"/>
      <c r="R2" s="6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4"/>
      <c r="L3" s="84"/>
      <c r="M3" s="84"/>
      <c r="N3" s="83"/>
      <c r="O3" s="83"/>
      <c r="P3" s="86"/>
      <c r="Q3" s="86"/>
      <c r="R3" s="6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4"/>
      <c r="L4" s="84"/>
      <c r="M4" s="84"/>
      <c r="N4" s="83"/>
      <c r="O4" s="83"/>
      <c r="P4" s="86"/>
      <c r="Q4" s="86"/>
      <c r="R4" s="61"/>
    </row>
    <row r="5" spans="1:18" s="23" customFormat="1" ht="13.5" thickBot="1" x14ac:dyDescent="0.25">
      <c r="A5" s="200" t="s">
        <v>28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2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9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6.0000000000000008E-7</v>
      </c>
      <c r="P10" s="88"/>
      <c r="Q10" s="88">
        <v>1</v>
      </c>
      <c r="R10" s="103">
        <v>0</v>
      </c>
    </row>
    <row r="11" spans="1:18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2" t="s">
        <v>239</v>
      </c>
      <c r="H11" s="142" t="s">
        <v>239</v>
      </c>
      <c r="I11" s="146" t="s">
        <v>239</v>
      </c>
      <c r="J11" s="146" t="s">
        <v>239</v>
      </c>
      <c r="K11" s="142" t="s">
        <v>239</v>
      </c>
      <c r="L11" s="142" t="s">
        <v>239</v>
      </c>
      <c r="M11" s="155" t="s">
        <v>239</v>
      </c>
      <c r="N11" s="146" t="s">
        <v>239</v>
      </c>
      <c r="O11" s="156">
        <v>0</v>
      </c>
      <c r="P11" s="142" t="s">
        <v>239</v>
      </c>
      <c r="Q11" s="142">
        <v>0</v>
      </c>
      <c r="R11" s="142">
        <v>0</v>
      </c>
    </row>
    <row r="12" spans="1:18" s="139" customFormat="1" x14ac:dyDescent="0.2">
      <c r="A12" s="114" t="s">
        <v>619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2" t="s">
        <v>239</v>
      </c>
      <c r="H12" s="142" t="s">
        <v>239</v>
      </c>
      <c r="I12" s="146" t="s">
        <v>239</v>
      </c>
      <c r="J12" s="146" t="s">
        <v>239</v>
      </c>
      <c r="K12" s="142" t="s">
        <v>239</v>
      </c>
      <c r="L12" s="145" t="s">
        <v>239</v>
      </c>
      <c r="M12" s="157" t="s">
        <v>239</v>
      </c>
      <c r="N12" s="146" t="s">
        <v>239</v>
      </c>
      <c r="O12" s="148">
        <v>0</v>
      </c>
      <c r="P12" s="145" t="s">
        <v>239</v>
      </c>
      <c r="Q12" s="142">
        <v>0</v>
      </c>
      <c r="R12" s="142">
        <v>0</v>
      </c>
    </row>
    <row r="13" spans="1:18" s="139" customFormat="1" x14ac:dyDescent="0.2">
      <c r="A13" s="114" t="s">
        <v>620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2" t="s">
        <v>239</v>
      </c>
      <c r="H13" s="142" t="s">
        <v>239</v>
      </c>
      <c r="I13" s="146" t="s">
        <v>239</v>
      </c>
      <c r="J13" s="146" t="s">
        <v>239</v>
      </c>
      <c r="K13" s="142" t="s">
        <v>239</v>
      </c>
      <c r="L13" s="145" t="s">
        <v>239</v>
      </c>
      <c r="M13" s="157" t="s">
        <v>239</v>
      </c>
      <c r="N13" s="146" t="s">
        <v>239</v>
      </c>
      <c r="O13" s="148">
        <v>0</v>
      </c>
      <c r="P13" s="145" t="s">
        <v>239</v>
      </c>
      <c r="Q13" s="142">
        <v>0</v>
      </c>
      <c r="R13" s="142">
        <v>0</v>
      </c>
    </row>
    <row r="14" spans="1:18" s="139" customFormat="1" x14ac:dyDescent="0.2">
      <c r="A14" s="114" t="s">
        <v>374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2" t="s">
        <v>239</v>
      </c>
      <c r="H14" s="142" t="s">
        <v>239</v>
      </c>
      <c r="I14" s="146" t="s">
        <v>239</v>
      </c>
      <c r="J14" s="146" t="s">
        <v>239</v>
      </c>
      <c r="K14" s="142" t="s">
        <v>239</v>
      </c>
      <c r="L14" s="145" t="s">
        <v>239</v>
      </c>
      <c r="M14" s="157" t="s">
        <v>239</v>
      </c>
      <c r="N14" s="146" t="s">
        <v>239</v>
      </c>
      <c r="O14" s="148">
        <v>0</v>
      </c>
      <c r="P14" s="145" t="s">
        <v>239</v>
      </c>
      <c r="Q14" s="142">
        <v>0</v>
      </c>
      <c r="R14" s="142">
        <v>0</v>
      </c>
    </row>
    <row r="15" spans="1:18" s="139" customFormat="1" x14ac:dyDescent="0.2">
      <c r="A15" s="114" t="s">
        <v>142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2" t="s">
        <v>239</v>
      </c>
      <c r="H15" s="142" t="s">
        <v>239</v>
      </c>
      <c r="I15" s="146" t="s">
        <v>239</v>
      </c>
      <c r="J15" s="146" t="s">
        <v>239</v>
      </c>
      <c r="K15" s="142" t="s">
        <v>239</v>
      </c>
      <c r="L15" s="145" t="s">
        <v>239</v>
      </c>
      <c r="M15" s="157" t="s">
        <v>239</v>
      </c>
      <c r="N15" s="146" t="s">
        <v>239</v>
      </c>
      <c r="O15" s="148">
        <v>0</v>
      </c>
      <c r="P15" s="145" t="s">
        <v>239</v>
      </c>
      <c r="Q15" s="142">
        <v>0</v>
      </c>
      <c r="R15" s="142">
        <v>0</v>
      </c>
    </row>
    <row r="16" spans="1:18" s="139" customFormat="1" x14ac:dyDescent="0.2">
      <c r="A16" s="114" t="s">
        <v>363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2" t="s">
        <v>239</v>
      </c>
      <c r="H16" s="142" t="s">
        <v>239</v>
      </c>
      <c r="I16" s="146" t="s">
        <v>239</v>
      </c>
      <c r="J16" s="146" t="s">
        <v>239</v>
      </c>
      <c r="K16" s="142" t="s">
        <v>239</v>
      </c>
      <c r="L16" s="145" t="s">
        <v>239</v>
      </c>
      <c r="M16" s="157" t="s">
        <v>239</v>
      </c>
      <c r="N16" s="146" t="s">
        <v>239</v>
      </c>
      <c r="O16" s="148">
        <v>0</v>
      </c>
      <c r="P16" s="145" t="s">
        <v>239</v>
      </c>
      <c r="Q16" s="142">
        <v>0</v>
      </c>
      <c r="R16" s="142">
        <v>0</v>
      </c>
    </row>
    <row r="17" spans="1:18" s="139" customFormat="1" x14ac:dyDescent="0.2">
      <c r="A17" s="114" t="s">
        <v>623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2" t="s">
        <v>239</v>
      </c>
      <c r="H17" s="142" t="s">
        <v>239</v>
      </c>
      <c r="I17" s="146" t="s">
        <v>239</v>
      </c>
      <c r="J17" s="146" t="s">
        <v>239</v>
      </c>
      <c r="K17" s="142" t="s">
        <v>239</v>
      </c>
      <c r="L17" s="145" t="s">
        <v>239</v>
      </c>
      <c r="M17" s="157" t="s">
        <v>239</v>
      </c>
      <c r="N17" s="146" t="s">
        <v>239</v>
      </c>
      <c r="O17" s="148">
        <v>0</v>
      </c>
      <c r="P17" s="145" t="s">
        <v>239</v>
      </c>
      <c r="Q17" s="142">
        <v>0</v>
      </c>
      <c r="R17" s="142">
        <v>0</v>
      </c>
    </row>
    <row r="18" spans="1:18" s="139" customFormat="1" x14ac:dyDescent="0.2">
      <c r="A18" s="203" t="s">
        <v>624</v>
      </c>
      <c r="B18" s="204" t="s">
        <v>239</v>
      </c>
      <c r="C18" s="204" t="s">
        <v>239</v>
      </c>
      <c r="D18" s="204" t="s">
        <v>239</v>
      </c>
      <c r="E18" s="204" t="s">
        <v>239</v>
      </c>
      <c r="F18" s="204" t="s">
        <v>239</v>
      </c>
      <c r="G18" s="204" t="s">
        <v>239</v>
      </c>
      <c r="H18" s="204" t="s">
        <v>239</v>
      </c>
      <c r="I18" s="205" t="s">
        <v>239</v>
      </c>
      <c r="J18" s="205" t="s">
        <v>239</v>
      </c>
      <c r="K18" s="204" t="s">
        <v>239</v>
      </c>
      <c r="L18" s="209" t="s">
        <v>239</v>
      </c>
      <c r="M18" s="248" t="s">
        <v>239</v>
      </c>
      <c r="N18" s="205" t="s">
        <v>239</v>
      </c>
      <c r="O18" s="208">
        <v>0</v>
      </c>
      <c r="P18" s="209" t="s">
        <v>239</v>
      </c>
      <c r="Q18" s="204">
        <v>0</v>
      </c>
      <c r="R18" s="204">
        <v>0</v>
      </c>
    </row>
    <row r="19" spans="1:18" s="139" customFormat="1" x14ac:dyDescent="0.2">
      <c r="A19" s="99" t="s">
        <v>230</v>
      </c>
      <c r="B19" s="149"/>
      <c r="C19" s="149"/>
      <c r="D19" s="149"/>
      <c r="E19" s="99"/>
      <c r="F19" s="150"/>
      <c r="G19" s="150"/>
      <c r="H19" s="150"/>
      <c r="I19" s="151"/>
      <c r="J19" s="152"/>
      <c r="K19" s="153"/>
      <c r="L19" s="153"/>
      <c r="M19" s="153"/>
      <c r="N19" s="152"/>
      <c r="O19" s="152"/>
      <c r="P19" s="158"/>
      <c r="Q19" s="158"/>
      <c r="R19" s="158"/>
    </row>
    <row r="20" spans="1:18" s="139" customFormat="1" x14ac:dyDescent="0.2">
      <c r="A20" s="99" t="s">
        <v>231</v>
      </c>
      <c r="B20" s="149"/>
      <c r="C20" s="149"/>
      <c r="D20" s="149"/>
      <c r="E20" s="99"/>
      <c r="F20" s="150"/>
      <c r="G20" s="150"/>
      <c r="H20" s="150"/>
      <c r="I20" s="151"/>
      <c r="J20" s="152"/>
      <c r="K20" s="153"/>
      <c r="L20" s="153"/>
      <c r="M20" s="153"/>
      <c r="N20" s="152"/>
      <c r="O20" s="152"/>
      <c r="P20" s="158"/>
      <c r="Q20" s="158"/>
      <c r="R20" s="158"/>
    </row>
    <row r="21" spans="1:18" s="139" customFormat="1" x14ac:dyDescent="0.2">
      <c r="A21" s="99" t="s">
        <v>232</v>
      </c>
      <c r="B21" s="149"/>
      <c r="C21" s="149"/>
      <c r="D21" s="149"/>
      <c r="E21" s="99"/>
      <c r="F21" s="150"/>
      <c r="G21" s="150"/>
      <c r="H21" s="150"/>
      <c r="I21" s="151"/>
      <c r="J21" s="152"/>
      <c r="K21" s="153"/>
      <c r="L21" s="153"/>
      <c r="M21" s="153"/>
      <c r="N21" s="152"/>
      <c r="O21" s="152"/>
      <c r="P21" s="158"/>
      <c r="Q21" s="158"/>
      <c r="R21" s="158"/>
    </row>
    <row r="22" spans="1:18" s="139" customFormat="1" x14ac:dyDescent="0.2">
      <c r="A22" s="99" t="s">
        <v>233</v>
      </c>
      <c r="B22" s="149"/>
      <c r="C22" s="149"/>
      <c r="D22" s="149"/>
      <c r="E22" s="99"/>
      <c r="F22" s="150"/>
      <c r="G22" s="150"/>
      <c r="H22" s="150"/>
      <c r="I22" s="151"/>
      <c r="J22" s="152"/>
      <c r="K22" s="153"/>
      <c r="L22" s="153"/>
      <c r="M22" s="153"/>
      <c r="N22" s="152"/>
      <c r="O22" s="152"/>
      <c r="P22" s="158"/>
      <c r="Q22" s="158"/>
      <c r="R22" s="158"/>
    </row>
    <row r="23" spans="1:18" s="139" customFormat="1" x14ac:dyDescent="0.2">
      <c r="A23" s="99" t="s">
        <v>234</v>
      </c>
      <c r="B23" s="149"/>
      <c r="C23" s="149"/>
      <c r="D23" s="149"/>
      <c r="E23" s="99"/>
      <c r="F23" s="150"/>
      <c r="G23" s="150"/>
      <c r="H23" s="150"/>
      <c r="I23" s="151"/>
      <c r="J23" s="152"/>
      <c r="K23" s="153"/>
      <c r="L23" s="153"/>
      <c r="M23" s="153"/>
      <c r="N23" s="152"/>
      <c r="O23" s="152"/>
      <c r="P23" s="158"/>
      <c r="Q23" s="158"/>
      <c r="R23" s="158"/>
    </row>
  </sheetData>
  <mergeCells count="2">
    <mergeCell ref="A6:R6"/>
    <mergeCell ref="A5:R5"/>
  </mergeCells>
  <conditionalFormatting sqref="B10:H10 J10 Q10:R18">
    <cfRule type="expression" dxfId="92" priority="321" stopIfTrue="1">
      <formula>OR(LEFT(#REF!,3)="TIR",LEFT(#REF!,2)="IR")</formula>
    </cfRule>
  </conditionalFormatting>
  <conditionalFormatting sqref="J1:J4 I10 K10:N10 P10:Q18 M11:N11 L12:N18 J19:J55553">
    <cfRule type="expression" dxfId="91" priority="324" stopIfTrue="1">
      <formula>LEFT(#REF!,3)="TIR"</formula>
    </cfRule>
  </conditionalFormatting>
  <conditionalFormatting sqref="K7">
    <cfRule type="expression" dxfId="90" priority="331" stopIfTrue="1">
      <formula>LEFT(#REF!,3)="TIR"</formula>
    </cfRule>
  </conditionalFormatting>
  <conditionalFormatting sqref="A10:A18 O10:O18">
    <cfRule type="expression" dxfId="89" priority="332" stopIfTrue="1">
      <formula>#REF!&gt;0</formula>
    </cfRule>
    <cfRule type="expression" dxfId="88" priority="333" stopIfTrue="1">
      <formula>LEFT(#REF!,3)="TIR"</formula>
    </cfRule>
  </conditionalFormatting>
  <conditionalFormatting sqref="B11:J18 K11:L11 K12:K18">
    <cfRule type="expression" dxfId="87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1.28515625" style="81" customWidth="1"/>
    <col min="7" max="7" width="10.5703125" style="81" customWidth="1"/>
    <col min="8" max="8" width="8.85546875" style="81" bestFit="1" customWidth="1"/>
    <col min="9" max="9" width="10.42578125" style="54" customWidth="1"/>
    <col min="10" max="10" width="22" style="83" customWidth="1"/>
    <col min="11" max="11" width="25.42578125" style="83" customWidth="1"/>
    <col min="12" max="12" width="20.7109375" style="85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3"/>
      <c r="L1" s="84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5"/>
      <c r="D2" s="25"/>
      <c r="E2" s="26"/>
      <c r="F2" s="81"/>
      <c r="G2" s="81"/>
      <c r="H2" s="81"/>
      <c r="I2" s="54"/>
      <c r="J2" s="83"/>
      <c r="K2" s="83"/>
      <c r="L2" s="84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3"/>
      <c r="L3" s="84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3"/>
      <c r="L4" s="84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134</v>
      </c>
      <c r="H8" s="15"/>
      <c r="I8" s="15" t="s">
        <v>136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5">
        <v>11</v>
      </c>
    </row>
    <row r="10" spans="1:17" s="139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3.0000000000000004E-7</v>
      </c>
      <c r="J10" s="88"/>
      <c r="K10" s="88">
        <v>1</v>
      </c>
      <c r="L10" s="80">
        <v>0</v>
      </c>
    </row>
    <row r="11" spans="1:17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55" t="s">
        <v>239</v>
      </c>
      <c r="H11" s="146" t="s">
        <v>239</v>
      </c>
      <c r="I11" s="156">
        <v>0</v>
      </c>
      <c r="J11" s="142" t="s">
        <v>239</v>
      </c>
      <c r="K11" s="142">
        <v>0</v>
      </c>
      <c r="L11" s="142">
        <v>0</v>
      </c>
    </row>
    <row r="12" spans="1:17" s="139" customFormat="1" x14ac:dyDescent="0.2">
      <c r="A12" s="114" t="s">
        <v>363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6" t="s">
        <v>239</v>
      </c>
      <c r="G12" s="155" t="s">
        <v>239</v>
      </c>
      <c r="H12" s="146" t="s">
        <v>239</v>
      </c>
      <c r="I12" s="143">
        <v>0</v>
      </c>
      <c r="J12" s="142" t="s">
        <v>239</v>
      </c>
      <c r="K12" s="142">
        <v>0</v>
      </c>
      <c r="L12" s="142">
        <v>0</v>
      </c>
    </row>
    <row r="13" spans="1:17" s="139" customFormat="1" x14ac:dyDescent="0.2">
      <c r="A13" s="114" t="s">
        <v>144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6" t="s">
        <v>239</v>
      </c>
      <c r="G13" s="155" t="s">
        <v>239</v>
      </c>
      <c r="H13" s="146" t="s">
        <v>239</v>
      </c>
      <c r="I13" s="143">
        <v>0</v>
      </c>
      <c r="J13" s="142" t="s">
        <v>239</v>
      </c>
      <c r="K13" s="142">
        <v>0</v>
      </c>
      <c r="L13" s="142">
        <v>0</v>
      </c>
    </row>
    <row r="14" spans="1:17" s="139" customFormat="1" x14ac:dyDescent="0.2">
      <c r="A14" s="203" t="s">
        <v>145</v>
      </c>
      <c r="B14" s="204" t="s">
        <v>239</v>
      </c>
      <c r="C14" s="204" t="s">
        <v>239</v>
      </c>
      <c r="D14" s="204" t="s">
        <v>239</v>
      </c>
      <c r="E14" s="204" t="s">
        <v>239</v>
      </c>
      <c r="F14" s="205" t="s">
        <v>239</v>
      </c>
      <c r="G14" s="250" t="s">
        <v>239</v>
      </c>
      <c r="H14" s="205" t="s">
        <v>239</v>
      </c>
      <c r="I14" s="251">
        <v>0</v>
      </c>
      <c r="J14" s="204" t="s">
        <v>239</v>
      </c>
      <c r="K14" s="204">
        <v>0</v>
      </c>
      <c r="L14" s="204">
        <v>0</v>
      </c>
    </row>
    <row r="15" spans="1:17" s="139" customFormat="1" x14ac:dyDescent="0.2">
      <c r="A15" s="99" t="s">
        <v>230</v>
      </c>
      <c r="B15" s="149"/>
      <c r="C15" s="149"/>
      <c r="D15" s="149"/>
      <c r="E15" s="99"/>
      <c r="F15" s="150"/>
      <c r="G15" s="150"/>
      <c r="H15" s="150"/>
      <c r="I15" s="151"/>
      <c r="J15" s="152"/>
      <c r="K15" s="152"/>
      <c r="L15" s="153"/>
      <c r="M15" s="168"/>
      <c r="N15" s="168"/>
      <c r="O15" s="154"/>
      <c r="P15" s="154"/>
    </row>
    <row r="16" spans="1:17" s="139" customFormat="1" x14ac:dyDescent="0.2">
      <c r="A16" s="99" t="s">
        <v>231</v>
      </c>
      <c r="B16" s="149"/>
      <c r="C16" s="149"/>
      <c r="D16" s="149"/>
      <c r="E16" s="99"/>
      <c r="F16" s="150"/>
      <c r="G16" s="150"/>
      <c r="H16" s="150"/>
      <c r="I16" s="151"/>
      <c r="J16" s="152"/>
      <c r="K16" s="152"/>
      <c r="L16" s="153"/>
      <c r="M16" s="168"/>
      <c r="N16" s="168"/>
      <c r="O16" s="154"/>
      <c r="P16" s="154"/>
    </row>
    <row r="17" spans="1:16" s="139" customFormat="1" x14ac:dyDescent="0.2">
      <c r="A17" s="99" t="s">
        <v>232</v>
      </c>
      <c r="B17" s="149"/>
      <c r="C17" s="149"/>
      <c r="D17" s="149"/>
      <c r="E17" s="99"/>
      <c r="F17" s="150"/>
      <c r="G17" s="150"/>
      <c r="H17" s="150"/>
      <c r="I17" s="151"/>
      <c r="J17" s="152"/>
      <c r="K17" s="152"/>
      <c r="L17" s="153"/>
      <c r="M17" s="168"/>
      <c r="N17" s="168"/>
      <c r="O17" s="154"/>
      <c r="P17" s="154"/>
    </row>
    <row r="18" spans="1:16" s="139" customFormat="1" x14ac:dyDescent="0.2">
      <c r="A18" s="99" t="s">
        <v>233</v>
      </c>
      <c r="B18" s="149"/>
      <c r="C18" s="149"/>
      <c r="D18" s="149"/>
      <c r="E18" s="99"/>
      <c r="F18" s="150"/>
      <c r="G18" s="150"/>
      <c r="H18" s="150"/>
      <c r="I18" s="151"/>
      <c r="J18" s="152"/>
      <c r="K18" s="152"/>
      <c r="L18" s="153"/>
      <c r="M18" s="168"/>
      <c r="N18" s="168"/>
      <c r="O18" s="154"/>
      <c r="P18" s="154"/>
    </row>
    <row r="19" spans="1:16" s="139" customFormat="1" x14ac:dyDescent="0.2">
      <c r="A19" s="99" t="s">
        <v>234</v>
      </c>
      <c r="B19" s="149"/>
      <c r="C19" s="149"/>
      <c r="D19" s="149"/>
      <c r="E19" s="99"/>
      <c r="F19" s="150"/>
      <c r="G19" s="150"/>
      <c r="H19" s="150"/>
      <c r="I19" s="151"/>
      <c r="J19" s="152"/>
      <c r="K19" s="152"/>
      <c r="L19" s="153"/>
      <c r="M19" s="168"/>
      <c r="N19" s="168"/>
      <c r="O19" s="154"/>
      <c r="P19" s="154"/>
    </row>
  </sheetData>
  <mergeCells count="2">
    <mergeCell ref="A6:L6"/>
    <mergeCell ref="A5:L5"/>
  </mergeCells>
  <conditionalFormatting sqref="J1:K4 G10:H14 J10:J55549">
    <cfRule type="expression" dxfId="86" priority="348" stopIfTrue="1">
      <formula>LEFT(#REF!,3)="TIR"</formula>
    </cfRule>
  </conditionalFormatting>
  <conditionalFormatting sqref="B10:F10 K10:K14 L11:L14">
    <cfRule type="expression" dxfId="85" priority="351" stopIfTrue="1">
      <formula>OR(LEFT(#REF!,3)="TIR",LEFT(#REF!,2)="IR")</formula>
    </cfRule>
  </conditionalFormatting>
  <conditionalFormatting sqref="A10:A14 I10:I14">
    <cfRule type="expression" dxfId="84" priority="354" stopIfTrue="1">
      <formula>#REF!&gt;0</formula>
    </cfRule>
    <cfRule type="expression" dxfId="83" priority="355" stopIfTrue="1">
      <formula>LEFT(#REF!,3)="TIR"</formula>
    </cfRule>
  </conditionalFormatting>
  <conditionalFormatting sqref="C10:D10 B11:F14">
    <cfRule type="expression" dxfId="82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1.28515625" style="81" customWidth="1"/>
    <col min="4" max="4" width="14.140625" style="81" customWidth="1"/>
    <col min="5" max="5" width="10.5703125" style="81" customWidth="1"/>
    <col min="6" max="6" width="7" style="54" customWidth="1"/>
    <col min="7" max="7" width="10.42578125" style="83" customWidth="1"/>
    <col min="8" max="8" width="22.85546875" style="85" bestFit="1" customWidth="1"/>
    <col min="9" max="9" width="26.42578125" style="85" bestFit="1" customWidth="1"/>
    <col min="10" max="10" width="20.7109375" style="85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1"/>
      <c r="D1" s="81"/>
      <c r="E1" s="81"/>
      <c r="F1" s="54"/>
      <c r="G1" s="83"/>
      <c r="H1" s="84"/>
      <c r="I1" s="84"/>
      <c r="J1" s="84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151</v>
      </c>
      <c r="C2" s="81"/>
      <c r="D2" s="81"/>
      <c r="E2" s="81"/>
      <c r="F2" s="54"/>
      <c r="G2" s="83"/>
      <c r="H2" s="84"/>
      <c r="I2" s="84"/>
      <c r="J2" s="84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1"/>
      <c r="D3" s="81"/>
      <c r="E3" s="81"/>
      <c r="F3" s="54"/>
      <c r="G3" s="83"/>
      <c r="H3" s="84"/>
      <c r="I3" s="84"/>
      <c r="J3" s="84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1"/>
      <c r="D4" s="81"/>
      <c r="E4" s="81"/>
      <c r="F4" s="54"/>
      <c r="G4" s="83"/>
      <c r="H4" s="84"/>
      <c r="I4" s="84"/>
      <c r="J4" s="84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08" t="s">
        <v>157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134</v>
      </c>
      <c r="F8" s="15"/>
      <c r="G8" s="15" t="s">
        <v>136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39" customFormat="1" ht="12.75" customHeight="1" thickBot="1" x14ac:dyDescent="0.25">
      <c r="A10" s="123" t="s">
        <v>60</v>
      </c>
      <c r="B10" s="88" t="s">
        <v>239</v>
      </c>
      <c r="C10" s="124" t="s">
        <v>239</v>
      </c>
      <c r="D10" s="124" t="s">
        <v>239</v>
      </c>
      <c r="E10" s="125" t="s">
        <v>239</v>
      </c>
      <c r="F10" s="124" t="s">
        <v>239</v>
      </c>
      <c r="G10" s="128">
        <v>8.0000000000000007E-7</v>
      </c>
      <c r="H10" s="88" t="s">
        <v>239</v>
      </c>
      <c r="I10" s="88">
        <v>1</v>
      </c>
      <c r="J10" s="103">
        <v>0</v>
      </c>
    </row>
    <row r="11" spans="1:17" s="139" customFormat="1" x14ac:dyDescent="0.2">
      <c r="A11" s="113" t="s">
        <v>625</v>
      </c>
      <c r="B11" s="142" t="s">
        <v>239</v>
      </c>
      <c r="C11" s="146" t="s">
        <v>239</v>
      </c>
      <c r="D11" s="142" t="s">
        <v>239</v>
      </c>
      <c r="E11" s="155" t="s">
        <v>239</v>
      </c>
      <c r="F11" s="146" t="s">
        <v>239</v>
      </c>
      <c r="G11" s="156">
        <v>0</v>
      </c>
      <c r="H11" s="142" t="s">
        <v>239</v>
      </c>
      <c r="I11" s="142">
        <v>0</v>
      </c>
      <c r="J11" s="142">
        <v>0</v>
      </c>
    </row>
    <row r="12" spans="1:17" s="139" customFormat="1" x14ac:dyDescent="0.2">
      <c r="A12" s="114" t="s">
        <v>626</v>
      </c>
      <c r="B12" s="142" t="s">
        <v>239</v>
      </c>
      <c r="C12" s="146" t="s">
        <v>239</v>
      </c>
      <c r="D12" s="142" t="s">
        <v>239</v>
      </c>
      <c r="E12" s="157" t="s">
        <v>239</v>
      </c>
      <c r="F12" s="147" t="s">
        <v>239</v>
      </c>
      <c r="G12" s="148">
        <v>0</v>
      </c>
      <c r="H12" s="145" t="s">
        <v>239</v>
      </c>
      <c r="I12" s="145">
        <v>0</v>
      </c>
      <c r="J12" s="145">
        <v>0</v>
      </c>
    </row>
    <row r="13" spans="1:17" s="139" customFormat="1" x14ac:dyDescent="0.2">
      <c r="A13" s="114" t="s">
        <v>627</v>
      </c>
      <c r="B13" s="142" t="s">
        <v>239</v>
      </c>
      <c r="C13" s="146" t="s">
        <v>239</v>
      </c>
      <c r="D13" s="142" t="s">
        <v>239</v>
      </c>
      <c r="E13" s="157" t="s">
        <v>239</v>
      </c>
      <c r="F13" s="147" t="s">
        <v>239</v>
      </c>
      <c r="G13" s="148">
        <v>0</v>
      </c>
      <c r="H13" s="145" t="s">
        <v>239</v>
      </c>
      <c r="I13" s="145">
        <v>0</v>
      </c>
      <c r="J13" s="145">
        <v>0</v>
      </c>
    </row>
    <row r="14" spans="1:17" s="139" customFormat="1" x14ac:dyDescent="0.2">
      <c r="A14" s="114" t="s">
        <v>628</v>
      </c>
      <c r="B14" s="142" t="s">
        <v>239</v>
      </c>
      <c r="C14" s="146" t="s">
        <v>239</v>
      </c>
      <c r="D14" s="142" t="s">
        <v>239</v>
      </c>
      <c r="E14" s="157" t="s">
        <v>239</v>
      </c>
      <c r="F14" s="147" t="s">
        <v>239</v>
      </c>
      <c r="G14" s="148">
        <v>0</v>
      </c>
      <c r="H14" s="145" t="s">
        <v>239</v>
      </c>
      <c r="I14" s="145">
        <v>0</v>
      </c>
      <c r="J14" s="145">
        <v>0</v>
      </c>
    </row>
    <row r="15" spans="1:17" s="139" customFormat="1" x14ac:dyDescent="0.2">
      <c r="A15" s="114" t="s">
        <v>629</v>
      </c>
      <c r="B15" s="142" t="s">
        <v>239</v>
      </c>
      <c r="C15" s="146" t="s">
        <v>239</v>
      </c>
      <c r="D15" s="142" t="s">
        <v>239</v>
      </c>
      <c r="E15" s="157" t="s">
        <v>239</v>
      </c>
      <c r="F15" s="147" t="s">
        <v>239</v>
      </c>
      <c r="G15" s="148">
        <v>0</v>
      </c>
      <c r="H15" s="145" t="s">
        <v>239</v>
      </c>
      <c r="I15" s="145">
        <v>0</v>
      </c>
      <c r="J15" s="145">
        <v>0</v>
      </c>
    </row>
    <row r="16" spans="1:17" s="139" customFormat="1" x14ac:dyDescent="0.2">
      <c r="A16" s="114" t="s">
        <v>630</v>
      </c>
      <c r="B16" s="142" t="s">
        <v>239</v>
      </c>
      <c r="C16" s="146" t="s">
        <v>239</v>
      </c>
      <c r="D16" s="142" t="s">
        <v>239</v>
      </c>
      <c r="E16" s="157" t="s">
        <v>239</v>
      </c>
      <c r="F16" s="147" t="s">
        <v>239</v>
      </c>
      <c r="G16" s="148">
        <v>0</v>
      </c>
      <c r="H16" s="145" t="s">
        <v>239</v>
      </c>
      <c r="I16" s="145">
        <v>0</v>
      </c>
      <c r="J16" s="145">
        <v>0</v>
      </c>
    </row>
    <row r="17" spans="1:13" s="139" customFormat="1" x14ac:dyDescent="0.2">
      <c r="A17" s="114" t="s">
        <v>626</v>
      </c>
      <c r="B17" s="142" t="s">
        <v>239</v>
      </c>
      <c r="C17" s="146" t="s">
        <v>239</v>
      </c>
      <c r="D17" s="142" t="s">
        <v>239</v>
      </c>
      <c r="E17" s="157" t="s">
        <v>239</v>
      </c>
      <c r="F17" s="147" t="s">
        <v>239</v>
      </c>
      <c r="G17" s="148">
        <v>0</v>
      </c>
      <c r="H17" s="145" t="s">
        <v>239</v>
      </c>
      <c r="I17" s="145">
        <v>0</v>
      </c>
      <c r="J17" s="145">
        <v>0</v>
      </c>
    </row>
    <row r="18" spans="1:13" s="139" customFormat="1" x14ac:dyDescent="0.2">
      <c r="A18" s="114" t="s">
        <v>627</v>
      </c>
      <c r="B18" s="142" t="s">
        <v>239</v>
      </c>
      <c r="C18" s="146" t="s">
        <v>239</v>
      </c>
      <c r="D18" s="142" t="s">
        <v>239</v>
      </c>
      <c r="E18" s="157" t="s">
        <v>239</v>
      </c>
      <c r="F18" s="147" t="s">
        <v>239</v>
      </c>
      <c r="G18" s="148">
        <v>0</v>
      </c>
      <c r="H18" s="145" t="s">
        <v>239</v>
      </c>
      <c r="I18" s="145">
        <v>0</v>
      </c>
      <c r="J18" s="145">
        <v>0</v>
      </c>
    </row>
    <row r="19" spans="1:13" s="139" customFormat="1" x14ac:dyDescent="0.2">
      <c r="A19" s="114" t="s">
        <v>628</v>
      </c>
      <c r="B19" s="142" t="s">
        <v>239</v>
      </c>
      <c r="C19" s="146" t="s">
        <v>239</v>
      </c>
      <c r="D19" s="142" t="s">
        <v>239</v>
      </c>
      <c r="E19" s="157" t="s">
        <v>239</v>
      </c>
      <c r="F19" s="147" t="s">
        <v>239</v>
      </c>
      <c r="G19" s="148">
        <v>0</v>
      </c>
      <c r="H19" s="145" t="s">
        <v>239</v>
      </c>
      <c r="I19" s="145">
        <v>0</v>
      </c>
      <c r="J19" s="145">
        <v>0</v>
      </c>
    </row>
    <row r="20" spans="1:13" s="139" customFormat="1" x14ac:dyDescent="0.2">
      <c r="A20" s="203" t="s">
        <v>629</v>
      </c>
      <c r="B20" s="204" t="s">
        <v>239</v>
      </c>
      <c r="C20" s="205" t="s">
        <v>239</v>
      </c>
      <c r="D20" s="204" t="s">
        <v>239</v>
      </c>
      <c r="E20" s="248" t="s">
        <v>239</v>
      </c>
      <c r="F20" s="207" t="s">
        <v>239</v>
      </c>
      <c r="G20" s="208">
        <v>0</v>
      </c>
      <c r="H20" s="209" t="s">
        <v>239</v>
      </c>
      <c r="I20" s="209">
        <v>0</v>
      </c>
      <c r="J20" s="209">
        <v>0</v>
      </c>
    </row>
    <row r="21" spans="1:13" s="139" customFormat="1" x14ac:dyDescent="0.2">
      <c r="A21" s="99" t="s">
        <v>230</v>
      </c>
      <c r="B21" s="149"/>
      <c r="C21" s="150"/>
      <c r="D21" s="150"/>
      <c r="E21" s="150"/>
      <c r="F21" s="151"/>
      <c r="G21" s="152"/>
      <c r="H21" s="153"/>
      <c r="I21" s="153"/>
      <c r="J21" s="153"/>
      <c r="K21" s="168"/>
      <c r="L21" s="154"/>
      <c r="M21" s="154"/>
    </row>
    <row r="22" spans="1:13" s="139" customFormat="1" x14ac:dyDescent="0.2">
      <c r="A22" s="99" t="s">
        <v>231</v>
      </c>
      <c r="B22" s="149"/>
      <c r="C22" s="150"/>
      <c r="D22" s="150"/>
      <c r="E22" s="150"/>
      <c r="F22" s="151"/>
      <c r="G22" s="152"/>
      <c r="H22" s="153"/>
      <c r="I22" s="153"/>
      <c r="J22" s="153"/>
      <c r="K22" s="168"/>
      <c r="L22" s="154"/>
      <c r="M22" s="154"/>
    </row>
    <row r="23" spans="1:13" s="139" customFormat="1" x14ac:dyDescent="0.2">
      <c r="A23" s="99" t="s">
        <v>232</v>
      </c>
      <c r="B23" s="149"/>
      <c r="C23" s="150"/>
      <c r="D23" s="150"/>
      <c r="E23" s="150"/>
      <c r="F23" s="151"/>
      <c r="G23" s="152"/>
      <c r="H23" s="153"/>
      <c r="I23" s="153"/>
      <c r="J23" s="153"/>
      <c r="K23" s="168"/>
      <c r="L23" s="154"/>
      <c r="M23" s="154"/>
    </row>
    <row r="24" spans="1:13" s="139" customFormat="1" x14ac:dyDescent="0.2">
      <c r="A24" s="99" t="s">
        <v>233</v>
      </c>
      <c r="B24" s="149"/>
      <c r="C24" s="150"/>
      <c r="D24" s="150"/>
      <c r="E24" s="150"/>
      <c r="F24" s="151"/>
      <c r="G24" s="152"/>
      <c r="H24" s="153"/>
      <c r="I24" s="153"/>
      <c r="J24" s="153"/>
      <c r="K24" s="168"/>
      <c r="L24" s="154"/>
      <c r="M24" s="154"/>
    </row>
    <row r="25" spans="1:13" s="139" customFormat="1" x14ac:dyDescent="0.2">
      <c r="A25" s="99" t="s">
        <v>234</v>
      </c>
      <c r="B25" s="149"/>
      <c r="C25" s="150"/>
      <c r="D25" s="150"/>
      <c r="E25" s="150"/>
      <c r="F25" s="151"/>
      <c r="G25" s="152"/>
      <c r="H25" s="153"/>
      <c r="I25" s="153"/>
      <c r="J25" s="153"/>
      <c r="K25" s="168"/>
      <c r="L25" s="154"/>
      <c r="M25" s="154"/>
    </row>
  </sheetData>
  <mergeCells count="2">
    <mergeCell ref="A6:J6"/>
    <mergeCell ref="A5:J5"/>
  </mergeCells>
  <conditionalFormatting sqref="I11:J20">
    <cfRule type="expression" dxfId="81" priority="363" stopIfTrue="1">
      <formula>OR(LEFT(#REF!,3)="TIR",LEFT(#REF!,2)="IR")</formula>
    </cfRule>
  </conditionalFormatting>
  <conditionalFormatting sqref="A11:A20 G11:G20">
    <cfRule type="expression" dxfId="80" priority="364" stopIfTrue="1">
      <formula>#REF!&gt;0</formula>
    </cfRule>
  </conditionalFormatting>
  <conditionalFormatting sqref="B11:D20">
    <cfRule type="expression" dxfId="79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85546875" style="28" bestFit="1" customWidth="1"/>
    <col min="8" max="8" width="10.42578125" style="29" customWidth="1"/>
    <col min="9" max="9" width="22.85546875" style="36" bestFit="1" customWidth="1"/>
    <col min="10" max="10" width="26.42578125" style="36" bestFit="1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39" customFormat="1" ht="12.75" customHeight="1" thickBot="1" x14ac:dyDescent="0.25">
      <c r="A10" s="123" t="s">
        <v>55</v>
      </c>
      <c r="B10" s="88" t="s">
        <v>239</v>
      </c>
      <c r="C10" s="88" t="s">
        <v>239</v>
      </c>
      <c r="D10" s="159" t="s">
        <v>239</v>
      </c>
      <c r="E10" s="159" t="s">
        <v>239</v>
      </c>
      <c r="F10" s="161" t="s">
        <v>239</v>
      </c>
      <c r="G10" s="159" t="s">
        <v>239</v>
      </c>
      <c r="H10" s="172">
        <v>2.0000000000000002E-7</v>
      </c>
      <c r="I10" s="91"/>
      <c r="J10" s="105">
        <v>1</v>
      </c>
      <c r="K10" s="104">
        <v>0</v>
      </c>
    </row>
    <row r="11" spans="1:18" s="139" customFormat="1" x14ac:dyDescent="0.2">
      <c r="A11" s="113" t="s">
        <v>631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62" t="s">
        <v>239</v>
      </c>
      <c r="G11" s="146" t="s">
        <v>239</v>
      </c>
      <c r="H11" s="143">
        <v>0</v>
      </c>
      <c r="I11" s="142" t="s">
        <v>239</v>
      </c>
      <c r="J11" s="142">
        <v>0</v>
      </c>
      <c r="K11" s="142">
        <v>0</v>
      </c>
    </row>
    <row r="12" spans="1:18" s="139" customFormat="1" x14ac:dyDescent="0.2">
      <c r="A12" s="203" t="s">
        <v>632</v>
      </c>
      <c r="B12" s="204" t="s">
        <v>239</v>
      </c>
      <c r="C12" s="204" t="s">
        <v>239</v>
      </c>
      <c r="D12" s="205" t="s">
        <v>239</v>
      </c>
      <c r="E12" s="204" t="s">
        <v>239</v>
      </c>
      <c r="F12" s="245" t="s">
        <v>239</v>
      </c>
      <c r="G12" s="207" t="s">
        <v>239</v>
      </c>
      <c r="H12" s="208">
        <v>0</v>
      </c>
      <c r="I12" s="209" t="s">
        <v>239</v>
      </c>
      <c r="J12" s="204">
        <v>0</v>
      </c>
      <c r="K12" s="204">
        <v>0</v>
      </c>
    </row>
    <row r="13" spans="1:18" s="139" customFormat="1" x14ac:dyDescent="0.2">
      <c r="A13" s="99" t="s">
        <v>230</v>
      </c>
      <c r="B13" s="149"/>
      <c r="C13" s="99"/>
      <c r="D13" s="166"/>
      <c r="E13" s="166"/>
      <c r="F13" s="166"/>
      <c r="G13" s="167"/>
      <c r="H13" s="154"/>
      <c r="I13" s="168"/>
      <c r="J13" s="168"/>
      <c r="K13" s="168"/>
      <c r="L13" s="168"/>
      <c r="M13" s="154"/>
      <c r="N13" s="154"/>
    </row>
    <row r="14" spans="1:18" s="139" customFormat="1" x14ac:dyDescent="0.2">
      <c r="A14" s="99" t="s">
        <v>231</v>
      </c>
      <c r="B14" s="149"/>
      <c r="C14" s="99"/>
      <c r="D14" s="166"/>
      <c r="E14" s="166"/>
      <c r="F14" s="166"/>
      <c r="G14" s="167"/>
      <c r="H14" s="154"/>
      <c r="I14" s="168"/>
      <c r="J14" s="168"/>
      <c r="K14" s="168"/>
      <c r="L14" s="168"/>
      <c r="M14" s="154"/>
      <c r="N14" s="154"/>
    </row>
    <row r="15" spans="1:18" s="139" customFormat="1" x14ac:dyDescent="0.2">
      <c r="A15" s="99" t="s">
        <v>232</v>
      </c>
      <c r="B15" s="149"/>
      <c r="C15" s="99"/>
      <c r="D15" s="166"/>
      <c r="E15" s="166"/>
      <c r="F15" s="166"/>
      <c r="G15" s="167"/>
      <c r="H15" s="154"/>
      <c r="I15" s="168"/>
      <c r="J15" s="168"/>
      <c r="K15" s="168"/>
      <c r="L15" s="168"/>
      <c r="M15" s="154"/>
      <c r="N15" s="154"/>
    </row>
    <row r="16" spans="1:18" s="139" customFormat="1" x14ac:dyDescent="0.2">
      <c r="A16" s="99" t="s">
        <v>233</v>
      </c>
      <c r="B16" s="149"/>
      <c r="C16" s="99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9" t="s">
        <v>234</v>
      </c>
      <c r="B17" s="149"/>
      <c r="C17" s="99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</sheetData>
  <mergeCells count="2">
    <mergeCell ref="A6:K6"/>
    <mergeCell ref="A5:K5"/>
  </mergeCells>
  <conditionalFormatting sqref="A10:A12 H10:H12">
    <cfRule type="expression" dxfId="78" priority="371" stopIfTrue="1">
      <formula>#REF!&gt;0</formula>
    </cfRule>
  </conditionalFormatting>
  <conditionalFormatting sqref="J10:K12">
    <cfRule type="expression" dxfId="77" priority="373" stopIfTrue="1">
      <formula>OR(LEFT(#REF!,3)="TIR",LEFT(#REF!,2)="IR")</formula>
    </cfRule>
  </conditionalFormatting>
  <conditionalFormatting sqref="B11:E12">
    <cfRule type="expression" dxfId="76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1" customWidth="1"/>
    <col min="5" max="5" width="14.140625" style="81" customWidth="1"/>
    <col min="6" max="6" width="10.5703125" style="81" customWidth="1"/>
    <col min="7" max="7" width="7" style="54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1"/>
      <c r="E1" s="81"/>
      <c r="F1" s="81"/>
      <c r="G1" s="54"/>
      <c r="H1" s="83"/>
      <c r="I1" s="84"/>
      <c r="J1" s="84"/>
      <c r="K1" s="84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5"/>
      <c r="D2" s="81"/>
      <c r="E2" s="81"/>
      <c r="F2" s="81"/>
      <c r="G2" s="54"/>
      <c r="H2" s="83"/>
      <c r="I2" s="84"/>
      <c r="J2" s="84"/>
      <c r="K2" s="84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1"/>
      <c r="E3" s="81"/>
      <c r="F3" s="81"/>
      <c r="G3" s="54"/>
      <c r="H3" s="83"/>
      <c r="I3" s="84"/>
      <c r="J3" s="84"/>
      <c r="K3" s="84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1"/>
      <c r="E4" s="81"/>
      <c r="F4" s="81"/>
      <c r="G4" s="54"/>
      <c r="H4" s="83"/>
      <c r="I4" s="84"/>
      <c r="J4" s="84"/>
      <c r="K4" s="84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39" customFormat="1" ht="12.75" customHeight="1" thickBot="1" x14ac:dyDescent="0.25">
      <c r="A10" s="123" t="s">
        <v>56</v>
      </c>
      <c r="B10" s="88" t="s">
        <v>239</v>
      </c>
      <c r="C10" s="88" t="s">
        <v>239</v>
      </c>
      <c r="D10" s="124" t="s">
        <v>239</v>
      </c>
      <c r="E10" s="124" t="s">
        <v>239</v>
      </c>
      <c r="F10" s="125" t="s">
        <v>239</v>
      </c>
      <c r="G10" s="124" t="s">
        <v>239</v>
      </c>
      <c r="H10" s="132">
        <v>9.9999999999999995E-7</v>
      </c>
      <c r="I10" s="88" t="s">
        <v>239</v>
      </c>
      <c r="J10" s="88">
        <v>1</v>
      </c>
      <c r="K10" s="103">
        <v>0</v>
      </c>
    </row>
    <row r="11" spans="1:18" s="139" customFormat="1" x14ac:dyDescent="0.2">
      <c r="A11" s="113" t="s">
        <v>633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55" t="s">
        <v>239</v>
      </c>
      <c r="G11" s="146" t="s">
        <v>239</v>
      </c>
      <c r="H11" s="143">
        <v>0</v>
      </c>
      <c r="I11" s="142" t="s">
        <v>239</v>
      </c>
      <c r="J11" s="142">
        <v>0</v>
      </c>
      <c r="K11" s="142">
        <v>0</v>
      </c>
    </row>
    <row r="12" spans="1:18" s="139" customFormat="1" x14ac:dyDescent="0.2">
      <c r="A12" s="114" t="s">
        <v>586</v>
      </c>
      <c r="B12" s="142" t="s">
        <v>239</v>
      </c>
      <c r="C12" s="142" t="s">
        <v>239</v>
      </c>
      <c r="D12" s="146" t="s">
        <v>239</v>
      </c>
      <c r="E12" s="142" t="s">
        <v>239</v>
      </c>
      <c r="F12" s="157" t="s">
        <v>239</v>
      </c>
      <c r="G12" s="147" t="s">
        <v>239</v>
      </c>
      <c r="H12" s="148">
        <v>0</v>
      </c>
      <c r="I12" s="145" t="s">
        <v>239</v>
      </c>
      <c r="J12" s="145">
        <v>0</v>
      </c>
      <c r="K12" s="145">
        <v>0</v>
      </c>
    </row>
    <row r="13" spans="1:18" s="139" customFormat="1" x14ac:dyDescent="0.2">
      <c r="A13" s="114" t="s">
        <v>634</v>
      </c>
      <c r="B13" s="142" t="s">
        <v>239</v>
      </c>
      <c r="C13" s="142" t="s">
        <v>239</v>
      </c>
      <c r="D13" s="146" t="s">
        <v>239</v>
      </c>
      <c r="E13" s="142" t="s">
        <v>239</v>
      </c>
      <c r="F13" s="157" t="s">
        <v>239</v>
      </c>
      <c r="G13" s="147" t="s">
        <v>239</v>
      </c>
      <c r="H13" s="148">
        <v>0</v>
      </c>
      <c r="I13" s="145" t="s">
        <v>239</v>
      </c>
      <c r="J13" s="145">
        <v>0</v>
      </c>
      <c r="K13" s="145">
        <v>0</v>
      </c>
    </row>
    <row r="14" spans="1:18" s="139" customFormat="1" x14ac:dyDescent="0.2">
      <c r="A14" s="114" t="s">
        <v>635</v>
      </c>
      <c r="B14" s="142" t="s">
        <v>239</v>
      </c>
      <c r="C14" s="142" t="s">
        <v>239</v>
      </c>
      <c r="D14" s="146" t="s">
        <v>239</v>
      </c>
      <c r="E14" s="142" t="s">
        <v>239</v>
      </c>
      <c r="F14" s="157" t="s">
        <v>239</v>
      </c>
      <c r="G14" s="147" t="s">
        <v>239</v>
      </c>
      <c r="H14" s="148">
        <v>0</v>
      </c>
      <c r="I14" s="145" t="s">
        <v>239</v>
      </c>
      <c r="J14" s="145">
        <v>0</v>
      </c>
      <c r="K14" s="145">
        <v>0</v>
      </c>
    </row>
    <row r="15" spans="1:18" s="139" customFormat="1" x14ac:dyDescent="0.2">
      <c r="A15" s="114" t="s">
        <v>588</v>
      </c>
      <c r="B15" s="142" t="s">
        <v>239</v>
      </c>
      <c r="C15" s="142" t="s">
        <v>239</v>
      </c>
      <c r="D15" s="146" t="s">
        <v>239</v>
      </c>
      <c r="E15" s="142" t="s">
        <v>239</v>
      </c>
      <c r="F15" s="157" t="s">
        <v>239</v>
      </c>
      <c r="G15" s="147" t="s">
        <v>239</v>
      </c>
      <c r="H15" s="148">
        <v>0</v>
      </c>
      <c r="I15" s="145" t="s">
        <v>239</v>
      </c>
      <c r="J15" s="145">
        <v>0</v>
      </c>
      <c r="K15" s="145">
        <v>0</v>
      </c>
    </row>
    <row r="16" spans="1:18" s="139" customFormat="1" x14ac:dyDescent="0.2">
      <c r="A16" s="114" t="s">
        <v>142</v>
      </c>
      <c r="B16" s="142" t="s">
        <v>239</v>
      </c>
      <c r="C16" s="142" t="s">
        <v>239</v>
      </c>
      <c r="D16" s="146" t="s">
        <v>239</v>
      </c>
      <c r="E16" s="142" t="s">
        <v>239</v>
      </c>
      <c r="F16" s="157" t="s">
        <v>239</v>
      </c>
      <c r="G16" s="147" t="s">
        <v>239</v>
      </c>
      <c r="H16" s="148">
        <v>0</v>
      </c>
      <c r="I16" s="145" t="s">
        <v>239</v>
      </c>
      <c r="J16" s="145">
        <v>0</v>
      </c>
      <c r="K16" s="145">
        <v>0</v>
      </c>
    </row>
    <row r="17" spans="1:14" s="139" customFormat="1" x14ac:dyDescent="0.2">
      <c r="A17" s="114" t="s">
        <v>636</v>
      </c>
      <c r="B17" s="142" t="s">
        <v>239</v>
      </c>
      <c r="C17" s="142" t="s">
        <v>239</v>
      </c>
      <c r="D17" s="146" t="s">
        <v>239</v>
      </c>
      <c r="E17" s="142" t="s">
        <v>239</v>
      </c>
      <c r="F17" s="157" t="s">
        <v>239</v>
      </c>
      <c r="G17" s="147" t="s">
        <v>239</v>
      </c>
      <c r="H17" s="148">
        <v>0</v>
      </c>
      <c r="I17" s="145" t="s">
        <v>239</v>
      </c>
      <c r="J17" s="145">
        <v>0</v>
      </c>
      <c r="K17" s="145">
        <v>0</v>
      </c>
    </row>
    <row r="18" spans="1:14" s="139" customFormat="1" x14ac:dyDescent="0.2">
      <c r="A18" s="114" t="s">
        <v>586</v>
      </c>
      <c r="B18" s="142" t="s">
        <v>239</v>
      </c>
      <c r="C18" s="142" t="s">
        <v>239</v>
      </c>
      <c r="D18" s="146" t="s">
        <v>239</v>
      </c>
      <c r="E18" s="142" t="s">
        <v>239</v>
      </c>
      <c r="F18" s="157" t="s">
        <v>239</v>
      </c>
      <c r="G18" s="147" t="s">
        <v>239</v>
      </c>
      <c r="H18" s="148">
        <v>0</v>
      </c>
      <c r="I18" s="145" t="s">
        <v>239</v>
      </c>
      <c r="J18" s="145">
        <v>0</v>
      </c>
      <c r="K18" s="145">
        <v>0</v>
      </c>
    </row>
    <row r="19" spans="1:14" s="139" customFormat="1" x14ac:dyDescent="0.2">
      <c r="A19" s="114" t="s">
        <v>597</v>
      </c>
      <c r="B19" s="142" t="s">
        <v>239</v>
      </c>
      <c r="C19" s="142" t="s">
        <v>239</v>
      </c>
      <c r="D19" s="146" t="s">
        <v>239</v>
      </c>
      <c r="E19" s="142" t="s">
        <v>239</v>
      </c>
      <c r="F19" s="157" t="s">
        <v>239</v>
      </c>
      <c r="G19" s="147" t="s">
        <v>239</v>
      </c>
      <c r="H19" s="148">
        <v>0</v>
      </c>
      <c r="I19" s="145" t="s">
        <v>239</v>
      </c>
      <c r="J19" s="145">
        <v>0</v>
      </c>
      <c r="K19" s="145">
        <v>0</v>
      </c>
    </row>
    <row r="20" spans="1:14" s="139" customFormat="1" x14ac:dyDescent="0.2">
      <c r="A20" s="114" t="s">
        <v>588</v>
      </c>
      <c r="B20" s="142" t="s">
        <v>239</v>
      </c>
      <c r="C20" s="142" t="s">
        <v>239</v>
      </c>
      <c r="D20" s="146" t="s">
        <v>239</v>
      </c>
      <c r="E20" s="142" t="s">
        <v>239</v>
      </c>
      <c r="F20" s="157" t="s">
        <v>239</v>
      </c>
      <c r="G20" s="147" t="s">
        <v>239</v>
      </c>
      <c r="H20" s="148">
        <v>0</v>
      </c>
      <c r="I20" s="145" t="s">
        <v>239</v>
      </c>
      <c r="J20" s="145">
        <v>0</v>
      </c>
      <c r="K20" s="145">
        <v>0</v>
      </c>
    </row>
    <row r="21" spans="1:14" s="139" customFormat="1" x14ac:dyDescent="0.2">
      <c r="A21" s="114" t="s">
        <v>598</v>
      </c>
      <c r="B21" s="142" t="s">
        <v>239</v>
      </c>
      <c r="C21" s="142" t="s">
        <v>239</v>
      </c>
      <c r="D21" s="146" t="s">
        <v>239</v>
      </c>
      <c r="E21" s="142" t="s">
        <v>239</v>
      </c>
      <c r="F21" s="157" t="s">
        <v>239</v>
      </c>
      <c r="G21" s="147" t="s">
        <v>239</v>
      </c>
      <c r="H21" s="148">
        <v>0</v>
      </c>
      <c r="I21" s="145" t="s">
        <v>239</v>
      </c>
      <c r="J21" s="145">
        <v>0</v>
      </c>
      <c r="K21" s="145">
        <v>0</v>
      </c>
    </row>
    <row r="22" spans="1:14" s="139" customFormat="1" x14ac:dyDescent="0.2">
      <c r="A22" s="203" t="s">
        <v>142</v>
      </c>
      <c r="B22" s="204" t="s">
        <v>239</v>
      </c>
      <c r="C22" s="204" t="s">
        <v>239</v>
      </c>
      <c r="D22" s="205" t="s">
        <v>239</v>
      </c>
      <c r="E22" s="204" t="s">
        <v>239</v>
      </c>
      <c r="F22" s="248" t="s">
        <v>239</v>
      </c>
      <c r="G22" s="207" t="s">
        <v>239</v>
      </c>
      <c r="H22" s="208">
        <v>0</v>
      </c>
      <c r="I22" s="209" t="s">
        <v>239</v>
      </c>
      <c r="J22" s="209">
        <v>0</v>
      </c>
      <c r="K22" s="209">
        <v>0</v>
      </c>
    </row>
    <row r="23" spans="1:14" s="139" customFormat="1" x14ac:dyDescent="0.2">
      <c r="A23" s="99" t="s">
        <v>230</v>
      </c>
      <c r="B23" s="149"/>
      <c r="C23" s="149"/>
      <c r="D23" s="150"/>
      <c r="E23" s="150"/>
      <c r="F23" s="150"/>
      <c r="G23" s="151"/>
      <c r="H23" s="152"/>
      <c r="I23" s="153"/>
      <c r="J23" s="153"/>
      <c r="K23" s="153"/>
      <c r="L23" s="168"/>
      <c r="M23" s="154"/>
      <c r="N23" s="154"/>
    </row>
    <row r="24" spans="1:14" s="139" customFormat="1" x14ac:dyDescent="0.2">
      <c r="A24" s="99" t="s">
        <v>231</v>
      </c>
      <c r="B24" s="149"/>
      <c r="C24" s="149"/>
      <c r="D24" s="150"/>
      <c r="E24" s="150"/>
      <c r="F24" s="150"/>
      <c r="G24" s="151"/>
      <c r="H24" s="152"/>
      <c r="I24" s="153"/>
      <c r="J24" s="153"/>
      <c r="K24" s="153"/>
      <c r="L24" s="168"/>
      <c r="M24" s="154"/>
      <c r="N24" s="154"/>
    </row>
    <row r="25" spans="1:14" s="139" customFormat="1" x14ac:dyDescent="0.2">
      <c r="A25" s="99" t="s">
        <v>232</v>
      </c>
      <c r="B25" s="149"/>
      <c r="C25" s="149"/>
      <c r="D25" s="150"/>
      <c r="E25" s="150"/>
      <c r="F25" s="150"/>
      <c r="G25" s="151"/>
      <c r="H25" s="152"/>
      <c r="I25" s="153"/>
      <c r="J25" s="153"/>
      <c r="K25" s="153"/>
      <c r="L25" s="168"/>
      <c r="M25" s="154"/>
      <c r="N25" s="154"/>
    </row>
    <row r="26" spans="1:14" s="139" customFormat="1" x14ac:dyDescent="0.2">
      <c r="A26" s="99" t="s">
        <v>233</v>
      </c>
      <c r="B26" s="149"/>
      <c r="C26" s="149"/>
      <c r="D26" s="150"/>
      <c r="E26" s="150"/>
      <c r="F26" s="150"/>
      <c r="G26" s="151"/>
      <c r="H26" s="152"/>
      <c r="I26" s="153"/>
      <c r="J26" s="153"/>
      <c r="K26" s="153"/>
      <c r="L26" s="168"/>
      <c r="M26" s="154"/>
      <c r="N26" s="154"/>
    </row>
    <row r="27" spans="1:14" s="139" customFormat="1" x14ac:dyDescent="0.2">
      <c r="A27" s="99" t="s">
        <v>234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</sheetData>
  <mergeCells count="2">
    <mergeCell ref="A6:K6"/>
    <mergeCell ref="A5:K5"/>
  </mergeCells>
  <conditionalFormatting sqref="J11:K22">
    <cfRule type="expression" dxfId="75" priority="379" stopIfTrue="1">
      <formula>OR(LEFT(#REF!,3)="TIR",LEFT(#REF!,2)="IR")</formula>
    </cfRule>
  </conditionalFormatting>
  <conditionalFormatting sqref="A11:A22 H11:H22">
    <cfRule type="expression" dxfId="74" priority="380" stopIfTrue="1">
      <formula>#REF!&gt;0</formula>
    </cfRule>
  </conditionalFormatting>
  <conditionalFormatting sqref="B11:E22">
    <cfRule type="expression" dxfId="73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8"/>
  <sheetViews>
    <sheetView rightToLeft="1" topLeftCell="A7" zoomScale="85" zoomScaleNormal="85" workbookViewId="0">
      <selection activeCell="A7" sqref="A7:J93"/>
    </sheetView>
  </sheetViews>
  <sheetFormatPr defaultRowHeight="12.75" x14ac:dyDescent="0.2"/>
  <cols>
    <col min="1" max="1" width="32.5703125" style="26" bestFit="1" customWidth="1"/>
    <col min="2" max="2" width="12.7109375" style="25" bestFit="1" customWidth="1"/>
    <col min="3" max="3" width="11.140625" style="26" customWidth="1"/>
    <col min="4" max="4" width="11.85546875" style="81" bestFit="1" customWidth="1"/>
    <col min="5" max="5" width="13.42578125" style="81" customWidth="1"/>
    <col min="6" max="6" width="12.7109375" style="81" bestFit="1" customWidth="1"/>
    <col min="7" max="7" width="6.7109375" style="54" customWidth="1"/>
    <col min="8" max="8" width="9.85546875" style="83" customWidth="1"/>
    <col min="9" max="9" width="24" style="83" customWidth="1"/>
    <col min="10" max="10" width="19.7109375" style="85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1"/>
      <c r="E1" s="81"/>
      <c r="F1" s="81"/>
      <c r="G1" s="54"/>
      <c r="H1" s="83"/>
      <c r="I1" s="83"/>
      <c r="J1" s="84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81"/>
      <c r="E2" s="81"/>
      <c r="F2" s="81"/>
      <c r="G2" s="54"/>
      <c r="H2" s="83"/>
      <c r="I2" s="83"/>
      <c r="J2" s="84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1"/>
      <c r="E3" s="81"/>
      <c r="F3" s="81"/>
      <c r="G3" s="54"/>
      <c r="H3" s="83"/>
      <c r="I3" s="83"/>
      <c r="J3" s="84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1"/>
      <c r="E4" s="81"/>
      <c r="F4" s="81"/>
      <c r="G4" s="54"/>
      <c r="H4" s="83"/>
      <c r="I4" s="83"/>
      <c r="J4" s="84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39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368.92367580401293</v>
      </c>
      <c r="I10" s="88">
        <v>1</v>
      </c>
      <c r="J10" s="103">
        <v>5.1808104207085376E-3</v>
      </c>
    </row>
    <row r="11" spans="1:15" s="139" customFormat="1" x14ac:dyDescent="0.2">
      <c r="A11" s="113" t="s">
        <v>637</v>
      </c>
      <c r="B11" s="142" t="s">
        <v>239</v>
      </c>
      <c r="C11" s="142" t="s">
        <v>239</v>
      </c>
      <c r="D11" s="146" t="s">
        <v>239</v>
      </c>
      <c r="E11" s="142" t="s">
        <v>239</v>
      </c>
      <c r="F11" s="155" t="s">
        <v>239</v>
      </c>
      <c r="G11" s="146" t="s">
        <v>239</v>
      </c>
      <c r="H11" s="143">
        <v>362.73364540401269</v>
      </c>
      <c r="I11" s="142">
        <v>0.98322137936387521</v>
      </c>
      <c r="J11" s="142">
        <v>5.0938835680717862E-3</v>
      </c>
    </row>
    <row r="12" spans="1:15" s="139" customFormat="1" x14ac:dyDescent="0.2">
      <c r="A12" s="114" t="s">
        <v>586</v>
      </c>
      <c r="B12" s="142" t="s">
        <v>239</v>
      </c>
      <c r="C12" s="142" t="s">
        <v>239</v>
      </c>
      <c r="D12" s="146" t="s">
        <v>239</v>
      </c>
      <c r="E12" s="142" t="s">
        <v>239</v>
      </c>
      <c r="F12" s="157" t="s">
        <v>239</v>
      </c>
      <c r="G12" s="147" t="s">
        <v>239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4" t="s">
        <v>588</v>
      </c>
      <c r="B13" s="142" t="s">
        <v>239</v>
      </c>
      <c r="C13" s="142" t="s">
        <v>239</v>
      </c>
      <c r="D13" s="146" t="s">
        <v>239</v>
      </c>
      <c r="E13" s="142" t="s">
        <v>239</v>
      </c>
      <c r="F13" s="157" t="s">
        <v>239</v>
      </c>
      <c r="G13" s="147" t="s">
        <v>239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4" t="s">
        <v>638</v>
      </c>
      <c r="B14" s="142" t="s">
        <v>239</v>
      </c>
      <c r="C14" s="142" t="s">
        <v>239</v>
      </c>
      <c r="D14" s="146" t="s">
        <v>239</v>
      </c>
      <c r="E14" s="142" t="s">
        <v>239</v>
      </c>
      <c r="F14" s="157" t="s">
        <v>239</v>
      </c>
      <c r="G14" s="147" t="s">
        <v>239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4" t="s">
        <v>635</v>
      </c>
      <c r="B15" s="142" t="s">
        <v>239</v>
      </c>
      <c r="C15" s="142" t="s">
        <v>239</v>
      </c>
      <c r="D15" s="146" t="s">
        <v>239</v>
      </c>
      <c r="E15" s="142" t="s">
        <v>239</v>
      </c>
      <c r="F15" s="157" t="s">
        <v>239</v>
      </c>
      <c r="G15" s="147" t="s">
        <v>239</v>
      </c>
      <c r="H15" s="148">
        <v>-0.58983989999996267</v>
      </c>
      <c r="I15" s="145">
        <v>-1.598812813285828E-3</v>
      </c>
      <c r="J15" s="145">
        <v>-8.2831460838335506E-6</v>
      </c>
    </row>
    <row r="16" spans="1:15" x14ac:dyDescent="0.2">
      <c r="A16" s="33" t="s">
        <v>639</v>
      </c>
      <c r="B16" s="50" t="s">
        <v>640</v>
      </c>
      <c r="C16" s="50" t="s">
        <v>200</v>
      </c>
      <c r="D16" s="87" t="s">
        <v>126</v>
      </c>
      <c r="E16" s="50" t="s">
        <v>641</v>
      </c>
      <c r="F16" s="90">
        <v>2062.08</v>
      </c>
      <c r="G16" s="82">
        <v>0.99990000000000001</v>
      </c>
      <c r="H16" s="106">
        <v>6.6295500000000001</v>
      </c>
      <c r="I16" s="41">
        <v>1.7969977084154078E-2</v>
      </c>
      <c r="J16" s="41">
        <v>9.3099044537479049E-5</v>
      </c>
      <c r="K16" s="31"/>
      <c r="L16" s="31"/>
      <c r="M16" s="31"/>
      <c r="N16" s="31"/>
    </row>
    <row r="17" spans="1:14" x14ac:dyDescent="0.2">
      <c r="A17" s="33" t="s">
        <v>642</v>
      </c>
      <c r="B17" s="50" t="s">
        <v>643</v>
      </c>
      <c r="C17" s="50" t="s">
        <v>200</v>
      </c>
      <c r="D17" s="87" t="s">
        <v>127</v>
      </c>
      <c r="E17" s="50" t="s">
        <v>641</v>
      </c>
      <c r="F17" s="90">
        <v>-1800</v>
      </c>
      <c r="G17" s="82">
        <v>1</v>
      </c>
      <c r="H17" s="106">
        <v>-7.1000299999999994</v>
      </c>
      <c r="I17" s="41">
        <v>-1.9245254413467954E-2</v>
      </c>
      <c r="J17" s="41">
        <v>-9.9706014614481727E-5</v>
      </c>
      <c r="K17" s="31"/>
      <c r="L17" s="31"/>
      <c r="M17" s="31"/>
      <c r="N17" s="31"/>
    </row>
    <row r="18" spans="1:14" x14ac:dyDescent="0.2">
      <c r="A18" s="33" t="s">
        <v>639</v>
      </c>
      <c r="B18" s="50" t="s">
        <v>644</v>
      </c>
      <c r="C18" s="50" t="s">
        <v>200</v>
      </c>
      <c r="D18" s="87" t="s">
        <v>126</v>
      </c>
      <c r="E18" s="50" t="s">
        <v>645</v>
      </c>
      <c r="F18" s="90">
        <v>59133.03</v>
      </c>
      <c r="G18" s="82">
        <v>0.99990000000000001</v>
      </c>
      <c r="H18" s="106">
        <v>190.11174</v>
      </c>
      <c r="I18" s="41">
        <v>0.51531455547188842</v>
      </c>
      <c r="J18" s="41">
        <v>2.669747018931547E-3</v>
      </c>
      <c r="K18" s="31"/>
      <c r="L18" s="31"/>
      <c r="M18" s="31"/>
      <c r="N18" s="31"/>
    </row>
    <row r="19" spans="1:14" x14ac:dyDescent="0.2">
      <c r="A19" s="33" t="s">
        <v>642</v>
      </c>
      <c r="B19" s="50" t="s">
        <v>646</v>
      </c>
      <c r="C19" s="50" t="s">
        <v>200</v>
      </c>
      <c r="D19" s="87" t="s">
        <v>127</v>
      </c>
      <c r="E19" s="50" t="s">
        <v>645</v>
      </c>
      <c r="F19" s="90">
        <v>-50100</v>
      </c>
      <c r="G19" s="82">
        <v>1</v>
      </c>
      <c r="H19" s="106">
        <v>-197.61757999999998</v>
      </c>
      <c r="I19" s="41">
        <v>-0.53565979350423254</v>
      </c>
      <c r="J19" s="41">
        <v>-2.7751518401413107E-3</v>
      </c>
      <c r="K19" s="31"/>
      <c r="L19" s="31"/>
      <c r="M19" s="31"/>
      <c r="N19" s="31"/>
    </row>
    <row r="20" spans="1:14" x14ac:dyDescent="0.2">
      <c r="A20" s="33" t="s">
        <v>647</v>
      </c>
      <c r="B20" s="50" t="s">
        <v>648</v>
      </c>
      <c r="C20" s="50" t="s">
        <v>200</v>
      </c>
      <c r="D20" s="87" t="s">
        <v>265</v>
      </c>
      <c r="E20" s="50" t="s">
        <v>649</v>
      </c>
      <c r="F20" s="90">
        <v>11172491</v>
      </c>
      <c r="G20" s="82">
        <v>1.0011000000000001</v>
      </c>
      <c r="H20" s="106">
        <v>348.88988000000001</v>
      </c>
      <c r="I20" s="41">
        <v>0.9456966383077684</v>
      </c>
      <c r="J20" s="41">
        <v>4.8994749985739189E-3</v>
      </c>
      <c r="K20" s="31"/>
      <c r="L20" s="31"/>
      <c r="M20" s="31"/>
      <c r="N20" s="31"/>
    </row>
    <row r="21" spans="1:14" x14ac:dyDescent="0.2">
      <c r="A21" s="33" t="s">
        <v>650</v>
      </c>
      <c r="B21" s="50" t="s">
        <v>651</v>
      </c>
      <c r="C21" s="50" t="s">
        <v>200</v>
      </c>
      <c r="D21" s="87" t="s">
        <v>126</v>
      </c>
      <c r="E21" s="50" t="s">
        <v>649</v>
      </c>
      <c r="F21" s="90">
        <v>-106086.42</v>
      </c>
      <c r="G21" s="82">
        <v>0.99980000000000002</v>
      </c>
      <c r="H21" s="106">
        <v>-341.00121999999999</v>
      </c>
      <c r="I21" s="41">
        <v>-0.92431373306914988</v>
      </c>
      <c r="J21" s="41">
        <v>-4.788694220288661E-3</v>
      </c>
      <c r="K21" s="31"/>
      <c r="L21" s="31"/>
      <c r="M21" s="31"/>
      <c r="N21" s="31"/>
    </row>
    <row r="22" spans="1:14" x14ac:dyDescent="0.2">
      <c r="A22" s="33" t="s">
        <v>652</v>
      </c>
      <c r="B22" s="50" t="s">
        <v>653</v>
      </c>
      <c r="C22" s="50" t="s">
        <v>200</v>
      </c>
      <c r="D22" s="87" t="s">
        <v>126</v>
      </c>
      <c r="E22" s="50" t="s">
        <v>654</v>
      </c>
      <c r="F22" s="90">
        <v>49037.04</v>
      </c>
      <c r="G22" s="82">
        <v>0.99990000000000001</v>
      </c>
      <c r="H22" s="106">
        <v>157.64055999999999</v>
      </c>
      <c r="I22" s="41">
        <v>0.42729857241188551</v>
      </c>
      <c r="J22" s="41">
        <v>2.2137528967053777E-3</v>
      </c>
      <c r="K22" s="31"/>
      <c r="L22" s="31"/>
      <c r="M22" s="31"/>
      <c r="N22" s="31"/>
    </row>
    <row r="23" spans="1:14" x14ac:dyDescent="0.2">
      <c r="A23" s="33" t="s">
        <v>655</v>
      </c>
      <c r="B23" s="50" t="s">
        <v>656</v>
      </c>
      <c r="C23" s="50" t="s">
        <v>200</v>
      </c>
      <c r="D23" s="87" t="s">
        <v>2</v>
      </c>
      <c r="E23" s="50" t="s">
        <v>654</v>
      </c>
      <c r="F23" s="90">
        <v>-36000</v>
      </c>
      <c r="G23" s="82">
        <v>1.0002</v>
      </c>
      <c r="H23" s="106">
        <v>-158.14274</v>
      </c>
      <c r="I23" s="41">
        <v>-0.42865977537319067</v>
      </c>
      <c r="J23" s="41">
        <v>-2.2208050311920071E-3</v>
      </c>
      <c r="K23" s="31"/>
      <c r="L23" s="31"/>
      <c r="M23" s="31"/>
      <c r="N23" s="31"/>
    </row>
    <row r="24" spans="1:14" s="139" customFormat="1" x14ac:dyDescent="0.2">
      <c r="A24" s="114" t="s">
        <v>634</v>
      </c>
      <c r="B24" s="142" t="s">
        <v>239</v>
      </c>
      <c r="C24" s="142" t="s">
        <v>239</v>
      </c>
      <c r="D24" s="146" t="s">
        <v>239</v>
      </c>
      <c r="E24" s="142" t="s">
        <v>239</v>
      </c>
      <c r="F24" s="157" t="s">
        <v>239</v>
      </c>
      <c r="G24" s="147" t="s">
        <v>239</v>
      </c>
      <c r="H24" s="148">
        <v>363.32348500401281</v>
      </c>
      <c r="I24" s="145">
        <v>0.98482019136398513</v>
      </c>
      <c r="J24" s="145">
        <v>5.1021667099427096E-3</v>
      </c>
    </row>
    <row r="25" spans="1:14" x14ac:dyDescent="0.2">
      <c r="A25" s="33" t="s">
        <v>665</v>
      </c>
      <c r="B25" s="50" t="s">
        <v>666</v>
      </c>
      <c r="C25" s="50" t="s">
        <v>200</v>
      </c>
      <c r="D25" s="87" t="s">
        <v>245</v>
      </c>
      <c r="E25" s="50" t="s">
        <v>667</v>
      </c>
      <c r="F25" s="90">
        <v>280013.59999999998</v>
      </c>
      <c r="G25" s="82">
        <v>1.0001</v>
      </c>
      <c r="H25" s="106">
        <v>280.05504999999999</v>
      </c>
      <c r="I25" s="41">
        <v>0.75911379064968576</v>
      </c>
      <c r="J25" s="41">
        <v>3.9328246371014503E-3</v>
      </c>
      <c r="K25" s="31"/>
      <c r="L25" s="31"/>
      <c r="M25" s="31"/>
      <c r="N25" s="31"/>
    </row>
    <row r="26" spans="1:14" x14ac:dyDescent="0.2">
      <c r="A26" s="33" t="s">
        <v>668</v>
      </c>
      <c r="B26" s="50" t="s">
        <v>669</v>
      </c>
      <c r="C26" s="50" t="s">
        <v>200</v>
      </c>
      <c r="D26" s="87" t="s">
        <v>126</v>
      </c>
      <c r="E26" s="50" t="s">
        <v>667</v>
      </c>
      <c r="F26" s="90">
        <v>-82000</v>
      </c>
      <c r="G26" s="82">
        <v>0.99990000000000001</v>
      </c>
      <c r="H26" s="106">
        <v>-263.625</v>
      </c>
      <c r="I26" s="41">
        <v>-0.71457869822387921</v>
      </c>
      <c r="J26" s="41">
        <v>-3.7020967661746144E-3</v>
      </c>
      <c r="K26" s="31"/>
      <c r="L26" s="31"/>
      <c r="M26" s="31"/>
      <c r="N26" s="31"/>
    </row>
    <row r="27" spans="1:14" x14ac:dyDescent="0.2">
      <c r="A27" s="33" t="s">
        <v>675</v>
      </c>
      <c r="B27" s="50" t="s">
        <v>676</v>
      </c>
      <c r="C27" s="50" t="s">
        <v>200</v>
      </c>
      <c r="D27" s="87" t="s">
        <v>245</v>
      </c>
      <c r="E27" s="50" t="s">
        <v>677</v>
      </c>
      <c r="F27" s="90">
        <v>172912</v>
      </c>
      <c r="G27" s="82">
        <v>1.0008999999999999</v>
      </c>
      <c r="H27" s="106">
        <v>173.06933999999998</v>
      </c>
      <c r="I27" s="41">
        <v>0.46911963463126011</v>
      </c>
      <c r="J27" s="41">
        <v>2.4304198916566136E-3</v>
      </c>
      <c r="K27" s="31"/>
      <c r="L27" s="31"/>
      <c r="M27" s="31"/>
      <c r="N27" s="31"/>
    </row>
    <row r="28" spans="1:14" x14ac:dyDescent="0.2">
      <c r="A28" s="33" t="s">
        <v>678</v>
      </c>
      <c r="B28" s="50" t="s">
        <v>679</v>
      </c>
      <c r="C28" s="50" t="s">
        <v>200</v>
      </c>
      <c r="D28" s="87" t="s">
        <v>126</v>
      </c>
      <c r="E28" s="50" t="s">
        <v>677</v>
      </c>
      <c r="F28" s="90">
        <v>-50500</v>
      </c>
      <c r="G28" s="82">
        <v>0.99980000000000002</v>
      </c>
      <c r="H28" s="106">
        <v>-162.33960999999999</v>
      </c>
      <c r="I28" s="41">
        <v>-0.44003575982540438</v>
      </c>
      <c r="J28" s="41">
        <v>-2.279741849987854E-3</v>
      </c>
      <c r="K28" s="31"/>
      <c r="L28" s="31"/>
      <c r="M28" s="31"/>
      <c r="N28" s="31"/>
    </row>
    <row r="29" spans="1:14" x14ac:dyDescent="0.2">
      <c r="A29" s="33" t="s">
        <v>680</v>
      </c>
      <c r="B29" s="50" t="s">
        <v>681</v>
      </c>
      <c r="C29" s="50" t="s">
        <v>200</v>
      </c>
      <c r="D29" s="87" t="s">
        <v>245</v>
      </c>
      <c r="E29" s="50" t="s">
        <v>682</v>
      </c>
      <c r="F29" s="90">
        <v>480620</v>
      </c>
      <c r="G29" s="82">
        <v>1.0014000000000001</v>
      </c>
      <c r="H29" s="106">
        <v>481.33474000000001</v>
      </c>
      <c r="I29" s="41">
        <v>1.3047000546956069</v>
      </c>
      <c r="J29" s="41">
        <v>6.7594036392659984E-3</v>
      </c>
      <c r="K29" s="31"/>
      <c r="L29" s="31"/>
      <c r="M29" s="31"/>
      <c r="N29" s="31"/>
    </row>
    <row r="30" spans="1:14" x14ac:dyDescent="0.2">
      <c r="A30" s="33" t="s">
        <v>683</v>
      </c>
      <c r="B30" s="50" t="s">
        <v>684</v>
      </c>
      <c r="C30" s="50" t="s">
        <v>200</v>
      </c>
      <c r="D30" s="87" t="s">
        <v>126</v>
      </c>
      <c r="E30" s="50" t="s">
        <v>682</v>
      </c>
      <c r="F30" s="90">
        <v>-140000</v>
      </c>
      <c r="G30" s="82">
        <v>0.99980000000000002</v>
      </c>
      <c r="H30" s="106">
        <v>-450.02550000000002</v>
      </c>
      <c r="I30" s="41">
        <v>-1.2198336119774313</v>
      </c>
      <c r="J30" s="41">
        <v>-6.3197266884632113E-3</v>
      </c>
      <c r="K30" s="31"/>
      <c r="L30" s="31"/>
      <c r="M30" s="31"/>
      <c r="N30" s="31"/>
    </row>
    <row r="31" spans="1:14" x14ac:dyDescent="0.2">
      <c r="A31" s="33" t="s">
        <v>701</v>
      </c>
      <c r="B31" s="50" t="s">
        <v>702</v>
      </c>
      <c r="C31" s="50" t="s">
        <v>200</v>
      </c>
      <c r="D31" s="87" t="s">
        <v>245</v>
      </c>
      <c r="E31" s="50" t="s">
        <v>703</v>
      </c>
      <c r="F31" s="90">
        <v>223304.4</v>
      </c>
      <c r="G31" s="82">
        <v>1.0037</v>
      </c>
      <c r="H31" s="106">
        <v>224.14670999999998</v>
      </c>
      <c r="I31" s="41">
        <v>0.6075693285650654</v>
      </c>
      <c r="J31" s="41">
        <v>3.1477015087327796E-3</v>
      </c>
      <c r="K31" s="31"/>
      <c r="L31" s="31"/>
      <c r="M31" s="31"/>
      <c r="N31" s="31"/>
    </row>
    <row r="32" spans="1:14" x14ac:dyDescent="0.2">
      <c r="A32" s="33" t="s">
        <v>704</v>
      </c>
      <c r="B32" s="50" t="s">
        <v>705</v>
      </c>
      <c r="C32" s="50" t="s">
        <v>200</v>
      </c>
      <c r="D32" s="87" t="s">
        <v>126</v>
      </c>
      <c r="E32" s="50" t="s">
        <v>703</v>
      </c>
      <c r="F32" s="90">
        <v>-66000</v>
      </c>
      <c r="G32" s="82">
        <v>0.99960000000000004</v>
      </c>
      <c r="H32" s="106">
        <v>-212.10955999999999</v>
      </c>
      <c r="I32" s="41">
        <v>-0.57494157711006089</v>
      </c>
      <c r="J32" s="41">
        <v>-2.9786633139904043E-3</v>
      </c>
      <c r="K32" s="31"/>
      <c r="L32" s="31"/>
      <c r="M32" s="31"/>
      <c r="N32" s="31"/>
    </row>
    <row r="33" spans="1:14" x14ac:dyDescent="0.2">
      <c r="A33" s="33" t="s">
        <v>668</v>
      </c>
      <c r="B33" s="50" t="s">
        <v>711</v>
      </c>
      <c r="C33" s="50" t="s">
        <v>200</v>
      </c>
      <c r="D33" s="87" t="s">
        <v>126</v>
      </c>
      <c r="E33" s="50" t="s">
        <v>712</v>
      </c>
      <c r="F33" s="90">
        <v>82000</v>
      </c>
      <c r="G33" s="82">
        <v>0.99990000000000001</v>
      </c>
      <c r="H33" s="106">
        <v>263.625</v>
      </c>
      <c r="I33" s="41">
        <v>0.71457869822387921</v>
      </c>
      <c r="J33" s="41">
        <v>3.7020967661746144E-3</v>
      </c>
      <c r="K33" s="31"/>
      <c r="L33" s="31"/>
      <c r="M33" s="31"/>
      <c r="N33" s="31"/>
    </row>
    <row r="34" spans="1:14" x14ac:dyDescent="0.2">
      <c r="A34" s="33" t="s">
        <v>665</v>
      </c>
      <c r="B34" s="50" t="s">
        <v>713</v>
      </c>
      <c r="C34" s="50" t="s">
        <v>200</v>
      </c>
      <c r="D34" s="87" t="s">
        <v>245</v>
      </c>
      <c r="E34" s="50" t="s">
        <v>712</v>
      </c>
      <c r="F34" s="90">
        <v>-278390</v>
      </c>
      <c r="G34" s="82">
        <v>1.0001</v>
      </c>
      <c r="H34" s="106">
        <v>-278.43121000000002</v>
      </c>
      <c r="I34" s="41">
        <v>-0.75471222982152508</v>
      </c>
      <c r="J34" s="41">
        <v>-3.9100209848955333E-3</v>
      </c>
      <c r="K34" s="31"/>
      <c r="L34" s="31"/>
      <c r="M34" s="31"/>
      <c r="N34" s="31"/>
    </row>
    <row r="35" spans="1:14" x14ac:dyDescent="0.2">
      <c r="A35" s="33" t="s">
        <v>714</v>
      </c>
      <c r="B35" s="50" t="s">
        <v>715</v>
      </c>
      <c r="C35" s="50" t="s">
        <v>200</v>
      </c>
      <c r="D35" s="87" t="s">
        <v>245</v>
      </c>
      <c r="E35" s="50" t="s">
        <v>712</v>
      </c>
      <c r="F35" s="90">
        <v>276856.59999999998</v>
      </c>
      <c r="G35" s="82">
        <v>1.0039</v>
      </c>
      <c r="H35" s="106">
        <v>277.95675</v>
      </c>
      <c r="I35" s="41">
        <v>0.75342616435292642</v>
      </c>
      <c r="J35" s="41">
        <v>3.9033581235141043E-3</v>
      </c>
      <c r="K35" s="31"/>
      <c r="L35" s="31"/>
      <c r="M35" s="31"/>
      <c r="N35" s="31"/>
    </row>
    <row r="36" spans="1:14" x14ac:dyDescent="0.2">
      <c r="A36" s="33" t="s">
        <v>716</v>
      </c>
      <c r="B36" s="50" t="s">
        <v>717</v>
      </c>
      <c r="C36" s="50" t="s">
        <v>200</v>
      </c>
      <c r="D36" s="87" t="s">
        <v>126</v>
      </c>
      <c r="E36" s="50" t="s">
        <v>712</v>
      </c>
      <c r="F36" s="90">
        <v>-82000</v>
      </c>
      <c r="G36" s="82">
        <v>0.99950000000000006</v>
      </c>
      <c r="H36" s="106">
        <v>-263.52439000000004</v>
      </c>
      <c r="I36" s="41">
        <v>-0.71430598598934802</v>
      </c>
      <c r="J36" s="41">
        <v>-3.7006838957881006E-3</v>
      </c>
      <c r="K36" s="31"/>
      <c r="L36" s="31"/>
      <c r="M36" s="31"/>
      <c r="N36" s="31"/>
    </row>
    <row r="37" spans="1:14" x14ac:dyDescent="0.2">
      <c r="A37" s="33" t="s">
        <v>657</v>
      </c>
      <c r="B37" s="50" t="s">
        <v>658</v>
      </c>
      <c r="C37" s="50" t="s">
        <v>200</v>
      </c>
      <c r="D37" s="87" t="s">
        <v>245</v>
      </c>
      <c r="E37" s="50" t="s">
        <v>659</v>
      </c>
      <c r="F37" s="90">
        <v>149218.6</v>
      </c>
      <c r="G37" s="82">
        <v>1.002</v>
      </c>
      <c r="H37" s="106">
        <v>149.5214</v>
      </c>
      <c r="I37" s="41">
        <v>0.40529087669459241</v>
      </c>
      <c r="J37" s="41">
        <v>2.0997351973974432E-3</v>
      </c>
      <c r="K37" s="31"/>
      <c r="L37" s="31"/>
      <c r="M37" s="31"/>
      <c r="N37" s="31"/>
    </row>
    <row r="38" spans="1:14" x14ac:dyDescent="0.2">
      <c r="A38" s="33" t="s">
        <v>660</v>
      </c>
      <c r="B38" s="50" t="s">
        <v>661</v>
      </c>
      <c r="C38" s="50" t="s">
        <v>200</v>
      </c>
      <c r="D38" s="87" t="s">
        <v>126</v>
      </c>
      <c r="E38" s="50" t="s">
        <v>659</v>
      </c>
      <c r="F38" s="90">
        <v>-43000</v>
      </c>
      <c r="G38" s="82">
        <v>0.99970000000000003</v>
      </c>
      <c r="H38" s="106">
        <v>-138.21532000000002</v>
      </c>
      <c r="I38" s="41">
        <v>-0.37464475463327418</v>
      </c>
      <c r="J38" s="41">
        <v>-1.94096344886786E-3</v>
      </c>
      <c r="K38" s="31"/>
      <c r="L38" s="31"/>
      <c r="M38" s="31"/>
      <c r="N38" s="31"/>
    </row>
    <row r="39" spans="1:14" x14ac:dyDescent="0.2">
      <c r="A39" s="33" t="s">
        <v>657</v>
      </c>
      <c r="B39" s="50" t="s">
        <v>662</v>
      </c>
      <c r="C39" s="50" t="s">
        <v>200</v>
      </c>
      <c r="D39" s="87" t="s">
        <v>245</v>
      </c>
      <c r="E39" s="50" t="s">
        <v>663</v>
      </c>
      <c r="F39" s="90">
        <v>451100</v>
      </c>
      <c r="G39" s="82">
        <v>1.002</v>
      </c>
      <c r="H39" s="106">
        <v>452.01537999999999</v>
      </c>
      <c r="I39" s="41">
        <v>1.2252273563492539</v>
      </c>
      <c r="J39" s="41">
        <v>6.3476706555113871E-3</v>
      </c>
      <c r="K39" s="31"/>
      <c r="L39" s="31"/>
      <c r="M39" s="31"/>
      <c r="N39" s="31"/>
    </row>
    <row r="40" spans="1:14" x14ac:dyDescent="0.2">
      <c r="A40" s="33" t="s">
        <v>660</v>
      </c>
      <c r="B40" s="50" t="s">
        <v>664</v>
      </c>
      <c r="C40" s="50" t="s">
        <v>200</v>
      </c>
      <c r="D40" s="87" t="s">
        <v>126</v>
      </c>
      <c r="E40" s="50" t="s">
        <v>663</v>
      </c>
      <c r="F40" s="90">
        <v>-130000</v>
      </c>
      <c r="G40" s="82">
        <v>0.99970000000000003</v>
      </c>
      <c r="H40" s="106">
        <v>-417.86028999999996</v>
      </c>
      <c r="I40" s="41">
        <v>-1.1326469874543486</v>
      </c>
      <c r="J40" s="41">
        <v>-5.8680293155876206E-3</v>
      </c>
      <c r="K40" s="31"/>
      <c r="L40" s="31"/>
      <c r="M40" s="31"/>
      <c r="N40" s="31"/>
    </row>
    <row r="41" spans="1:14" x14ac:dyDescent="0.2">
      <c r="A41" s="33" t="s">
        <v>670</v>
      </c>
      <c r="B41" s="50" t="s">
        <v>671</v>
      </c>
      <c r="C41" s="50" t="s">
        <v>200</v>
      </c>
      <c r="D41" s="87" t="s">
        <v>245</v>
      </c>
      <c r="E41" s="50" t="s">
        <v>672</v>
      </c>
      <c r="F41" s="90">
        <v>1708600</v>
      </c>
      <c r="G41" s="82">
        <v>1.0004</v>
      </c>
      <c r="H41" s="106">
        <v>1709.3775000000001</v>
      </c>
      <c r="I41" s="41">
        <v>4.6334177286797118</v>
      </c>
      <c r="J41" s="41">
        <v>2.4004858852239533E-2</v>
      </c>
      <c r="K41" s="31"/>
      <c r="L41" s="31"/>
      <c r="M41" s="31"/>
      <c r="N41" s="31"/>
    </row>
    <row r="42" spans="1:14" x14ac:dyDescent="0.2">
      <c r="A42" s="33" t="s">
        <v>673</v>
      </c>
      <c r="B42" s="50" t="s">
        <v>674</v>
      </c>
      <c r="C42" s="50" t="s">
        <v>200</v>
      </c>
      <c r="D42" s="87" t="s">
        <v>126</v>
      </c>
      <c r="E42" s="50" t="s">
        <v>672</v>
      </c>
      <c r="F42" s="90">
        <v>-500000</v>
      </c>
      <c r="G42" s="82">
        <v>0.99990000000000001</v>
      </c>
      <c r="H42" s="106">
        <v>-1607.40265</v>
      </c>
      <c r="I42" s="41">
        <v>-4.3570059484442432</v>
      </c>
      <c r="J42" s="41">
        <v>-2.257282182078902E-2</v>
      </c>
      <c r="K42" s="31"/>
      <c r="L42" s="31"/>
      <c r="M42" s="31"/>
      <c r="N42" s="31"/>
    </row>
    <row r="43" spans="1:14" x14ac:dyDescent="0.2">
      <c r="A43" s="33" t="s">
        <v>689</v>
      </c>
      <c r="B43" s="50" t="s">
        <v>690</v>
      </c>
      <c r="C43" s="50" t="s">
        <v>200</v>
      </c>
      <c r="D43" s="87" t="s">
        <v>245</v>
      </c>
      <c r="E43" s="50" t="s">
        <v>691</v>
      </c>
      <c r="F43" s="90">
        <v>118440.35</v>
      </c>
      <c r="G43" s="82">
        <v>1.0034000000000001</v>
      </c>
      <c r="H43" s="106">
        <v>118.84641000000001</v>
      </c>
      <c r="I43" s="41">
        <v>0.32214362426318227</v>
      </c>
      <c r="J43" s="41">
        <v>1.6689650455475101E-3</v>
      </c>
      <c r="K43" s="31"/>
      <c r="L43" s="31"/>
      <c r="M43" s="31"/>
      <c r="N43" s="31"/>
    </row>
    <row r="44" spans="1:14" x14ac:dyDescent="0.2">
      <c r="A44" s="33" t="s">
        <v>692</v>
      </c>
      <c r="B44" s="50" t="s">
        <v>693</v>
      </c>
      <c r="C44" s="50" t="s">
        <v>200</v>
      </c>
      <c r="D44" s="87" t="s">
        <v>126</v>
      </c>
      <c r="E44" s="50" t="s">
        <v>691</v>
      </c>
      <c r="F44" s="90">
        <v>-35000</v>
      </c>
      <c r="G44" s="82">
        <v>0.99960000000000004</v>
      </c>
      <c r="H44" s="106">
        <v>-112.48610000000001</v>
      </c>
      <c r="I44" s="41">
        <v>-0.30490344582752432</v>
      </c>
      <c r="J44" s="41">
        <v>-1.5796469494531789E-3</v>
      </c>
      <c r="K44" s="31"/>
      <c r="L44" s="31"/>
      <c r="M44" s="31"/>
      <c r="N44" s="31"/>
    </row>
    <row r="45" spans="1:14" x14ac:dyDescent="0.2">
      <c r="A45" s="33" t="s">
        <v>689</v>
      </c>
      <c r="B45" s="50" t="s">
        <v>699</v>
      </c>
      <c r="C45" s="50" t="s">
        <v>200</v>
      </c>
      <c r="D45" s="87" t="s">
        <v>245</v>
      </c>
      <c r="E45" s="50" t="s">
        <v>697</v>
      </c>
      <c r="F45" s="90">
        <v>118142.5</v>
      </c>
      <c r="G45" s="82">
        <v>1.0034000000000001</v>
      </c>
      <c r="H45" s="106">
        <v>118.54754</v>
      </c>
      <c r="I45" s="41">
        <v>0.32133351089935797</v>
      </c>
      <c r="J45" s="41">
        <v>1.6647680017902542E-3</v>
      </c>
      <c r="K45" s="31"/>
      <c r="L45" s="31"/>
      <c r="M45" s="31"/>
      <c r="N45" s="31"/>
    </row>
    <row r="46" spans="1:14" x14ac:dyDescent="0.2">
      <c r="A46" s="33" t="s">
        <v>692</v>
      </c>
      <c r="B46" s="50" t="s">
        <v>700</v>
      </c>
      <c r="C46" s="50" t="s">
        <v>200</v>
      </c>
      <c r="D46" s="87" t="s">
        <v>126</v>
      </c>
      <c r="E46" s="50" t="s">
        <v>697</v>
      </c>
      <c r="F46" s="90">
        <v>-35000</v>
      </c>
      <c r="G46" s="82">
        <v>0.99960000000000004</v>
      </c>
      <c r="H46" s="106">
        <v>-112.48610000000001</v>
      </c>
      <c r="I46" s="41">
        <v>-0.30490344582752432</v>
      </c>
      <c r="J46" s="41">
        <v>-1.5796469494531789E-3</v>
      </c>
      <c r="K46" s="31"/>
      <c r="L46" s="31"/>
      <c r="M46" s="31"/>
      <c r="N46" s="31"/>
    </row>
    <row r="47" spans="1:14" x14ac:dyDescent="0.2">
      <c r="A47" s="33" t="s">
        <v>706</v>
      </c>
      <c r="B47" s="50" t="s">
        <v>707</v>
      </c>
      <c r="C47" s="50" t="s">
        <v>200</v>
      </c>
      <c r="D47" s="87" t="s">
        <v>245</v>
      </c>
      <c r="E47" s="50" t="s">
        <v>708</v>
      </c>
      <c r="F47" s="90">
        <v>989135</v>
      </c>
      <c r="G47" s="82">
        <v>1.0043</v>
      </c>
      <c r="H47" s="106">
        <v>993.40278999999998</v>
      </c>
      <c r="I47" s="41">
        <v>2.692705443300786</v>
      </c>
      <c r="J47" s="41">
        <v>1.3950396420551311E-2</v>
      </c>
      <c r="K47" s="31"/>
      <c r="L47" s="31"/>
      <c r="M47" s="31"/>
      <c r="N47" s="31"/>
    </row>
    <row r="48" spans="1:14" x14ac:dyDescent="0.2">
      <c r="A48" s="33" t="s">
        <v>709</v>
      </c>
      <c r="B48" s="50" t="s">
        <v>710</v>
      </c>
      <c r="C48" s="50" t="s">
        <v>200</v>
      </c>
      <c r="D48" s="87" t="s">
        <v>126</v>
      </c>
      <c r="E48" s="50" t="s">
        <v>708</v>
      </c>
      <c r="F48" s="90">
        <v>-295000</v>
      </c>
      <c r="G48" s="82">
        <v>0.99950000000000006</v>
      </c>
      <c r="H48" s="106">
        <v>-948.00790000000006</v>
      </c>
      <c r="I48" s="41">
        <v>-2.5696586101012935</v>
      </c>
      <c r="J48" s="41">
        <v>-1.3312914104876197E-2</v>
      </c>
      <c r="K48" s="31"/>
      <c r="L48" s="31"/>
      <c r="M48" s="31"/>
      <c r="N48" s="31"/>
    </row>
    <row r="49" spans="1:14" x14ac:dyDescent="0.2">
      <c r="A49" s="33" t="s">
        <v>673</v>
      </c>
      <c r="B49" s="50" t="s">
        <v>718</v>
      </c>
      <c r="C49" s="50" t="s">
        <v>200</v>
      </c>
      <c r="D49" s="87" t="s">
        <v>126</v>
      </c>
      <c r="E49" s="50" t="s">
        <v>719</v>
      </c>
      <c r="F49" s="90">
        <v>500000</v>
      </c>
      <c r="G49" s="82">
        <v>0.99990000000000001</v>
      </c>
      <c r="H49" s="106">
        <v>1607.40265</v>
      </c>
      <c r="I49" s="41">
        <v>4.3570059484442432</v>
      </c>
      <c r="J49" s="41">
        <v>2.257282182078902E-2</v>
      </c>
      <c r="K49" s="31"/>
      <c r="L49" s="31"/>
      <c r="M49" s="31"/>
      <c r="N49" s="31"/>
    </row>
    <row r="50" spans="1:14" x14ac:dyDescent="0.2">
      <c r="A50" s="33" t="s">
        <v>670</v>
      </c>
      <c r="B50" s="50" t="s">
        <v>720</v>
      </c>
      <c r="C50" s="50" t="s">
        <v>200</v>
      </c>
      <c r="D50" s="87" t="s">
        <v>245</v>
      </c>
      <c r="E50" s="50" t="s">
        <v>719</v>
      </c>
      <c r="F50" s="90">
        <v>-1679150</v>
      </c>
      <c r="G50" s="82">
        <v>1.0004</v>
      </c>
      <c r="H50" s="106">
        <v>-1679.9141000000002</v>
      </c>
      <c r="I50" s="41">
        <v>-4.5535545972724121</v>
      </c>
      <c r="J50" s="41">
        <v>-2.3591103108814182E-2</v>
      </c>
      <c r="K50" s="31"/>
      <c r="L50" s="31"/>
      <c r="M50" s="31"/>
      <c r="N50" s="31"/>
    </row>
    <row r="51" spans="1:14" x14ac:dyDescent="0.2">
      <c r="A51" s="33" t="s">
        <v>721</v>
      </c>
      <c r="B51" s="50" t="s">
        <v>722</v>
      </c>
      <c r="C51" s="50" t="s">
        <v>200</v>
      </c>
      <c r="D51" s="87" t="s">
        <v>245</v>
      </c>
      <c r="E51" s="50" t="s">
        <v>719</v>
      </c>
      <c r="F51" s="90">
        <v>1675000</v>
      </c>
      <c r="G51" s="82">
        <v>1.0025999999999999</v>
      </c>
      <c r="H51" s="106">
        <v>1679.4945299999999</v>
      </c>
      <c r="I51" s="41">
        <v>4.5524173159659584</v>
      </c>
      <c r="J51" s="41">
        <v>2.3585211069970427E-2</v>
      </c>
      <c r="K51" s="31"/>
      <c r="L51" s="31"/>
      <c r="M51" s="31"/>
      <c r="N51" s="31"/>
    </row>
    <row r="52" spans="1:14" x14ac:dyDescent="0.2">
      <c r="A52" s="33" t="s">
        <v>723</v>
      </c>
      <c r="B52" s="50" t="s">
        <v>724</v>
      </c>
      <c r="C52" s="50" t="s">
        <v>200</v>
      </c>
      <c r="D52" s="87" t="s">
        <v>126</v>
      </c>
      <c r="E52" s="50" t="s">
        <v>719</v>
      </c>
      <c r="F52" s="90">
        <v>-500000</v>
      </c>
      <c r="G52" s="82">
        <v>0.99970000000000003</v>
      </c>
      <c r="H52" s="106">
        <v>-1607.06393</v>
      </c>
      <c r="I52" s="41">
        <v>-4.3560878181581844</v>
      </c>
      <c r="J52" s="41">
        <v>-2.2568065161835436E-2</v>
      </c>
      <c r="K52" s="31"/>
      <c r="L52" s="31"/>
      <c r="M52" s="31"/>
      <c r="N52" s="31"/>
    </row>
    <row r="53" spans="1:14" x14ac:dyDescent="0.2">
      <c r="A53" s="33" t="s">
        <v>685</v>
      </c>
      <c r="B53" s="50" t="s">
        <v>725</v>
      </c>
      <c r="C53" s="50" t="s">
        <v>200</v>
      </c>
      <c r="D53" s="87" t="s">
        <v>245</v>
      </c>
      <c r="E53" s="50" t="s">
        <v>726</v>
      </c>
      <c r="F53" s="90">
        <v>172640</v>
      </c>
      <c r="G53" s="82">
        <v>1.0017</v>
      </c>
      <c r="H53" s="106">
        <v>172.93396999999999</v>
      </c>
      <c r="I53" s="41">
        <v>0.46875270236619204</v>
      </c>
      <c r="J53" s="41">
        <v>2.4285188851540548E-3</v>
      </c>
      <c r="K53" s="31"/>
      <c r="L53" s="31"/>
      <c r="M53" s="31"/>
      <c r="N53" s="31"/>
    </row>
    <row r="54" spans="1:14" x14ac:dyDescent="0.2">
      <c r="A54" s="33" t="s">
        <v>687</v>
      </c>
      <c r="B54" s="50" t="s">
        <v>727</v>
      </c>
      <c r="C54" s="50" t="s">
        <v>200</v>
      </c>
      <c r="D54" s="87" t="s">
        <v>126</v>
      </c>
      <c r="E54" s="50" t="s">
        <v>726</v>
      </c>
      <c r="F54" s="90">
        <v>-52000</v>
      </c>
      <c r="G54" s="82">
        <v>0.99980000000000002</v>
      </c>
      <c r="H54" s="106">
        <v>-167.14886999999999</v>
      </c>
      <c r="I54" s="41">
        <v>-0.45307168111595036</v>
      </c>
      <c r="J54" s="41">
        <v>-2.3472784868534507E-3</v>
      </c>
      <c r="K54" s="31"/>
      <c r="L54" s="31"/>
      <c r="M54" s="31"/>
      <c r="N54" s="31"/>
    </row>
    <row r="55" spans="1:14" x14ac:dyDescent="0.2">
      <c r="A55" s="33" t="s">
        <v>733</v>
      </c>
      <c r="B55" s="50" t="s">
        <v>734</v>
      </c>
      <c r="C55" s="50" t="s">
        <v>200</v>
      </c>
      <c r="D55" s="87" t="s">
        <v>126</v>
      </c>
      <c r="E55" s="50" t="s">
        <v>735</v>
      </c>
      <c r="F55" s="90">
        <v>19695.680434054779</v>
      </c>
      <c r="G55" s="82">
        <v>0.99990000000000001</v>
      </c>
      <c r="H55" s="106">
        <v>63.31537965411318</v>
      </c>
      <c r="I55" s="41">
        <v>0.1716218931087222</v>
      </c>
      <c r="J55" s="41">
        <v>8.891404922393945E-4</v>
      </c>
      <c r="K55" s="31"/>
      <c r="L55" s="31"/>
      <c r="M55" s="31"/>
      <c r="N55" s="31"/>
    </row>
    <row r="56" spans="1:14" x14ac:dyDescent="0.2">
      <c r="A56" s="33" t="s">
        <v>736</v>
      </c>
      <c r="B56" s="50" t="s">
        <v>737</v>
      </c>
      <c r="C56" s="50" t="s">
        <v>200</v>
      </c>
      <c r="D56" s="87" t="s">
        <v>245</v>
      </c>
      <c r="E56" s="50" t="s">
        <v>735</v>
      </c>
      <c r="F56" s="90">
        <v>-64404.875019359133</v>
      </c>
      <c r="G56" s="82">
        <v>1.0006999999999999</v>
      </c>
      <c r="H56" s="106">
        <v>-64.456084750100302</v>
      </c>
      <c r="I56" s="41">
        <v>-0.174713874379648</v>
      </c>
      <c r="J56" s="41">
        <v>-9.0515946102844274E-4</v>
      </c>
      <c r="K56" s="31"/>
      <c r="L56" s="31"/>
      <c r="M56" s="31"/>
      <c r="N56" s="31"/>
    </row>
    <row r="57" spans="1:14" x14ac:dyDescent="0.2">
      <c r="A57" s="33" t="s">
        <v>741</v>
      </c>
      <c r="B57" s="50" t="s">
        <v>742</v>
      </c>
      <c r="C57" s="50" t="s">
        <v>200</v>
      </c>
      <c r="D57" s="87" t="s">
        <v>245</v>
      </c>
      <c r="E57" s="50" t="s">
        <v>743</v>
      </c>
      <c r="F57" s="90">
        <v>174204.54</v>
      </c>
      <c r="G57" s="82">
        <v>1.0022</v>
      </c>
      <c r="H57" s="106">
        <v>174.59637000000001</v>
      </c>
      <c r="I57" s="41">
        <v>0.47325878345837746</v>
      </c>
      <c r="J57" s="41">
        <v>2.4518640370330071E-3</v>
      </c>
      <c r="K57" s="31"/>
      <c r="L57" s="31"/>
      <c r="M57" s="31"/>
      <c r="N57" s="31"/>
    </row>
    <row r="58" spans="1:14" x14ac:dyDescent="0.2">
      <c r="A58" s="33" t="s">
        <v>744</v>
      </c>
      <c r="B58" s="50" t="s">
        <v>745</v>
      </c>
      <c r="C58" s="50" t="s">
        <v>200</v>
      </c>
      <c r="D58" s="87" t="s">
        <v>126</v>
      </c>
      <c r="E58" s="50" t="s">
        <v>743</v>
      </c>
      <c r="F58" s="90">
        <v>-54000</v>
      </c>
      <c r="G58" s="82">
        <v>0.99970000000000003</v>
      </c>
      <c r="H58" s="106">
        <v>-173.56983</v>
      </c>
      <c r="I58" s="41">
        <v>-0.47047625669925086</v>
      </c>
      <c r="J58" s="41">
        <v>-2.4374482934034236E-3</v>
      </c>
      <c r="K58" s="31"/>
      <c r="L58" s="31"/>
      <c r="M58" s="31"/>
      <c r="N58" s="31"/>
    </row>
    <row r="59" spans="1:14" x14ac:dyDescent="0.2">
      <c r="A59" s="33" t="s">
        <v>685</v>
      </c>
      <c r="B59" s="50" t="s">
        <v>686</v>
      </c>
      <c r="C59" s="50" t="s">
        <v>200</v>
      </c>
      <c r="D59" s="87" t="s">
        <v>245</v>
      </c>
      <c r="E59" s="50" t="s">
        <v>682</v>
      </c>
      <c r="F59" s="90">
        <v>1025340</v>
      </c>
      <c r="G59" s="82">
        <v>1.0017</v>
      </c>
      <c r="H59" s="106">
        <v>1027.0859800000001</v>
      </c>
      <c r="I59" s="41">
        <v>2.7840066858317583</v>
      </c>
      <c r="J59" s="41">
        <v>1.4423410849279412E-2</v>
      </c>
      <c r="K59" s="31"/>
      <c r="L59" s="31"/>
      <c r="M59" s="31"/>
      <c r="N59" s="31"/>
    </row>
    <row r="60" spans="1:14" x14ac:dyDescent="0.2">
      <c r="A60" s="33" t="s">
        <v>687</v>
      </c>
      <c r="B60" s="50" t="s">
        <v>688</v>
      </c>
      <c r="C60" s="50" t="s">
        <v>200</v>
      </c>
      <c r="D60" s="87" t="s">
        <v>126</v>
      </c>
      <c r="E60" s="50" t="s">
        <v>682</v>
      </c>
      <c r="F60" s="90">
        <v>-300000</v>
      </c>
      <c r="G60" s="82">
        <v>0.99980000000000002</v>
      </c>
      <c r="H60" s="106">
        <v>-964.32042000000001</v>
      </c>
      <c r="I60" s="41">
        <v>-2.6138751271476699</v>
      </c>
      <c r="J60" s="41">
        <v>-1.3541991497157501E-2</v>
      </c>
      <c r="K60" s="31"/>
      <c r="L60" s="31"/>
      <c r="M60" s="31"/>
      <c r="N60" s="31"/>
    </row>
    <row r="61" spans="1:14" x14ac:dyDescent="0.2">
      <c r="A61" s="33" t="s">
        <v>689</v>
      </c>
      <c r="B61" s="50" t="s">
        <v>694</v>
      </c>
      <c r="C61" s="50" t="s">
        <v>200</v>
      </c>
      <c r="D61" s="87" t="s">
        <v>245</v>
      </c>
      <c r="E61" s="50" t="s">
        <v>691</v>
      </c>
      <c r="F61" s="90">
        <v>118332.02</v>
      </c>
      <c r="G61" s="82">
        <v>1.0034000000000001</v>
      </c>
      <c r="H61" s="106">
        <v>118.7377</v>
      </c>
      <c r="I61" s="41">
        <v>0.32184895626779519</v>
      </c>
      <c r="J61" s="41">
        <v>1.6674384265263596E-3</v>
      </c>
      <c r="K61" s="31"/>
      <c r="L61" s="31"/>
      <c r="M61" s="31"/>
      <c r="N61" s="31"/>
    </row>
    <row r="62" spans="1:14" x14ac:dyDescent="0.2">
      <c r="A62" s="33" t="s">
        <v>692</v>
      </c>
      <c r="B62" s="50" t="s">
        <v>695</v>
      </c>
      <c r="C62" s="50" t="s">
        <v>200</v>
      </c>
      <c r="D62" s="87" t="s">
        <v>126</v>
      </c>
      <c r="E62" s="50" t="s">
        <v>691</v>
      </c>
      <c r="F62" s="90">
        <v>-35000</v>
      </c>
      <c r="G62" s="82">
        <v>0.99960000000000004</v>
      </c>
      <c r="H62" s="106">
        <v>-112.48610000000001</v>
      </c>
      <c r="I62" s="41">
        <v>-0.30490344582752432</v>
      </c>
      <c r="J62" s="41">
        <v>-1.5796469494531789E-3</v>
      </c>
      <c r="K62" s="31"/>
      <c r="L62" s="31"/>
      <c r="M62" s="31"/>
      <c r="N62" s="31"/>
    </row>
    <row r="63" spans="1:14" x14ac:dyDescent="0.2">
      <c r="A63" s="33" t="s">
        <v>689</v>
      </c>
      <c r="B63" s="50" t="s">
        <v>696</v>
      </c>
      <c r="C63" s="50" t="s">
        <v>200</v>
      </c>
      <c r="D63" s="87" t="s">
        <v>245</v>
      </c>
      <c r="E63" s="50" t="s">
        <v>697</v>
      </c>
      <c r="F63" s="90">
        <v>118128.85</v>
      </c>
      <c r="G63" s="82">
        <v>1.0034000000000001</v>
      </c>
      <c r="H63" s="106">
        <v>118.53382999999999</v>
      </c>
      <c r="I63" s="41">
        <v>0.32129634874116869</v>
      </c>
      <c r="J63" s="41">
        <v>1.664575471693851E-3</v>
      </c>
      <c r="K63" s="31"/>
      <c r="L63" s="31"/>
      <c r="M63" s="31"/>
      <c r="N63" s="31"/>
    </row>
    <row r="64" spans="1:14" x14ac:dyDescent="0.2">
      <c r="A64" s="33" t="s">
        <v>692</v>
      </c>
      <c r="B64" s="50" t="s">
        <v>698</v>
      </c>
      <c r="C64" s="50" t="s">
        <v>200</v>
      </c>
      <c r="D64" s="87" t="s">
        <v>126</v>
      </c>
      <c r="E64" s="50" t="s">
        <v>697</v>
      </c>
      <c r="F64" s="90">
        <v>-35000</v>
      </c>
      <c r="G64" s="82">
        <v>0.99960000000000004</v>
      </c>
      <c r="H64" s="106">
        <v>-112.48610000000001</v>
      </c>
      <c r="I64" s="41">
        <v>-0.30490344582752432</v>
      </c>
      <c r="J64" s="41">
        <v>-1.5796469494531789E-3</v>
      </c>
      <c r="K64" s="31"/>
      <c r="L64" s="31"/>
      <c r="M64" s="31"/>
      <c r="N64" s="31"/>
    </row>
    <row r="65" spans="1:14" x14ac:dyDescent="0.2">
      <c r="A65" s="33" t="s">
        <v>728</v>
      </c>
      <c r="B65" s="50" t="s">
        <v>729</v>
      </c>
      <c r="C65" s="50" t="s">
        <v>200</v>
      </c>
      <c r="D65" s="87" t="s">
        <v>245</v>
      </c>
      <c r="E65" s="50" t="s">
        <v>730</v>
      </c>
      <c r="F65" s="90">
        <v>174592.6</v>
      </c>
      <c r="G65" s="82">
        <v>1.0046999999999999</v>
      </c>
      <c r="H65" s="106">
        <v>175.42851000000002</v>
      </c>
      <c r="I65" s="41">
        <v>0.47551437195696455</v>
      </c>
      <c r="J65" s="41">
        <v>2.4635498134313173E-3</v>
      </c>
      <c r="K65" s="31"/>
      <c r="L65" s="31"/>
      <c r="M65" s="31"/>
      <c r="N65" s="31"/>
    </row>
    <row r="66" spans="1:14" x14ac:dyDescent="0.2">
      <c r="A66" s="33" t="s">
        <v>731</v>
      </c>
      <c r="B66" s="50" t="s">
        <v>732</v>
      </c>
      <c r="C66" s="50" t="s">
        <v>200</v>
      </c>
      <c r="D66" s="87" t="s">
        <v>126</v>
      </c>
      <c r="E66" s="50" t="s">
        <v>730</v>
      </c>
      <c r="F66" s="90">
        <v>-53000</v>
      </c>
      <c r="G66" s="82">
        <v>0.99950000000000006</v>
      </c>
      <c r="H66" s="106">
        <v>-170.31283999999999</v>
      </c>
      <c r="I66" s="41">
        <v>-0.46164789947088408</v>
      </c>
      <c r="J66" s="41">
        <v>-2.3917102482769637E-3</v>
      </c>
      <c r="K66" s="31"/>
      <c r="L66" s="31"/>
      <c r="M66" s="31"/>
      <c r="N66" s="31"/>
    </row>
    <row r="67" spans="1:14" x14ac:dyDescent="0.2">
      <c r="A67" s="33" t="s">
        <v>736</v>
      </c>
      <c r="B67" s="50" t="s">
        <v>738</v>
      </c>
      <c r="C67" s="50" t="s">
        <v>200</v>
      </c>
      <c r="D67" s="87" t="s">
        <v>245</v>
      </c>
      <c r="E67" s="50" t="s">
        <v>739</v>
      </c>
      <c r="F67" s="90">
        <v>172409</v>
      </c>
      <c r="G67" s="82">
        <v>1.0006999999999999</v>
      </c>
      <c r="H67" s="106">
        <v>172.54607999999999</v>
      </c>
      <c r="I67" s="41">
        <v>0.46770129247997461</v>
      </c>
      <c r="J67" s="41">
        <v>2.4230717298591039E-3</v>
      </c>
      <c r="K67" s="31"/>
      <c r="L67" s="31"/>
      <c r="M67" s="31"/>
      <c r="N67" s="31"/>
    </row>
    <row r="68" spans="1:14" x14ac:dyDescent="0.2">
      <c r="A68" s="33" t="s">
        <v>733</v>
      </c>
      <c r="B68" s="50" t="s">
        <v>740</v>
      </c>
      <c r="C68" s="50" t="s">
        <v>200</v>
      </c>
      <c r="D68" s="87" t="s">
        <v>126</v>
      </c>
      <c r="E68" s="50" t="s">
        <v>739</v>
      </c>
      <c r="F68" s="90">
        <v>-53000</v>
      </c>
      <c r="G68" s="82">
        <v>0.99990000000000001</v>
      </c>
      <c r="H68" s="106">
        <v>-170.37822</v>
      </c>
      <c r="I68" s="41">
        <v>-0.46182511769863138</v>
      </c>
      <c r="J68" s="41">
        <v>-2.3926283823180162E-3</v>
      </c>
      <c r="K68" s="31"/>
      <c r="L68" s="31"/>
      <c r="M68" s="31"/>
      <c r="N68" s="31"/>
    </row>
    <row r="69" spans="1:14" s="139" customFormat="1" x14ac:dyDescent="0.2">
      <c r="A69" s="114" t="s">
        <v>746</v>
      </c>
      <c r="B69" s="142" t="s">
        <v>239</v>
      </c>
      <c r="C69" s="142" t="s">
        <v>239</v>
      </c>
      <c r="D69" s="146" t="s">
        <v>239</v>
      </c>
      <c r="E69" s="142" t="s">
        <v>239</v>
      </c>
      <c r="F69" s="157" t="s">
        <v>239</v>
      </c>
      <c r="G69" s="147" t="s">
        <v>239</v>
      </c>
      <c r="H69" s="148">
        <v>6.1900303999999888</v>
      </c>
      <c r="I69" s="145">
        <v>1.6778620636124154E-2</v>
      </c>
      <c r="J69" s="145">
        <v>8.6926852636747326E-5</v>
      </c>
    </row>
    <row r="70" spans="1:14" s="139" customFormat="1" x14ac:dyDescent="0.2">
      <c r="A70" s="114" t="s">
        <v>586</v>
      </c>
      <c r="B70" s="142" t="s">
        <v>239</v>
      </c>
      <c r="C70" s="142" t="s">
        <v>239</v>
      </c>
      <c r="D70" s="146" t="s">
        <v>239</v>
      </c>
      <c r="E70" s="142" t="s">
        <v>239</v>
      </c>
      <c r="F70" s="157" t="s">
        <v>239</v>
      </c>
      <c r="G70" s="147" t="s">
        <v>239</v>
      </c>
      <c r="H70" s="148">
        <v>0</v>
      </c>
      <c r="I70" s="145">
        <v>0</v>
      </c>
      <c r="J70" s="145">
        <v>0</v>
      </c>
    </row>
    <row r="71" spans="1:14" s="139" customFormat="1" x14ac:dyDescent="0.2">
      <c r="A71" s="114" t="s">
        <v>597</v>
      </c>
      <c r="B71" s="142" t="s">
        <v>239</v>
      </c>
      <c r="C71" s="142" t="s">
        <v>239</v>
      </c>
      <c r="D71" s="146" t="s">
        <v>239</v>
      </c>
      <c r="E71" s="142" t="s">
        <v>239</v>
      </c>
      <c r="F71" s="157" t="s">
        <v>239</v>
      </c>
      <c r="G71" s="147" t="s">
        <v>239</v>
      </c>
      <c r="H71" s="148">
        <v>6.190030100000004</v>
      </c>
      <c r="I71" s="145">
        <v>1.6778619822947868E-2</v>
      </c>
      <c r="J71" s="145">
        <v>8.6926848423835148E-5</v>
      </c>
    </row>
    <row r="72" spans="1:14" x14ac:dyDescent="0.2">
      <c r="A72" s="33" t="s">
        <v>639</v>
      </c>
      <c r="B72" s="50" t="s">
        <v>747</v>
      </c>
      <c r="C72" s="50" t="s">
        <v>178</v>
      </c>
      <c r="D72" s="87" t="s">
        <v>126</v>
      </c>
      <c r="E72" s="50" t="s">
        <v>314</v>
      </c>
      <c r="F72" s="90">
        <v>34067.550000000003</v>
      </c>
      <c r="G72" s="82">
        <v>0.99990000000000001</v>
      </c>
      <c r="H72" s="106">
        <v>109.52661999999999</v>
      </c>
      <c r="I72" s="41">
        <v>0.29688151556362824</v>
      </c>
      <c r="J72" s="41">
        <v>1.5380868495477888E-3</v>
      </c>
      <c r="K72" s="31"/>
      <c r="L72" s="31"/>
      <c r="M72" s="31"/>
      <c r="N72" s="31"/>
    </row>
    <row r="73" spans="1:14" x14ac:dyDescent="0.2">
      <c r="A73" s="33" t="s">
        <v>642</v>
      </c>
      <c r="B73" s="50" t="s">
        <v>748</v>
      </c>
      <c r="C73" s="50" t="s">
        <v>178</v>
      </c>
      <c r="D73" s="87" t="s">
        <v>127</v>
      </c>
      <c r="E73" s="50" t="s">
        <v>314</v>
      </c>
      <c r="F73" s="90">
        <v>-30000</v>
      </c>
      <c r="G73" s="82">
        <v>1</v>
      </c>
      <c r="H73" s="106">
        <v>-118.33388000000001</v>
      </c>
      <c r="I73" s="41">
        <v>-0.32075436671856139</v>
      </c>
      <c r="J73" s="41">
        <v>-1.6617675655832902E-3</v>
      </c>
      <c r="K73" s="31"/>
      <c r="L73" s="31"/>
      <c r="M73" s="31"/>
      <c r="N73" s="31"/>
    </row>
    <row r="74" spans="1:14" x14ac:dyDescent="0.2">
      <c r="A74" s="33" t="s">
        <v>642</v>
      </c>
      <c r="B74" s="50" t="s">
        <v>749</v>
      </c>
      <c r="C74" s="50" t="s">
        <v>178</v>
      </c>
      <c r="D74" s="87" t="s">
        <v>127</v>
      </c>
      <c r="E74" s="50" t="s">
        <v>750</v>
      </c>
      <c r="F74" s="90">
        <v>17000</v>
      </c>
      <c r="G74" s="82">
        <v>1</v>
      </c>
      <c r="H74" s="106">
        <v>67.055859999999996</v>
      </c>
      <c r="I74" s="41">
        <v>0.18176079335071671</v>
      </c>
      <c r="J74" s="41">
        <v>9.41668212267644E-4</v>
      </c>
      <c r="K74" s="31"/>
      <c r="L74" s="31"/>
      <c r="M74" s="31"/>
      <c r="N74" s="31"/>
    </row>
    <row r="75" spans="1:14" x14ac:dyDescent="0.2">
      <c r="A75" s="33" t="s">
        <v>639</v>
      </c>
      <c r="B75" s="50" t="s">
        <v>751</v>
      </c>
      <c r="C75" s="50" t="s">
        <v>178</v>
      </c>
      <c r="D75" s="87" t="s">
        <v>126</v>
      </c>
      <c r="E75" s="50" t="s">
        <v>750</v>
      </c>
      <c r="F75" s="90">
        <v>-20294.939999999999</v>
      </c>
      <c r="G75" s="82">
        <v>0.99990000000000001</v>
      </c>
      <c r="H75" s="106">
        <v>-65.247900000000001</v>
      </c>
      <c r="I75" s="41">
        <v>-0.17686015910418909</v>
      </c>
      <c r="J75" s="41">
        <v>-9.1627895529515274E-4</v>
      </c>
      <c r="K75" s="31"/>
      <c r="L75" s="31"/>
      <c r="M75" s="31"/>
      <c r="N75" s="31"/>
    </row>
    <row r="76" spans="1:14" x14ac:dyDescent="0.2">
      <c r="A76" s="33" t="s">
        <v>642</v>
      </c>
      <c r="B76" s="50" t="s">
        <v>752</v>
      </c>
      <c r="C76" s="50" t="s">
        <v>178</v>
      </c>
      <c r="D76" s="87" t="s">
        <v>127</v>
      </c>
      <c r="E76" s="50" t="s">
        <v>753</v>
      </c>
      <c r="F76" s="90">
        <v>17000</v>
      </c>
      <c r="G76" s="82">
        <v>1</v>
      </c>
      <c r="H76" s="106">
        <v>67.055859999999996</v>
      </c>
      <c r="I76" s="41">
        <v>0.18176079335071671</v>
      </c>
      <c r="J76" s="41">
        <v>9.41668212267644E-4</v>
      </c>
      <c r="K76" s="31"/>
      <c r="L76" s="31"/>
      <c r="M76" s="31"/>
      <c r="N76" s="31"/>
    </row>
    <row r="77" spans="1:14" x14ac:dyDescent="0.2">
      <c r="A77" s="33" t="s">
        <v>639</v>
      </c>
      <c r="B77" s="50" t="s">
        <v>754</v>
      </c>
      <c r="C77" s="50" t="s">
        <v>178</v>
      </c>
      <c r="D77" s="87" t="s">
        <v>126</v>
      </c>
      <c r="E77" s="50" t="s">
        <v>753</v>
      </c>
      <c r="F77" s="90">
        <v>-20232.21</v>
      </c>
      <c r="G77" s="82">
        <v>0.99990000000000001</v>
      </c>
      <c r="H77" s="106">
        <v>-65.046220000000005</v>
      </c>
      <c r="I77" s="41">
        <v>-0.176313487764757</v>
      </c>
      <c r="J77" s="41">
        <v>-9.134467547231201E-4</v>
      </c>
      <c r="K77" s="31"/>
      <c r="L77" s="31"/>
      <c r="M77" s="31"/>
      <c r="N77" s="31"/>
    </row>
    <row r="78" spans="1:14" x14ac:dyDescent="0.2">
      <c r="A78" s="33" t="s">
        <v>655</v>
      </c>
      <c r="B78" s="50" t="s">
        <v>755</v>
      </c>
      <c r="C78" s="50" t="s">
        <v>178</v>
      </c>
      <c r="D78" s="87" t="s">
        <v>2</v>
      </c>
      <c r="E78" s="50" t="s">
        <v>756</v>
      </c>
      <c r="F78" s="90">
        <v>34000</v>
      </c>
      <c r="G78" s="82">
        <v>1.0002</v>
      </c>
      <c r="H78" s="106">
        <v>149.35701</v>
      </c>
      <c r="I78" s="41">
        <v>0.40484528317272989</v>
      </c>
      <c r="J78" s="41">
        <v>2.0974266618359774E-3</v>
      </c>
      <c r="K78" s="31"/>
      <c r="L78" s="31"/>
      <c r="M78" s="31"/>
      <c r="N78" s="31"/>
    </row>
    <row r="79" spans="1:14" x14ac:dyDescent="0.2">
      <c r="A79" s="33" t="s">
        <v>652</v>
      </c>
      <c r="B79" s="50" t="s">
        <v>757</v>
      </c>
      <c r="C79" s="50" t="s">
        <v>178</v>
      </c>
      <c r="D79" s="87" t="s">
        <v>126</v>
      </c>
      <c r="E79" s="50" t="s">
        <v>756</v>
      </c>
      <c r="F79" s="90">
        <v>-45374.19</v>
      </c>
      <c r="G79" s="82">
        <v>0.99990000000000001</v>
      </c>
      <c r="H79" s="106">
        <v>-145.86551</v>
      </c>
      <c r="I79" s="41">
        <v>-0.39538126600877094</v>
      </c>
      <c r="J79" s="41">
        <v>-2.0483953830911744E-3</v>
      </c>
      <c r="K79" s="31"/>
      <c r="L79" s="31"/>
      <c r="M79" s="31"/>
      <c r="N79" s="31"/>
    </row>
    <row r="80" spans="1:14" x14ac:dyDescent="0.2">
      <c r="A80" s="33" t="s">
        <v>655</v>
      </c>
      <c r="B80" s="50" t="s">
        <v>758</v>
      </c>
      <c r="C80" s="50" t="s">
        <v>200</v>
      </c>
      <c r="D80" s="87" t="s">
        <v>2</v>
      </c>
      <c r="E80" s="50" t="s">
        <v>759</v>
      </c>
      <c r="F80" s="90">
        <v>45000</v>
      </c>
      <c r="G80" s="82">
        <v>1.0002</v>
      </c>
      <c r="H80" s="106">
        <v>197.67842000000002</v>
      </c>
      <c r="I80" s="41">
        <v>0.53582470566354956</v>
      </c>
      <c r="J80" s="41">
        <v>2.7760062187748022E-3</v>
      </c>
      <c r="K80" s="31"/>
      <c r="L80" s="31"/>
      <c r="M80" s="31"/>
      <c r="N80" s="31"/>
    </row>
    <row r="81" spans="1:14" x14ac:dyDescent="0.2">
      <c r="A81" s="33" t="s">
        <v>652</v>
      </c>
      <c r="B81" s="50" t="s">
        <v>760</v>
      </c>
      <c r="C81" s="50" t="s">
        <v>200</v>
      </c>
      <c r="D81" s="87" t="s">
        <v>126</v>
      </c>
      <c r="E81" s="50" t="s">
        <v>759</v>
      </c>
      <c r="F81" s="90">
        <v>-59221.35</v>
      </c>
      <c r="G81" s="82">
        <v>0.99990000000000001</v>
      </c>
      <c r="H81" s="106">
        <v>-190.38031000000001</v>
      </c>
      <c r="I81" s="41">
        <v>-0.5160425380265854</v>
      </c>
      <c r="J81" s="41">
        <v>-2.6735185585370154E-3</v>
      </c>
      <c r="K81" s="31"/>
      <c r="L81" s="31"/>
      <c r="M81" s="31"/>
      <c r="N81" s="31"/>
    </row>
    <row r="82" spans="1:14" x14ac:dyDescent="0.2">
      <c r="A82" s="33" t="s">
        <v>650</v>
      </c>
      <c r="B82" s="50" t="s">
        <v>761</v>
      </c>
      <c r="C82" s="50" t="s">
        <v>200</v>
      </c>
      <c r="D82" s="87" t="s">
        <v>126</v>
      </c>
      <c r="E82" s="50" t="s">
        <v>762</v>
      </c>
      <c r="F82" s="90">
        <v>44000</v>
      </c>
      <c r="G82" s="82">
        <v>0.99980000000000002</v>
      </c>
      <c r="H82" s="106">
        <v>141.43235999999999</v>
      </c>
      <c r="I82" s="41">
        <v>0.38336482388062981</v>
      </c>
      <c r="J82" s="41">
        <v>1.98614047449386E-3</v>
      </c>
      <c r="K82" s="31"/>
      <c r="L82" s="31"/>
      <c r="M82" s="31"/>
      <c r="N82" s="31"/>
    </row>
    <row r="83" spans="1:14" x14ac:dyDescent="0.2">
      <c r="A83" s="33" t="s">
        <v>647</v>
      </c>
      <c r="B83" s="50" t="s">
        <v>763</v>
      </c>
      <c r="C83" s="50" t="s">
        <v>200</v>
      </c>
      <c r="D83" s="87" t="s">
        <v>265</v>
      </c>
      <c r="E83" s="50" t="s">
        <v>762</v>
      </c>
      <c r="F83" s="90">
        <v>-4633618</v>
      </c>
      <c r="G83" s="82">
        <v>1.0011000000000001</v>
      </c>
      <c r="H83" s="106">
        <v>-144.69667999999999</v>
      </c>
      <c r="I83" s="41">
        <v>-0.39221304971727727</v>
      </c>
      <c r="J83" s="41">
        <v>-2.0319814551131455E-3</v>
      </c>
      <c r="K83" s="31"/>
      <c r="L83" s="31"/>
      <c r="M83" s="31"/>
      <c r="N83" s="31"/>
    </row>
    <row r="84" spans="1:14" x14ac:dyDescent="0.2">
      <c r="A84" s="33" t="s">
        <v>655</v>
      </c>
      <c r="B84" s="50" t="s">
        <v>764</v>
      </c>
      <c r="C84" s="50" t="s">
        <v>200</v>
      </c>
      <c r="D84" s="87" t="s">
        <v>2</v>
      </c>
      <c r="E84" s="50" t="s">
        <v>765</v>
      </c>
      <c r="F84" s="90">
        <v>44000</v>
      </c>
      <c r="G84" s="82">
        <v>1.0002</v>
      </c>
      <c r="H84" s="106">
        <v>193.28557000000001</v>
      </c>
      <c r="I84" s="41">
        <v>0.52391750022213557</v>
      </c>
      <c r="J84" s="41">
        <v>2.7143172447424073E-3</v>
      </c>
      <c r="K84" s="31"/>
      <c r="L84" s="31"/>
      <c r="M84" s="31"/>
      <c r="N84" s="31"/>
    </row>
    <row r="85" spans="1:14" x14ac:dyDescent="0.2">
      <c r="A85" s="33" t="s">
        <v>652</v>
      </c>
      <c r="B85" s="50" t="s">
        <v>766</v>
      </c>
      <c r="C85" s="50" t="s">
        <v>200</v>
      </c>
      <c r="D85" s="87" t="s">
        <v>126</v>
      </c>
      <c r="E85" s="50" t="s">
        <v>765</v>
      </c>
      <c r="F85" s="90">
        <v>-58884.58</v>
      </c>
      <c r="G85" s="82">
        <v>0.99990000000000001</v>
      </c>
      <c r="H85" s="106">
        <v>-189.29768999999999</v>
      </c>
      <c r="I85" s="41">
        <v>-0.51310800150587932</v>
      </c>
      <c r="J85" s="41">
        <v>-2.6583152811505912E-3</v>
      </c>
      <c r="K85" s="31"/>
      <c r="L85" s="31"/>
      <c r="M85" s="31"/>
      <c r="N85" s="31"/>
    </row>
    <row r="86" spans="1:14" x14ac:dyDescent="0.2">
      <c r="A86" s="33" t="s">
        <v>650</v>
      </c>
      <c r="B86" s="50" t="s">
        <v>767</v>
      </c>
      <c r="C86" s="50" t="s">
        <v>200</v>
      </c>
      <c r="D86" s="87" t="s">
        <v>126</v>
      </c>
      <c r="E86" s="50" t="s">
        <v>768</v>
      </c>
      <c r="F86" s="90">
        <v>53000</v>
      </c>
      <c r="G86" s="82">
        <v>0.99980000000000002</v>
      </c>
      <c r="H86" s="106">
        <v>170.36170999999999</v>
      </c>
      <c r="I86" s="41">
        <v>0.46178036589471416</v>
      </c>
      <c r="J86" s="41">
        <v>2.392396531705936E-3</v>
      </c>
      <c r="K86" s="31"/>
      <c r="L86" s="31"/>
      <c r="M86" s="31"/>
      <c r="N86" s="31"/>
    </row>
    <row r="87" spans="1:14" x14ac:dyDescent="0.2">
      <c r="A87" s="33" t="s">
        <v>647</v>
      </c>
      <c r="B87" s="50" t="s">
        <v>769</v>
      </c>
      <c r="C87" s="50" t="s">
        <v>200</v>
      </c>
      <c r="D87" s="87" t="s">
        <v>265</v>
      </c>
      <c r="E87" s="50" t="s">
        <v>768</v>
      </c>
      <c r="F87" s="90">
        <v>-5510834</v>
      </c>
      <c r="G87" s="82">
        <v>1.0011000000000001</v>
      </c>
      <c r="H87" s="106">
        <v>-172.09001999999998</v>
      </c>
      <c r="I87" s="41">
        <v>-0.46646510182615963</v>
      </c>
      <c r="J87" s="41">
        <v>-2.4166672604378366E-3</v>
      </c>
      <c r="K87" s="31"/>
      <c r="L87" s="31"/>
      <c r="M87" s="31"/>
      <c r="N87" s="31"/>
    </row>
    <row r="88" spans="1:14" x14ac:dyDescent="0.2">
      <c r="A88" s="33" t="s">
        <v>655</v>
      </c>
      <c r="B88" s="50" t="s">
        <v>770</v>
      </c>
      <c r="C88" s="50" t="s">
        <v>200</v>
      </c>
      <c r="D88" s="87" t="s">
        <v>2</v>
      </c>
      <c r="E88" s="50" t="s">
        <v>771</v>
      </c>
      <c r="F88" s="90">
        <v>37000</v>
      </c>
      <c r="G88" s="82">
        <v>1.0002</v>
      </c>
      <c r="H88" s="106">
        <v>162.53558999999998</v>
      </c>
      <c r="I88" s="41">
        <v>0.44056698081460466</v>
      </c>
      <c r="J88" s="41">
        <v>2.282494005224402E-3</v>
      </c>
      <c r="K88" s="31"/>
      <c r="L88" s="31"/>
      <c r="M88" s="31"/>
      <c r="N88" s="31"/>
    </row>
    <row r="89" spans="1:14" x14ac:dyDescent="0.2">
      <c r="A89" s="33" t="s">
        <v>652</v>
      </c>
      <c r="B89" s="50" t="s">
        <v>772</v>
      </c>
      <c r="C89" s="50" t="s">
        <v>200</v>
      </c>
      <c r="D89" s="87" t="s">
        <v>126</v>
      </c>
      <c r="E89" s="50" t="s">
        <v>771</v>
      </c>
      <c r="F89" s="90">
        <v>-50311.68</v>
      </c>
      <c r="G89" s="82">
        <v>0.99990000000000001</v>
      </c>
      <c r="H89" s="106">
        <v>-161.73818</v>
      </c>
      <c r="I89" s="41">
        <v>-0.4384055310289216</v>
      </c>
      <c r="J89" s="41">
        <v>-2.271295943650897E-3</v>
      </c>
      <c r="K89" s="31"/>
      <c r="L89" s="31"/>
      <c r="M89" s="31"/>
      <c r="N89" s="31"/>
    </row>
    <row r="90" spans="1:14" x14ac:dyDescent="0.2">
      <c r="A90" s="33" t="s">
        <v>773</v>
      </c>
      <c r="B90" s="50" t="s">
        <v>774</v>
      </c>
      <c r="C90" s="50" t="s">
        <v>200</v>
      </c>
      <c r="D90" s="87" t="s">
        <v>223</v>
      </c>
      <c r="E90" s="50" t="s">
        <v>771</v>
      </c>
      <c r="F90" s="90">
        <v>56453064</v>
      </c>
      <c r="G90" s="82">
        <v>0.99970000000000003</v>
      </c>
      <c r="H90" s="106">
        <v>166.54660999999999</v>
      </c>
      <c r="I90" s="41">
        <v>0.45143920253162673</v>
      </c>
      <c r="J90" s="41">
        <v>2.3388209247922035E-3</v>
      </c>
      <c r="K90" s="31"/>
      <c r="L90" s="31"/>
      <c r="M90" s="31"/>
      <c r="N90" s="31"/>
    </row>
    <row r="91" spans="1:14" x14ac:dyDescent="0.2">
      <c r="A91" s="33" t="s">
        <v>775</v>
      </c>
      <c r="B91" s="50" t="s">
        <v>776</v>
      </c>
      <c r="C91" s="50" t="s">
        <v>200</v>
      </c>
      <c r="D91" s="87" t="s">
        <v>126</v>
      </c>
      <c r="E91" s="50" t="s">
        <v>771</v>
      </c>
      <c r="F91" s="90">
        <v>-51620.37</v>
      </c>
      <c r="G91" s="82">
        <v>0.99990000000000001</v>
      </c>
      <c r="H91" s="106">
        <v>-165.94919000000002</v>
      </c>
      <c r="I91" s="41">
        <v>-0.44981984319206142</v>
      </c>
      <c r="J91" s="41">
        <v>-2.3304313310509124E-3</v>
      </c>
      <c r="K91" s="31"/>
      <c r="L91" s="31"/>
      <c r="M91" s="31"/>
      <c r="N91" s="31"/>
    </row>
    <row r="92" spans="1:14" s="139" customFormat="1" x14ac:dyDescent="0.2">
      <c r="A92" s="114" t="s">
        <v>588</v>
      </c>
      <c r="B92" s="142" t="s">
        <v>239</v>
      </c>
      <c r="C92" s="142" t="s">
        <v>239</v>
      </c>
      <c r="D92" s="146" t="s">
        <v>239</v>
      </c>
      <c r="E92" s="142" t="s">
        <v>239</v>
      </c>
      <c r="F92" s="157" t="s">
        <v>239</v>
      </c>
      <c r="G92" s="147" t="s">
        <v>239</v>
      </c>
      <c r="H92" s="148">
        <v>0</v>
      </c>
      <c r="I92" s="145">
        <v>0</v>
      </c>
      <c r="J92" s="145">
        <v>0</v>
      </c>
    </row>
    <row r="93" spans="1:14" s="139" customFormat="1" x14ac:dyDescent="0.2">
      <c r="A93" s="203" t="s">
        <v>142</v>
      </c>
      <c r="B93" s="204" t="s">
        <v>239</v>
      </c>
      <c r="C93" s="204" t="s">
        <v>239</v>
      </c>
      <c r="D93" s="205" t="s">
        <v>239</v>
      </c>
      <c r="E93" s="204" t="s">
        <v>239</v>
      </c>
      <c r="F93" s="248" t="s">
        <v>239</v>
      </c>
      <c r="G93" s="207" t="s">
        <v>239</v>
      </c>
      <c r="H93" s="208">
        <v>0</v>
      </c>
      <c r="I93" s="209">
        <v>0</v>
      </c>
      <c r="J93" s="209">
        <v>0</v>
      </c>
    </row>
    <row r="94" spans="1:14" s="139" customFormat="1" x14ac:dyDescent="0.2">
      <c r="A94" s="99" t="s">
        <v>230</v>
      </c>
      <c r="B94" s="149"/>
      <c r="C94" s="99"/>
      <c r="D94" s="150"/>
      <c r="E94" s="150"/>
      <c r="F94" s="150"/>
      <c r="G94" s="151"/>
      <c r="H94" s="152"/>
      <c r="I94" s="152"/>
      <c r="J94" s="153"/>
      <c r="K94" s="168"/>
      <c r="L94" s="168"/>
      <c r="M94" s="154"/>
      <c r="N94" s="154"/>
    </row>
    <row r="95" spans="1:14" s="139" customFormat="1" x14ac:dyDescent="0.2">
      <c r="A95" s="99" t="s">
        <v>231</v>
      </c>
      <c r="B95" s="149"/>
      <c r="C95" s="99"/>
      <c r="D95" s="150"/>
      <c r="E95" s="150"/>
      <c r="F95" s="150"/>
      <c r="G95" s="151"/>
      <c r="H95" s="152"/>
      <c r="I95" s="152"/>
      <c r="J95" s="153"/>
      <c r="K95" s="168"/>
      <c r="L95" s="168"/>
      <c r="M95" s="154"/>
      <c r="N95" s="154"/>
    </row>
    <row r="96" spans="1:14" s="139" customFormat="1" x14ac:dyDescent="0.2">
      <c r="A96" s="99" t="s">
        <v>232</v>
      </c>
      <c r="B96" s="149"/>
      <c r="C96" s="99"/>
      <c r="D96" s="150"/>
      <c r="E96" s="150"/>
      <c r="F96" s="150"/>
      <c r="G96" s="151"/>
      <c r="H96" s="152"/>
      <c r="I96" s="152"/>
      <c r="J96" s="153"/>
      <c r="K96" s="168"/>
      <c r="L96" s="168"/>
      <c r="M96" s="154"/>
      <c r="N96" s="154"/>
    </row>
    <row r="97" spans="1:14" s="139" customFormat="1" x14ac:dyDescent="0.2">
      <c r="A97" s="99" t="s">
        <v>233</v>
      </c>
      <c r="B97" s="149"/>
      <c r="C97" s="99"/>
      <c r="D97" s="150"/>
      <c r="E97" s="150"/>
      <c r="F97" s="150"/>
      <c r="G97" s="151"/>
      <c r="H97" s="152"/>
      <c r="I97" s="152"/>
      <c r="J97" s="153"/>
      <c r="K97" s="168"/>
      <c r="L97" s="168"/>
      <c r="M97" s="154"/>
      <c r="N97" s="154"/>
    </row>
    <row r="98" spans="1:14" s="139" customFormat="1" x14ac:dyDescent="0.2">
      <c r="A98" s="99" t="s">
        <v>234</v>
      </c>
      <c r="B98" s="149"/>
      <c r="C98" s="99"/>
      <c r="D98" s="150"/>
      <c r="E98" s="150"/>
      <c r="F98" s="150"/>
      <c r="G98" s="151"/>
      <c r="H98" s="152"/>
      <c r="I98" s="152"/>
      <c r="J98" s="153"/>
      <c r="K98" s="168"/>
      <c r="L98" s="168"/>
      <c r="M98" s="154"/>
      <c r="N98" s="154"/>
    </row>
  </sheetData>
  <mergeCells count="2">
    <mergeCell ref="A6:J6"/>
    <mergeCell ref="A5:J5"/>
  </mergeCells>
  <conditionalFormatting sqref="I11:J93">
    <cfRule type="expression" dxfId="72" priority="387" stopIfTrue="1">
      <formula>OR(LEFT(#REF!,3)="TIR",LEFT(#REF!,2)="IR")</formula>
    </cfRule>
  </conditionalFormatting>
  <conditionalFormatting sqref="A11:A93 H11:I93">
    <cfRule type="expression" dxfId="71" priority="388" stopIfTrue="1">
      <formula>#REF!&gt;0</formula>
    </cfRule>
  </conditionalFormatting>
  <conditionalFormatting sqref="B11:E93">
    <cfRule type="expression" dxfId="70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151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8" t="s">
        <v>9</v>
      </c>
      <c r="O8" s="77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8">
        <v>14</v>
      </c>
      <c r="P9" s="39">
        <v>15</v>
      </c>
    </row>
    <row r="10" spans="1:16" s="139" customFormat="1" ht="12.75" customHeight="1" thickBot="1" x14ac:dyDescent="0.25">
      <c r="A10" s="123" t="s">
        <v>57</v>
      </c>
      <c r="B10" s="88" t="s">
        <v>239</v>
      </c>
      <c r="C10" s="88" t="s">
        <v>239</v>
      </c>
      <c r="D10" s="124"/>
      <c r="E10" s="124" t="s">
        <v>239</v>
      </c>
      <c r="F10" s="124" t="s">
        <v>239</v>
      </c>
      <c r="G10" s="124" t="s">
        <v>239</v>
      </c>
      <c r="H10" s="124" t="s">
        <v>239</v>
      </c>
      <c r="I10" s="88" t="s">
        <v>239</v>
      </c>
      <c r="J10" s="88" t="s">
        <v>239</v>
      </c>
      <c r="K10" s="125" t="s">
        <v>239</v>
      </c>
      <c r="L10" s="124" t="s">
        <v>239</v>
      </c>
      <c r="M10" s="126">
        <v>1.2000000000000002E-6</v>
      </c>
      <c r="N10" s="88" t="s">
        <v>239</v>
      </c>
      <c r="O10" s="88">
        <v>0</v>
      </c>
      <c r="P10" s="103">
        <v>0</v>
      </c>
    </row>
    <row r="11" spans="1:16" s="139" customFormat="1" x14ac:dyDescent="0.2">
      <c r="A11" s="113" t="s">
        <v>138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2" t="s">
        <v>239</v>
      </c>
      <c r="G11" s="146" t="s">
        <v>239</v>
      </c>
      <c r="H11" s="146" t="s">
        <v>239</v>
      </c>
      <c r="I11" s="142" t="s">
        <v>239</v>
      </c>
      <c r="J11" s="142" t="s">
        <v>239</v>
      </c>
      <c r="K11" s="155" t="s">
        <v>239</v>
      </c>
      <c r="L11" s="146" t="s">
        <v>239</v>
      </c>
      <c r="M11" s="143">
        <v>0</v>
      </c>
      <c r="N11" s="142" t="s">
        <v>239</v>
      </c>
      <c r="O11" s="142">
        <v>0</v>
      </c>
      <c r="P11" s="142">
        <v>0</v>
      </c>
    </row>
    <row r="12" spans="1:16" s="139" customFormat="1" x14ac:dyDescent="0.2">
      <c r="A12" s="114" t="s">
        <v>603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2" t="s">
        <v>239</v>
      </c>
      <c r="G12" s="146" t="s">
        <v>239</v>
      </c>
      <c r="H12" s="146" t="s">
        <v>239</v>
      </c>
      <c r="I12" s="142" t="s">
        <v>239</v>
      </c>
      <c r="J12" s="142" t="s">
        <v>239</v>
      </c>
      <c r="K12" s="157" t="s">
        <v>239</v>
      </c>
      <c r="L12" s="146" t="s">
        <v>239</v>
      </c>
      <c r="M12" s="148">
        <v>0</v>
      </c>
      <c r="N12" s="145" t="s">
        <v>239</v>
      </c>
      <c r="O12" s="145">
        <v>0</v>
      </c>
      <c r="P12" s="145">
        <v>0</v>
      </c>
    </row>
    <row r="13" spans="1:16" s="139" customFormat="1" x14ac:dyDescent="0.2">
      <c r="A13" s="114" t="s">
        <v>604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2" t="s">
        <v>239</v>
      </c>
      <c r="G13" s="146" t="s">
        <v>239</v>
      </c>
      <c r="H13" s="146" t="s">
        <v>239</v>
      </c>
      <c r="I13" s="142" t="s">
        <v>239</v>
      </c>
      <c r="J13" s="142" t="s">
        <v>239</v>
      </c>
      <c r="K13" s="157" t="s">
        <v>239</v>
      </c>
      <c r="L13" s="146" t="s">
        <v>239</v>
      </c>
      <c r="M13" s="148">
        <v>0</v>
      </c>
      <c r="N13" s="145" t="s">
        <v>239</v>
      </c>
      <c r="O13" s="145">
        <v>0</v>
      </c>
      <c r="P13" s="145">
        <v>0</v>
      </c>
    </row>
    <row r="14" spans="1:16" s="139" customFormat="1" x14ac:dyDescent="0.2">
      <c r="A14" s="114" t="s">
        <v>605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2" t="s">
        <v>239</v>
      </c>
      <c r="G14" s="146" t="s">
        <v>239</v>
      </c>
      <c r="H14" s="146" t="s">
        <v>239</v>
      </c>
      <c r="I14" s="142" t="s">
        <v>239</v>
      </c>
      <c r="J14" s="142" t="s">
        <v>239</v>
      </c>
      <c r="K14" s="157" t="s">
        <v>239</v>
      </c>
      <c r="L14" s="146" t="s">
        <v>239</v>
      </c>
      <c r="M14" s="148">
        <v>0</v>
      </c>
      <c r="N14" s="145" t="s">
        <v>239</v>
      </c>
      <c r="O14" s="145">
        <v>0</v>
      </c>
      <c r="P14" s="145">
        <v>0</v>
      </c>
    </row>
    <row r="15" spans="1:16" s="139" customFormat="1" x14ac:dyDescent="0.2">
      <c r="A15" s="114" t="s">
        <v>606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2" t="s">
        <v>239</v>
      </c>
      <c r="G15" s="146" t="s">
        <v>239</v>
      </c>
      <c r="H15" s="146" t="s">
        <v>239</v>
      </c>
      <c r="I15" s="142" t="s">
        <v>239</v>
      </c>
      <c r="J15" s="142" t="s">
        <v>239</v>
      </c>
      <c r="K15" s="157" t="s">
        <v>239</v>
      </c>
      <c r="L15" s="146" t="s">
        <v>239</v>
      </c>
      <c r="M15" s="148">
        <v>0</v>
      </c>
      <c r="N15" s="145" t="s">
        <v>239</v>
      </c>
      <c r="O15" s="145">
        <v>0</v>
      </c>
      <c r="P15" s="145">
        <v>0</v>
      </c>
    </row>
    <row r="16" spans="1:16" s="139" customFormat="1" x14ac:dyDescent="0.2">
      <c r="A16" s="114" t="s">
        <v>607</v>
      </c>
      <c r="B16" s="142" t="s">
        <v>239</v>
      </c>
      <c r="C16" s="142" t="s">
        <v>239</v>
      </c>
      <c r="D16" s="142" t="s">
        <v>239</v>
      </c>
      <c r="E16" s="142" t="s">
        <v>239</v>
      </c>
      <c r="F16" s="142" t="s">
        <v>239</v>
      </c>
      <c r="G16" s="146" t="s">
        <v>239</v>
      </c>
      <c r="H16" s="146" t="s">
        <v>239</v>
      </c>
      <c r="I16" s="142" t="s">
        <v>239</v>
      </c>
      <c r="J16" s="142" t="s">
        <v>239</v>
      </c>
      <c r="K16" s="157" t="s">
        <v>239</v>
      </c>
      <c r="L16" s="146" t="s">
        <v>239</v>
      </c>
      <c r="M16" s="148">
        <v>0</v>
      </c>
      <c r="N16" s="145" t="s">
        <v>239</v>
      </c>
      <c r="O16" s="145">
        <v>0</v>
      </c>
      <c r="P16" s="145">
        <v>0</v>
      </c>
    </row>
    <row r="17" spans="1:16" s="139" customFormat="1" x14ac:dyDescent="0.2">
      <c r="A17" s="114" t="s">
        <v>608</v>
      </c>
      <c r="B17" s="142" t="s">
        <v>239</v>
      </c>
      <c r="C17" s="142" t="s">
        <v>239</v>
      </c>
      <c r="D17" s="142" t="s">
        <v>239</v>
      </c>
      <c r="E17" s="142" t="s">
        <v>239</v>
      </c>
      <c r="F17" s="142" t="s">
        <v>239</v>
      </c>
      <c r="G17" s="146" t="s">
        <v>239</v>
      </c>
      <c r="H17" s="146" t="s">
        <v>239</v>
      </c>
      <c r="I17" s="142" t="s">
        <v>239</v>
      </c>
      <c r="J17" s="142" t="s">
        <v>239</v>
      </c>
      <c r="K17" s="157" t="s">
        <v>239</v>
      </c>
      <c r="L17" s="146" t="s">
        <v>239</v>
      </c>
      <c r="M17" s="148">
        <v>0</v>
      </c>
      <c r="N17" s="145" t="s">
        <v>239</v>
      </c>
      <c r="O17" s="145">
        <v>0</v>
      </c>
      <c r="P17" s="145">
        <v>0</v>
      </c>
    </row>
    <row r="18" spans="1:16" s="139" customFormat="1" x14ac:dyDescent="0.2">
      <c r="A18" s="114" t="s">
        <v>609</v>
      </c>
      <c r="B18" s="142" t="s">
        <v>239</v>
      </c>
      <c r="C18" s="142" t="s">
        <v>239</v>
      </c>
      <c r="D18" s="142" t="s">
        <v>239</v>
      </c>
      <c r="E18" s="142" t="s">
        <v>239</v>
      </c>
      <c r="F18" s="142" t="s">
        <v>239</v>
      </c>
      <c r="G18" s="146" t="s">
        <v>239</v>
      </c>
      <c r="H18" s="146" t="s">
        <v>239</v>
      </c>
      <c r="I18" s="142" t="s">
        <v>239</v>
      </c>
      <c r="J18" s="142" t="s">
        <v>239</v>
      </c>
      <c r="K18" s="157" t="s">
        <v>239</v>
      </c>
      <c r="L18" s="146" t="s">
        <v>239</v>
      </c>
      <c r="M18" s="148">
        <v>0</v>
      </c>
      <c r="N18" s="145" t="s">
        <v>239</v>
      </c>
      <c r="O18" s="145">
        <v>0</v>
      </c>
      <c r="P18" s="145">
        <v>0</v>
      </c>
    </row>
    <row r="19" spans="1:16" s="139" customFormat="1" x14ac:dyDescent="0.2">
      <c r="A19" s="114" t="s">
        <v>363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6" t="s">
        <v>239</v>
      </c>
      <c r="H19" s="146" t="s">
        <v>239</v>
      </c>
      <c r="I19" s="142" t="s">
        <v>239</v>
      </c>
      <c r="J19" s="142" t="s">
        <v>239</v>
      </c>
      <c r="K19" s="157" t="s">
        <v>239</v>
      </c>
      <c r="L19" s="146" t="s">
        <v>239</v>
      </c>
      <c r="M19" s="148">
        <v>0</v>
      </c>
      <c r="N19" s="145" t="s">
        <v>239</v>
      </c>
      <c r="O19" s="145">
        <v>0</v>
      </c>
      <c r="P19" s="145">
        <v>0</v>
      </c>
    </row>
    <row r="20" spans="1:16" s="139" customFormat="1" x14ac:dyDescent="0.2">
      <c r="A20" s="114" t="s">
        <v>603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6" t="s">
        <v>239</v>
      </c>
      <c r="H20" s="146" t="s">
        <v>239</v>
      </c>
      <c r="I20" s="142" t="s">
        <v>239</v>
      </c>
      <c r="J20" s="142" t="s">
        <v>239</v>
      </c>
      <c r="K20" s="157" t="s">
        <v>239</v>
      </c>
      <c r="L20" s="146" t="s">
        <v>239</v>
      </c>
      <c r="M20" s="148">
        <v>0</v>
      </c>
      <c r="N20" s="145" t="s">
        <v>239</v>
      </c>
      <c r="O20" s="145">
        <v>0</v>
      </c>
      <c r="P20" s="145">
        <v>0</v>
      </c>
    </row>
    <row r="21" spans="1:16" s="139" customFormat="1" x14ac:dyDescent="0.2">
      <c r="A21" s="114" t="s">
        <v>604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6" t="s">
        <v>239</v>
      </c>
      <c r="H21" s="146" t="s">
        <v>239</v>
      </c>
      <c r="I21" s="142" t="s">
        <v>239</v>
      </c>
      <c r="J21" s="142" t="s">
        <v>239</v>
      </c>
      <c r="K21" s="157" t="s">
        <v>239</v>
      </c>
      <c r="L21" s="146" t="s">
        <v>239</v>
      </c>
      <c r="M21" s="148">
        <v>0</v>
      </c>
      <c r="N21" s="145" t="s">
        <v>239</v>
      </c>
      <c r="O21" s="145">
        <v>0</v>
      </c>
      <c r="P21" s="145">
        <v>0</v>
      </c>
    </row>
    <row r="22" spans="1:16" s="139" customFormat="1" x14ac:dyDescent="0.2">
      <c r="A22" s="114" t="s">
        <v>605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6" t="s">
        <v>239</v>
      </c>
      <c r="H22" s="146" t="s">
        <v>239</v>
      </c>
      <c r="I22" s="142" t="s">
        <v>239</v>
      </c>
      <c r="J22" s="142" t="s">
        <v>239</v>
      </c>
      <c r="K22" s="157" t="s">
        <v>239</v>
      </c>
      <c r="L22" s="146" t="s">
        <v>239</v>
      </c>
      <c r="M22" s="148">
        <v>0</v>
      </c>
      <c r="N22" s="145" t="s">
        <v>239</v>
      </c>
      <c r="O22" s="145">
        <v>0</v>
      </c>
      <c r="P22" s="145">
        <v>0</v>
      </c>
    </row>
    <row r="23" spans="1:16" s="139" customFormat="1" x14ac:dyDescent="0.2">
      <c r="A23" s="114" t="s">
        <v>606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42" t="s">
        <v>239</v>
      </c>
      <c r="G23" s="146" t="s">
        <v>239</v>
      </c>
      <c r="H23" s="146" t="s">
        <v>239</v>
      </c>
      <c r="I23" s="142" t="s">
        <v>239</v>
      </c>
      <c r="J23" s="142" t="s">
        <v>239</v>
      </c>
      <c r="K23" s="157" t="s">
        <v>239</v>
      </c>
      <c r="L23" s="146" t="s">
        <v>239</v>
      </c>
      <c r="M23" s="148">
        <v>0</v>
      </c>
      <c r="N23" s="145" t="s">
        <v>239</v>
      </c>
      <c r="O23" s="145">
        <v>0</v>
      </c>
      <c r="P23" s="145">
        <v>0</v>
      </c>
    </row>
    <row r="24" spans="1:16" s="139" customFormat="1" x14ac:dyDescent="0.2">
      <c r="A24" s="114" t="s">
        <v>607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42" t="s">
        <v>239</v>
      </c>
      <c r="G24" s="146" t="s">
        <v>239</v>
      </c>
      <c r="H24" s="146" t="s">
        <v>239</v>
      </c>
      <c r="I24" s="142" t="s">
        <v>239</v>
      </c>
      <c r="J24" s="142" t="s">
        <v>239</v>
      </c>
      <c r="K24" s="157" t="s">
        <v>239</v>
      </c>
      <c r="L24" s="146" t="s">
        <v>239</v>
      </c>
      <c r="M24" s="148">
        <v>0</v>
      </c>
      <c r="N24" s="145" t="s">
        <v>239</v>
      </c>
      <c r="O24" s="145">
        <v>0</v>
      </c>
      <c r="P24" s="145">
        <v>0</v>
      </c>
    </row>
    <row r="25" spans="1:16" s="139" customFormat="1" x14ac:dyDescent="0.2">
      <c r="A25" s="114" t="s">
        <v>608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6" t="s">
        <v>239</v>
      </c>
      <c r="H25" s="146" t="s">
        <v>239</v>
      </c>
      <c r="I25" s="142" t="s">
        <v>239</v>
      </c>
      <c r="J25" s="142" t="s">
        <v>239</v>
      </c>
      <c r="K25" s="157" t="s">
        <v>239</v>
      </c>
      <c r="L25" s="146" t="s">
        <v>239</v>
      </c>
      <c r="M25" s="148">
        <v>0</v>
      </c>
      <c r="N25" s="145" t="s">
        <v>239</v>
      </c>
      <c r="O25" s="145">
        <v>0</v>
      </c>
      <c r="P25" s="145">
        <v>0</v>
      </c>
    </row>
    <row r="26" spans="1:16" s="139" customFormat="1" x14ac:dyDescent="0.2">
      <c r="A26" s="203" t="s">
        <v>609</v>
      </c>
      <c r="B26" s="204" t="s">
        <v>239</v>
      </c>
      <c r="C26" s="204" t="s">
        <v>239</v>
      </c>
      <c r="D26" s="204" t="s">
        <v>239</v>
      </c>
      <c r="E26" s="204" t="s">
        <v>239</v>
      </c>
      <c r="F26" s="204" t="s">
        <v>239</v>
      </c>
      <c r="G26" s="205" t="s">
        <v>239</v>
      </c>
      <c r="H26" s="205" t="s">
        <v>239</v>
      </c>
      <c r="I26" s="204" t="s">
        <v>239</v>
      </c>
      <c r="J26" s="204" t="s">
        <v>239</v>
      </c>
      <c r="K26" s="248" t="s">
        <v>239</v>
      </c>
      <c r="L26" s="205" t="s">
        <v>239</v>
      </c>
      <c r="M26" s="208">
        <v>0</v>
      </c>
      <c r="N26" s="209" t="s">
        <v>239</v>
      </c>
      <c r="O26" s="209">
        <v>0</v>
      </c>
      <c r="P26" s="209">
        <v>0</v>
      </c>
    </row>
    <row r="27" spans="1:16" s="139" customFormat="1" x14ac:dyDescent="0.2">
      <c r="A27" s="99" t="s">
        <v>230</v>
      </c>
      <c r="B27" s="149"/>
      <c r="C27" s="99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9" t="s">
        <v>231</v>
      </c>
      <c r="B28" s="149"/>
      <c r="C28" s="99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9" t="s">
        <v>232</v>
      </c>
      <c r="B29" s="149"/>
      <c r="C29" s="99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9" t="s">
        <v>233</v>
      </c>
      <c r="B30" s="149"/>
      <c r="C30" s="99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9" t="s">
        <v>234</v>
      </c>
      <c r="B31" s="149"/>
      <c r="C31" s="99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O11:P26">
    <cfRule type="expression" dxfId="69" priority="395" stopIfTrue="1">
      <formula>OR(LEFT(#REF!,3)="TIR",LEFT(#REF!,2)="IR")</formula>
    </cfRule>
  </conditionalFormatting>
  <conditionalFormatting sqref="A11:A26 M11:M26">
    <cfRule type="expression" dxfId="68" priority="396" stopIfTrue="1">
      <formula>#REF!&gt;0</formula>
    </cfRule>
  </conditionalFormatting>
  <conditionalFormatting sqref="B11:J26">
    <cfRule type="expression" dxfId="67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7"/>
  <sheetViews>
    <sheetView rightToLeft="1" zoomScale="80" zoomScaleNormal="80" workbookViewId="0">
      <selection activeCell="A6" sqref="A6:Q32"/>
    </sheetView>
  </sheetViews>
  <sheetFormatPr defaultRowHeight="12.75" x14ac:dyDescent="0.2"/>
  <cols>
    <col min="1" max="1" width="38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0.85546875" style="81" customWidth="1"/>
    <col min="10" max="10" width="11.28515625" style="81" customWidth="1"/>
    <col min="11" max="11" width="18.28515625" style="54" customWidth="1"/>
    <col min="12" max="12" width="14.140625" style="83" customWidth="1"/>
    <col min="13" max="13" width="10.5703125" style="85" customWidth="1"/>
    <col min="14" max="14" width="11.42578125" style="85" bestFit="1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1"/>
      <c r="F1" s="81"/>
      <c r="G1" s="81"/>
      <c r="H1" s="81"/>
      <c r="I1" s="81"/>
      <c r="J1" s="81"/>
      <c r="K1" s="54"/>
      <c r="L1" s="83"/>
      <c r="M1" s="84"/>
      <c r="N1" s="84"/>
      <c r="O1" s="84"/>
      <c r="P1" s="84"/>
      <c r="Q1" s="83"/>
      <c r="R1" s="29"/>
      <c r="S1" s="31"/>
    </row>
    <row r="2" spans="1:20" s="23" customFormat="1" x14ac:dyDescent="0.2">
      <c r="A2" s="26" t="s">
        <v>226</v>
      </c>
      <c r="B2" s="26" t="s">
        <v>151</v>
      </c>
      <c r="C2" s="25"/>
      <c r="D2" s="25"/>
      <c r="E2" s="61"/>
      <c r="F2" s="81"/>
      <c r="G2" s="81"/>
      <c r="H2" s="81"/>
      <c r="I2" s="81"/>
      <c r="J2" s="81"/>
      <c r="K2" s="54"/>
      <c r="L2" s="83"/>
      <c r="M2" s="84"/>
      <c r="N2" s="84"/>
      <c r="O2" s="84"/>
      <c r="P2" s="84"/>
      <c r="Q2" s="83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1"/>
      <c r="F3" s="81"/>
      <c r="G3" s="81"/>
      <c r="H3" s="81"/>
      <c r="I3" s="81"/>
      <c r="J3" s="81"/>
      <c r="K3" s="54"/>
      <c r="L3" s="83"/>
      <c r="M3" s="84"/>
      <c r="N3" s="84"/>
      <c r="O3" s="84"/>
      <c r="P3" s="84"/>
      <c r="Q3" s="83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1"/>
      <c r="F4" s="81"/>
      <c r="G4" s="81"/>
      <c r="H4" s="81"/>
      <c r="I4" s="81"/>
      <c r="J4" s="81"/>
      <c r="K4" s="54"/>
      <c r="L4" s="83"/>
      <c r="M4" s="84"/>
      <c r="N4" s="84"/>
      <c r="O4" s="84"/>
      <c r="P4" s="84"/>
      <c r="Q4" s="83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08" t="s">
        <v>157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160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8">
        <v>15</v>
      </c>
      <c r="Q8" s="53">
        <v>16</v>
      </c>
    </row>
    <row r="9" spans="1:20" s="139" customFormat="1" ht="12.75" customHeight="1" thickBot="1" x14ac:dyDescent="0.25">
      <c r="A9" s="123" t="s">
        <v>122</v>
      </c>
      <c r="B9" s="88" t="s">
        <v>239</v>
      </c>
      <c r="C9" s="88" t="s">
        <v>239</v>
      </c>
      <c r="D9" s="88"/>
      <c r="E9" s="124" t="s">
        <v>239</v>
      </c>
      <c r="F9" s="124"/>
      <c r="G9" s="124" t="s">
        <v>239</v>
      </c>
      <c r="H9" s="125" t="s">
        <v>239</v>
      </c>
      <c r="I9" s="125"/>
      <c r="J9" s="124" t="s">
        <v>239</v>
      </c>
      <c r="K9" s="88" t="s">
        <v>239</v>
      </c>
      <c r="L9" s="88" t="s">
        <v>239</v>
      </c>
      <c r="M9" s="134" t="s">
        <v>239</v>
      </c>
      <c r="N9" s="124" t="s">
        <v>239</v>
      </c>
      <c r="O9" s="126">
        <v>2396.1388313000002</v>
      </c>
      <c r="P9" s="88">
        <v>1</v>
      </c>
      <c r="Q9" s="103">
        <v>3.3649076599947467E-2</v>
      </c>
    </row>
    <row r="10" spans="1:20" s="139" customFormat="1" x14ac:dyDescent="0.2">
      <c r="A10" s="113" t="s">
        <v>138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2" t="s">
        <v>239</v>
      </c>
      <c r="G10" s="142" t="s">
        <v>239</v>
      </c>
      <c r="H10" s="146" t="s">
        <v>239</v>
      </c>
      <c r="I10" s="142" t="s">
        <v>239</v>
      </c>
      <c r="J10" s="146" t="s">
        <v>239</v>
      </c>
      <c r="K10" s="142" t="s">
        <v>239</v>
      </c>
      <c r="L10" s="142" t="s">
        <v>239</v>
      </c>
      <c r="M10" s="178" t="s">
        <v>239</v>
      </c>
      <c r="N10" s="146" t="s">
        <v>239</v>
      </c>
      <c r="O10" s="143">
        <v>2396.1388308999999</v>
      </c>
      <c r="P10" s="142">
        <v>0.99999999983306465</v>
      </c>
      <c r="Q10" s="142">
        <v>3.3649076594330245E-2</v>
      </c>
    </row>
    <row r="11" spans="1:20" s="139" customFormat="1" x14ac:dyDescent="0.2">
      <c r="A11" s="114" t="s">
        <v>777</v>
      </c>
      <c r="B11" s="188" t="s">
        <v>239</v>
      </c>
      <c r="C11" s="188" t="s">
        <v>239</v>
      </c>
      <c r="D11" s="188" t="s">
        <v>239</v>
      </c>
      <c r="E11" s="188" t="s">
        <v>239</v>
      </c>
      <c r="F11" s="188" t="s">
        <v>239</v>
      </c>
      <c r="G11" s="188" t="s">
        <v>239</v>
      </c>
      <c r="H11" s="189" t="s">
        <v>239</v>
      </c>
      <c r="I11" s="188" t="s">
        <v>239</v>
      </c>
      <c r="J11" s="189" t="s">
        <v>239</v>
      </c>
      <c r="K11" s="188" t="s">
        <v>239</v>
      </c>
      <c r="L11" s="188" t="s">
        <v>239</v>
      </c>
      <c r="M11" s="179" t="s">
        <v>239</v>
      </c>
      <c r="N11" s="147" t="s">
        <v>239</v>
      </c>
      <c r="O11" s="148">
        <v>2396.1388300999997</v>
      </c>
      <c r="P11" s="145">
        <v>0.99999999949919405</v>
      </c>
      <c r="Q11" s="145">
        <v>3.3649076583095808E-2</v>
      </c>
    </row>
    <row r="12" spans="1:20" s="139" customFormat="1" x14ac:dyDescent="0.2">
      <c r="A12" s="190" t="s">
        <v>817</v>
      </c>
      <c r="B12" s="191"/>
      <c r="C12" s="192">
        <v>30110</v>
      </c>
      <c r="D12" s="192">
        <v>30110</v>
      </c>
      <c r="E12" s="191" t="s">
        <v>424</v>
      </c>
      <c r="F12" s="191"/>
      <c r="G12" s="191"/>
      <c r="H12" s="193">
        <v>1.997170675</v>
      </c>
      <c r="I12" s="191" t="s">
        <v>218</v>
      </c>
      <c r="J12" s="193" t="s">
        <v>245</v>
      </c>
      <c r="K12" s="191">
        <v>1.7000000000000001E-2</v>
      </c>
      <c r="L12" s="191">
        <v>1.7000000000000001E-2</v>
      </c>
      <c r="M12" s="194"/>
      <c r="N12" s="195"/>
      <c r="O12" s="196">
        <v>137.50601999999998</v>
      </c>
      <c r="P12" s="197">
        <v>5.7386499564967823E-2</v>
      </c>
      <c r="Q12" s="197">
        <v>1.9310027196644544E-3</v>
      </c>
    </row>
    <row r="13" spans="1:20" s="139" customFormat="1" x14ac:dyDescent="0.2">
      <c r="A13" s="190" t="s">
        <v>818</v>
      </c>
      <c r="B13" s="191"/>
      <c r="C13" s="192">
        <v>28851</v>
      </c>
      <c r="D13" s="192">
        <v>28851</v>
      </c>
      <c r="E13" s="191" t="s">
        <v>424</v>
      </c>
      <c r="F13" s="191"/>
      <c r="G13" s="191"/>
      <c r="H13" s="193">
        <v>0.69932980899999997</v>
      </c>
      <c r="I13" s="191" t="s">
        <v>218</v>
      </c>
      <c r="J13" s="193" t="s">
        <v>245</v>
      </c>
      <c r="K13" s="191">
        <v>1.15E-2</v>
      </c>
      <c r="L13" s="191">
        <v>1.15E-2</v>
      </c>
      <c r="M13" s="194"/>
      <c r="N13" s="195"/>
      <c r="O13" s="196">
        <v>150.44842</v>
      </c>
      <c r="P13" s="197">
        <v>6.2787856043539758E-2</v>
      </c>
      <c r="Q13" s="197">
        <v>2.1127533775555435E-3</v>
      </c>
    </row>
    <row r="14" spans="1:20" s="139" customFormat="1" x14ac:dyDescent="0.2">
      <c r="A14" s="190" t="s">
        <v>819</v>
      </c>
      <c r="B14" s="191"/>
      <c r="C14" s="192">
        <v>33538</v>
      </c>
      <c r="D14" s="192">
        <v>33538</v>
      </c>
      <c r="E14" s="191" t="s">
        <v>424</v>
      </c>
      <c r="F14" s="191"/>
      <c r="G14" s="191"/>
      <c r="H14" s="193">
        <v>1.6984430939999999</v>
      </c>
      <c r="I14" s="191" t="s">
        <v>218</v>
      </c>
      <c r="J14" s="193" t="s">
        <v>245</v>
      </c>
      <c r="K14" s="191">
        <v>1.1000000000000001E-2</v>
      </c>
      <c r="L14" s="191">
        <v>1.1000000000000001E-2</v>
      </c>
      <c r="M14" s="194"/>
      <c r="N14" s="195"/>
      <c r="O14" s="196">
        <v>402.09739000000002</v>
      </c>
      <c r="P14" s="197">
        <v>0.16781055619462845</v>
      </c>
      <c r="Q14" s="197">
        <v>5.6466702596728417E-3</v>
      </c>
    </row>
    <row r="15" spans="1:20" s="139" customFormat="1" x14ac:dyDescent="0.2">
      <c r="A15" s="190" t="s">
        <v>820</v>
      </c>
      <c r="B15" s="191"/>
      <c r="C15" s="192">
        <v>31196</v>
      </c>
      <c r="D15" s="192">
        <v>31196</v>
      </c>
      <c r="E15" s="191" t="s">
        <v>424</v>
      </c>
      <c r="F15" s="191"/>
      <c r="G15" s="191"/>
      <c r="H15" s="193">
        <v>1.1987513009999999</v>
      </c>
      <c r="I15" s="191" t="s">
        <v>218</v>
      </c>
      <c r="J15" s="193" t="s">
        <v>245</v>
      </c>
      <c r="K15" s="191">
        <v>1.2500000000000001E-2</v>
      </c>
      <c r="L15" s="191">
        <v>1.2500000000000001E-2</v>
      </c>
      <c r="M15" s="194"/>
      <c r="N15" s="195"/>
      <c r="O15" s="196">
        <v>852.25918000000001</v>
      </c>
      <c r="P15" s="197">
        <v>0.35568021721747051</v>
      </c>
      <c r="Q15" s="197">
        <v>1.1968310874236618E-2</v>
      </c>
    </row>
    <row r="16" spans="1:20" s="139" customFormat="1" x14ac:dyDescent="0.2">
      <c r="A16" s="190" t="s">
        <v>821</v>
      </c>
      <c r="B16" s="191"/>
      <c r="C16" s="192">
        <v>34495</v>
      </c>
      <c r="D16" s="192">
        <v>34495</v>
      </c>
      <c r="E16" s="191" t="s">
        <v>424</v>
      </c>
      <c r="F16" s="191"/>
      <c r="G16" s="191"/>
      <c r="H16" s="193">
        <v>3.6966114399999999</v>
      </c>
      <c r="I16" s="191" t="s">
        <v>218</v>
      </c>
      <c r="J16" s="193" t="s">
        <v>245</v>
      </c>
      <c r="K16" s="191">
        <v>1.1000000000000001E-2</v>
      </c>
      <c r="L16" s="191">
        <v>1.1000000000000001E-2</v>
      </c>
      <c r="M16" s="194"/>
      <c r="N16" s="195"/>
      <c r="O16" s="196">
        <v>151.66199</v>
      </c>
      <c r="P16" s="197">
        <v>6.329432502778537E-2</v>
      </c>
      <c r="Q16" s="197">
        <v>2.1297955912019219E-3</v>
      </c>
    </row>
    <row r="17" spans="1:18" s="139" customFormat="1" x14ac:dyDescent="0.2">
      <c r="A17" s="190" t="s">
        <v>822</v>
      </c>
      <c r="B17" s="191"/>
      <c r="C17" s="192">
        <v>42002</v>
      </c>
      <c r="D17" s="192">
        <v>42002</v>
      </c>
      <c r="E17" s="191" t="s">
        <v>424</v>
      </c>
      <c r="F17" s="191"/>
      <c r="G17" s="191"/>
      <c r="H17" s="193">
        <v>2.9972525189999999</v>
      </c>
      <c r="I17" s="191" t="s">
        <v>218</v>
      </c>
      <c r="J17" s="193" t="s">
        <v>245</v>
      </c>
      <c r="K17" s="191">
        <v>1.1000000000000001E-2</v>
      </c>
      <c r="L17" s="191">
        <v>1.1000000000000001E-2</v>
      </c>
      <c r="M17" s="194"/>
      <c r="N17" s="195"/>
      <c r="O17" s="196">
        <v>301.77803999999998</v>
      </c>
      <c r="P17" s="197">
        <v>0.12594347041079978</v>
      </c>
      <c r="Q17" s="197">
        <v>4.2378814831162195E-3</v>
      </c>
    </row>
    <row r="18" spans="1:18" x14ac:dyDescent="0.2">
      <c r="A18" s="190" t="s">
        <v>778</v>
      </c>
      <c r="B18" s="198" t="s">
        <v>239</v>
      </c>
      <c r="C18" s="198" t="s">
        <v>779</v>
      </c>
      <c r="D18" s="198" t="s">
        <v>239</v>
      </c>
      <c r="E18" s="198" t="s">
        <v>424</v>
      </c>
      <c r="F18" s="198" t="s">
        <v>239</v>
      </c>
      <c r="G18" s="198" t="s">
        <v>239</v>
      </c>
      <c r="H18" s="199">
        <v>1.961432173393389</v>
      </c>
      <c r="I18" s="198" t="s">
        <v>218</v>
      </c>
      <c r="J18" s="199" t="s">
        <v>245</v>
      </c>
      <c r="K18" s="198">
        <v>1.2241627703351125E-2</v>
      </c>
      <c r="L18" s="198">
        <v>1.2241627703351125E-2</v>
      </c>
      <c r="M18" s="135">
        <v>1</v>
      </c>
      <c r="N18" s="82">
        <v>2396138.83</v>
      </c>
      <c r="O18" s="196">
        <v>400.38778999999994</v>
      </c>
      <c r="P18" s="41">
        <v>0.16709707499826865</v>
      </c>
      <c r="Q18" s="41">
        <v>5.6226622762439084E-3</v>
      </c>
      <c r="R18" s="139"/>
    </row>
    <row r="19" spans="1:18" s="139" customFormat="1" x14ac:dyDescent="0.2">
      <c r="A19" s="114" t="s">
        <v>780</v>
      </c>
      <c r="B19" s="142" t="s">
        <v>239</v>
      </c>
      <c r="C19" s="142" t="s">
        <v>239</v>
      </c>
      <c r="D19" s="142" t="s">
        <v>239</v>
      </c>
      <c r="E19" s="142" t="s">
        <v>239</v>
      </c>
      <c r="F19" s="142" t="s">
        <v>239</v>
      </c>
      <c r="G19" s="142" t="s">
        <v>239</v>
      </c>
      <c r="H19" s="146" t="s">
        <v>239</v>
      </c>
      <c r="I19" s="142" t="s">
        <v>239</v>
      </c>
      <c r="J19" s="146" t="s">
        <v>239</v>
      </c>
      <c r="K19" s="142" t="s">
        <v>239</v>
      </c>
      <c r="L19" s="142" t="s">
        <v>239</v>
      </c>
      <c r="M19" s="179" t="s">
        <v>239</v>
      </c>
      <c r="N19" s="147" t="s">
        <v>239</v>
      </c>
      <c r="O19" s="148">
        <v>0</v>
      </c>
      <c r="P19" s="145">
        <v>0</v>
      </c>
      <c r="Q19" s="145">
        <v>0</v>
      </c>
    </row>
    <row r="20" spans="1:18" s="139" customFormat="1" x14ac:dyDescent="0.2">
      <c r="A20" s="114" t="s">
        <v>781</v>
      </c>
      <c r="B20" s="142" t="s">
        <v>239</v>
      </c>
      <c r="C20" s="142" t="s">
        <v>239</v>
      </c>
      <c r="D20" s="142" t="s">
        <v>239</v>
      </c>
      <c r="E20" s="142" t="s">
        <v>239</v>
      </c>
      <c r="F20" s="142" t="s">
        <v>239</v>
      </c>
      <c r="G20" s="142" t="s">
        <v>239</v>
      </c>
      <c r="H20" s="146" t="s">
        <v>239</v>
      </c>
      <c r="I20" s="142" t="s">
        <v>239</v>
      </c>
      <c r="J20" s="146" t="s">
        <v>239</v>
      </c>
      <c r="K20" s="142" t="s">
        <v>239</v>
      </c>
      <c r="L20" s="142" t="s">
        <v>239</v>
      </c>
      <c r="M20" s="179" t="s">
        <v>239</v>
      </c>
      <c r="N20" s="147" t="s">
        <v>239</v>
      </c>
      <c r="O20" s="148">
        <v>0</v>
      </c>
      <c r="P20" s="145">
        <v>0</v>
      </c>
      <c r="Q20" s="145">
        <v>0</v>
      </c>
    </row>
    <row r="21" spans="1:18" s="139" customFormat="1" x14ac:dyDescent="0.2">
      <c r="A21" s="114" t="s">
        <v>782</v>
      </c>
      <c r="B21" s="142" t="s">
        <v>239</v>
      </c>
      <c r="C21" s="142" t="s">
        <v>239</v>
      </c>
      <c r="D21" s="142" t="s">
        <v>239</v>
      </c>
      <c r="E21" s="142" t="s">
        <v>239</v>
      </c>
      <c r="F21" s="142" t="s">
        <v>239</v>
      </c>
      <c r="G21" s="142" t="s">
        <v>239</v>
      </c>
      <c r="H21" s="146" t="s">
        <v>239</v>
      </c>
      <c r="I21" s="142" t="s">
        <v>239</v>
      </c>
      <c r="J21" s="146" t="s">
        <v>239</v>
      </c>
      <c r="K21" s="142" t="s">
        <v>239</v>
      </c>
      <c r="L21" s="142" t="s">
        <v>239</v>
      </c>
      <c r="M21" s="179" t="s">
        <v>239</v>
      </c>
      <c r="N21" s="147" t="s">
        <v>239</v>
      </c>
      <c r="O21" s="148">
        <v>0</v>
      </c>
      <c r="P21" s="145">
        <v>0</v>
      </c>
      <c r="Q21" s="145">
        <v>0</v>
      </c>
    </row>
    <row r="22" spans="1:18" s="139" customFormat="1" x14ac:dyDescent="0.2">
      <c r="A22" s="114" t="s">
        <v>783</v>
      </c>
      <c r="B22" s="142" t="s">
        <v>239</v>
      </c>
      <c r="C22" s="142" t="s">
        <v>239</v>
      </c>
      <c r="D22" s="142" t="s">
        <v>239</v>
      </c>
      <c r="E22" s="142" t="s">
        <v>239</v>
      </c>
      <c r="F22" s="142" t="s">
        <v>239</v>
      </c>
      <c r="G22" s="142" t="s">
        <v>239</v>
      </c>
      <c r="H22" s="146" t="s">
        <v>239</v>
      </c>
      <c r="I22" s="142" t="s">
        <v>239</v>
      </c>
      <c r="J22" s="146" t="s">
        <v>239</v>
      </c>
      <c r="K22" s="142" t="s">
        <v>239</v>
      </c>
      <c r="L22" s="142" t="s">
        <v>239</v>
      </c>
      <c r="M22" s="179">
        <v>0</v>
      </c>
      <c r="N22" s="147" t="s">
        <v>239</v>
      </c>
      <c r="O22" s="148">
        <v>0</v>
      </c>
      <c r="P22" s="145">
        <v>0</v>
      </c>
      <c r="Q22" s="145">
        <v>0</v>
      </c>
    </row>
    <row r="23" spans="1:18" s="139" customFormat="1" x14ac:dyDescent="0.2">
      <c r="A23" s="114" t="s">
        <v>784</v>
      </c>
      <c r="B23" s="142" t="s">
        <v>239</v>
      </c>
      <c r="C23" s="142" t="s">
        <v>239</v>
      </c>
      <c r="D23" s="142" t="s">
        <v>239</v>
      </c>
      <c r="E23" s="142" t="s">
        <v>239</v>
      </c>
      <c r="F23" s="142" t="s">
        <v>239</v>
      </c>
      <c r="G23" s="142" t="s">
        <v>239</v>
      </c>
      <c r="H23" s="146" t="s">
        <v>239</v>
      </c>
      <c r="I23" s="142" t="s">
        <v>239</v>
      </c>
      <c r="J23" s="146" t="s">
        <v>239</v>
      </c>
      <c r="K23" s="142" t="s">
        <v>239</v>
      </c>
      <c r="L23" s="142" t="s">
        <v>239</v>
      </c>
      <c r="M23" s="179" t="s">
        <v>239</v>
      </c>
      <c r="N23" s="147" t="s">
        <v>239</v>
      </c>
      <c r="O23" s="148">
        <v>0</v>
      </c>
      <c r="P23" s="145">
        <v>0</v>
      </c>
      <c r="Q23" s="145">
        <v>0</v>
      </c>
    </row>
    <row r="24" spans="1:18" s="139" customFormat="1" x14ac:dyDescent="0.2">
      <c r="A24" s="114" t="s">
        <v>785</v>
      </c>
      <c r="B24" s="142" t="s">
        <v>239</v>
      </c>
      <c r="C24" s="142" t="s">
        <v>239</v>
      </c>
      <c r="D24" s="142" t="s">
        <v>239</v>
      </c>
      <c r="E24" s="142" t="s">
        <v>239</v>
      </c>
      <c r="F24" s="142" t="s">
        <v>239</v>
      </c>
      <c r="G24" s="142" t="s">
        <v>239</v>
      </c>
      <c r="H24" s="146" t="s">
        <v>239</v>
      </c>
      <c r="I24" s="142" t="s">
        <v>239</v>
      </c>
      <c r="J24" s="146" t="s">
        <v>239</v>
      </c>
      <c r="K24" s="142" t="s">
        <v>239</v>
      </c>
      <c r="L24" s="142" t="s">
        <v>239</v>
      </c>
      <c r="M24" s="179" t="s">
        <v>239</v>
      </c>
      <c r="N24" s="147" t="s">
        <v>239</v>
      </c>
      <c r="O24" s="148">
        <v>0</v>
      </c>
      <c r="P24" s="145">
        <v>0</v>
      </c>
      <c r="Q24" s="145">
        <v>0</v>
      </c>
    </row>
    <row r="25" spans="1:18" s="139" customFormat="1" x14ac:dyDescent="0.2">
      <c r="A25" s="114" t="s">
        <v>786</v>
      </c>
      <c r="B25" s="142" t="s">
        <v>239</v>
      </c>
      <c r="C25" s="142" t="s">
        <v>239</v>
      </c>
      <c r="D25" s="142" t="s">
        <v>239</v>
      </c>
      <c r="E25" s="142" t="s">
        <v>239</v>
      </c>
      <c r="F25" s="142" t="s">
        <v>239</v>
      </c>
      <c r="G25" s="142" t="s">
        <v>239</v>
      </c>
      <c r="H25" s="146" t="s">
        <v>239</v>
      </c>
      <c r="I25" s="142" t="s">
        <v>239</v>
      </c>
      <c r="J25" s="146" t="s">
        <v>239</v>
      </c>
      <c r="K25" s="142" t="s">
        <v>239</v>
      </c>
      <c r="L25" s="142" t="s">
        <v>239</v>
      </c>
      <c r="M25" s="179" t="s">
        <v>239</v>
      </c>
      <c r="N25" s="147" t="s">
        <v>239</v>
      </c>
      <c r="O25" s="148">
        <v>0</v>
      </c>
      <c r="P25" s="145">
        <v>0</v>
      </c>
      <c r="Q25" s="145">
        <v>0</v>
      </c>
    </row>
    <row r="26" spans="1:18" s="139" customFormat="1" x14ac:dyDescent="0.2">
      <c r="A26" s="114" t="s">
        <v>787</v>
      </c>
      <c r="B26" s="142" t="s">
        <v>239</v>
      </c>
      <c r="C26" s="142" t="s">
        <v>239</v>
      </c>
      <c r="D26" s="142" t="s">
        <v>239</v>
      </c>
      <c r="E26" s="142" t="s">
        <v>239</v>
      </c>
      <c r="F26" s="142" t="s">
        <v>239</v>
      </c>
      <c r="G26" s="142" t="s">
        <v>239</v>
      </c>
      <c r="H26" s="146" t="s">
        <v>239</v>
      </c>
      <c r="I26" s="142" t="s">
        <v>239</v>
      </c>
      <c r="J26" s="146" t="s">
        <v>239</v>
      </c>
      <c r="K26" s="142" t="s">
        <v>239</v>
      </c>
      <c r="L26" s="142" t="s">
        <v>239</v>
      </c>
      <c r="M26" s="179" t="s">
        <v>239</v>
      </c>
      <c r="N26" s="147" t="s">
        <v>239</v>
      </c>
      <c r="O26" s="148">
        <v>0</v>
      </c>
      <c r="P26" s="145">
        <v>0</v>
      </c>
      <c r="Q26" s="145">
        <v>0</v>
      </c>
    </row>
    <row r="27" spans="1:18" s="139" customFormat="1" x14ac:dyDescent="0.2">
      <c r="A27" s="114" t="s">
        <v>788</v>
      </c>
      <c r="B27" s="142" t="s">
        <v>239</v>
      </c>
      <c r="C27" s="142" t="s">
        <v>239</v>
      </c>
      <c r="D27" s="142" t="s">
        <v>239</v>
      </c>
      <c r="E27" s="142" t="s">
        <v>239</v>
      </c>
      <c r="F27" s="142" t="s">
        <v>239</v>
      </c>
      <c r="G27" s="142" t="s">
        <v>239</v>
      </c>
      <c r="H27" s="146" t="s">
        <v>239</v>
      </c>
      <c r="I27" s="142" t="s">
        <v>239</v>
      </c>
      <c r="J27" s="146" t="s">
        <v>239</v>
      </c>
      <c r="K27" s="142" t="s">
        <v>239</v>
      </c>
      <c r="L27" s="142" t="s">
        <v>239</v>
      </c>
      <c r="M27" s="179" t="s">
        <v>239</v>
      </c>
      <c r="N27" s="147" t="s">
        <v>239</v>
      </c>
      <c r="O27" s="148">
        <v>0</v>
      </c>
      <c r="P27" s="145">
        <v>0</v>
      </c>
      <c r="Q27" s="145">
        <v>0</v>
      </c>
    </row>
    <row r="28" spans="1:18" s="139" customFormat="1" x14ac:dyDescent="0.2">
      <c r="A28" s="114" t="s">
        <v>363</v>
      </c>
      <c r="B28" s="142" t="s">
        <v>239</v>
      </c>
      <c r="C28" s="142" t="s">
        <v>239</v>
      </c>
      <c r="D28" s="142" t="s">
        <v>239</v>
      </c>
      <c r="E28" s="142" t="s">
        <v>239</v>
      </c>
      <c r="F28" s="142" t="s">
        <v>239</v>
      </c>
      <c r="G28" s="142" t="s">
        <v>239</v>
      </c>
      <c r="H28" s="146" t="s">
        <v>239</v>
      </c>
      <c r="I28" s="142" t="s">
        <v>239</v>
      </c>
      <c r="J28" s="146" t="s">
        <v>239</v>
      </c>
      <c r="K28" s="142" t="s">
        <v>239</v>
      </c>
      <c r="L28" s="142" t="s">
        <v>239</v>
      </c>
      <c r="M28" s="179" t="s">
        <v>239</v>
      </c>
      <c r="N28" s="147" t="s">
        <v>239</v>
      </c>
      <c r="O28" s="148">
        <v>0</v>
      </c>
      <c r="P28" s="145">
        <v>0</v>
      </c>
      <c r="Q28" s="145">
        <v>0</v>
      </c>
    </row>
    <row r="29" spans="1:18" s="139" customFormat="1" x14ac:dyDescent="0.2">
      <c r="A29" s="114" t="s">
        <v>780</v>
      </c>
      <c r="B29" s="142" t="s">
        <v>239</v>
      </c>
      <c r="C29" s="142" t="s">
        <v>239</v>
      </c>
      <c r="D29" s="142" t="s">
        <v>239</v>
      </c>
      <c r="E29" s="142" t="s">
        <v>239</v>
      </c>
      <c r="F29" s="142" t="s">
        <v>239</v>
      </c>
      <c r="G29" s="142" t="s">
        <v>239</v>
      </c>
      <c r="H29" s="146" t="s">
        <v>239</v>
      </c>
      <c r="I29" s="142" t="s">
        <v>239</v>
      </c>
      <c r="J29" s="146" t="s">
        <v>239</v>
      </c>
      <c r="K29" s="142" t="s">
        <v>239</v>
      </c>
      <c r="L29" s="142" t="s">
        <v>239</v>
      </c>
      <c r="M29" s="179" t="s">
        <v>239</v>
      </c>
      <c r="N29" s="147" t="s">
        <v>239</v>
      </c>
      <c r="O29" s="148">
        <v>0</v>
      </c>
      <c r="P29" s="145">
        <v>0</v>
      </c>
      <c r="Q29" s="145">
        <v>0</v>
      </c>
    </row>
    <row r="30" spans="1:18" s="139" customFormat="1" x14ac:dyDescent="0.2">
      <c r="A30" s="114" t="s">
        <v>787</v>
      </c>
      <c r="B30" s="142" t="s">
        <v>239</v>
      </c>
      <c r="C30" s="142" t="s">
        <v>239</v>
      </c>
      <c r="D30" s="142" t="s">
        <v>239</v>
      </c>
      <c r="E30" s="142" t="s">
        <v>239</v>
      </c>
      <c r="F30" s="142" t="s">
        <v>239</v>
      </c>
      <c r="G30" s="142" t="s">
        <v>239</v>
      </c>
      <c r="H30" s="146" t="s">
        <v>239</v>
      </c>
      <c r="I30" s="142" t="s">
        <v>239</v>
      </c>
      <c r="J30" s="146" t="s">
        <v>239</v>
      </c>
      <c r="K30" s="142" t="s">
        <v>239</v>
      </c>
      <c r="L30" s="142" t="s">
        <v>239</v>
      </c>
      <c r="M30" s="179" t="s">
        <v>239</v>
      </c>
      <c r="N30" s="147" t="s">
        <v>239</v>
      </c>
      <c r="O30" s="148">
        <v>0</v>
      </c>
      <c r="P30" s="145">
        <v>0</v>
      </c>
      <c r="Q30" s="145">
        <v>0</v>
      </c>
    </row>
    <row r="31" spans="1:18" s="139" customFormat="1" x14ac:dyDescent="0.2">
      <c r="A31" s="114" t="s">
        <v>781</v>
      </c>
      <c r="B31" s="142" t="s">
        <v>239</v>
      </c>
      <c r="C31" s="142" t="s">
        <v>239</v>
      </c>
      <c r="D31" s="142" t="s">
        <v>239</v>
      </c>
      <c r="E31" s="142" t="s">
        <v>239</v>
      </c>
      <c r="F31" s="142" t="s">
        <v>239</v>
      </c>
      <c r="G31" s="142" t="s">
        <v>239</v>
      </c>
      <c r="H31" s="146" t="s">
        <v>239</v>
      </c>
      <c r="I31" s="142" t="s">
        <v>239</v>
      </c>
      <c r="J31" s="146" t="s">
        <v>239</v>
      </c>
      <c r="K31" s="142" t="s">
        <v>239</v>
      </c>
      <c r="L31" s="142" t="s">
        <v>239</v>
      </c>
      <c r="M31" s="179" t="s">
        <v>239</v>
      </c>
      <c r="N31" s="147" t="s">
        <v>239</v>
      </c>
      <c r="O31" s="148">
        <v>0</v>
      </c>
      <c r="P31" s="145">
        <v>0</v>
      </c>
      <c r="Q31" s="145">
        <v>0</v>
      </c>
    </row>
    <row r="32" spans="1:18" s="139" customFormat="1" x14ac:dyDescent="0.2">
      <c r="A32" s="203" t="s">
        <v>788</v>
      </c>
      <c r="B32" s="204" t="s">
        <v>239</v>
      </c>
      <c r="C32" s="204" t="s">
        <v>239</v>
      </c>
      <c r="D32" s="204" t="s">
        <v>239</v>
      </c>
      <c r="E32" s="204" t="s">
        <v>239</v>
      </c>
      <c r="F32" s="204" t="s">
        <v>239</v>
      </c>
      <c r="G32" s="204" t="s">
        <v>239</v>
      </c>
      <c r="H32" s="205" t="s">
        <v>239</v>
      </c>
      <c r="I32" s="204" t="s">
        <v>239</v>
      </c>
      <c r="J32" s="205" t="s">
        <v>239</v>
      </c>
      <c r="K32" s="204" t="s">
        <v>239</v>
      </c>
      <c r="L32" s="204" t="s">
        <v>239</v>
      </c>
      <c r="M32" s="206" t="s">
        <v>239</v>
      </c>
      <c r="N32" s="207" t="s">
        <v>239</v>
      </c>
      <c r="O32" s="208">
        <v>0</v>
      </c>
      <c r="P32" s="209">
        <v>0</v>
      </c>
      <c r="Q32" s="209">
        <v>0</v>
      </c>
    </row>
    <row r="33" spans="1:18" s="139" customFormat="1" x14ac:dyDescent="0.2">
      <c r="A33" s="99" t="s">
        <v>230</v>
      </c>
      <c r="B33" s="99"/>
      <c r="C33" s="149"/>
      <c r="D33" s="149"/>
      <c r="E33" s="149"/>
      <c r="F33" s="150"/>
      <c r="G33" s="150"/>
      <c r="H33" s="150"/>
      <c r="I33" s="150"/>
      <c r="J33" s="150"/>
      <c r="K33" s="151"/>
      <c r="L33" s="152"/>
      <c r="M33" s="153"/>
      <c r="N33" s="153"/>
      <c r="O33" s="153"/>
      <c r="P33" s="153"/>
      <c r="Q33" s="152"/>
      <c r="R33" s="154"/>
    </row>
    <row r="34" spans="1:18" s="139" customFormat="1" x14ac:dyDescent="0.2">
      <c r="A34" s="99" t="s">
        <v>231</v>
      </c>
      <c r="B34" s="99"/>
      <c r="C34" s="149"/>
      <c r="D34" s="149"/>
      <c r="E34" s="149"/>
      <c r="F34" s="150"/>
      <c r="G34" s="150"/>
      <c r="H34" s="150"/>
      <c r="I34" s="150"/>
      <c r="J34" s="150"/>
      <c r="K34" s="151"/>
      <c r="L34" s="152"/>
      <c r="M34" s="153"/>
      <c r="N34" s="153"/>
      <c r="O34" s="153"/>
      <c r="P34" s="153"/>
      <c r="Q34" s="152"/>
      <c r="R34" s="154"/>
    </row>
    <row r="35" spans="1:18" s="139" customFormat="1" x14ac:dyDescent="0.2">
      <c r="A35" s="99" t="s">
        <v>232</v>
      </c>
      <c r="B35" s="99"/>
      <c r="C35" s="149"/>
      <c r="D35" s="149"/>
      <c r="E35" s="149"/>
      <c r="F35" s="150"/>
      <c r="G35" s="150"/>
      <c r="H35" s="150"/>
      <c r="I35" s="150"/>
      <c r="J35" s="150"/>
      <c r="K35" s="151"/>
      <c r="L35" s="152"/>
      <c r="M35" s="153"/>
      <c r="N35" s="153"/>
      <c r="O35" s="153"/>
      <c r="P35" s="153"/>
      <c r="Q35" s="152"/>
      <c r="R35" s="154"/>
    </row>
    <row r="36" spans="1:18" s="139" customFormat="1" x14ac:dyDescent="0.2">
      <c r="A36" s="99" t="s">
        <v>233</v>
      </c>
      <c r="B36" s="99"/>
      <c r="C36" s="149"/>
      <c r="D36" s="149"/>
      <c r="E36" s="149"/>
      <c r="F36" s="150"/>
      <c r="G36" s="150"/>
      <c r="H36" s="150"/>
      <c r="I36" s="150"/>
      <c r="J36" s="150"/>
      <c r="K36" s="151"/>
      <c r="L36" s="152"/>
      <c r="M36" s="153"/>
      <c r="N36" s="153"/>
      <c r="O36" s="153"/>
      <c r="P36" s="153"/>
      <c r="Q36" s="152"/>
      <c r="R36" s="154"/>
    </row>
    <row r="37" spans="1:18" s="139" customFormat="1" x14ac:dyDescent="0.2">
      <c r="A37" s="99" t="s">
        <v>234</v>
      </c>
      <c r="B37" s="99"/>
      <c r="C37" s="149"/>
      <c r="D37" s="149"/>
      <c r="E37" s="149"/>
      <c r="F37" s="150"/>
      <c r="G37" s="150"/>
      <c r="H37" s="150"/>
      <c r="I37" s="150"/>
      <c r="J37" s="150"/>
      <c r="K37" s="151"/>
      <c r="L37" s="152"/>
      <c r="M37" s="153"/>
      <c r="N37" s="153"/>
      <c r="O37" s="153"/>
      <c r="P37" s="153"/>
      <c r="Q37" s="152"/>
      <c r="R37" s="154"/>
    </row>
  </sheetData>
  <mergeCells count="1">
    <mergeCell ref="A5:Q5"/>
  </mergeCells>
  <conditionalFormatting sqref="P10:Q10 P19:Q32">
    <cfRule type="expression" dxfId="66" priority="407" stopIfTrue="1">
      <formula>OR(LEFT(#REF!,3)="TIR",LEFT(#REF!,2)="IR")</formula>
    </cfRule>
  </conditionalFormatting>
  <conditionalFormatting sqref="A10 O10:P10 A19:A32 O19:P32">
    <cfRule type="expression" dxfId="65" priority="408" stopIfTrue="1">
      <formula>#REF!&gt;0</formula>
    </cfRule>
  </conditionalFormatting>
  <conditionalFormatting sqref="B10:L10 B19:L32">
    <cfRule type="expression" dxfId="64" priority="410" stopIfTrue="1">
      <formula>LEFT(#REF!,3)="TIR"</formula>
    </cfRule>
  </conditionalFormatting>
  <conditionalFormatting sqref="P11:Q18">
    <cfRule type="expression" dxfId="63" priority="2" stopIfTrue="1">
      <formula>OR(LEFT(#REF!,3)="TIR",LEFT(#REF!,2)="IR")</formula>
    </cfRule>
  </conditionalFormatting>
  <conditionalFormatting sqref="A11:A18 O11:P18">
    <cfRule type="expression" dxfId="62" priority="3" stopIfTrue="1">
      <formula>#REF!&gt;0</formula>
    </cfRule>
  </conditionalFormatting>
  <conditionalFormatting sqref="B11:L17 B18:G18">
    <cfRule type="expression" dxfId="61" priority="4" stopIfTrue="1">
      <formula>LEFT(#REF!,3)="TIR"</formula>
    </cfRule>
  </conditionalFormatting>
  <conditionalFormatting sqref="H18:L18">
    <cfRule type="expression" dxfId="60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4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1"/>
      <c r="E1" s="81"/>
      <c r="F1" s="81"/>
      <c r="G1" s="81"/>
      <c r="H1" s="54"/>
      <c r="I1" s="83"/>
      <c r="J1" s="84"/>
      <c r="K1" s="84"/>
      <c r="L1" s="84"/>
      <c r="M1" s="84"/>
      <c r="N1" s="83"/>
      <c r="O1" s="29"/>
      <c r="P1" s="31"/>
    </row>
    <row r="2" spans="1:17" s="23" customFormat="1" x14ac:dyDescent="0.2">
      <c r="A2" s="26" t="s">
        <v>226</v>
      </c>
      <c r="B2" s="26" t="s">
        <v>151</v>
      </c>
      <c r="C2" s="25"/>
      <c r="D2" s="61"/>
      <c r="E2" s="81"/>
      <c r="F2" s="81"/>
      <c r="G2" s="81"/>
      <c r="H2" s="54"/>
      <c r="I2" s="83"/>
      <c r="J2" s="84"/>
      <c r="K2" s="84"/>
      <c r="L2" s="84"/>
      <c r="M2" s="84"/>
      <c r="N2" s="83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1"/>
      <c r="E3" s="81"/>
      <c r="F3" s="81"/>
      <c r="G3" s="81"/>
      <c r="H3" s="54"/>
      <c r="I3" s="83"/>
      <c r="J3" s="84"/>
      <c r="K3" s="84"/>
      <c r="L3" s="84"/>
      <c r="M3" s="84"/>
      <c r="N3" s="83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1"/>
      <c r="E4" s="81"/>
      <c r="F4" s="81"/>
      <c r="G4" s="81"/>
      <c r="H4" s="54"/>
      <c r="I4" s="83"/>
      <c r="J4" s="84"/>
      <c r="K4" s="84"/>
      <c r="L4" s="84"/>
      <c r="M4" s="84"/>
      <c r="N4" s="83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6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8">
        <v>12</v>
      </c>
      <c r="N8" s="53">
        <v>13</v>
      </c>
    </row>
    <row r="9" spans="1:17" s="139" customFormat="1" ht="12.75" customHeight="1" thickBot="1" x14ac:dyDescent="0.25">
      <c r="A9" s="123" t="s">
        <v>123</v>
      </c>
      <c r="B9" s="88" t="s">
        <v>239</v>
      </c>
      <c r="C9" s="124" t="s">
        <v>239</v>
      </c>
      <c r="D9" s="124"/>
      <c r="E9" s="124" t="s">
        <v>239</v>
      </c>
      <c r="F9" s="124" t="s">
        <v>239</v>
      </c>
      <c r="G9" s="124" t="s">
        <v>239</v>
      </c>
      <c r="H9" s="88" t="s">
        <v>239</v>
      </c>
      <c r="I9" s="88" t="s">
        <v>239</v>
      </c>
      <c r="J9" s="125" t="s">
        <v>239</v>
      </c>
      <c r="K9" s="124" t="s">
        <v>239</v>
      </c>
      <c r="L9" s="126">
        <v>6.0000000000000008E-7</v>
      </c>
      <c r="M9" s="88">
        <v>0</v>
      </c>
      <c r="N9" s="103">
        <v>0</v>
      </c>
    </row>
    <row r="10" spans="1:17" s="139" customFormat="1" x14ac:dyDescent="0.2">
      <c r="A10" s="113" t="s">
        <v>138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6" t="s">
        <v>239</v>
      </c>
      <c r="G10" s="146" t="s">
        <v>239</v>
      </c>
      <c r="H10" s="142" t="s">
        <v>239</v>
      </c>
      <c r="I10" s="142" t="s">
        <v>239</v>
      </c>
      <c r="J10" s="155" t="s">
        <v>239</v>
      </c>
      <c r="K10" s="146" t="s">
        <v>239</v>
      </c>
      <c r="L10" s="143">
        <v>0</v>
      </c>
      <c r="M10" s="142">
        <v>0</v>
      </c>
      <c r="N10" s="142">
        <v>0</v>
      </c>
    </row>
    <row r="11" spans="1:17" s="139" customFormat="1" x14ac:dyDescent="0.2">
      <c r="A11" s="114" t="s">
        <v>789</v>
      </c>
      <c r="B11" s="142" t="s">
        <v>239</v>
      </c>
      <c r="C11" s="142" t="s">
        <v>239</v>
      </c>
      <c r="D11" s="142" t="s">
        <v>239</v>
      </c>
      <c r="E11" s="142" t="s">
        <v>239</v>
      </c>
      <c r="F11" s="146" t="s">
        <v>239</v>
      </c>
      <c r="G11" s="146" t="s">
        <v>239</v>
      </c>
      <c r="H11" s="142" t="s">
        <v>239</v>
      </c>
      <c r="I11" s="142" t="s">
        <v>239</v>
      </c>
      <c r="J11" s="157" t="s">
        <v>239</v>
      </c>
      <c r="K11" s="147" t="s">
        <v>239</v>
      </c>
      <c r="L11" s="148">
        <v>0</v>
      </c>
      <c r="M11" s="145">
        <v>0</v>
      </c>
      <c r="N11" s="145">
        <v>0</v>
      </c>
    </row>
    <row r="12" spans="1:17" s="139" customFormat="1" x14ac:dyDescent="0.2">
      <c r="A12" s="114" t="s">
        <v>620</v>
      </c>
      <c r="B12" s="142" t="s">
        <v>239</v>
      </c>
      <c r="C12" s="142" t="s">
        <v>239</v>
      </c>
      <c r="D12" s="142" t="s">
        <v>239</v>
      </c>
      <c r="E12" s="142" t="s">
        <v>239</v>
      </c>
      <c r="F12" s="146" t="s">
        <v>239</v>
      </c>
      <c r="G12" s="146" t="s">
        <v>239</v>
      </c>
      <c r="H12" s="142" t="s">
        <v>239</v>
      </c>
      <c r="I12" s="142" t="s">
        <v>239</v>
      </c>
      <c r="J12" s="157" t="s">
        <v>239</v>
      </c>
      <c r="K12" s="147" t="s">
        <v>239</v>
      </c>
      <c r="L12" s="148">
        <v>0</v>
      </c>
      <c r="M12" s="145">
        <v>0</v>
      </c>
      <c r="N12" s="145">
        <v>0</v>
      </c>
    </row>
    <row r="13" spans="1:17" s="139" customFormat="1" x14ac:dyDescent="0.2">
      <c r="A13" s="114" t="s">
        <v>790</v>
      </c>
      <c r="B13" s="142" t="s">
        <v>239</v>
      </c>
      <c r="C13" s="142" t="s">
        <v>239</v>
      </c>
      <c r="D13" s="142" t="s">
        <v>239</v>
      </c>
      <c r="E13" s="142" t="s">
        <v>239</v>
      </c>
      <c r="F13" s="146" t="s">
        <v>239</v>
      </c>
      <c r="G13" s="146" t="s">
        <v>239</v>
      </c>
      <c r="H13" s="142" t="s">
        <v>239</v>
      </c>
      <c r="I13" s="142" t="s">
        <v>239</v>
      </c>
      <c r="J13" s="157" t="s">
        <v>239</v>
      </c>
      <c r="K13" s="147" t="s">
        <v>239</v>
      </c>
      <c r="L13" s="148">
        <v>0</v>
      </c>
      <c r="M13" s="145">
        <v>0</v>
      </c>
      <c r="N13" s="145">
        <v>0</v>
      </c>
    </row>
    <row r="14" spans="1:17" s="139" customFormat="1" x14ac:dyDescent="0.2">
      <c r="A14" s="114" t="s">
        <v>791</v>
      </c>
      <c r="B14" s="142" t="s">
        <v>239</v>
      </c>
      <c r="C14" s="142" t="s">
        <v>239</v>
      </c>
      <c r="D14" s="142" t="s">
        <v>239</v>
      </c>
      <c r="E14" s="142" t="s">
        <v>239</v>
      </c>
      <c r="F14" s="146" t="s">
        <v>239</v>
      </c>
      <c r="G14" s="146" t="s">
        <v>239</v>
      </c>
      <c r="H14" s="142" t="s">
        <v>239</v>
      </c>
      <c r="I14" s="142" t="s">
        <v>239</v>
      </c>
      <c r="J14" s="157" t="s">
        <v>239</v>
      </c>
      <c r="K14" s="147" t="s">
        <v>239</v>
      </c>
      <c r="L14" s="148">
        <v>0</v>
      </c>
      <c r="M14" s="145">
        <v>0</v>
      </c>
      <c r="N14" s="145">
        <v>0</v>
      </c>
    </row>
    <row r="15" spans="1:17" s="139" customFormat="1" x14ac:dyDescent="0.2">
      <c r="A15" s="114" t="s">
        <v>142</v>
      </c>
      <c r="B15" s="142" t="s">
        <v>239</v>
      </c>
      <c r="C15" s="142" t="s">
        <v>239</v>
      </c>
      <c r="D15" s="142" t="s">
        <v>239</v>
      </c>
      <c r="E15" s="142" t="s">
        <v>239</v>
      </c>
      <c r="F15" s="146" t="s">
        <v>239</v>
      </c>
      <c r="G15" s="146" t="s">
        <v>239</v>
      </c>
      <c r="H15" s="142" t="s">
        <v>239</v>
      </c>
      <c r="I15" s="142" t="s">
        <v>239</v>
      </c>
      <c r="J15" s="157" t="s">
        <v>239</v>
      </c>
      <c r="K15" s="147" t="s">
        <v>239</v>
      </c>
      <c r="L15" s="148">
        <v>0</v>
      </c>
      <c r="M15" s="145">
        <v>0</v>
      </c>
      <c r="N15" s="145">
        <v>0</v>
      </c>
    </row>
    <row r="16" spans="1:17" s="139" customFormat="1" x14ac:dyDescent="0.2">
      <c r="A16" s="203" t="s">
        <v>375</v>
      </c>
      <c r="B16" s="204" t="s">
        <v>239</v>
      </c>
      <c r="C16" s="204" t="s">
        <v>239</v>
      </c>
      <c r="D16" s="204" t="s">
        <v>239</v>
      </c>
      <c r="E16" s="204" t="s">
        <v>239</v>
      </c>
      <c r="F16" s="205" t="s">
        <v>239</v>
      </c>
      <c r="G16" s="205" t="s">
        <v>239</v>
      </c>
      <c r="H16" s="204" t="s">
        <v>239</v>
      </c>
      <c r="I16" s="204" t="s">
        <v>239</v>
      </c>
      <c r="J16" s="248" t="s">
        <v>239</v>
      </c>
      <c r="K16" s="207" t="s">
        <v>239</v>
      </c>
      <c r="L16" s="208">
        <v>0</v>
      </c>
      <c r="M16" s="209">
        <v>0</v>
      </c>
      <c r="N16" s="209">
        <v>0</v>
      </c>
    </row>
    <row r="17" spans="1:15" s="139" customFormat="1" x14ac:dyDescent="0.2">
      <c r="A17" s="99" t="s">
        <v>230</v>
      </c>
      <c r="B17" s="99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9" t="s">
        <v>231</v>
      </c>
      <c r="B18" s="99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9" t="s">
        <v>232</v>
      </c>
      <c r="B19" s="99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9" t="s">
        <v>233</v>
      </c>
      <c r="B20" s="99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9" t="s">
        <v>234</v>
      </c>
      <c r="B21" s="99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13.28515625" style="8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1"/>
      <c r="F1" s="81"/>
      <c r="G1" s="81"/>
      <c r="H1" s="81"/>
      <c r="I1" s="81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6"/>
      <c r="D2" s="27"/>
      <c r="E2" s="81"/>
      <c r="F2" s="81"/>
      <c r="G2" s="81"/>
      <c r="H2" s="81"/>
      <c r="I2" s="81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1"/>
      <c r="F3" s="81"/>
      <c r="G3" s="81"/>
      <c r="H3" s="81"/>
      <c r="I3" s="81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1"/>
      <c r="F4" s="81"/>
      <c r="G4" s="81"/>
      <c r="H4" s="81"/>
      <c r="I4" s="81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52" t="s">
        <v>38</v>
      </c>
      <c r="B5" s="253"/>
      <c r="C5" s="253"/>
      <c r="D5" s="253"/>
      <c r="E5" s="253"/>
      <c r="F5" s="253"/>
      <c r="G5" s="253"/>
      <c r="H5" s="253"/>
      <c r="I5" s="254"/>
      <c r="J5" s="28"/>
      <c r="K5" s="28"/>
      <c r="L5" s="28"/>
    </row>
    <row r="6" spans="1:17" s="23" customFormat="1" ht="33" customHeight="1" x14ac:dyDescent="0.2">
      <c r="A6" s="108" t="s">
        <v>157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137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136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5">
        <v>8</v>
      </c>
    </row>
    <row r="9" spans="1:17" s="139" customFormat="1" ht="12.75" customHeight="1" thickBot="1" x14ac:dyDescent="0.25">
      <c r="A9" s="169" t="s">
        <v>73</v>
      </c>
      <c r="B9" s="91"/>
      <c r="C9" s="91" t="s">
        <v>239</v>
      </c>
      <c r="D9" s="180"/>
      <c r="E9" s="170"/>
      <c r="F9" s="172">
        <v>4.0000000000000003E-7</v>
      </c>
      <c r="G9" s="91">
        <v>1</v>
      </c>
      <c r="H9" s="91">
        <v>0</v>
      </c>
      <c r="I9" s="104"/>
    </row>
    <row r="10" spans="1:17" s="139" customFormat="1" x14ac:dyDescent="0.2">
      <c r="A10" s="113" t="s">
        <v>792</v>
      </c>
      <c r="B10" s="142" t="s">
        <v>239</v>
      </c>
      <c r="C10" s="142" t="s">
        <v>239</v>
      </c>
      <c r="D10" s="163"/>
      <c r="E10" s="146" t="s">
        <v>239</v>
      </c>
      <c r="F10" s="143">
        <v>0</v>
      </c>
      <c r="G10" s="142">
        <v>0</v>
      </c>
      <c r="H10" s="142">
        <v>0</v>
      </c>
      <c r="I10" s="142" t="s">
        <v>239</v>
      </c>
    </row>
    <row r="11" spans="1:17" s="139" customFormat="1" x14ac:dyDescent="0.2">
      <c r="A11" s="114" t="s">
        <v>793</v>
      </c>
      <c r="B11" s="142" t="s">
        <v>239</v>
      </c>
      <c r="C11" s="142" t="s">
        <v>239</v>
      </c>
      <c r="D11" s="163"/>
      <c r="E11" s="146" t="s">
        <v>239</v>
      </c>
      <c r="F11" s="143">
        <v>0</v>
      </c>
      <c r="G11" s="142">
        <v>0</v>
      </c>
      <c r="H11" s="142">
        <v>0</v>
      </c>
      <c r="I11" s="142" t="s">
        <v>239</v>
      </c>
    </row>
    <row r="12" spans="1:17" s="139" customFormat="1" x14ac:dyDescent="0.2">
      <c r="A12" s="114" t="s">
        <v>794</v>
      </c>
      <c r="B12" s="142" t="s">
        <v>239</v>
      </c>
      <c r="C12" s="142" t="s">
        <v>239</v>
      </c>
      <c r="D12" s="163"/>
      <c r="E12" s="146" t="s">
        <v>239</v>
      </c>
      <c r="F12" s="143">
        <v>0</v>
      </c>
      <c r="G12" s="142">
        <v>0</v>
      </c>
      <c r="H12" s="142">
        <v>0</v>
      </c>
      <c r="I12" s="142" t="s">
        <v>239</v>
      </c>
    </row>
    <row r="13" spans="1:17" s="139" customFormat="1" x14ac:dyDescent="0.2">
      <c r="A13" s="114" t="s">
        <v>795</v>
      </c>
      <c r="B13" s="142" t="s">
        <v>239</v>
      </c>
      <c r="C13" s="142" t="s">
        <v>239</v>
      </c>
      <c r="D13" s="163"/>
      <c r="E13" s="146" t="s">
        <v>239</v>
      </c>
      <c r="F13" s="143">
        <v>0</v>
      </c>
      <c r="G13" s="142">
        <v>0</v>
      </c>
      <c r="H13" s="142">
        <v>0</v>
      </c>
      <c r="I13" s="142" t="s">
        <v>239</v>
      </c>
    </row>
    <row r="14" spans="1:17" s="139" customFormat="1" x14ac:dyDescent="0.2">
      <c r="A14" s="114" t="s">
        <v>793</v>
      </c>
      <c r="B14" s="142" t="s">
        <v>239</v>
      </c>
      <c r="C14" s="142" t="s">
        <v>239</v>
      </c>
      <c r="D14" s="163"/>
      <c r="E14" s="146" t="s">
        <v>239</v>
      </c>
      <c r="F14" s="143">
        <v>0</v>
      </c>
      <c r="G14" s="142">
        <v>0</v>
      </c>
      <c r="H14" s="142">
        <v>0</v>
      </c>
      <c r="I14" s="142" t="s">
        <v>239</v>
      </c>
    </row>
    <row r="15" spans="1:17" s="139" customFormat="1" x14ac:dyDescent="0.2">
      <c r="A15" s="203" t="s">
        <v>794</v>
      </c>
      <c r="B15" s="204" t="s">
        <v>239</v>
      </c>
      <c r="C15" s="204" t="s">
        <v>239</v>
      </c>
      <c r="D15" s="255"/>
      <c r="E15" s="205" t="s">
        <v>239</v>
      </c>
      <c r="F15" s="251">
        <v>0</v>
      </c>
      <c r="G15" s="204">
        <v>0</v>
      </c>
      <c r="H15" s="204">
        <v>0</v>
      </c>
      <c r="I15" s="204" t="s">
        <v>239</v>
      </c>
    </row>
    <row r="16" spans="1:17" s="139" customFormat="1" x14ac:dyDescent="0.2">
      <c r="A16" s="99" t="s">
        <v>230</v>
      </c>
      <c r="B16" s="149"/>
      <c r="C16" s="99"/>
      <c r="D16" s="166"/>
      <c r="E16" s="150"/>
      <c r="F16" s="150"/>
      <c r="G16" s="150"/>
      <c r="H16" s="150"/>
      <c r="I16" s="150"/>
      <c r="J16" s="167"/>
      <c r="K16" s="154"/>
      <c r="L16" s="168"/>
      <c r="M16" s="168"/>
      <c r="N16" s="168"/>
      <c r="O16" s="154"/>
      <c r="P16" s="154"/>
    </row>
    <row r="17" spans="1:16" s="139" customFormat="1" x14ac:dyDescent="0.2">
      <c r="A17" s="99" t="s">
        <v>231</v>
      </c>
      <c r="B17" s="149"/>
      <c r="C17" s="99"/>
      <c r="D17" s="166"/>
      <c r="E17" s="150"/>
      <c r="F17" s="150"/>
      <c r="G17" s="150"/>
      <c r="H17" s="150"/>
      <c r="I17" s="150"/>
      <c r="J17" s="167"/>
      <c r="K17" s="154"/>
      <c r="L17" s="168"/>
      <c r="M17" s="168"/>
      <c r="N17" s="168"/>
      <c r="O17" s="154"/>
      <c r="P17" s="154"/>
    </row>
    <row r="18" spans="1:16" s="139" customFormat="1" x14ac:dyDescent="0.2">
      <c r="A18" s="99" t="s">
        <v>232</v>
      </c>
      <c r="B18" s="149"/>
      <c r="C18" s="99"/>
      <c r="D18" s="166"/>
      <c r="E18" s="150"/>
      <c r="F18" s="150"/>
      <c r="G18" s="150"/>
      <c r="H18" s="150"/>
      <c r="I18" s="150"/>
      <c r="J18" s="167"/>
      <c r="K18" s="154"/>
      <c r="L18" s="168"/>
      <c r="M18" s="168"/>
      <c r="N18" s="168"/>
      <c r="O18" s="154"/>
      <c r="P18" s="154"/>
    </row>
    <row r="19" spans="1:16" s="139" customFormat="1" x14ac:dyDescent="0.2">
      <c r="A19" s="99" t="s">
        <v>233</v>
      </c>
      <c r="B19" s="149"/>
      <c r="C19" s="99"/>
      <c r="D19" s="166"/>
      <c r="E19" s="150"/>
      <c r="F19" s="150"/>
      <c r="G19" s="150"/>
      <c r="H19" s="150"/>
      <c r="I19" s="150"/>
      <c r="J19" s="167"/>
      <c r="K19" s="154"/>
      <c r="L19" s="168"/>
      <c r="M19" s="168"/>
      <c r="N19" s="168"/>
      <c r="O19" s="154"/>
      <c r="P19" s="154"/>
    </row>
    <row r="20" spans="1:16" s="139" customFormat="1" x14ac:dyDescent="0.2">
      <c r="A20" s="99" t="s">
        <v>234</v>
      </c>
      <c r="B20" s="149"/>
      <c r="C20" s="99"/>
      <c r="D20" s="166"/>
      <c r="E20" s="150"/>
      <c r="F20" s="150"/>
      <c r="G20" s="150"/>
      <c r="H20" s="150"/>
      <c r="I20" s="150"/>
      <c r="J20" s="167"/>
      <c r="K20" s="154"/>
      <c r="L20" s="168"/>
      <c r="M20" s="168"/>
      <c r="N20" s="168"/>
      <c r="O20" s="154"/>
      <c r="P20" s="154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1"/>
      <c r="F1" s="81"/>
      <c r="G1" s="81"/>
      <c r="H1" s="81"/>
      <c r="I1" s="81"/>
      <c r="J1" s="81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81"/>
      <c r="F2" s="81"/>
      <c r="G2" s="81"/>
      <c r="H2" s="81"/>
      <c r="I2" s="81"/>
      <c r="J2" s="81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1"/>
      <c r="F3" s="81"/>
      <c r="G3" s="81"/>
      <c r="H3" s="81"/>
      <c r="I3" s="81"/>
      <c r="J3" s="81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1"/>
      <c r="F4" s="81"/>
      <c r="G4" s="81"/>
      <c r="H4" s="81"/>
      <c r="I4" s="81"/>
      <c r="J4" s="81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08" t="s">
        <v>157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136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5">
        <v>9</v>
      </c>
    </row>
    <row r="9" spans="1:18" s="139" customFormat="1" ht="12.75" customHeight="1" thickBot="1" x14ac:dyDescent="0.25">
      <c r="A9" s="123" t="s">
        <v>124</v>
      </c>
      <c r="B9" s="91"/>
      <c r="C9" s="91"/>
      <c r="D9" s="180"/>
      <c r="E9" s="170"/>
      <c r="F9" s="131"/>
      <c r="G9" s="131"/>
      <c r="H9" s="172">
        <v>2.0000000000000002E-7</v>
      </c>
      <c r="I9" s="91">
        <v>1</v>
      </c>
      <c r="J9" s="103">
        <v>2.8086082626265452E-12</v>
      </c>
    </row>
    <row r="10" spans="1:18" s="139" customFormat="1" x14ac:dyDescent="0.2">
      <c r="A10" s="113" t="s">
        <v>138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56" t="s">
        <v>239</v>
      </c>
      <c r="G10" s="181" t="s">
        <v>239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56" t="s">
        <v>363</v>
      </c>
      <c r="B11" s="204" t="s">
        <v>239</v>
      </c>
      <c r="C11" s="204" t="s">
        <v>239</v>
      </c>
      <c r="D11" s="204" t="s">
        <v>239</v>
      </c>
      <c r="E11" s="204" t="s">
        <v>239</v>
      </c>
      <c r="F11" s="257" t="s">
        <v>239</v>
      </c>
      <c r="G11" s="258" t="s">
        <v>239</v>
      </c>
      <c r="H11" s="251">
        <v>0</v>
      </c>
      <c r="I11" s="204">
        <v>0</v>
      </c>
      <c r="J11" s="204">
        <v>0</v>
      </c>
    </row>
    <row r="12" spans="1:18" s="139" customFormat="1" x14ac:dyDescent="0.2">
      <c r="A12" s="99" t="s">
        <v>230</v>
      </c>
      <c r="B12" s="149"/>
      <c r="C12" s="99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9" t="s">
        <v>231</v>
      </c>
      <c r="B13" s="149"/>
      <c r="C13" s="99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9" t="s">
        <v>232</v>
      </c>
      <c r="B14" s="149"/>
      <c r="C14" s="99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9" t="s">
        <v>233</v>
      </c>
      <c r="B15" s="149"/>
      <c r="C15" s="99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9" t="s">
        <v>234</v>
      </c>
      <c r="B16" s="149"/>
      <c r="C16" s="99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151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08" t="s">
        <v>157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136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39" customFormat="1" ht="12.75" customHeight="1" thickBot="1" x14ac:dyDescent="0.25">
      <c r="A9" s="93" t="s">
        <v>125</v>
      </c>
      <c r="B9" s="140"/>
      <c r="C9" s="140"/>
      <c r="D9" s="140" t="s">
        <v>239</v>
      </c>
      <c r="E9" s="140" t="s">
        <v>239</v>
      </c>
      <c r="F9" s="140" t="s">
        <v>239</v>
      </c>
      <c r="G9" s="140" t="s">
        <v>239</v>
      </c>
      <c r="H9" s="116">
        <v>-38.9734798</v>
      </c>
      <c r="I9" s="98">
        <v>1</v>
      </c>
      <c r="J9" s="80">
        <v>-5.4730618694794368E-4</v>
      </c>
    </row>
    <row r="10" spans="1:20" s="139" customFormat="1" x14ac:dyDescent="0.2">
      <c r="A10" s="113" t="s">
        <v>138</v>
      </c>
      <c r="B10" s="142" t="s">
        <v>239</v>
      </c>
      <c r="C10" s="142" t="s">
        <v>239</v>
      </c>
      <c r="D10" s="142" t="s">
        <v>239</v>
      </c>
      <c r="E10" s="142" t="s">
        <v>239</v>
      </c>
      <c r="F10" s="146" t="s">
        <v>239</v>
      </c>
      <c r="G10" s="142" t="s">
        <v>239</v>
      </c>
      <c r="H10" s="143">
        <v>-38.973479900000008</v>
      </c>
      <c r="I10" s="142">
        <v>1.0000000025658475</v>
      </c>
      <c r="J10" s="142">
        <v>-5.4730618835224798E-4</v>
      </c>
    </row>
    <row r="11" spans="1:20" x14ac:dyDescent="0.2">
      <c r="A11" s="33" t="s">
        <v>796</v>
      </c>
      <c r="B11" s="50" t="s">
        <v>797</v>
      </c>
      <c r="C11" s="50" t="s">
        <v>424</v>
      </c>
      <c r="D11" s="50" t="s">
        <v>239</v>
      </c>
      <c r="E11" s="41">
        <v>0</v>
      </c>
      <c r="F11" s="89" t="s">
        <v>245</v>
      </c>
      <c r="G11" s="41">
        <v>0</v>
      </c>
      <c r="H11" s="107">
        <v>-38.973480000000002</v>
      </c>
      <c r="I11" s="97">
        <v>1.0000000051316948</v>
      </c>
      <c r="J11" s="50">
        <v>-5.4730618975655195E-4</v>
      </c>
      <c r="K11" s="31"/>
      <c r="L11" s="31"/>
      <c r="M11" s="31"/>
      <c r="N11" s="31"/>
      <c r="O11" s="31"/>
      <c r="P11" s="31"/>
    </row>
    <row r="12" spans="1:20" s="139" customFormat="1" x14ac:dyDescent="0.2">
      <c r="A12" s="203" t="s">
        <v>363</v>
      </c>
      <c r="B12" s="204" t="s">
        <v>239</v>
      </c>
      <c r="C12" s="204" t="s">
        <v>239</v>
      </c>
      <c r="D12" s="204" t="s">
        <v>239</v>
      </c>
      <c r="E12" s="209" t="s">
        <v>239</v>
      </c>
      <c r="F12" s="257" t="s">
        <v>239</v>
      </c>
      <c r="G12" s="209" t="s">
        <v>239</v>
      </c>
      <c r="H12" s="251">
        <v>0</v>
      </c>
      <c r="I12" s="204">
        <v>0</v>
      </c>
      <c r="J12" s="204">
        <v>0</v>
      </c>
    </row>
    <row r="13" spans="1:20" s="139" customFormat="1" x14ac:dyDescent="0.2">
      <c r="A13" s="99" t="s">
        <v>230</v>
      </c>
      <c r="B13" s="99"/>
      <c r="C13" s="149"/>
      <c r="D13" s="99"/>
      <c r="E13" s="166"/>
      <c r="F13" s="166"/>
      <c r="G13" s="166"/>
      <c r="H13" s="166"/>
      <c r="I13" s="166"/>
      <c r="J13" s="151"/>
      <c r="K13" s="154"/>
      <c r="L13" s="168"/>
      <c r="M13" s="168"/>
      <c r="N13" s="168"/>
      <c r="O13" s="154"/>
      <c r="P13" s="154"/>
    </row>
    <row r="14" spans="1:20" s="139" customFormat="1" x14ac:dyDescent="0.2">
      <c r="A14" s="99" t="s">
        <v>231</v>
      </c>
      <c r="B14" s="99"/>
      <c r="C14" s="149"/>
      <c r="D14" s="99"/>
      <c r="E14" s="166"/>
      <c r="F14" s="166"/>
      <c r="G14" s="166"/>
      <c r="H14" s="166"/>
      <c r="I14" s="166"/>
      <c r="J14" s="151"/>
      <c r="K14" s="154"/>
      <c r="L14" s="168"/>
      <c r="M14" s="168"/>
      <c r="N14" s="168"/>
      <c r="O14" s="154"/>
      <c r="P14" s="154"/>
    </row>
    <row r="15" spans="1:20" s="139" customFormat="1" x14ac:dyDescent="0.2">
      <c r="A15" s="99" t="s">
        <v>232</v>
      </c>
      <c r="B15" s="99"/>
      <c r="C15" s="149"/>
      <c r="D15" s="99"/>
      <c r="E15" s="166"/>
      <c r="F15" s="166"/>
      <c r="G15" s="166"/>
      <c r="H15" s="166"/>
      <c r="I15" s="166"/>
      <c r="J15" s="151"/>
      <c r="K15" s="154"/>
      <c r="L15" s="168"/>
      <c r="M15" s="168"/>
      <c r="N15" s="168"/>
      <c r="O15" s="154"/>
      <c r="P15" s="154"/>
    </row>
    <row r="16" spans="1:20" s="139" customFormat="1" x14ac:dyDescent="0.2">
      <c r="A16" s="99" t="s">
        <v>233</v>
      </c>
      <c r="B16" s="99"/>
      <c r="C16" s="149"/>
      <c r="D16" s="99"/>
      <c r="E16" s="166"/>
      <c r="F16" s="166"/>
      <c r="G16" s="166"/>
      <c r="H16" s="166"/>
      <c r="I16" s="166"/>
      <c r="J16" s="151"/>
      <c r="K16" s="154"/>
      <c r="L16" s="168"/>
      <c r="M16" s="168"/>
      <c r="N16" s="168"/>
      <c r="O16" s="154"/>
      <c r="P16" s="154"/>
    </row>
    <row r="17" spans="1:16" s="139" customFormat="1" x14ac:dyDescent="0.2">
      <c r="A17" s="99" t="s">
        <v>234</v>
      </c>
      <c r="B17" s="99"/>
      <c r="C17" s="149"/>
      <c r="D17" s="99"/>
      <c r="E17" s="166"/>
      <c r="F17" s="166"/>
      <c r="G17" s="166"/>
      <c r="H17" s="166"/>
      <c r="I17" s="166"/>
      <c r="J17" s="151"/>
      <c r="K17" s="154"/>
      <c r="L17" s="168"/>
      <c r="M17" s="168"/>
      <c r="N17" s="168"/>
      <c r="O17" s="154"/>
      <c r="P17" s="154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8" t="s">
        <v>157</v>
      </c>
      <c r="B6" s="109" t="s">
        <v>63</v>
      </c>
      <c r="C6" s="118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6" customFormat="1" x14ac:dyDescent="0.2">
      <c r="A8" s="182"/>
      <c r="B8" s="183">
        <v>1</v>
      </c>
      <c r="C8" s="184">
        <v>2</v>
      </c>
    </row>
    <row r="9" spans="1:3" s="136" customFormat="1" ht="13.5" thickBot="1" x14ac:dyDescent="0.25">
      <c r="A9" s="93" t="s">
        <v>814</v>
      </c>
      <c r="B9" s="185">
        <v>2.0000000000000002E-7</v>
      </c>
      <c r="C9" s="138" t="s">
        <v>239</v>
      </c>
    </row>
    <row r="10" spans="1:3" s="136" customFormat="1" x14ac:dyDescent="0.2">
      <c r="A10" s="137" t="s">
        <v>138</v>
      </c>
      <c r="B10" s="186">
        <v>1.0000000000000001E-7</v>
      </c>
      <c r="C10" s="187" t="s">
        <v>239</v>
      </c>
    </row>
    <row r="11" spans="1:3" s="136" customFormat="1" x14ac:dyDescent="0.2">
      <c r="A11" s="259" t="s">
        <v>363</v>
      </c>
      <c r="B11" s="260">
        <v>1.0000000000000001E-7</v>
      </c>
      <c r="C11" s="261" t="s">
        <v>239</v>
      </c>
    </row>
    <row r="12" spans="1:3" x14ac:dyDescent="0.2">
      <c r="A12" t="s">
        <v>813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2" t="s">
        <v>99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0" t="s">
        <v>117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38"/>
      <c r="B19" s="262"/>
      <c r="C19" s="262"/>
      <c r="D19" s="262"/>
      <c r="E19" s="262"/>
      <c r="F19" s="262"/>
      <c r="G19" s="262"/>
      <c r="H19" s="241"/>
      <c r="I19" s="263"/>
      <c r="J19" s="264"/>
      <c r="K19" s="265"/>
      <c r="L19" s="264"/>
      <c r="M19" s="266"/>
      <c r="N19" s="267"/>
      <c r="O19" s="242"/>
      <c r="P19" s="31"/>
      <c r="Q19" s="31"/>
      <c r="R19" s="31"/>
      <c r="S19" s="31"/>
      <c r="T19" s="31"/>
      <c r="U19" s="31"/>
    </row>
    <row r="20" spans="1:21" x14ac:dyDescent="0.2">
      <c r="A20" s="133" t="s">
        <v>146</v>
      </c>
      <c r="O20" s="55"/>
      <c r="Q20" s="35"/>
      <c r="R20" s="35"/>
      <c r="S20" s="35"/>
    </row>
    <row r="21" spans="1:21" x14ac:dyDescent="0.2">
      <c r="A21" s="133" t="s">
        <v>147</v>
      </c>
      <c r="O21" s="55"/>
      <c r="Q21" s="35"/>
      <c r="R21" s="35"/>
      <c r="S21" s="35"/>
    </row>
    <row r="22" spans="1:21" x14ac:dyDescent="0.2">
      <c r="A22" s="133" t="s">
        <v>148</v>
      </c>
      <c r="O22" s="55"/>
      <c r="Q22" s="35"/>
      <c r="R22" s="35"/>
      <c r="S22" s="35"/>
    </row>
    <row r="23" spans="1:21" x14ac:dyDescent="0.2">
      <c r="A23" s="133" t="s">
        <v>149</v>
      </c>
      <c r="O23" s="55"/>
      <c r="Q23" s="35"/>
      <c r="R23" s="35"/>
      <c r="S23" s="35"/>
    </row>
    <row r="24" spans="1:21" x14ac:dyDescent="0.2">
      <c r="A24" s="133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2" t="s">
        <v>118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0" t="s">
        <v>120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238"/>
      <c r="B18" s="262"/>
      <c r="C18" s="262"/>
      <c r="D18" s="262"/>
      <c r="E18" s="262"/>
      <c r="F18" s="262"/>
      <c r="G18" s="262"/>
      <c r="H18" s="241"/>
      <c r="I18" s="263"/>
      <c r="J18" s="264"/>
      <c r="K18" s="265"/>
      <c r="L18" s="264"/>
      <c r="M18" s="266"/>
      <c r="N18" s="267"/>
      <c r="O18" s="242"/>
      <c r="P18" s="31"/>
      <c r="Q18" s="31"/>
      <c r="R18" s="31"/>
      <c r="S18" s="31"/>
      <c r="T18" s="31"/>
      <c r="U18" s="31"/>
    </row>
    <row r="19" spans="1:21" x14ac:dyDescent="0.2">
      <c r="A19" s="133" t="s">
        <v>146</v>
      </c>
      <c r="O19" s="55"/>
      <c r="Q19" s="35"/>
      <c r="R19" s="35"/>
      <c r="S19" s="35"/>
    </row>
    <row r="20" spans="1:21" x14ac:dyDescent="0.2">
      <c r="A20" s="133" t="s">
        <v>147</v>
      </c>
      <c r="O20" s="55"/>
      <c r="Q20" s="35"/>
      <c r="R20" s="35"/>
      <c r="S20" s="35"/>
    </row>
    <row r="21" spans="1:21" x14ac:dyDescent="0.2">
      <c r="A21" s="133" t="s">
        <v>148</v>
      </c>
      <c r="O21" s="55"/>
      <c r="Q21" s="35"/>
      <c r="R21" s="35"/>
      <c r="S21" s="35"/>
    </row>
    <row r="22" spans="1:21" x14ac:dyDescent="0.2">
      <c r="A22" s="133" t="s">
        <v>149</v>
      </c>
      <c r="O22" s="55"/>
      <c r="Q22" s="35"/>
      <c r="R22" s="35"/>
      <c r="S22" s="35"/>
    </row>
    <row r="23" spans="1:21" x14ac:dyDescent="0.2">
      <c r="A23" s="133" t="s">
        <v>150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2" t="s">
        <v>119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138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139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140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141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142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143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144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145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38"/>
      <c r="B19" s="262"/>
      <c r="C19" s="262"/>
      <c r="D19" s="262"/>
      <c r="E19" s="262"/>
      <c r="F19" s="262"/>
      <c r="G19" s="262"/>
      <c r="H19" s="241"/>
      <c r="I19" s="263"/>
      <c r="J19" s="264"/>
      <c r="K19" s="265"/>
      <c r="L19" s="264"/>
      <c r="M19" s="266"/>
      <c r="N19" s="267"/>
      <c r="O19" s="242"/>
      <c r="P19" s="31"/>
      <c r="Q19" s="31"/>
      <c r="R19" s="31"/>
      <c r="S19" s="31"/>
      <c r="T19" s="31"/>
      <c r="U19" s="31"/>
    </row>
    <row r="20" spans="1:21" x14ac:dyDescent="0.2">
      <c r="A20" s="133" t="s">
        <v>146</v>
      </c>
      <c r="O20" s="55"/>
      <c r="Q20" s="35"/>
      <c r="R20" s="35"/>
      <c r="S20" s="35"/>
    </row>
    <row r="21" spans="1:21" x14ac:dyDescent="0.2">
      <c r="A21" s="133" t="s">
        <v>147</v>
      </c>
      <c r="O21" s="55"/>
      <c r="Q21" s="35"/>
      <c r="R21" s="35"/>
      <c r="S21" s="35"/>
    </row>
    <row r="22" spans="1:21" x14ac:dyDescent="0.2">
      <c r="A22" s="133" t="s">
        <v>148</v>
      </c>
      <c r="O22" s="55"/>
      <c r="Q22" s="35"/>
      <c r="R22" s="35"/>
      <c r="S22" s="35"/>
    </row>
    <row r="23" spans="1:21" x14ac:dyDescent="0.2">
      <c r="A23" s="133" t="s">
        <v>149</v>
      </c>
      <c r="O23" s="55"/>
      <c r="Q23" s="35"/>
      <c r="R23" s="35"/>
      <c r="S23" s="35"/>
    </row>
    <row r="24" spans="1:21" x14ac:dyDescent="0.2">
      <c r="A24" s="133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2023-06-07T07:18:15Z</dcterms:created>
  <dcterms:modified xsi:type="dcterms:W3CDTF">2023-06-07T07:18:15Z</dcterms:modified>
  <cp:category/>
</cp:coreProperties>
</file>