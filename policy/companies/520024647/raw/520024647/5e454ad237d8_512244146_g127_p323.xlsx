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0BDF5680-4E57-4BA4-9185-118C4B6A678D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קונצרני'!$A$4:$T$26</definedName>
    <definedName name="_xlnm.Print_Area" localSheetId="9">אופציות!$A$4:$K$26</definedName>
    <definedName name="_xlnm.Print_Area" localSheetId="21">הלוואות!$A$4:$Q$64</definedName>
    <definedName name="_xlnm.Print_Area" localSheetId="25">'השקעות אחרות'!$A$4:$J$16</definedName>
    <definedName name="_xlnm.Print_Area" localSheetId="23">'זכויות מקרקעין'!$A$4:$H$14</definedName>
    <definedName name="_xlnm.Print_Area" localSheetId="10">'חוזים עתידיים'!$A$4:$G$21</definedName>
    <definedName name="_xlnm.Print_Area" localSheetId="26">'יתרת התחייבות להשקעה'!$A$1:$B$25</definedName>
    <definedName name="_xlnm.Print_Area" localSheetId="8">'כתבי אופציה'!$A$4:$K$30</definedName>
    <definedName name="_xlnm.Print_Area" localSheetId="12">'לא סחיר- תעודות התחייבות ממשלתי'!$A$4:$O$18</definedName>
    <definedName name="_xlnm.Print_Area" localSheetId="14">'לא סחיר - אג"ח קונצרני'!$A$4:$R$20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אופציה'!$A$4:$K$19</definedName>
    <definedName name="_xlnm.Print_Area" localSheetId="20">'לא סחיר - מוצרים מובנים'!$A$4:$P$25</definedName>
    <definedName name="_xlnm.Print_Area" localSheetId="15">'לא סחיר - מניות'!$A$4:$L$45</definedName>
    <definedName name="_xlnm.Print_Area" localSheetId="16">'לא סחיר - קרנות השקעה'!$A$4:$J$45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מזומנים!$A$4:$K$116</definedName>
    <definedName name="_xlnm.Print_Area" localSheetId="5">מניות!$A$4:$N$274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נאמנות'!$A$4:$N$33</definedName>
    <definedName name="_xlnm.Print_Area" localSheetId="6">'קרנות סל'!$A$4:$M$79</definedName>
    <definedName name="_xlnm.Print_Area" localSheetId="2">'תעודות התחייבות ממשלתיות'!$A$4:$Q$20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<sst xmlns="http://schemas.openxmlformats.org/spreadsheetml/2006/main" count="7992" uniqueCount="2088">
  <si>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</si>
  <si>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</si>
  <si>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</si>
  <si>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</si>
  <si>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</si>
  <si>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</si>
  <si>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</si>
  <si>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</si>
  <si>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</si>
  <si>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</si>
  <si>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</si>
  <si>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</si>
  <si>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</si>
  <si>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</si>
  <si>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</si>
  <si>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</si>
  <si>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</si>
  <si>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</si>
  <si>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</si>
  <si>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</si>
  <si>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</si>
  <si>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</si>
  <si>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</si>
  <si>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</si>
  <si>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</si>
  <si>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</si>
  <si>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</si>
  <si>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</si>
  <si>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</si>
  <si>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</si>
  <si>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</si>
  <si>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</si>
  <si>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</si>
  <si>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</si>
  <si>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</si>
  <si>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</si>
  <si>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</si>
  <si>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</si>
  <si>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</si>
  <si>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</si>
  <si>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</si>
  <si>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</si>
  <si>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</si>
  <si>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</si>
  <si>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</si>
  <si>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</si>
  <si>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</si>
  <si>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</si>
  <si>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</si>
  <si>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</si>
  <si>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</si>
  <si>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</si>
  <si>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</si>
  <si>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</si>
  <si>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</si>
  <si>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</si>
  <si>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</si>
  <si>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</si>
  <si>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</si>
  <si>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</si>
  <si>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</si>
  <si>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</si>
  <si>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</si>
  <si>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</si>
  <si>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</si>
  <si>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</si>
  <si>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</si>
  <si>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</si>
  <si>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</si>
  <si>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</si>
  <si>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</si>
  <si>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</si>
  <si>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</si>
  <si>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</si>
  <si>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</si>
  <si>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</si>
  <si>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</si>
  <si>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</si>
  <si>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</si>
  <si>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</si>
  <si>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</si>
  <si>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</si>
  <si>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</si>
  <si>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</si>
  <si>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</si>
  <si>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</si>
  <si>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</si>
  <si>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</si>
  <si>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</si>
  <si>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</si>
  <si>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</si>
  <si>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</si>
  <si>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</si>
  <si>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</si>
  <si>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</si>
  <si>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</si>
  <si>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</si>
  <si>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</si>
  <si>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</si>
  <si>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</si>
  <si>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</si>
  <si>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</si>
  <si>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</si>
  <si>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</si>
  <si>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</si>
  <si>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</si>
  <si>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</si>
  <si>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</si>
  <si>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</si>
  <si>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</si>
  <si>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</si>
  <si>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</si>
  <si>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</si>
  <si>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</si>
  <si>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</si>
  <si>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</si>
  <si>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</si>
  <si>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</si>
  <si>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</si>
  <si>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</si>
  <si>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</si>
  <si>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</si>
  <si>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</si>
  <si>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</si>
  <si>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</si>
  <si>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</si>
  <si>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</si>
  <si>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</si>
  <si>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</si>
  <si>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</si>
  <si>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</si>
  <si>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</si>
  <si>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</si>
  <si>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</si>
  <si>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</si>
  <si>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</si>
  <si>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</si>
  <si>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</si>
  <si>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</si>
  <si>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</si>
  <si>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</si>
  <si>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</si>
  <si>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</si>
  <si>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</si>
  <si>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</si>
  <si>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</si>
  <si>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</si>
  <si>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</si>
  <si>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</si>
  <si>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</si>
  <si>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</si>
  <si>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</si>
  <si>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</si>
  <si>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</si>
  <si>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</si>
  <si>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</si>
  <si>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</si>
  <si>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</si>
  <si>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</si>
  <si>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</si>
  <si>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</si>
  <si>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</si>
  <si>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</si>
  <si>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</si>
  <si>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</si>
  <si>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</si>
  <si>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</si>
  <si>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</si>
  <si>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</si>
  <si>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</si>
  <si>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</si>
  <si>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</si>
  <si>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</si>
  <si>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</si>
  <si>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</si>
  <si>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</si>
  <si>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</si>
  <si>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</si>
  <si>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</si>
  <si>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</si>
  <si>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</si>
  <si>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</si>
  <si>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</si>
  <si>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</si>
  <si>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</si>
  <si>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</si>
  <si>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</si>
  <si>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</si>
  <si>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</si>
  <si>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</si>
  <si>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</si>
  <si>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</si>
  <si>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</si>
  <si>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</si>
  <si>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</si>
  <si>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</si>
  <si>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</si>
  <si>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</si>
  <si>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</si>
  <si>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</si>
  <si>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</si>
  <si>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</si>
  <si>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</si>
  <si>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</si>
  <si>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</si>
  <si>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</si>
  <si>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</si>
  <si>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</si>
  <si>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</si>
  <si>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</si>
  <si>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</si>
  <si>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</si>
  <si>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</si>
  <si>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</si>
  <si>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</si>
  <si>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</si>
  <si>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</si>
  <si>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</si>
  <si>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</si>
  <si>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</si>
  <si>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</si>
  <si>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</si>
  <si>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</si>
  <si>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</si>
  <si>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</si>
  <si>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</si>
  <si>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</si>
  <si>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</si>
  <si>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</si>
  <si>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</si>
  <si>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</si>
  <si>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</si>
  <si>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</si>
  <si>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</si>
  <si>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</si>
  <si>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</si>
  <si>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</si>
  <si>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</si>
  <si>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</si>
  <si>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</si>
  <si>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</si>
  <si>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</si>
  <si>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</si>
  <si>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</si>
  <si>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</si>
  <si>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</si>
  <si>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</si>
  <si>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127</t>
  </si>
  <si>
    <t xml:space="preserve">סה"כ בישראל: </t>
  </si>
  <si>
    <t/>
  </si>
  <si>
    <t xml:space="preserve">יתרות מזומנים ועו"ש בש"ח </t>
  </si>
  <si>
    <t>30005540</t>
  </si>
  <si>
    <t>11</t>
  </si>
  <si>
    <t>ilAAA</t>
  </si>
  <si>
    <t>S&amp;P מעלות</t>
  </si>
  <si>
    <t>שקל חדש</t>
  </si>
  <si>
    <t>30008340</t>
  </si>
  <si>
    <t>12</t>
  </si>
  <si>
    <t>30010020</t>
  </si>
  <si>
    <t>31</t>
  </si>
  <si>
    <t>30019940</t>
  </si>
  <si>
    <t>20</t>
  </si>
  <si>
    <t>30024160</t>
  </si>
  <si>
    <t>10</t>
  </si>
  <si>
    <t>26296034</t>
  </si>
  <si>
    <t>30043220</t>
  </si>
  <si>
    <t>22</t>
  </si>
  <si>
    <t>A3</t>
  </si>
  <si>
    <t>Moodys</t>
  </si>
  <si>
    <t>29573527</t>
  </si>
  <si>
    <t>30091650</t>
  </si>
  <si>
    <t>30099230</t>
  </si>
  <si>
    <t>30022260</t>
  </si>
  <si>
    <t>30029290</t>
  </si>
  <si>
    <t>27295742</t>
  </si>
  <si>
    <t>30019370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</si>
  <si>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</si>
  <si>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</si>
  <si>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</si>
  <si>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</si>
  <si>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</si>
  <si>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</si>
  <si>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</si>
  <si>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</si>
  <si>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</si>
  <si>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</si>
  <si>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30030380</t>
  </si>
  <si>
    <t>17</t>
  </si>
  <si>
    <t>30046730</t>
  </si>
  <si>
    <t>30044210</t>
  </si>
  <si>
    <t>30049340</t>
  </si>
  <si>
    <t>26</t>
  </si>
  <si>
    <t>27718300</t>
  </si>
  <si>
    <t xml:space="preserve">יתרות מזומנים ועו"ש נקובים במט"ח </t>
  </si>
  <si>
    <t>30005560</t>
  </si>
  <si>
    <t>30008360</t>
  </si>
  <si>
    <t>30009420</t>
  </si>
  <si>
    <t>30010100</t>
  </si>
  <si>
    <t>30024180</t>
  </si>
  <si>
    <t>30043230</t>
  </si>
  <si>
    <t>30091690</t>
  </si>
  <si>
    <t>30029330</t>
  </si>
  <si>
    <t>30043240</t>
  </si>
  <si>
    <t>30044230</t>
  </si>
  <si>
    <t>30046750</t>
  </si>
  <si>
    <t>30091710</t>
  </si>
  <si>
    <t>30024220</t>
  </si>
  <si>
    <t>30029350</t>
  </si>
  <si>
    <t>30023590</t>
  </si>
  <si>
    <t>30053260</t>
  </si>
  <si>
    <t>51722880</t>
  </si>
  <si>
    <t>30020360</t>
  </si>
  <si>
    <t>30091670</t>
  </si>
  <si>
    <t>30099250</t>
  </si>
  <si>
    <t>30029310</t>
  </si>
  <si>
    <t>29295735</t>
  </si>
  <si>
    <t>29295742</t>
  </si>
  <si>
    <t>29401409</t>
  </si>
  <si>
    <t>30019390</t>
  </si>
  <si>
    <t>30023510</t>
  </si>
  <si>
    <t>30030300</t>
  </si>
  <si>
    <t>30022360</t>
  </si>
  <si>
    <t>30044220</t>
  </si>
  <si>
    <t>30046740</t>
  </si>
  <si>
    <t>30049360</t>
  </si>
  <si>
    <t>265016370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</si>
  <si>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</si>
  <si>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</si>
  <si>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</si>
  <si>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</si>
  <si>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</si>
  <si>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</si>
  <si>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</si>
  <si>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</si>
  <si>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</si>
  <si>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</si>
  <si>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</si>
  <si>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</si>
  <si>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</si>
  <si>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</si>
  <si>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</si>
  <si>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 xml:space="preserve">פקדונות במט"ח עד שלושה חודשים </t>
  </si>
  <si>
    <t>30022080</t>
  </si>
  <si>
    <t>30023610</t>
  </si>
  <si>
    <t>30041370</t>
  </si>
  <si>
    <t>30046860</t>
  </si>
  <si>
    <t>30047910</t>
  </si>
  <si>
    <t xml:space="preserve">סה"כ בחו"ל: </t>
  </si>
  <si>
    <t>26696586</t>
  </si>
  <si>
    <t>98</t>
  </si>
  <si>
    <t>AA</t>
  </si>
  <si>
    <t>S&amp;P</t>
  </si>
  <si>
    <t>30096450</t>
  </si>
  <si>
    <t>88</t>
  </si>
  <si>
    <t>A1</t>
  </si>
  <si>
    <t>30180992</t>
  </si>
  <si>
    <t>26857051</t>
  </si>
  <si>
    <t>30028900</t>
  </si>
  <si>
    <t>30096470</t>
  </si>
  <si>
    <t>24857051</t>
  </si>
  <si>
    <t>23857051</t>
  </si>
  <si>
    <t>יין יפני</t>
  </si>
  <si>
    <t>30096430</t>
  </si>
  <si>
    <t>30180993</t>
  </si>
  <si>
    <t>29702320</t>
  </si>
  <si>
    <t>29857051</t>
  </si>
  <si>
    <t>261847774</t>
  </si>
  <si>
    <t>99</t>
  </si>
  <si>
    <t>A2</t>
  </si>
  <si>
    <t>271011548</t>
  </si>
  <si>
    <t>26003516</t>
  </si>
  <si>
    <t>30040310</t>
  </si>
  <si>
    <t>30014150</t>
  </si>
  <si>
    <t>30040860</t>
  </si>
  <si>
    <t>30045500</t>
  </si>
  <si>
    <t>30045580</t>
  </si>
  <si>
    <t>30048050</t>
  </si>
  <si>
    <t>30058680</t>
  </si>
  <si>
    <t>97</t>
  </si>
  <si>
    <t>30099730</t>
  </si>
  <si>
    <t>30044700</t>
  </si>
  <si>
    <t>30099750</t>
  </si>
  <si>
    <t>30099810</t>
  </si>
  <si>
    <t>סה"כ צמודות למדד</t>
  </si>
  <si>
    <t>מלווה קצר מועד (מק"מ)</t>
  </si>
  <si>
    <t>מקמ 214</t>
  </si>
  <si>
    <t>8240210</t>
  </si>
  <si>
    <t>TASE</t>
  </si>
  <si>
    <t>RF</t>
  </si>
  <si>
    <t>09/02/2023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</si>
  <si>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</si>
  <si>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</si>
  <si>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</si>
  <si>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</si>
  <si>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</si>
  <si>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</si>
  <si>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</si>
  <si>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</si>
  <si>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פטרוכימים אגח י</t>
  </si>
  <si>
    <t>1190297</t>
  </si>
  <si>
    <t>520029315</t>
  </si>
  <si>
    <t>NR</t>
  </si>
  <si>
    <t>24/10/2022</t>
  </si>
  <si>
    <t>איסתא אגח א</t>
  </si>
  <si>
    <t>איסתא</t>
  </si>
  <si>
    <t>1197128</t>
  </si>
  <si>
    <t>520042763</t>
  </si>
  <si>
    <t>25/06/2023</t>
  </si>
  <si>
    <t>אנרגיקס אגח ב</t>
  </si>
  <si>
    <t>1168483</t>
  </si>
  <si>
    <t>513901371</t>
  </si>
  <si>
    <t>ilA</t>
  </si>
  <si>
    <t>07/09/2020</t>
  </si>
  <si>
    <t>סה"כ צמודות למדד אחר</t>
  </si>
  <si>
    <t>WIX 0 08/15/25</t>
  </si>
  <si>
    <t>US92940WAD11</t>
  </si>
  <si>
    <t>Bloomberg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</si>
  <si>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</si>
  <si>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</si>
  <si>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</si>
  <si>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</si>
  <si>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</si>
  <si>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</si>
  <si>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</si>
  <si>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</si>
  <si>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</si>
  <si>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</si>
  <si>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</si>
  <si>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</si>
  <si>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</si>
  <si>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</si>
  <si>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</si>
  <si>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CNK 4.5 08/15/25</t>
  </si>
  <si>
    <t>US17243VAB80</t>
  </si>
  <si>
    <t>23/08/2021</t>
  </si>
  <si>
    <t>סה"כ תל אביב 35</t>
  </si>
  <si>
    <t>בזק</t>
  </si>
  <si>
    <t>230011</t>
  </si>
  <si>
    <t>520031931</t>
  </si>
  <si>
    <t>273011</t>
  </si>
  <si>
    <t>איי.סי.אל</t>
  </si>
  <si>
    <t>281014</t>
  </si>
  <si>
    <t>520027830</t>
  </si>
  <si>
    <t>629014</t>
  </si>
  <si>
    <t>520013954</t>
  </si>
  <si>
    <t>691212</t>
  </si>
  <si>
    <t>520007030</t>
  </si>
  <si>
    <t>746016</t>
  </si>
  <si>
    <t>520003781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</si>
  <si>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</si>
  <si>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</si>
  <si>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</si>
  <si>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</si>
  <si>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</si>
  <si>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</si>
  <si>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</si>
  <si>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</si>
  <si>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</si>
  <si>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</si>
  <si>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</si>
  <si>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עזריאלי קבוצה</t>
  </si>
  <si>
    <t>1119478</t>
  </si>
  <si>
    <t>510960719</t>
  </si>
  <si>
    <t>593038</t>
  </si>
  <si>
    <t>520029083</t>
  </si>
  <si>
    <t>מליסרון</t>
  </si>
  <si>
    <t>323014</t>
  </si>
  <si>
    <t>520037789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</si>
  <si>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</si>
  <si>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</si>
  <si>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</si>
  <si>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</si>
  <si>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</si>
  <si>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</si>
  <si>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</si>
  <si>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</si>
  <si>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511659401</t>
  </si>
  <si>
    <t>אלוני חץ</t>
  </si>
  <si>
    <t>390013</t>
  </si>
  <si>
    <t>520038506</t>
  </si>
  <si>
    <t>אמות</t>
  </si>
  <si>
    <t>1097278</t>
  </si>
  <si>
    <t>520026683</t>
  </si>
  <si>
    <t>767012</t>
  </si>
  <si>
    <t>520017450</t>
  </si>
  <si>
    <t>שפיר הנדסה</t>
  </si>
  <si>
    <t>1133875</t>
  </si>
  <si>
    <t>514892801</t>
  </si>
  <si>
    <t>שיכון ובינוי</t>
  </si>
  <si>
    <t>1081942</t>
  </si>
  <si>
    <t>520036104</t>
  </si>
  <si>
    <t>אמות חסום</t>
  </si>
  <si>
    <t>10972780</t>
  </si>
  <si>
    <t>226019</t>
  </si>
  <si>
    <t>520024126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</si>
  <si>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</si>
  <si>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</si>
  <si>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</si>
  <si>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</si>
  <si>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</si>
  <si>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</si>
  <si>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</si>
  <si>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</si>
  <si>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</si>
  <si>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510381601</t>
  </si>
  <si>
    <t>1141571</t>
  </si>
  <si>
    <t>514401702</t>
  </si>
  <si>
    <t>ביג</t>
  </si>
  <si>
    <t>1097260</t>
  </si>
  <si>
    <t>513623314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</si>
  <si>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</si>
  <si>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</si>
  <si>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</si>
  <si>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</si>
  <si>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</si>
  <si>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</si>
  <si>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</si>
  <si>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</si>
  <si>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</si>
  <si>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10758801</t>
  </si>
  <si>
    <t>דלק קדוחים יהש</t>
  </si>
  <si>
    <t>475020</t>
  </si>
  <si>
    <t>550013098</t>
  </si>
  <si>
    <t>אנלייט אנרגיה</t>
  </si>
  <si>
    <t>720011</t>
  </si>
  <si>
    <t>520041146</t>
  </si>
  <si>
    <t>10819420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</si>
  <si>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</si>
  <si>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</si>
  <si>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</si>
  <si>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</si>
  <si>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</si>
  <si>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</si>
  <si>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</si>
  <si>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</si>
  <si>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520007469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</si>
  <si>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</si>
  <si>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</si>
  <si>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</si>
  <si>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</si>
  <si>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</si>
  <si>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</si>
  <si>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</si>
  <si>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</si>
  <si>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513765859</t>
  </si>
  <si>
    <t>רמי לוי</t>
  </si>
  <si>
    <t>1104249</t>
  </si>
  <si>
    <t>513770669</t>
  </si>
  <si>
    <t>גי סיטי בעמ חסום</t>
  </si>
  <si>
    <t>גי סיטי בעמ</t>
  </si>
  <si>
    <t>1260110</t>
  </si>
  <si>
    <t>520033234</t>
  </si>
  <si>
    <t>רציו   יהש</t>
  </si>
  <si>
    <t>394015</t>
  </si>
  <si>
    <t>550012777</t>
  </si>
  <si>
    <t>256016</t>
  </si>
  <si>
    <t>520036690</t>
  </si>
  <si>
    <t>ריט 1</t>
  </si>
  <si>
    <t>1098920</t>
  </si>
  <si>
    <t>513821488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</si>
  <si>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</si>
  <si>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</si>
  <si>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</si>
  <si>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</si>
  <si>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</si>
  <si>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</si>
  <si>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</si>
  <si>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520043720</t>
  </si>
  <si>
    <t>1132356</t>
  </si>
  <si>
    <t>515001659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</si>
  <si>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</si>
  <si>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</si>
  <si>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</si>
  <si>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</si>
  <si>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</si>
  <si>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</si>
  <si>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</si>
  <si>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</si>
  <si>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</si>
  <si>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1082312</t>
  </si>
  <si>
    <t>520036740</t>
  </si>
  <si>
    <t>1123850</t>
  </si>
  <si>
    <t>514065283</t>
  </si>
  <si>
    <t>1083484</t>
  </si>
  <si>
    <t>520044314</t>
  </si>
  <si>
    <t>סלקום</t>
  </si>
  <si>
    <t>1101534</t>
  </si>
  <si>
    <t>511930125</t>
  </si>
  <si>
    <t>וואן טכנולוגיות</t>
  </si>
  <si>
    <t>161018</t>
  </si>
  <si>
    <t>520034695</t>
  </si>
  <si>
    <t>1095264</t>
  </si>
  <si>
    <t>511235434</t>
  </si>
  <si>
    <t>ישראמקו יהש</t>
  </si>
  <si>
    <t>232017</t>
  </si>
  <si>
    <t>550010003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</si>
  <si>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</si>
  <si>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</si>
  <si>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</si>
  <si>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</si>
  <si>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</si>
  <si>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</si>
  <si>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</si>
  <si>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</si>
  <si>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</si>
  <si>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520039298</t>
  </si>
  <si>
    <t>1100007</t>
  </si>
  <si>
    <t>510216054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</si>
  <si>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</si>
  <si>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</si>
  <si>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</si>
  <si>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</si>
  <si>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</si>
  <si>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</si>
  <si>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</si>
  <si>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</si>
  <si>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</si>
  <si>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</si>
  <si>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</si>
  <si>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</si>
  <si>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</si>
  <si>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520034760</t>
  </si>
  <si>
    <t>אבגול</t>
  </si>
  <si>
    <t>1100957</t>
  </si>
  <si>
    <t>510119068</t>
  </si>
  <si>
    <t>נובולוג</t>
  </si>
  <si>
    <t>1140151</t>
  </si>
  <si>
    <t>510475312</t>
  </si>
  <si>
    <t>1166768</t>
  </si>
  <si>
    <t>515364891</t>
  </si>
  <si>
    <t>126011</t>
  </si>
  <si>
    <t>2590248</t>
  </si>
  <si>
    <t>520036658</t>
  </si>
  <si>
    <t>ישראכרט</t>
  </si>
  <si>
    <t>1157403</t>
  </si>
  <si>
    <t>510706153</t>
  </si>
  <si>
    <t>מימון ישיר</t>
  </si>
  <si>
    <t>1168186</t>
  </si>
  <si>
    <t>513893123</t>
  </si>
  <si>
    <t>מניבים ריט</t>
  </si>
  <si>
    <t>1140573</t>
  </si>
  <si>
    <t>515327120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</si>
  <si>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</si>
  <si>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</si>
  <si>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</si>
  <si>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</si>
  <si>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</si>
  <si>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</si>
  <si>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</si>
  <si>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</si>
  <si>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</si>
  <si>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</si>
  <si>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</si>
  <si>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</si>
  <si>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</si>
  <si>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</si>
  <si>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1087659</t>
  </si>
  <si>
    <t>53368</t>
  </si>
  <si>
    <t>פריון נטוורק דואלי</t>
  </si>
  <si>
    <t>1095819</t>
  </si>
  <si>
    <t>512849498</t>
  </si>
  <si>
    <t>נכסים ובנין</t>
  </si>
  <si>
    <t>699017</t>
  </si>
  <si>
    <t>520025438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</si>
  <si>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</si>
  <si>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</si>
  <si>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</si>
  <si>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</si>
  <si>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</si>
  <si>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</si>
  <si>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</si>
  <si>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</si>
  <si>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</si>
  <si>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</si>
  <si>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</si>
  <si>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</si>
  <si>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</si>
  <si>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אאורה</t>
  </si>
  <si>
    <t>373019</t>
  </si>
  <si>
    <t>520038274</t>
  </si>
  <si>
    <t>1081074</t>
  </si>
  <si>
    <t>ג'נריישן קפיטל</t>
  </si>
  <si>
    <t>1156926</t>
  </si>
  <si>
    <t>515846558</t>
  </si>
  <si>
    <t>סקופ</t>
  </si>
  <si>
    <t>288019</t>
  </si>
  <si>
    <t>520037425</t>
  </si>
  <si>
    <t>שופרסל</t>
  </si>
  <si>
    <t>777037</t>
  </si>
  <si>
    <t>520022732</t>
  </si>
  <si>
    <t>דוראל חסום</t>
  </si>
  <si>
    <t>11667680</t>
  </si>
  <si>
    <t>10810740</t>
  </si>
  <si>
    <t>משק אנרגיה</t>
  </si>
  <si>
    <t>1166974</t>
  </si>
  <si>
    <t>516167343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</si>
  <si>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</si>
  <si>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</si>
  <si>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</si>
  <si>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</si>
  <si>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</si>
  <si>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</si>
  <si>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</si>
  <si>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</si>
  <si>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116697400</t>
  </si>
  <si>
    <t>3730190</t>
  </si>
  <si>
    <t>פז בית זיקוק</t>
  </si>
  <si>
    <t>1198910</t>
  </si>
  <si>
    <t>513775163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</si>
  <si>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</si>
  <si>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</si>
  <si>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</si>
  <si>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</si>
  <si>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</si>
  <si>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</si>
  <si>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</si>
  <si>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</si>
  <si>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</si>
  <si>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512882747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</si>
  <si>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</si>
  <si>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</si>
  <si>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</si>
  <si>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</si>
  <si>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</si>
  <si>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</si>
  <si>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</si>
  <si>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</si>
  <si>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טלסיס</t>
  </si>
  <si>
    <t>354019</t>
  </si>
  <si>
    <t>520038100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</si>
  <si>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</si>
  <si>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</si>
  <si>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</si>
  <si>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</si>
  <si>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</si>
  <si>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</si>
  <si>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</si>
  <si>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520041005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</si>
  <si>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</si>
  <si>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</si>
  <si>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</si>
  <si>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</si>
  <si>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</si>
  <si>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</si>
  <si>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</si>
  <si>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</si>
  <si>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</si>
  <si>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</si>
  <si>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</si>
  <si>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</si>
  <si>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</si>
  <si>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</si>
  <si>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</si>
  <si>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</si>
  <si>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</si>
  <si>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</si>
  <si>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</si>
  <si>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</si>
  <si>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</si>
  <si>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</si>
  <si>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</si>
  <si>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</si>
  <si>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</si>
  <si>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</si>
  <si>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</si>
  <si>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</si>
  <si>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</si>
  <si>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</si>
  <si>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</si>
  <si>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</si>
  <si>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</si>
  <si>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</si>
  <si>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</si>
  <si>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515434074</t>
  </si>
  <si>
    <t>1162775</t>
  </si>
  <si>
    <t>516117181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</si>
  <si>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</si>
  <si>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</si>
  <si>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</si>
  <si>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</si>
  <si>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</si>
  <si>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</si>
  <si>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</si>
  <si>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</si>
  <si>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520043878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</si>
  <si>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</si>
  <si>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</si>
  <si>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</si>
  <si>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</si>
  <si>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</si>
  <si>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</si>
  <si>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</si>
  <si>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</si>
  <si>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</si>
  <si>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</si>
  <si>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</si>
  <si>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</si>
  <si>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</si>
  <si>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</si>
  <si>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</si>
  <si>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</si>
  <si>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</si>
  <si>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</si>
  <si>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</si>
  <si>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</si>
  <si>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</si>
  <si>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</si>
  <si>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</si>
  <si>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</si>
  <si>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</si>
  <si>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</si>
  <si>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</si>
  <si>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</si>
  <si>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</si>
  <si>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</si>
  <si>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</si>
  <si>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</si>
  <si>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520035171</t>
  </si>
  <si>
    <t>גב ים</t>
  </si>
  <si>
    <t>759019</t>
  </si>
  <si>
    <t>520001736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</si>
  <si>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</si>
  <si>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</si>
  <si>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</si>
  <si>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</si>
  <si>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</si>
  <si>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</si>
  <si>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</si>
  <si>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</si>
  <si>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</si>
  <si>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</si>
  <si>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</si>
  <si>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</si>
  <si>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</si>
  <si>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</si>
  <si>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</si>
  <si>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</si>
  <si>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520038332</t>
  </si>
  <si>
    <t>ישראייר גרופ</t>
  </si>
  <si>
    <t>1187194</t>
  </si>
  <si>
    <t>510291750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</si>
  <si>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</si>
  <si>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</si>
  <si>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</si>
  <si>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</si>
  <si>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</si>
  <si>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</si>
  <si>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</si>
  <si>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</si>
  <si>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</si>
  <si>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</si>
  <si>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</si>
  <si>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</si>
  <si>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</si>
  <si>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</si>
  <si>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נקסט ויז'ן</t>
  </si>
  <si>
    <t>1176593</t>
  </si>
  <si>
    <t>514259019</t>
  </si>
  <si>
    <t>3540190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</si>
  <si>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</si>
  <si>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</si>
  <si>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</si>
  <si>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</si>
  <si>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</si>
  <si>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</si>
  <si>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</si>
  <si>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</si>
  <si>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</si>
  <si>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</si>
  <si>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</si>
  <si>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</si>
  <si>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</si>
  <si>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</si>
  <si>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</si>
  <si>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</si>
  <si>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</si>
  <si>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</si>
  <si>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</si>
  <si>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</si>
  <si>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</si>
  <si>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</si>
  <si>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</si>
  <si>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</si>
  <si>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</si>
  <si>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</si>
  <si>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</si>
  <si>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</si>
  <si>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</si>
  <si>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</si>
  <si>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</si>
  <si>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</si>
  <si>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</si>
  <si>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</si>
  <si>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</si>
  <si>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</si>
  <si>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</si>
  <si>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</si>
  <si>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</si>
  <si>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</si>
  <si>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</si>
  <si>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</si>
  <si>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</si>
  <si>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</si>
  <si>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</si>
  <si>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</si>
  <si>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</si>
  <si>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</si>
  <si>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</si>
  <si>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</si>
  <si>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</si>
  <si>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</si>
  <si>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</si>
  <si>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</si>
  <si>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</si>
  <si>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</si>
  <si>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</si>
  <si>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</si>
  <si>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</si>
  <si>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</si>
  <si>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</si>
  <si>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</si>
  <si>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</si>
  <si>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</si>
  <si>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</si>
  <si>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</si>
  <si>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</si>
  <si>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</si>
  <si>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</si>
  <si>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</si>
  <si>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</si>
  <si>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</si>
  <si>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</si>
  <si>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</si>
  <si>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</si>
  <si>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</si>
  <si>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</si>
  <si>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</si>
  <si>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</si>
  <si>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</si>
  <si>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</si>
  <si>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</si>
  <si>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</si>
  <si>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</si>
  <si>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</si>
  <si>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</si>
  <si>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</si>
  <si>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</si>
  <si>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</si>
  <si>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</si>
  <si>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</si>
  <si>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</si>
  <si>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</si>
  <si>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</si>
  <si>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</si>
  <si>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</si>
  <si>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</si>
  <si>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</si>
  <si>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</si>
  <si>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</si>
  <si>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</si>
  <si>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</si>
  <si>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</si>
  <si>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</si>
  <si>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</si>
  <si>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</si>
  <si>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</si>
  <si>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</si>
  <si>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</si>
  <si>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</si>
  <si>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</si>
  <si>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</si>
  <si>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</si>
  <si>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</si>
  <si>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</si>
  <si>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</si>
  <si>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</si>
  <si>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</si>
  <si>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</si>
  <si>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</si>
  <si>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</si>
  <si>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</si>
  <si>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</si>
  <si>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</si>
  <si>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</si>
  <si>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</si>
  <si>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</si>
  <si>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</si>
  <si>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</si>
  <si>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</si>
  <si>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</si>
  <si>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</si>
  <si>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</si>
  <si>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</si>
  <si>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</si>
  <si>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</si>
  <si>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</si>
  <si>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</si>
  <si>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</si>
  <si>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</si>
  <si>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</si>
  <si>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</si>
  <si>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</si>
  <si>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</si>
  <si>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</si>
  <si>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</si>
  <si>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</si>
  <si>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</si>
  <si>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</si>
  <si>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</si>
  <si>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</si>
  <si>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</si>
  <si>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</si>
  <si>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</si>
  <si>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</si>
  <si>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</si>
  <si>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</si>
  <si>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</si>
  <si>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</si>
  <si>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</si>
  <si>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</si>
  <si>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</si>
  <si>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</si>
  <si>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</si>
  <si>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</si>
  <si>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</si>
  <si>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TSLA US Equity</t>
  </si>
  <si>
    <t>US88160R1014</t>
  </si>
  <si>
    <t>REE  US Equity</t>
  </si>
  <si>
    <t>IL0011786154</t>
  </si>
  <si>
    <t>514557339</t>
  </si>
  <si>
    <t>HIPO US Equity</t>
  </si>
  <si>
    <t>US4335392027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</si>
  <si>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</si>
  <si>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</si>
  <si>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</si>
  <si>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</si>
  <si>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</si>
  <si>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</si>
  <si>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</si>
  <si>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</si>
  <si>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</si>
  <si>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</si>
  <si>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</si>
  <si>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</si>
  <si>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</si>
  <si>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</si>
  <si>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</si>
  <si>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</si>
  <si>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</si>
  <si>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</si>
  <si>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</si>
  <si>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</si>
  <si>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CF US Equity</t>
  </si>
  <si>
    <t>US1252691001</t>
  </si>
  <si>
    <t>GDDY US Equity</t>
  </si>
  <si>
    <t>US3802371076</t>
  </si>
  <si>
    <t>MRVL US Equity</t>
  </si>
  <si>
    <t>US5738741041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</si>
  <si>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</si>
  <si>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</si>
  <si>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</si>
  <si>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</si>
  <si>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</si>
  <si>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</si>
  <si>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</si>
  <si>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</si>
  <si>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</si>
  <si>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</si>
  <si>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</si>
  <si>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</si>
  <si>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</si>
  <si>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</si>
  <si>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</si>
  <si>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</si>
  <si>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</si>
  <si>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</si>
  <si>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</si>
  <si>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</si>
  <si>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</si>
  <si>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</si>
  <si>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</si>
  <si>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</si>
  <si>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</si>
  <si>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</si>
  <si>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</si>
  <si>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</si>
  <si>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</si>
  <si>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</si>
  <si>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</si>
  <si>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</si>
  <si>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</si>
  <si>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</si>
  <si>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</si>
  <si>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</si>
  <si>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</si>
  <si>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</si>
  <si>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</si>
  <si>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</si>
  <si>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</si>
  <si>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</si>
  <si>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</si>
  <si>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</si>
  <si>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</si>
  <si>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</si>
  <si>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</si>
  <si>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</si>
  <si>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</si>
  <si>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</si>
  <si>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</si>
  <si>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</si>
  <si>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</si>
  <si>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</si>
  <si>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</si>
  <si>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</si>
  <si>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</si>
  <si>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</si>
  <si>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</si>
  <si>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</si>
  <si>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</si>
  <si>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</si>
  <si>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</si>
  <si>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</si>
  <si>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</si>
  <si>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</si>
  <si>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</si>
  <si>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</si>
  <si>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</si>
  <si>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</si>
  <si>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</si>
  <si>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</si>
  <si>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</si>
  <si>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</si>
  <si>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</si>
  <si>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</si>
  <si>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</si>
  <si>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</si>
  <si>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</si>
  <si>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</si>
  <si>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</si>
  <si>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</si>
  <si>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</si>
  <si>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</si>
  <si>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</si>
  <si>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</si>
  <si>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</si>
  <si>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</si>
  <si>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</si>
  <si>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</si>
  <si>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</si>
  <si>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</si>
  <si>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</si>
  <si>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</si>
  <si>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</si>
  <si>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</si>
  <si>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</si>
  <si>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</si>
  <si>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</si>
  <si>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</si>
  <si>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</si>
  <si>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</si>
  <si>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</si>
  <si>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</si>
  <si>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</si>
  <si>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</si>
  <si>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</si>
  <si>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</si>
  <si>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</si>
  <si>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</si>
  <si>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</si>
  <si>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</si>
  <si>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</si>
  <si>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</si>
  <si>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</si>
  <si>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</si>
  <si>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</si>
  <si>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</si>
  <si>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</si>
  <si>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</si>
  <si>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</si>
  <si>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</si>
  <si>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</si>
  <si>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</si>
  <si>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</si>
  <si>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</si>
  <si>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</si>
  <si>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</si>
  <si>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</si>
  <si>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</si>
  <si>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</si>
  <si>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</si>
  <si>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</si>
  <si>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</si>
  <si>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</si>
  <si>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</si>
  <si>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</si>
  <si>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</si>
  <si>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</si>
  <si>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</si>
  <si>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</si>
  <si>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</si>
  <si>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</si>
  <si>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</si>
  <si>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</si>
  <si>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</si>
  <si>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</si>
  <si>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</si>
  <si>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</si>
  <si>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</si>
  <si>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</si>
  <si>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</si>
  <si>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</si>
  <si>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</si>
  <si>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AIOFDUS ID Equity</t>
  </si>
  <si>
    <t>IE00BH3N4915</t>
  </si>
  <si>
    <t>JP Morgan Liquidity Dollar</t>
  </si>
  <si>
    <t>X9X9USD02A31</t>
  </si>
  <si>
    <t>2711006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</si>
  <si>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</si>
  <si>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</si>
  <si>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</si>
  <si>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</si>
  <si>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</si>
  <si>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</si>
  <si>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</si>
  <si>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</si>
  <si>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</si>
  <si>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AAA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</si>
  <si>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</si>
  <si>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</si>
  <si>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</si>
  <si>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</si>
  <si>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</si>
  <si>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</si>
  <si>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</si>
  <si>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</si>
  <si>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</si>
  <si>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</si>
  <si>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</si>
  <si>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</si>
  <si>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</si>
  <si>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</si>
  <si>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</si>
  <si>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</si>
  <si>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</si>
  <si>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</si>
  <si>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</si>
  <si>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</si>
  <si>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</si>
  <si>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</si>
  <si>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</si>
  <si>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</si>
  <si>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</si>
  <si>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</si>
  <si>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</si>
  <si>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</si>
  <si>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</si>
  <si>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</si>
  <si>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</si>
  <si>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</si>
  <si>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</si>
  <si>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</si>
  <si>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</si>
  <si>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</si>
  <si>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</si>
  <si>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1850 OCT</t>
  </si>
  <si>
    <t>84572916</t>
  </si>
  <si>
    <t>P 1850 OCT</t>
  </si>
  <si>
    <t>84573658</t>
  </si>
  <si>
    <t>₪/מט"ח</t>
  </si>
  <si>
    <t>סה"כ ריבית</t>
  </si>
  <si>
    <t>SPXW US 12/29/23 P4000 Index</t>
  </si>
  <si>
    <t>70168060</t>
  </si>
  <si>
    <t>SPXW US 12/29/23 P4475 Index</t>
  </si>
  <si>
    <t>70174247</t>
  </si>
  <si>
    <t>NDX US 12/15/23 P14800 Index</t>
  </si>
  <si>
    <t>70100276</t>
  </si>
  <si>
    <t>NDX US 12/15/23 P13300 Index</t>
  </si>
  <si>
    <t>70101522</t>
  </si>
  <si>
    <t>סה"כ מטבע</t>
  </si>
  <si>
    <t>סה"כ סחורות</t>
  </si>
  <si>
    <t>12/2023 JPM TPZ3 Index משתנה</t>
  </si>
  <si>
    <t>557000775</t>
  </si>
  <si>
    <t>OSE</t>
  </si>
  <si>
    <t>12/2023 JPM TPZ3 Index התחייבות</t>
  </si>
  <si>
    <t>557000776</t>
  </si>
  <si>
    <t>12/2023 JPM NQZ3 Index משתנה</t>
  </si>
  <si>
    <t>557000777</t>
  </si>
  <si>
    <t>CME</t>
  </si>
  <si>
    <t>12/2023 JPM NQZ3 Index התחייבות</t>
  </si>
  <si>
    <t>557000778</t>
  </si>
  <si>
    <t>12/2023 JPM VGZ3 Index משתנה</t>
  </si>
  <si>
    <t>DE000C6JGBY9</t>
  </si>
  <si>
    <t>EUX</t>
  </si>
  <si>
    <t>12/2023 JPM VGZ3 Index התחייבות</t>
  </si>
  <si>
    <t>557000780</t>
  </si>
  <si>
    <t>12/2023 JPM SLBZ3 Index משתנה</t>
  </si>
  <si>
    <t>557000781</t>
  </si>
  <si>
    <t>12/2023 JPM SLBZ3 Index התחייבות</t>
  </si>
  <si>
    <t>557000782</t>
  </si>
  <si>
    <t>12/2023 JPM ESZ3 Index משתנה</t>
  </si>
  <si>
    <t>557000783</t>
  </si>
  <si>
    <t>12/2023 JPM ESZ3 Index התחייבות</t>
  </si>
  <si>
    <t>557000784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</si>
  <si>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</si>
  <si>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</si>
  <si>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</si>
  <si>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</si>
  <si>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</si>
  <si>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</si>
  <si>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</si>
  <si>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</si>
  <si>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</si>
  <si>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</si>
  <si>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</si>
  <si>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</si>
  <si>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</si>
  <si>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</si>
  <si>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</si>
  <si>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</si>
  <si>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</si>
  <si>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</si>
  <si>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</si>
  <si>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</si>
  <si>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</si>
  <si>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</si>
  <si>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</si>
  <si>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</si>
  <si>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</si>
  <si>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</si>
  <si>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</si>
  <si>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</si>
  <si>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</si>
  <si>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</si>
  <si>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</si>
  <si>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מידרוג</t>
  </si>
  <si>
    <t>02/01/2007</t>
  </si>
  <si>
    <t>נתיבים אגח א רצף מוסדי</t>
  </si>
  <si>
    <t>1090281</t>
  </si>
  <si>
    <t>513502229</t>
  </si>
  <si>
    <t>ilAA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</si>
  <si>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</si>
  <si>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</si>
  <si>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</si>
  <si>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</si>
  <si>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</si>
  <si>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</si>
  <si>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</si>
  <si>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</si>
  <si>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</si>
  <si>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</si>
  <si>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</si>
  <si>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</si>
  <si>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</si>
  <si>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</si>
  <si>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</si>
  <si>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</si>
  <si>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</si>
  <si>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</si>
  <si>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</si>
  <si>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</si>
  <si>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</si>
  <si>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</si>
  <si>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</si>
  <si>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</si>
  <si>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 Diagnostics Series E</t>
  </si>
  <si>
    <t>999999598</t>
  </si>
  <si>
    <t>514288885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</si>
  <si>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</si>
  <si>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</si>
  <si>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</si>
  <si>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</si>
  <si>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</si>
  <si>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</si>
  <si>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</si>
  <si>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</si>
  <si>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</si>
  <si>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</si>
  <si>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</si>
  <si>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</si>
  <si>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</si>
  <si>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</si>
  <si>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</si>
  <si>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</si>
  <si>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</si>
  <si>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</si>
  <si>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</si>
  <si>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</si>
  <si>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</si>
  <si>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</si>
  <si>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</si>
  <si>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</si>
  <si>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</si>
  <si>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</si>
  <si>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</si>
  <si>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</si>
  <si>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</si>
  <si>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</si>
  <si>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</si>
  <si>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</si>
  <si>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</si>
  <si>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</si>
  <si>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</si>
  <si>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</si>
  <si>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</si>
  <si>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</si>
  <si>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</si>
  <si>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</si>
  <si>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</si>
  <si>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</si>
  <si>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</si>
  <si>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</si>
  <si>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</si>
  <si>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</si>
  <si>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</si>
  <si>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</si>
  <si>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Silk Technologies Inc</t>
  </si>
  <si>
    <t>89258</t>
  </si>
  <si>
    <t>514116482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</si>
  <si>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</si>
  <si>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</si>
  <si>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</si>
  <si>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</si>
  <si>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</si>
  <si>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</si>
  <si>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</si>
  <si>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</si>
  <si>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</si>
  <si>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</si>
  <si>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</si>
  <si>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</si>
  <si>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</si>
  <si>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</si>
  <si>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</si>
  <si>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</si>
  <si>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</si>
  <si>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GSV SL</t>
  </si>
  <si>
    <t>89399</t>
  </si>
  <si>
    <t>סה"כ קרנות השקעה בישראל</t>
  </si>
  <si>
    <t>סה"כ קרנות הון סיכון</t>
  </si>
  <si>
    <t>ECV IL OPP I</t>
  </si>
  <si>
    <t>89255</t>
  </si>
  <si>
    <t>03/12/2020</t>
  </si>
  <si>
    <t>Glilot Early Growth Fund I</t>
  </si>
  <si>
    <t>89265</t>
  </si>
  <si>
    <t>19/01/2021</t>
  </si>
  <si>
    <t>סה"כ קרנות גידור</t>
  </si>
  <si>
    <t>IONISCL KY Equity</t>
  </si>
  <si>
    <t>834107</t>
  </si>
  <si>
    <t>27/04/2017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</si>
  <si>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</si>
  <si>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</si>
  <si>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</si>
  <si>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</si>
  <si>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</si>
  <si>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</si>
  <si>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</si>
  <si>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</si>
  <si>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</si>
  <si>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105841</t>
  </si>
  <si>
    <t>02/06/2020</t>
  </si>
  <si>
    <t>סה"כ קרנות נדל"ן</t>
  </si>
  <si>
    <t>Rent It</t>
  </si>
  <si>
    <t>89392</t>
  </si>
  <si>
    <t>24/08/2022</t>
  </si>
  <si>
    <t>סה"כ קרנות השקעה אחרות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</si>
  <si>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</si>
  <si>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</si>
  <si>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</si>
  <si>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</si>
  <si>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</si>
  <si>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</si>
  <si>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</si>
  <si>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</si>
  <si>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</si>
  <si>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</si>
  <si>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Hanaco Growth Ventures III</t>
  </si>
  <si>
    <t>89342</t>
  </si>
  <si>
    <t>20/01/2022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</si>
  <si>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</si>
  <si>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</si>
  <si>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</si>
  <si>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</si>
  <si>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</si>
  <si>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</si>
  <si>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</si>
  <si>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</si>
  <si>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</si>
  <si>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</si>
  <si>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</si>
  <si>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</si>
  <si>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</si>
  <si>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</si>
  <si>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</si>
  <si>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</si>
  <si>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</si>
  <si>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</si>
  <si>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</si>
  <si>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</si>
  <si>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SPHFJ23 KY Equity (class F) Sphera Biotech</t>
  </si>
  <si>
    <t>KYG8347W1318</t>
  </si>
  <si>
    <t>12/06/2023</t>
  </si>
  <si>
    <t>ICG Strategic Equity Fund IV</t>
  </si>
  <si>
    <t>89284</t>
  </si>
  <si>
    <t>20/05/2021</t>
  </si>
  <si>
    <t>Kain Pera Feeder LP</t>
  </si>
  <si>
    <t>89398</t>
  </si>
  <si>
    <t>08/11/2022</t>
  </si>
  <si>
    <t>HSPV L.P. (FinTLV|20-49|Hippo Insurance)</t>
  </si>
  <si>
    <t>89236</t>
  </si>
  <si>
    <t>08/07/2020</t>
  </si>
  <si>
    <t>OEP VII Project Infobip-I Incl Carry</t>
  </si>
  <si>
    <t>89254</t>
  </si>
  <si>
    <t>25/11/2020</t>
  </si>
  <si>
    <t>Glendower Capital A DomusVI</t>
  </si>
  <si>
    <t>89291</t>
  </si>
  <si>
    <t>21/06/2021</t>
  </si>
  <si>
    <t>Fitzgerald Fund US LP (OMERS|20-49|Direct Chassis)</t>
  </si>
  <si>
    <t>89428</t>
  </si>
  <si>
    <t>17/05/2023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</si>
  <si>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</si>
  <si>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</si>
  <si>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</si>
  <si>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</si>
  <si>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</si>
  <si>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</si>
  <si>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28/06/2023</t>
  </si>
  <si>
    <t>ישראייר גרופ אופציה לא סחירה</t>
  </si>
  <si>
    <t>99368020</t>
  </si>
  <si>
    <t>29/06/2023</t>
  </si>
  <si>
    <t>אל על אופציה לא סחירה</t>
  </si>
  <si>
    <t>99368021</t>
  </si>
  <si>
    <t>03/07/2023</t>
  </si>
  <si>
    <t>משק אנרגיה אופציה לא סחירה</t>
  </si>
  <si>
    <t>99368022</t>
  </si>
  <si>
    <t>06/07/2023</t>
  </si>
  <si>
    <t>אאורה אופציה לא סחירה 06/2024</t>
  </si>
  <si>
    <t>99368023</t>
  </si>
  <si>
    <t>19/07/2023</t>
  </si>
  <si>
    <t>אאורה אופציה לא סחירה 07/2025</t>
  </si>
  <si>
    <t>99368024</t>
  </si>
  <si>
    <t>07/08/2023</t>
  </si>
  <si>
    <t>סה"כ כתבי אופציה בחו"ל</t>
  </si>
  <si>
    <t>AZ CN Non Tradable Option</t>
  </si>
  <si>
    <t>999999487</t>
  </si>
  <si>
    <t>09/03/2021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</si>
  <si>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</si>
  <si>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</si>
  <si>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</si>
  <si>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</si>
  <si>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</si>
  <si>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</si>
  <si>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</si>
  <si>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</si>
  <si>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</si>
  <si>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</si>
  <si>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27/03/2023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</si>
  <si>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</si>
  <si>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</si>
  <si>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</si>
  <si>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</si>
  <si>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</si>
  <si>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</si>
  <si>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</si>
  <si>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</si>
  <si>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</si>
  <si>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24/05/2023</t>
  </si>
  <si>
    <t>AS Bloomberg DSCT IT Equity 30/05/24 - Fund Leg</t>
  </si>
  <si>
    <t>880000330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</si>
  <si>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</si>
  <si>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</si>
  <si>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</si>
  <si>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</si>
  <si>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</si>
  <si>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</si>
  <si>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</si>
  <si>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26/07/2023</t>
  </si>
  <si>
    <t>AS Bloomberg PHOE IT Equity 25/07/24 - Fund Leg</t>
  </si>
  <si>
    <t>880000346</t>
  </si>
  <si>
    <t>AS Bloomberg DSCT IT Equity 25/07/24 - Equity Leg</t>
  </si>
  <si>
    <t>880000347</t>
  </si>
  <si>
    <t>AS Bloomberg DSCT IT Equity 25/07/24 - Fund Leg</t>
  </si>
  <si>
    <t>880000348</t>
  </si>
  <si>
    <t>סה"כ  אחר</t>
  </si>
  <si>
    <t>FW EURUSD 18/10/2023 - EUR</t>
  </si>
  <si>
    <t>445272414</t>
  </si>
  <si>
    <t>06/06/2023</t>
  </si>
  <si>
    <t>FW EURUSD 18/10/2023 - USD</t>
  </si>
  <si>
    <t>445272415</t>
  </si>
  <si>
    <t>FW USDJPY 25/10/2023 - JPY</t>
  </si>
  <si>
    <t>445275892</t>
  </si>
  <si>
    <t>FW USDJPY 25/10/2023 - USD</t>
  </si>
  <si>
    <t>445275893</t>
  </si>
  <si>
    <t>445279392</t>
  </si>
  <si>
    <t>30/08/2023</t>
  </si>
  <si>
    <t>445279393</t>
  </si>
  <si>
    <t>FW GBPUSD 28/02/2024 - USD</t>
  </si>
  <si>
    <t>445280820</t>
  </si>
  <si>
    <t>18/09/2023</t>
  </si>
  <si>
    <t>FW GBPUSD 28/02/2024 - GBP</t>
  </si>
  <si>
    <t>445280821</t>
  </si>
  <si>
    <t>445282304</t>
  </si>
  <si>
    <t>21/09/2023</t>
  </si>
  <si>
    <t>445282305</t>
  </si>
  <si>
    <t>FW USDILS 27/03/2024 - ILS</t>
  </si>
  <si>
    <t>445262752</t>
  </si>
  <si>
    <t>15/03/2023</t>
  </si>
  <si>
    <t>FW USDILS 27/03/2024 - USD</t>
  </si>
  <si>
    <t>445262753</t>
  </si>
  <si>
    <t>FW USDILS 06/12/2023 - ILS</t>
  </si>
  <si>
    <t>445267318</t>
  </si>
  <si>
    <t>24/04/2023</t>
  </si>
  <si>
    <t>FW USDILS 06/12/2023 - USD</t>
  </si>
  <si>
    <t>445267319</t>
  </si>
  <si>
    <t>FW USDILS 26/06/2024 - ILS</t>
  </si>
  <si>
    <t>445269586</t>
  </si>
  <si>
    <t>08/05/2023</t>
  </si>
  <si>
    <t>FW USDILS 26/06/2024 - USD</t>
  </si>
  <si>
    <t>445269587</t>
  </si>
  <si>
    <t>445271796</t>
  </si>
  <si>
    <t>31/05/2023</t>
  </si>
  <si>
    <t>445271797</t>
  </si>
  <si>
    <t>445272954</t>
  </si>
  <si>
    <t>13/06/2023</t>
  </si>
  <si>
    <t>445272955</t>
  </si>
  <si>
    <t>445277534</t>
  </si>
  <si>
    <t>01/08/2023</t>
  </si>
  <si>
    <t>445277535</t>
  </si>
  <si>
    <t>445278756</t>
  </si>
  <si>
    <t>16/08/2023</t>
  </si>
  <si>
    <t>445278757</t>
  </si>
  <si>
    <t>445280252</t>
  </si>
  <si>
    <t>07/09/2023</t>
  </si>
  <si>
    <t>445280253</t>
  </si>
  <si>
    <t>445280650</t>
  </si>
  <si>
    <t>11/09/2023</t>
  </si>
  <si>
    <t>445280651</t>
  </si>
  <si>
    <t>445281252</t>
  </si>
  <si>
    <t>19/09/2023</t>
  </si>
  <si>
    <t>445281253</t>
  </si>
  <si>
    <t>סה"כ חוזים עתידיים בחו"ל</t>
  </si>
  <si>
    <t>AS S&amp;P500 TR Index 04/01/24 - Equity Leg</t>
  </si>
  <si>
    <t>880000251</t>
  </si>
  <si>
    <t>03/01/2023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</si>
  <si>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</si>
  <si>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</si>
  <si>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</si>
  <si>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</si>
  <si>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</si>
  <si>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</si>
  <si>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</si>
  <si>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</si>
  <si>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</si>
  <si>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12/01/2023</t>
  </si>
  <si>
    <t>AS JPCLABIO Index 12/01/24 - Fund Leg</t>
  </si>
  <si>
    <t>880000264</t>
  </si>
  <si>
    <t>AS JPCLA5G2 Index 23/01/24 - Equity Leg</t>
  </si>
  <si>
    <t>880000269</t>
  </si>
  <si>
    <t>23/01/2023</t>
  </si>
  <si>
    <t>AS JPCLA5G2 Index 23/01/24 - Fund Leg</t>
  </si>
  <si>
    <t>880000270</t>
  </si>
  <si>
    <t>AS M1EF Index - Equity Leg</t>
  </si>
  <si>
    <t>880000273</t>
  </si>
  <si>
    <t>01/02/2023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</si>
  <si>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</si>
  <si>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</si>
  <si>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</si>
  <si>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</si>
  <si>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</si>
  <si>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</si>
  <si>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</si>
  <si>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</si>
  <si>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</si>
  <si>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</si>
  <si>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</si>
  <si>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</si>
  <si>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</si>
  <si>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</si>
  <si>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</si>
  <si>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</si>
  <si>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</si>
  <si>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</si>
  <si>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</si>
  <si>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</si>
  <si>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</si>
  <si>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AS S&amp;P500 TR Index 15/03/24 - Fund Leg</t>
  </si>
  <si>
    <t>880000316</t>
  </si>
  <si>
    <t>AS S&amp;P500 TR Index 07/06/24 - Equity Leg</t>
  </si>
  <si>
    <t>880000333</t>
  </si>
  <si>
    <t>07/06/2023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</si>
  <si>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</si>
  <si>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</si>
  <si>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</si>
  <si>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</si>
  <si>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</si>
  <si>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</si>
  <si>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</si>
  <si>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</si>
  <si>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</si>
  <si>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17/08/2023</t>
  </si>
  <si>
    <t>AS JPCLABIO Index 08/07/24 - Fund Leg</t>
  </si>
  <si>
    <t>880000338</t>
  </si>
  <si>
    <t>AS MSCI ACWI Index 05/09/24 - Equity Leg</t>
  </si>
  <si>
    <t>880000351</t>
  </si>
  <si>
    <t>04/09/2023</t>
  </si>
  <si>
    <t>AS MSCI ACWI Index 05/09/24 - Fund Leg</t>
  </si>
  <si>
    <t>880000352</t>
  </si>
  <si>
    <t>445251356</t>
  </si>
  <si>
    <t>07/12/2022</t>
  </si>
  <si>
    <t>445251357</t>
  </si>
  <si>
    <t>FW USDILS 15/05/2024 - ILS</t>
  </si>
  <si>
    <t>445258586</t>
  </si>
  <si>
    <t>21/02/2023</t>
  </si>
  <si>
    <t>FW USDILS 15/05/2024 - USD</t>
  </si>
  <si>
    <t>445258587</t>
  </si>
  <si>
    <t>FW USDILS 22/05/2024 - USD</t>
  </si>
  <si>
    <t>445272561</t>
  </si>
  <si>
    <t>FW USDILS 22/05/2024 - ILS</t>
  </si>
  <si>
    <t>445272560</t>
  </si>
  <si>
    <t>445272708</t>
  </si>
  <si>
    <t>08/06/2023</t>
  </si>
  <si>
    <t>445272709</t>
  </si>
  <si>
    <t>445275346</t>
  </si>
  <si>
    <t>17/07/2023</t>
  </si>
  <si>
    <t>445275347</t>
  </si>
  <si>
    <t>445269784</t>
  </si>
  <si>
    <t>09/05/2023</t>
  </si>
  <si>
    <t>445269785</t>
  </si>
  <si>
    <t>445270124</t>
  </si>
  <si>
    <t>445270125</t>
  </si>
  <si>
    <t>445271420</t>
  </si>
  <si>
    <t>23/05/2023</t>
  </si>
  <si>
    <t>445271421</t>
  </si>
  <si>
    <t>FW GBPUSD 18/10/2023 - GBP</t>
  </si>
  <si>
    <t>445273418</t>
  </si>
  <si>
    <t>21/06/2023</t>
  </si>
  <si>
    <t>FW GBPUSD 18/10/2023 - USD</t>
  </si>
  <si>
    <t>445273419</t>
  </si>
  <si>
    <t>445273682</t>
  </si>
  <si>
    <t>445273683</t>
  </si>
  <si>
    <t>445274244</t>
  </si>
  <si>
    <t>27/06/2023</t>
  </si>
  <si>
    <t>445274245</t>
  </si>
  <si>
    <t>445274476</t>
  </si>
  <si>
    <t>445274477</t>
  </si>
  <si>
    <t>445274834</t>
  </si>
  <si>
    <t>05/07/2023</t>
  </si>
  <si>
    <t>445274835</t>
  </si>
  <si>
    <t>445275296</t>
  </si>
  <si>
    <t>13/07/2023</t>
  </si>
  <si>
    <t>445275297</t>
  </si>
  <si>
    <t>445275888</t>
  </si>
  <si>
    <t>445275889</t>
  </si>
  <si>
    <t>445277216</t>
  </si>
  <si>
    <t>28/07/2023</t>
  </si>
  <si>
    <t>445277217</t>
  </si>
  <si>
    <t>445279168</t>
  </si>
  <si>
    <t>24/08/2023</t>
  </si>
  <si>
    <t>445279169</t>
  </si>
  <si>
    <t>445279310</t>
  </si>
  <si>
    <t>29/08/2023</t>
  </si>
  <si>
    <t>445279311</t>
  </si>
  <si>
    <t>445280816</t>
  </si>
  <si>
    <t>445280817</t>
  </si>
  <si>
    <t>445280932</t>
  </si>
  <si>
    <t>445280933</t>
  </si>
  <si>
    <t>445281548</t>
  </si>
  <si>
    <t>20/09/2023</t>
  </si>
  <si>
    <t>445281549</t>
  </si>
  <si>
    <t>445281550</t>
  </si>
  <si>
    <t>445281551</t>
  </si>
  <si>
    <t>445281692</t>
  </si>
  <si>
    <t>445281693</t>
  </si>
  <si>
    <t>445281694</t>
  </si>
  <si>
    <t>445281695</t>
  </si>
  <si>
    <t>445281824</t>
  </si>
  <si>
    <t>445281825</t>
  </si>
  <si>
    <t>FW EURUSD 20/03/2024 - EUR</t>
  </si>
  <si>
    <t>445281826</t>
  </si>
  <si>
    <t>FW EURUSD 20/03/2024 - USD</t>
  </si>
  <si>
    <t>445281827</t>
  </si>
  <si>
    <t>445281976</t>
  </si>
  <si>
    <t>445281977</t>
  </si>
  <si>
    <t>445281978</t>
  </si>
  <si>
    <t>445281979</t>
  </si>
  <si>
    <t>סה"כ כנגד חסכון עמיתים/מבוטחים</t>
  </si>
  <si>
    <t>333014014</t>
  </si>
  <si>
    <t>סה"כ מובטחות במשכנתא או תיקי משכנתאות</t>
  </si>
  <si>
    <t>סה"כ מובטחות בבטחונות אחרים</t>
  </si>
  <si>
    <t>כן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</si>
  <si>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</si>
  <si>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</si>
  <si>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</si>
  <si>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</si>
  <si>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</si>
  <si>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</si>
  <si>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</si>
  <si>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</si>
  <si>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</si>
  <si>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</si>
  <si>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</si>
  <si>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</si>
  <si>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</si>
  <si>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</si>
  <si>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</si>
  <si>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</si>
  <si>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</si>
  <si>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</si>
  <si>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</si>
  <si>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</si>
  <si>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</si>
  <si>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</si>
  <si>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</si>
  <si>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</si>
  <si>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</si>
  <si>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</si>
  <si>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</si>
  <si>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</si>
  <si>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</si>
  <si>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</si>
  <si>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</si>
  <si>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</si>
  <si>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</si>
  <si>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</si>
  <si>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</si>
  <si>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</si>
  <si>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</si>
  <si>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</si>
  <si>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</si>
  <si>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</si>
  <si>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</si>
  <si>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</si>
  <si>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</si>
  <si>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</si>
  <si>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</si>
  <si>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</si>
  <si>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</si>
  <si>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</si>
  <si>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</si>
  <si>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</si>
  <si>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</si>
  <si>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</si>
  <si>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</si>
  <si>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</si>
  <si>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אגל"ס אלון חברה לדלק 22.01.07 עמיתים -חש</t>
  </si>
  <si>
    <t>20701423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</si>
  <si>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</si>
  <si>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</si>
  <si>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</si>
  <si>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</si>
  <si>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</si>
  <si>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</si>
  <si>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</si>
  <si>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</si>
  <si>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בוני</t>
  </si>
  <si>
    <t>20805061</t>
  </si>
  <si>
    <t>שקל  דיסקונט בנק דיסקונט לישראל בע"מ</t>
  </si>
  <si>
    <t>שקל  מזרחי בנק מזרחי טפחות בע"מ</t>
  </si>
  <si>
    <t>שקל  סיטי בנק סיטיבנק</t>
  </si>
  <si>
    <t>דולר  דיסקונט בנק דיסקונט לישראל בע"מ</t>
  </si>
  <si>
    <t>דולר  מזרחי בנק מזרחי טפחות בע"מ</t>
  </si>
  <si>
    <t>אירו  סיטי בנק סיטיבנק</t>
  </si>
  <si>
    <t>שטרלינג  סיטי בנק סיטיבנק</t>
  </si>
  <si>
    <t>דולר  סיטי בנק סיטיבנק</t>
  </si>
  <si>
    <t>דולר  סיטי בנק עדכון ידני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</si>
  <si>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</si>
  <si>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</si>
  <si>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</si>
  <si>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</si>
  <si>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שקל  הפועלים בנק הפועלים בע"מ</t>
  </si>
  <si>
    <t>דולר  הפועלים בנק הפועלים בע"מ</t>
  </si>
  <si>
    <t>Margin FW  Hapoalim USD בנק הפועלים בע"מ</t>
  </si>
  <si>
    <t>דולר  JPM עדכון ידני JPM</t>
  </si>
  <si>
    <t>Margin Future  JPM USD JPM</t>
  </si>
  <si>
    <t>Margin Future  JPM EURO JPM</t>
  </si>
  <si>
    <t>Margin Future  JPM JPY JPM</t>
  </si>
  <si>
    <t>שקל  יובנק בנק יו-בנק בע"מ</t>
  </si>
  <si>
    <t>שקל  יובנק עדכון ידני בנק יו-בנק בע"מ</t>
  </si>
  <si>
    <t>שקל  לאומי בנק לאומי לישראל בע"מ</t>
  </si>
  <si>
    <t>שקל  מרכנטיל דיסקונט בנק מרכנתיל דיסקונט בע"מ</t>
  </si>
  <si>
    <t>דולר  יובנק בנק יו-בנק בע"מ</t>
  </si>
  <si>
    <t>כתר נורווגי  לאומי עדכון ידני בנק לאומי לישראל בע"מ</t>
  </si>
  <si>
    <t>דולר  לאומי בנק לאומי לישראל בע"מ</t>
  </si>
  <si>
    <t>Margin FW  Mizrahi USD בנק מזרחי טפחות בע"מ</t>
  </si>
  <si>
    <t>אירו  BNY Bny Mellon</t>
  </si>
  <si>
    <t>BNY אירו עתידי 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</si>
  <si>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</si>
  <si>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</si>
  <si>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</si>
  <si>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</si>
  <si>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</si>
  <si>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</si>
  <si>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</si>
  <si>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</si>
  <si>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</si>
  <si>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</si>
  <si>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פועלים בנק הפועלים בע"מ</t>
  </si>
  <si>
    <t>שקל  לאומי עדכון ידני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</si>
  <si>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</si>
  <si>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</si>
  <si>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שטרלינג  פועלים בנק הפועלים בע"מ</t>
  </si>
  <si>
    <t>דולר  הפועלים עדכון ידני בנק הפועלים בע"מ</t>
  </si>
  <si>
    <t>דולר  פועלים בנק הפועלים בע"מ</t>
  </si>
  <si>
    <t>אירו  לאומי בנק לאומי לישראל בע"מ</t>
  </si>
  <si>
    <t>שטרלינג  לאומי בנק לאומי לישראל בע"מ</t>
  </si>
  <si>
    <t>דולר  לאומי עדכון ידני בנק לאומי לישראל בע"מ</t>
  </si>
  <si>
    <t>דולר  יובנק הבנק הבינלאומי הראשון לישראל בע"מ</t>
  </si>
  <si>
    <t>Margin FW  Discont USD בנק דיסקונט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</si>
  <si>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</si>
  <si>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</si>
  <si>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</si>
  <si>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</si>
  <si>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Commitment ECV IL OPP I</t>
  </si>
  <si>
    <t>2028</t>
  </si>
  <si>
    <t>Commitment FinTLV Unqork LP</t>
  </si>
  <si>
    <t>Commitment Glilot Early Growth Fund I</t>
  </si>
  <si>
    <t>2029</t>
  </si>
  <si>
    <t>Commitment Rent It</t>
  </si>
  <si>
    <t>Commitment ICG Strategic Equity Fund IV</t>
  </si>
  <si>
    <t>2030</t>
  </si>
  <si>
    <t>Commitment Glendower Capital A DomusVI</t>
  </si>
  <si>
    <t>Commitment Hanaco Growth Ventures III</t>
  </si>
  <si>
    <t>Commitment GSV Ventures Fund III</t>
  </si>
  <si>
    <t>2032</t>
  </si>
  <si>
    <t>Commitment ECV IL OPP II</t>
  </si>
  <si>
    <t>Commitment ECV IL IV</t>
  </si>
  <si>
    <t>Commitment Vintage Fund of Funds VII (Access)</t>
  </si>
  <si>
    <t>2033</t>
  </si>
  <si>
    <t>Commitment Kain Pera Feeder LP</t>
  </si>
  <si>
    <t>Commitment Vintage Fund of Funds VII Breakout</t>
  </si>
  <si>
    <t>Commitment Vintage Clal Co-Investment III</t>
  </si>
  <si>
    <t>Commitment Silver Lake Partners VII</t>
  </si>
  <si>
    <t>2027</t>
  </si>
  <si>
    <t>עמית א</t>
  </si>
  <si>
    <t>הלוואה לגורם 113</t>
  </si>
  <si>
    <t>הלוואה לגורם 197</t>
  </si>
  <si>
    <t>עמודה1</t>
  </si>
  <si>
    <t>לא</t>
  </si>
  <si>
    <t>549300LL2QMPTYIE0K55</t>
  </si>
  <si>
    <t>984500DD95A35E9BD358</t>
  </si>
  <si>
    <t>529900S21EQ1BO4ESM68</t>
  </si>
  <si>
    <t>213800WFQ334R8UXUG83</t>
  </si>
  <si>
    <t>724500Y6DUVHQD6OXN27</t>
  </si>
  <si>
    <t>213800HK59N7H979QU33</t>
  </si>
  <si>
    <t>969500ZR92SQCU9TST26</t>
  </si>
  <si>
    <t>213800LH1BZH3DI6G760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</si>
  <si>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</si>
  <si>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</si>
  <si>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</si>
  <si>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</si>
  <si>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</si>
  <si>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</si>
  <si>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</si>
  <si>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</si>
  <si>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</si>
  <si>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5493006MHB84DD0ZWV18</t>
  </si>
  <si>
    <t>9DJT3UXIJIZJI4WXO774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</si>
  <si>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</si>
  <si>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</si>
  <si>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</si>
  <si>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</si>
  <si>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</si>
  <si>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</si>
  <si>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</si>
  <si>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</si>
  <si>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</si>
  <si>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</si>
  <si>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</si>
  <si>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</si>
  <si>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</si>
  <si>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</si>
  <si>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</si>
  <si>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549300Z7JJ4TQSQGT333</t>
  </si>
  <si>
    <t>W0CZ7N0GH8UIGXDM1H41</t>
  </si>
  <si>
    <t>5493006ORUSIL88JOE18</t>
  </si>
  <si>
    <t>41BNNE1AFPNAZELZ6K07</t>
  </si>
  <si>
    <t>5493008B2TU3S6QE1E12</t>
  </si>
  <si>
    <t>54930043XZGB27CTOV49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</si>
  <si>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</si>
  <si>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</si>
  <si>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</si>
  <si>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</si>
  <si>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</si>
  <si>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</si>
  <si>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</si>
  <si>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529900CG8YAQFZ2JMV97</t>
  </si>
  <si>
    <t>549300J8H1TB0I2CB447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</si>
  <si>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</si>
  <si>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</si>
  <si>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</si>
  <si>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</si>
  <si>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</si>
  <si>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</si>
  <si>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</si>
  <si>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</si>
  <si>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</si>
  <si>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</si>
  <si>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</si>
  <si>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</si>
  <si>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</si>
  <si>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</si>
  <si>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</si>
  <si>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</si>
  <si>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</si>
  <si>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</si>
  <si>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</si>
  <si>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</si>
  <si>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</si>
  <si>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</si>
  <si>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</si>
  <si>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</si>
  <si>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</si>
  <si>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</si>
  <si>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</si>
  <si>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</si>
  <si>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</si>
  <si>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</si>
  <si>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</si>
  <si>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</si>
  <si>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549300M0AUGU3NFNF319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</si>
  <si>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</si>
  <si>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</si>
  <si>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</si>
  <si>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</si>
  <si>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</si>
  <si>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</si>
  <si>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</si>
  <si>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</si>
  <si>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</si>
  <si>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</si>
  <si>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</si>
  <si>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</si>
  <si>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</si>
  <si>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</si>
  <si>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</si>
  <si>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</si>
  <si>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</si>
  <si>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</si>
  <si>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</si>
  <si>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</si>
  <si>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</si>
  <si>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</si>
  <si>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</si>
  <si>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</si>
  <si>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</si>
  <si>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</si>
  <si>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</si>
  <si>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</si>
  <si>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</si>
  <si>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</si>
  <si>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</si>
  <si>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</si>
  <si>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</si>
  <si>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>בתי זיקוק</t>
  </si>
  <si>
    <t>דנאל</t>
  </si>
  <si>
    <t>הבורסה לניע בתא</t>
  </si>
  <si>
    <t>פרטנר</t>
  </si>
  <si>
    <t xml:space="preserve">ישראל קנדה </t>
  </si>
  <si>
    <t>לפידות קפיטל</t>
  </si>
  <si>
    <t xml:space="preserve">מג'יק תעשיות תכנה 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</si>
  <si>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</si>
  <si>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</si>
  <si>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</si>
  <si>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</si>
  <si>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</si>
  <si>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</si>
  <si>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</si>
  <si>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 xml:space="preserve">קמטק 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</si>
  <si>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</si>
  <si>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</si>
  <si>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</si>
  <si>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</si>
  <si>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</si>
  <si>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</si>
  <si>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טלסיס </t>
  </si>
  <si>
    <t xml:space="preserve">ישראייר גרופ </t>
  </si>
  <si>
    <t>מלם תים</t>
  </si>
  <si>
    <t>מניף-פיננסים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</si>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</sst>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8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AA104-B359-42F7-A3E1-8051D01D2C8F}" name="סכום נכסי הקרן1" displayName="סכום_נכסי_הקרן1" ref="A5:C41" totalsRowShown="0" headerRowDxfId="639" dataDxfId="638">
  <tableColumns count="3">
    <tableColumn id="1" xr3:uid="{29021056-D7B1-41CA-A3A8-657AC4F56970}" name="עמודה1" dataDxfId="637"/>
    <tableColumn id="2" xr3:uid="{E2784BA7-03E6-4DBE-9283-68472B315A49}" name="שווי הוגן" dataDxfId="636"/>
    <tableColumn id="3" xr3:uid="{C34566CC-07A9-49B4-BE75-251566F7A686}" name="שיעור מנכסי השקעה" dataDxfId="63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5BCB46-E076-4413-A4BF-B9D0EAA12554}" name="סכום נכסי הקרן0" displayName="סכום_נכסי_הקרן0" ref="B42:C66" totalsRowShown="0" headerRowDxfId="634" dataDxfId="632" headerRowBorderDxfId="633" tableBorderDxfId="631" totalsRowBorderDxfId="630">
  <tableColumns count="2">
    <tableColumn id="1" xr3:uid="{6C83A6A3-75B6-42A8-B1D3-B2DD503088FC}" name="שם המטבע" dataDxfId="629"/>
    <tableColumn id="2" xr3:uid="{D0096AA5-9FD6-449D-8A5F-A8E74F07DBD0}" name="שע&quot;ח" dataDxfId="6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D547AB-3B9B-40BA-A8E0-A77099BF7C54}" name="מזומנים1" displayName="מזומנים1" ref="A5:K121" totalsRowShown="0" headerRowDxfId="627" headerRowBorderDxfId="626" tableBorderDxfId="625" headerRowCellStyle="Percent">
  <tableColumns count="11">
    <tableColumn id="1" xr3:uid="{AA3252E4-4A95-42AE-B271-4E04D7E67225}" name="שם המנפיק/שם נייר ערך" dataDxfId="624"/>
    <tableColumn id="2" xr3:uid="{893361B9-A7B4-470C-B970-32EC6731572F}" name="מספר נ&quot;ע" dataDxfId="623"/>
    <tableColumn id="3" xr3:uid="{FC719945-85BE-4666-B94D-343448D2B9A7}" name="מספר מנפיק" dataDxfId="622"/>
    <tableColumn id="4" xr3:uid="{12283C41-11A1-4B8B-987E-F24F78607B8F}" name="דירוג" dataDxfId="621"/>
    <tableColumn id="5" xr3:uid="{8FD247BE-4989-495A-B51A-90C605A371E5}" name="שם מדרג" dataDxfId="620" dataCellStyle="Percent"/>
    <tableColumn id="6" xr3:uid="{D5B4D5FE-AFF0-44EF-80A0-AADEC340784F}" name="סוג מטבע" dataDxfId="619"/>
    <tableColumn id="7" xr3:uid="{B800E452-2A56-4FB1-BBF0-D833B5A9B332}" name="שעור ריבית" dataDxfId="618" dataCellStyle="Percent"/>
    <tableColumn id="8" xr3:uid="{FF1FC479-2433-4305-9E47-F59F788A340D}" name="תשואה לפדיון" dataDxfId="617" dataCellStyle="Comma"/>
    <tableColumn id="9" xr3:uid="{FE23460C-3220-4626-9834-7CF71A8859C9}" name="שווי שוק" dataDxfId="616" dataCellStyle="Percent"/>
    <tableColumn id="10" xr3:uid="{74E3BA1E-B28E-4E1F-BDD5-7734F0C9F9A6}" name="שעור מנכסי אפיק ההשקעה" dataDxfId="615" dataCellStyle="Percent"/>
    <tableColumn id="11" xr3:uid="{67E6DB07-DC09-4108-BD3A-CC2509422604}" name="שעור מנכסי השקעה" dataDxfId="614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C86C81-F9D0-47C5-BABB-3D570B9B39DF}" name="תעודות התחייבות ממשלתיות1" displayName="תעודות_התחייבות_ממשלתיות1" ref="A6:Q25" totalsRowShown="0" headerRowDxfId="613" dataDxfId="611" headerRowBorderDxfId="612" tableBorderDxfId="610" headerRowCellStyle="Percent" dataCellStyle="Percent">
  <tableColumns count="17">
    <tableColumn id="1" xr3:uid="{B915FD60-CDDE-4EEA-ACBA-BFBB6C06A6BB}" name="שם המנפיק/שם נייר ערך" dataDxfId="609"/>
    <tableColumn id="2" xr3:uid="{DCFD551E-6DAF-4AB9-A1D4-0D291FF271D4}" name="מספר נ&quot;ע" dataDxfId="608"/>
    <tableColumn id="3" xr3:uid="{72B5DE39-13E9-4EAF-9F5F-1DBAFCE74621}" name="זירת מסחר" dataDxfId="607"/>
    <tableColumn id="4" xr3:uid="{2D142BFA-7EEE-4263-AC20-812E1F9EBF06}" name="דירוג" dataDxfId="606"/>
    <tableColumn id="5" xr3:uid="{367BF34D-E06A-4801-88FB-BEB171069086}" name="שם מדרג" dataDxfId="605" dataCellStyle="Percent"/>
    <tableColumn id="6" xr3:uid="{1EB02E1E-947B-4216-B124-47D3CD247D39}" name="תאריך רכישה" dataDxfId="604" dataCellStyle="Percent"/>
    <tableColumn id="7" xr3:uid="{C77D372D-7113-4773-8067-583FB3DC49EC}" name="מח&quot;מ" dataDxfId="603" dataCellStyle="Percent"/>
    <tableColumn id="8" xr3:uid="{379A129C-CD27-447F-92F4-A4E048F3E7E8}" name="סוג מטבע" dataDxfId="602"/>
    <tableColumn id="9" xr3:uid="{9AA3AECE-04D0-4F9D-A49A-7418C702C6E6}" name="שעור ריבית" dataDxfId="601" dataCellStyle="Percent"/>
    <tableColumn id="10" xr3:uid="{D70C41D2-25FE-443E-86E7-E4314A43CACD}" name="תשואה לפדיון" dataDxfId="600" dataCellStyle="Comma"/>
    <tableColumn id="11" xr3:uid="{335852E8-AD5D-44A8-A423-A60864227013}" name="ערך נקוב" dataDxfId="599" dataCellStyle="Comma"/>
    <tableColumn id="12" xr3:uid="{1EC9F5E5-30A2-4A7E-816C-9F5430F095E1}" name="שער" dataDxfId="598" dataCellStyle="Comma"/>
    <tableColumn id="13" xr3:uid="{A0FA35A3-4307-43DA-BFC1-5151D1102C9C}" name="פדיון/ריבית לקבל" dataDxfId="597" dataCellStyle="Comma"/>
    <tableColumn id="14" xr3:uid="{4377F9A2-7113-44FB-BFE2-13F9934C7F43}" name="שווי שוק" dataDxfId="596" dataCellStyle="Percent"/>
    <tableColumn id="15" xr3:uid="{B80ED804-4150-4FF3-BA42-1FDF253E5A73}" name="שעור מערך נקוב מונפק" dataDxfId="595" dataCellStyle="Percent"/>
    <tableColumn id="16" xr3:uid="{F4F43724-9528-4DB3-AE2B-8B300F0EB06B}" name="שעור מנכסי אפיק ההשקעה" dataDxfId="594" dataCellStyle="Percent"/>
    <tableColumn id="17" xr3:uid="{16174221-BA41-46A4-A0A8-71CAFB5BDB1C}" name="שעור מנכסי השקעה" dataDxfId="593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154C8D-0F4A-4A9D-A7B6-B68E64D7360D}" name="תעודות חוב מסחריות1" displayName="תעודות_חוב_מסחריות1" ref="A6:T21" totalsRowShown="0" headerRowDxfId="592" dataDxfId="590" headerRowBorderDxfId="591" tableBorderDxfId="589" headerRowCellStyle="Percent" dataCellStyle="Comma">
  <tableColumns count="20">
    <tableColumn id="1" xr3:uid="{925E59FA-AFF0-4445-966F-7246134011F3}" name="שם המנפיק/שם נייר ערך" dataDxfId="588"/>
    <tableColumn id="2" xr3:uid="{2816EA4B-71F2-48F3-9F5C-AD905193E0DD}" name="מספר נ&quot;ע" dataDxfId="587"/>
    <tableColumn id="3" xr3:uid="{6D9DDDDD-09AC-4E6D-A907-6451F4ADEDB4}" name="זירת מסחר" dataDxfId="586"/>
    <tableColumn id="4" xr3:uid="{5D2124D2-A102-4AFA-88BC-2EBDADCB89D7}" name="ספק מידע" dataDxfId="585"/>
    <tableColumn id="5" xr3:uid="{1F78BB95-8101-4B71-B6BD-30DA893B1F8A}" name="מספר מנפיק" dataDxfId="584"/>
    <tableColumn id="6" xr3:uid="{91E24576-8292-437B-B04F-35174FE6C881}" name="ענף מסחר" dataDxfId="583"/>
    <tableColumn id="7" xr3:uid="{FD2D5416-F281-43BB-BF5B-276B8A7A2E91}" name="דירוג" dataDxfId="582" dataCellStyle="Percent"/>
    <tableColumn id="8" xr3:uid="{5FE03F9E-A7C4-4FB1-8202-35246E190E8A}" name="שם מדרג" dataDxfId="581" dataCellStyle="Percent"/>
    <tableColumn id="9" xr3:uid="{B8B6C9B1-DBE5-4190-A18E-0F6BAB3A29C4}" name="תאריך רכישה" dataDxfId="580" dataCellStyle="Percent"/>
    <tableColumn id="10" xr3:uid="{F8DC0241-2F95-4233-8AD3-12FC478096B6}" name="מח&quot;מ" dataDxfId="579"/>
    <tableColumn id="11" xr3:uid="{B9D706BB-43E5-4EA8-9C73-2173666BF620}" name="סוג מטבע" dataDxfId="578" dataCellStyle="Percent"/>
    <tableColumn id="12" xr3:uid="{D9B7BEB1-AF79-4968-A389-DE1B279C6B2E}" name="שעור ריבית" dataDxfId="577" dataCellStyle="Comma"/>
    <tableColumn id="13" xr3:uid="{D094C0EB-7249-4217-8676-2E24FAD4B64E}" name="תשואה לפדיון" dataDxfId="576" dataCellStyle="Comma"/>
    <tableColumn id="14" xr3:uid="{93D33956-9352-4A3D-B779-2BE4AC027870}" name="ערך נקוב" dataDxfId="575" dataCellStyle="Comma"/>
    <tableColumn id="15" xr3:uid="{79F5B833-255F-47E9-B57C-7129AF660153}" name="שער" dataDxfId="574" dataCellStyle="Percent"/>
    <tableColumn id="16" xr3:uid="{E964455B-164F-4024-95AD-BD41D8E9A174}" name="פדיון/ריבית לקבל" dataDxfId="573" dataCellStyle="Percent"/>
    <tableColumn id="17" xr3:uid="{0AF63F5F-386A-4A67-AB25-B1B1A2F222DE}" name="שווי שוק" dataDxfId="572" dataCellStyle="Percent"/>
    <tableColumn id="18" xr3:uid="{66F791AF-062B-4ADB-80D1-3A573EF81ACB}" name="שעור מערך נקוב מונפק" dataDxfId="571" dataCellStyle="Comma"/>
    <tableColumn id="19" xr3:uid="{610F9877-4307-4F08-8597-A224FE63070A}" name="שעור מנכסי אפיק ההשקעה" dataDxfId="570" dataCellStyle="Comma"/>
    <tableColumn id="20" xr3:uid="{3C711B92-4ADF-4E93-B146-34D81F3BBD38}" name="שעור מנכסי השקעה" dataDxfId="569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3DB733-C6D6-43E2-82E4-383C996ECC7D}" name="אג&quot;ח קונצרני1" displayName="אג_ח_קונצרני1" ref="A6:T31" totalsRowShown="0" headerRowDxfId="568" dataDxfId="566" headerRowBorderDxfId="567" tableBorderDxfId="565" headerRowCellStyle="Percent" dataCellStyle="Comma">
  <tableColumns count="20">
    <tableColumn id="1" xr3:uid="{EB992D42-07F1-42F0-A0D0-94F746C08687}" name="שם המנפיק/שם נייר ערך" dataDxfId="564"/>
    <tableColumn id="2" xr3:uid="{46D8FDAE-31BA-46CB-82AA-883FBBA374CC}" name="מספר נ&quot;ע" dataDxfId="563"/>
    <tableColumn id="3" xr3:uid="{ADA0B791-A9AF-4723-A289-C6024FCC3324}" name="זירת מסחר" dataDxfId="562"/>
    <tableColumn id="4" xr3:uid="{7F1BBC41-0406-4211-97DF-AC20D69CFFB8}" name="ספק מידע" dataDxfId="561"/>
    <tableColumn id="5" xr3:uid="{261ED728-957F-4EBE-8728-8E6A4CD1BDD9}" name="מספר מנפיק" dataDxfId="560"/>
    <tableColumn id="6" xr3:uid="{F8F8A443-E2B1-44F1-9610-2083AE4102CC}" name="ענף מסחר" dataDxfId="559"/>
    <tableColumn id="7" xr3:uid="{7E1B2B1A-66C1-45F4-81AE-CFA71FA8AEA7}" name="דירוג" dataDxfId="558" dataCellStyle="Percent"/>
    <tableColumn id="8" xr3:uid="{72763791-0C18-4138-9FF8-A4DB34020632}" name="שם מדרג" dataDxfId="557" dataCellStyle="Percent"/>
    <tableColumn id="9" xr3:uid="{B7B9D52B-03DC-4922-989F-ED6E961C2CB1}" name="תאריך רכישה" dataDxfId="556" dataCellStyle="Percent"/>
    <tableColumn id="10" xr3:uid="{D90687FB-8FDC-41B1-AE79-2A13D43E92EC}" name="מח&quot;מ" dataDxfId="555"/>
    <tableColumn id="11" xr3:uid="{09F8B4E9-939B-4F72-9027-84ABA0AE5024}" name="סוג מטבע" dataDxfId="554" dataCellStyle="Percent"/>
    <tableColumn id="12" xr3:uid="{66BDED02-AF0A-4BA6-B2A1-92CA4569CDE2}" name="שעור ריבית" dataDxfId="553" dataCellStyle="Comma"/>
    <tableColumn id="13" xr3:uid="{11D1CFB7-9B3F-417A-854E-BE6F38E7810C}" name="תשואה לפדיון" dataDxfId="552" dataCellStyle="Comma"/>
    <tableColumn id="14" xr3:uid="{7AA0A31B-D568-49B2-B576-F4A73E85E4D7}" name="ערך נקוב" dataDxfId="551" dataCellStyle="Comma"/>
    <tableColumn id="15" xr3:uid="{D47987FE-0EFA-4D2C-B78A-AB787FC9C013}" name="שער" dataDxfId="550" dataCellStyle="Percent"/>
    <tableColumn id="16" xr3:uid="{667112B7-268D-4048-AA7B-194DD056F2E3}" name="פדיון/ריבית לקבל" dataDxfId="549" dataCellStyle="Percent"/>
    <tableColumn id="17" xr3:uid="{7CF00518-8EED-4BEB-AA60-6593274496FD}" name="שווי שוק" dataDxfId="548" dataCellStyle="Percent"/>
    <tableColumn id="18" xr3:uid="{D8328A01-4E16-4F0A-9384-EEA5597F1617}" name="שעור מערך נקוב מונפק" dataDxfId="547" dataCellStyle="Comma"/>
    <tableColumn id="19" xr3:uid="{89D53F2D-EACD-476B-9CC0-CF0228CBDE75}" name="שעור מנכסי אפיק ההשקעה" dataDxfId="546" dataCellStyle="Comma"/>
    <tableColumn id="20" xr3:uid="{6FC656A8-2899-4C95-A771-2A403F51B678}" name="שעור מנכסי השקעה" dataDxfId="54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825FD7-7A71-4729-8D76-8BAC7F829B37}" name="מניות1" displayName="מניות1" ref="A6:N279" totalsRowShown="0" headerRowDxfId="544" dataDxfId="542" headerRowBorderDxfId="543" tableBorderDxfId="541" headerRowCellStyle="Percent" dataCellStyle="Percent">
  <tableColumns count="14">
    <tableColumn id="1" xr3:uid="{8453C443-BD47-4400-98EC-96A70DB85F60}" name="שם המנפיק/שם נייר ערך" dataDxfId="540"/>
    <tableColumn id="2" xr3:uid="{1E7DF53D-D7E9-48D1-84EB-F6A9EDBFF61A}" name="מספר נ&quot;ע" dataDxfId="539"/>
    <tableColumn id="3" xr3:uid="{EC39D536-F41E-4339-AC93-FF126BAA4504}" name="זירת מסחר" dataDxfId="538"/>
    <tableColumn id="4" xr3:uid="{B9F8FDC5-63A0-42A6-9376-D6E4B5541314}" name="ספק מידע" dataDxfId="537"/>
    <tableColumn id="5" xr3:uid="{8E3C82AD-33D4-448A-B5CB-08F9F5F61FBB}" name="מספר מנפיק" dataDxfId="536"/>
    <tableColumn id="6" xr3:uid="{17031186-D3BD-470C-B402-F40EC39FD2AA}" name="ענף מסחר" dataDxfId="535"/>
    <tableColumn id="7" xr3:uid="{67695151-D2BE-42B6-A27E-2B9F2D4EC923}" name="סוג מטבע" dataDxfId="534" dataCellStyle="Percent"/>
    <tableColumn id="8" xr3:uid="{A2EBE714-D630-4787-A018-CF1092D65E11}" name="ערך נקוב" dataDxfId="533" dataCellStyle="Percent"/>
    <tableColumn id="9" xr3:uid="{F7F7FB0B-4D64-411C-866C-3A5D4B79D787}" name="שער" dataDxfId="532" dataCellStyle="Percent"/>
    <tableColumn id="10" xr3:uid="{578BEFF4-CB02-406A-8DCC-3FD14B24C9D5}" name="פדיון/ריבית לקבל" dataDxfId="531" dataCellStyle="Percent"/>
    <tableColumn id="11" xr3:uid="{4B1683D8-6C79-437E-BC95-81368821AD13}" name="שווי שוק" dataDxfId="530"/>
    <tableColumn id="12" xr3:uid="{377BC960-B7FE-4B89-AAE1-DA6FCE055E56}" name="שעור מערך נקוב מונפק" dataDxfId="529" dataCellStyle="Percent"/>
    <tableColumn id="13" xr3:uid="{33D6AE5B-B13A-4154-AAF6-895DC10D4A40}" name="שעור מנכסי אפיק ההשקעה" dataDxfId="528" dataCellStyle="Percent"/>
    <tableColumn id="14" xr3:uid="{E8BCD726-FABE-45B0-BE17-157AAB0E551D}" name="שעור מנכסי השקעה" dataDxfId="52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27554F-8015-4C6A-84C6-46431EC9ABF4}" name="קרנות סל1" displayName="קרנות_סל1" ref="A6:M84" totalsRowShown="0" headerRowDxfId="526" dataDxfId="524" headerRowBorderDxfId="525" tableBorderDxfId="523" headerRowCellStyle="Percent" dataCellStyle="Percent">
  <tableColumns count="13">
    <tableColumn id="1" xr3:uid="{C3F8B7E9-4855-41BB-942B-D1F83F4D3658}" name="שם המנפיק/שם נייר ערך" dataDxfId="522"/>
    <tableColumn id="2" xr3:uid="{3A2165ED-B33E-44B7-9EEF-B64AE99CE201}" name="מספר נ&quot;ע" dataDxfId="521"/>
    <tableColumn id="3" xr3:uid="{FD4881CA-F0C9-4DFE-BB7B-DB6B3044CCDC}" name="זירת מסחר" dataDxfId="520"/>
    <tableColumn id="4" xr3:uid="{15787996-E384-4AFA-8BE4-633942AC6E1D}" name="מספר מנפיק" dataDxfId="519"/>
    <tableColumn id="5" xr3:uid="{DF0151A2-36DB-40D4-90E9-5F191A628494}" name="ענף מסחר" dataDxfId="518"/>
    <tableColumn id="6" xr3:uid="{36214036-999A-45C1-AEE6-395734CE4F1B}" name="סוג מטבע" dataDxfId="517"/>
    <tableColumn id="7" xr3:uid="{ED3ABEEC-5E8B-4E4C-B5E1-BA963B83F840}" name="ערך נקוב" dataDxfId="516" dataCellStyle="Percent"/>
    <tableColumn id="8" xr3:uid="{3A00E1C5-A17D-46CA-BC80-64279F9F664B}" name="שער" dataDxfId="515" dataCellStyle="Percent"/>
    <tableColumn id="9" xr3:uid="{2EBD4BA4-E8BB-4496-8357-8C6A15217FA8}" name="פדיון/ריבית לקבל" dataDxfId="514" dataCellStyle="Percent"/>
    <tableColumn id="10" xr3:uid="{01914A21-BCDC-4207-9B0A-F829D4AD33A2}" name="שווי שוק" dataDxfId="513" dataCellStyle="Percent"/>
    <tableColumn id="11" xr3:uid="{8D4A3C9B-686A-4C43-9290-F55C4A25E7D0}" name="שעור מערך נקוב מונפק" dataDxfId="512"/>
    <tableColumn id="12" xr3:uid="{8D780C34-72BB-4F9D-9FA7-2387D591A65D}" name="שעור מנכסי אפיק ההשקעה" dataDxfId="511"/>
    <tableColumn id="13" xr3:uid="{9BDEF2DB-4A05-463D-B516-9BC28C6756F0}" name="שעור מנכסי השקעה" dataDxfId="510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E7A46D-84BE-4BDD-A2B6-8756F7098FD6}" name="קרנות נאמנות1" displayName="קרנות_נאמנות1" ref="A6:N38" totalsRowShown="0" headerRowDxfId="509" dataDxfId="507" headerRowBorderDxfId="508" tableBorderDxfId="506" headerRowCellStyle="Percent" dataCellStyle="Comma">
  <tableColumns count="14">
    <tableColumn id="1" xr3:uid="{ED944FBA-07B5-4628-9047-28751E22BF5E}" name="שם המנפיק/שם נייר ערך" dataDxfId="505"/>
    <tableColumn id="2" xr3:uid="{47CFCAE4-84C9-48C6-A47D-8281525AC8D2}" name="מספר נ&quot;ע" dataDxfId="504"/>
    <tableColumn id="3" xr3:uid="{CEB439B3-F784-4F2E-ADC1-1310C7CAED68}" name="זירת מסחר" dataDxfId="503"/>
    <tableColumn id="4" xr3:uid="{E50BFC7F-08EB-48E8-94E5-1F1EE8D3AC07}" name="מספר מנפיק" dataDxfId="502"/>
    <tableColumn id="5" xr3:uid="{6AD3A201-2835-4F09-B7B5-057DD4325727}" name="ענף מסחר" dataDxfId="501"/>
    <tableColumn id="6" xr3:uid="{0FF709F9-6245-479A-845A-E5CB70592361}" name="דירוג" dataDxfId="500" dataCellStyle="Percent"/>
    <tableColumn id="7" xr3:uid="{71FB2ACE-C66F-4BBE-AAD4-577B25BFEF6A}" name="שם מדרג" dataDxfId="499" dataCellStyle="Percent"/>
    <tableColumn id="8" xr3:uid="{D5428F8A-B084-4FAA-9FC1-C913FD174DE0}" name="סוג מטבע" dataDxfId="498" dataCellStyle="Percent"/>
    <tableColumn id="9" xr3:uid="{C370ABEC-B710-4F17-A0CD-16D549F55B55}" name="ערך נקוב" dataDxfId="497"/>
    <tableColumn id="10" xr3:uid="{DB4AE8A9-A99C-46CA-89F6-22DDE9162B4A}" name="שער" dataDxfId="496" dataCellStyle="Percent"/>
    <tableColumn id="11" xr3:uid="{541BB1AE-8FE9-405F-AB99-4927BA5A91F4}" name="שווי שוק" dataDxfId="495" dataCellStyle="Comma"/>
    <tableColumn id="12" xr3:uid="{03331998-46BE-4DA9-B712-895903201368}" name="שעור מערך נקוב מונפק" dataDxfId="494" dataCellStyle="Comma"/>
    <tableColumn id="13" xr3:uid="{5D574363-F542-4307-9D85-B404781271A6}" name="שעור מנכסי אפיק ההשקעה" dataDxfId="493" dataCellStyle="Comma"/>
    <tableColumn id="14" xr3:uid="{FB1E4DF9-BBEE-4178-AACD-A8A8EB735973}" name="שעור מנכסי השקעה" dataDxfId="492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9507EB-BCEF-4488-931F-93C11F35DB5D}" name="כתבי אופציה1" displayName="כתבי_אופציה1" ref="A6:K35" totalsRowShown="0" headerRowDxfId="491" dataDxfId="489" headerRowBorderDxfId="490" tableBorderDxfId="488" headerRowCellStyle="Percent" dataCellStyle="Percent">
  <tableColumns count="11">
    <tableColumn id="1" xr3:uid="{08C0BC78-4CB9-400C-AA23-5F30B60C3F2D}" name="שם המנפיק/שם נייר ערך" dataDxfId="487"/>
    <tableColumn id="2" xr3:uid="{C10B1D58-806F-4FE3-82ED-772C13BAA122}" name="מספר נ&quot;ע" dataDxfId="486"/>
    <tableColumn id="3" xr3:uid="{8CAEA728-FD37-449A-A380-E2CC0FFC2457}" name="זירת מסחר" dataDxfId="485"/>
    <tableColumn id="4" xr3:uid="{403104FE-6E02-49CB-8A0C-48E5AE750F8F}" name="ענף מסחר" dataDxfId="484"/>
    <tableColumn id="5" xr3:uid="{52A65E5D-A502-4F0E-9CC8-D4E8C6E0138F}" name="סוג מטבע" dataDxfId="483" dataCellStyle="Percent"/>
    <tableColumn id="6" xr3:uid="{0C0551AA-65DC-4000-AD19-D65D15757D78}" name="ערך נקוב" dataDxfId="482" dataCellStyle="Percent"/>
    <tableColumn id="7" xr3:uid="{7143CDC1-E99F-4476-93F7-2CBA3E27265B}" name="שער" dataDxfId="481" dataCellStyle="Percent"/>
    <tableColumn id="8" xr3:uid="{141D1E06-341E-4BF4-9160-A1CFA2ECEAB7}" name="שווי שוק" dataDxfId="480"/>
    <tableColumn id="9" xr3:uid="{1E9B0145-7CB2-4E46-8B05-16A385C1BD91}" name="שעור מערך נקוב מונפק" dataDxfId="479" dataCellStyle="Percent"/>
    <tableColumn id="10" xr3:uid="{A43EFD65-82B9-4295-9EA5-91D1A131AFC2}" name="שעור מנכסי אפיק ההשקעה" dataDxfId="478" dataCellStyle="Percent"/>
    <tableColumn id="11" xr3:uid="{6A588121-111F-498A-BB15-134C49D84017}" name="שעור מנכסי השקעה" dataDxfId="477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239FA10-7178-44C1-A216-AFD38FE6AF21}" name="אופציות1" displayName="אופציות1" ref="A6:K31" totalsRowShown="0" headerRowDxfId="476" dataDxfId="474" headerRowBorderDxfId="475" tableBorderDxfId="473" headerRowCellStyle="Percent" dataCellStyle="Percent">
  <tableColumns count="11">
    <tableColumn id="1" xr3:uid="{7C5B2156-9F03-4D07-8C1E-FB545AA29F74}" name="שם המנפיק/שם נייר ערך" dataDxfId="472"/>
    <tableColumn id="2" xr3:uid="{9F9B518C-6B1E-47C9-AFBD-9AEAAA2747B6}" name="מספר נ&quot;ע" dataDxfId="471"/>
    <tableColumn id="3" xr3:uid="{5CB1C769-38F4-47E1-B1DE-4FF6A4D7D98F}" name="זירת מסחר" dataDxfId="470"/>
    <tableColumn id="4" xr3:uid="{291EC3F4-E9C8-454B-AA7B-C15B7BAE587E}" name="ענף מסחר" dataDxfId="469"/>
    <tableColumn id="5" xr3:uid="{6618463C-7B2E-47CB-8DE0-06B29A59F5E2}" name="סוג מטבע" dataDxfId="468"/>
    <tableColumn id="6" xr3:uid="{F0E97455-11BD-42D6-A7FC-4FC77B46C050}" name="ערך נקוב" dataDxfId="467" dataCellStyle="Percent"/>
    <tableColumn id="7" xr3:uid="{BF096611-C87C-4B99-B679-AF5B945E9362}" name="שער" dataDxfId="466" dataCellStyle="Percent"/>
    <tableColumn id="8" xr3:uid="{2D7A0BB2-905A-4259-B517-0C9F0C383FC8}" name="שווי שוק" dataDxfId="465" dataCellStyle="Percent"/>
    <tableColumn id="9" xr3:uid="{842F0ADD-6E7E-4008-8F26-A5C706D54CB3}" name="שעור מערך נקוב מונפק" dataDxfId="464"/>
    <tableColumn id="10" xr3:uid="{E11210B4-9255-421D-8B04-527BEC9377CE}" name="שעור מנכסי אפיק ההשקעה" dataDxfId="463" dataCellStyle="Percent"/>
    <tableColumn id="11" xr3:uid="{73C92B05-9694-4539-BCBF-9B90BA0BBA13}" name="שעור מנכסי השקעה" dataDxfId="462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189D01-CBA5-4CBF-85AA-CC62B4E64F99}" name="חוזים עתידיים1" displayName="חוזים_עתידיים1" ref="A6:J26" totalsRowShown="0" headerRowDxfId="461" dataDxfId="459" headerRowBorderDxfId="460" tableBorderDxfId="458" headerRowCellStyle="Percent" dataCellStyle="Percent">
  <tableColumns count="10">
    <tableColumn id="1" xr3:uid="{03C0BAF4-212E-4C31-B815-75CF71F8C5D8}" name="שם המנפיק/שם נייר ערך" dataDxfId="457"/>
    <tableColumn id="2" xr3:uid="{042C49B8-8D9F-4ED5-89A7-6AE9123F6803}" name="מספר נ&quot;ע" dataDxfId="456"/>
    <tableColumn id="3" xr3:uid="{3D0F4C99-EC5A-48F0-8393-5AE6C421A196}" name="זירת מסחר" dataDxfId="455"/>
    <tableColumn id="4" xr3:uid="{9B5C10C7-0407-4676-AD46-52E8C4C98EEB}" name="ענף מסחר" dataDxfId="454"/>
    <tableColumn id="5" xr3:uid="{953AE369-0EBD-406C-8BD1-DE8E6D1C0F07}" name="סוג מטבע" dataDxfId="453" dataCellStyle="Percent"/>
    <tableColumn id="6" xr3:uid="{0758304C-44C8-49BC-9ED2-10FF8F88A18E}" name="ערך נקוב" dataDxfId="452" dataCellStyle="Percent"/>
    <tableColumn id="7" xr3:uid="{E246EC8E-6584-4A4B-AB73-7F6EFBBF0FFA}" name="שער" dataDxfId="451" dataCellStyle="Percent"/>
    <tableColumn id="8" xr3:uid="{7DFF1B71-910A-4180-A4E6-D9D8D7B4FA0D}" name="שווי שוק" dataDxfId="450"/>
    <tableColumn id="9" xr3:uid="{814E3A12-479C-4A4B-8160-1429E043B863}" name="שעור מנכסי אפיק ההשקעה" dataDxfId="449"/>
    <tableColumn id="10" xr3:uid="{FD7C93BC-C032-4D43-9C5E-E0107E9F0ABB}" name="שעור מנכסי השקעה" dataDxfId="448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3D6EDBB-E97E-4997-87FB-CEEED9D21707}" name="מוצרים מובנים1" displayName="מוצרים_מובנים1" ref="A6:P31" totalsRowShown="0" headerRowDxfId="447" dataDxfId="445" headerRowBorderDxfId="446" tableBorderDxfId="444" headerRowCellStyle="Percent" dataCellStyle="Comma">
  <tableColumns count="16">
    <tableColumn id="1" xr3:uid="{D103C96A-547C-42DA-BEC6-47308B4F26F4}" name="שם המנפיק/שם נייר ערך" dataDxfId="443"/>
    <tableColumn id="2" xr3:uid="{FAD83E0F-20DE-4337-8FF9-99FA1B6233FC}" name="מספר נ&quot;ע" dataDxfId="442"/>
    <tableColumn id="3" xr3:uid="{06776C53-CB84-43A4-AE07-C6938486EA11}" name="נכס הבסיס" dataDxfId="441"/>
    <tableColumn id="4" xr3:uid="{D1B84575-76D0-47EA-8B57-31EBBB1E04C6}" name="דירוג" dataDxfId="440" dataCellStyle="Percent"/>
    <tableColumn id="5" xr3:uid="{B3E094F4-5EB4-48BD-9B49-95D9C161E1DA}" name="שם מדרג" dataDxfId="439" dataCellStyle="Percent"/>
    <tableColumn id="6" xr3:uid="{1EF75B9F-8B0F-45D0-AC67-17DC3613F76F}" name="תאריך רכישה" dataDxfId="438" dataCellStyle="Percent"/>
    <tableColumn id="7" xr3:uid="{D34F7370-F96A-4619-958E-DAF46E270147}" name="מח&quot;מ" dataDxfId="437"/>
    <tableColumn id="8" xr3:uid="{BA3969EA-A548-4BB2-84D6-97C0EB2A1974}" name="סוג מטבע" dataDxfId="436" dataCellStyle="Percent"/>
    <tableColumn id="9" xr3:uid="{2901537B-A7EF-475F-9292-DDBD2CC3F3D8}" name="שעור ריבית" dataDxfId="435" dataCellStyle="Comma"/>
    <tableColumn id="10" xr3:uid="{8AEFD97E-CC82-42B5-B063-CF6EF3399631}" name="תשואה לפדיון" dataDxfId="434" dataCellStyle="Comma"/>
    <tableColumn id="11" xr3:uid="{DB9F9C68-5CC3-4CD0-975F-23AB3562CF74}" name="ערך נקוב" dataDxfId="433" dataCellStyle="Comma"/>
    <tableColumn id="12" xr3:uid="{CA922C9D-2F2D-4006-9080-9A563953CA60}" name="שער" dataDxfId="432" dataCellStyle="Percent"/>
    <tableColumn id="13" xr3:uid="{9F6B3012-9717-4CE5-A496-F55F70E21432}" name="שווי שוק" dataDxfId="431" dataCellStyle="Percent"/>
    <tableColumn id="14" xr3:uid="{4F610B00-F218-44D6-88C1-93A5DAE7769E}" name="שעור מערך נקוב מונפק" dataDxfId="430" dataCellStyle="Comma"/>
    <tableColumn id="15" xr3:uid="{A90E7610-F883-4B31-9140-8E478B3A6B6F}" name="שעור מנכסי אפיק ההשקעה" dataDxfId="429" dataCellStyle="Comma"/>
    <tableColumn id="16" xr3:uid="{BF277734-6595-4F66-AD6E-143D0AD3ABA7}" name="שעור מנכסי השקעה" dataDxfId="428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E5B7B8-D5A9-472C-9528-77B7F8D15430}" name="לא סחיר- תעודות התחייבות ממשלתי1" displayName="לא_סחיר__תעודות_התחייבות_ממשלתי1" ref="A6:O23" totalsRowShown="0" headerRowDxfId="427" dataDxfId="425" headerRowBorderDxfId="426" tableBorderDxfId="424" headerRowCellStyle="Percent" dataCellStyle="Percent">
  <tableColumns count="15">
    <tableColumn id="1" xr3:uid="{3B1E1F84-971F-4CA6-9067-6366DCE1B01F}" name="שם המנפיק/שם נייר ערך" dataDxfId="423"/>
    <tableColumn id="2" xr3:uid="{1A9D9F29-5E55-479A-84E2-6B97CF7A5009}" name="מספר נ&quot;ע" dataDxfId="422"/>
    <tableColumn id="3" xr3:uid="{080CBD5D-1C86-4CC1-B24A-96ACF7B4B3FA}" name="דירוג" dataDxfId="421"/>
    <tableColumn id="4" xr3:uid="{337BDE27-CD79-4757-BC6D-9FF55918EE8E}" name="שם מדרג" dataDxfId="420" dataCellStyle="Percent"/>
    <tableColumn id="5" xr3:uid="{E0AAEA9A-1F86-4DDC-A5B8-2EAF6A358447}" name="תאריך רכישה" dataDxfId="419" dataCellStyle="Percent"/>
    <tableColumn id="6" xr3:uid="{6C6DDC48-7D99-48AF-A4A9-0ED08D5CCB26}" name="מח&quot;מ" dataDxfId="418" dataCellStyle="Percent"/>
    <tableColumn id="7" xr3:uid="{509A21C9-2C27-48B2-B8DF-E872FD28BD1B}" name="סוג מטבע" dataDxfId="417"/>
    <tableColumn id="8" xr3:uid="{094BE4B1-DF57-4B00-8E94-3B9723BC78EA}" name="שעור ריבית" dataDxfId="416" dataCellStyle="Percent"/>
    <tableColumn id="9" xr3:uid="{56246B03-B04D-4AE7-AADB-673DBE9FB895}" name="תשואה לפדיון" dataDxfId="415" dataCellStyle="Comma"/>
    <tableColumn id="10" xr3:uid="{87666231-92B5-48A3-9ABE-439F0C09AA56}" name="ערך נקוב" dataDxfId="414" dataCellStyle="Comma"/>
    <tableColumn id="11" xr3:uid="{AEC7C5BA-78C1-4539-A732-37C123B55416}" name="שער" dataDxfId="413" dataCellStyle="Comma"/>
    <tableColumn id="12" xr3:uid="{387DB0DA-015A-4FDC-A3CB-4BA08E4A4C97}" name="שווי הוגן" dataDxfId="412" dataCellStyle="Percent"/>
    <tableColumn id="13" xr3:uid="{07B0ACD2-B9DC-4274-AC75-3AE4BC182D11}" name="שעור מערך נקוב מונפק" dataDxfId="411" dataCellStyle="Percent"/>
    <tableColumn id="14" xr3:uid="{058444EE-7D5B-4889-856E-9CDE47FD4763}" name="שעור מנכסי אפיק ההשקעה" dataDxfId="410" dataCellStyle="Percent"/>
    <tableColumn id="15" xr3:uid="{BF4D8FC1-9042-4EAB-8E63-139F331140A5}" name="שעור מנכסי השקעה" dataDxfId="409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9F739D1-38B8-40CC-A806-748359381D0A}" name="לא סחיר - תעודות חוב מסחריות1" displayName="לא_סחיר___תעודות_חוב_מסחריות1" ref="A6:R22" totalsRowShown="0" headerRowDxfId="408" dataDxfId="406" headerRowBorderDxfId="407" tableBorderDxfId="405" headerRowCellStyle="Percent" dataCellStyle="Comma">
  <tableColumns count="18">
    <tableColumn id="1" xr3:uid="{ECD3D646-901A-4EE5-9EA2-90BA4B82D9DA}" name="שם המנפיק/שם נייר ערך" dataDxfId="404"/>
    <tableColumn id="2" xr3:uid="{7039002E-63B2-4F14-8B93-5FDC378ECE66}" name="מספר נ&quot;ע" dataDxfId="403"/>
    <tableColumn id="3" xr3:uid="{D7860E61-16A9-4CE9-8FA7-3AE0A4026F7A}" name="ספק המידע" dataDxfId="402"/>
    <tableColumn id="4" xr3:uid="{682D91D0-5FAA-4445-BC30-FE5DE8CF9560}" name="מספר מנפיק" dataDxfId="401"/>
    <tableColumn id="5" xr3:uid="{1879AE8A-2782-437C-BCE2-B8342E29F827}" name="ענף מסחר" dataDxfId="400"/>
    <tableColumn id="6" xr3:uid="{4425DCA1-80D9-488C-A2D2-F5477A4E3ADD}" name="דירוג" dataDxfId="399" dataCellStyle="Percent"/>
    <tableColumn id="7" xr3:uid="{76C9D548-EF13-44F2-A5EA-726F02205CE0}" name="שם מדרג" dataDxfId="398" dataCellStyle="Percent"/>
    <tableColumn id="8" xr3:uid="{8C686224-EC3C-456E-B529-87E28844440C}" name="תאריך רכישה" dataDxfId="397" dataCellStyle="Percent"/>
    <tableColumn id="9" xr3:uid="{1F78BA5C-F61F-4C63-967A-3F46C1D5D3AF}" name="מח&quot;מ" dataDxfId="396"/>
    <tableColumn id="10" xr3:uid="{266037DD-A06C-4198-ADCB-E112751ED6B0}" name="סוג מטבע" dataDxfId="395" dataCellStyle="Percent"/>
    <tableColumn id="11" xr3:uid="{BA2CB5C4-CC66-42B3-B210-5707A44BAF70}" name="שעור ריבית" dataDxfId="394" dataCellStyle="Comma"/>
    <tableColumn id="12" xr3:uid="{4EB76FF4-34FC-482A-9697-5DAE209893F8}" name="תשואה לפדיון" dataDxfId="393" dataCellStyle="Comma"/>
    <tableColumn id="13" xr3:uid="{B5F01158-0584-478B-AD68-06942CEBE7EC}" name="ערך נקוב" dataDxfId="392" dataCellStyle="Comma"/>
    <tableColumn id="14" xr3:uid="{8700593D-B245-4FB2-B892-79A33ABD810E}" name="שער" dataDxfId="391" dataCellStyle="Percent"/>
    <tableColumn id="15" xr3:uid="{317B0B86-63EC-4744-B9F8-BE2FADB1EF72}" name="שווי הוגן" dataDxfId="390" dataCellStyle="Percent"/>
    <tableColumn id="16" xr3:uid="{39811870-D836-4345-8F35-EA8340BFEADD}" name="שעור מערך נקוב מונפק" dataDxfId="389" dataCellStyle="Comma"/>
    <tableColumn id="17" xr3:uid="{3359E093-9DAC-40C5-8CAF-FB7D2A3B4283}" name="שעור מנכסי אפיק ההשקעה" dataDxfId="388" dataCellStyle="Comma"/>
    <tableColumn id="18" xr3:uid="{34492DA9-2AD5-4758-AF00-BADC89097B2C}" name="שעור מנכסי השקעה" dataDxfId="38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71223A8-34A0-4F93-9F7A-002D85293D11}" name="לא סחיר - אג&quot;ח קונצרני1" displayName="לא_סחיר___אג_ח_קונצרני1" ref="A6:R25" totalsRowShown="0" headerRowDxfId="386" dataDxfId="384" headerRowBorderDxfId="385" tableBorderDxfId="383" headerRowCellStyle="Percent" dataCellStyle="Comma">
  <tableColumns count="18">
    <tableColumn id="1" xr3:uid="{F1341A74-74CC-470D-8A1B-35B6D7E45A64}" name="שם המנפיק/שם נייר ערך" dataDxfId="382"/>
    <tableColumn id="2" xr3:uid="{071EE7D8-4368-49F6-BCFA-18B932731AF1}" name="מספר נ&quot;ע" dataDxfId="381"/>
    <tableColumn id="3" xr3:uid="{EBB2B4C1-F8B2-45ED-9990-D1A496E1D864}" name="ספק המידע" dataDxfId="380"/>
    <tableColumn id="4" xr3:uid="{7B9B4582-7272-42EB-881E-D399331EC0F8}" name="מספר מנפיק" dataDxfId="379"/>
    <tableColumn id="5" xr3:uid="{CD16BE8B-4DC5-4BE9-A9C5-B10112206534}" name="ענף מסחר" dataDxfId="378"/>
    <tableColumn id="6" xr3:uid="{243E9095-E7EF-4D96-A37C-BFC7BC2E20D2}" name="דירוג" dataDxfId="377" dataCellStyle="Percent"/>
    <tableColumn id="7" xr3:uid="{CC8D561F-3FB8-4823-AB6F-AA8218968490}" name="שם מדרג" dataDxfId="376" dataCellStyle="Percent"/>
    <tableColumn id="8" xr3:uid="{243B4BA6-087A-4FA0-85C1-A8D43379A997}" name="תאריך רכישה" dataDxfId="375" dataCellStyle="Percent"/>
    <tableColumn id="9" xr3:uid="{76D20CE3-F0B9-4040-9E60-160E2BE8C186}" name="מח&quot;מ" dataDxfId="374"/>
    <tableColumn id="10" xr3:uid="{A7C27413-C1C1-43AE-AC90-6C9D16868B59}" name="סוג מטבע" dataDxfId="373" dataCellStyle="Percent"/>
    <tableColumn id="11" xr3:uid="{114ECFA6-A33D-4347-88E8-6D224421CC1D}" name="שעור ריבית" dataDxfId="372" dataCellStyle="Comma"/>
    <tableColumn id="12" xr3:uid="{4146A8DB-B393-4A62-B72C-F029E081B805}" name="תשואה לפדיון" dataDxfId="371" dataCellStyle="Comma"/>
    <tableColumn id="13" xr3:uid="{59B85BCC-7273-4709-9393-D696C4F93553}" name="ערך נקוב" dataDxfId="370" dataCellStyle="Comma"/>
    <tableColumn id="14" xr3:uid="{C9FC0908-C96B-4AB8-AC9B-053E8675E900}" name="שער" dataDxfId="369" dataCellStyle="Percent"/>
    <tableColumn id="15" xr3:uid="{53200598-DECF-4180-BB9A-99260B879400}" name="שווי הוגן" dataDxfId="368" dataCellStyle="Percent"/>
    <tableColumn id="16" xr3:uid="{72BBD49D-0E6E-4E2D-8032-71675F5BFBB9}" name="שעור מערך נקוב מונפק" dataDxfId="367" dataCellStyle="Comma"/>
    <tableColumn id="17" xr3:uid="{D06C1E02-E8F9-4863-AC10-12146CF6BE20}" name="שעור מנכסי אפיק ההשקעה" dataDxfId="366" dataCellStyle="Comma"/>
    <tableColumn id="18" xr3:uid="{26224F75-B2E0-4CF9-B721-0D93B61002FA}" name="שעור מנכסי השקעה" dataDxfId="365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79B6030-4B44-410F-9F43-82A16F472735}" name="לא סחיר - מניות1" displayName="לא_סחיר___מניות1" ref="A6:L50" totalsRowShown="0" headerRowDxfId="364" dataDxfId="362" headerRowBorderDxfId="363" tableBorderDxfId="361" headerRowCellStyle="Percent" dataCellStyle="Percent">
  <tableColumns count="12">
    <tableColumn id="1" xr3:uid="{C1619AE1-3699-4D22-83F1-4962F8196637}" name="שם המנפיק/שם נייר ערך" dataDxfId="360"/>
    <tableColumn id="2" xr3:uid="{F11685EA-94AE-4BF9-8B17-08F9B6DC0B6A}" name="מספר נ&quot;ע" dataDxfId="359"/>
    <tableColumn id="3" xr3:uid="{5A53F511-8F00-44CE-B280-DEB2B0C23E1B}" name="ספק המידע" dataDxfId="358"/>
    <tableColumn id="4" xr3:uid="{84DADFD4-C967-47B6-93FE-F3689C6F6AC2}" name="מספר מנפיק" dataDxfId="357"/>
    <tableColumn id="5" xr3:uid="{C13973E6-DDC9-41B1-B8A1-041E9C6B1599}" name="ענף מסחר" dataDxfId="356"/>
    <tableColumn id="6" xr3:uid="{FB27DFE2-96E3-4672-BB57-156FB4285323}" name="סוג מטבע" dataDxfId="355" dataCellStyle="Percent"/>
    <tableColumn id="7" xr3:uid="{F73159B0-9C5F-40CC-B12C-1DF2CD4482D1}" name="ערך נקוב" dataDxfId="354" dataCellStyle="Percent"/>
    <tableColumn id="8" xr3:uid="{C7575550-38BE-4904-9FDB-80E6055AB03D}" name="שער" dataDxfId="353" dataCellStyle="Percent"/>
    <tableColumn id="9" xr3:uid="{C445C5FA-0DFC-4E40-8BC2-826B89E2740F}" name="שווי שוק" dataDxfId="352"/>
    <tableColumn id="10" xr3:uid="{EE9ED325-D176-4DCB-ABD8-24F3EB92AEAD}" name="שעור מערך נקוב מונפק" dataDxfId="351" dataCellStyle="Percent"/>
    <tableColumn id="11" xr3:uid="{983472B0-4C52-441F-ACF1-6F844E543C7F}" name="שעור מנכסי אפיק ההשקעה" dataDxfId="350" dataCellStyle="Percent"/>
    <tableColumn id="12" xr3:uid="{A71748DD-16D6-47E7-9D1C-DD41AED8A7A0}" name="שעור מנכסי השקעה" dataDxfId="349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2DF88C4-C290-4387-B808-29F2234697F8}" name="לא סחיר - קרנות השקעה1" displayName="לא_סחיר___קרנות_השקעה1" ref="A6:J50" totalsRowShown="0" headerRowDxfId="348" dataDxfId="346" headerRowBorderDxfId="347" tableBorderDxfId="345" headerRowCellStyle="Percent" dataCellStyle="Comma">
  <tableColumns count="10">
    <tableColumn id="1" xr3:uid="{6C7E31A0-1834-4012-9B96-D8B4BB0BAFE2}" name="שם המנפיק/שם נייר ערך" dataDxfId="344"/>
    <tableColumn id="2" xr3:uid="{68C303EA-1D17-4653-8533-916008F83C5E}" name="מספר נ&quot;ע" dataDxfId="343"/>
    <tableColumn id="3" xr3:uid="{A17016C3-2737-4B4A-9F5A-E2AA897B5934}" name="סוג מטבע" dataDxfId="342" dataCellStyle="Percent"/>
    <tableColumn id="4" xr3:uid="{684AD967-CD82-470C-9B0C-050D34BAD87D}" name="תאריך רכישה" dataDxfId="341" dataCellStyle="Percent"/>
    <tableColumn id="5" xr3:uid="{487FE7CE-2079-4E8F-9CD8-F8B83328D22F}" name="ערך נקוב" dataDxfId="340" dataCellStyle="Percent"/>
    <tableColumn id="6" xr3:uid="{3D8E8CBE-FCFA-42D8-91D8-57A6629CAABE}" name="שער" dataDxfId="339"/>
    <tableColumn id="7" xr3:uid="{92B18D66-3DDC-4E41-98CE-BE19631CB637}" name="שווי הוגן" dataDxfId="338" dataCellStyle="Percent"/>
    <tableColumn id="8" xr3:uid="{CCD28D68-398F-40E9-BCD9-90F7F9E3909F}" name="שעור מערך נקוב מונפק" dataDxfId="337" dataCellStyle="Comma"/>
    <tableColumn id="9" xr3:uid="{AC17C16F-9912-4302-ABA1-6969F1C8B776}" name="שעור מנכסי אפיק ההשקעה" dataDxfId="336" dataCellStyle="Comma"/>
    <tableColumn id="10" xr3:uid="{8357EA08-EB43-4DA9-8A51-464C3ED23F66}" name="שעור מנכסי השקעה" dataDxfId="335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66F67EA-0B66-4348-9C2A-A38CA4ECD1D9}" name="לא סחיר - כתבי אופציה1" displayName="לא_סחיר___כתבי_אופציה1" ref="A6:K24" totalsRowShown="0" headerRowDxfId="334" dataDxfId="332" headerRowBorderDxfId="333" tableBorderDxfId="331" headerRowCellStyle="Percent" dataCellStyle="Comma">
  <tableColumns count="11">
    <tableColumn id="1" xr3:uid="{9777E3F8-66C4-41F8-B27B-EAB593801E89}" name="שם המנפיק/שם נייר ערך" dataDxfId="330"/>
    <tableColumn id="2" xr3:uid="{18C074AB-43E7-4BFE-8FB6-B125C8533839}" name="מספר נ&quot;ע" dataDxfId="329"/>
    <tableColumn id="3" xr3:uid="{A87AC2F7-7D1F-4BD7-9EED-FA2D4FC0AAB1}" name="ענף מסחר" dataDxfId="328"/>
    <tableColumn id="4" xr3:uid="{7CB7EDF2-219A-4AE3-8280-F320A5B8E554}" name="סוג מטבע" dataDxfId="327" dataCellStyle="Percent"/>
    <tableColumn id="5" xr3:uid="{BD3CE2D8-0E9D-486C-8786-33655A6038D3}" name="תאריך רכישה" dataDxfId="326" dataCellStyle="Percent"/>
    <tableColumn id="6" xr3:uid="{19B21F85-9700-430C-A8B0-82590ABA260B}" name="ערך נקוב" dataDxfId="325" dataCellStyle="Percent"/>
    <tableColumn id="7" xr3:uid="{87A9522D-25FE-43AB-BDF4-586D64039F38}" name="שער" dataDxfId="324"/>
    <tableColumn id="8" xr3:uid="{724B52EA-5BF8-4A47-87FB-E0A806A00ECE}" name="שווי הוגן" dataDxfId="323" dataCellStyle="Percent"/>
    <tableColumn id="9" xr3:uid="{85C29280-A6E4-404C-8A5A-FEA9BD39BAAF}" name="שעור מערך נקוב מונפק" dataDxfId="322" dataCellStyle="Comma"/>
    <tableColumn id="10" xr3:uid="{50DD3B4F-0ED0-4FC4-97F6-4A6C607480F1}" name="שעור מנכסי אפיק ההשקעה" dataDxfId="321" dataCellStyle="Comma"/>
    <tableColumn id="11" xr3:uid="{14F56DB2-83D2-48B5-994A-CCD400527952}" name="שעור מנכסי השקעה" dataDxfId="320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344FFCC-4007-486A-86AC-9C06191A6316}" name="לא סחיר - אופציות1" displayName="לא_סחיר___אופציות1" ref="A6:K27" totalsRowShown="0" headerRowDxfId="319" dataDxfId="317" headerRowBorderDxfId="318" tableBorderDxfId="316" headerRowCellStyle="Percent" dataCellStyle="Comma">
  <tableColumns count="11">
    <tableColumn id="1" xr3:uid="{178738AA-BF7D-4012-B8B3-0EC0E801F938}" name="שם המנפיק/שם נייר ערך" dataDxfId="315"/>
    <tableColumn id="2" xr3:uid="{8D551ACF-6070-40A7-A632-7708F6487FED}" name="מספר נ&quot;ע" dataDxfId="314"/>
    <tableColumn id="3" xr3:uid="{D6EE0B10-FF00-4CB9-A61B-E718203F2C0D}" name="ענף מסחר" dataDxfId="313"/>
    <tableColumn id="4" xr3:uid="{911A87AF-2607-4078-B40E-1612D95D41B0}" name="סוג מטבע" dataDxfId="312" dataCellStyle="Percent"/>
    <tableColumn id="5" xr3:uid="{9700833D-2FC2-4A88-AD7D-16A78DDF292C}" name="תאריך רכישה" dataDxfId="311" dataCellStyle="Percent"/>
    <tableColumn id="6" xr3:uid="{C9EEB24E-92C6-4E79-A93C-F7B27F7F594F}" name="ערך נקוב" dataDxfId="310" dataCellStyle="Percent"/>
    <tableColumn id="7" xr3:uid="{286EE205-B423-43B1-B5C8-C3436BFB359A}" name="שער" dataDxfId="309"/>
    <tableColumn id="8" xr3:uid="{F4D7A4BE-9409-477A-8E14-8E61D37C1BDF}" name="שווי הוגן" dataDxfId="308" dataCellStyle="Percent"/>
    <tableColumn id="9" xr3:uid="{0317EAD0-25D9-4E7F-A3E8-4783C9E0CC1D}" name="שעור מערך נקוב מונפק" dataDxfId="307" dataCellStyle="Comma"/>
    <tableColumn id="10" xr3:uid="{C1838CE1-15C5-4977-8500-E67FEED6E385}" name="שעור מנכסי אפיק ההשקעה" dataDxfId="306" dataCellStyle="Comma"/>
    <tableColumn id="11" xr3:uid="{3BC7FF6F-F159-48D2-B896-BD63F20600D8}" name="שעור מנכסי השקעה" dataDxfId="305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AB5BA20-962E-482D-AE8D-B140F292E272}" name="לא סחיר - חוזים עתידיים1" displayName="לא_סחיר___חוזים_עתידיים1" ref="A6:J151" totalsRowShown="0" headerRowDxfId="304" dataDxfId="302" headerRowBorderDxfId="303" tableBorderDxfId="301" headerRowCellStyle="Percent" dataCellStyle="Percent">
  <tableColumns count="10">
    <tableColumn id="1" xr3:uid="{4E77B56A-0020-420F-A606-29C3CEC467FF}" name="שם המנפיק/שם נייר ערך" dataDxfId="300"/>
    <tableColumn id="2" xr3:uid="{68789B5B-E886-4534-93E5-13CFFCB6B29F}" name="מספר נ&quot;ע" dataDxfId="299"/>
    <tableColumn id="3" xr3:uid="{B4EB76A6-6EB8-435C-B963-6BA213E9A45B}" name="ענף מסחר" dataDxfId="298"/>
    <tableColumn id="4" xr3:uid="{8F7D3B33-87BF-4B6C-BA2E-01732C322AF6}" name="סוג מטבע" dataDxfId="297" dataCellStyle="Percent"/>
    <tableColumn id="5" xr3:uid="{0EA4BC11-85BA-489E-9492-88BE40E9AB3D}" name="תאריך רכישה" dataDxfId="296" dataCellStyle="Percent"/>
    <tableColumn id="6" xr3:uid="{D2AC1147-99CE-4A01-9EE4-EB3ABD29FB5F}" name="ערך נקוב" dataDxfId="295" dataCellStyle="Percent"/>
    <tableColumn id="7" xr3:uid="{FD190A11-C5BD-4AC9-AF0F-D30346DBFE61}" name="שער" dataDxfId="294"/>
    <tableColumn id="8" xr3:uid="{3BB92E7A-8B1C-47A0-829D-68D327FF87BC}" name="שווי הוגן" dataDxfId="293" dataCellStyle="Percent"/>
    <tableColumn id="9" xr3:uid="{E7E7A7B7-5D0B-4DC4-8171-B27C10BC0984}" name="שעור מנכסי אפיק ההשקעה" dataDxfId="292" dataCellStyle="Percent"/>
    <tableColumn id="10" xr3:uid="{E09A349F-B28F-4631-BE53-69490C1FA17E}" name="שעור מנכסי השקעה" dataDxfId="291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147467E-2C45-473F-A816-4FD77568BB9A}" name="לא סחיר - מוצרים מובנים1" displayName="לא_סחיר___מוצרים_מובנים1" ref="A6:P30" totalsRowShown="0" headerRowDxfId="290" dataDxfId="288" headerRowBorderDxfId="289" tableBorderDxfId="287" headerRowCellStyle="Percent" dataCellStyle="Comma">
  <tableColumns count="16">
    <tableColumn id="1" xr3:uid="{65A66D82-4BE0-4A8F-9ADD-9D93DF335BD0}" name="שם המנפיק/שם נייר ערך" dataDxfId="286"/>
    <tableColumn id="2" xr3:uid="{E3306E72-24EB-447C-930D-93CEBCAA0BDE}" name="מספר נ&quot;ע" dataDxfId="285"/>
    <tableColumn id="3" xr3:uid="{5A1D6761-6CA8-40A7-9F5A-E9A8E1896A63}" name="נכס הבסיס" dataDxfId="284"/>
    <tableColumn id="4" xr3:uid="{9BDAD799-FBB9-45E1-A0FA-C2FCBD4EC7EE}" name="דירוג" dataDxfId="283" dataCellStyle="Percent"/>
    <tableColumn id="5" xr3:uid="{8F6CF37C-7496-403D-8033-FB440217FEB0}" name="שם מדרג" dataDxfId="282" dataCellStyle="Percent"/>
    <tableColumn id="6" xr3:uid="{22815777-0586-4F49-854A-A94D608C8BAB}" name="תאריך רכישה" dataDxfId="281" dataCellStyle="Percent"/>
    <tableColumn id="7" xr3:uid="{01243C76-E26F-4457-A763-22F86A50195C}" name="מח&quot;מ" dataDxfId="280"/>
    <tableColumn id="8" xr3:uid="{4E45E105-E910-4C60-88B1-2B02AF37542A}" name="סוג מטבע" dataDxfId="279" dataCellStyle="Percent"/>
    <tableColumn id="9" xr3:uid="{2AB45660-57B2-4E55-9392-B55609DE175B}" name="שעור ריבית" dataDxfId="278" dataCellStyle="Comma"/>
    <tableColumn id="10" xr3:uid="{28649CA6-13AB-4FA6-8921-D481F599C77C}" name="תשואה לפדיון" dataDxfId="277" dataCellStyle="Comma"/>
    <tableColumn id="11" xr3:uid="{7B1FA42E-B8FD-4C8F-AA8C-1BA72D59F82D}" name="ערך נקוב" dataDxfId="276" dataCellStyle="Comma"/>
    <tableColumn id="12" xr3:uid="{8333FE8F-653A-489A-842C-16BB828AA43F}" name="שער" dataDxfId="275" dataCellStyle="Percent"/>
    <tableColumn id="13" xr3:uid="{363CC28B-1363-440E-B6F2-60FDCEC5D979}" name="שווי שוק" dataDxfId="274" dataCellStyle="Percent"/>
    <tableColumn id="14" xr3:uid="{3D4EB57C-AE18-49B2-8AAD-B89BA1A08FA5}" name="שעור מערך נקוב מונפק" dataDxfId="273" dataCellStyle="Comma"/>
    <tableColumn id="15" xr3:uid="{350C7A07-AA38-4F6F-8074-AA730F74724E}" name="שעור מנכסי אפיק ההשקעה" dataDxfId="272" dataCellStyle="Comma"/>
    <tableColumn id="16" xr3:uid="{2A138F16-85FD-4E81-A6AC-E6351EC0C659}" name="שעור מנכסי השקעה" dataDxfId="271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36A11D1-6133-42F3-B8C0-88A7A79E5B4A}" name="הלוואות1" displayName="הלוואות1" ref="A5:Q69" totalsRowShown="0" headerRowDxfId="270" dataDxfId="268" headerRowBorderDxfId="269" tableBorderDxfId="267" headerRowCellStyle="Percent" dataCellStyle="Comma">
  <tableColumns count="17">
    <tableColumn id="1" xr3:uid="{D6BE9F78-8565-4C58-B275-DADAFABE489D}" name="שם המנפיק/שם נייר ערך" dataDxfId="266"/>
    <tableColumn id="2" xr3:uid="{06B20C78-9FEE-4C52-9453-5A8772D6315F}" name="קונסורציום" dataDxfId="265"/>
    <tableColumn id="3" xr3:uid="{E579B67D-F2A1-4574-AA7C-F5ED698A6C0C}" name="מספר נ&quot;ע" dataDxfId="264"/>
    <tableColumn id="4" xr3:uid="{D77B6E37-C457-473B-BFB6-BF5F24A73243}" name="מספר מנפיק" dataDxfId="263"/>
    <tableColumn id="5" xr3:uid="{BFFC093C-6C42-4A85-AAE8-6EC981E8FF17}" name="דירוג" dataDxfId="262"/>
    <tableColumn id="6" xr3:uid="{73982F61-A14F-4703-80C3-A857E72C146E}" name="תאריך רכישה" dataDxfId="261" dataCellStyle="Percent"/>
    <tableColumn id="7" xr3:uid="{14575617-35F0-49AD-99A3-D69F3945331B}" name="שם מדרג" dataDxfId="260" dataCellStyle="Percent"/>
    <tableColumn id="8" xr3:uid="{D84C4504-9B96-4F93-9F8B-C8AAD6C2AC62}" name="מח&quot;מ" dataDxfId="259" dataCellStyle="Percent"/>
    <tableColumn id="9" xr3:uid="{357F3566-9F9D-49E6-BCD4-5CC45B81B2D1}" name="ענף משק" dataDxfId="258" dataCellStyle="Percent"/>
    <tableColumn id="10" xr3:uid="{106F3676-B081-40CB-A0B0-D721AA10250E}" name="סוג מטבע" dataDxfId="257" dataCellStyle="Percent"/>
    <tableColumn id="11" xr3:uid="{3B10EFC4-699C-495A-B0BF-9005BFEA5C1D}" name="שעור ריבית ממוצע" dataDxfId="256"/>
    <tableColumn id="12" xr3:uid="{28644A02-3B63-4D62-A88E-839DC83DB4DE}" name="תשואה לפדיון" dataDxfId="255" dataCellStyle="Percent"/>
    <tableColumn id="13" xr3:uid="{197BDDAB-075E-4CBB-9B5B-D193673D12A7}" name="ערך נקוב" dataDxfId="254" dataCellStyle="Comma"/>
    <tableColumn id="14" xr3:uid="{0D16E076-5D2B-4CBE-AC5E-0655ED3D5168}" name="שער" dataDxfId="253" dataCellStyle="Comma"/>
    <tableColumn id="15" xr3:uid="{60744CBD-AA7D-4E8C-A6EF-D95B6AAFFBC2}" name="שווי הוגן" dataDxfId="252" dataCellStyle="Comma"/>
    <tableColumn id="16" xr3:uid="{0594591C-8FA5-4B40-ACCA-E8D675C57BFB}" name="שעור מנכסי אפיק ההשקעה" dataDxfId="251" dataCellStyle="Comma"/>
    <tableColumn id="17" xr3:uid="{04E9BEAB-9C5F-48D7-8DDD-0A8D7BF62752}" name="שעור מנכסי השקעה" dataDxfId="250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32E2D0F-F6B8-4DAE-9C61-1F65E135ED2C}" name="פקדונות מעל 3 חודשים1" displayName="פקדונות_מעל_3_חודשים1" ref="A5:N20" totalsRowShown="0" headerRowDxfId="249" dataDxfId="247" headerRowBorderDxfId="248" tableBorderDxfId="246" headerRowCellStyle="Percent" dataCellStyle="Comma">
  <tableColumns count="14">
    <tableColumn id="1" xr3:uid="{1CF5F267-4D22-472B-B8CC-8CF0EFF145A1}" name="שם המנפיק/שם נייר ערך" dataDxfId="245"/>
    <tableColumn id="2" xr3:uid="{1204C25C-69D6-481F-B8A1-37967CAD1CBB}" name="מספר נ&quot;ע" dataDxfId="244"/>
    <tableColumn id="3" xr3:uid="{9283F3B8-F1AB-41FF-8A48-22EE5D135092}" name="מספר מנפיק" dataDxfId="243"/>
    <tableColumn id="4" xr3:uid="{0691250A-8757-481C-8599-5DFF3471441A}" name="דירוג" dataDxfId="242"/>
    <tableColumn id="5" xr3:uid="{FB15F727-BACB-4047-95CC-71B3F9B71246}" name="שם מדרג" dataDxfId="241" dataCellStyle="Percent"/>
    <tableColumn id="6" xr3:uid="{78A661AE-CC0A-43DC-B1CB-55F46869D6CE}" name="מח&quot;מ" dataDxfId="240" dataCellStyle="Percent"/>
    <tableColumn id="7" xr3:uid="{735B80AC-AA0F-43C1-9A1F-56BC37A3C650}" name="סוג מטבע" dataDxfId="239" dataCellStyle="Percent"/>
    <tableColumn id="8" xr3:uid="{8DDD4ABC-0AAB-436A-87E3-11CB18B9E3AB}" name="תנאי ושיעור ריבית" dataDxfId="238"/>
    <tableColumn id="9" xr3:uid="{CF665954-8033-45DD-AF06-22A47512B305}" name="תשואה לפדיון" dataDxfId="237" dataCellStyle="Percent"/>
    <tableColumn id="10" xr3:uid="{F38514E0-831B-486A-B2F9-7ED551BB3E56}" name="ערך נקוב" dataDxfId="236" dataCellStyle="Comma"/>
    <tableColumn id="11" xr3:uid="{9BAE37DB-7CB4-47B1-9888-4172272929AE}" name="שער" dataDxfId="235" dataCellStyle="Comma"/>
    <tableColumn id="12" xr3:uid="{003A4240-044D-423D-A440-9ACE8A722FFD}" name="שווי הוגן" dataDxfId="234" dataCellStyle="Comma"/>
    <tableColumn id="13" xr3:uid="{48D6EB6A-0152-4EE7-B633-E0D11631AE3E}" name="שעור מנכסי אפיק ההשקעה" dataDxfId="233" dataCellStyle="Comma"/>
    <tableColumn id="14" xr3:uid="{423E22C8-7E3B-4A9D-9227-7228146B4FAB}" name="שעור מנכסי השקעה" dataDxfId="232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BEAA1A8-137D-4A81-9C60-51FCF3BD636A}" name="זכויות מקרקעין1" displayName="זכויות_מקרקעין1" ref="A5:I19" totalsRowShown="0" headerRowDxfId="231" dataDxfId="229" headerRowBorderDxfId="230" tableBorderDxfId="228" headerRowCellStyle="Percent" dataCellStyle="Percent">
  <tableColumns count="9">
    <tableColumn id="1" xr3:uid="{AB78201C-E218-4AB0-9FC8-ECD846B7DC3B}" name="שם המנפיק/שם נייר ערך" dataDxfId="227"/>
    <tableColumn id="2" xr3:uid="{E264D8BA-2484-4953-9783-9929B40643EA}" name="תאריך שערוך אחרון" dataDxfId="226"/>
    <tableColumn id="3" xr3:uid="{B204337F-F947-4CBE-9442-C1E7F699A429}" name="אופי הנכס" dataDxfId="225"/>
    <tableColumn id="4" xr3:uid="{375CA576-1770-492C-885E-A89C48B22F7C}" name="שעור תשואה במהלך התקופה" dataDxfId="224" dataCellStyle="Percent"/>
    <tableColumn id="5" xr3:uid="{B8B8DA8D-38C9-43B4-9A5C-96B275232771}" name="סוג מטבע" dataDxfId="223" dataCellStyle="Percent"/>
    <tableColumn id="6" xr3:uid="{80B638CB-5620-4A21-8DD8-9F1E3C403C87}" name="שווי משוערך" dataDxfId="222" dataCellStyle="Percent"/>
    <tableColumn id="7" xr3:uid="{A6915861-63CC-4C2D-9034-ED355F757269}" name="שעור מנכסי אפיק ההשקעה" dataDxfId="221" dataCellStyle="Percent"/>
    <tableColumn id="8" xr3:uid="{4FDDB967-CEF2-465F-B1E9-D2F86D564050}" name="שעור מנכסי השקעה" dataDxfId="220" dataCellStyle="Percent"/>
    <tableColumn id="9" xr3:uid="{04CED0CE-E74A-4345-B6A4-8AFD31E8CF55}" name="כתובת הנכס" dataDxfId="219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36890F9-4A07-4499-BDB1-A1D7BDB353EF}" name="השקעה בחברות מוחזקות1" displayName="השקעה_בחברות_מוחזקות1" ref="A5:J15" totalsRowShown="0" headerRowDxfId="218" dataDxfId="216" headerRowBorderDxfId="217" tableBorderDxfId="215" headerRowCellStyle="Percent" dataCellStyle="Percent">
  <tableColumns count="10">
    <tableColumn id="1" xr3:uid="{963CA5F6-0168-4907-BFB2-CC31BAA44DFF}" name="שם המנפיק/שם נייר ערך" dataDxfId="214"/>
    <tableColumn id="2" xr3:uid="{CB57D182-9C5F-4B0A-895F-3F0B263FDA49}" name="מספר מנפיק" dataDxfId="213"/>
    <tableColumn id="3" xr3:uid="{C42EB769-2633-448D-92DE-E5C76C47E0EC}" name="דירוג" dataDxfId="212"/>
    <tableColumn id="4" xr3:uid="{081E4DE9-C790-45A5-988D-F59EB0A66943}" name="שם המדרג" dataDxfId="211" dataCellStyle="Percent"/>
    <tableColumn id="5" xr3:uid="{D09FBFE2-CABA-437E-A235-A1FFC029746D}" name="שעור הריבית" dataDxfId="210" dataCellStyle="Percent"/>
    <tableColumn id="6" xr3:uid="{7810536F-BE36-4C57-93CB-87AD1F5B881B}" name="סוג מטבע" dataDxfId="209" dataCellStyle="Percent"/>
    <tableColumn id="7" xr3:uid="{C7CE2F56-6E55-444D-B1C4-9B6C47151C46}" name="תשואה לפדיון" dataDxfId="208" dataCellStyle="Percent"/>
    <tableColumn id="8" xr3:uid="{7D71D003-F750-4BF6-A015-7755253463D5}" name="שווי הוגן" dataDxfId="207" dataCellStyle="Percent"/>
    <tableColumn id="9" xr3:uid="{32482E25-B1AD-4775-A907-EB63FFDCCE3D}" name="שעור מנכסי אפיק ההשקעה" dataDxfId="206" dataCellStyle="Percent"/>
    <tableColumn id="10" xr3:uid="{02538701-3AE3-48CB-B038-8068CA35AC2A}" name="שעור מסך נכסי השקעה" dataDxfId="205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998BEA-EB37-4F43-8303-6CA1FDE87E93}" name="השקעות אחרות1" displayName="השקעות_אחרות1" ref="A5:J21" totalsRowShown="0" headerRowDxfId="204" dataDxfId="202" headerRowBorderDxfId="203" tableBorderDxfId="201" headerRowCellStyle="Percent" dataCellStyle="Percent">
  <tableColumns count="10">
    <tableColumn id="1" xr3:uid="{0119DF61-F4CD-409B-963D-B56510394A5C}" name="שם המנפיק/שם נייר ערך" dataDxfId="200"/>
    <tableColumn id="2" xr3:uid="{CF42A2DD-AE9B-40FE-820E-4587241FC617}" name="מספר נייר" dataDxfId="199"/>
    <tableColumn id="3" xr3:uid="{E4F01468-749C-4D1C-B665-63B4A4A66303}" name="דירוג" dataDxfId="198"/>
    <tableColumn id="4" xr3:uid="{855AB65E-77CA-4A4E-9E94-8DA21FBCF07F}" name="שם מדרג" dataDxfId="197"/>
    <tableColumn id="5" xr3:uid="{0614E71E-B2F8-4BD5-8096-1D7F6EBC7BB8}" name="שעור ריבית" dataDxfId="196" dataCellStyle="Percent"/>
    <tableColumn id="6" xr3:uid="{A9A3C0C8-705E-4479-A90F-3F1687419C53}" name="סוג מטבע" dataDxfId="195" dataCellStyle="Percent"/>
    <tableColumn id="7" xr3:uid="{771BE8CF-3D19-43DB-95B2-E0D927115457}" name="תשואה לפדיון" dataDxfId="194" dataCellStyle="Percent"/>
    <tableColumn id="8" xr3:uid="{102E2606-C8FC-4035-8B41-FF4604F9DCD8}" name="שווי הוגן" dataDxfId="193" dataCellStyle="Percent"/>
    <tableColumn id="9" xr3:uid="{2842AB07-046E-43F3-820E-6D901F655F95}" name="שעור מנכסי אפיק ההשקעה" dataDxfId="192" dataCellStyle="Percent"/>
    <tableColumn id="10" xr3:uid="{97B0A5DD-4FE1-46C5-B284-3482AE4F24E2}" name="שעור מנכסי השקעה" dataDxfId="19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CDCECD5-7820-42C5-8E01-617BCEE0F0B6}" name="יתרת התחייבות להשקעה1" displayName="יתרת_התחייבות_להשקעה1" ref="A5:C26" totalsRowShown="0" headerRowBorderDxfId="190" tableBorderDxfId="189">
  <tableColumns count="3">
    <tableColumn id="1" xr3:uid="{189F91F9-26F8-48F7-84F9-C22802E6DF2A}" name="שם המנפיק/שם נייר ערך" dataDxfId="188"/>
    <tableColumn id="2" xr3:uid="{5213718A-11EE-4A2C-9CC8-8E0D09ACBF6D}" name="סכום ההתחייבות" dataDxfId="187"/>
    <tableColumn id="3" xr3:uid="{B557177A-B36D-468A-9A45-0EEDF201A98C}" name="תאריך סיום ההתחייבות" dataDxfId="18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157A083-7CAB-4AA1-83DB-9F2DF0F3C82D}" name="עלות מתואמת אג&quot;ח קונצרני סחיר1" displayName="עלות_מתואמת_אג_ח_קונצרני_סחיר1" ref="A5:O16" totalsRowShown="0" headerRowDxfId="185" headerRowBorderDxfId="184" tableBorderDxfId="183" headerRowCellStyle="Percent">
  <tableColumns count="15">
    <tableColumn id="1" xr3:uid="{4977C9C2-2BC4-4BEF-9B4B-1DF61CE42772}" name="שם המנפיק/שם נייר ערך" dataDxfId="182"/>
    <tableColumn id="2" xr3:uid="{D20B35BB-A05A-4C01-AC0E-90634089D6AE}" name="מספר ני&quot;ע" dataDxfId="181" dataCellStyle="Percent"/>
    <tableColumn id="3" xr3:uid="{9D4895EA-6621-4D27-9D7A-8C383CC6293D}" name="ענף מסחר" dataDxfId="180" dataCellStyle="Percent"/>
    <tableColumn id="4" xr3:uid="{FA05F14D-4DD5-4689-8084-F3366F81D888}" name="דירוג" dataDxfId="179" dataCellStyle="Percent"/>
    <tableColumn id="5" xr3:uid="{C7E7F23D-381F-4755-877D-6713545903E6}" name="שם מדרג" dataDxfId="178" dataCellStyle="Percent"/>
    <tableColumn id="6" xr3:uid="{13CD6282-B193-4E51-A999-BD49E3B1372B}" name="תאריך רכישה" dataDxfId="177" dataCellStyle="Percent"/>
    <tableColumn id="7" xr3:uid="{035FCD09-AB00-4DCF-8458-4F8F054A87C7}" name="מח&quot;מ" dataDxfId="176" dataCellStyle="Percent"/>
    <tableColumn id="8" xr3:uid="{D1461423-9795-42D2-ABE1-ECE888D74C66}" name="סוג מטבע" dataDxfId="175" dataCellStyle="Percent"/>
    <tableColumn id="9" xr3:uid="{211B0BEF-A82F-4AAD-9EAB-FF48292A1E4B}" name="שיעור ריבית" dataDxfId="174" dataCellStyle="Percent"/>
    <tableColumn id="10" xr3:uid="{CC7C7B6A-AEC8-47AC-8A27-B14CB4DDF49F}" name="ריבית אפקטיבית" dataDxfId="173" dataCellStyle="Percent"/>
    <tableColumn id="11" xr3:uid="{627A43DD-EFF3-41DB-89B8-55485F55C4F2}" name="ערך נקוב" dataDxfId="172" dataCellStyle="Comma"/>
    <tableColumn id="12" xr3:uid="{8B27496C-3B60-43BB-BDDA-DAB5EC52B24D}" name="עלות מתואמת" dataDxfId="171" dataCellStyle="Percent"/>
    <tableColumn id="13" xr3:uid="{3A6908E5-6F03-486C-9056-D3A574440699}" name="שעור מערך נקוב מונפק" dataDxfId="170" dataCellStyle="Comma"/>
    <tableColumn id="14" xr3:uid="{84A5350B-FFB6-41DB-AD96-B90D041CD0E4}" name="שעור מנכסי אפיק ההשקעה" dataDxfId="169" dataCellStyle="Percent"/>
    <tableColumn id="15" xr3:uid="{ADC1E151-D373-4465-988B-528A734C8F90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037A89D-EEAE-41CF-9861-C5FC7E991DC0}" name="עלות מתואמת אג&quot;ח קונצרני ל.סחיר1" displayName="עלות_מתואמת_אג_ח_קונצרני_ל.סחיר1" ref="A5:O16" totalsRowShown="0" headerRowDxfId="167" headerRowBorderDxfId="166" tableBorderDxfId="165" headerRowCellStyle="Percent">
  <tableColumns count="15">
    <tableColumn id="1" xr3:uid="{F852282E-DD70-4DC0-9402-C126C00EA02F}" name="שם המנפיק/שם נייר ערך" dataDxfId="164"/>
    <tableColumn id="2" xr3:uid="{22E076E6-02FA-4923-8641-C0EEAC51BB2D}" name="מספר ני&quot;ע" dataDxfId="163" dataCellStyle="Percent"/>
    <tableColumn id="3" xr3:uid="{FDA161DD-C056-4BD7-B6E9-BD4436E78E56}" name="ענף מסחר" dataDxfId="162" dataCellStyle="Percent"/>
    <tableColumn id="4" xr3:uid="{179B8D0B-8B03-49EA-85BF-BA72B125E200}" name="דירוג" dataDxfId="161" dataCellStyle="Percent"/>
    <tableColumn id="5" xr3:uid="{BED0E94F-764A-4D6D-9F9C-B297C9450898}" name="שם מדרג" dataDxfId="160" dataCellStyle="Percent"/>
    <tableColumn id="6" xr3:uid="{31E64550-5BF8-4645-BC78-57104C2E4767}" name="תאריך רכישה" dataDxfId="159" dataCellStyle="Percent"/>
    <tableColumn id="7" xr3:uid="{F683BAF4-4746-41B9-BC76-0FDD0C353A4A}" name="מח&quot;מ" dataDxfId="158" dataCellStyle="Percent"/>
    <tableColumn id="8" xr3:uid="{9D9EB523-5EAB-448D-AF0C-E8E3729557EB}" name="סוג מטבע" dataDxfId="157" dataCellStyle="Percent"/>
    <tableColumn id="9" xr3:uid="{0B1FE5DC-7315-46EC-839D-535A1C4ED2BA}" name="שיעור ריבית" dataDxfId="156" dataCellStyle="Percent"/>
    <tableColumn id="10" xr3:uid="{F2E4F061-FB80-460B-B7AF-9DC7EA979B48}" name="ריבית אפקטיבית" dataDxfId="155" dataCellStyle="Percent"/>
    <tableColumn id="11" xr3:uid="{997CD516-24C8-4364-9268-9DF0F93A8DC4}" name="ערך נקוב" dataDxfId="154" dataCellStyle="Comma"/>
    <tableColumn id="12" xr3:uid="{2615C246-43F0-4463-94DF-091303EC81D0}" name="עלות מתואמת" dataDxfId="153" dataCellStyle="Percent"/>
    <tableColumn id="13" xr3:uid="{4B21444B-5685-4FE0-90B4-131C285F9E13}" name="שעור מערך נקוב מונפק" dataDxfId="152" dataCellStyle="Comma"/>
    <tableColumn id="14" xr3:uid="{FEEAF5BB-EB9B-479C-B361-1D5A931F27F5}" name="שעור מנכסי אפיק ההשקעה" dataDxfId="151" dataCellStyle="Percent"/>
    <tableColumn id="15" xr3:uid="{BA6B9026-F0EE-4183-8837-DAEF478344CA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F13915A-411E-4C71-BEC5-414B3AD91098}" name="עלות מתואמת מסגרות אשראי ללווים1" displayName="עלות_מתואמת_מסגרות_אשראי_ללווים1" ref="A5:O16" totalsRowShown="0" headerRowDxfId="149" headerRowBorderDxfId="148" tableBorderDxfId="147" headerRowCellStyle="Percent">
  <tableColumns count="15">
    <tableColumn id="1" xr3:uid="{7FBDE022-4A95-47FB-A3A1-C91B93BF80BF}" name="שם המנפיק/שם נייר ערך" dataDxfId="146"/>
    <tableColumn id="2" xr3:uid="{D5843479-D5D3-4396-A1CB-E8F366BDA771}" name="מספר ני&quot;ע" dataDxfId="145" dataCellStyle="Percent"/>
    <tableColumn id="3" xr3:uid="{0B9F08CB-A9D6-4341-AC45-70A8E9D3CA6A}" name="ענף מסחר" dataDxfId="144" dataCellStyle="Percent"/>
    <tableColumn id="4" xr3:uid="{C6638959-DB00-4F28-B5D3-EC47EE548F8A}" name="דירוג" dataDxfId="143" dataCellStyle="Percent"/>
    <tableColumn id="5" xr3:uid="{8ADC3027-F8F3-4F38-BDA6-AB78CBDCD230}" name="שם מדרג" dataDxfId="142" dataCellStyle="Percent"/>
    <tableColumn id="6" xr3:uid="{D8921240-B987-46E9-9E9C-D991B9D25549}" name="תאריך רכישה" dataDxfId="141" dataCellStyle="Percent"/>
    <tableColumn id="7" xr3:uid="{532AAEC5-1FDD-4D36-AFC9-6D182B15EB7A}" name="מח&quot;מ" dataDxfId="140" dataCellStyle="Percent"/>
    <tableColumn id="8" xr3:uid="{0B6B8EEA-225A-4FC7-B78F-8B4D34F01DF5}" name="סוג מטבע" dataDxfId="139" dataCellStyle="Percent"/>
    <tableColumn id="9" xr3:uid="{AA1547C2-D174-4F6B-9C17-EAA6F27ED9C0}" name="שיעור ריבית" dataDxfId="138" dataCellStyle="Percent"/>
    <tableColumn id="10" xr3:uid="{861107BC-74C8-4A62-AB86-6C85B0020C07}" name="ריבית אפקטיבית" dataDxfId="137" dataCellStyle="Percent"/>
    <tableColumn id="11" xr3:uid="{6944DADA-FC35-4347-BAD1-DF3051A137F8}" name="ערך נקוב" dataDxfId="136" dataCellStyle="Comma"/>
    <tableColumn id="12" xr3:uid="{8EFEED83-3F0A-4861-89B3-E53C2850AEFB}" name="עלות מתואמת" dataDxfId="135" dataCellStyle="Percent"/>
    <tableColumn id="13" xr3:uid="{BE80BF43-545D-4F02-A3EA-163F785800AC}" name="שעור מערך נקוב מונפק" dataDxfId="134" dataCellStyle="Comma"/>
    <tableColumn id="14" xr3:uid="{24AD10A8-AA5E-4108-8F68-7850EF9F2C23}" name="שעור מנכסי אפיק ההשקעה" dataDxfId="133" dataCellStyle="Percent"/>
    <tableColumn id="15" xr3:uid="{45B06151-21EC-4C84-857A-EF743422711A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5758E9F-1BBA-4FF2-9A78-F447E23A1FDD}" name="טבלה32" displayName="טבלה32" ref="A1:B72" headerRowCount="0" totalsRowShown="0">
  <tableColumns count="2">
    <tableColumn id="1" xr3:uid="{6F3EA172-5F1F-4273-8CC4-280DCBDB7D1B}" name="עמודה1"/>
    <tableColumn id="2" xr3:uid="{BA99557D-240B-4CC6-9711-A9690F67173C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topLeftCell="A19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9" t="s">
        <v>51</v>
      </c>
      <c r="B4" s="220"/>
      <c r="C4" s="22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4" t="s">
        <v>1935</v>
      </c>
      <c r="B5" s="179" t="s">
        <v>29</v>
      </c>
      <c r="C5" s="179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8"/>
      <c r="B6" s="187" t="s">
        <v>10</v>
      </c>
      <c r="C6" s="187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80"/>
      <c r="B7" s="181" t="s">
        <v>49</v>
      </c>
      <c r="C7" s="181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2" t="s">
        <v>97</v>
      </c>
      <c r="B8" s="181"/>
      <c r="C8" s="18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8" t="s">
        <v>43</v>
      </c>
      <c r="B9" s="189">
        <v>155317.11403090006</v>
      </c>
      <c r="C9" s="190">
        <v>0.17803911286391216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3" t="s">
        <v>45</v>
      </c>
      <c r="B10" s="189">
        <v>700970.67509679974</v>
      </c>
      <c r="C10" s="190">
        <v>0.80351864581402832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1" t="s">
        <v>12</v>
      </c>
      <c r="B11" s="189">
        <v>17699.4000007</v>
      </c>
      <c r="C11" s="190">
        <v>2.0288720235435431E-2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1" t="s">
        <v>18</v>
      </c>
      <c r="B12" s="189">
        <v>4.9999999999999998E-7</v>
      </c>
      <c r="C12" s="190">
        <v>5.7314711895976772E-13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1" t="s">
        <v>20</v>
      </c>
      <c r="B13" s="189">
        <v>2720.0958906000001</v>
      </c>
      <c r="C13" s="190">
        <v>3.1180302459833872E-3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1" t="s">
        <v>21</v>
      </c>
      <c r="B14" s="189">
        <v>398449.2078706997</v>
      </c>
      <c r="C14" s="190">
        <v>0.45674003108578626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1" t="s">
        <v>158</v>
      </c>
      <c r="B15" s="189">
        <v>220562.301271</v>
      </c>
      <c r="C15" s="190">
        <v>0.25282929504921992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1" t="s">
        <v>44</v>
      </c>
      <c r="B16" s="189">
        <v>58623.650660799998</v>
      </c>
      <c r="C16" s="190">
        <v>6.7199952958282808E-2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1" t="s">
        <v>23</v>
      </c>
      <c r="B17" s="189">
        <v>114.91819020000001</v>
      </c>
      <c r="C17" s="190">
        <v>1.3173005925840123E-4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1" t="s">
        <v>24</v>
      </c>
      <c r="B18" s="189">
        <v>5016.8079309000004</v>
      </c>
      <c r="C18" s="190">
        <v>5.7507380239396975E-3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1" t="s">
        <v>25</v>
      </c>
      <c r="B19" s="189">
        <v>-5827.6631697999837</v>
      </c>
      <c r="C19" s="190">
        <v>-6.6802167120776166E-3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1" t="s">
        <v>26</v>
      </c>
      <c r="B20" s="189">
        <v>3611.9564512000002</v>
      </c>
      <c r="C20" s="190">
        <v>4.1403648676268537E-3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2" t="s">
        <v>46</v>
      </c>
      <c r="B21" s="189">
        <v>6841.7593962999945</v>
      </c>
      <c r="C21" s="190">
        <v>7.8426693732105233E-3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1" t="s">
        <v>12</v>
      </c>
      <c r="B22" s="189">
        <v>6.9999999999999997E-7</v>
      </c>
      <c r="C22" s="190">
        <v>8.0240596654367475E-13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1" t="s">
        <v>18</v>
      </c>
      <c r="B23" s="189">
        <v>6.0000000000000008E-7</v>
      </c>
      <c r="C23" s="190">
        <v>6.8777654275172139E-13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1" t="s">
        <v>20</v>
      </c>
      <c r="B24" s="189">
        <v>1079.7822206000001</v>
      </c>
      <c r="C24" s="190">
        <v>1.2377481376817407E-3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1" t="s">
        <v>21</v>
      </c>
      <c r="B25" s="189">
        <v>7926.208550299998</v>
      </c>
      <c r="C25" s="190">
        <v>9.0857671897574422E-3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1" t="s">
        <v>30</v>
      </c>
      <c r="B26" s="189">
        <v>10543.408410800001</v>
      </c>
      <c r="C26" s="190">
        <v>1.2085848309332407E-2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1" t="s">
        <v>31</v>
      </c>
      <c r="B27" s="189">
        <v>186.4173102</v>
      </c>
      <c r="C27" s="190">
        <v>2.1368908853071865E-4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1" t="s">
        <v>32</v>
      </c>
      <c r="B28" s="189">
        <v>48.350100999999995</v>
      </c>
      <c r="C28" s="190">
        <v>5.5423442179127563E-5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1" t="s">
        <v>33</v>
      </c>
      <c r="B29" s="189">
        <v>-12942.407199100006</v>
      </c>
      <c r="C29" s="190">
        <v>-1.483580679713665E-2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1" t="s">
        <v>34</v>
      </c>
      <c r="B30" s="189">
        <v>1.2000000000000002E-6</v>
      </c>
      <c r="C30" s="190">
        <v>1.3755530855034428E-12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1" t="s">
        <v>35</v>
      </c>
      <c r="B31" s="189">
        <v>9415.1987112999996</v>
      </c>
      <c r="C31" s="190">
        <v>1.0792588031630626E-2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1" t="s">
        <v>37</v>
      </c>
      <c r="B32" s="189">
        <v>6.0000000000000008E-7</v>
      </c>
      <c r="C32" s="190">
        <v>6.8777654275172139E-13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1" t="s">
        <v>47</v>
      </c>
      <c r="B33" s="189">
        <v>4.0000000000000003E-7</v>
      </c>
      <c r="C33" s="190">
        <v>4.5851769516781426E-13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1" t="s">
        <v>86</v>
      </c>
      <c r="B34" s="189">
        <v>2.0000000000000002E-7</v>
      </c>
      <c r="C34" s="190">
        <v>2.2925884758390713E-13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1" t="s">
        <v>87</v>
      </c>
      <c r="B35" s="189">
        <v>-168.38266980000003</v>
      </c>
      <c r="C35" s="190">
        <v>-1.930160841572478E-4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2" t="s">
        <v>93</v>
      </c>
      <c r="B36" s="192"/>
      <c r="C36" s="19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1" t="s">
        <v>94</v>
      </c>
      <c r="B37" s="192">
        <v>0</v>
      </c>
      <c r="C37" s="19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1" t="s">
        <v>95</v>
      </c>
      <c r="B38" s="192">
        <v>0</v>
      </c>
      <c r="C38" s="190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1" t="s">
        <v>96</v>
      </c>
      <c r="B39" s="192">
        <v>0</v>
      </c>
      <c r="C39" s="190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4" t="s">
        <v>48</v>
      </c>
      <c r="B40" s="185">
        <v>872376.36456669983</v>
      </c>
      <c r="C40" s="186">
        <v>0.99999999999999989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3" t="s">
        <v>92</v>
      </c>
      <c r="B41" s="189">
        <v>3157.7094402000002</v>
      </c>
      <c r="C41" s="19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4"/>
      <c r="B42" s="195" t="s">
        <v>0</v>
      </c>
      <c r="C42" s="196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7" t="s">
        <v>49</v>
      </c>
      <c r="C43" s="198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9" t="s">
        <v>125</v>
      </c>
      <c r="C44" s="201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9" t="s">
        <v>126</v>
      </c>
      <c r="C45" s="201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9" t="s">
        <v>2</v>
      </c>
      <c r="C46" s="201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9" t="s">
        <v>131</v>
      </c>
      <c r="C47" s="201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9" t="s">
        <v>3</v>
      </c>
      <c r="C48" s="201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9" t="s">
        <v>65</v>
      </c>
      <c r="C49" s="201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9" t="s">
        <v>127</v>
      </c>
      <c r="C50" s="201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9" t="s">
        <v>90</v>
      </c>
      <c r="C51" s="202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9" t="s">
        <v>132</v>
      </c>
      <c r="C52" s="202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9" t="s">
        <v>361</v>
      </c>
      <c r="C53" s="201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9" t="s">
        <v>130</v>
      </c>
      <c r="C54" s="202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9" t="s">
        <v>236</v>
      </c>
      <c r="C55" s="202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9" t="s">
        <v>91</v>
      </c>
      <c r="C56" s="202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9" t="s">
        <v>163</v>
      </c>
      <c r="C57" s="202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9" t="s">
        <v>129</v>
      </c>
      <c r="C58" s="202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9" t="s">
        <v>151</v>
      </c>
      <c r="C59" s="202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9" t="s">
        <v>161</v>
      </c>
      <c r="C60" s="202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9" t="s">
        <v>152</v>
      </c>
      <c r="C61" s="202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9" t="s">
        <v>153</v>
      </c>
      <c r="C62" s="202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9" t="s">
        <v>162</v>
      </c>
      <c r="C63" s="202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9" t="s">
        <v>154</v>
      </c>
      <c r="C64" s="202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9" t="s">
        <v>155</v>
      </c>
      <c r="C65" s="202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200" t="s">
        <v>156</v>
      </c>
      <c r="C66" s="203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1" priority="22" stopIfTrue="1">
      <formula>$E8&gt;0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21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2" t="s">
        <v>4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</row>
    <row r="5" spans="1:11" s="7" customFormat="1" x14ac:dyDescent="0.25">
      <c r="A5" s="86" t="s">
        <v>157</v>
      </c>
      <c r="B5" s="205" t="s">
        <v>69</v>
      </c>
      <c r="C5" s="205" t="s">
        <v>74</v>
      </c>
      <c r="D5" s="205" t="s">
        <v>70</v>
      </c>
      <c r="E5" s="205" t="s">
        <v>5</v>
      </c>
      <c r="F5" s="205" t="s">
        <v>6</v>
      </c>
      <c r="G5" s="206" t="s">
        <v>66</v>
      </c>
      <c r="H5" s="206" t="s">
        <v>71</v>
      </c>
      <c r="I5" s="206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155317.11403090006</v>
      </c>
      <c r="J8" s="77">
        <v>1</v>
      </c>
      <c r="K8" s="58">
        <v>0.17803911286391216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124611.03105070001</v>
      </c>
      <c r="J9" s="121">
        <v>0.80230071121401902</v>
      </c>
      <c r="K9" s="121">
        <v>0.14284090687462975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17860.601620099998</v>
      </c>
      <c r="J10" s="121">
        <v>0.11499442113344099</v>
      </c>
      <c r="K10" s="121">
        <v>2.0473504722896947E-2</v>
      </c>
    </row>
    <row r="11" spans="1:11" x14ac:dyDescent="0.25">
      <c r="A11" s="16" t="s">
        <v>1855</v>
      </c>
      <c r="B11" s="32" t="s">
        <v>251</v>
      </c>
      <c r="C11" s="32" t="s">
        <v>252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445.43576999999999</v>
      </c>
      <c r="J11" s="32">
        <v>2.8679117094036486E-3</v>
      </c>
      <c r="K11" s="32">
        <v>5.1060045651425147E-4</v>
      </c>
    </row>
    <row r="12" spans="1:11" x14ac:dyDescent="0.25">
      <c r="A12" s="16" t="s">
        <v>1855</v>
      </c>
      <c r="B12" s="32" t="s">
        <v>281</v>
      </c>
      <c r="C12" s="32" t="s">
        <v>252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2.3034299999999996</v>
      </c>
      <c r="J12" s="32">
        <v>1.4830497040665696E-5</v>
      </c>
      <c r="K12" s="32">
        <v>2.6404085364509953E-6</v>
      </c>
    </row>
    <row r="13" spans="1:11" x14ac:dyDescent="0.25">
      <c r="A13" s="16" t="s">
        <v>1855</v>
      </c>
      <c r="B13" s="32" t="s">
        <v>284</v>
      </c>
      <c r="C13" s="32" t="s">
        <v>252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8.0800000000000004E-3</v>
      </c>
      <c r="J13" s="32">
        <v>5.2022599379437981E-8</v>
      </c>
      <c r="K13" s="32">
        <v>9.2620574423898471E-9</v>
      </c>
    </row>
    <row r="14" spans="1:11" x14ac:dyDescent="0.25">
      <c r="A14" s="16" t="s">
        <v>1868</v>
      </c>
      <c r="B14" s="32" t="s">
        <v>256</v>
      </c>
      <c r="C14" s="32" t="s">
        <v>257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484.16422</v>
      </c>
      <c r="J14" s="32">
        <v>3.1172625310542171E-3</v>
      </c>
      <c r="K14" s="32">
        <v>5.5499465559280634E-4</v>
      </c>
    </row>
    <row r="15" spans="1:11" x14ac:dyDescent="0.25">
      <c r="A15" s="16" t="s">
        <v>1868</v>
      </c>
      <c r="B15" s="32" t="s">
        <v>271</v>
      </c>
      <c r="C15" s="32" t="s">
        <v>257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0.24702000000000002</v>
      </c>
      <c r="J15" s="32">
        <v>1.5904235765728677E-6</v>
      </c>
      <c r="K15" s="32">
        <v>2.8315760265088366E-7</v>
      </c>
    </row>
    <row r="16" spans="1:11" x14ac:dyDescent="0.25">
      <c r="A16" s="16" t="s">
        <v>1895</v>
      </c>
      <c r="B16" s="32" t="s">
        <v>276</v>
      </c>
      <c r="C16" s="32" t="s">
        <v>257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61.322960000000002</v>
      </c>
      <c r="J16" s="32">
        <v>3.9482423030214113E-4</v>
      </c>
      <c r="K16" s="32">
        <v>7.0294155700170152E-5</v>
      </c>
    </row>
    <row r="17" spans="1:11" x14ac:dyDescent="0.25">
      <c r="A17" s="16" t="s">
        <v>1895</v>
      </c>
      <c r="B17" s="32" t="s">
        <v>278</v>
      </c>
      <c r="C17" s="32" t="s">
        <v>257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5.4400000000000004E-3</v>
      </c>
      <c r="J17" s="32">
        <v>3.502511641387904E-8</v>
      </c>
      <c r="K17" s="32">
        <v>6.2358406542822735E-9</v>
      </c>
    </row>
    <row r="18" spans="1:11" x14ac:dyDescent="0.25">
      <c r="A18" s="16" t="s">
        <v>279</v>
      </c>
      <c r="B18" s="32" t="s">
        <v>280</v>
      </c>
      <c r="C18" s="32" t="s">
        <v>257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279.21442999999999</v>
      </c>
      <c r="J18" s="32">
        <v>1.7977054991148676E-3</v>
      </c>
      <c r="K18" s="32">
        <v>3.2006189225298749E-4</v>
      </c>
    </row>
    <row r="19" spans="1:11" x14ac:dyDescent="0.25">
      <c r="A19" s="16" t="s">
        <v>1875</v>
      </c>
      <c r="B19" s="32" t="s">
        <v>290</v>
      </c>
      <c r="C19" s="32" t="s">
        <v>291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404.16674999999998</v>
      </c>
      <c r="J19" s="32">
        <v>2.6022035789281519E-3</v>
      </c>
      <c r="K19" s="32">
        <v>4.6329401668366535E-4</v>
      </c>
    </row>
    <row r="20" spans="1:11" x14ac:dyDescent="0.25">
      <c r="A20" s="16" t="s">
        <v>1876</v>
      </c>
      <c r="B20" s="32" t="s">
        <v>292</v>
      </c>
      <c r="C20" s="32" t="s">
        <v>291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1.3600000000000001E-3</v>
      </c>
      <c r="J20" s="32">
        <v>8.75627910346976E-9</v>
      </c>
      <c r="K20" s="32">
        <v>1.5589601635705684E-9</v>
      </c>
    </row>
    <row r="21" spans="1:11" x14ac:dyDescent="0.25">
      <c r="A21" s="16" t="s">
        <v>1877</v>
      </c>
      <c r="B21" s="32" t="s">
        <v>262</v>
      </c>
      <c r="C21" s="32" t="s">
        <v>263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10118.244490000001</v>
      </c>
      <c r="J21" s="32">
        <v>6.5145715287930173E-2</v>
      </c>
      <c r="K21" s="32">
        <v>1.159848535674809E-2</v>
      </c>
    </row>
    <row r="22" spans="1:11" x14ac:dyDescent="0.25">
      <c r="A22" s="16" t="s">
        <v>1896</v>
      </c>
      <c r="B22" s="32" t="s">
        <v>264</v>
      </c>
      <c r="C22" s="32" t="s">
        <v>263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127.1862</v>
      </c>
      <c r="J22" s="32">
        <v>8.188807833159746E-4</v>
      </c>
      <c r="K22" s="32">
        <v>1.4579280820288163E-4</v>
      </c>
    </row>
    <row r="23" spans="1:11" x14ac:dyDescent="0.25">
      <c r="A23" s="16" t="s">
        <v>1896</v>
      </c>
      <c r="B23" s="32" t="s">
        <v>269</v>
      </c>
      <c r="C23" s="32" t="s">
        <v>263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-206.20339999999999</v>
      </c>
      <c r="J23" s="32">
        <v>-1.3276283253561884E-3</v>
      </c>
      <c r="K23" s="32">
        <v>-2.3636976925941712E-4</v>
      </c>
    </row>
    <row r="24" spans="1:11" x14ac:dyDescent="0.25">
      <c r="A24" s="16" t="s">
        <v>1877</v>
      </c>
      <c r="B24" s="32" t="s">
        <v>270</v>
      </c>
      <c r="C24" s="32" t="s">
        <v>263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3824.4136100000001</v>
      </c>
      <c r="J24" s="32">
        <v>2.4623259541373784E-2</v>
      </c>
      <c r="K24" s="32">
        <v>4.3839032845640492E-3</v>
      </c>
    </row>
    <row r="25" spans="1:11" x14ac:dyDescent="0.25">
      <c r="A25" s="16" t="s">
        <v>1877</v>
      </c>
      <c r="B25" s="32" t="s">
        <v>272</v>
      </c>
      <c r="C25" s="32" t="s">
        <v>263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4.0649999999999999E-2</v>
      </c>
      <c r="J25" s="32">
        <v>2.6172260702650421E-7</v>
      </c>
      <c r="K25" s="32">
        <v>4.6596860771429114E-8</v>
      </c>
    </row>
    <row r="26" spans="1:11" x14ac:dyDescent="0.25">
      <c r="A26" s="16" t="s">
        <v>1877</v>
      </c>
      <c r="B26" s="32" t="s">
        <v>273</v>
      </c>
      <c r="C26" s="32" t="s">
        <v>263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0.73900999999999994</v>
      </c>
      <c r="J26" s="32">
        <v>4.7580719266582253E-6</v>
      </c>
      <c r="K26" s="32">
        <v>8.4712290476491583E-7</v>
      </c>
    </row>
    <row r="27" spans="1:11" x14ac:dyDescent="0.25">
      <c r="A27" s="16" t="s">
        <v>1896</v>
      </c>
      <c r="B27" s="32" t="s">
        <v>274</v>
      </c>
      <c r="C27" s="32" t="s">
        <v>263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9.3499999999999989E-3</v>
      </c>
      <c r="J27" s="32">
        <v>6.0199418836354591E-8</v>
      </c>
      <c r="K27" s="32">
        <v>1.0717851124547654E-8</v>
      </c>
    </row>
    <row r="28" spans="1:11" x14ac:dyDescent="0.25">
      <c r="A28" s="16" t="s">
        <v>1877</v>
      </c>
      <c r="B28" s="32" t="s">
        <v>277</v>
      </c>
      <c r="C28" s="32" t="s">
        <v>263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8.199999999999999E-3</v>
      </c>
      <c r="J28" s="32">
        <v>5.2795212241508838E-8</v>
      </c>
      <c r="K28" s="32">
        <v>9.3996127509401896E-9</v>
      </c>
    </row>
    <row r="29" spans="1:11" x14ac:dyDescent="0.25">
      <c r="A29" s="16" t="s">
        <v>1877</v>
      </c>
      <c r="B29" s="32" t="s">
        <v>283</v>
      </c>
      <c r="C29" s="32" t="s">
        <v>263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3.15E-3</v>
      </c>
      <c r="J29" s="32">
        <v>2.0281087629360104E-8</v>
      </c>
      <c r="K29" s="32">
        <v>3.6108268494465366E-9</v>
      </c>
    </row>
    <row r="30" spans="1:11" x14ac:dyDescent="0.25">
      <c r="A30" s="16" t="s">
        <v>1856</v>
      </c>
      <c r="B30" s="32" t="s">
        <v>260</v>
      </c>
      <c r="C30" s="32" t="s">
        <v>261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1623.96911</v>
      </c>
      <c r="J30" s="32">
        <v>1.0455828516598077E-2</v>
      </c>
      <c r="K30" s="32">
        <v>1.8615464333523162E-3</v>
      </c>
    </row>
    <row r="31" spans="1:11" x14ac:dyDescent="0.25">
      <c r="A31" s="16" t="s">
        <v>1856</v>
      </c>
      <c r="B31" s="32" t="s">
        <v>275</v>
      </c>
      <c r="C31" s="32" t="s">
        <v>261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1.9516300000000002</v>
      </c>
      <c r="J31" s="32">
        <v>1.2565453666694623E-5</v>
      </c>
      <c r="K31" s="32">
        <v>2.2371422235509031E-6</v>
      </c>
    </row>
    <row r="32" spans="1:11" x14ac:dyDescent="0.25">
      <c r="A32" s="16" t="s">
        <v>1856</v>
      </c>
      <c r="B32" s="32" t="s">
        <v>285</v>
      </c>
      <c r="C32" s="32" t="s">
        <v>261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7.0499999999999998E-3</v>
      </c>
      <c r="J32" s="32">
        <v>4.5391005646663092E-8</v>
      </c>
      <c r="K32" s="32">
        <v>8.0813743773327249E-9</v>
      </c>
    </row>
    <row r="33" spans="1:11" x14ac:dyDescent="0.25">
      <c r="A33" s="16" t="s">
        <v>1878</v>
      </c>
      <c r="B33" s="32" t="s">
        <v>286</v>
      </c>
      <c r="C33" s="32" t="s">
        <v>287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7.7400000000000004E-3</v>
      </c>
      <c r="J33" s="32">
        <v>4.9833529603570545E-8</v>
      </c>
      <c r="K33" s="32">
        <v>8.8723174014972054E-9</v>
      </c>
    </row>
    <row r="34" spans="1:11" x14ac:dyDescent="0.25">
      <c r="A34" s="16" t="s">
        <v>1897</v>
      </c>
      <c r="B34" s="32" t="s">
        <v>258</v>
      </c>
      <c r="C34" s="32" t="s">
        <v>259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3.7240000000000002E-2</v>
      </c>
      <c r="J34" s="32">
        <v>2.3976752486265726E-7</v>
      </c>
      <c r="K34" s="32">
        <v>4.2687997420123505E-8</v>
      </c>
    </row>
    <row r="35" spans="1:11" x14ac:dyDescent="0.25">
      <c r="A35" s="16" t="s">
        <v>1898</v>
      </c>
      <c r="B35" s="32" t="s">
        <v>282</v>
      </c>
      <c r="C35" s="32" t="s">
        <v>259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9.1999999999999998E-3</v>
      </c>
      <c r="J35" s="32">
        <v>5.9233652758766014E-8</v>
      </c>
      <c r="K35" s="32">
        <v>1.0545906988859726E-8</v>
      </c>
    </row>
    <row r="36" spans="1:11" x14ac:dyDescent="0.25">
      <c r="A36" s="16" t="s">
        <v>1857</v>
      </c>
      <c r="B36" s="32" t="s">
        <v>265</v>
      </c>
      <c r="C36" s="32" t="s">
        <v>266</v>
      </c>
      <c r="D36" s="66" t="s">
        <v>267</v>
      </c>
      <c r="E36" s="66" t="s">
        <v>268</v>
      </c>
      <c r="F36" s="66" t="s">
        <v>255</v>
      </c>
      <c r="G36" s="32">
        <v>0</v>
      </c>
      <c r="H36" s="32">
        <v>0</v>
      </c>
      <c r="I36" s="84">
        <v>688.82399999999996</v>
      </c>
      <c r="J36" s="32">
        <v>4.4349523508591575E-3</v>
      </c>
      <c r="K36" s="32">
        <v>7.8959498214068607E-4</v>
      </c>
    </row>
    <row r="37" spans="1:11" x14ac:dyDescent="0.25">
      <c r="A37" s="16" t="s">
        <v>1857</v>
      </c>
      <c r="B37" s="32" t="s">
        <v>288</v>
      </c>
      <c r="C37" s="32" t="s">
        <v>266</v>
      </c>
      <c r="D37" s="66" t="s">
        <v>267</v>
      </c>
      <c r="E37" s="66" t="s">
        <v>268</v>
      </c>
      <c r="F37" s="66" t="s">
        <v>255</v>
      </c>
      <c r="G37" s="32">
        <v>0</v>
      </c>
      <c r="H37" s="32">
        <v>0</v>
      </c>
      <c r="I37" s="84">
        <v>4.4844900000000001</v>
      </c>
      <c r="J37" s="32">
        <v>2.8873122115234631E-5</v>
      </c>
      <c r="K37" s="32">
        <v>5.1405450470077772E-6</v>
      </c>
    </row>
    <row r="38" spans="1:11" x14ac:dyDescent="0.25">
      <c r="A38" s="16" t="s">
        <v>1857</v>
      </c>
      <c r="B38" s="32" t="s">
        <v>289</v>
      </c>
      <c r="C38" s="32" t="s">
        <v>266</v>
      </c>
      <c r="D38" s="66" t="s">
        <v>267</v>
      </c>
      <c r="E38" s="66" t="s">
        <v>268</v>
      </c>
      <c r="F38" s="66" t="s">
        <v>255</v>
      </c>
      <c r="G38" s="32">
        <v>0</v>
      </c>
      <c r="H38" s="32">
        <v>0</v>
      </c>
      <c r="I38" s="84">
        <v>0</v>
      </c>
      <c r="J38" s="32">
        <v>0</v>
      </c>
      <c r="K38" s="32">
        <v>0</v>
      </c>
    </row>
    <row r="39" spans="1:11" s="119" customFormat="1" x14ac:dyDescent="0.25">
      <c r="A39" s="92" t="s">
        <v>293</v>
      </c>
      <c r="B39" s="121" t="s">
        <v>249</v>
      </c>
      <c r="C39" s="121" t="s">
        <v>249</v>
      </c>
      <c r="D39" s="122" t="s">
        <v>249</v>
      </c>
      <c r="E39" s="122" t="s">
        <v>249</v>
      </c>
      <c r="F39" s="122" t="s">
        <v>249</v>
      </c>
      <c r="G39" s="121" t="s">
        <v>249</v>
      </c>
      <c r="H39" s="121" t="s">
        <v>249</v>
      </c>
      <c r="I39" s="124">
        <v>36364.580240099996</v>
      </c>
      <c r="J39" s="121">
        <v>0.2341311868109095</v>
      </c>
      <c r="K39" s="121">
        <v>4.1684508793589224E-2</v>
      </c>
    </row>
    <row r="40" spans="1:11" x14ac:dyDescent="0.25">
      <c r="A40" s="16" t="s">
        <v>1858</v>
      </c>
      <c r="B40" s="32" t="s">
        <v>294</v>
      </c>
      <c r="C40" s="32" t="s">
        <v>252</v>
      </c>
      <c r="D40" s="66" t="s">
        <v>253</v>
      </c>
      <c r="E40" s="66" t="s">
        <v>254</v>
      </c>
      <c r="F40" s="66" t="s">
        <v>125</v>
      </c>
      <c r="G40" s="32">
        <v>0</v>
      </c>
      <c r="H40" s="32">
        <v>0</v>
      </c>
      <c r="I40" s="84">
        <v>15200.56393</v>
      </c>
      <c r="J40" s="32">
        <v>9.7867926692069979E-2</v>
      </c>
      <c r="K40" s="32">
        <v>1.7424318846086528E-2</v>
      </c>
    </row>
    <row r="41" spans="1:11" x14ac:dyDescent="0.25">
      <c r="A41" s="16" t="s">
        <v>1858</v>
      </c>
      <c r="B41" s="32" t="s">
        <v>320</v>
      </c>
      <c r="C41" s="32" t="s">
        <v>252</v>
      </c>
      <c r="D41" s="66" t="s">
        <v>253</v>
      </c>
      <c r="E41" s="66" t="s">
        <v>254</v>
      </c>
      <c r="F41" s="66" t="s">
        <v>125</v>
      </c>
      <c r="G41" s="32">
        <v>0</v>
      </c>
      <c r="H41" s="32">
        <v>0</v>
      </c>
      <c r="I41" s="84">
        <v>300.01079999999996</v>
      </c>
      <c r="J41" s="32">
        <v>1.931601690334739E-3</v>
      </c>
      <c r="K41" s="32">
        <v>3.4390065135363011E-4</v>
      </c>
    </row>
    <row r="42" spans="1:11" x14ac:dyDescent="0.25">
      <c r="A42" s="16" t="s">
        <v>1869</v>
      </c>
      <c r="B42" s="32" t="s">
        <v>295</v>
      </c>
      <c r="C42" s="32" t="s">
        <v>257</v>
      </c>
      <c r="D42" s="66" t="s">
        <v>253</v>
      </c>
      <c r="E42" s="66" t="s">
        <v>254</v>
      </c>
      <c r="F42" s="66" t="s">
        <v>125</v>
      </c>
      <c r="G42" s="32">
        <v>0</v>
      </c>
      <c r="H42" s="32">
        <v>0</v>
      </c>
      <c r="I42" s="84">
        <v>7308.8527599999998</v>
      </c>
      <c r="J42" s="32">
        <v>4.7057613744650936E-2</v>
      </c>
      <c r="K42" s="32">
        <v>8.3780958045902923E-3</v>
      </c>
    </row>
    <row r="43" spans="1:11" x14ac:dyDescent="0.25">
      <c r="A43" s="16" t="s">
        <v>1899</v>
      </c>
      <c r="B43" s="32" t="s">
        <v>308</v>
      </c>
      <c r="C43" s="32" t="s">
        <v>257</v>
      </c>
      <c r="D43" s="66" t="s">
        <v>253</v>
      </c>
      <c r="E43" s="66" t="s">
        <v>254</v>
      </c>
      <c r="F43" s="66" t="s">
        <v>2</v>
      </c>
      <c r="G43" s="32">
        <v>0</v>
      </c>
      <c r="H43" s="32">
        <v>0</v>
      </c>
      <c r="I43" s="84">
        <v>0.96092</v>
      </c>
      <c r="J43" s="32">
        <v>6.1868262618427657E-6</v>
      </c>
      <c r="K43" s="32">
        <v>1.1014970591016399E-6</v>
      </c>
    </row>
    <row r="44" spans="1:11" x14ac:dyDescent="0.25">
      <c r="A44" s="16" t="s">
        <v>1869</v>
      </c>
      <c r="B44" s="32" t="s">
        <v>313</v>
      </c>
      <c r="C44" s="32" t="s">
        <v>257</v>
      </c>
      <c r="D44" s="66" t="s">
        <v>253</v>
      </c>
      <c r="E44" s="66" t="s">
        <v>254</v>
      </c>
      <c r="F44" s="66" t="s">
        <v>125</v>
      </c>
      <c r="G44" s="32">
        <v>0</v>
      </c>
      <c r="H44" s="32">
        <v>0</v>
      </c>
      <c r="I44" s="84">
        <v>18.92409</v>
      </c>
      <c r="J44" s="32">
        <v>1.2184162780822136E-4</v>
      </c>
      <c r="K44" s="32">
        <v>2.1692575324870699E-5</v>
      </c>
    </row>
    <row r="45" spans="1:11" x14ac:dyDescent="0.25">
      <c r="A45" s="16" t="s">
        <v>1900</v>
      </c>
      <c r="B45" s="32" t="s">
        <v>317</v>
      </c>
      <c r="C45" s="32" t="s">
        <v>257</v>
      </c>
      <c r="D45" s="66" t="s">
        <v>253</v>
      </c>
      <c r="E45" s="66" t="s">
        <v>254</v>
      </c>
      <c r="F45" s="66" t="s">
        <v>125</v>
      </c>
      <c r="G45" s="32">
        <v>0</v>
      </c>
      <c r="H45" s="32">
        <v>0</v>
      </c>
      <c r="I45" s="84">
        <v>-0.35339999999999999</v>
      </c>
      <c r="J45" s="32">
        <v>-2.275344878798686E-6</v>
      </c>
      <c r="K45" s="32">
        <v>-4.0510038368076383E-7</v>
      </c>
    </row>
    <row r="46" spans="1:11" x14ac:dyDescent="0.25">
      <c r="A46" s="16" t="s">
        <v>1901</v>
      </c>
      <c r="B46" s="32" t="s">
        <v>319</v>
      </c>
      <c r="C46" s="32" t="s">
        <v>257</v>
      </c>
      <c r="D46" s="66" t="s">
        <v>253</v>
      </c>
      <c r="E46" s="66" t="s">
        <v>254</v>
      </c>
      <c r="F46" s="66" t="s">
        <v>125</v>
      </c>
      <c r="G46" s="32">
        <v>0</v>
      </c>
      <c r="H46" s="32">
        <v>0</v>
      </c>
      <c r="I46" s="84">
        <v>163.36651999999998</v>
      </c>
      <c r="J46" s="32">
        <v>1.0518256215313047E-3</v>
      </c>
      <c r="K46" s="32">
        <v>1.8726610054496651E-4</v>
      </c>
    </row>
    <row r="47" spans="1:11" x14ac:dyDescent="0.25">
      <c r="A47" s="16" t="s">
        <v>1879</v>
      </c>
      <c r="B47" s="32" t="s">
        <v>324</v>
      </c>
      <c r="C47" s="32" t="s">
        <v>291</v>
      </c>
      <c r="D47" s="66" t="s">
        <v>253</v>
      </c>
      <c r="E47" s="66" t="s">
        <v>254</v>
      </c>
      <c r="F47" s="66" t="s">
        <v>125</v>
      </c>
      <c r="G47" s="32">
        <v>0</v>
      </c>
      <c r="H47" s="32">
        <v>0</v>
      </c>
      <c r="I47" s="84">
        <v>5.3609999999999998E-2</v>
      </c>
      <c r="J47" s="32">
        <v>3.4516479613015724E-7</v>
      </c>
      <c r="K47" s="32">
        <v>6.1452834094866295E-8</v>
      </c>
    </row>
    <row r="48" spans="1:11" x14ac:dyDescent="0.25">
      <c r="A48" s="16" t="s">
        <v>1881</v>
      </c>
      <c r="B48" s="32" t="s">
        <v>298</v>
      </c>
      <c r="C48" s="32" t="s">
        <v>263</v>
      </c>
      <c r="D48" s="66" t="s">
        <v>253</v>
      </c>
      <c r="E48" s="66" t="s">
        <v>254</v>
      </c>
      <c r="F48" s="66" t="s">
        <v>125</v>
      </c>
      <c r="G48" s="32">
        <v>0</v>
      </c>
      <c r="H48" s="32">
        <v>0</v>
      </c>
      <c r="I48" s="84">
        <v>1539.6857600000001</v>
      </c>
      <c r="J48" s="32">
        <v>9.9131751810279077E-3</v>
      </c>
      <c r="K48" s="32">
        <v>1.7649329148947607E-3</v>
      </c>
    </row>
    <row r="49" spans="1:11" x14ac:dyDescent="0.25">
      <c r="A49" s="16" t="s">
        <v>1902</v>
      </c>
      <c r="B49" s="32" t="s">
        <v>300</v>
      </c>
      <c r="C49" s="32" t="s">
        <v>263</v>
      </c>
      <c r="D49" s="66" t="s">
        <v>253</v>
      </c>
      <c r="E49" s="66" t="s">
        <v>254</v>
      </c>
      <c r="F49" s="66" t="s">
        <v>126</v>
      </c>
      <c r="G49" s="32">
        <v>0</v>
      </c>
      <c r="H49" s="32">
        <v>0</v>
      </c>
      <c r="I49" s="84">
        <v>19.578520000000001</v>
      </c>
      <c r="J49" s="32">
        <v>1.2605513643592996E-4</v>
      </c>
      <c r="K49" s="32">
        <v>2.2442744662992385E-5</v>
      </c>
    </row>
    <row r="50" spans="1:11" x14ac:dyDescent="0.25">
      <c r="A50" s="16" t="s">
        <v>1902</v>
      </c>
      <c r="B50" s="32" t="s">
        <v>301</v>
      </c>
      <c r="C50" s="32" t="s">
        <v>263</v>
      </c>
      <c r="D50" s="66" t="s">
        <v>253</v>
      </c>
      <c r="E50" s="66" t="s">
        <v>254</v>
      </c>
      <c r="F50" s="66" t="s">
        <v>126</v>
      </c>
      <c r="G50" s="32">
        <v>0</v>
      </c>
      <c r="H50" s="32">
        <v>0</v>
      </c>
      <c r="I50" s="84">
        <v>1.1292800000000001</v>
      </c>
      <c r="J50" s="32">
        <v>7.2708021073281838E-6</v>
      </c>
      <c r="K50" s="32">
        <v>1.2944871569977731E-6</v>
      </c>
    </row>
    <row r="51" spans="1:11" x14ac:dyDescent="0.25">
      <c r="A51" s="16" t="s">
        <v>1903</v>
      </c>
      <c r="B51" s="32" t="s">
        <v>305</v>
      </c>
      <c r="C51" s="32" t="s">
        <v>263</v>
      </c>
      <c r="D51" s="66" t="s">
        <v>253</v>
      </c>
      <c r="E51" s="66" t="s">
        <v>254</v>
      </c>
      <c r="F51" s="66" t="s">
        <v>2</v>
      </c>
      <c r="G51" s="32">
        <v>0</v>
      </c>
      <c r="H51" s="32">
        <v>0</v>
      </c>
      <c r="I51" s="84">
        <v>2.41812</v>
      </c>
      <c r="J51" s="32">
        <v>1.5568921783589922E-5</v>
      </c>
      <c r="K51" s="32">
        <v>2.771877022597987E-6</v>
      </c>
    </row>
    <row r="52" spans="1:11" x14ac:dyDescent="0.25">
      <c r="A52" s="16" t="s">
        <v>1903</v>
      </c>
      <c r="B52" s="32" t="s">
        <v>306</v>
      </c>
      <c r="C52" s="32" t="s">
        <v>263</v>
      </c>
      <c r="D52" s="66" t="s">
        <v>253</v>
      </c>
      <c r="E52" s="66" t="s">
        <v>254</v>
      </c>
      <c r="F52" s="66" t="s">
        <v>2</v>
      </c>
      <c r="G52" s="32">
        <v>0</v>
      </c>
      <c r="H52" s="32">
        <v>0</v>
      </c>
      <c r="I52" s="84">
        <v>2.4300000000000003E-3</v>
      </c>
      <c r="J52" s="32">
        <v>1.5645410456934938E-8</v>
      </c>
      <c r="K52" s="32">
        <v>2.7854949981444714E-9</v>
      </c>
    </row>
    <row r="53" spans="1:11" x14ac:dyDescent="0.25">
      <c r="A53" s="16" t="s">
        <v>1903</v>
      </c>
      <c r="B53" s="32" t="s">
        <v>307</v>
      </c>
      <c r="C53" s="32" t="s">
        <v>263</v>
      </c>
      <c r="D53" s="66" t="s">
        <v>253</v>
      </c>
      <c r="E53" s="66" t="s">
        <v>254</v>
      </c>
      <c r="F53" s="66" t="s">
        <v>2</v>
      </c>
      <c r="G53" s="32">
        <v>0</v>
      </c>
      <c r="H53" s="32">
        <v>0</v>
      </c>
      <c r="I53" s="84">
        <v>0.14030999999999999</v>
      </c>
      <c r="J53" s="32">
        <v>9.0337758897635436E-7</v>
      </c>
      <c r="K53" s="32">
        <v>1.6083654452249001E-7</v>
      </c>
    </row>
    <row r="54" spans="1:11" x14ac:dyDescent="0.25">
      <c r="A54" s="16" t="s">
        <v>1880</v>
      </c>
      <c r="B54" s="32" t="s">
        <v>310</v>
      </c>
      <c r="C54" s="32" t="s">
        <v>263</v>
      </c>
      <c r="D54" s="66" t="s">
        <v>253</v>
      </c>
      <c r="E54" s="66" t="s">
        <v>254</v>
      </c>
      <c r="F54" s="66" t="s">
        <v>151</v>
      </c>
      <c r="G54" s="32">
        <v>0</v>
      </c>
      <c r="H54" s="32">
        <v>0</v>
      </c>
      <c r="I54" s="84">
        <v>0</v>
      </c>
      <c r="J54" s="32">
        <v>0</v>
      </c>
      <c r="K54" s="32">
        <v>0</v>
      </c>
    </row>
    <row r="55" spans="1:11" x14ac:dyDescent="0.25">
      <c r="A55" s="16" t="s">
        <v>1881</v>
      </c>
      <c r="B55" s="32" t="s">
        <v>311</v>
      </c>
      <c r="C55" s="32" t="s">
        <v>263</v>
      </c>
      <c r="D55" s="66" t="s">
        <v>253</v>
      </c>
      <c r="E55" s="66" t="s">
        <v>254</v>
      </c>
      <c r="F55" s="66" t="s">
        <v>125</v>
      </c>
      <c r="G55" s="32">
        <v>0</v>
      </c>
      <c r="H55" s="32">
        <v>0</v>
      </c>
      <c r="I55" s="84">
        <v>7.7299999999999994E-2</v>
      </c>
      <c r="J55" s="32">
        <v>4.9769145198397967E-7</v>
      </c>
      <c r="K55" s="32">
        <v>8.8608544591180077E-8</v>
      </c>
    </row>
    <row r="56" spans="1:11" x14ac:dyDescent="0.25">
      <c r="A56" s="16" t="s">
        <v>1881</v>
      </c>
      <c r="B56" s="32" t="s">
        <v>312</v>
      </c>
      <c r="C56" s="32" t="s">
        <v>263</v>
      </c>
      <c r="D56" s="66" t="s">
        <v>253</v>
      </c>
      <c r="E56" s="66" t="s">
        <v>254</v>
      </c>
      <c r="F56" s="66" t="s">
        <v>125</v>
      </c>
      <c r="G56" s="32">
        <v>0</v>
      </c>
      <c r="H56" s="32">
        <v>0</v>
      </c>
      <c r="I56" s="84">
        <v>3219.6658299999999</v>
      </c>
      <c r="J56" s="32">
        <v>2.0729626931900457E-2</v>
      </c>
      <c r="K56" s="32">
        <v>3.6906843889554183E-3</v>
      </c>
    </row>
    <row r="57" spans="1:11" x14ac:dyDescent="0.25">
      <c r="A57" s="16" t="s">
        <v>1881</v>
      </c>
      <c r="B57" s="32" t="s">
        <v>314</v>
      </c>
      <c r="C57" s="32" t="s">
        <v>263</v>
      </c>
      <c r="D57" s="66" t="s">
        <v>253</v>
      </c>
      <c r="E57" s="66" t="s">
        <v>254</v>
      </c>
      <c r="F57" s="66" t="s">
        <v>125</v>
      </c>
      <c r="G57" s="32">
        <v>0</v>
      </c>
      <c r="H57" s="32">
        <v>0</v>
      </c>
      <c r="I57" s="84">
        <v>117.08242999999999</v>
      </c>
      <c r="J57" s="32">
        <v>7.5382826117092712E-4</v>
      </c>
      <c r="K57" s="32">
        <v>1.3421091487061734E-4</v>
      </c>
    </row>
    <row r="58" spans="1:11" x14ac:dyDescent="0.25">
      <c r="A58" s="16" t="s">
        <v>1904</v>
      </c>
      <c r="B58" s="32" t="s">
        <v>315</v>
      </c>
      <c r="C58" s="32" t="s">
        <v>263</v>
      </c>
      <c r="D58" s="66" t="s">
        <v>253</v>
      </c>
      <c r="E58" s="66" t="s">
        <v>254</v>
      </c>
      <c r="F58" s="66" t="s">
        <v>125</v>
      </c>
      <c r="G58" s="32">
        <v>0</v>
      </c>
      <c r="H58" s="32">
        <v>0</v>
      </c>
      <c r="I58" s="84">
        <v>132.84075000000001</v>
      </c>
      <c r="J58" s="32">
        <v>8.5528726714283122E-4</v>
      </c>
      <c r="K58" s="32">
        <v>1.5227458628590954E-4</v>
      </c>
    </row>
    <row r="59" spans="1:11" x14ac:dyDescent="0.25">
      <c r="A59" s="16" t="s">
        <v>1904</v>
      </c>
      <c r="B59" s="32" t="s">
        <v>316</v>
      </c>
      <c r="C59" s="32" t="s">
        <v>263</v>
      </c>
      <c r="D59" s="66" t="s">
        <v>253</v>
      </c>
      <c r="E59" s="66" t="s">
        <v>254</v>
      </c>
      <c r="F59" s="66" t="s">
        <v>125</v>
      </c>
      <c r="G59" s="32">
        <v>0</v>
      </c>
      <c r="H59" s="32">
        <v>0</v>
      </c>
      <c r="I59" s="84">
        <v>0.27638999999999997</v>
      </c>
      <c r="J59" s="32">
        <v>1.7795205745647109E-6</v>
      </c>
      <c r="K59" s="32">
        <v>3.1682426441858035E-7</v>
      </c>
    </row>
    <row r="60" spans="1:11" x14ac:dyDescent="0.25">
      <c r="A60" s="16" t="s">
        <v>1881</v>
      </c>
      <c r="B60" s="32" t="s">
        <v>321</v>
      </c>
      <c r="C60" s="32" t="s">
        <v>263</v>
      </c>
      <c r="D60" s="66" t="s">
        <v>253</v>
      </c>
      <c r="E60" s="66" t="s">
        <v>254</v>
      </c>
      <c r="F60" s="66" t="s">
        <v>125</v>
      </c>
      <c r="G60" s="32">
        <v>0</v>
      </c>
      <c r="H60" s="32">
        <v>0</v>
      </c>
      <c r="I60" s="84">
        <v>1.1273299999999999</v>
      </c>
      <c r="J60" s="32">
        <v>7.2582471483195319E-6</v>
      </c>
      <c r="K60" s="32">
        <v>1.2922518832338297E-6</v>
      </c>
    </row>
    <row r="61" spans="1:11" x14ac:dyDescent="0.25">
      <c r="A61" s="16" t="s">
        <v>1859</v>
      </c>
      <c r="B61" s="32" t="s">
        <v>296</v>
      </c>
      <c r="C61" s="32" t="s">
        <v>261</v>
      </c>
      <c r="D61" s="66" t="s">
        <v>253</v>
      </c>
      <c r="E61" s="66" t="s">
        <v>254</v>
      </c>
      <c r="F61" s="66" t="s">
        <v>125</v>
      </c>
      <c r="G61" s="32">
        <v>0</v>
      </c>
      <c r="H61" s="32">
        <v>0</v>
      </c>
      <c r="I61" s="84">
        <v>3827.8238799999999</v>
      </c>
      <c r="J61" s="32">
        <v>2.4645216361916571E-2</v>
      </c>
      <c r="K61" s="32">
        <v>4.3878124574147992E-3</v>
      </c>
    </row>
    <row r="62" spans="1:11" x14ac:dyDescent="0.25">
      <c r="A62" s="16" t="s">
        <v>1859</v>
      </c>
      <c r="B62" s="32" t="s">
        <v>318</v>
      </c>
      <c r="C62" s="32" t="s">
        <v>261</v>
      </c>
      <c r="D62" s="66" t="s">
        <v>253</v>
      </c>
      <c r="E62" s="66" t="s">
        <v>254</v>
      </c>
      <c r="F62" s="66" t="s">
        <v>125</v>
      </c>
      <c r="G62" s="32">
        <v>0</v>
      </c>
      <c r="H62" s="32">
        <v>0</v>
      </c>
      <c r="I62" s="84">
        <v>0.28708999999999996</v>
      </c>
      <c r="J62" s="32">
        <v>1.8484118880993626E-6</v>
      </c>
      <c r="K62" s="32">
        <v>3.290896127643194E-7</v>
      </c>
    </row>
    <row r="63" spans="1:11" x14ac:dyDescent="0.25">
      <c r="A63" s="16" t="s">
        <v>1905</v>
      </c>
      <c r="B63" s="32" t="s">
        <v>297</v>
      </c>
      <c r="C63" s="32" t="s">
        <v>259</v>
      </c>
      <c r="D63" s="66" t="s">
        <v>253</v>
      </c>
      <c r="E63" s="66" t="s">
        <v>254</v>
      </c>
      <c r="F63" s="66" t="s">
        <v>125</v>
      </c>
      <c r="G63" s="32">
        <v>0</v>
      </c>
      <c r="H63" s="32">
        <v>0</v>
      </c>
      <c r="I63" s="84">
        <v>0.21903</v>
      </c>
      <c r="J63" s="32">
        <v>1.4102116264948393E-6</v>
      </c>
      <c r="K63" s="32">
        <v>2.5107282693151587E-7</v>
      </c>
    </row>
    <row r="64" spans="1:11" x14ac:dyDescent="0.25">
      <c r="A64" s="16" t="s">
        <v>1862</v>
      </c>
      <c r="B64" s="32" t="s">
        <v>299</v>
      </c>
      <c r="C64" s="32" t="s">
        <v>266</v>
      </c>
      <c r="D64" s="66" t="s">
        <v>267</v>
      </c>
      <c r="E64" s="66" t="s">
        <v>268</v>
      </c>
      <c r="F64" s="66" t="s">
        <v>125</v>
      </c>
      <c r="G64" s="32">
        <v>0</v>
      </c>
      <c r="H64" s="32">
        <v>0</v>
      </c>
      <c r="I64" s="84">
        <v>4412.07942</v>
      </c>
      <c r="J64" s="32">
        <v>2.8406910903084542E-2</v>
      </c>
      <c r="K64" s="32">
        <v>5.0575412163893661E-3</v>
      </c>
    </row>
    <row r="65" spans="1:11" x14ac:dyDescent="0.25">
      <c r="A65" s="16" t="s">
        <v>1860</v>
      </c>
      <c r="B65" s="32" t="s">
        <v>302</v>
      </c>
      <c r="C65" s="32" t="s">
        <v>266</v>
      </c>
      <c r="D65" s="66" t="s">
        <v>267</v>
      </c>
      <c r="E65" s="66" t="s">
        <v>268</v>
      </c>
      <c r="F65" s="66" t="s">
        <v>126</v>
      </c>
      <c r="G65" s="32">
        <v>0</v>
      </c>
      <c r="H65" s="32">
        <v>0</v>
      </c>
      <c r="I65" s="84">
        <v>16.96651</v>
      </c>
      <c r="J65" s="32">
        <v>1.0923786542044905E-4</v>
      </c>
      <c r="K65" s="32">
        <v>1.9448612650604175E-5</v>
      </c>
    </row>
    <row r="66" spans="1:11" x14ac:dyDescent="0.25">
      <c r="A66" s="16" t="s">
        <v>1860</v>
      </c>
      <c r="B66" s="32" t="s">
        <v>303</v>
      </c>
      <c r="C66" s="32" t="s">
        <v>266</v>
      </c>
      <c r="D66" s="66" t="s">
        <v>267</v>
      </c>
      <c r="E66" s="66" t="s">
        <v>268</v>
      </c>
      <c r="F66" s="66" t="s">
        <v>126</v>
      </c>
      <c r="G66" s="32">
        <v>0</v>
      </c>
      <c r="H66" s="32">
        <v>0</v>
      </c>
      <c r="I66" s="84">
        <v>1.3788</v>
      </c>
      <c r="J66" s="32">
        <v>8.8773217851941936E-6</v>
      </c>
      <c r="K66" s="32">
        <v>1.5805104952434555E-6</v>
      </c>
    </row>
    <row r="67" spans="1:11" x14ac:dyDescent="0.25">
      <c r="A67" s="16" t="s">
        <v>1860</v>
      </c>
      <c r="B67" s="32" t="s">
        <v>304</v>
      </c>
      <c r="C67" s="32" t="s">
        <v>266</v>
      </c>
      <c r="D67" s="66" t="s">
        <v>267</v>
      </c>
      <c r="E67" s="66" t="s">
        <v>268</v>
      </c>
      <c r="F67" s="66" t="s">
        <v>126</v>
      </c>
      <c r="G67" s="32">
        <v>0</v>
      </c>
      <c r="H67" s="32">
        <v>0</v>
      </c>
      <c r="I67" s="84">
        <v>13.104959999999998</v>
      </c>
      <c r="J67" s="32">
        <v>8.4375505441034598E-5</v>
      </c>
      <c r="K67" s="32">
        <v>1.5022140136165994E-5</v>
      </c>
    </row>
    <row r="68" spans="1:11" x14ac:dyDescent="0.25">
      <c r="A68" s="16" t="s">
        <v>1861</v>
      </c>
      <c r="B68" s="32" t="s">
        <v>309</v>
      </c>
      <c r="C68" s="32" t="s">
        <v>266</v>
      </c>
      <c r="D68" s="66" t="s">
        <v>267</v>
      </c>
      <c r="E68" s="66" t="s">
        <v>268</v>
      </c>
      <c r="F68" s="66" t="s">
        <v>2</v>
      </c>
      <c r="G68" s="32">
        <v>0</v>
      </c>
      <c r="H68" s="32">
        <v>0</v>
      </c>
      <c r="I68" s="84">
        <v>0.21265999999999999</v>
      </c>
      <c r="J68" s="32">
        <v>1.369198760399911E-6</v>
      </c>
      <c r="K68" s="32">
        <v>2.4377093263596839E-7</v>
      </c>
    </row>
    <row r="69" spans="1:11" x14ac:dyDescent="0.25">
      <c r="A69" s="16" t="s">
        <v>1862</v>
      </c>
      <c r="B69" s="32" t="s">
        <v>322</v>
      </c>
      <c r="C69" s="32" t="s">
        <v>266</v>
      </c>
      <c r="D69" s="66" t="s">
        <v>267</v>
      </c>
      <c r="E69" s="66" t="s">
        <v>268</v>
      </c>
      <c r="F69" s="66" t="s">
        <v>125</v>
      </c>
      <c r="G69" s="32">
        <v>0</v>
      </c>
      <c r="H69" s="32">
        <v>0</v>
      </c>
      <c r="I69" s="84">
        <v>1.01661</v>
      </c>
      <c r="J69" s="32">
        <v>6.5453830142488181E-6</v>
      </c>
      <c r="K69" s="32">
        <v>1.1653341852113789E-6</v>
      </c>
    </row>
    <row r="70" spans="1:11" x14ac:dyDescent="0.25">
      <c r="A70" s="16" t="s">
        <v>1862</v>
      </c>
      <c r="B70" s="32" t="s">
        <v>323</v>
      </c>
      <c r="C70" s="32" t="s">
        <v>266</v>
      </c>
      <c r="D70" s="66" t="s">
        <v>267</v>
      </c>
      <c r="E70" s="66" t="s">
        <v>268</v>
      </c>
      <c r="F70" s="66" t="s">
        <v>125</v>
      </c>
      <c r="G70" s="32">
        <v>0</v>
      </c>
      <c r="H70" s="32">
        <v>0</v>
      </c>
      <c r="I70" s="84">
        <v>65.564509999999999</v>
      </c>
      <c r="J70" s="32">
        <v>4.2213319767811329E-4</v>
      </c>
      <c r="K70" s="32">
        <v>7.515622002501776E-5</v>
      </c>
    </row>
    <row r="71" spans="1:11" x14ac:dyDescent="0.25">
      <c r="A71" s="16" t="s">
        <v>1863</v>
      </c>
      <c r="B71" s="32" t="s">
        <v>325</v>
      </c>
      <c r="C71" s="32" t="s">
        <v>266</v>
      </c>
      <c r="D71" s="66" t="s">
        <v>267</v>
      </c>
      <c r="E71" s="66" t="s">
        <v>268</v>
      </c>
      <c r="F71" s="66" t="s">
        <v>125</v>
      </c>
      <c r="G71" s="32">
        <v>0</v>
      </c>
      <c r="H71" s="32">
        <v>0</v>
      </c>
      <c r="I71" s="84">
        <v>-1.86273</v>
      </c>
      <c r="J71" s="32">
        <v>-1.199307630471046E-5</v>
      </c>
      <c r="K71" s="32">
        <v>-2.1352366657998564E-6</v>
      </c>
    </row>
    <row r="72" spans="1:11" x14ac:dyDescent="0.25">
      <c r="A72" s="16" t="s">
        <v>1863</v>
      </c>
      <c r="B72" s="32" t="s">
        <v>326</v>
      </c>
      <c r="C72" s="32" t="s">
        <v>266</v>
      </c>
      <c r="D72" s="66" t="s">
        <v>267</v>
      </c>
      <c r="E72" s="66" t="s">
        <v>268</v>
      </c>
      <c r="F72" s="66" t="s">
        <v>125</v>
      </c>
      <c r="G72" s="32">
        <v>0</v>
      </c>
      <c r="H72" s="32">
        <v>0</v>
      </c>
      <c r="I72" s="84">
        <v>1.3854600000000001</v>
      </c>
      <c r="J72" s="32">
        <v>8.9202017990391279E-6</v>
      </c>
      <c r="K72" s="32">
        <v>1.5881448148679998E-6</v>
      </c>
    </row>
    <row r="73" spans="1:11" s="119" customFormat="1" x14ac:dyDescent="0.25">
      <c r="A73" s="92" t="s">
        <v>327</v>
      </c>
      <c r="B73" s="121" t="s">
        <v>249</v>
      </c>
      <c r="C73" s="121" t="s">
        <v>249</v>
      </c>
      <c r="D73" s="122" t="s">
        <v>249</v>
      </c>
      <c r="E73" s="122" t="s">
        <v>249</v>
      </c>
      <c r="F73" s="122" t="s">
        <v>249</v>
      </c>
      <c r="G73" s="121" t="s">
        <v>249</v>
      </c>
      <c r="H73" s="121" t="s">
        <v>249</v>
      </c>
      <c r="I73" s="124">
        <v>0</v>
      </c>
      <c r="J73" s="121">
        <v>0</v>
      </c>
      <c r="K73" s="121">
        <v>0</v>
      </c>
    </row>
    <row r="74" spans="1:11" s="119" customFormat="1" x14ac:dyDescent="0.25">
      <c r="A74" s="92" t="s">
        <v>328</v>
      </c>
      <c r="B74" s="121" t="s">
        <v>249</v>
      </c>
      <c r="C74" s="121" t="s">
        <v>249</v>
      </c>
      <c r="D74" s="122" t="s">
        <v>249</v>
      </c>
      <c r="E74" s="122" t="s">
        <v>249</v>
      </c>
      <c r="F74" s="122" t="s">
        <v>249</v>
      </c>
      <c r="G74" s="121" t="s">
        <v>249</v>
      </c>
      <c r="H74" s="121" t="s">
        <v>249</v>
      </c>
      <c r="I74" s="124">
        <v>0</v>
      </c>
      <c r="J74" s="121">
        <v>0</v>
      </c>
      <c r="K74" s="121">
        <v>0</v>
      </c>
    </row>
    <row r="75" spans="1:11" s="119" customFormat="1" x14ac:dyDescent="0.25">
      <c r="A75" s="92" t="s">
        <v>329</v>
      </c>
      <c r="B75" s="121" t="s">
        <v>249</v>
      </c>
      <c r="C75" s="121" t="s">
        <v>249</v>
      </c>
      <c r="D75" s="122" t="s">
        <v>249</v>
      </c>
      <c r="E75" s="122" t="s">
        <v>249</v>
      </c>
      <c r="F75" s="122" t="s">
        <v>249</v>
      </c>
      <c r="G75" s="121" t="s">
        <v>249</v>
      </c>
      <c r="H75" s="121" t="s">
        <v>249</v>
      </c>
      <c r="I75" s="124">
        <v>0</v>
      </c>
      <c r="J75" s="121">
        <v>0</v>
      </c>
      <c r="K75" s="121">
        <v>0</v>
      </c>
    </row>
    <row r="76" spans="1:11" s="119" customFormat="1" x14ac:dyDescent="0.25">
      <c r="A76" s="92" t="s">
        <v>330</v>
      </c>
      <c r="B76" s="121" t="s">
        <v>249</v>
      </c>
      <c r="C76" s="121" t="s">
        <v>249</v>
      </c>
      <c r="D76" s="122" t="s">
        <v>249</v>
      </c>
      <c r="E76" s="122" t="s">
        <v>249</v>
      </c>
      <c r="F76" s="122" t="s">
        <v>249</v>
      </c>
      <c r="G76" s="121" t="s">
        <v>249</v>
      </c>
      <c r="H76" s="121" t="s">
        <v>249</v>
      </c>
      <c r="I76" s="124">
        <v>67836.293260100007</v>
      </c>
      <c r="J76" s="121">
        <v>0.43675993906636779</v>
      </c>
      <c r="K76" s="121">
        <v>7.7760352085872453E-2</v>
      </c>
    </row>
    <row r="77" spans="1:11" x14ac:dyDescent="0.25">
      <c r="A77" s="16" t="s">
        <v>335</v>
      </c>
      <c r="B77" s="32" t="s">
        <v>336</v>
      </c>
      <c r="C77" s="32" t="s">
        <v>252</v>
      </c>
      <c r="D77" s="66" t="s">
        <v>253</v>
      </c>
      <c r="E77" s="66" t="s">
        <v>254</v>
      </c>
      <c r="F77" s="66" t="s">
        <v>255</v>
      </c>
      <c r="G77" s="32">
        <v>8.0000000000000004E-4</v>
      </c>
      <c r="H77" s="32">
        <v>8.0000000000000004E-4</v>
      </c>
      <c r="I77" s="84">
        <v>6413.1591600000002</v>
      </c>
      <c r="J77" s="32">
        <v>4.1290743779362996E-2</v>
      </c>
      <c r="K77" s="32">
        <v>7.351367391968888E-3</v>
      </c>
    </row>
    <row r="78" spans="1:11" x14ac:dyDescent="0.25">
      <c r="A78" s="16" t="s">
        <v>331</v>
      </c>
      <c r="B78" s="32" t="s">
        <v>332</v>
      </c>
      <c r="C78" s="32" t="s">
        <v>263</v>
      </c>
      <c r="D78" s="66" t="s">
        <v>253</v>
      </c>
      <c r="E78" s="66" t="s">
        <v>254</v>
      </c>
      <c r="F78" s="66" t="s">
        <v>255</v>
      </c>
      <c r="G78" s="32">
        <v>8.0000000000000004E-4</v>
      </c>
      <c r="H78" s="32">
        <v>8.0000000000000004E-4</v>
      </c>
      <c r="I78" s="84">
        <v>3075.39581</v>
      </c>
      <c r="J78" s="32">
        <v>1.9800752989706953E-2</v>
      </c>
      <c r="K78" s="32">
        <v>3.5253084963248822E-3</v>
      </c>
    </row>
    <row r="79" spans="1:11" x14ac:dyDescent="0.25">
      <c r="A79" s="16" t="s">
        <v>339</v>
      </c>
      <c r="B79" s="32" t="s">
        <v>340</v>
      </c>
      <c r="C79" s="32" t="s">
        <v>261</v>
      </c>
      <c r="D79" s="66" t="s">
        <v>253</v>
      </c>
      <c r="E79" s="66" t="s">
        <v>254</v>
      </c>
      <c r="F79" s="66" t="s">
        <v>255</v>
      </c>
      <c r="G79" s="32">
        <v>8.0000000000000004E-4</v>
      </c>
      <c r="H79" s="32">
        <v>8.0000000000000004E-4</v>
      </c>
      <c r="I79" s="84">
        <v>16311.44659</v>
      </c>
      <c r="J79" s="32">
        <v>0.1050202786201324</v>
      </c>
      <c r="K79" s="32">
        <v>1.8697717238249253E-2</v>
      </c>
    </row>
    <row r="80" spans="1:11" x14ac:dyDescent="0.25">
      <c r="A80" s="16" t="s">
        <v>337</v>
      </c>
      <c r="B80" s="32" t="s">
        <v>338</v>
      </c>
      <c r="C80" s="32" t="s">
        <v>287</v>
      </c>
      <c r="D80" s="66" t="s">
        <v>253</v>
      </c>
      <c r="E80" s="66" t="s">
        <v>254</v>
      </c>
      <c r="F80" s="66" t="s">
        <v>255</v>
      </c>
      <c r="G80" s="32">
        <v>8.0000000000000004E-4</v>
      </c>
      <c r="H80" s="32">
        <v>8.0000000000000004E-4</v>
      </c>
      <c r="I80" s="84">
        <v>8597.5737499999996</v>
      </c>
      <c r="J80" s="32">
        <v>5.5354967182106717E-2</v>
      </c>
      <c r="K80" s="32">
        <v>9.8553492497132512E-3</v>
      </c>
    </row>
    <row r="81" spans="1:11" x14ac:dyDescent="0.25">
      <c r="A81" s="16" t="s">
        <v>333</v>
      </c>
      <c r="B81" s="32" t="s">
        <v>334</v>
      </c>
      <c r="C81" s="32" t="s">
        <v>259</v>
      </c>
      <c r="D81" s="66" t="s">
        <v>253</v>
      </c>
      <c r="E81" s="66" t="s">
        <v>254</v>
      </c>
      <c r="F81" s="66" t="s">
        <v>255</v>
      </c>
      <c r="G81" s="32">
        <v>8.0000000000000004E-4</v>
      </c>
      <c r="H81" s="32">
        <v>8.0000000000000004E-4</v>
      </c>
      <c r="I81" s="84">
        <v>33438.717949999998</v>
      </c>
      <c r="J81" s="32">
        <v>0.21529319649441481</v>
      </c>
      <c r="K81" s="32">
        <v>3.8330609709501536E-2</v>
      </c>
    </row>
    <row r="82" spans="1:11" s="119" customFormat="1" x14ac:dyDescent="0.25">
      <c r="A82" s="92" t="s">
        <v>341</v>
      </c>
      <c r="B82" s="121" t="s">
        <v>249</v>
      </c>
      <c r="C82" s="121" t="s">
        <v>249</v>
      </c>
      <c r="D82" s="122" t="s">
        <v>249</v>
      </c>
      <c r="E82" s="122" t="s">
        <v>249</v>
      </c>
      <c r="F82" s="122" t="s">
        <v>249</v>
      </c>
      <c r="G82" s="121" t="s">
        <v>249</v>
      </c>
      <c r="H82" s="121" t="s">
        <v>249</v>
      </c>
      <c r="I82" s="124">
        <v>2549.5559300999998</v>
      </c>
      <c r="J82" s="121">
        <v>1.6415164201369147E-2</v>
      </c>
      <c r="K82" s="121">
        <v>2.9225412719272115E-3</v>
      </c>
    </row>
    <row r="83" spans="1:11" x14ac:dyDescent="0.25">
      <c r="A83" s="16" t="s">
        <v>1906</v>
      </c>
      <c r="B83" s="32" t="s">
        <v>345</v>
      </c>
      <c r="C83" s="32" t="s">
        <v>252</v>
      </c>
      <c r="D83" s="66" t="s">
        <v>253</v>
      </c>
      <c r="E83" s="66" t="s">
        <v>254</v>
      </c>
      <c r="F83" s="66" t="s">
        <v>125</v>
      </c>
      <c r="G83" s="32">
        <v>0</v>
      </c>
      <c r="H83" s="32">
        <v>0</v>
      </c>
      <c r="I83" s="84">
        <v>-76.48</v>
      </c>
      <c r="J83" s="32">
        <v>-4.924119307598288E-4</v>
      </c>
      <c r="K83" s="32">
        <v>-8.7668583316086068E-5</v>
      </c>
    </row>
    <row r="84" spans="1:11" x14ac:dyDescent="0.25">
      <c r="A84" s="16" t="s">
        <v>1864</v>
      </c>
      <c r="B84" s="32" t="s">
        <v>346</v>
      </c>
      <c r="C84" s="32" t="s">
        <v>252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30.65878</v>
      </c>
      <c r="J84" s="32">
        <v>1.9739473136167396E-4</v>
      </c>
      <c r="K84" s="32">
        <v>3.5143982855642697E-5</v>
      </c>
    </row>
    <row r="85" spans="1:11" x14ac:dyDescent="0.25">
      <c r="A85" s="16" t="s">
        <v>1870</v>
      </c>
      <c r="B85" s="32" t="s">
        <v>342</v>
      </c>
      <c r="C85" s="32" t="s">
        <v>257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2523.84</v>
      </c>
      <c r="J85" s="32">
        <v>1.624959371507435E-2</v>
      </c>
      <c r="K85" s="32">
        <v>2.8930632494308405E-3</v>
      </c>
    </row>
    <row r="86" spans="1:11" x14ac:dyDescent="0.25">
      <c r="A86" s="16" t="s">
        <v>1870</v>
      </c>
      <c r="B86" s="32" t="s">
        <v>343</v>
      </c>
      <c r="C86" s="32" t="s">
        <v>257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22.14245</v>
      </c>
      <c r="J86" s="32">
        <v>1.4256284723134118E-4</v>
      </c>
      <c r="K86" s="32">
        <v>2.5381762848421418E-5</v>
      </c>
    </row>
    <row r="87" spans="1:11" x14ac:dyDescent="0.25">
      <c r="A87" s="16" t="s">
        <v>1882</v>
      </c>
      <c r="B87" s="32" t="s">
        <v>344</v>
      </c>
      <c r="C87" s="32" t="s">
        <v>261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49.3947</v>
      </c>
      <c r="J87" s="32">
        <v>3.18024837817763E-4</v>
      </c>
      <c r="K87" s="32">
        <v>5.6620859993764078E-5</v>
      </c>
    </row>
    <row r="88" spans="1:11" s="119" customFormat="1" x14ac:dyDescent="0.25">
      <c r="A88" s="92" t="s">
        <v>347</v>
      </c>
      <c r="B88" s="121" t="s">
        <v>249</v>
      </c>
      <c r="C88" s="121" t="s">
        <v>249</v>
      </c>
      <c r="D88" s="122" t="s">
        <v>249</v>
      </c>
      <c r="E88" s="122" t="s">
        <v>249</v>
      </c>
      <c r="F88" s="122" t="s">
        <v>249</v>
      </c>
      <c r="G88" s="121" t="s">
        <v>249</v>
      </c>
      <c r="H88" s="121" t="s">
        <v>249</v>
      </c>
      <c r="I88" s="124">
        <v>30706.082980199997</v>
      </c>
      <c r="J88" s="121">
        <v>0.19769928878598064</v>
      </c>
      <c r="K88" s="121">
        <v>3.5198205989282375E-2</v>
      </c>
    </row>
    <row r="89" spans="1:11" s="119" customFormat="1" x14ac:dyDescent="0.25">
      <c r="A89" s="92" t="s">
        <v>293</v>
      </c>
      <c r="B89" s="121" t="s">
        <v>249</v>
      </c>
      <c r="C89" s="121" t="s">
        <v>249</v>
      </c>
      <c r="D89" s="122" t="s">
        <v>249</v>
      </c>
      <c r="E89" s="122" t="s">
        <v>249</v>
      </c>
      <c r="F89" s="122" t="s">
        <v>249</v>
      </c>
      <c r="G89" s="121" t="s">
        <v>249</v>
      </c>
      <c r="H89" s="121" t="s">
        <v>249</v>
      </c>
      <c r="I89" s="124">
        <v>-583.29942989999995</v>
      </c>
      <c r="J89" s="121">
        <v>-3.7555386831611718E-3</v>
      </c>
      <c r="K89" s="121">
        <v>-6.686327754761199E-4</v>
      </c>
    </row>
    <row r="90" spans="1:11" x14ac:dyDescent="0.25">
      <c r="A90" s="16" t="s">
        <v>1883</v>
      </c>
      <c r="B90" s="32" t="s">
        <v>352</v>
      </c>
      <c r="C90" s="32" t="s">
        <v>353</v>
      </c>
      <c r="D90" s="66" t="s">
        <v>354</v>
      </c>
      <c r="E90" s="66" t="s">
        <v>268</v>
      </c>
      <c r="F90" s="66" t="s">
        <v>126</v>
      </c>
      <c r="G90" s="32">
        <v>0</v>
      </c>
      <c r="H90" s="32">
        <v>0</v>
      </c>
      <c r="I90" s="84">
        <v>9.6819999999999989E-2</v>
      </c>
      <c r="J90" s="32">
        <v>6.2336981088083973E-7</v>
      </c>
      <c r="K90" s="32">
        <v>1.109842081153694E-7</v>
      </c>
    </row>
    <row r="91" spans="1:11" x14ac:dyDescent="0.25">
      <c r="A91" s="16" t="s">
        <v>1884</v>
      </c>
      <c r="B91" s="32" t="s">
        <v>355</v>
      </c>
      <c r="C91" s="32" t="s">
        <v>353</v>
      </c>
      <c r="D91" s="66" t="s">
        <v>354</v>
      </c>
      <c r="E91" s="66" t="s">
        <v>268</v>
      </c>
      <c r="F91" s="66" t="s">
        <v>126</v>
      </c>
      <c r="G91" s="32">
        <v>0</v>
      </c>
      <c r="H91" s="32">
        <v>0</v>
      </c>
      <c r="I91" s="84">
        <v>18.898520000000001</v>
      </c>
      <c r="J91" s="32">
        <v>1.216769968841951E-4</v>
      </c>
      <c r="K91" s="32">
        <v>2.1663264581207101E-5</v>
      </c>
    </row>
    <row r="92" spans="1:11" x14ac:dyDescent="0.25">
      <c r="A92" s="16" t="s">
        <v>1885</v>
      </c>
      <c r="B92" s="32" t="s">
        <v>356</v>
      </c>
      <c r="C92" s="32" t="s">
        <v>353</v>
      </c>
      <c r="D92" s="66" t="s">
        <v>354</v>
      </c>
      <c r="E92" s="66" t="s">
        <v>268</v>
      </c>
      <c r="F92" s="66" t="s">
        <v>126</v>
      </c>
      <c r="G92" s="32">
        <v>0</v>
      </c>
      <c r="H92" s="32">
        <v>0</v>
      </c>
      <c r="I92" s="84">
        <v>-9.6610000000000001E-2</v>
      </c>
      <c r="J92" s="32">
        <v>-6.2201773837221582E-7</v>
      </c>
      <c r="K92" s="32">
        <v>-1.1074348632540632E-7</v>
      </c>
    </row>
    <row r="93" spans="1:11" x14ac:dyDescent="0.25">
      <c r="A93" s="16" t="s">
        <v>1907</v>
      </c>
      <c r="B93" s="32" t="s">
        <v>357</v>
      </c>
      <c r="C93" s="32" t="s">
        <v>353</v>
      </c>
      <c r="D93" s="66" t="s">
        <v>354</v>
      </c>
      <c r="E93" s="66" t="s">
        <v>268</v>
      </c>
      <c r="F93" s="66" t="s">
        <v>126</v>
      </c>
      <c r="G93" s="32">
        <v>0</v>
      </c>
      <c r="H93" s="32">
        <v>0</v>
      </c>
      <c r="I93" s="84">
        <v>3.6679999999999997E-2</v>
      </c>
      <c r="J93" s="32">
        <v>2.3616199817299323E-7</v>
      </c>
      <c r="K93" s="32">
        <v>4.2046072646888559E-8</v>
      </c>
    </row>
    <row r="94" spans="1:11" x14ac:dyDescent="0.25">
      <c r="A94" s="16" t="s">
        <v>1886</v>
      </c>
      <c r="B94" s="32" t="s">
        <v>358</v>
      </c>
      <c r="C94" s="32" t="s">
        <v>353</v>
      </c>
      <c r="D94" s="66" t="s">
        <v>354</v>
      </c>
      <c r="E94" s="66" t="s">
        <v>268</v>
      </c>
      <c r="F94" s="66" t="s">
        <v>2</v>
      </c>
      <c r="G94" s="32">
        <v>0</v>
      </c>
      <c r="H94" s="32">
        <v>0</v>
      </c>
      <c r="I94" s="84">
        <v>0.21256</v>
      </c>
      <c r="J94" s="32">
        <v>1.3685549163481854E-6</v>
      </c>
      <c r="K94" s="32">
        <v>2.4365630321217644E-7</v>
      </c>
    </row>
    <row r="95" spans="1:11" x14ac:dyDescent="0.25">
      <c r="A95" s="16" t="s">
        <v>1887</v>
      </c>
      <c r="B95" s="32" t="s">
        <v>359</v>
      </c>
      <c r="C95" s="32" t="s">
        <v>353</v>
      </c>
      <c r="D95" s="66" t="s">
        <v>354</v>
      </c>
      <c r="E95" s="66" t="s">
        <v>268</v>
      </c>
      <c r="F95" s="66" t="s">
        <v>2</v>
      </c>
      <c r="G95" s="32">
        <v>0</v>
      </c>
      <c r="H95" s="32">
        <v>0</v>
      </c>
      <c r="I95" s="84">
        <v>-0.21252000000000001</v>
      </c>
      <c r="J95" s="32">
        <v>-1.3682973787274951E-6</v>
      </c>
      <c r="K95" s="32">
        <v>-2.4361045144265967E-7</v>
      </c>
    </row>
    <row r="96" spans="1:11" x14ac:dyDescent="0.25">
      <c r="A96" s="16" t="s">
        <v>1888</v>
      </c>
      <c r="B96" s="32" t="s">
        <v>360</v>
      </c>
      <c r="C96" s="32" t="s">
        <v>353</v>
      </c>
      <c r="D96" s="66" t="s">
        <v>354</v>
      </c>
      <c r="E96" s="66" t="s">
        <v>268</v>
      </c>
      <c r="F96" s="66" t="s">
        <v>361</v>
      </c>
      <c r="G96" s="32">
        <v>0</v>
      </c>
      <c r="H96" s="32">
        <v>0</v>
      </c>
      <c r="I96" s="84">
        <v>3.7622900000000001</v>
      </c>
      <c r="J96" s="32">
        <v>2.4223280373671499E-5</v>
      </c>
      <c r="K96" s="32">
        <v>4.3126913483822894E-6</v>
      </c>
    </row>
    <row r="97" spans="1:11" x14ac:dyDescent="0.25">
      <c r="A97" s="16" t="s">
        <v>1889</v>
      </c>
      <c r="B97" s="32" t="s">
        <v>362</v>
      </c>
      <c r="C97" s="32" t="s">
        <v>353</v>
      </c>
      <c r="D97" s="66" t="s">
        <v>354</v>
      </c>
      <c r="E97" s="66" t="s">
        <v>268</v>
      </c>
      <c r="F97" s="66" t="s">
        <v>125</v>
      </c>
      <c r="G97" s="32">
        <v>0</v>
      </c>
      <c r="H97" s="32">
        <v>0</v>
      </c>
      <c r="I97" s="84">
        <v>0.47405000000000003</v>
      </c>
      <c r="J97" s="32">
        <v>3.0521427272057643E-6</v>
      </c>
      <c r="K97" s="32">
        <v>5.4340078348575576E-7</v>
      </c>
    </row>
    <row r="98" spans="1:11" x14ac:dyDescent="0.25">
      <c r="A98" s="16" t="s">
        <v>1890</v>
      </c>
      <c r="B98" s="32" t="s">
        <v>363</v>
      </c>
      <c r="C98" s="32" t="s">
        <v>353</v>
      </c>
      <c r="D98" s="66" t="s">
        <v>354</v>
      </c>
      <c r="E98" s="66" t="s">
        <v>268</v>
      </c>
      <c r="F98" s="66" t="s">
        <v>125</v>
      </c>
      <c r="G98" s="32">
        <v>0</v>
      </c>
      <c r="H98" s="32">
        <v>0</v>
      </c>
      <c r="I98" s="84">
        <v>-637.38094999999998</v>
      </c>
      <c r="J98" s="32">
        <v>-4.1037393334078702E-3</v>
      </c>
      <c r="K98" s="32">
        <v>-7.3062611034467953E-4</v>
      </c>
    </row>
    <row r="99" spans="1:11" x14ac:dyDescent="0.25">
      <c r="A99" s="16" t="s">
        <v>1891</v>
      </c>
      <c r="B99" s="32" t="s">
        <v>365</v>
      </c>
      <c r="C99" s="32" t="s">
        <v>353</v>
      </c>
      <c r="D99" s="66" t="s">
        <v>354</v>
      </c>
      <c r="E99" s="66" t="s">
        <v>268</v>
      </c>
      <c r="F99" s="66" t="s">
        <v>125</v>
      </c>
      <c r="G99" s="32">
        <v>0</v>
      </c>
      <c r="H99" s="32">
        <v>0</v>
      </c>
      <c r="I99" s="84">
        <v>-162.31101999999998</v>
      </c>
      <c r="J99" s="32">
        <v>-1.0450298475653398E-3</v>
      </c>
      <c r="K99" s="32">
        <v>-1.8605618697684247E-4</v>
      </c>
    </row>
    <row r="100" spans="1:11" x14ac:dyDescent="0.25">
      <c r="A100" s="16" t="s">
        <v>1865</v>
      </c>
      <c r="B100" s="32" t="s">
        <v>366</v>
      </c>
      <c r="C100" s="32" t="s">
        <v>367</v>
      </c>
      <c r="D100" s="66" t="s">
        <v>368</v>
      </c>
      <c r="E100" s="66" t="s">
        <v>268</v>
      </c>
      <c r="F100" s="66" t="s">
        <v>125</v>
      </c>
      <c r="G100" s="32">
        <v>0</v>
      </c>
      <c r="H100" s="32">
        <v>0</v>
      </c>
      <c r="I100" s="84">
        <v>-6.7666599999999999</v>
      </c>
      <c r="J100" s="32">
        <v>-4.3566737910503442E-5</v>
      </c>
      <c r="K100" s="32">
        <v>-7.7565833679606039E-6</v>
      </c>
    </row>
    <row r="101" spans="1:11" x14ac:dyDescent="0.25">
      <c r="A101" s="16" t="s">
        <v>1865</v>
      </c>
      <c r="B101" s="32" t="s">
        <v>370</v>
      </c>
      <c r="C101" s="32" t="s">
        <v>367</v>
      </c>
      <c r="D101" s="66" t="s">
        <v>368</v>
      </c>
      <c r="E101" s="66" t="s">
        <v>268</v>
      </c>
      <c r="F101" s="66" t="s">
        <v>125</v>
      </c>
      <c r="G101" s="32">
        <v>0</v>
      </c>
      <c r="H101" s="32">
        <v>0</v>
      </c>
      <c r="I101" s="84">
        <v>-1.52186</v>
      </c>
      <c r="J101" s="32">
        <v>-9.7984050855930058E-6</v>
      </c>
      <c r="K101" s="32">
        <v>-1.7444993489202242E-6</v>
      </c>
    </row>
    <row r="102" spans="1:11" x14ac:dyDescent="0.25">
      <c r="A102" s="16" t="s">
        <v>1871</v>
      </c>
      <c r="B102" s="32" t="s">
        <v>348</v>
      </c>
      <c r="C102" s="32" t="s">
        <v>349</v>
      </c>
      <c r="D102" s="66" t="s">
        <v>350</v>
      </c>
      <c r="E102" s="66" t="s">
        <v>351</v>
      </c>
      <c r="F102" s="66" t="s">
        <v>125</v>
      </c>
      <c r="G102" s="32">
        <v>0</v>
      </c>
      <c r="H102" s="32">
        <v>0</v>
      </c>
      <c r="I102" s="84">
        <v>-387.97471000000002</v>
      </c>
      <c r="J102" s="32">
        <v>-2.4979520925351032E-3</v>
      </c>
      <c r="K102" s="32">
        <v>-4.447331745315028E-4</v>
      </c>
    </row>
    <row r="103" spans="1:11" x14ac:dyDescent="0.25">
      <c r="A103" s="16" t="s">
        <v>1871</v>
      </c>
      <c r="B103" s="32" t="s">
        <v>364</v>
      </c>
      <c r="C103" s="32" t="s">
        <v>349</v>
      </c>
      <c r="D103" s="66" t="s">
        <v>350</v>
      </c>
      <c r="E103" s="66" t="s">
        <v>351</v>
      </c>
      <c r="F103" s="66" t="s">
        <v>125</v>
      </c>
      <c r="G103" s="32">
        <v>0</v>
      </c>
      <c r="H103" s="32">
        <v>0</v>
      </c>
      <c r="I103" s="84">
        <v>-246.47156000000001</v>
      </c>
      <c r="J103" s="32">
        <v>-1.586892478255583E-3</v>
      </c>
      <c r="K103" s="32">
        <v>-2.8252892903903905E-4</v>
      </c>
    </row>
    <row r="104" spans="1:11" x14ac:dyDescent="0.25">
      <c r="A104" s="16" t="s">
        <v>1871</v>
      </c>
      <c r="B104" s="32" t="s">
        <v>369</v>
      </c>
      <c r="C104" s="32" t="s">
        <v>349</v>
      </c>
      <c r="D104" s="66" t="s">
        <v>350</v>
      </c>
      <c r="E104" s="66" t="s">
        <v>351</v>
      </c>
      <c r="F104" s="66" t="s">
        <v>125</v>
      </c>
      <c r="G104" s="32">
        <v>0</v>
      </c>
      <c r="H104" s="32">
        <v>0</v>
      </c>
      <c r="I104" s="84">
        <v>835.95554000000004</v>
      </c>
      <c r="J104" s="32">
        <v>5.3822500193616025E-3</v>
      </c>
      <c r="K104" s="32">
        <v>9.5825101865891374E-4</v>
      </c>
    </row>
    <row r="105" spans="1:11" s="119" customFormat="1" x14ac:dyDescent="0.25">
      <c r="A105" s="92" t="s">
        <v>341</v>
      </c>
      <c r="B105" s="121" t="s">
        <v>249</v>
      </c>
      <c r="C105" s="121" t="s">
        <v>249</v>
      </c>
      <c r="D105" s="122" t="s">
        <v>249</v>
      </c>
      <c r="E105" s="122" t="s">
        <v>249</v>
      </c>
      <c r="F105" s="122" t="s">
        <v>249</v>
      </c>
      <c r="G105" s="121" t="s">
        <v>249</v>
      </c>
      <c r="H105" s="121" t="s">
        <v>249</v>
      </c>
      <c r="I105" s="124">
        <v>31289.382410099995</v>
      </c>
      <c r="J105" s="121">
        <v>0.20145482746914178</v>
      </c>
      <c r="K105" s="121">
        <v>3.5866838764758491E-2</v>
      </c>
    </row>
    <row r="106" spans="1:11" x14ac:dyDescent="0.25">
      <c r="A106" s="16" t="s">
        <v>1892</v>
      </c>
      <c r="B106" s="32" t="s">
        <v>371</v>
      </c>
      <c r="C106" s="32" t="s">
        <v>353</v>
      </c>
      <c r="D106" s="66" t="s">
        <v>354</v>
      </c>
      <c r="E106" s="66" t="s">
        <v>268</v>
      </c>
      <c r="F106" s="66" t="s">
        <v>125</v>
      </c>
      <c r="G106" s="32">
        <v>0</v>
      </c>
      <c r="H106" s="32">
        <v>0</v>
      </c>
      <c r="I106" s="84">
        <v>74.291060000000002</v>
      </c>
      <c r="J106" s="32">
        <v>4.7831857077398389E-4</v>
      </c>
      <c r="K106" s="32">
        <v>8.5159414006934477E-5</v>
      </c>
    </row>
    <row r="107" spans="1:11" x14ac:dyDescent="0.25">
      <c r="A107" s="16" t="s">
        <v>1908</v>
      </c>
      <c r="B107" s="32" t="s">
        <v>372</v>
      </c>
      <c r="C107" s="32" t="s">
        <v>349</v>
      </c>
      <c r="D107" s="66" t="s">
        <v>350</v>
      </c>
      <c r="E107" s="66" t="s">
        <v>351</v>
      </c>
      <c r="F107" s="66" t="s">
        <v>125</v>
      </c>
      <c r="G107" s="32">
        <v>0</v>
      </c>
      <c r="H107" s="32">
        <v>0</v>
      </c>
      <c r="I107" s="84">
        <v>1108.96</v>
      </c>
      <c r="J107" s="32">
        <v>7.1399729960175181E-3</v>
      </c>
      <c r="K107" s="32">
        <v>1.271194458083248E-3</v>
      </c>
    </row>
    <row r="108" spans="1:11" x14ac:dyDescent="0.25">
      <c r="A108" s="16" t="s">
        <v>1893</v>
      </c>
      <c r="B108" s="32" t="s">
        <v>373</v>
      </c>
      <c r="C108" s="32" t="s">
        <v>367</v>
      </c>
      <c r="D108" s="66" t="s">
        <v>368</v>
      </c>
      <c r="E108" s="66" t="s">
        <v>268</v>
      </c>
      <c r="F108" s="66" t="s">
        <v>125</v>
      </c>
      <c r="G108" s="32">
        <v>0</v>
      </c>
      <c r="H108" s="32">
        <v>0</v>
      </c>
      <c r="I108" s="84">
        <v>2433.5083599999998</v>
      </c>
      <c r="J108" s="32">
        <v>1.5667998824108062E-2</v>
      </c>
      <c r="K108" s="32">
        <v>2.7895166109970183E-3</v>
      </c>
    </row>
    <row r="109" spans="1:11" x14ac:dyDescent="0.25">
      <c r="A109" s="16" t="s">
        <v>1866</v>
      </c>
      <c r="B109" s="32" t="s">
        <v>374</v>
      </c>
      <c r="C109" s="32" t="s">
        <v>266</v>
      </c>
      <c r="D109" s="66" t="s">
        <v>267</v>
      </c>
      <c r="E109" s="66" t="s">
        <v>268</v>
      </c>
      <c r="F109" s="66" t="s">
        <v>125</v>
      </c>
      <c r="G109" s="32">
        <v>0</v>
      </c>
      <c r="H109" s="32">
        <v>0</v>
      </c>
      <c r="I109" s="84">
        <v>-4.3099999999999999E-2</v>
      </c>
      <c r="J109" s="32">
        <v>-2.774967862937843E-7</v>
      </c>
      <c r="K109" s="32">
        <v>-4.9405281654331977E-8</v>
      </c>
    </row>
    <row r="110" spans="1:11" x14ac:dyDescent="0.25">
      <c r="A110" s="16" t="s">
        <v>1866</v>
      </c>
      <c r="B110" s="32" t="s">
        <v>375</v>
      </c>
      <c r="C110" s="32" t="s">
        <v>266</v>
      </c>
      <c r="D110" s="66" t="s">
        <v>267</v>
      </c>
      <c r="E110" s="66" t="s">
        <v>268</v>
      </c>
      <c r="F110" s="66" t="s">
        <v>125</v>
      </c>
      <c r="G110" s="32">
        <v>0</v>
      </c>
      <c r="H110" s="32">
        <v>0</v>
      </c>
      <c r="I110" s="84">
        <v>9560</v>
      </c>
      <c r="J110" s="32">
        <v>6.1551491344978601E-2</v>
      </c>
      <c r="K110" s="32">
        <v>1.0958572914510759E-2</v>
      </c>
    </row>
    <row r="111" spans="1:11" x14ac:dyDescent="0.25">
      <c r="A111" s="16" t="s">
        <v>1866</v>
      </c>
      <c r="B111" s="32" t="s">
        <v>376</v>
      </c>
      <c r="C111" s="32" t="s">
        <v>266</v>
      </c>
      <c r="D111" s="66" t="s">
        <v>267</v>
      </c>
      <c r="E111" s="66" t="s">
        <v>268</v>
      </c>
      <c r="F111" s="66" t="s">
        <v>125</v>
      </c>
      <c r="G111" s="32">
        <v>0</v>
      </c>
      <c r="H111" s="32">
        <v>0</v>
      </c>
      <c r="I111" s="84">
        <v>-190.08442000000002</v>
      </c>
      <c r="J111" s="32">
        <v>-1.2238472314273303E-3</v>
      </c>
      <c r="K111" s="32">
        <v>-2.1789267536427692E-4</v>
      </c>
    </row>
    <row r="112" spans="1:11" x14ac:dyDescent="0.25">
      <c r="A112" s="16" t="s">
        <v>1894</v>
      </c>
      <c r="B112" s="32" t="s">
        <v>377</v>
      </c>
      <c r="C112" s="32" t="s">
        <v>378</v>
      </c>
      <c r="D112" s="66" t="s">
        <v>350</v>
      </c>
      <c r="E112" s="66" t="s">
        <v>351</v>
      </c>
      <c r="F112" s="66" t="s">
        <v>125</v>
      </c>
      <c r="G112" s="32">
        <v>0</v>
      </c>
      <c r="H112" s="32">
        <v>0</v>
      </c>
      <c r="I112" s="84">
        <v>-1195.3240700000001</v>
      </c>
      <c r="J112" s="32">
        <v>-7.6960229235407537E-3</v>
      </c>
      <c r="K112" s="32">
        <v>-1.3701930938875275E-3</v>
      </c>
    </row>
    <row r="113" spans="1:11" x14ac:dyDescent="0.25">
      <c r="A113" s="16" t="s">
        <v>1872</v>
      </c>
      <c r="B113" s="32" t="s">
        <v>379</v>
      </c>
      <c r="C113" s="32" t="s">
        <v>349</v>
      </c>
      <c r="D113" s="66" t="s">
        <v>350</v>
      </c>
      <c r="E113" s="66" t="s">
        <v>351</v>
      </c>
      <c r="F113" s="66" t="s">
        <v>125</v>
      </c>
      <c r="G113" s="32">
        <v>0</v>
      </c>
      <c r="H113" s="32">
        <v>0</v>
      </c>
      <c r="I113" s="84">
        <v>14790.161340000001</v>
      </c>
      <c r="J113" s="32">
        <v>9.5225574028226692E-2</v>
      </c>
      <c r="K113" s="32">
        <v>1.6953876721942276E-2</v>
      </c>
    </row>
    <row r="114" spans="1:11" x14ac:dyDescent="0.25">
      <c r="A114" s="16" t="s">
        <v>1867</v>
      </c>
      <c r="B114" s="32" t="s">
        <v>380</v>
      </c>
      <c r="C114" s="32" t="s">
        <v>367</v>
      </c>
      <c r="D114" s="66" t="s">
        <v>368</v>
      </c>
      <c r="E114" s="66" t="s">
        <v>268</v>
      </c>
      <c r="F114" s="66" t="s">
        <v>125</v>
      </c>
      <c r="G114" s="32">
        <v>0</v>
      </c>
      <c r="H114" s="32">
        <v>0</v>
      </c>
      <c r="I114" s="84">
        <v>6.7300000000000007E-3</v>
      </c>
      <c r="J114" s="32">
        <v>4.3330704681140801E-8</v>
      </c>
      <c r="K114" s="32">
        <v>7.7145602211984739E-9</v>
      </c>
    </row>
    <row r="115" spans="1:11" x14ac:dyDescent="0.25">
      <c r="A115" s="16" t="s">
        <v>1873</v>
      </c>
      <c r="B115" s="32" t="s">
        <v>381</v>
      </c>
      <c r="C115" s="32" t="s">
        <v>349</v>
      </c>
      <c r="D115" s="66" t="s">
        <v>350</v>
      </c>
      <c r="E115" s="66" t="s">
        <v>351</v>
      </c>
      <c r="F115" s="66" t="s">
        <v>126</v>
      </c>
      <c r="G115" s="32">
        <v>0</v>
      </c>
      <c r="H115" s="32">
        <v>0</v>
      </c>
      <c r="I115" s="84">
        <v>2050.8730500000001</v>
      </c>
      <c r="J115" s="32">
        <v>1.3204424140870802E-2</v>
      </c>
      <c r="K115" s="32">
        <v>2.3509039599194635E-3</v>
      </c>
    </row>
    <row r="116" spans="1:11" x14ac:dyDescent="0.25">
      <c r="A116" s="16" t="s">
        <v>1874</v>
      </c>
      <c r="B116" s="32" t="s">
        <v>382</v>
      </c>
      <c r="C116" s="32" t="s">
        <v>349</v>
      </c>
      <c r="D116" s="66" t="s">
        <v>350</v>
      </c>
      <c r="E116" s="66" t="s">
        <v>351</v>
      </c>
      <c r="F116" s="66" t="s">
        <v>361</v>
      </c>
      <c r="G116" s="32">
        <v>0</v>
      </c>
      <c r="H116" s="32">
        <v>0</v>
      </c>
      <c r="I116" s="84">
        <v>2657.0334600000001</v>
      </c>
      <c r="J116" s="32">
        <v>1.7107151884572024E-2</v>
      </c>
      <c r="K116" s="32">
        <v>3.0457421451574066E-3</v>
      </c>
    </row>
    <row r="117" spans="1:11" s="119" customFormat="1" x14ac:dyDescent="0.25">
      <c r="A117" s="78" t="s">
        <v>241</v>
      </c>
      <c r="B117" s="125"/>
      <c r="C117" s="125"/>
      <c r="D117" s="125"/>
      <c r="E117" s="126"/>
      <c r="F117" s="127"/>
      <c r="G117" s="128"/>
      <c r="H117" s="129"/>
      <c r="I117" s="128"/>
      <c r="J117" s="130"/>
    </row>
    <row r="118" spans="1:11" s="119" customFormat="1" x14ac:dyDescent="0.25">
      <c r="A118" s="78" t="s">
        <v>242</v>
      </c>
      <c r="B118" s="125"/>
      <c r="C118" s="125"/>
      <c r="D118" s="125"/>
      <c r="E118" s="126"/>
      <c r="F118" s="127"/>
      <c r="G118" s="128"/>
      <c r="H118" s="129"/>
      <c r="I118" s="128"/>
      <c r="J118" s="130"/>
    </row>
    <row r="119" spans="1:11" s="119" customFormat="1" x14ac:dyDescent="0.25">
      <c r="A119" s="78" t="s">
        <v>243</v>
      </c>
      <c r="B119" s="125"/>
      <c r="C119" s="125"/>
      <c r="D119" s="125"/>
      <c r="E119" s="126"/>
      <c r="F119" s="127"/>
      <c r="G119" s="128"/>
      <c r="H119" s="129"/>
      <c r="I119" s="128"/>
      <c r="J119" s="130"/>
    </row>
    <row r="120" spans="1:11" s="119" customFormat="1" x14ac:dyDescent="0.25">
      <c r="A120" s="78" t="s">
        <v>244</v>
      </c>
      <c r="B120" s="125"/>
      <c r="C120" s="125"/>
      <c r="D120" s="125"/>
      <c r="E120" s="126"/>
      <c r="F120" s="127"/>
      <c r="G120" s="128"/>
      <c r="H120" s="129"/>
      <c r="I120" s="128"/>
      <c r="J120" s="130"/>
    </row>
    <row r="121" spans="1:11" s="119" customFormat="1" x14ac:dyDescent="0.25">
      <c r="A121" s="78" t="s">
        <v>245</v>
      </c>
      <c r="B121" s="125"/>
      <c r="C121" s="125"/>
      <c r="D121" s="125"/>
      <c r="E121" s="126"/>
      <c r="F121" s="127"/>
      <c r="G121" s="128"/>
      <c r="H121" s="129"/>
      <c r="I121" s="128"/>
      <c r="J121" s="130"/>
    </row>
  </sheetData>
  <mergeCells count="1">
    <mergeCell ref="A4:K4"/>
  </mergeCells>
  <phoneticPr fontId="3" type="noConversion"/>
  <conditionalFormatting sqref="A9:A116 I9:K116">
    <cfRule type="expression" dxfId="129" priority="43" stopIfTrue="1">
      <formula>OR(LEFT(#REF!,3)="TIR",LEFT(#REF!,2)="IR")</formula>
    </cfRule>
  </conditionalFormatting>
  <conditionalFormatting sqref="B9:F116 J9:K116">
    <cfRule type="expression" dxfId="128" priority="39" stopIfTrue="1">
      <formula>LEFT(#REF!,3)="TIR"</formula>
    </cfRule>
  </conditionalFormatting>
  <conditionalFormatting sqref="G1:G3 G9:H116 G117:G55651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16 A9:A116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5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7"/>
    </row>
    <row r="6" spans="1:17" s="7" customFormat="1" ht="28.5" customHeight="1" x14ac:dyDescent="0.25">
      <c r="A6" s="207" t="s">
        <v>157</v>
      </c>
      <c r="B6" s="205" t="s">
        <v>69</v>
      </c>
      <c r="C6" s="205" t="s">
        <v>76</v>
      </c>
      <c r="D6" s="205" t="s">
        <v>70</v>
      </c>
      <c r="E6" s="205" t="s">
        <v>5</v>
      </c>
      <c r="F6" s="205" t="s">
        <v>13</v>
      </c>
      <c r="G6" s="205" t="s">
        <v>14</v>
      </c>
      <c r="H6" s="205" t="s">
        <v>6</v>
      </c>
      <c r="I6" s="206" t="s">
        <v>66</v>
      </c>
      <c r="J6" s="206" t="s">
        <v>71</v>
      </c>
      <c r="K6" s="206" t="s">
        <v>67</v>
      </c>
      <c r="L6" s="206" t="s">
        <v>68</v>
      </c>
      <c r="M6" s="206" t="s">
        <v>134</v>
      </c>
      <c r="N6" s="206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17699.4000007</v>
      </c>
      <c r="O9" s="67"/>
      <c r="P9" s="67">
        <v>1</v>
      </c>
      <c r="Q9" s="81">
        <v>2.0288720235435431E-2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17699.400000500002</v>
      </c>
      <c r="O10" s="121" t="s">
        <v>249</v>
      </c>
      <c r="P10" s="121">
        <v>0.99999999998870015</v>
      </c>
      <c r="Q10" s="121">
        <v>2.0288720235206174E-2</v>
      </c>
    </row>
    <row r="11" spans="1:17" s="119" customFormat="1" x14ac:dyDescent="0.25">
      <c r="A11" s="92" t="s">
        <v>383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0</v>
      </c>
      <c r="O11" s="137"/>
      <c r="P11" s="121">
        <v>0</v>
      </c>
      <c r="Q11" s="121">
        <v>0</v>
      </c>
    </row>
    <row r="12" spans="1:17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1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35" t="s">
        <v>249</v>
      </c>
      <c r="N12" s="124">
        <v>17699.4000003</v>
      </c>
      <c r="O12" s="137"/>
      <c r="P12" s="121">
        <v>0.99999999997740041</v>
      </c>
      <c r="Q12" s="121">
        <v>2.0288720234976913E-2</v>
      </c>
    </row>
    <row r="13" spans="1:17" s="119" customFormat="1" x14ac:dyDescent="0.25">
      <c r="A13" s="92" t="s">
        <v>384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1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36" t="s">
        <v>249</v>
      </c>
      <c r="N13" s="124">
        <v>17699.400000100002</v>
      </c>
      <c r="O13" s="137"/>
      <c r="P13" s="121">
        <v>0.99999999996610056</v>
      </c>
      <c r="Q13" s="121">
        <v>2.0288720234747658E-2</v>
      </c>
    </row>
    <row r="14" spans="1:17" x14ac:dyDescent="0.25">
      <c r="A14" s="16" t="s">
        <v>385</v>
      </c>
      <c r="B14" s="117" t="s">
        <v>386</v>
      </c>
      <c r="C14" s="117" t="s">
        <v>387</v>
      </c>
      <c r="D14" s="117" t="s">
        <v>388</v>
      </c>
      <c r="E14" s="117" t="s">
        <v>218</v>
      </c>
      <c r="F14" s="117" t="s">
        <v>389</v>
      </c>
      <c r="G14" s="118">
        <v>0.36</v>
      </c>
      <c r="H14" s="117" t="s">
        <v>255</v>
      </c>
      <c r="I14" s="117">
        <v>0</v>
      </c>
      <c r="J14" s="117">
        <v>4.8000000000000001E-2</v>
      </c>
      <c r="K14" s="69">
        <v>18000000</v>
      </c>
      <c r="L14" s="60">
        <v>98.33</v>
      </c>
      <c r="M14" s="60">
        <v>0</v>
      </c>
      <c r="N14" s="84">
        <v>17699.400000000001</v>
      </c>
      <c r="O14" s="24">
        <v>5.6249999999999996E-4</v>
      </c>
      <c r="P14" s="32">
        <v>0.99999999996045064</v>
      </c>
      <c r="Q14" s="32">
        <v>2.0288720234633028E-2</v>
      </c>
    </row>
    <row r="15" spans="1:17" s="119" customFormat="1" x14ac:dyDescent="0.25">
      <c r="A15" s="92" t="s">
        <v>390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1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36" t="s">
        <v>249</v>
      </c>
      <c r="N15" s="124">
        <v>0</v>
      </c>
      <c r="O15" s="137"/>
      <c r="P15" s="121">
        <v>0</v>
      </c>
      <c r="Q15" s="121">
        <v>0</v>
      </c>
    </row>
    <row r="16" spans="1:17" s="119" customFormat="1" x14ac:dyDescent="0.25">
      <c r="A16" s="92" t="s">
        <v>391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1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36" t="s">
        <v>249</v>
      </c>
      <c r="N16" s="124">
        <v>0</v>
      </c>
      <c r="O16" s="137"/>
      <c r="P16" s="121">
        <v>0</v>
      </c>
      <c r="Q16" s="121">
        <v>0</v>
      </c>
    </row>
    <row r="17" spans="1:17" s="119" customFormat="1" x14ac:dyDescent="0.25">
      <c r="A17" s="92" t="s">
        <v>392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1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36" t="s">
        <v>249</v>
      </c>
      <c r="N17" s="124">
        <v>0</v>
      </c>
      <c r="O17" s="137"/>
      <c r="P17" s="121">
        <v>0</v>
      </c>
      <c r="Q17" s="121">
        <v>0</v>
      </c>
    </row>
    <row r="18" spans="1:17" s="119" customFormat="1" x14ac:dyDescent="0.25">
      <c r="A18" s="92" t="s">
        <v>393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1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36" t="s">
        <v>249</v>
      </c>
      <c r="N18" s="124">
        <v>0</v>
      </c>
      <c r="O18" s="137"/>
      <c r="P18" s="121">
        <v>0</v>
      </c>
      <c r="Q18" s="121">
        <v>0</v>
      </c>
    </row>
    <row r="19" spans="1:17" s="119" customFormat="1" x14ac:dyDescent="0.25">
      <c r="A19" s="92" t="s">
        <v>394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1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36" t="s">
        <v>249</v>
      </c>
      <c r="N19" s="124">
        <v>0</v>
      </c>
      <c r="O19" s="137"/>
      <c r="P19" s="121">
        <v>0</v>
      </c>
      <c r="Q19" s="121">
        <v>0</v>
      </c>
    </row>
    <row r="20" spans="1:17" s="119" customFormat="1" x14ac:dyDescent="0.25">
      <c r="A20" s="92" t="s">
        <v>395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1" t="s">
        <v>249</v>
      </c>
      <c r="G20" s="132" t="s">
        <v>249</v>
      </c>
      <c r="H20" s="131" t="s">
        <v>249</v>
      </c>
      <c r="I20" s="131" t="s">
        <v>249</v>
      </c>
      <c r="J20" s="131" t="s">
        <v>249</v>
      </c>
      <c r="K20" s="135" t="s">
        <v>249</v>
      </c>
      <c r="L20" s="136" t="s">
        <v>249</v>
      </c>
      <c r="M20" s="136" t="s">
        <v>249</v>
      </c>
      <c r="N20" s="124">
        <v>0</v>
      </c>
      <c r="O20" s="137"/>
      <c r="P20" s="121">
        <v>0</v>
      </c>
      <c r="Q20" s="121">
        <v>0</v>
      </c>
    </row>
    <row r="21" spans="1:17" s="119" customFormat="1" x14ac:dyDescent="0.25">
      <c r="A21" s="78" t="s">
        <v>241</v>
      </c>
      <c r="B21" s="125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28"/>
      <c r="P21" s="128"/>
      <c r="Q21" s="138"/>
    </row>
    <row r="22" spans="1:17" s="119" customFormat="1" x14ac:dyDescent="0.25">
      <c r="A22" s="78" t="s">
        <v>242</v>
      </c>
      <c r="B22" s="125"/>
      <c r="C22" s="125"/>
      <c r="D22" s="125"/>
      <c r="E22" s="126"/>
      <c r="F22" s="126"/>
      <c r="G22" s="126"/>
      <c r="H22" s="127"/>
      <c r="I22" s="128"/>
      <c r="J22" s="129"/>
      <c r="K22" s="129"/>
      <c r="L22" s="129"/>
      <c r="M22" s="129"/>
      <c r="N22" s="128"/>
      <c r="O22" s="128"/>
      <c r="P22" s="128"/>
      <c r="Q22" s="138"/>
    </row>
    <row r="23" spans="1:17" s="119" customFormat="1" x14ac:dyDescent="0.25">
      <c r="A23" s="78" t="s">
        <v>243</v>
      </c>
      <c r="B23" s="125"/>
      <c r="C23" s="125"/>
      <c r="D23" s="125"/>
      <c r="E23" s="126"/>
      <c r="F23" s="126"/>
      <c r="G23" s="126"/>
      <c r="H23" s="127"/>
      <c r="I23" s="128"/>
      <c r="J23" s="129"/>
      <c r="K23" s="129"/>
      <c r="L23" s="129"/>
      <c r="M23" s="129"/>
      <c r="N23" s="128"/>
      <c r="O23" s="128"/>
      <c r="P23" s="128"/>
      <c r="Q23" s="138"/>
    </row>
    <row r="24" spans="1:17" s="119" customFormat="1" x14ac:dyDescent="0.25">
      <c r="A24" s="78" t="s">
        <v>244</v>
      </c>
      <c r="B24" s="125"/>
      <c r="C24" s="125"/>
      <c r="D24" s="125"/>
      <c r="E24" s="126"/>
      <c r="F24" s="126"/>
      <c r="G24" s="126"/>
      <c r="H24" s="127"/>
      <c r="I24" s="128"/>
      <c r="J24" s="129"/>
      <c r="K24" s="129"/>
      <c r="L24" s="129"/>
      <c r="M24" s="129"/>
      <c r="N24" s="128"/>
      <c r="O24" s="128"/>
      <c r="P24" s="128"/>
      <c r="Q24" s="138"/>
    </row>
    <row r="25" spans="1:17" s="119" customFormat="1" x14ac:dyDescent="0.25">
      <c r="A25" s="78" t="s">
        <v>245</v>
      </c>
      <c r="B25" s="125"/>
      <c r="C25" s="125"/>
      <c r="D25" s="125"/>
      <c r="E25" s="126"/>
      <c r="F25" s="126"/>
      <c r="G25" s="126"/>
      <c r="H25" s="127"/>
      <c r="I25" s="128"/>
      <c r="J25" s="129"/>
      <c r="K25" s="129"/>
      <c r="L25" s="129"/>
      <c r="M25" s="129"/>
      <c r="N25" s="128"/>
      <c r="O25" s="128"/>
      <c r="P25" s="128"/>
      <c r="Q25" s="138"/>
    </row>
  </sheetData>
  <mergeCells count="2">
    <mergeCell ref="A5:Q5"/>
    <mergeCell ref="A4:Q4"/>
  </mergeCells>
  <phoneticPr fontId="3" type="noConversion"/>
  <conditionalFormatting sqref="A9:A20 N9:N20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20">
    <cfRule type="expression" dxfId="122" priority="66" stopIfTrue="1">
      <formula>OR(LEFT(#REF!,3)="TIR",LEFT(#REF!,2)="IR")</formula>
    </cfRule>
  </conditionalFormatting>
  <conditionalFormatting sqref="B10:J20">
    <cfRule type="expression" dxfId="121" priority="73" stopIfTrue="1">
      <formula>LEFT(#REF!,3)="TIR"</formula>
    </cfRule>
  </conditionalFormatting>
  <conditionalFormatting sqref="I1:I3 G9 I9:M9 O9:O20 K10:M20 I21:I55555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5" t="s">
        <v>69</v>
      </c>
      <c r="C6" s="205" t="s">
        <v>76</v>
      </c>
      <c r="D6" s="205" t="s">
        <v>77</v>
      </c>
      <c r="E6" s="205" t="s">
        <v>74</v>
      </c>
      <c r="F6" s="205" t="s">
        <v>19</v>
      </c>
      <c r="G6" s="205" t="s">
        <v>70</v>
      </c>
      <c r="H6" s="205" t="s">
        <v>5</v>
      </c>
      <c r="I6" s="205" t="s">
        <v>13</v>
      </c>
      <c r="J6" s="205" t="s">
        <v>14</v>
      </c>
      <c r="K6" s="205" t="s">
        <v>6</v>
      </c>
      <c r="L6" s="206" t="s">
        <v>66</v>
      </c>
      <c r="M6" s="206" t="s">
        <v>71</v>
      </c>
      <c r="N6" s="206" t="s">
        <v>67</v>
      </c>
      <c r="O6" s="206" t="s">
        <v>68</v>
      </c>
      <c r="P6" s="206" t="s">
        <v>134</v>
      </c>
      <c r="Q6" s="206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396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397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1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5.88671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" style="61" bestFit="1" customWidth="1"/>
    <col min="12" max="12" width="12.5546875" style="63" customWidth="1"/>
    <col min="13" max="13" width="14.109375" style="63" customWidth="1"/>
    <col min="14" max="14" width="10.88671875" style="63" bestFit="1" customWidth="1"/>
    <col min="15" max="15" width="8.88671875" style="61" bestFit="1" customWidth="1"/>
    <col min="16" max="16" width="16.5546875" style="61" customWidth="1"/>
    <col min="17" max="17" width="10.44140625" style="6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88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5" t="s">
        <v>69</v>
      </c>
      <c r="C6" s="205" t="s">
        <v>76</v>
      </c>
      <c r="D6" s="205" t="s">
        <v>77</v>
      </c>
      <c r="E6" s="205" t="s">
        <v>74</v>
      </c>
      <c r="F6" s="205" t="s">
        <v>19</v>
      </c>
      <c r="G6" s="205" t="s">
        <v>70</v>
      </c>
      <c r="H6" s="205" t="s">
        <v>5</v>
      </c>
      <c r="I6" s="205" t="s">
        <v>13</v>
      </c>
      <c r="J6" s="205" t="s">
        <v>14</v>
      </c>
      <c r="K6" s="205" t="s">
        <v>6</v>
      </c>
      <c r="L6" s="206" t="s">
        <v>66</v>
      </c>
      <c r="M6" s="206" t="s">
        <v>71</v>
      </c>
      <c r="N6" s="206" t="s">
        <v>67</v>
      </c>
      <c r="O6" s="206" t="s">
        <v>68</v>
      </c>
      <c r="P6" s="206" t="s">
        <v>134</v>
      </c>
      <c r="Q6" s="206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2720.0958906000001</v>
      </c>
      <c r="R9" s="67" t="s">
        <v>249</v>
      </c>
      <c r="S9" s="67">
        <v>1</v>
      </c>
      <c r="T9" s="81">
        <v>3.1180302459833872E-3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861.56998039999996</v>
      </c>
      <c r="R10" s="121" t="s">
        <v>249</v>
      </c>
      <c r="S10" s="121">
        <v>0.31674250285711603</v>
      </c>
      <c r="T10" s="121">
        <v>9.8761270409696705E-4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0</v>
      </c>
      <c r="R11" s="137"/>
      <c r="S11" s="137">
        <v>0</v>
      </c>
      <c r="T11" s="137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2" t="s">
        <v>249</v>
      </c>
      <c r="L12" s="131" t="s">
        <v>249</v>
      </c>
      <c r="M12" s="131" t="s">
        <v>249</v>
      </c>
      <c r="N12" s="135" t="s">
        <v>249</v>
      </c>
      <c r="O12" s="136" t="s">
        <v>249</v>
      </c>
      <c r="P12" s="124" t="s">
        <v>249</v>
      </c>
      <c r="Q12" s="124">
        <v>861.56998010000007</v>
      </c>
      <c r="R12" s="137"/>
      <c r="S12" s="137">
        <v>0.3167425027468258</v>
      </c>
      <c r="T12" s="137">
        <v>9.8761270375307894E-4</v>
      </c>
    </row>
    <row r="13" spans="1:20" x14ac:dyDescent="0.25">
      <c r="A13" s="16" t="s">
        <v>403</v>
      </c>
      <c r="B13" s="117" t="s">
        <v>405</v>
      </c>
      <c r="C13" s="117" t="s">
        <v>387</v>
      </c>
      <c r="D13" s="117" t="s">
        <v>249</v>
      </c>
      <c r="E13" s="117" t="s">
        <v>406</v>
      </c>
      <c r="F13" s="117" t="s">
        <v>205</v>
      </c>
      <c r="G13" s="117" t="s">
        <v>401</v>
      </c>
      <c r="H13" s="117" t="s">
        <v>401</v>
      </c>
      <c r="I13" s="117" t="s">
        <v>407</v>
      </c>
      <c r="J13" s="118">
        <v>4.25</v>
      </c>
      <c r="K13" s="118" t="s">
        <v>255</v>
      </c>
      <c r="L13" s="117">
        <v>4.8499999999999995E-2</v>
      </c>
      <c r="M13" s="117">
        <v>5.2699999999999997E-2</v>
      </c>
      <c r="N13" s="69">
        <v>322480.16383149585</v>
      </c>
      <c r="O13" s="60">
        <v>99.8</v>
      </c>
      <c r="P13" s="84">
        <v>0</v>
      </c>
      <c r="Q13" s="84">
        <v>321.83519999999999</v>
      </c>
      <c r="R13" s="24">
        <v>1.3072919507677858E-3</v>
      </c>
      <c r="S13" s="24">
        <v>0.11831759354961911</v>
      </c>
      <c r="T13" s="24">
        <v>3.6891783531968123E-4</v>
      </c>
    </row>
    <row r="14" spans="1:20" x14ac:dyDescent="0.25">
      <c r="A14" s="16" t="s">
        <v>408</v>
      </c>
      <c r="B14" s="117" t="s">
        <v>409</v>
      </c>
      <c r="C14" s="117" t="s">
        <v>387</v>
      </c>
      <c r="D14" s="117" t="s">
        <v>249</v>
      </c>
      <c r="E14" s="117" t="s">
        <v>410</v>
      </c>
      <c r="F14" s="117" t="s">
        <v>231</v>
      </c>
      <c r="G14" s="117" t="s">
        <v>411</v>
      </c>
      <c r="H14" s="117" t="s">
        <v>254</v>
      </c>
      <c r="I14" s="117" t="s">
        <v>412</v>
      </c>
      <c r="J14" s="118">
        <v>3.82</v>
      </c>
      <c r="K14" s="118" t="s">
        <v>255</v>
      </c>
      <c r="L14" s="117">
        <v>2.5000000000000001E-3</v>
      </c>
      <c r="M14" s="117">
        <v>5.8400000000000001E-2</v>
      </c>
      <c r="N14" s="69">
        <v>654151.88534478762</v>
      </c>
      <c r="O14" s="60">
        <v>81.3</v>
      </c>
      <c r="P14" s="84">
        <v>0</v>
      </c>
      <c r="Q14" s="84">
        <v>531.82547999999997</v>
      </c>
      <c r="R14" s="24">
        <v>1.1545174308329085E-3</v>
      </c>
      <c r="S14" s="24">
        <v>0.19551718078684707</v>
      </c>
      <c r="T14" s="24">
        <v>6.096284833027911E-4</v>
      </c>
    </row>
    <row r="15" spans="1:20" x14ac:dyDescent="0.25">
      <c r="A15" s="16" t="s">
        <v>398</v>
      </c>
      <c r="B15" s="117" t="s">
        <v>399</v>
      </c>
      <c r="C15" s="117" t="s">
        <v>387</v>
      </c>
      <c r="D15" s="117" t="s">
        <v>249</v>
      </c>
      <c r="E15" s="117" t="s">
        <v>400</v>
      </c>
      <c r="F15" s="117" t="s">
        <v>225</v>
      </c>
      <c r="G15" s="117" t="s">
        <v>401</v>
      </c>
      <c r="H15" s="117" t="s">
        <v>401</v>
      </c>
      <c r="I15" s="117" t="s">
        <v>402</v>
      </c>
      <c r="J15" s="118">
        <v>3.84</v>
      </c>
      <c r="K15" s="118" t="s">
        <v>255</v>
      </c>
      <c r="L15" s="117">
        <v>0.10539999999999999</v>
      </c>
      <c r="M15" s="117">
        <v>7.3399999999999993E-2</v>
      </c>
      <c r="N15" s="69">
        <v>6856.19</v>
      </c>
      <c r="O15" s="60">
        <v>115.36</v>
      </c>
      <c r="P15" s="84">
        <v>0</v>
      </c>
      <c r="Q15" s="84">
        <v>7.9093</v>
      </c>
      <c r="R15" s="24">
        <v>2.7984448979591835E-5</v>
      </c>
      <c r="S15" s="24">
        <v>2.9077283735961836E-3</v>
      </c>
      <c r="T15" s="24">
        <v>9.0663850159769819E-6</v>
      </c>
    </row>
    <row r="16" spans="1:20" s="119" customFormat="1" x14ac:dyDescent="0.25">
      <c r="A16" s="92" t="s">
        <v>396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2" t="s">
        <v>249</v>
      </c>
      <c r="L16" s="131" t="s">
        <v>249</v>
      </c>
      <c r="M16" s="131" t="s">
        <v>249</v>
      </c>
      <c r="N16" s="135" t="s">
        <v>249</v>
      </c>
      <c r="O16" s="136" t="s">
        <v>249</v>
      </c>
      <c r="P16" s="124" t="s">
        <v>249</v>
      </c>
      <c r="Q16" s="124">
        <v>0</v>
      </c>
      <c r="R16" s="137"/>
      <c r="S16" s="137">
        <v>0</v>
      </c>
      <c r="T16" s="137">
        <v>0</v>
      </c>
    </row>
    <row r="17" spans="1:20" s="119" customFormat="1" x14ac:dyDescent="0.25">
      <c r="A17" s="92" t="s">
        <v>413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1" t="s">
        <v>249</v>
      </c>
      <c r="H17" s="131" t="s">
        <v>249</v>
      </c>
      <c r="I17" s="131" t="s">
        <v>249</v>
      </c>
      <c r="J17" s="132" t="s">
        <v>249</v>
      </c>
      <c r="K17" s="132" t="s">
        <v>249</v>
      </c>
      <c r="L17" s="131" t="s">
        <v>249</v>
      </c>
      <c r="M17" s="131" t="s">
        <v>249</v>
      </c>
      <c r="N17" s="135" t="s">
        <v>249</v>
      </c>
      <c r="O17" s="136" t="s">
        <v>249</v>
      </c>
      <c r="P17" s="124" t="s">
        <v>249</v>
      </c>
      <c r="Q17" s="124">
        <v>0</v>
      </c>
      <c r="R17" s="137"/>
      <c r="S17" s="137">
        <v>0</v>
      </c>
      <c r="T17" s="137">
        <v>0</v>
      </c>
    </row>
    <row r="18" spans="1:20" s="119" customFormat="1" x14ac:dyDescent="0.25">
      <c r="A18" s="92" t="s">
        <v>393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1" t="s">
        <v>249</v>
      </c>
      <c r="H18" s="131" t="s">
        <v>249</v>
      </c>
      <c r="I18" s="131" t="s">
        <v>249</v>
      </c>
      <c r="J18" s="132" t="s">
        <v>249</v>
      </c>
      <c r="K18" s="132" t="s">
        <v>249</v>
      </c>
      <c r="L18" s="131" t="s">
        <v>249</v>
      </c>
      <c r="M18" s="131" t="s">
        <v>249</v>
      </c>
      <c r="N18" s="135" t="s">
        <v>249</v>
      </c>
      <c r="O18" s="136" t="s">
        <v>249</v>
      </c>
      <c r="P18" s="124" t="s">
        <v>249</v>
      </c>
      <c r="Q18" s="124">
        <v>1858.5259102</v>
      </c>
      <c r="R18" s="137"/>
      <c r="S18" s="137">
        <v>0.68325749714288397</v>
      </c>
      <c r="T18" s="137">
        <v>2.1304175418864198E-3</v>
      </c>
    </row>
    <row r="19" spans="1:20" s="119" customFormat="1" x14ac:dyDescent="0.25">
      <c r="A19" s="92" t="s">
        <v>143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1" t="s">
        <v>249</v>
      </c>
      <c r="H19" s="131" t="s">
        <v>249</v>
      </c>
      <c r="I19" s="131" t="s">
        <v>249</v>
      </c>
      <c r="J19" s="132" t="s">
        <v>249</v>
      </c>
      <c r="K19" s="132" t="s">
        <v>249</v>
      </c>
      <c r="L19" s="131" t="s">
        <v>249</v>
      </c>
      <c r="M19" s="131" t="s">
        <v>249</v>
      </c>
      <c r="N19" s="135" t="s">
        <v>249</v>
      </c>
      <c r="O19" s="136" t="s">
        <v>249</v>
      </c>
      <c r="P19" s="124" t="s">
        <v>249</v>
      </c>
      <c r="Q19" s="124">
        <v>1279.2746101</v>
      </c>
      <c r="R19" s="137"/>
      <c r="S19" s="137">
        <v>0.4703049677479631</v>
      </c>
      <c r="T19" s="137">
        <v>1.4664251142743904E-3</v>
      </c>
    </row>
    <row r="20" spans="1:20" x14ac:dyDescent="0.25">
      <c r="A20" s="16" t="s">
        <v>428</v>
      </c>
      <c r="B20" s="117" t="s">
        <v>429</v>
      </c>
      <c r="C20" s="117" t="s">
        <v>218</v>
      </c>
      <c r="D20" s="117" t="s">
        <v>416</v>
      </c>
      <c r="E20" s="117" t="s">
        <v>430</v>
      </c>
      <c r="F20" s="117" t="s">
        <v>173</v>
      </c>
      <c r="G20" s="117" t="s">
        <v>401</v>
      </c>
      <c r="H20" s="117" t="s">
        <v>401</v>
      </c>
      <c r="I20" s="117" t="s">
        <v>431</v>
      </c>
      <c r="J20" s="118">
        <v>2.0089999999999999</v>
      </c>
      <c r="K20" s="118" t="s">
        <v>125</v>
      </c>
      <c r="L20" s="117">
        <v>0</v>
      </c>
      <c r="M20" s="117">
        <v>6.9210000000000008E-2</v>
      </c>
      <c r="N20" s="69">
        <v>155449.6922336907</v>
      </c>
      <c r="O20" s="60">
        <v>86.8</v>
      </c>
      <c r="P20" s="84">
        <v>0</v>
      </c>
      <c r="Q20" s="84">
        <v>515.97359000000006</v>
      </c>
      <c r="R20" s="24">
        <v>3.379341135515015E-4</v>
      </c>
      <c r="S20" s="24">
        <v>0.1896894855005227</v>
      </c>
      <c r="T20" s="24">
        <v>5.9145755313565695E-4</v>
      </c>
    </row>
    <row r="21" spans="1:20" x14ac:dyDescent="0.25">
      <c r="A21" s="16" t="s">
        <v>419</v>
      </c>
      <c r="B21" s="117" t="s">
        <v>420</v>
      </c>
      <c r="C21" s="117" t="s">
        <v>218</v>
      </c>
      <c r="D21" s="117" t="s">
        <v>416</v>
      </c>
      <c r="E21" s="117" t="s">
        <v>421</v>
      </c>
      <c r="F21" s="117" t="s">
        <v>183</v>
      </c>
      <c r="G21" s="117" t="s">
        <v>401</v>
      </c>
      <c r="H21" s="117" t="s">
        <v>401</v>
      </c>
      <c r="I21" s="117" t="s">
        <v>422</v>
      </c>
      <c r="J21" s="118">
        <v>1.901</v>
      </c>
      <c r="K21" s="118" t="s">
        <v>125</v>
      </c>
      <c r="L21" s="117">
        <v>0</v>
      </c>
      <c r="M21" s="117">
        <v>5.287E-2</v>
      </c>
      <c r="N21" s="69">
        <v>43033.267471283965</v>
      </c>
      <c r="O21" s="60">
        <v>90.5</v>
      </c>
      <c r="P21" s="84">
        <v>0</v>
      </c>
      <c r="Q21" s="84">
        <v>148.92608999999999</v>
      </c>
      <c r="R21" s="24">
        <v>9.3550581459312973E-5</v>
      </c>
      <c r="S21" s="24">
        <v>5.475030880883755E-2</v>
      </c>
      <c r="T21" s="24">
        <v>1.7071311884288612E-4</v>
      </c>
    </row>
    <row r="22" spans="1:20" x14ac:dyDescent="0.25">
      <c r="A22" s="16" t="s">
        <v>423</v>
      </c>
      <c r="B22" s="117" t="s">
        <v>424</v>
      </c>
      <c r="C22" s="117" t="s">
        <v>218</v>
      </c>
      <c r="D22" s="117" t="s">
        <v>416</v>
      </c>
      <c r="E22" s="117" t="s">
        <v>425</v>
      </c>
      <c r="F22" s="117" t="s">
        <v>185</v>
      </c>
      <c r="G22" s="117" t="s">
        <v>401</v>
      </c>
      <c r="H22" s="117" t="s">
        <v>401</v>
      </c>
      <c r="I22" s="117" t="s">
        <v>426</v>
      </c>
      <c r="J22" s="118">
        <v>1.9059999999999999</v>
      </c>
      <c r="K22" s="118" t="s">
        <v>125</v>
      </c>
      <c r="L22" s="117">
        <v>0</v>
      </c>
      <c r="M22" s="117">
        <v>4.6829999999999997E-2</v>
      </c>
      <c r="N22" s="69">
        <v>109963.95420817638</v>
      </c>
      <c r="O22" s="60">
        <v>91.391000000000005</v>
      </c>
      <c r="P22" s="84">
        <v>0</v>
      </c>
      <c r="Q22" s="84">
        <v>384.30113</v>
      </c>
      <c r="R22" s="24">
        <v>1.7385605408407333E-4</v>
      </c>
      <c r="S22" s="24">
        <v>0.14128219939894496</v>
      </c>
      <c r="T22" s="24">
        <v>4.4052217094496629E-4</v>
      </c>
    </row>
    <row r="23" spans="1:20" x14ac:dyDescent="0.25">
      <c r="A23" s="16" t="s">
        <v>423</v>
      </c>
      <c r="B23" s="117" t="s">
        <v>424</v>
      </c>
      <c r="C23" s="117" t="s">
        <v>218</v>
      </c>
      <c r="D23" s="117" t="s">
        <v>416</v>
      </c>
      <c r="E23" s="117" t="s">
        <v>425</v>
      </c>
      <c r="F23" s="117" t="s">
        <v>185</v>
      </c>
      <c r="G23" s="117" t="s">
        <v>401</v>
      </c>
      <c r="H23" s="117" t="s">
        <v>401</v>
      </c>
      <c r="I23" s="117" t="s">
        <v>427</v>
      </c>
      <c r="J23" s="118">
        <v>1.9059999999999999</v>
      </c>
      <c r="K23" s="118" t="s">
        <v>125</v>
      </c>
      <c r="L23" s="117">
        <v>0</v>
      </c>
      <c r="M23" s="117">
        <v>4.6829999999999997E-2</v>
      </c>
      <c r="N23" s="69">
        <v>40406.221122285504</v>
      </c>
      <c r="O23" s="60">
        <v>91.391000000000005</v>
      </c>
      <c r="P23" s="84">
        <v>0</v>
      </c>
      <c r="Q23" s="84">
        <v>141.21132999999998</v>
      </c>
      <c r="R23" s="24">
        <v>6.3883353553020558E-5</v>
      </c>
      <c r="S23" s="24">
        <v>5.1914099972722477E-2</v>
      </c>
      <c r="T23" s="24">
        <v>1.61869733907954E-4</v>
      </c>
    </row>
    <row r="24" spans="1:20" x14ac:dyDescent="0.25">
      <c r="A24" s="16" t="s">
        <v>414</v>
      </c>
      <c r="B24" s="117" t="s">
        <v>415</v>
      </c>
      <c r="C24" s="117" t="s">
        <v>218</v>
      </c>
      <c r="D24" s="117" t="s">
        <v>416</v>
      </c>
      <c r="E24" s="117" t="s">
        <v>417</v>
      </c>
      <c r="F24" s="117" t="s">
        <v>183</v>
      </c>
      <c r="G24" s="117" t="s">
        <v>401</v>
      </c>
      <c r="H24" s="117" t="s">
        <v>401</v>
      </c>
      <c r="I24" s="117" t="s">
        <v>418</v>
      </c>
      <c r="J24" s="118">
        <v>1.8120000000000001</v>
      </c>
      <c r="K24" s="118" t="s">
        <v>125</v>
      </c>
      <c r="L24" s="117">
        <v>0</v>
      </c>
      <c r="M24" s="117">
        <v>6.2539999999999998E-2</v>
      </c>
      <c r="N24" s="69">
        <v>25949.854067435015</v>
      </c>
      <c r="O24" s="60">
        <v>89.55</v>
      </c>
      <c r="P24" s="84">
        <v>0</v>
      </c>
      <c r="Q24" s="84">
        <v>88.862470000000002</v>
      </c>
      <c r="R24" s="24">
        <v>4.5130180986843503E-5</v>
      </c>
      <c r="S24" s="24">
        <v>3.2668874030172032E-2</v>
      </c>
      <c r="T24" s="24">
        <v>1.0186253732829759E-4</v>
      </c>
    </row>
    <row r="25" spans="1:20" s="119" customFormat="1" x14ac:dyDescent="0.25">
      <c r="A25" s="92" t="s">
        <v>144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1" t="s">
        <v>249</v>
      </c>
      <c r="H25" s="131" t="s">
        <v>249</v>
      </c>
      <c r="I25" s="131" t="s">
        <v>249</v>
      </c>
      <c r="J25" s="132" t="s">
        <v>249</v>
      </c>
      <c r="K25" s="132" t="s">
        <v>249</v>
      </c>
      <c r="L25" s="131" t="s">
        <v>249</v>
      </c>
      <c r="M25" s="131" t="s">
        <v>249</v>
      </c>
      <c r="N25" s="135" t="s">
        <v>249</v>
      </c>
      <c r="O25" s="136" t="s">
        <v>249</v>
      </c>
      <c r="P25" s="124" t="s">
        <v>249</v>
      </c>
      <c r="Q25" s="124">
        <v>579.25130009999998</v>
      </c>
      <c r="R25" s="137"/>
      <c r="S25" s="137">
        <v>0.21295252939492088</v>
      </c>
      <c r="T25" s="137">
        <v>6.6399242761202963E-4</v>
      </c>
    </row>
    <row r="26" spans="1:20" x14ac:dyDescent="0.25">
      <c r="A26" s="16" t="s">
        <v>432</v>
      </c>
      <c r="B26" s="117" t="s">
        <v>433</v>
      </c>
      <c r="C26" s="117" t="s">
        <v>218</v>
      </c>
      <c r="D26" s="117" t="s">
        <v>416</v>
      </c>
      <c r="E26" s="175" t="s">
        <v>1937</v>
      </c>
      <c r="F26" s="117" t="s">
        <v>172</v>
      </c>
      <c r="G26" s="117" t="s">
        <v>401</v>
      </c>
      <c r="H26" s="117" t="s">
        <v>401</v>
      </c>
      <c r="I26" s="117" t="s">
        <v>434</v>
      </c>
      <c r="J26" s="118">
        <v>1.964</v>
      </c>
      <c r="K26" s="118" t="s">
        <v>125</v>
      </c>
      <c r="L26" s="117">
        <v>4.4999999999999998E-2</v>
      </c>
      <c r="M26" s="117">
        <v>-0.15128</v>
      </c>
      <c r="N26" s="69">
        <v>104485.49850943244</v>
      </c>
      <c r="O26" s="60">
        <v>144.97499999999999</v>
      </c>
      <c r="P26" s="84">
        <v>0</v>
      </c>
      <c r="Q26" s="84">
        <v>579.25130000000001</v>
      </c>
      <c r="R26" s="24">
        <v>2.2714238806398356E-4</v>
      </c>
      <c r="S26" s="24">
        <v>0.21295252935815748</v>
      </c>
      <c r="T26" s="24">
        <v>6.6399242749740019E-4</v>
      </c>
    </row>
    <row r="27" spans="1:20" s="119" customFormat="1" x14ac:dyDescent="0.25">
      <c r="A27" s="78" t="s">
        <v>241</v>
      </c>
      <c r="B27" s="125"/>
      <c r="C27" s="125"/>
      <c r="D27" s="125"/>
      <c r="E27" s="125"/>
      <c r="F27" s="125"/>
      <c r="G27" s="126"/>
      <c r="H27" s="126"/>
      <c r="I27" s="126"/>
      <c r="J27" s="127"/>
      <c r="K27" s="128"/>
      <c r="L27" s="129"/>
      <c r="M27" s="129"/>
      <c r="N27" s="129"/>
      <c r="O27" s="128"/>
      <c r="P27" s="128"/>
      <c r="Q27" s="128"/>
      <c r="R27" s="138"/>
      <c r="S27" s="138"/>
      <c r="T27" s="138"/>
    </row>
    <row r="28" spans="1:20" s="119" customFormat="1" x14ac:dyDescent="0.25">
      <c r="A28" s="78" t="s">
        <v>242</v>
      </c>
      <c r="B28" s="125"/>
      <c r="C28" s="125"/>
      <c r="D28" s="125"/>
      <c r="E28" s="125"/>
      <c r="F28" s="125"/>
      <c r="G28" s="126"/>
      <c r="H28" s="126"/>
      <c r="I28" s="126"/>
      <c r="J28" s="127"/>
      <c r="K28" s="128"/>
      <c r="L28" s="129"/>
      <c r="M28" s="129"/>
      <c r="N28" s="129"/>
      <c r="O28" s="128"/>
      <c r="P28" s="128"/>
      <c r="Q28" s="128"/>
      <c r="R28" s="138"/>
      <c r="S28" s="138"/>
      <c r="T28" s="138"/>
    </row>
    <row r="29" spans="1:20" s="119" customFormat="1" x14ac:dyDescent="0.25">
      <c r="A29" s="78" t="s">
        <v>243</v>
      </c>
      <c r="B29" s="125"/>
      <c r="C29" s="125"/>
      <c r="D29" s="125"/>
      <c r="E29" s="125"/>
      <c r="F29" s="125"/>
      <c r="G29" s="126"/>
      <c r="H29" s="126"/>
      <c r="I29" s="126"/>
      <c r="J29" s="127"/>
      <c r="K29" s="128"/>
      <c r="L29" s="129"/>
      <c r="M29" s="129"/>
      <c r="N29" s="129"/>
      <c r="O29" s="128"/>
      <c r="P29" s="128"/>
      <c r="Q29" s="128"/>
      <c r="R29" s="138"/>
      <c r="S29" s="138"/>
      <c r="T29" s="138"/>
    </row>
    <row r="30" spans="1:20" s="119" customFormat="1" x14ac:dyDescent="0.25">
      <c r="A30" s="78" t="s">
        <v>244</v>
      </c>
      <c r="B30" s="125"/>
      <c r="C30" s="125"/>
      <c r="D30" s="125"/>
      <c r="E30" s="125"/>
      <c r="F30" s="125"/>
      <c r="G30" s="126"/>
      <c r="H30" s="126"/>
      <c r="I30" s="126"/>
      <c r="J30" s="127"/>
      <c r="K30" s="128"/>
      <c r="L30" s="129"/>
      <c r="M30" s="129"/>
      <c r="N30" s="129"/>
      <c r="O30" s="128"/>
      <c r="P30" s="128"/>
      <c r="Q30" s="128"/>
      <c r="R30" s="138"/>
      <c r="S30" s="138"/>
      <c r="T30" s="138"/>
    </row>
    <row r="31" spans="1:20" s="119" customFormat="1" x14ac:dyDescent="0.25">
      <c r="A31" s="78" t="s">
        <v>245</v>
      </c>
      <c r="B31" s="125"/>
      <c r="C31" s="125"/>
      <c r="D31" s="125"/>
      <c r="E31" s="125"/>
      <c r="F31" s="125"/>
      <c r="G31" s="126"/>
      <c r="H31" s="126"/>
      <c r="I31" s="126"/>
      <c r="J31" s="127"/>
      <c r="K31" s="128"/>
      <c r="L31" s="129"/>
      <c r="M31" s="129"/>
      <c r="N31" s="129"/>
      <c r="O31" s="128"/>
      <c r="P31" s="128"/>
      <c r="Q31" s="128"/>
      <c r="R31" s="138"/>
      <c r="S31" s="138"/>
      <c r="T31" s="138"/>
    </row>
  </sheetData>
  <sortState xmlns:xlrd2="http://schemas.microsoft.com/office/spreadsheetml/2017/richdata2" ref="A20:Z24">
    <sortCondition ref="A20:A24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6 P10:Q26">
    <cfRule type="expression" dxfId="112" priority="109" stopIfTrue="1">
      <formula>#REF!&gt;0</formula>
    </cfRule>
  </conditionalFormatting>
  <conditionalFormatting sqref="B10:M26">
    <cfRule type="expression" dxfId="111" priority="111" stopIfTrue="1">
      <formula>LEFT(#REF!,3)="TIR"</formula>
    </cfRule>
  </conditionalFormatting>
  <conditionalFormatting sqref="S10:T26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9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30"/>
      <c r="N4" s="231"/>
      <c r="O4" s="13"/>
      <c r="P4" s="13"/>
      <c r="Q4" s="12"/>
      <c r="R4" s="12"/>
      <c r="S4" s="14"/>
    </row>
    <row r="5" spans="1:19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</row>
    <row r="6" spans="1:19" s="7" customFormat="1" x14ac:dyDescent="0.25">
      <c r="A6" s="86" t="s">
        <v>157</v>
      </c>
      <c r="B6" s="205" t="s">
        <v>69</v>
      </c>
      <c r="C6" s="205" t="s">
        <v>76</v>
      </c>
      <c r="D6" s="205" t="s">
        <v>77</v>
      </c>
      <c r="E6" s="205" t="s">
        <v>74</v>
      </c>
      <c r="F6" s="205" t="s">
        <v>19</v>
      </c>
      <c r="G6" s="205" t="s">
        <v>6</v>
      </c>
      <c r="H6" s="206" t="s">
        <v>67</v>
      </c>
      <c r="I6" s="206" t="s">
        <v>68</v>
      </c>
      <c r="J6" s="206" t="s">
        <v>134</v>
      </c>
      <c r="K6" s="206" t="s">
        <v>7</v>
      </c>
      <c r="L6" s="206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398449.2078706997</v>
      </c>
      <c r="L9" s="70" t="s">
        <v>249</v>
      </c>
      <c r="M9" s="70">
        <v>1</v>
      </c>
      <c r="N9" s="82">
        <v>0.45674003108578626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266005.8933305</v>
      </c>
      <c r="L10" s="121" t="s">
        <v>249</v>
      </c>
      <c r="M10" s="121">
        <v>0.66760301708724012</v>
      </c>
      <c r="N10" s="121">
        <v>0.30492102277739075</v>
      </c>
    </row>
    <row r="11" spans="1:19" s="119" customFormat="1" x14ac:dyDescent="0.25">
      <c r="A11" s="92" t="s">
        <v>435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181105.70573010005</v>
      </c>
      <c r="L11" s="137"/>
      <c r="M11" s="121">
        <v>0.45452645444553236</v>
      </c>
      <c r="N11" s="121">
        <v>0.20760042693276468</v>
      </c>
    </row>
    <row r="12" spans="1:19" x14ac:dyDescent="0.25">
      <c r="A12" s="16" t="s">
        <v>517</v>
      </c>
      <c r="B12" s="117" t="s">
        <v>518</v>
      </c>
      <c r="C12" s="117" t="s">
        <v>387</v>
      </c>
      <c r="D12" s="117" t="s">
        <v>249</v>
      </c>
      <c r="E12" s="117" t="s">
        <v>519</v>
      </c>
      <c r="F12" s="117" t="s">
        <v>215</v>
      </c>
      <c r="G12" s="118" t="s">
        <v>255</v>
      </c>
      <c r="H12" s="69">
        <v>34814.967395540116</v>
      </c>
      <c r="I12" s="66">
        <v>5439</v>
      </c>
      <c r="J12" s="60">
        <v>40.200842770000001</v>
      </c>
      <c r="K12" s="64">
        <v>1933.78692</v>
      </c>
      <c r="L12" s="24">
        <v>1.9659542703271654E-4</v>
      </c>
      <c r="M12" s="32">
        <v>4.8532833841836397E-3</v>
      </c>
      <c r="N12" s="32">
        <v>2.2166888037601657E-3</v>
      </c>
      <c r="O12" s="14"/>
      <c r="P12" s="14"/>
      <c r="Q12" s="14"/>
      <c r="R12" s="14"/>
    </row>
    <row r="13" spans="1:19" x14ac:dyDescent="0.25">
      <c r="A13" s="16" t="s">
        <v>2035</v>
      </c>
      <c r="B13" s="117" t="s">
        <v>443</v>
      </c>
      <c r="C13" s="117" t="s">
        <v>387</v>
      </c>
      <c r="D13" s="117" t="s">
        <v>249</v>
      </c>
      <c r="E13" s="117" t="s">
        <v>444</v>
      </c>
      <c r="F13" s="117" t="s">
        <v>227</v>
      </c>
      <c r="G13" s="118" t="s">
        <v>255</v>
      </c>
      <c r="H13" s="69">
        <v>36124.47738457509</v>
      </c>
      <c r="I13" s="66">
        <v>3863.0000000000005</v>
      </c>
      <c r="J13" s="66">
        <v>0</v>
      </c>
      <c r="K13" s="64">
        <v>1395.48856</v>
      </c>
      <c r="L13" s="24">
        <v>3.2228893744963092E-5</v>
      </c>
      <c r="M13" s="32">
        <v>3.502299747206044E-3</v>
      </c>
      <c r="N13" s="32">
        <v>1.5996404954106299E-3</v>
      </c>
      <c r="O13" s="14"/>
      <c r="P13" s="14"/>
      <c r="Q13" s="14"/>
      <c r="R13" s="14"/>
    </row>
    <row r="14" spans="1:19" x14ac:dyDescent="0.25">
      <c r="A14" s="16" t="s">
        <v>2036</v>
      </c>
      <c r="B14" s="117" t="s">
        <v>505</v>
      </c>
      <c r="C14" s="117" t="s">
        <v>387</v>
      </c>
      <c r="D14" s="117" t="s">
        <v>249</v>
      </c>
      <c r="E14" s="117" t="s">
        <v>506</v>
      </c>
      <c r="F14" s="117" t="s">
        <v>225</v>
      </c>
      <c r="G14" s="118" t="s">
        <v>255</v>
      </c>
      <c r="H14" s="69">
        <v>2831.3580218568968</v>
      </c>
      <c r="I14" s="66">
        <v>2464</v>
      </c>
      <c r="J14" s="66">
        <v>0</v>
      </c>
      <c r="K14" s="64">
        <v>69.764660000000006</v>
      </c>
      <c r="L14" s="24">
        <v>1.2615337139532848E-5</v>
      </c>
      <c r="M14" s="32">
        <v>1.7509047231595765E-4</v>
      </c>
      <c r="N14" s="32">
        <v>7.9970827768415507E-5</v>
      </c>
      <c r="O14" s="14"/>
      <c r="P14" s="14"/>
      <c r="Q14" s="14"/>
      <c r="R14" s="14"/>
    </row>
    <row r="15" spans="1:19" x14ac:dyDescent="0.25">
      <c r="A15" s="16" t="s">
        <v>513</v>
      </c>
      <c r="B15" s="117" t="s">
        <v>514</v>
      </c>
      <c r="C15" s="117" t="s">
        <v>387</v>
      </c>
      <c r="D15" s="117" t="s">
        <v>249</v>
      </c>
      <c r="E15" s="117" t="s">
        <v>506</v>
      </c>
      <c r="F15" s="117" t="s">
        <v>225</v>
      </c>
      <c r="G15" s="118" t="s">
        <v>255</v>
      </c>
      <c r="H15" s="69">
        <v>20033.777296109853</v>
      </c>
      <c r="I15" s="66">
        <v>2358.435786</v>
      </c>
      <c r="J15" s="66">
        <v>0</v>
      </c>
      <c r="K15" s="64">
        <v>472.48376999999999</v>
      </c>
      <c r="L15" s="24">
        <v>8.9262061815479669E-5</v>
      </c>
      <c r="M15" s="32">
        <v>1.1858067745320381E-3</v>
      </c>
      <c r="N15" s="32">
        <v>5.4160542306149904E-4</v>
      </c>
      <c r="O15" s="14"/>
      <c r="P15" s="14"/>
      <c r="Q15" s="14"/>
      <c r="R15" s="14"/>
    </row>
    <row r="16" spans="1:19" x14ac:dyDescent="0.25">
      <c r="A16" s="16" t="s">
        <v>468</v>
      </c>
      <c r="B16" s="117" t="s">
        <v>469</v>
      </c>
      <c r="C16" s="117" t="s">
        <v>387</v>
      </c>
      <c r="D16" s="117" t="s">
        <v>249</v>
      </c>
      <c r="E16" s="117" t="s">
        <v>470</v>
      </c>
      <c r="F16" s="117" t="s">
        <v>231</v>
      </c>
      <c r="G16" s="118" t="s">
        <v>255</v>
      </c>
      <c r="H16" s="69">
        <v>3275.7392509334254</v>
      </c>
      <c r="I16" s="66">
        <v>26939.999999999996</v>
      </c>
      <c r="J16" s="66">
        <v>0</v>
      </c>
      <c r="K16" s="64">
        <v>882.48415</v>
      </c>
      <c r="L16" s="24">
        <v>5.8395323006095123E-5</v>
      </c>
      <c r="M16" s="32">
        <v>2.2147970997758236E-3</v>
      </c>
      <c r="N16" s="32">
        <v>1.011586496200319E-3</v>
      </c>
      <c r="O16" s="14"/>
      <c r="P16" s="14"/>
      <c r="Q16" s="14"/>
      <c r="R16" s="14"/>
    </row>
    <row r="17" spans="1:18" x14ac:dyDescent="0.25">
      <c r="A17" s="16" t="s">
        <v>440</v>
      </c>
      <c r="B17" s="117" t="s">
        <v>441</v>
      </c>
      <c r="C17" s="117" t="s">
        <v>387</v>
      </c>
      <c r="D17" s="117" t="s">
        <v>249</v>
      </c>
      <c r="E17" s="117" t="s">
        <v>442</v>
      </c>
      <c r="F17" s="117" t="s">
        <v>212</v>
      </c>
      <c r="G17" s="118" t="s">
        <v>255</v>
      </c>
      <c r="H17" s="69">
        <v>159285.47307511218</v>
      </c>
      <c r="I17" s="66">
        <v>2107</v>
      </c>
      <c r="J17" s="66">
        <v>0</v>
      </c>
      <c r="K17" s="64">
        <v>3356.1449199999997</v>
      </c>
      <c r="L17" s="24">
        <v>1.2353358539076947E-4</v>
      </c>
      <c r="M17" s="32">
        <v>8.4230181757296869E-3</v>
      </c>
      <c r="N17" s="32">
        <v>3.8471295834189199E-3</v>
      </c>
      <c r="O17" s="14"/>
      <c r="P17" s="14"/>
      <c r="Q17" s="14"/>
      <c r="R17" s="14"/>
    </row>
    <row r="18" spans="1:18" x14ac:dyDescent="0.25">
      <c r="A18" s="16" t="s">
        <v>2037</v>
      </c>
      <c r="B18" s="117" t="s">
        <v>475</v>
      </c>
      <c r="C18" s="117" t="s">
        <v>387</v>
      </c>
      <c r="D18" s="117" t="s">
        <v>249</v>
      </c>
      <c r="E18" s="117" t="s">
        <v>476</v>
      </c>
      <c r="F18" s="117" t="s">
        <v>223</v>
      </c>
      <c r="G18" s="118" t="s">
        <v>255</v>
      </c>
      <c r="H18" s="69">
        <v>121455.02288678093</v>
      </c>
      <c r="I18" s="66">
        <v>5860</v>
      </c>
      <c r="J18" s="66">
        <v>0</v>
      </c>
      <c r="K18" s="64">
        <v>7117.2643399999997</v>
      </c>
      <c r="L18" s="24">
        <v>9.7763283775782186E-4</v>
      </c>
      <c r="M18" s="32">
        <v>1.7862413074013726E-2</v>
      </c>
      <c r="N18" s="32">
        <v>8.1584791026921843E-3</v>
      </c>
      <c r="O18" s="14"/>
      <c r="P18" s="14"/>
      <c r="Q18" s="14"/>
      <c r="R18" s="14"/>
    </row>
    <row r="19" spans="1:18" x14ac:dyDescent="0.25">
      <c r="A19" s="16" t="s">
        <v>2038</v>
      </c>
      <c r="B19" s="117" t="s">
        <v>449</v>
      </c>
      <c r="C19" s="117" t="s">
        <v>387</v>
      </c>
      <c r="D19" s="117" t="s">
        <v>249</v>
      </c>
      <c r="E19" s="117" t="s">
        <v>450</v>
      </c>
      <c r="F19" s="117" t="s">
        <v>195</v>
      </c>
      <c r="G19" s="118" t="s">
        <v>255</v>
      </c>
      <c r="H19" s="69">
        <v>21650.9839605376</v>
      </c>
      <c r="I19" s="66">
        <v>75810</v>
      </c>
      <c r="J19" s="66">
        <v>0</v>
      </c>
      <c r="K19" s="64">
        <v>16413.610939999999</v>
      </c>
      <c r="L19" s="24">
        <v>4.8760500142744888E-4</v>
      </c>
      <c r="M19" s="32">
        <v>4.1193734648674117E-2</v>
      </c>
      <c r="N19" s="32">
        <v>1.881482764397505E-2</v>
      </c>
      <c r="O19" s="14"/>
      <c r="P19" s="14"/>
      <c r="Q19" s="14"/>
      <c r="R19" s="14"/>
    </row>
    <row r="20" spans="1:18" x14ac:dyDescent="0.25">
      <c r="A20" s="16" t="s">
        <v>477</v>
      </c>
      <c r="B20" s="117" t="s">
        <v>478</v>
      </c>
      <c r="C20" s="117" t="s">
        <v>387</v>
      </c>
      <c r="D20" s="117" t="s">
        <v>249</v>
      </c>
      <c r="E20" s="117" t="s">
        <v>479</v>
      </c>
      <c r="F20" s="117" t="s">
        <v>223</v>
      </c>
      <c r="G20" s="118" t="s">
        <v>255</v>
      </c>
      <c r="H20" s="69">
        <v>20958.653969295308</v>
      </c>
      <c r="I20" s="66">
        <v>2610</v>
      </c>
      <c r="J20" s="66">
        <v>0</v>
      </c>
      <c r="K20" s="64">
        <v>547.02086999999995</v>
      </c>
      <c r="L20" s="24">
        <v>1.1661677076835234E-4</v>
      </c>
      <c r="M20" s="32">
        <v>1.3728747835220019E-3</v>
      </c>
      <c r="N20" s="32">
        <v>6.2704687130273116E-4</v>
      </c>
      <c r="O20" s="14"/>
      <c r="P20" s="14"/>
      <c r="Q20" s="14"/>
      <c r="R20" s="14"/>
    </row>
    <row r="21" spans="1:18" x14ac:dyDescent="0.25">
      <c r="A21" s="16" t="s">
        <v>495</v>
      </c>
      <c r="B21" s="117" t="s">
        <v>496</v>
      </c>
      <c r="C21" s="117" t="s">
        <v>387</v>
      </c>
      <c r="D21" s="117" t="s">
        <v>249</v>
      </c>
      <c r="E21" s="117" t="s">
        <v>497</v>
      </c>
      <c r="F21" s="117" t="s">
        <v>228</v>
      </c>
      <c r="G21" s="118" t="s">
        <v>255</v>
      </c>
      <c r="H21" s="69">
        <v>2953.1062208143235</v>
      </c>
      <c r="I21" s="66">
        <v>146100</v>
      </c>
      <c r="J21" s="66">
        <v>35.638839449999999</v>
      </c>
      <c r="K21" s="64">
        <v>4350.1270300000006</v>
      </c>
      <c r="L21" s="24">
        <v>7.6864054705413389E-4</v>
      </c>
      <c r="M21" s="32">
        <v>1.0917645070113065E-2</v>
      </c>
      <c r="N21" s="32">
        <v>4.9865255487070229E-3</v>
      </c>
      <c r="O21" s="14"/>
      <c r="P21" s="14"/>
      <c r="Q21" s="14"/>
      <c r="R21" s="14"/>
    </row>
    <row r="22" spans="1:18" x14ac:dyDescent="0.25">
      <c r="A22" s="16" t="s">
        <v>480</v>
      </c>
      <c r="B22" s="117" t="s">
        <v>481</v>
      </c>
      <c r="C22" s="117" t="s">
        <v>387</v>
      </c>
      <c r="D22" s="117" t="s">
        <v>249</v>
      </c>
      <c r="E22" s="117" t="s">
        <v>482</v>
      </c>
      <c r="F22" s="117" t="s">
        <v>223</v>
      </c>
      <c r="G22" s="118" t="s">
        <v>255</v>
      </c>
      <c r="H22" s="69">
        <v>128462.08452743739</v>
      </c>
      <c r="I22" s="66">
        <v>1845</v>
      </c>
      <c r="J22" s="66">
        <v>0</v>
      </c>
      <c r="K22" s="64">
        <v>2370.1254599999997</v>
      </c>
      <c r="L22" s="24">
        <v>2.7324564281612528E-4</v>
      </c>
      <c r="M22" s="32">
        <v>5.9483753843203192E-3</v>
      </c>
      <c r="N22" s="32">
        <v>2.7168611579443881E-3</v>
      </c>
      <c r="O22" s="14"/>
      <c r="P22" s="14"/>
      <c r="Q22" s="14"/>
      <c r="R22" s="14"/>
    </row>
    <row r="23" spans="1:18" x14ac:dyDescent="0.25">
      <c r="A23" s="16" t="s">
        <v>491</v>
      </c>
      <c r="B23" s="117" t="s">
        <v>492</v>
      </c>
      <c r="C23" s="117" t="s">
        <v>387</v>
      </c>
      <c r="D23" s="117" t="s">
        <v>249</v>
      </c>
      <c r="E23" s="117" t="s">
        <v>482</v>
      </c>
      <c r="F23" s="117" t="s">
        <v>223</v>
      </c>
      <c r="G23" s="118" t="s">
        <v>255</v>
      </c>
      <c r="H23" s="69">
        <v>17816.583637099218</v>
      </c>
      <c r="I23" s="66">
        <v>1840.789041</v>
      </c>
      <c r="J23" s="66">
        <v>0</v>
      </c>
      <c r="K23" s="64">
        <v>327.96571999999998</v>
      </c>
      <c r="L23" s="24">
        <v>3.789681497552413E-5</v>
      </c>
      <c r="M23" s="32">
        <v>8.2310546368667334E-4</v>
      </c>
      <c r="N23" s="32">
        <v>3.7594521507113173E-4</v>
      </c>
      <c r="O23" s="14"/>
      <c r="P23" s="14"/>
      <c r="Q23" s="14"/>
      <c r="R23" s="14"/>
    </row>
    <row r="24" spans="1:18" x14ac:dyDescent="0.25">
      <c r="A24" s="16" t="s">
        <v>523</v>
      </c>
      <c r="B24" s="117" t="s">
        <v>524</v>
      </c>
      <c r="C24" s="117" t="s">
        <v>387</v>
      </c>
      <c r="D24" s="117" t="s">
        <v>249</v>
      </c>
      <c r="E24" s="117" t="s">
        <v>525</v>
      </c>
      <c r="F24" s="117" t="s">
        <v>231</v>
      </c>
      <c r="G24" s="118" t="s">
        <v>255</v>
      </c>
      <c r="H24" s="69">
        <v>55302.562474249884</v>
      </c>
      <c r="I24" s="66">
        <v>6008</v>
      </c>
      <c r="J24" s="66">
        <v>0</v>
      </c>
      <c r="K24" s="64">
        <v>3322.5779500000003</v>
      </c>
      <c r="L24" s="24">
        <v>4.6923328554997705E-4</v>
      </c>
      <c r="M24" s="32">
        <v>8.3387741382540438E-3</v>
      </c>
      <c r="N24" s="32">
        <v>3.8086519591235025E-3</v>
      </c>
      <c r="O24" s="14"/>
      <c r="P24" s="14"/>
      <c r="Q24" s="14"/>
      <c r="R24" s="14"/>
    </row>
    <row r="25" spans="1:18" x14ac:dyDescent="0.25">
      <c r="A25" s="16" t="s">
        <v>500</v>
      </c>
      <c r="B25" s="117" t="s">
        <v>501</v>
      </c>
      <c r="C25" s="117" t="s">
        <v>387</v>
      </c>
      <c r="D25" s="117" t="s">
        <v>249</v>
      </c>
      <c r="E25" s="117" t="s">
        <v>410</v>
      </c>
      <c r="F25" s="117" t="s">
        <v>231</v>
      </c>
      <c r="G25" s="118" t="s">
        <v>255</v>
      </c>
      <c r="H25" s="69">
        <v>1977.8991241807514</v>
      </c>
      <c r="I25" s="66">
        <v>1124</v>
      </c>
      <c r="J25" s="66">
        <v>0</v>
      </c>
      <c r="K25" s="64">
        <v>22.231590000000001</v>
      </c>
      <c r="L25" s="24">
        <v>3.6100319841432872E-6</v>
      </c>
      <c r="M25" s="32">
        <v>5.5795292250183991E-5</v>
      </c>
      <c r="N25" s="32">
        <v>2.5483943516789566E-5</v>
      </c>
      <c r="O25" s="14"/>
      <c r="P25" s="14"/>
      <c r="Q25" s="14"/>
      <c r="R25" s="14"/>
    </row>
    <row r="26" spans="1:18" x14ac:dyDescent="0.25">
      <c r="A26" s="16" t="s">
        <v>436</v>
      </c>
      <c r="B26" s="117" t="s">
        <v>437</v>
      </c>
      <c r="C26" s="117" t="s">
        <v>387</v>
      </c>
      <c r="D26" s="117" t="s">
        <v>249</v>
      </c>
      <c r="E26" s="117" t="s">
        <v>438</v>
      </c>
      <c r="F26" s="117" t="s">
        <v>206</v>
      </c>
      <c r="G26" s="118" t="s">
        <v>255</v>
      </c>
      <c r="H26" s="69">
        <v>1639735.1181612345</v>
      </c>
      <c r="I26" s="66">
        <v>537</v>
      </c>
      <c r="J26" s="99">
        <v>0</v>
      </c>
      <c r="K26" s="64">
        <v>8805.3775800000003</v>
      </c>
      <c r="L26" s="24">
        <v>5.9264367674856215E-4</v>
      </c>
      <c r="M26" s="32">
        <v>2.2099121810420119E-2</v>
      </c>
      <c r="N26" s="32">
        <v>1.0093553582659863E-2</v>
      </c>
      <c r="O26" s="14"/>
      <c r="P26" s="14"/>
      <c r="Q26" s="14"/>
      <c r="R26" s="14"/>
    </row>
    <row r="27" spans="1:18" x14ac:dyDescent="0.25">
      <c r="A27" s="16" t="s">
        <v>507</v>
      </c>
      <c r="B27" s="117" t="s">
        <v>508</v>
      </c>
      <c r="C27" s="117" t="s">
        <v>387</v>
      </c>
      <c r="D27" s="117" t="s">
        <v>249</v>
      </c>
      <c r="E27" s="117" t="s">
        <v>509</v>
      </c>
      <c r="F27" s="117" t="s">
        <v>223</v>
      </c>
      <c r="G27" s="118" t="s">
        <v>255</v>
      </c>
      <c r="H27" s="69">
        <v>6028.3746979897996</v>
      </c>
      <c r="I27" s="66">
        <v>31500</v>
      </c>
      <c r="J27" s="66">
        <v>0</v>
      </c>
      <c r="K27" s="64">
        <v>1898.93803</v>
      </c>
      <c r="L27" s="24">
        <v>2.4511211832461884E-4</v>
      </c>
      <c r="M27" s="32">
        <v>4.7658220734026965E-3</v>
      </c>
      <c r="N27" s="32">
        <v>2.176741721955274E-3</v>
      </c>
      <c r="O27" s="14"/>
      <c r="P27" s="14"/>
      <c r="Q27" s="14"/>
      <c r="R27" s="14"/>
    </row>
    <row r="28" spans="1:18" x14ac:dyDescent="0.25">
      <c r="A28" s="16" t="s">
        <v>2039</v>
      </c>
      <c r="B28" s="117" t="s">
        <v>445</v>
      </c>
      <c r="C28" s="117" t="s">
        <v>387</v>
      </c>
      <c r="D28" s="117" t="s">
        <v>249</v>
      </c>
      <c r="E28" s="117" t="s">
        <v>446</v>
      </c>
      <c r="F28" s="117" t="s">
        <v>200</v>
      </c>
      <c r="G28" s="118" t="s">
        <v>255</v>
      </c>
      <c r="H28" s="69">
        <v>687002.40094989585</v>
      </c>
      <c r="I28" s="66">
        <v>2059</v>
      </c>
      <c r="J28" s="66">
        <v>0</v>
      </c>
      <c r="K28" s="64">
        <v>14145.379439999999</v>
      </c>
      <c r="L28" s="24">
        <v>5.5537278021429979E-4</v>
      </c>
      <c r="M28" s="32">
        <v>3.5501085610365427E-2</v>
      </c>
      <c r="N28" s="32">
        <v>1.6214766945257465E-2</v>
      </c>
      <c r="O28" s="14"/>
      <c r="P28" s="14"/>
      <c r="Q28" s="14"/>
      <c r="R28" s="14"/>
    </row>
    <row r="29" spans="1:18" x14ac:dyDescent="0.25">
      <c r="A29" s="16" t="s">
        <v>454</v>
      </c>
      <c r="B29" s="117" t="s">
        <v>455</v>
      </c>
      <c r="C29" s="117" t="s">
        <v>387</v>
      </c>
      <c r="D29" s="117" t="s">
        <v>249</v>
      </c>
      <c r="E29" s="117" t="s">
        <v>456</v>
      </c>
      <c r="F29" s="117" t="s">
        <v>200</v>
      </c>
      <c r="G29" s="118" t="s">
        <v>255</v>
      </c>
      <c r="H29" s="69">
        <v>809713.86659685115</v>
      </c>
      <c r="I29" s="66">
        <v>3389</v>
      </c>
      <c r="J29" s="66">
        <v>0</v>
      </c>
      <c r="K29" s="64">
        <v>27441.202940000003</v>
      </c>
      <c r="L29" s="24">
        <v>6.0549892773700755E-4</v>
      </c>
      <c r="M29" s="32">
        <v>6.8870015043184407E-2</v>
      </c>
      <c r="N29" s="32">
        <v>3.1455692811702615E-2</v>
      </c>
      <c r="O29" s="14"/>
      <c r="P29" s="14"/>
      <c r="Q29" s="14"/>
      <c r="R29" s="14"/>
    </row>
    <row r="30" spans="1:18" x14ac:dyDescent="0.25">
      <c r="A30" s="16" t="s">
        <v>451</v>
      </c>
      <c r="B30" s="117" t="s">
        <v>452</v>
      </c>
      <c r="C30" s="117" t="s">
        <v>387</v>
      </c>
      <c r="D30" s="117" t="s">
        <v>249</v>
      </c>
      <c r="E30" s="117" t="s">
        <v>453</v>
      </c>
      <c r="F30" s="117" t="s">
        <v>200</v>
      </c>
      <c r="G30" s="118" t="s">
        <v>255</v>
      </c>
      <c r="H30" s="69">
        <v>815790.33698420343</v>
      </c>
      <c r="I30" s="66">
        <v>3151</v>
      </c>
      <c r="J30" s="66">
        <v>0</v>
      </c>
      <c r="K30" s="64">
        <v>25705.553520000001</v>
      </c>
      <c r="L30" s="24">
        <v>5.3428696520430214E-4</v>
      </c>
      <c r="M30" s="32">
        <v>6.4514003321451394E-2</v>
      </c>
      <c r="N30" s="32">
        <v>2.9466127882508231E-2</v>
      </c>
      <c r="O30" s="14"/>
      <c r="P30" s="14"/>
      <c r="Q30" s="14"/>
      <c r="R30" s="14"/>
    </row>
    <row r="31" spans="1:18" x14ac:dyDescent="0.25">
      <c r="A31" s="16" t="s">
        <v>457</v>
      </c>
      <c r="B31" s="117" t="s">
        <v>458</v>
      </c>
      <c r="C31" s="117" t="s">
        <v>387</v>
      </c>
      <c r="D31" s="117" t="s">
        <v>249</v>
      </c>
      <c r="E31" s="117" t="s">
        <v>459</v>
      </c>
      <c r="F31" s="117" t="s">
        <v>200</v>
      </c>
      <c r="G31" s="118" t="s">
        <v>255</v>
      </c>
      <c r="H31" s="69">
        <v>67193.567310555678</v>
      </c>
      <c r="I31" s="66">
        <v>13810</v>
      </c>
      <c r="J31" s="66">
        <v>0</v>
      </c>
      <c r="K31" s="64">
        <v>9279.4316500000004</v>
      </c>
      <c r="L31" s="24">
        <v>2.6105838075025949E-4</v>
      </c>
      <c r="M31" s="32">
        <v>2.3288869614245183E-2</v>
      </c>
      <c r="N31" s="32">
        <v>1.0636959031563168E-2</v>
      </c>
      <c r="O31" s="14"/>
      <c r="P31" s="14"/>
      <c r="Q31" s="14"/>
      <c r="R31" s="14"/>
    </row>
    <row r="32" spans="1:18" x14ac:dyDescent="0.25">
      <c r="A32" s="16" t="s">
        <v>2040</v>
      </c>
      <c r="B32" s="117" t="s">
        <v>463</v>
      </c>
      <c r="C32" s="117" t="s">
        <v>387</v>
      </c>
      <c r="D32" s="117" t="s">
        <v>249</v>
      </c>
      <c r="E32" s="117" t="s">
        <v>464</v>
      </c>
      <c r="F32" s="117" t="s">
        <v>200</v>
      </c>
      <c r="G32" s="118" t="s">
        <v>255</v>
      </c>
      <c r="H32" s="69">
        <v>13640.545690107716</v>
      </c>
      <c r="I32" s="66">
        <v>16360</v>
      </c>
      <c r="J32" s="66">
        <v>0</v>
      </c>
      <c r="K32" s="64">
        <v>2231.5932699999998</v>
      </c>
      <c r="L32" s="24">
        <v>1.3595674525902426E-4</v>
      </c>
      <c r="M32" s="32">
        <v>5.6006969669373059E-3</v>
      </c>
      <c r="N32" s="32">
        <v>2.5580625067810137E-3</v>
      </c>
      <c r="O32" s="14"/>
      <c r="P32" s="14"/>
      <c r="Q32" s="14"/>
      <c r="R32" s="14"/>
    </row>
    <row r="33" spans="1:18" x14ac:dyDescent="0.25">
      <c r="A33" s="16" t="s">
        <v>510</v>
      </c>
      <c r="B33" s="117" t="s">
        <v>511</v>
      </c>
      <c r="C33" s="117" t="s">
        <v>387</v>
      </c>
      <c r="D33" s="117" t="s">
        <v>249</v>
      </c>
      <c r="E33" s="117" t="s">
        <v>512</v>
      </c>
      <c r="F33" s="117" t="s">
        <v>228</v>
      </c>
      <c r="G33" s="118" t="s">
        <v>255</v>
      </c>
      <c r="H33" s="69">
        <v>1161.9263184770628</v>
      </c>
      <c r="I33" s="66">
        <v>97080</v>
      </c>
      <c r="J33" s="66">
        <v>0</v>
      </c>
      <c r="K33" s="64">
        <v>1127.9980700000001</v>
      </c>
      <c r="L33" s="24">
        <v>1.5085269876974065E-4</v>
      </c>
      <c r="M33" s="32">
        <v>2.8309707930603929E-3</v>
      </c>
      <c r="N33" s="32">
        <v>1.293017688025357E-3</v>
      </c>
      <c r="O33" s="14"/>
      <c r="P33" s="14"/>
      <c r="Q33" s="14"/>
      <c r="R33" s="14"/>
    </row>
    <row r="34" spans="1:18" x14ac:dyDescent="0.25">
      <c r="A34" s="16" t="s">
        <v>2041</v>
      </c>
      <c r="B34" s="117" t="s">
        <v>483</v>
      </c>
      <c r="C34" s="117" t="s">
        <v>387</v>
      </c>
      <c r="D34" s="117" t="s">
        <v>249</v>
      </c>
      <c r="E34" s="117" t="s">
        <v>484</v>
      </c>
      <c r="F34" s="117" t="s">
        <v>201</v>
      </c>
      <c r="G34" s="118" t="s">
        <v>255</v>
      </c>
      <c r="H34" s="69">
        <v>89828.343644884066</v>
      </c>
      <c r="I34" s="66">
        <v>3961.9999999999995</v>
      </c>
      <c r="J34" s="66">
        <v>0</v>
      </c>
      <c r="K34" s="64">
        <v>3558.9989799999998</v>
      </c>
      <c r="L34" s="24">
        <v>3.5432603997885976E-4</v>
      </c>
      <c r="M34" s="32">
        <v>8.9321271311321743E-3</v>
      </c>
      <c r="N34" s="32">
        <v>4.079660023535504E-3</v>
      </c>
      <c r="O34" s="14"/>
      <c r="P34" s="14"/>
      <c r="Q34" s="14"/>
      <c r="R34" s="14"/>
    </row>
    <row r="35" spans="1:18" x14ac:dyDescent="0.25">
      <c r="A35" s="16" t="s">
        <v>2042</v>
      </c>
      <c r="B35" s="117" t="s">
        <v>471</v>
      </c>
      <c r="C35" s="117" t="s">
        <v>387</v>
      </c>
      <c r="D35" s="117" t="s">
        <v>249</v>
      </c>
      <c r="E35" s="117" t="s">
        <v>472</v>
      </c>
      <c r="F35" s="117" t="s">
        <v>201</v>
      </c>
      <c r="G35" s="118" t="s">
        <v>255</v>
      </c>
      <c r="H35" s="69">
        <v>52311.591915392484</v>
      </c>
      <c r="I35" s="66">
        <v>3012</v>
      </c>
      <c r="J35" s="66">
        <v>0</v>
      </c>
      <c r="K35" s="64">
        <v>1575.6251499999998</v>
      </c>
      <c r="L35" s="24">
        <v>2.493825653186764E-4</v>
      </c>
      <c r="M35" s="32">
        <v>3.9543939826611578E-3</v>
      </c>
      <c r="N35" s="32">
        <v>1.8061300305661034E-3</v>
      </c>
      <c r="O35" s="14"/>
      <c r="P35" s="14"/>
      <c r="Q35" s="14"/>
      <c r="R35" s="14"/>
    </row>
    <row r="36" spans="1:18" x14ac:dyDescent="0.25">
      <c r="A36" s="16" t="s">
        <v>2043</v>
      </c>
      <c r="B36" s="117" t="s">
        <v>473</v>
      </c>
      <c r="C36" s="117" t="s">
        <v>387</v>
      </c>
      <c r="D36" s="117" t="s">
        <v>249</v>
      </c>
      <c r="E36" s="117" t="s">
        <v>474</v>
      </c>
      <c r="F36" s="117" t="s">
        <v>197</v>
      </c>
      <c r="G36" s="118" t="s">
        <v>255</v>
      </c>
      <c r="H36" s="69">
        <v>36605.808871871188</v>
      </c>
      <c r="I36" s="66">
        <v>9321</v>
      </c>
      <c r="J36" s="66">
        <v>0</v>
      </c>
      <c r="K36" s="64">
        <v>3412.0274399999998</v>
      </c>
      <c r="L36" s="24">
        <v>3.3135860645400417E-4</v>
      </c>
      <c r="M36" s="32">
        <v>8.5632682224009663E-3</v>
      </c>
      <c r="N36" s="32">
        <v>3.9111873940953432E-3</v>
      </c>
      <c r="O36" s="14"/>
      <c r="P36" s="14"/>
      <c r="Q36" s="14"/>
      <c r="R36" s="14"/>
    </row>
    <row r="37" spans="1:18" x14ac:dyDescent="0.25">
      <c r="A37" s="16" t="s">
        <v>2044</v>
      </c>
      <c r="B37" s="117" t="s">
        <v>493</v>
      </c>
      <c r="C37" s="117" t="s">
        <v>387</v>
      </c>
      <c r="D37" s="117" t="s">
        <v>249</v>
      </c>
      <c r="E37" s="117" t="s">
        <v>494</v>
      </c>
      <c r="F37" s="117" t="s">
        <v>223</v>
      </c>
      <c r="G37" s="118" t="s">
        <v>255</v>
      </c>
      <c r="H37" s="69">
        <v>359591.80600189551</v>
      </c>
      <c r="I37" s="66">
        <v>916.2</v>
      </c>
      <c r="J37" s="66">
        <v>0</v>
      </c>
      <c r="K37" s="64">
        <v>3294.5801299999998</v>
      </c>
      <c r="L37" s="24">
        <v>4.7634945258265195E-4</v>
      </c>
      <c r="M37" s="32">
        <v>8.2685071645797331E-3</v>
      </c>
      <c r="N37" s="32">
        <v>3.7765582193831936E-3</v>
      </c>
      <c r="O37" s="14"/>
      <c r="P37" s="14"/>
      <c r="Q37" s="14"/>
      <c r="R37" s="14"/>
    </row>
    <row r="38" spans="1:18" x14ac:dyDescent="0.25">
      <c r="A38" s="16" t="s">
        <v>465</v>
      </c>
      <c r="B38" s="117" t="s">
        <v>466</v>
      </c>
      <c r="C38" s="117" t="s">
        <v>387</v>
      </c>
      <c r="D38" s="117" t="s">
        <v>249</v>
      </c>
      <c r="E38" s="117" t="s">
        <v>467</v>
      </c>
      <c r="F38" s="117" t="s">
        <v>223</v>
      </c>
      <c r="G38" s="118" t="s">
        <v>255</v>
      </c>
      <c r="H38" s="69">
        <v>15307.278181066529</v>
      </c>
      <c r="I38" s="66">
        <v>23790</v>
      </c>
      <c r="J38" s="66">
        <v>20.698610420000001</v>
      </c>
      <c r="K38" s="64">
        <v>3662.3000899999997</v>
      </c>
      <c r="L38" s="24">
        <v>3.222489291015879E-4</v>
      </c>
      <c r="M38" s="32">
        <v>9.1913850439588485E-3</v>
      </c>
      <c r="N38" s="32">
        <v>4.1980734906991958E-3</v>
      </c>
      <c r="O38" s="14"/>
      <c r="P38" s="14"/>
      <c r="Q38" s="14"/>
      <c r="R38" s="14"/>
    </row>
    <row r="39" spans="1:18" x14ac:dyDescent="0.25">
      <c r="A39" s="16" t="s">
        <v>2045</v>
      </c>
      <c r="B39" s="117" t="s">
        <v>498</v>
      </c>
      <c r="C39" s="117" t="s">
        <v>387</v>
      </c>
      <c r="D39" s="117" t="s">
        <v>249</v>
      </c>
      <c r="E39" s="117" t="s">
        <v>499</v>
      </c>
      <c r="F39" s="117" t="s">
        <v>197</v>
      </c>
      <c r="G39" s="118" t="s">
        <v>255</v>
      </c>
      <c r="H39" s="69">
        <v>108.98404210813592</v>
      </c>
      <c r="I39" s="66">
        <v>42120</v>
      </c>
      <c r="J39" s="66">
        <v>0</v>
      </c>
      <c r="K39" s="64">
        <v>45.90408</v>
      </c>
      <c r="L39" s="24">
        <v>3.7835001045175158E-6</v>
      </c>
      <c r="M39" s="32">
        <v>1.1520685470880966E-4</v>
      </c>
      <c r="N39" s="32">
        <v>5.2619582400997389E-5</v>
      </c>
      <c r="O39" s="14"/>
      <c r="P39" s="14"/>
      <c r="Q39" s="14"/>
      <c r="R39" s="14"/>
    </row>
    <row r="40" spans="1:18" x14ac:dyDescent="0.25">
      <c r="A40" s="16" t="s">
        <v>520</v>
      </c>
      <c r="B40" s="117" t="s">
        <v>521</v>
      </c>
      <c r="C40" s="117" t="s">
        <v>387</v>
      </c>
      <c r="D40" s="117" t="s">
        <v>249</v>
      </c>
      <c r="E40" s="117" t="s">
        <v>522</v>
      </c>
      <c r="F40" s="117" t="s">
        <v>215</v>
      </c>
      <c r="G40" s="118" t="s">
        <v>255</v>
      </c>
      <c r="H40" s="69">
        <v>59380.615447041615</v>
      </c>
      <c r="I40" s="66">
        <v>1147</v>
      </c>
      <c r="J40" s="66">
        <v>0</v>
      </c>
      <c r="K40" s="64">
        <v>681.09566000000007</v>
      </c>
      <c r="L40" s="24">
        <v>5.0587725560372643E-5</v>
      </c>
      <c r="M40" s="32">
        <v>1.7093663296251843E-3</v>
      </c>
      <c r="N40" s="32">
        <v>7.8073603053000309E-4</v>
      </c>
      <c r="O40" s="14"/>
      <c r="P40" s="14"/>
      <c r="Q40" s="14"/>
      <c r="R40" s="14"/>
    </row>
    <row r="41" spans="1:18" x14ac:dyDescent="0.25">
      <c r="A41" s="16" t="s">
        <v>2046</v>
      </c>
      <c r="B41" s="117" t="s">
        <v>439</v>
      </c>
      <c r="C41" s="117" t="s">
        <v>387</v>
      </c>
      <c r="D41" s="117" t="s">
        <v>249</v>
      </c>
      <c r="E41" s="117" t="s">
        <v>421</v>
      </c>
      <c r="F41" s="117" t="s">
        <v>193</v>
      </c>
      <c r="G41" s="118" t="s">
        <v>255</v>
      </c>
      <c r="H41" s="69">
        <v>8249.1940317705794</v>
      </c>
      <c r="I41" s="66">
        <v>64510</v>
      </c>
      <c r="J41" s="66">
        <v>0</v>
      </c>
      <c r="K41" s="64">
        <v>5321.5550700000003</v>
      </c>
      <c r="L41" s="24">
        <v>1.3025638068382597E-4</v>
      </c>
      <c r="M41" s="32">
        <v>1.3355667334459583E-2</v>
      </c>
      <c r="N41" s="32">
        <v>6.1000679135124903E-3</v>
      </c>
      <c r="O41" s="14"/>
      <c r="P41" s="14"/>
      <c r="Q41" s="14"/>
      <c r="R41" s="14"/>
    </row>
    <row r="42" spans="1:18" x14ac:dyDescent="0.25">
      <c r="A42" s="16" t="s">
        <v>502</v>
      </c>
      <c r="B42" s="117" t="s">
        <v>503</v>
      </c>
      <c r="C42" s="117" t="s">
        <v>387</v>
      </c>
      <c r="D42" s="117" t="s">
        <v>249</v>
      </c>
      <c r="E42" s="117" t="s">
        <v>504</v>
      </c>
      <c r="F42" s="117" t="s">
        <v>226</v>
      </c>
      <c r="G42" s="118" t="s">
        <v>255</v>
      </c>
      <c r="H42" s="69">
        <v>78589.813636721883</v>
      </c>
      <c r="I42" s="66">
        <v>5193</v>
      </c>
      <c r="J42" s="66">
        <v>0</v>
      </c>
      <c r="K42" s="64">
        <v>4081.1690199999998</v>
      </c>
      <c r="L42" s="24">
        <v>7.7636156707656739E-4</v>
      </c>
      <c r="M42" s="32">
        <v>1.0242633036741725E-2</v>
      </c>
      <c r="N42" s="32">
        <v>4.6782205316017169E-3</v>
      </c>
      <c r="O42" s="14"/>
      <c r="P42" s="14"/>
      <c r="Q42" s="14"/>
      <c r="R42" s="14"/>
    </row>
    <row r="43" spans="1:18" x14ac:dyDescent="0.25">
      <c r="A43" s="16" t="s">
        <v>460</v>
      </c>
      <c r="B43" s="117" t="s">
        <v>461</v>
      </c>
      <c r="C43" s="117" t="s">
        <v>387</v>
      </c>
      <c r="D43" s="117" t="s">
        <v>249</v>
      </c>
      <c r="E43" s="117" t="s">
        <v>462</v>
      </c>
      <c r="F43" s="117" t="s">
        <v>223</v>
      </c>
      <c r="G43" s="118" t="s">
        <v>255</v>
      </c>
      <c r="H43" s="69">
        <v>18285.311227715843</v>
      </c>
      <c r="I43" s="66">
        <v>19540</v>
      </c>
      <c r="J43" s="66">
        <v>0</v>
      </c>
      <c r="K43" s="64">
        <v>3572.9498100000001</v>
      </c>
      <c r="L43" s="24">
        <v>1.507783877246287E-4</v>
      </c>
      <c r="M43" s="32">
        <v>8.9671399501425383E-3</v>
      </c>
      <c r="N43" s="32">
        <v>4.095651779578699E-3</v>
      </c>
      <c r="O43" s="14"/>
      <c r="P43" s="14"/>
      <c r="Q43" s="14"/>
      <c r="R43" s="14"/>
    </row>
    <row r="44" spans="1:18" x14ac:dyDescent="0.25">
      <c r="A44" s="16" t="s">
        <v>515</v>
      </c>
      <c r="B44" s="117" t="s">
        <v>516</v>
      </c>
      <c r="C44" s="117" t="s">
        <v>387</v>
      </c>
      <c r="D44" s="117" t="s">
        <v>249</v>
      </c>
      <c r="E44" s="117" t="s">
        <v>2086</v>
      </c>
      <c r="F44" s="117" t="s">
        <v>228</v>
      </c>
      <c r="G44" s="118" t="s">
        <v>255</v>
      </c>
      <c r="H44" s="69">
        <v>20107.707209911994</v>
      </c>
      <c r="I44" s="66">
        <v>8800</v>
      </c>
      <c r="J44" s="66">
        <v>0</v>
      </c>
      <c r="K44" s="64">
        <v>1769.4782299999999</v>
      </c>
      <c r="L44" s="24">
        <v>3.7886865680705718E-4</v>
      </c>
      <c r="M44" s="32">
        <v>4.4409129069575446E-3</v>
      </c>
      <c r="N44" s="32">
        <v>2.0283426991730582E-3</v>
      </c>
      <c r="O44" s="14"/>
      <c r="P44" s="14"/>
      <c r="Q44" s="14"/>
      <c r="R44" s="14"/>
    </row>
    <row r="45" spans="1:18" x14ac:dyDescent="0.25">
      <c r="A45" s="16" t="s">
        <v>2047</v>
      </c>
      <c r="B45" s="117" t="s">
        <v>447</v>
      </c>
      <c r="C45" s="117" t="s">
        <v>387</v>
      </c>
      <c r="D45" s="117" t="s">
        <v>249</v>
      </c>
      <c r="E45" s="117" t="s">
        <v>448</v>
      </c>
      <c r="F45" s="117" t="s">
        <v>208</v>
      </c>
      <c r="G45" s="118" t="s">
        <v>255</v>
      </c>
      <c r="H45" s="69">
        <v>46537.20330709972</v>
      </c>
      <c r="I45" s="66">
        <v>8007.0000000000009</v>
      </c>
      <c r="J45" s="66">
        <v>0</v>
      </c>
      <c r="K45" s="64">
        <v>3726.23387</v>
      </c>
      <c r="L45" s="24">
        <v>3.9935157768412947E-4</v>
      </c>
      <c r="M45" s="32">
        <v>9.3518415807948996E-3</v>
      </c>
      <c r="N45" s="32">
        <v>4.271360414321611E-3</v>
      </c>
      <c r="O45" s="14"/>
      <c r="P45" s="14"/>
      <c r="Q45" s="14"/>
      <c r="R45" s="14"/>
    </row>
    <row r="46" spans="1:18" x14ac:dyDescent="0.25">
      <c r="A46" s="16" t="s">
        <v>488</v>
      </c>
      <c r="B46" s="117" t="s">
        <v>489</v>
      </c>
      <c r="C46" s="117" t="s">
        <v>387</v>
      </c>
      <c r="D46" s="117" t="s">
        <v>249</v>
      </c>
      <c r="E46" s="117" t="s">
        <v>490</v>
      </c>
      <c r="F46" s="117" t="s">
        <v>226</v>
      </c>
      <c r="G46" s="118" t="s">
        <v>255</v>
      </c>
      <c r="H46" s="69">
        <v>50485.009036041622</v>
      </c>
      <c r="I46" s="66">
        <v>1022.0000000000001</v>
      </c>
      <c r="J46" s="66">
        <v>0</v>
      </c>
      <c r="K46" s="64">
        <v>515.95678999999996</v>
      </c>
      <c r="L46" s="24">
        <v>9.2306544000811405E-5</v>
      </c>
      <c r="M46" s="32">
        <v>1.2949123246028199E-3</v>
      </c>
      <c r="N46" s="32">
        <v>5.9143829539245974E-4</v>
      </c>
      <c r="O46" s="14"/>
      <c r="P46" s="14"/>
      <c r="Q46" s="14"/>
      <c r="R46" s="14"/>
    </row>
    <row r="47" spans="1:18" x14ac:dyDescent="0.25">
      <c r="A47" s="16" t="s">
        <v>2048</v>
      </c>
      <c r="B47" s="117" t="s">
        <v>526</v>
      </c>
      <c r="C47" s="117" t="s">
        <v>387</v>
      </c>
      <c r="D47" s="117" t="s">
        <v>249</v>
      </c>
      <c r="E47" s="117" t="s">
        <v>490</v>
      </c>
      <c r="F47" s="117" t="s">
        <v>226</v>
      </c>
      <c r="G47" s="118" t="s">
        <v>255</v>
      </c>
      <c r="H47" s="69">
        <v>288925.59501219506</v>
      </c>
      <c r="I47" s="66">
        <v>952.02735900000005</v>
      </c>
      <c r="J47" s="66">
        <v>0</v>
      </c>
      <c r="K47" s="64">
        <v>2750.6507099999999</v>
      </c>
      <c r="L47" s="24">
        <v>5.282701470829507E-4</v>
      </c>
      <c r="M47" s="32">
        <v>6.9033910864056995E-3</v>
      </c>
      <c r="N47" s="32">
        <v>3.1530550594022788E-3</v>
      </c>
      <c r="O47" s="14"/>
      <c r="P47" s="14"/>
      <c r="Q47" s="14"/>
      <c r="R47" s="14"/>
    </row>
    <row r="48" spans="1:18" x14ac:dyDescent="0.25">
      <c r="A48" s="16" t="s">
        <v>485</v>
      </c>
      <c r="B48" s="117" t="s">
        <v>486</v>
      </c>
      <c r="C48" s="117" t="s">
        <v>387</v>
      </c>
      <c r="D48" s="117" t="s">
        <v>249</v>
      </c>
      <c r="E48" s="117" t="s">
        <v>487</v>
      </c>
      <c r="F48" s="117" t="s">
        <v>210</v>
      </c>
      <c r="G48" s="118" t="s">
        <v>255</v>
      </c>
      <c r="H48" s="69">
        <v>387222.06545198703</v>
      </c>
      <c r="I48" s="66">
        <v>2562</v>
      </c>
      <c r="J48" s="66">
        <v>0</v>
      </c>
      <c r="K48" s="64">
        <v>9920.62932</v>
      </c>
      <c r="L48" s="24">
        <v>1.0838524076656542E-3</v>
      </c>
      <c r="M48" s="32">
        <v>2.4898102754465339E-2</v>
      </c>
      <c r="N48" s="32">
        <v>1.13719602260516E-2</v>
      </c>
      <c r="O48" s="14"/>
      <c r="P48" s="14"/>
      <c r="Q48" s="14"/>
      <c r="R48" s="14"/>
    </row>
    <row r="49" spans="1:18" s="119" customFormat="1" x14ac:dyDescent="0.25">
      <c r="A49" s="92" t="s">
        <v>527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5" t="s">
        <v>249</v>
      </c>
      <c r="I49" s="122" t="s">
        <v>249</v>
      </c>
      <c r="J49" s="122" t="s">
        <v>249</v>
      </c>
      <c r="K49" s="152">
        <v>66679.108060099985</v>
      </c>
      <c r="L49" s="137"/>
      <c r="M49" s="121">
        <v>0.16734656950739363</v>
      </c>
      <c r="N49" s="121">
        <v>7.6433877358906666E-2</v>
      </c>
    </row>
    <row r="50" spans="1:18" x14ac:dyDescent="0.25">
      <c r="A50" s="16" t="s">
        <v>625</v>
      </c>
      <c r="B50" s="117" t="s">
        <v>626</v>
      </c>
      <c r="C50" s="117" t="s">
        <v>387</v>
      </c>
      <c r="D50" s="117" t="s">
        <v>249</v>
      </c>
      <c r="E50" s="117" t="s">
        <v>627</v>
      </c>
      <c r="F50" s="117" t="s">
        <v>204</v>
      </c>
      <c r="G50" s="118" t="s">
        <v>255</v>
      </c>
      <c r="H50" s="69">
        <v>254514.70773354438</v>
      </c>
      <c r="I50" s="66">
        <v>178.2</v>
      </c>
      <c r="J50" s="66">
        <v>0</v>
      </c>
      <c r="K50" s="64">
        <v>453.54521</v>
      </c>
      <c r="L50" s="24">
        <v>4.9834715873447229E-4</v>
      </c>
      <c r="M50" s="32">
        <v>1.1382760990383985E-3</v>
      </c>
      <c r="N50" s="32">
        <v>5.1989626085900567E-4</v>
      </c>
      <c r="O50" s="14"/>
      <c r="P50" s="14"/>
      <c r="Q50" s="14"/>
      <c r="R50" s="14"/>
    </row>
    <row r="51" spans="1:18" x14ac:dyDescent="0.25">
      <c r="A51" s="16" t="s">
        <v>677</v>
      </c>
      <c r="B51" s="117" t="s">
        <v>678</v>
      </c>
      <c r="C51" s="117" t="s">
        <v>387</v>
      </c>
      <c r="D51" s="117" t="s">
        <v>249</v>
      </c>
      <c r="E51" s="117" t="s">
        <v>679</v>
      </c>
      <c r="F51" s="117" t="s">
        <v>226</v>
      </c>
      <c r="G51" s="118" t="s">
        <v>255</v>
      </c>
      <c r="H51" s="69">
        <v>90577.581675004534</v>
      </c>
      <c r="I51" s="66">
        <v>887.7</v>
      </c>
      <c r="J51" s="66">
        <v>0</v>
      </c>
      <c r="K51" s="64">
        <v>804.05718999999999</v>
      </c>
      <c r="L51" s="24">
        <v>3.3944273240978459E-4</v>
      </c>
      <c r="M51" s="32">
        <v>2.0179665917692668E-3</v>
      </c>
      <c r="N51" s="32">
        <v>9.2168612385477313E-4</v>
      </c>
      <c r="O51" s="14"/>
      <c r="P51" s="14"/>
      <c r="Q51" s="14"/>
      <c r="R51" s="14"/>
    </row>
    <row r="52" spans="1:18" x14ac:dyDescent="0.25">
      <c r="A52" s="16" t="s">
        <v>2049</v>
      </c>
      <c r="B52" s="117" t="s">
        <v>705</v>
      </c>
      <c r="C52" s="117" t="s">
        <v>387</v>
      </c>
      <c r="D52" s="117" t="s">
        <v>249</v>
      </c>
      <c r="E52" s="117" t="s">
        <v>679</v>
      </c>
      <c r="F52" s="117" t="s">
        <v>226</v>
      </c>
      <c r="G52" s="118" t="s">
        <v>255</v>
      </c>
      <c r="H52" s="69">
        <v>55275.950734100334</v>
      </c>
      <c r="I52" s="66">
        <v>844.97222900000008</v>
      </c>
      <c r="J52" s="66">
        <v>0</v>
      </c>
      <c r="K52" s="64">
        <v>467.06642999999997</v>
      </c>
      <c r="L52" s="24">
        <v>2.0714860572292618E-4</v>
      </c>
      <c r="M52" s="32">
        <v>1.1722107128684948E-3</v>
      </c>
      <c r="N52" s="32">
        <v>5.3539555743464795E-4</v>
      </c>
      <c r="O52" s="14"/>
      <c r="P52" s="14"/>
      <c r="Q52" s="14"/>
      <c r="R52" s="14"/>
    </row>
    <row r="53" spans="1:18" x14ac:dyDescent="0.25">
      <c r="A53" s="16" t="s">
        <v>622</v>
      </c>
      <c r="B53" s="117" t="s">
        <v>623</v>
      </c>
      <c r="C53" s="117" t="s">
        <v>387</v>
      </c>
      <c r="D53" s="117" t="s">
        <v>249</v>
      </c>
      <c r="E53" s="117" t="s">
        <v>624</v>
      </c>
      <c r="F53" s="117" t="s">
        <v>213</v>
      </c>
      <c r="G53" s="118" t="s">
        <v>255</v>
      </c>
      <c r="H53" s="69">
        <v>130078.20901257501</v>
      </c>
      <c r="I53" s="66">
        <v>165.9</v>
      </c>
      <c r="J53" s="66">
        <v>0</v>
      </c>
      <c r="K53" s="64">
        <v>215.79974999999999</v>
      </c>
      <c r="L53" s="24">
        <v>4.3819050677640397E-4</v>
      </c>
      <c r="M53" s="32">
        <v>5.415991442252507E-4</v>
      </c>
      <c r="N53" s="32">
        <v>2.4737000996947627E-4</v>
      </c>
      <c r="O53" s="14"/>
      <c r="P53" s="14"/>
      <c r="Q53" s="14"/>
      <c r="R53" s="14"/>
    </row>
    <row r="54" spans="1:18" x14ac:dyDescent="0.25">
      <c r="A54" s="16" t="s">
        <v>642</v>
      </c>
      <c r="B54" s="117" t="s">
        <v>643</v>
      </c>
      <c r="C54" s="117" t="s">
        <v>387</v>
      </c>
      <c r="D54" s="117" t="s">
        <v>249</v>
      </c>
      <c r="E54" s="117" t="s">
        <v>644</v>
      </c>
      <c r="F54" s="117" t="s">
        <v>223</v>
      </c>
      <c r="G54" s="118" t="s">
        <v>255</v>
      </c>
      <c r="H54" s="69">
        <v>2881.5918794216982</v>
      </c>
      <c r="I54" s="66">
        <v>22550</v>
      </c>
      <c r="J54" s="66">
        <v>0</v>
      </c>
      <c r="K54" s="64">
        <v>649.79896999999994</v>
      </c>
      <c r="L54" s="24">
        <v>4.9691751611963481E-4</v>
      </c>
      <c r="M54" s="32">
        <v>1.630820082370111E-3</v>
      </c>
      <c r="N54" s="32">
        <v>7.4486081511704902E-4</v>
      </c>
      <c r="O54" s="14"/>
      <c r="P54" s="14"/>
      <c r="Q54" s="14"/>
      <c r="R54" s="14"/>
    </row>
    <row r="55" spans="1:18" x14ac:dyDescent="0.25">
      <c r="A55" s="16" t="s">
        <v>563</v>
      </c>
      <c r="B55" s="117" t="s">
        <v>564</v>
      </c>
      <c r="C55" s="117" t="s">
        <v>387</v>
      </c>
      <c r="D55" s="117" t="s">
        <v>249</v>
      </c>
      <c r="E55" s="117" t="s">
        <v>565</v>
      </c>
      <c r="F55" s="117" t="s">
        <v>201</v>
      </c>
      <c r="G55" s="118" t="s">
        <v>255</v>
      </c>
      <c r="H55" s="69">
        <v>4516.5713877737189</v>
      </c>
      <c r="I55" s="66">
        <v>8921</v>
      </c>
      <c r="J55" s="66">
        <v>0</v>
      </c>
      <c r="K55" s="64">
        <v>402.92333000000002</v>
      </c>
      <c r="L55" s="24">
        <v>3.0777500267113809E-4</v>
      </c>
      <c r="M55" s="32">
        <v>1.0112288393123176E-3</v>
      </c>
      <c r="N55" s="32">
        <v>4.6186869150235152E-4</v>
      </c>
      <c r="O55" s="14"/>
      <c r="P55" s="14"/>
      <c r="Q55" s="14"/>
      <c r="R55" s="14"/>
    </row>
    <row r="56" spans="1:18" x14ac:dyDescent="0.25">
      <c r="A56" s="16" t="s">
        <v>2050</v>
      </c>
      <c r="B56" s="117" t="s">
        <v>568</v>
      </c>
      <c r="C56" s="117" t="s">
        <v>387</v>
      </c>
      <c r="D56" s="117" t="s">
        <v>249</v>
      </c>
      <c r="E56" s="117" t="s">
        <v>569</v>
      </c>
      <c r="F56" s="117" t="s">
        <v>210</v>
      </c>
      <c r="G56" s="118" t="s">
        <v>255</v>
      </c>
      <c r="H56" s="69">
        <v>88765.978979175736</v>
      </c>
      <c r="I56" s="66">
        <v>1178</v>
      </c>
      <c r="J56" s="66">
        <v>0</v>
      </c>
      <c r="K56" s="64">
        <v>1045.6632299999999</v>
      </c>
      <c r="L56" s="24">
        <v>7.095600759195387E-4</v>
      </c>
      <c r="M56" s="32">
        <v>2.6243325606994977E-3</v>
      </c>
      <c r="N56" s="32">
        <v>1.1986377353533297E-3</v>
      </c>
      <c r="O56" s="14"/>
      <c r="P56" s="14"/>
      <c r="Q56" s="14"/>
      <c r="R56" s="14"/>
    </row>
    <row r="57" spans="1:18" x14ac:dyDescent="0.25">
      <c r="A57" s="16" t="s">
        <v>404</v>
      </c>
      <c r="B57" s="117" t="s">
        <v>680</v>
      </c>
      <c r="C57" s="117" t="s">
        <v>387</v>
      </c>
      <c r="D57" s="117" t="s">
        <v>249</v>
      </c>
      <c r="E57" s="117" t="s">
        <v>406</v>
      </c>
      <c r="F57" s="117" t="s">
        <v>205</v>
      </c>
      <c r="G57" s="118" t="s">
        <v>255</v>
      </c>
      <c r="H57" s="69">
        <v>2163.8597158929747</v>
      </c>
      <c r="I57" s="66">
        <v>6988</v>
      </c>
      <c r="J57" s="66">
        <v>0</v>
      </c>
      <c r="K57" s="64">
        <v>151.21052</v>
      </c>
      <c r="L57" s="24">
        <v>1.2523714797155189E-4</v>
      </c>
      <c r="M57" s="32">
        <v>3.7949760474632226E-4</v>
      </c>
      <c r="N57" s="32">
        <v>1.7333174778881667E-4</v>
      </c>
      <c r="O57" s="14"/>
      <c r="P57" s="14"/>
      <c r="Q57" s="14"/>
      <c r="R57" s="14"/>
    </row>
    <row r="58" spans="1:18" x14ac:dyDescent="0.25">
      <c r="A58" s="16" t="s">
        <v>2051</v>
      </c>
      <c r="B58" s="117" t="s">
        <v>692</v>
      </c>
      <c r="C58" s="117" t="s">
        <v>387</v>
      </c>
      <c r="D58" s="117" t="s">
        <v>249</v>
      </c>
      <c r="E58" s="117" t="s">
        <v>406</v>
      </c>
      <c r="F58" s="117" t="s">
        <v>205</v>
      </c>
      <c r="G58" s="118" t="s">
        <v>255</v>
      </c>
      <c r="H58" s="69">
        <v>3071.8284512068249</v>
      </c>
      <c r="I58" s="66">
        <v>6689.4363880000001</v>
      </c>
      <c r="J58" s="66">
        <v>0</v>
      </c>
      <c r="K58" s="64">
        <v>205.48801</v>
      </c>
      <c r="L58" s="24">
        <v>1.7778741914803499E-4</v>
      </c>
      <c r="M58" s="32">
        <v>5.1571945919561891E-4</v>
      </c>
      <c r="N58" s="32">
        <v>2.3554972182455189E-4</v>
      </c>
      <c r="O58" s="14"/>
      <c r="P58" s="14"/>
      <c r="Q58" s="14"/>
      <c r="R58" s="14"/>
    </row>
    <row r="59" spans="1:18" x14ac:dyDescent="0.25">
      <c r="A59" s="16" t="s">
        <v>536</v>
      </c>
      <c r="B59" s="117" t="s">
        <v>537</v>
      </c>
      <c r="C59" s="117" t="s">
        <v>387</v>
      </c>
      <c r="D59" s="117" t="s">
        <v>249</v>
      </c>
      <c r="E59" s="117" t="s">
        <v>538</v>
      </c>
      <c r="F59" s="117" t="s">
        <v>228</v>
      </c>
      <c r="G59" s="118" t="s">
        <v>255</v>
      </c>
      <c r="H59" s="69">
        <v>22065.651493170441</v>
      </c>
      <c r="I59" s="66">
        <v>11260</v>
      </c>
      <c r="J59" s="66">
        <v>0</v>
      </c>
      <c r="K59" s="64">
        <v>2484.5923599999996</v>
      </c>
      <c r="L59" s="24">
        <v>8.128455456042228E-4</v>
      </c>
      <c r="M59" s="32">
        <v>6.2356564172321612E-3</v>
      </c>
      <c r="N59" s="32">
        <v>2.8480739058468997E-3</v>
      </c>
      <c r="O59" s="14"/>
      <c r="P59" s="14"/>
      <c r="Q59" s="14"/>
      <c r="R59" s="14"/>
    </row>
    <row r="60" spans="1:18" x14ac:dyDescent="0.25">
      <c r="A60" s="16" t="s">
        <v>596</v>
      </c>
      <c r="B60" s="117" t="s">
        <v>597</v>
      </c>
      <c r="C60" s="117" t="s">
        <v>387</v>
      </c>
      <c r="D60" s="117" t="s">
        <v>249</v>
      </c>
      <c r="E60" s="117" t="s">
        <v>598</v>
      </c>
      <c r="F60" s="117" t="s">
        <v>224</v>
      </c>
      <c r="G60" s="118" t="s">
        <v>255</v>
      </c>
      <c r="H60" s="69">
        <v>43381.412156595943</v>
      </c>
      <c r="I60" s="66">
        <v>3661</v>
      </c>
      <c r="J60" s="66">
        <v>0</v>
      </c>
      <c r="K60" s="64">
        <v>1588.1935000000001</v>
      </c>
      <c r="L60" s="24">
        <v>7.6410886743070387E-4</v>
      </c>
      <c r="M60" s="32">
        <v>3.9859371498998757E-3</v>
      </c>
      <c r="N60" s="32">
        <v>1.8205370577512598E-3</v>
      </c>
      <c r="O60" s="14"/>
      <c r="P60" s="14"/>
      <c r="Q60" s="14"/>
      <c r="R60" s="14"/>
    </row>
    <row r="61" spans="1:18" x14ac:dyDescent="0.25">
      <c r="A61" s="16" t="s">
        <v>619</v>
      </c>
      <c r="B61" s="117" t="s">
        <v>620</v>
      </c>
      <c r="C61" s="117" t="s">
        <v>387</v>
      </c>
      <c r="D61" s="117" t="s">
        <v>249</v>
      </c>
      <c r="E61" s="117" t="s">
        <v>621</v>
      </c>
      <c r="F61" s="117" t="s">
        <v>226</v>
      </c>
      <c r="G61" s="118" t="s">
        <v>255</v>
      </c>
      <c r="H61" s="69">
        <v>7229.5153170521171</v>
      </c>
      <c r="I61" s="66">
        <v>19810</v>
      </c>
      <c r="J61" s="66">
        <v>0</v>
      </c>
      <c r="K61" s="64">
        <v>1432.16698</v>
      </c>
      <c r="L61" s="24">
        <v>5.7179536777149343E-4</v>
      </c>
      <c r="M61" s="32">
        <v>3.5943526846331461E-3</v>
      </c>
      <c r="N61" s="32">
        <v>1.6416847569126224E-3</v>
      </c>
      <c r="O61" s="14"/>
      <c r="P61" s="14"/>
      <c r="Q61" s="14"/>
      <c r="R61" s="14"/>
    </row>
    <row r="62" spans="1:18" x14ac:dyDescent="0.25">
      <c r="A62" s="16" t="s">
        <v>701</v>
      </c>
      <c r="B62" s="117" t="s">
        <v>702</v>
      </c>
      <c r="C62" s="117" t="s">
        <v>387</v>
      </c>
      <c r="D62" s="117" t="s">
        <v>249</v>
      </c>
      <c r="E62" s="117" t="s">
        <v>703</v>
      </c>
      <c r="F62" s="117" t="s">
        <v>224</v>
      </c>
      <c r="G62" s="118" t="s">
        <v>255</v>
      </c>
      <c r="H62" s="69">
        <v>5495.7121008019094</v>
      </c>
      <c r="I62" s="66">
        <v>5580</v>
      </c>
      <c r="J62" s="66">
        <v>0</v>
      </c>
      <c r="K62" s="64">
        <v>306.66073999999998</v>
      </c>
      <c r="L62" s="24">
        <v>3.0360477188297465E-4</v>
      </c>
      <c r="M62" s="32">
        <v>7.6963571251348578E-4</v>
      </c>
      <c r="N62" s="32">
        <v>3.5152343925814078E-4</v>
      </c>
      <c r="O62" s="14"/>
      <c r="P62" s="14"/>
      <c r="Q62" s="14"/>
      <c r="R62" s="14"/>
    </row>
    <row r="63" spans="1:18" x14ac:dyDescent="0.25">
      <c r="A63" s="16" t="s">
        <v>706</v>
      </c>
      <c r="B63" s="117" t="s">
        <v>707</v>
      </c>
      <c r="C63" s="117" t="s">
        <v>387</v>
      </c>
      <c r="D63" s="117" t="s">
        <v>249</v>
      </c>
      <c r="E63" s="117" t="s">
        <v>708</v>
      </c>
      <c r="F63" s="117" t="s">
        <v>225</v>
      </c>
      <c r="G63" s="118" t="s">
        <v>255</v>
      </c>
      <c r="H63" s="69">
        <v>7251.7790981308726</v>
      </c>
      <c r="I63" s="66">
        <v>10550</v>
      </c>
      <c r="J63" s="66">
        <v>0</v>
      </c>
      <c r="K63" s="64">
        <v>765.06268999999998</v>
      </c>
      <c r="L63" s="24">
        <v>5.8042961729384552E-4</v>
      </c>
      <c r="M63" s="32">
        <v>1.9201009184796009E-3</v>
      </c>
      <c r="N63" s="32">
        <v>8.769869531942198E-4</v>
      </c>
      <c r="O63" s="14"/>
      <c r="P63" s="14"/>
      <c r="Q63" s="14"/>
      <c r="R63" s="14"/>
    </row>
    <row r="64" spans="1:18" x14ac:dyDescent="0.25">
      <c r="A64" s="16" t="s">
        <v>2052</v>
      </c>
      <c r="B64" s="117" t="s">
        <v>631</v>
      </c>
      <c r="C64" s="117" t="s">
        <v>387</v>
      </c>
      <c r="D64" s="117" t="s">
        <v>249</v>
      </c>
      <c r="E64" s="117" t="s">
        <v>632</v>
      </c>
      <c r="F64" s="117" t="s">
        <v>225</v>
      </c>
      <c r="G64" s="118" t="s">
        <v>255</v>
      </c>
      <c r="H64" s="69">
        <v>51332.463745032066</v>
      </c>
      <c r="I64" s="66">
        <v>125.9</v>
      </c>
      <c r="J64" s="66">
        <v>0</v>
      </c>
      <c r="K64" s="64">
        <v>64.627570000000006</v>
      </c>
      <c r="L64" s="24">
        <v>1.6277638849785861E-5</v>
      </c>
      <c r="M64" s="32">
        <v>1.6219776253381893E-4</v>
      </c>
      <c r="N64" s="32">
        <v>7.4082211101741434E-5</v>
      </c>
      <c r="O64" s="14"/>
      <c r="P64" s="14"/>
      <c r="Q64" s="14"/>
      <c r="R64" s="14"/>
    </row>
    <row r="65" spans="1:18" x14ac:dyDescent="0.25">
      <c r="A65" s="16" t="s">
        <v>681</v>
      </c>
      <c r="B65" s="117" t="s">
        <v>682</v>
      </c>
      <c r="C65" s="117" t="s">
        <v>387</v>
      </c>
      <c r="D65" s="117" t="s">
        <v>249</v>
      </c>
      <c r="E65" s="117" t="s">
        <v>683</v>
      </c>
      <c r="F65" s="117" t="s">
        <v>228</v>
      </c>
      <c r="G65" s="118" t="s">
        <v>255</v>
      </c>
      <c r="H65" s="69">
        <v>857225.12747460813</v>
      </c>
      <c r="I65" s="66">
        <v>58.3</v>
      </c>
      <c r="J65" s="66">
        <v>0</v>
      </c>
      <c r="K65" s="64">
        <v>499.76224999999999</v>
      </c>
      <c r="L65" s="24">
        <v>6.7767210224444808E-4</v>
      </c>
      <c r="M65" s="32">
        <v>1.2542683989026206E-3</v>
      </c>
      <c r="N65" s="32">
        <v>5.7287458750470235E-4</v>
      </c>
      <c r="O65" s="14"/>
      <c r="P65" s="14"/>
      <c r="Q65" s="14"/>
      <c r="R65" s="14"/>
    </row>
    <row r="66" spans="1:18" x14ac:dyDescent="0.25">
      <c r="A66" s="16" t="s">
        <v>548</v>
      </c>
      <c r="B66" s="117" t="s">
        <v>550</v>
      </c>
      <c r="C66" s="117" t="s">
        <v>387</v>
      </c>
      <c r="D66" s="117" t="s">
        <v>249</v>
      </c>
      <c r="E66" s="117" t="s">
        <v>551</v>
      </c>
      <c r="F66" s="117" t="s">
        <v>224</v>
      </c>
      <c r="G66" s="118" t="s">
        <v>255</v>
      </c>
      <c r="H66" s="69">
        <v>41868.971547183166</v>
      </c>
      <c r="I66" s="66">
        <v>1136.095476</v>
      </c>
      <c r="J66" s="66">
        <v>0</v>
      </c>
      <c r="K66" s="64">
        <v>475.67149000000001</v>
      </c>
      <c r="L66" s="24">
        <v>2.3450718561883477E-4</v>
      </c>
      <c r="M66" s="32">
        <v>1.1938070916039055E-3</v>
      </c>
      <c r="N66" s="32">
        <v>5.4525948812959998E-4</v>
      </c>
      <c r="O66" s="14"/>
      <c r="P66" s="14"/>
      <c r="Q66" s="14"/>
      <c r="R66" s="14"/>
    </row>
    <row r="67" spans="1:18" x14ac:dyDescent="0.25">
      <c r="A67" s="16" t="s">
        <v>549</v>
      </c>
      <c r="B67" s="117" t="s">
        <v>630</v>
      </c>
      <c r="C67" s="117" t="s">
        <v>387</v>
      </c>
      <c r="D67" s="117" t="s">
        <v>249</v>
      </c>
      <c r="E67" s="117" t="s">
        <v>551</v>
      </c>
      <c r="F67" s="117" t="s">
        <v>224</v>
      </c>
      <c r="G67" s="118" t="s">
        <v>255</v>
      </c>
      <c r="H67" s="69">
        <v>2978.8526094966228</v>
      </c>
      <c r="I67" s="66">
        <v>1167</v>
      </c>
      <c r="J67" s="66">
        <v>0</v>
      </c>
      <c r="K67" s="64">
        <v>34.763210000000001</v>
      </c>
      <c r="L67" s="24">
        <v>1.6684487724737826E-5</v>
      </c>
      <c r="M67" s="32">
        <v>8.7246277099591995E-5</v>
      </c>
      <c r="N67" s="32">
        <v>3.9848867314586777E-5</v>
      </c>
      <c r="O67" s="14"/>
      <c r="P67" s="14"/>
      <c r="Q67" s="14"/>
      <c r="R67" s="14"/>
    </row>
    <row r="68" spans="1:18" x14ac:dyDescent="0.25">
      <c r="A68" s="16" t="s">
        <v>653</v>
      </c>
      <c r="B68" s="117" t="s">
        <v>654</v>
      </c>
      <c r="C68" s="117" t="s">
        <v>387</v>
      </c>
      <c r="D68" s="117" t="s">
        <v>249</v>
      </c>
      <c r="E68" s="117" t="s">
        <v>655</v>
      </c>
      <c r="F68" s="117" t="s">
        <v>203</v>
      </c>
      <c r="G68" s="118" t="s">
        <v>255</v>
      </c>
      <c r="H68" s="69">
        <v>10926.679129045669</v>
      </c>
      <c r="I68" s="66">
        <v>3186</v>
      </c>
      <c r="J68" s="66">
        <v>0</v>
      </c>
      <c r="K68" s="64">
        <v>348.12400000000002</v>
      </c>
      <c r="L68" s="24">
        <v>3.982444775002819E-4</v>
      </c>
      <c r="M68" s="32">
        <v>8.7369730726875817E-4</v>
      </c>
      <c r="N68" s="32">
        <v>3.9905253528150039E-4</v>
      </c>
      <c r="O68" s="14"/>
      <c r="P68" s="14"/>
      <c r="Q68" s="14"/>
      <c r="R68" s="14"/>
    </row>
    <row r="69" spans="1:18" x14ac:dyDescent="0.25">
      <c r="A69" s="16" t="s">
        <v>667</v>
      </c>
      <c r="B69" s="117" t="s">
        <v>668</v>
      </c>
      <c r="C69" s="117" t="s">
        <v>387</v>
      </c>
      <c r="D69" s="117" t="s">
        <v>249</v>
      </c>
      <c r="E69" s="117" t="s">
        <v>655</v>
      </c>
      <c r="F69" s="117" t="s">
        <v>203</v>
      </c>
      <c r="G69" s="118" t="s">
        <v>255</v>
      </c>
      <c r="H69" s="69">
        <v>6095.1423451698283</v>
      </c>
      <c r="I69" s="66">
        <v>3163.312328</v>
      </c>
      <c r="J69" s="66">
        <v>0</v>
      </c>
      <c r="K69" s="64">
        <v>192.80839</v>
      </c>
      <c r="L69" s="24">
        <v>2.2214954332186061E-4</v>
      </c>
      <c r="M69" s="32">
        <v>4.8389703428038447E-4</v>
      </c>
      <c r="N69" s="32">
        <v>2.2101514647954258E-4</v>
      </c>
      <c r="O69" s="14"/>
      <c r="P69" s="14"/>
      <c r="Q69" s="14"/>
      <c r="R69" s="14"/>
    </row>
    <row r="70" spans="1:18" x14ac:dyDescent="0.25">
      <c r="A70" s="16" t="s">
        <v>539</v>
      </c>
      <c r="B70" s="117" t="s">
        <v>540</v>
      </c>
      <c r="C70" s="117" t="s">
        <v>387</v>
      </c>
      <c r="D70" s="117" t="s">
        <v>249</v>
      </c>
      <c r="E70" s="117" t="s">
        <v>541</v>
      </c>
      <c r="F70" s="117" t="s">
        <v>203</v>
      </c>
      <c r="G70" s="118" t="s">
        <v>255</v>
      </c>
      <c r="H70" s="69">
        <v>39286.448840693818</v>
      </c>
      <c r="I70" s="66">
        <v>2350</v>
      </c>
      <c r="J70" s="66">
        <v>0</v>
      </c>
      <c r="K70" s="64">
        <v>923.23155000000008</v>
      </c>
      <c r="L70" s="24">
        <v>4.0511534246022581E-4</v>
      </c>
      <c r="M70" s="32">
        <v>2.3170620790883764E-3</v>
      </c>
      <c r="N70" s="32">
        <v>1.0582950060305215E-3</v>
      </c>
      <c r="O70" s="14"/>
      <c r="P70" s="14"/>
      <c r="Q70" s="14"/>
      <c r="R70" s="14"/>
    </row>
    <row r="71" spans="1:18" x14ac:dyDescent="0.25">
      <c r="A71" s="16" t="s">
        <v>560</v>
      </c>
      <c r="B71" s="117" t="s">
        <v>561</v>
      </c>
      <c r="C71" s="117" t="s">
        <v>387</v>
      </c>
      <c r="D71" s="117" t="s">
        <v>249</v>
      </c>
      <c r="E71" s="117" t="s">
        <v>562</v>
      </c>
      <c r="F71" s="117" t="s">
        <v>209</v>
      </c>
      <c r="G71" s="118" t="s">
        <v>255</v>
      </c>
      <c r="H71" s="69">
        <v>6109.4028277958814</v>
      </c>
      <c r="I71" s="66">
        <v>14760</v>
      </c>
      <c r="J71" s="66">
        <v>0</v>
      </c>
      <c r="K71" s="64">
        <v>901.74785999999995</v>
      </c>
      <c r="L71" s="24">
        <v>2.3753986774368728E-4</v>
      </c>
      <c r="M71" s="32">
        <v>2.263143814035703E-3</v>
      </c>
      <c r="N71" s="32">
        <v>1.0336683759742719E-3</v>
      </c>
      <c r="O71" s="14"/>
      <c r="P71" s="14"/>
      <c r="Q71" s="14"/>
      <c r="R71" s="14"/>
    </row>
    <row r="72" spans="1:18" x14ac:dyDescent="0.25">
      <c r="A72" s="16" t="s">
        <v>2053</v>
      </c>
      <c r="B72" s="117" t="s">
        <v>599</v>
      </c>
      <c r="C72" s="117" t="s">
        <v>387</v>
      </c>
      <c r="D72" s="117" t="s">
        <v>249</v>
      </c>
      <c r="E72" s="117" t="s">
        <v>600</v>
      </c>
      <c r="F72" s="117" t="s">
        <v>204</v>
      </c>
      <c r="G72" s="118" t="s">
        <v>255</v>
      </c>
      <c r="H72" s="69">
        <v>3234.7611085680974</v>
      </c>
      <c r="I72" s="66">
        <v>31220</v>
      </c>
      <c r="J72" s="66">
        <v>0</v>
      </c>
      <c r="K72" s="64">
        <v>1009.89242</v>
      </c>
      <c r="L72" s="24">
        <v>5.5629590464918819E-4</v>
      </c>
      <c r="M72" s="32">
        <v>2.5345574794760767E-3</v>
      </c>
      <c r="N72" s="32">
        <v>1.1576338619646155E-3</v>
      </c>
      <c r="O72" s="14"/>
      <c r="P72" s="14"/>
      <c r="Q72" s="14"/>
      <c r="R72" s="14"/>
    </row>
    <row r="73" spans="1:18" x14ac:dyDescent="0.25">
      <c r="A73" s="16" t="s">
        <v>650</v>
      </c>
      <c r="B73" s="117" t="s">
        <v>651</v>
      </c>
      <c r="C73" s="117" t="s">
        <v>387</v>
      </c>
      <c r="D73" s="117" t="s">
        <v>249</v>
      </c>
      <c r="E73" s="117" t="s">
        <v>652</v>
      </c>
      <c r="F73" s="117" t="s">
        <v>226</v>
      </c>
      <c r="G73" s="118" t="s">
        <v>255</v>
      </c>
      <c r="H73" s="69">
        <v>30949.258702339604</v>
      </c>
      <c r="I73" s="66">
        <v>9978</v>
      </c>
      <c r="J73" s="66">
        <v>0</v>
      </c>
      <c r="K73" s="64">
        <v>3088.1170299999999</v>
      </c>
      <c r="L73" s="24">
        <v>9.8907124248953713E-4</v>
      </c>
      <c r="M73" s="32">
        <v>7.750340492588258E-3</v>
      </c>
      <c r="N73" s="32">
        <v>3.5398907575101891E-3</v>
      </c>
      <c r="O73" s="14"/>
      <c r="P73" s="14"/>
      <c r="Q73" s="14"/>
      <c r="R73" s="14"/>
    </row>
    <row r="74" spans="1:18" x14ac:dyDescent="0.25">
      <c r="A74" s="16" t="s">
        <v>2054</v>
      </c>
      <c r="B74" s="117" t="s">
        <v>669</v>
      </c>
      <c r="C74" s="117" t="s">
        <v>387</v>
      </c>
      <c r="D74" s="117" t="s">
        <v>249</v>
      </c>
      <c r="E74" s="117" t="s">
        <v>670</v>
      </c>
      <c r="F74" s="117" t="s">
        <v>202</v>
      </c>
      <c r="G74" s="118" t="s">
        <v>255</v>
      </c>
      <c r="H74" s="69">
        <v>23902.826598742318</v>
      </c>
      <c r="I74" s="66">
        <v>2190</v>
      </c>
      <c r="J74" s="66">
        <v>0</v>
      </c>
      <c r="K74" s="64">
        <v>523.47190000000001</v>
      </c>
      <c r="L74" s="24">
        <v>2.5828886399245166E-4</v>
      </c>
      <c r="M74" s="32">
        <v>1.3137732229345309E-3</v>
      </c>
      <c r="N74" s="32">
        <v>6.0005282268279126E-4</v>
      </c>
      <c r="O74" s="14"/>
      <c r="P74" s="14"/>
      <c r="Q74" s="14"/>
      <c r="R74" s="14"/>
    </row>
    <row r="75" spans="1:18" x14ac:dyDescent="0.25">
      <c r="A75" s="16" t="s">
        <v>588</v>
      </c>
      <c r="B75" s="117" t="s">
        <v>589</v>
      </c>
      <c r="C75" s="117" t="s">
        <v>387</v>
      </c>
      <c r="D75" s="117" t="s">
        <v>249</v>
      </c>
      <c r="E75" s="117" t="s">
        <v>590</v>
      </c>
      <c r="F75" s="117" t="s">
        <v>192</v>
      </c>
      <c r="G75" s="118" t="s">
        <v>255</v>
      </c>
      <c r="H75" s="69">
        <v>45583.791593561087</v>
      </c>
      <c r="I75" s="66">
        <v>4801</v>
      </c>
      <c r="J75" s="66">
        <v>0</v>
      </c>
      <c r="K75" s="64">
        <v>2188.4778300000003</v>
      </c>
      <c r="L75" s="24">
        <v>6.3735967115033973E-4</v>
      </c>
      <c r="M75" s="32">
        <v>5.4924888461823232E-3</v>
      </c>
      <c r="N75" s="32">
        <v>2.5086395263436488E-3</v>
      </c>
      <c r="O75" s="14"/>
      <c r="P75" s="14"/>
      <c r="Q75" s="14"/>
      <c r="R75" s="14"/>
    </row>
    <row r="76" spans="1:18" x14ac:dyDescent="0.25">
      <c r="A76" s="16" t="s">
        <v>661</v>
      </c>
      <c r="B76" s="117" t="s">
        <v>662</v>
      </c>
      <c r="C76" s="117" t="s">
        <v>387</v>
      </c>
      <c r="D76" s="117" t="s">
        <v>249</v>
      </c>
      <c r="E76" s="117" t="s">
        <v>663</v>
      </c>
      <c r="F76" s="117" t="s">
        <v>223</v>
      </c>
      <c r="G76" s="118" t="s">
        <v>255</v>
      </c>
      <c r="H76" s="69">
        <v>6526.8381666967425</v>
      </c>
      <c r="I76" s="66">
        <v>16800</v>
      </c>
      <c r="J76" s="66">
        <v>0</v>
      </c>
      <c r="K76" s="64">
        <v>1096.50881</v>
      </c>
      <c r="L76" s="24">
        <v>8.8399629959708473E-4</v>
      </c>
      <c r="M76" s="32">
        <v>2.7519412470656157E-3</v>
      </c>
      <c r="N76" s="32">
        <v>1.2569217307310068E-3</v>
      </c>
      <c r="O76" s="14"/>
      <c r="P76" s="14"/>
      <c r="Q76" s="14"/>
      <c r="R76" s="14"/>
    </row>
    <row r="77" spans="1:18" x14ac:dyDescent="0.25">
      <c r="A77" s="16" t="s">
        <v>2055</v>
      </c>
      <c r="B77" s="117" t="s">
        <v>583</v>
      </c>
      <c r="C77" s="117" t="s">
        <v>387</v>
      </c>
      <c r="D77" s="117" t="s">
        <v>249</v>
      </c>
      <c r="E77" s="117" t="s">
        <v>584</v>
      </c>
      <c r="F77" s="117" t="s">
        <v>206</v>
      </c>
      <c r="G77" s="118" t="s">
        <v>255</v>
      </c>
      <c r="H77" s="69">
        <v>111675.18361676886</v>
      </c>
      <c r="I77" s="66">
        <v>1494</v>
      </c>
      <c r="J77" s="66">
        <v>0</v>
      </c>
      <c r="K77" s="64">
        <v>1668.42724</v>
      </c>
      <c r="L77" s="24">
        <v>5.9961018404272842E-4</v>
      </c>
      <c r="M77" s="32">
        <v>4.1873021881911219E-3</v>
      </c>
      <c r="N77" s="32">
        <v>1.9125085315999939E-3</v>
      </c>
      <c r="O77" s="14"/>
      <c r="P77" s="14"/>
      <c r="Q77" s="14"/>
      <c r="R77" s="14"/>
    </row>
    <row r="78" spans="1:18" x14ac:dyDescent="0.25">
      <c r="A78" s="16" t="s">
        <v>601</v>
      </c>
      <c r="B78" s="117" t="s">
        <v>602</v>
      </c>
      <c r="C78" s="117" t="s">
        <v>387</v>
      </c>
      <c r="D78" s="117" t="s">
        <v>249</v>
      </c>
      <c r="E78" s="117" t="s">
        <v>603</v>
      </c>
      <c r="F78" s="117" t="s">
        <v>226</v>
      </c>
      <c r="G78" s="118" t="s">
        <v>255</v>
      </c>
      <c r="H78" s="69">
        <v>9654.5305158976917</v>
      </c>
      <c r="I78" s="66">
        <v>24790</v>
      </c>
      <c r="J78" s="66">
        <v>0</v>
      </c>
      <c r="K78" s="64">
        <v>2393.3581099999997</v>
      </c>
      <c r="L78" s="24">
        <v>5.1606783668209453E-4</v>
      </c>
      <c r="M78" s="32">
        <v>6.0066830670589908E-3</v>
      </c>
      <c r="N78" s="32">
        <v>2.7434926107709891E-3</v>
      </c>
      <c r="O78" s="14"/>
      <c r="P78" s="14"/>
      <c r="Q78" s="14"/>
      <c r="R78" s="14"/>
    </row>
    <row r="79" spans="1:18" x14ac:dyDescent="0.25">
      <c r="A79" s="16" t="s">
        <v>633</v>
      </c>
      <c r="B79" s="117" t="s">
        <v>634</v>
      </c>
      <c r="C79" s="117" t="s">
        <v>387</v>
      </c>
      <c r="D79" s="117" t="s">
        <v>249</v>
      </c>
      <c r="E79" s="117" t="s">
        <v>635</v>
      </c>
      <c r="F79" s="117" t="s">
        <v>202</v>
      </c>
      <c r="G79" s="118" t="s">
        <v>255</v>
      </c>
      <c r="H79" s="69">
        <v>88305.824015941951</v>
      </c>
      <c r="I79" s="66">
        <v>1575</v>
      </c>
      <c r="J79" s="66">
        <v>0</v>
      </c>
      <c r="K79" s="64">
        <v>1390.81673</v>
      </c>
      <c r="L79" s="24">
        <v>4.407796228168682E-4</v>
      </c>
      <c r="M79" s="32">
        <v>3.4905747144848946E-3</v>
      </c>
      <c r="N79" s="32">
        <v>1.5942852036010904E-3</v>
      </c>
      <c r="O79" s="14"/>
      <c r="P79" s="14"/>
      <c r="Q79" s="14"/>
      <c r="R79" s="14"/>
    </row>
    <row r="80" spans="1:18" x14ac:dyDescent="0.25">
      <c r="A80" s="16" t="s">
        <v>2056</v>
      </c>
      <c r="B80" s="117" t="s">
        <v>604</v>
      </c>
      <c r="C80" s="117" t="s">
        <v>387</v>
      </c>
      <c r="D80" s="117" t="s">
        <v>249</v>
      </c>
      <c r="E80" s="117" t="s">
        <v>605</v>
      </c>
      <c r="F80" s="117" t="s">
        <v>226</v>
      </c>
      <c r="G80" s="118" t="s">
        <v>255</v>
      </c>
      <c r="H80" s="69">
        <v>30288.192183068673</v>
      </c>
      <c r="I80" s="66">
        <v>947.938356</v>
      </c>
      <c r="J80" s="66">
        <v>0</v>
      </c>
      <c r="K80" s="64">
        <v>287.11339000000004</v>
      </c>
      <c r="L80" s="24">
        <v>1.0009838676705303E-4</v>
      </c>
      <c r="M80" s="32">
        <v>7.2057713838691046E-4</v>
      </c>
      <c r="N80" s="32">
        <v>3.2911642458654443E-4</v>
      </c>
      <c r="O80" s="14"/>
      <c r="P80" s="14"/>
      <c r="Q80" s="14"/>
      <c r="R80" s="14"/>
    </row>
    <row r="81" spans="1:18" x14ac:dyDescent="0.25">
      <c r="A81" s="16" t="s">
        <v>617</v>
      </c>
      <c r="B81" s="117" t="s">
        <v>618</v>
      </c>
      <c r="C81" s="117" t="s">
        <v>387</v>
      </c>
      <c r="D81" s="117" t="s">
        <v>249</v>
      </c>
      <c r="E81" s="117" t="s">
        <v>605</v>
      </c>
      <c r="F81" s="117" t="s">
        <v>226</v>
      </c>
      <c r="G81" s="118" t="s">
        <v>255</v>
      </c>
      <c r="H81" s="69">
        <v>120676.72743407504</v>
      </c>
      <c r="I81" s="66">
        <v>950.70000000000016</v>
      </c>
      <c r="J81" s="66">
        <v>0</v>
      </c>
      <c r="K81" s="64">
        <v>1147.2736499999999</v>
      </c>
      <c r="L81" s="24">
        <v>3.9882029483525396E-4</v>
      </c>
      <c r="M81" s="32">
        <v>2.879347297817443E-3</v>
      </c>
      <c r="N81" s="32">
        <v>1.3151131743119136E-3</v>
      </c>
      <c r="O81" s="14"/>
      <c r="P81" s="14"/>
      <c r="Q81" s="14"/>
      <c r="R81" s="14"/>
    </row>
    <row r="82" spans="1:18" x14ac:dyDescent="0.25">
      <c r="A82" s="16" t="s">
        <v>593</v>
      </c>
      <c r="B82" s="117" t="s">
        <v>594</v>
      </c>
      <c r="C82" s="117" t="s">
        <v>387</v>
      </c>
      <c r="D82" s="117" t="s">
        <v>249</v>
      </c>
      <c r="E82" s="117" t="s">
        <v>595</v>
      </c>
      <c r="F82" s="117" t="s">
        <v>215</v>
      </c>
      <c r="G82" s="118" t="s">
        <v>255</v>
      </c>
      <c r="H82" s="69">
        <v>670234.63032865885</v>
      </c>
      <c r="I82" s="66">
        <v>165.6</v>
      </c>
      <c r="J82" s="66">
        <v>0</v>
      </c>
      <c r="K82" s="64">
        <v>1109.9085500000001</v>
      </c>
      <c r="L82" s="24">
        <v>2.5873219390456018E-4</v>
      </c>
      <c r="M82" s="32">
        <v>2.7855709788741135E-3</v>
      </c>
      <c r="N82" s="32">
        <v>1.2722817754826268E-3</v>
      </c>
      <c r="O82" s="14"/>
      <c r="P82" s="14"/>
      <c r="Q82" s="14"/>
      <c r="R82" s="14"/>
    </row>
    <row r="83" spans="1:18" x14ac:dyDescent="0.25">
      <c r="A83" s="16" t="s">
        <v>2057</v>
      </c>
      <c r="B83" s="117" t="s">
        <v>696</v>
      </c>
      <c r="C83" s="117" t="s">
        <v>387</v>
      </c>
      <c r="D83" s="117" t="s">
        <v>249</v>
      </c>
      <c r="E83" s="117" t="s">
        <v>697</v>
      </c>
      <c r="F83" s="117" t="s">
        <v>228</v>
      </c>
      <c r="G83" s="118" t="s">
        <v>255</v>
      </c>
      <c r="H83" s="69">
        <v>9668.7481496400978</v>
      </c>
      <c r="I83" s="66">
        <v>6632.0000000000009</v>
      </c>
      <c r="J83" s="66">
        <v>0</v>
      </c>
      <c r="K83" s="64">
        <v>641.23138000000006</v>
      </c>
      <c r="L83" s="24">
        <v>1.5619120404052403E-4</v>
      </c>
      <c r="M83" s="32">
        <v>1.6093177432243391E-3</v>
      </c>
      <c r="N83" s="32">
        <v>7.3503983606719209E-4</v>
      </c>
      <c r="O83" s="14"/>
      <c r="P83" s="14"/>
      <c r="Q83" s="14"/>
      <c r="R83" s="14"/>
    </row>
    <row r="84" spans="1:18" x14ac:dyDescent="0.25">
      <c r="A84" s="16" t="s">
        <v>698</v>
      </c>
      <c r="B84" s="117" t="s">
        <v>699</v>
      </c>
      <c r="C84" s="117" t="s">
        <v>387</v>
      </c>
      <c r="D84" s="117" t="s">
        <v>249</v>
      </c>
      <c r="E84" s="117" t="s">
        <v>697</v>
      </c>
      <c r="F84" s="117" t="s">
        <v>228</v>
      </c>
      <c r="G84" s="118" t="s">
        <v>255</v>
      </c>
      <c r="H84" s="69">
        <v>10351.435093154647</v>
      </c>
      <c r="I84" s="66">
        <v>6520.7592340000001</v>
      </c>
      <c r="J84" s="66">
        <v>0</v>
      </c>
      <c r="K84" s="64">
        <v>674.99216000000001</v>
      </c>
      <c r="L84" s="24">
        <v>1.6721948754113954E-4</v>
      </c>
      <c r="M84" s="32">
        <v>1.694048191505104E-3</v>
      </c>
      <c r="N84" s="32">
        <v>7.7373962364886114E-4</v>
      </c>
      <c r="O84" s="14"/>
      <c r="P84" s="14"/>
      <c r="Q84" s="14"/>
      <c r="R84" s="14"/>
    </row>
    <row r="85" spans="1:18" x14ac:dyDescent="0.25">
      <c r="A85" s="16" t="s">
        <v>611</v>
      </c>
      <c r="B85" s="117" t="s">
        <v>612</v>
      </c>
      <c r="C85" s="117" t="s">
        <v>387</v>
      </c>
      <c r="D85" s="117" t="s">
        <v>249</v>
      </c>
      <c r="E85" s="117" t="s">
        <v>613</v>
      </c>
      <c r="F85" s="117" t="s">
        <v>235</v>
      </c>
      <c r="G85" s="118" t="s">
        <v>255</v>
      </c>
      <c r="H85" s="69">
        <v>5825.3814523205092</v>
      </c>
      <c r="I85" s="66">
        <v>15550</v>
      </c>
      <c r="J85" s="66">
        <v>0</v>
      </c>
      <c r="K85" s="64">
        <v>905.84681999999998</v>
      </c>
      <c r="L85" s="24">
        <v>4.0208708893656544E-4</v>
      </c>
      <c r="M85" s="32">
        <v>2.2734310976317848E-3</v>
      </c>
      <c r="N85" s="32">
        <v>1.0383669902037345E-3</v>
      </c>
      <c r="O85" s="14"/>
      <c r="P85" s="14"/>
      <c r="Q85" s="14"/>
      <c r="R85" s="14"/>
    </row>
    <row r="86" spans="1:18" x14ac:dyDescent="0.25">
      <c r="A86" s="16" t="s">
        <v>2058</v>
      </c>
      <c r="B86" s="117" t="s">
        <v>579</v>
      </c>
      <c r="C86" s="117" t="s">
        <v>387</v>
      </c>
      <c r="D86" s="117" t="s">
        <v>249</v>
      </c>
      <c r="E86" s="117" t="s">
        <v>580</v>
      </c>
      <c r="F86" s="117" t="s">
        <v>193</v>
      </c>
      <c r="G86" s="118" t="s">
        <v>255</v>
      </c>
      <c r="H86" s="69">
        <v>8952.6105703468947</v>
      </c>
      <c r="I86" s="66">
        <v>4317</v>
      </c>
      <c r="J86" s="66">
        <v>0</v>
      </c>
      <c r="K86" s="64">
        <v>386.48419999999999</v>
      </c>
      <c r="L86" s="24">
        <v>1.8236002160278871E-4</v>
      </c>
      <c r="M86" s="32">
        <v>9.6997105870873647E-4</v>
      </c>
      <c r="N86" s="32">
        <v>4.4302461150694131E-4</v>
      </c>
      <c r="O86" s="14"/>
      <c r="P86" s="14"/>
      <c r="Q86" s="14"/>
      <c r="R86" s="14"/>
    </row>
    <row r="87" spans="1:18" x14ac:dyDescent="0.25">
      <c r="A87" s="16" t="s">
        <v>573</v>
      </c>
      <c r="B87" s="117" t="s">
        <v>574</v>
      </c>
      <c r="C87" s="117" t="s">
        <v>387</v>
      </c>
      <c r="D87" s="117" t="s">
        <v>249</v>
      </c>
      <c r="E87" s="117" t="s">
        <v>575</v>
      </c>
      <c r="F87" s="117" t="s">
        <v>223</v>
      </c>
      <c r="G87" s="118" t="s">
        <v>255</v>
      </c>
      <c r="H87" s="69">
        <v>11522.848742418464</v>
      </c>
      <c r="I87" s="66">
        <v>858.70000000000016</v>
      </c>
      <c r="J87" s="66">
        <v>0</v>
      </c>
      <c r="K87" s="64">
        <v>98.946699999999993</v>
      </c>
      <c r="L87" s="24">
        <v>7.6616517146260669E-5</v>
      </c>
      <c r="M87" s="32">
        <v>2.4832951865751753E-4</v>
      </c>
      <c r="N87" s="32">
        <v>1.1342203207115289E-4</v>
      </c>
      <c r="O87" s="14"/>
      <c r="P87" s="14"/>
      <c r="Q87" s="14"/>
      <c r="R87" s="14"/>
    </row>
    <row r="88" spans="1:18" x14ac:dyDescent="0.25">
      <c r="A88" s="16" t="s">
        <v>570</v>
      </c>
      <c r="B88" s="117" t="s">
        <v>571</v>
      </c>
      <c r="C88" s="117" t="s">
        <v>387</v>
      </c>
      <c r="D88" s="117" t="s">
        <v>249</v>
      </c>
      <c r="E88" s="117" t="s">
        <v>572</v>
      </c>
      <c r="F88" s="117" t="s">
        <v>223</v>
      </c>
      <c r="G88" s="118" t="s">
        <v>255</v>
      </c>
      <c r="H88" s="69">
        <v>44913.772241012513</v>
      </c>
      <c r="I88" s="66">
        <v>6819</v>
      </c>
      <c r="J88" s="66">
        <v>0</v>
      </c>
      <c r="K88" s="64">
        <v>3062.67013</v>
      </c>
      <c r="L88" s="24">
        <v>1.2302026454013833E-3</v>
      </c>
      <c r="M88" s="32">
        <v>7.6864756398106922E-3</v>
      </c>
      <c r="N88" s="32">
        <v>3.5107211226672744E-3</v>
      </c>
      <c r="O88" s="14"/>
      <c r="P88" s="14"/>
      <c r="Q88" s="14"/>
      <c r="R88" s="14"/>
    </row>
    <row r="89" spans="1:18" x14ac:dyDescent="0.25">
      <c r="A89" s="16" t="s">
        <v>645</v>
      </c>
      <c r="B89" s="117" t="s">
        <v>646</v>
      </c>
      <c r="C89" s="117" t="s">
        <v>387</v>
      </c>
      <c r="D89" s="117" t="s">
        <v>249</v>
      </c>
      <c r="E89" s="117" t="s">
        <v>647</v>
      </c>
      <c r="F89" s="117" t="s">
        <v>192</v>
      </c>
      <c r="G89" s="118" t="s">
        <v>255</v>
      </c>
      <c r="H89" s="69">
        <v>4365.0629910893085</v>
      </c>
      <c r="I89" s="66">
        <v>7800</v>
      </c>
      <c r="J89" s="66">
        <v>0</v>
      </c>
      <c r="K89" s="64">
        <v>340.47490999999997</v>
      </c>
      <c r="L89" s="24">
        <v>6.871725966716372E-5</v>
      </c>
      <c r="M89" s="32">
        <v>8.5450015528826728E-4</v>
      </c>
      <c r="N89" s="32">
        <v>3.9028442748917239E-4</v>
      </c>
      <c r="O89" s="14"/>
      <c r="P89" s="14"/>
      <c r="Q89" s="14"/>
      <c r="R89" s="14"/>
    </row>
    <row r="90" spans="1:18" x14ac:dyDescent="0.25">
      <c r="A90" s="16" t="s">
        <v>636</v>
      </c>
      <c r="B90" s="117" t="s">
        <v>637</v>
      </c>
      <c r="C90" s="117" t="s">
        <v>387</v>
      </c>
      <c r="D90" s="117" t="s">
        <v>249</v>
      </c>
      <c r="E90" s="117" t="s">
        <v>638</v>
      </c>
      <c r="F90" s="117" t="s">
        <v>234</v>
      </c>
      <c r="G90" s="118" t="s">
        <v>255</v>
      </c>
      <c r="H90" s="69">
        <v>484.12111887907855</v>
      </c>
      <c r="I90" s="66">
        <v>41100</v>
      </c>
      <c r="J90" s="66">
        <v>0</v>
      </c>
      <c r="K90" s="64">
        <v>198.97378</v>
      </c>
      <c r="L90" s="24">
        <v>1.6372900257134924E-4</v>
      </c>
      <c r="M90" s="32">
        <v>4.9937049960096483E-4</v>
      </c>
      <c r="N90" s="32">
        <v>2.2808249751106932E-4</v>
      </c>
      <c r="O90" s="14"/>
      <c r="P90" s="14"/>
      <c r="Q90" s="14"/>
      <c r="R90" s="14"/>
    </row>
    <row r="91" spans="1:18" x14ac:dyDescent="0.25">
      <c r="A91" s="16" t="s">
        <v>2059</v>
      </c>
      <c r="B91" s="117" t="s">
        <v>534</v>
      </c>
      <c r="C91" s="117" t="s">
        <v>387</v>
      </c>
      <c r="D91" s="117" t="s">
        <v>249</v>
      </c>
      <c r="E91" s="117" t="s">
        <v>535</v>
      </c>
      <c r="F91" s="117" t="s">
        <v>201</v>
      </c>
      <c r="G91" s="118" t="s">
        <v>255</v>
      </c>
      <c r="H91" s="69">
        <v>3233.9059125535164</v>
      </c>
      <c r="I91" s="66">
        <v>8890</v>
      </c>
      <c r="J91" s="66">
        <v>0</v>
      </c>
      <c r="K91" s="64">
        <v>287.49423999999999</v>
      </c>
      <c r="L91" s="24">
        <v>5.2258380976515465E-5</v>
      </c>
      <c r="M91" s="32">
        <v>7.215329691238699E-4</v>
      </c>
      <c r="N91" s="32">
        <v>3.29552990747056E-4</v>
      </c>
      <c r="O91" s="14"/>
      <c r="P91" s="14"/>
      <c r="Q91" s="14"/>
      <c r="R91" s="14"/>
    </row>
    <row r="92" spans="1:18" x14ac:dyDescent="0.25">
      <c r="A92" s="16" t="s">
        <v>639</v>
      </c>
      <c r="B92" s="117" t="s">
        <v>640</v>
      </c>
      <c r="C92" s="117" t="s">
        <v>387</v>
      </c>
      <c r="D92" s="117" t="s">
        <v>249</v>
      </c>
      <c r="E92" s="117" t="s">
        <v>641</v>
      </c>
      <c r="F92" s="117" t="s">
        <v>223</v>
      </c>
      <c r="G92" s="118" t="s">
        <v>255</v>
      </c>
      <c r="H92" s="69">
        <v>624230.20701200957</v>
      </c>
      <c r="I92" s="66">
        <v>156.1</v>
      </c>
      <c r="J92" s="66">
        <v>0</v>
      </c>
      <c r="K92" s="64">
        <v>974.42335000000003</v>
      </c>
      <c r="L92" s="24">
        <v>9.0470251147178806E-4</v>
      </c>
      <c r="M92" s="32">
        <v>2.4455396842355099E-3</v>
      </c>
      <c r="N92" s="32">
        <v>1.1169758713992508E-3</v>
      </c>
      <c r="O92" s="14"/>
      <c r="P92" s="14"/>
      <c r="Q92" s="14"/>
      <c r="R92" s="14"/>
    </row>
    <row r="93" spans="1:18" x14ac:dyDescent="0.25">
      <c r="A93" s="16" t="s">
        <v>693</v>
      </c>
      <c r="B93" s="117" t="s">
        <v>694</v>
      </c>
      <c r="C93" s="117" t="s">
        <v>387</v>
      </c>
      <c r="D93" s="117" t="s">
        <v>249</v>
      </c>
      <c r="E93" s="117" t="s">
        <v>695</v>
      </c>
      <c r="F93" s="117" t="s">
        <v>231</v>
      </c>
      <c r="G93" s="118" t="s">
        <v>255</v>
      </c>
      <c r="H93" s="69">
        <v>233151.12735963688</v>
      </c>
      <c r="I93" s="66">
        <v>363</v>
      </c>
      <c r="J93" s="66">
        <v>0</v>
      </c>
      <c r="K93" s="64">
        <v>846.33858999999995</v>
      </c>
      <c r="L93" s="24">
        <v>3.2811459153355116E-4</v>
      </c>
      <c r="M93" s="32">
        <v>2.1240814971695073E-3</v>
      </c>
      <c r="N93" s="32">
        <v>9.7015304904594414E-4</v>
      </c>
      <c r="O93" s="14"/>
      <c r="P93" s="14"/>
      <c r="Q93" s="14"/>
      <c r="R93" s="14"/>
    </row>
    <row r="94" spans="1:18" x14ac:dyDescent="0.25">
      <c r="A94" s="16" t="s">
        <v>2060</v>
      </c>
      <c r="B94" s="117" t="s">
        <v>700</v>
      </c>
      <c r="C94" s="117" t="s">
        <v>387</v>
      </c>
      <c r="D94" s="117" t="s">
        <v>249</v>
      </c>
      <c r="E94" s="117" t="s">
        <v>695</v>
      </c>
      <c r="F94" s="117" t="s">
        <v>231</v>
      </c>
      <c r="G94" s="118" t="s">
        <v>255</v>
      </c>
      <c r="H94" s="69">
        <v>74216.368833860499</v>
      </c>
      <c r="I94" s="66">
        <v>348.36196899999999</v>
      </c>
      <c r="J94" s="66">
        <v>0</v>
      </c>
      <c r="K94" s="64">
        <v>258.54160000000002</v>
      </c>
      <c r="L94" s="24">
        <v>1.0444501736190721E-4</v>
      </c>
      <c r="M94" s="32">
        <v>6.4886965488434114E-4</v>
      </c>
      <c r="N94" s="32">
        <v>2.9636474634249738E-4</v>
      </c>
      <c r="O94" s="14"/>
      <c r="P94" s="14"/>
      <c r="Q94" s="14"/>
      <c r="R94" s="14"/>
    </row>
    <row r="95" spans="1:18" x14ac:dyDescent="0.25">
      <c r="A95" s="16" t="s">
        <v>2060</v>
      </c>
      <c r="B95" s="117" t="s">
        <v>704</v>
      </c>
      <c r="C95" s="117" t="s">
        <v>387</v>
      </c>
      <c r="D95" s="117" t="s">
        <v>249</v>
      </c>
      <c r="E95" s="117" t="s">
        <v>695</v>
      </c>
      <c r="F95" s="117" t="s">
        <v>231</v>
      </c>
      <c r="G95" s="118" t="s">
        <v>255</v>
      </c>
      <c r="H95" s="69">
        <v>521135.07138515217</v>
      </c>
      <c r="I95" s="66">
        <v>346.18331000000001</v>
      </c>
      <c r="J95" s="66">
        <v>0</v>
      </c>
      <c r="K95" s="64">
        <v>1804.0826399999999</v>
      </c>
      <c r="L95" s="24">
        <v>7.3339564349432073E-4</v>
      </c>
      <c r="M95" s="32">
        <v>4.5277606389054256E-3</v>
      </c>
      <c r="N95" s="32">
        <v>2.0680095349626636E-3</v>
      </c>
      <c r="O95" s="14"/>
      <c r="P95" s="14"/>
      <c r="Q95" s="14"/>
      <c r="R95" s="14"/>
    </row>
    <row r="96" spans="1:18" x14ac:dyDescent="0.25">
      <c r="A96" s="16" t="s">
        <v>608</v>
      </c>
      <c r="B96" s="117" t="s">
        <v>609</v>
      </c>
      <c r="C96" s="117" t="s">
        <v>387</v>
      </c>
      <c r="D96" s="117" t="s">
        <v>249</v>
      </c>
      <c r="E96" s="117" t="s">
        <v>610</v>
      </c>
      <c r="F96" s="117" t="s">
        <v>203</v>
      </c>
      <c r="G96" s="118" t="s">
        <v>255</v>
      </c>
      <c r="H96" s="69">
        <v>13311.232866451392</v>
      </c>
      <c r="I96" s="66">
        <v>4494</v>
      </c>
      <c r="J96" s="66">
        <v>0</v>
      </c>
      <c r="K96" s="64">
        <v>598.20681000000002</v>
      </c>
      <c r="L96" s="24">
        <v>6.3764081845625272E-4</v>
      </c>
      <c r="M96" s="32">
        <v>1.5013376816503134E-3</v>
      </c>
      <c r="N96" s="32">
        <v>6.8572101938722634E-4</v>
      </c>
      <c r="O96" s="14"/>
      <c r="P96" s="14"/>
      <c r="Q96" s="14"/>
      <c r="R96" s="14"/>
    </row>
    <row r="97" spans="1:18" x14ac:dyDescent="0.25">
      <c r="A97" s="16" t="s">
        <v>2061</v>
      </c>
      <c r="B97" s="117" t="s">
        <v>566</v>
      </c>
      <c r="C97" s="117" t="s">
        <v>387</v>
      </c>
      <c r="D97" s="117" t="s">
        <v>249</v>
      </c>
      <c r="E97" s="117" t="s">
        <v>567</v>
      </c>
      <c r="F97" s="117" t="s">
        <v>224</v>
      </c>
      <c r="G97" s="118" t="s">
        <v>255</v>
      </c>
      <c r="H97" s="69">
        <v>32520.770462049939</v>
      </c>
      <c r="I97" s="66">
        <v>4892</v>
      </c>
      <c r="J97" s="66">
        <v>0</v>
      </c>
      <c r="K97" s="64">
        <v>1590.9160900000002</v>
      </c>
      <c r="L97" s="24">
        <v>4.401246814727211E-4</v>
      </c>
      <c r="M97" s="32">
        <v>3.9927701161756772E-3</v>
      </c>
      <c r="N97" s="32">
        <v>1.8236579469804773E-3</v>
      </c>
      <c r="O97" s="14"/>
      <c r="P97" s="14"/>
      <c r="Q97" s="14"/>
      <c r="R97" s="14"/>
    </row>
    <row r="98" spans="1:18" x14ac:dyDescent="0.25">
      <c r="A98" s="16" t="s">
        <v>2062</v>
      </c>
      <c r="B98" s="117" t="s">
        <v>656</v>
      </c>
      <c r="C98" s="117" t="s">
        <v>387</v>
      </c>
      <c r="D98" s="117" t="s">
        <v>249</v>
      </c>
      <c r="E98" s="117" t="s">
        <v>657</v>
      </c>
      <c r="F98" s="117" t="s">
        <v>193</v>
      </c>
      <c r="G98" s="118" t="s">
        <v>255</v>
      </c>
      <c r="H98" s="69">
        <v>4305.4843354068489</v>
      </c>
      <c r="I98" s="66">
        <v>10940</v>
      </c>
      <c r="J98" s="66">
        <v>0</v>
      </c>
      <c r="K98" s="64">
        <v>471.01999000000001</v>
      </c>
      <c r="L98" s="24">
        <v>7.798996010618065E-5</v>
      </c>
      <c r="M98" s="32">
        <v>1.1821330816972038E-3</v>
      </c>
      <c r="N98" s="32">
        <v>5.3992750048191724E-4</v>
      </c>
      <c r="O98" s="14"/>
      <c r="P98" s="14"/>
      <c r="Q98" s="14"/>
      <c r="R98" s="14"/>
    </row>
    <row r="99" spans="1:18" x14ac:dyDescent="0.25">
      <c r="A99" s="16" t="s">
        <v>576</v>
      </c>
      <c r="B99" s="117" t="s">
        <v>577</v>
      </c>
      <c r="C99" s="117" t="s">
        <v>387</v>
      </c>
      <c r="D99" s="117" t="s">
        <v>249</v>
      </c>
      <c r="E99" s="117" t="s">
        <v>578</v>
      </c>
      <c r="F99" s="117" t="s">
        <v>223</v>
      </c>
      <c r="G99" s="118" t="s">
        <v>255</v>
      </c>
      <c r="H99" s="69">
        <v>75891.564202046924</v>
      </c>
      <c r="I99" s="66">
        <v>790</v>
      </c>
      <c r="J99" s="66">
        <v>0</v>
      </c>
      <c r="K99" s="64">
        <v>599.54336000000001</v>
      </c>
      <c r="L99" s="24">
        <v>3.4695818533722351E-4</v>
      </c>
      <c r="M99" s="32">
        <v>1.5046920615150454E-3</v>
      </c>
      <c r="N99" s="32">
        <v>6.8725309895091764E-4</v>
      </c>
      <c r="O99" s="14"/>
      <c r="P99" s="14"/>
      <c r="Q99" s="14"/>
      <c r="R99" s="14"/>
    </row>
    <row r="100" spans="1:18" x14ac:dyDescent="0.25">
      <c r="A100" s="16" t="s">
        <v>648</v>
      </c>
      <c r="B100" s="117" t="s">
        <v>649</v>
      </c>
      <c r="C100" s="117" t="s">
        <v>387</v>
      </c>
      <c r="D100" s="117" t="s">
        <v>249</v>
      </c>
      <c r="E100" s="117" t="s">
        <v>578</v>
      </c>
      <c r="F100" s="117" t="s">
        <v>223</v>
      </c>
      <c r="G100" s="118" t="s">
        <v>255</v>
      </c>
      <c r="H100" s="69">
        <v>170842.65927375984</v>
      </c>
      <c r="I100" s="66">
        <v>790</v>
      </c>
      <c r="J100" s="66">
        <v>0</v>
      </c>
      <c r="K100" s="64">
        <v>1349.6570099999999</v>
      </c>
      <c r="L100" s="24">
        <v>7.8105201365991268E-4</v>
      </c>
      <c r="M100" s="32">
        <v>3.387274923226791E-3</v>
      </c>
      <c r="N100" s="32">
        <v>1.5471040537307088E-3</v>
      </c>
      <c r="O100" s="14"/>
      <c r="P100" s="14"/>
      <c r="Q100" s="14"/>
      <c r="R100" s="14"/>
    </row>
    <row r="101" spans="1:18" x14ac:dyDescent="0.25">
      <c r="A101" s="16" t="s">
        <v>585</v>
      </c>
      <c r="B101" s="117" t="s">
        <v>586</v>
      </c>
      <c r="C101" s="117" t="s">
        <v>387</v>
      </c>
      <c r="D101" s="117" t="s">
        <v>249</v>
      </c>
      <c r="E101" s="117" t="s">
        <v>587</v>
      </c>
      <c r="F101" s="117" t="s">
        <v>206</v>
      </c>
      <c r="G101" s="118" t="s">
        <v>255</v>
      </c>
      <c r="H101" s="69">
        <v>50343.26920491668</v>
      </c>
      <c r="I101" s="66">
        <v>1232</v>
      </c>
      <c r="J101" s="66">
        <v>0</v>
      </c>
      <c r="K101" s="64">
        <v>620.22907999999995</v>
      </c>
      <c r="L101" s="24">
        <v>3.0448910333610857E-4</v>
      </c>
      <c r="M101" s="32">
        <v>1.5566076371803701E-3</v>
      </c>
      <c r="N101" s="32">
        <v>7.1096502059413451E-4</v>
      </c>
      <c r="O101" s="14"/>
      <c r="P101" s="14"/>
      <c r="Q101" s="14"/>
      <c r="R101" s="14"/>
    </row>
    <row r="102" spans="1:18" x14ac:dyDescent="0.25">
      <c r="A102" s="16" t="s">
        <v>614</v>
      </c>
      <c r="B102" s="117" t="s">
        <v>615</v>
      </c>
      <c r="C102" s="117" t="s">
        <v>387</v>
      </c>
      <c r="D102" s="117" t="s">
        <v>249</v>
      </c>
      <c r="E102" s="117" t="s">
        <v>616</v>
      </c>
      <c r="F102" s="117" t="s">
        <v>228</v>
      </c>
      <c r="G102" s="118" t="s">
        <v>255</v>
      </c>
      <c r="H102" s="69">
        <v>7039.5638106051838</v>
      </c>
      <c r="I102" s="66">
        <v>42230</v>
      </c>
      <c r="J102" s="66">
        <v>0</v>
      </c>
      <c r="K102" s="64">
        <v>2972.8077999999996</v>
      </c>
      <c r="L102" s="24">
        <v>1.0996978159655997E-3</v>
      </c>
      <c r="M102" s="32">
        <v>7.4609454386585262E-3</v>
      </c>
      <c r="N102" s="32">
        <v>3.4077124515822501E-3</v>
      </c>
      <c r="O102" s="14"/>
      <c r="P102" s="14"/>
      <c r="Q102" s="14"/>
      <c r="R102" s="14"/>
    </row>
    <row r="103" spans="1:18" x14ac:dyDescent="0.25">
      <c r="A103" s="16" t="s">
        <v>531</v>
      </c>
      <c r="B103" s="117" t="s">
        <v>532</v>
      </c>
      <c r="C103" s="117" t="s">
        <v>387</v>
      </c>
      <c r="D103" s="117" t="s">
        <v>249</v>
      </c>
      <c r="E103" s="117" t="s">
        <v>533</v>
      </c>
      <c r="F103" s="117" t="s">
        <v>200</v>
      </c>
      <c r="G103" s="118" t="s">
        <v>255</v>
      </c>
      <c r="H103" s="69">
        <v>14607.590742528377</v>
      </c>
      <c r="I103" s="66">
        <v>17300</v>
      </c>
      <c r="J103" s="66">
        <v>0</v>
      </c>
      <c r="K103" s="64">
        <v>2527.1132000000002</v>
      </c>
      <c r="L103" s="24">
        <v>4.1203111369219264E-4</v>
      </c>
      <c r="M103" s="32">
        <v>6.342372252425385E-3</v>
      </c>
      <c r="N103" s="32">
        <v>2.896815299730399E-3</v>
      </c>
      <c r="O103" s="14"/>
      <c r="P103" s="14"/>
      <c r="Q103" s="14"/>
      <c r="R103" s="14"/>
    </row>
    <row r="104" spans="1:18" x14ac:dyDescent="0.25">
      <c r="A104" s="16" t="s">
        <v>2063</v>
      </c>
      <c r="B104" s="117" t="s">
        <v>555</v>
      </c>
      <c r="C104" s="117" t="s">
        <v>387</v>
      </c>
      <c r="D104" s="117" t="s">
        <v>249</v>
      </c>
      <c r="E104" s="117" t="s">
        <v>556</v>
      </c>
      <c r="F104" s="117" t="s">
        <v>192</v>
      </c>
      <c r="G104" s="118" t="s">
        <v>255</v>
      </c>
      <c r="H104" s="69">
        <v>7011.3690669994749</v>
      </c>
      <c r="I104" s="66">
        <v>28100</v>
      </c>
      <c r="J104" s="66">
        <v>0</v>
      </c>
      <c r="K104" s="64">
        <v>1970.19471</v>
      </c>
      <c r="L104" s="24">
        <v>4.5728307195346218E-4</v>
      </c>
      <c r="M104" s="32">
        <v>4.9446571133336158E-3</v>
      </c>
      <c r="N104" s="32">
        <v>2.2584228436525501E-3</v>
      </c>
      <c r="O104" s="14"/>
      <c r="P104" s="14"/>
      <c r="Q104" s="14"/>
      <c r="R104" s="14"/>
    </row>
    <row r="105" spans="1:18" x14ac:dyDescent="0.25">
      <c r="A105" s="16" t="s">
        <v>2064</v>
      </c>
      <c r="B105" s="117" t="s">
        <v>606</v>
      </c>
      <c r="C105" s="117" t="s">
        <v>387</v>
      </c>
      <c r="D105" s="117" t="s">
        <v>249</v>
      </c>
      <c r="E105" s="117" t="s">
        <v>607</v>
      </c>
      <c r="F105" s="117" t="s">
        <v>225</v>
      </c>
      <c r="G105" s="118" t="s">
        <v>255</v>
      </c>
      <c r="H105" s="69">
        <v>8433.5798156551191</v>
      </c>
      <c r="I105" s="66">
        <v>31450</v>
      </c>
      <c r="J105" s="66">
        <v>0</v>
      </c>
      <c r="K105" s="64">
        <v>2652.36085</v>
      </c>
      <c r="L105" s="24">
        <v>7.9320870937037581E-4</v>
      </c>
      <c r="M105" s="32">
        <v>6.6567100589160029E-3</v>
      </c>
      <c r="N105" s="32">
        <v>3.0403859592383611E-3</v>
      </c>
      <c r="O105" s="14"/>
      <c r="P105" s="14"/>
      <c r="Q105" s="14"/>
      <c r="R105" s="14"/>
    </row>
    <row r="106" spans="1:18" x14ac:dyDescent="0.25">
      <c r="A106" s="16" t="s">
        <v>528</v>
      </c>
      <c r="B106" s="117" t="s">
        <v>529</v>
      </c>
      <c r="C106" s="117" t="s">
        <v>387</v>
      </c>
      <c r="D106" s="117" t="s">
        <v>249</v>
      </c>
      <c r="E106" s="117" t="s">
        <v>530</v>
      </c>
      <c r="F106" s="117" t="s">
        <v>212</v>
      </c>
      <c r="G106" s="118" t="s">
        <v>255</v>
      </c>
      <c r="H106" s="69">
        <v>4107.7380736186851</v>
      </c>
      <c r="I106" s="66">
        <v>15780.000000000002</v>
      </c>
      <c r="J106" s="66">
        <v>0</v>
      </c>
      <c r="K106" s="64">
        <v>648.20106999999996</v>
      </c>
      <c r="L106" s="24">
        <v>4.3022176723902502E-4</v>
      </c>
      <c r="M106" s="32">
        <v>1.6268097845242723E-3</v>
      </c>
      <c r="N106" s="32">
        <v>7.4302915155427735E-4</v>
      </c>
      <c r="O106" s="14"/>
      <c r="P106" s="14"/>
      <c r="Q106" s="14"/>
      <c r="R106" s="14"/>
    </row>
    <row r="107" spans="1:18" x14ac:dyDescent="0.25">
      <c r="A107" s="16" t="s">
        <v>658</v>
      </c>
      <c r="B107" s="117" t="s">
        <v>659</v>
      </c>
      <c r="C107" s="117" t="s">
        <v>387</v>
      </c>
      <c r="D107" s="117" t="s">
        <v>249</v>
      </c>
      <c r="E107" s="117" t="s">
        <v>660</v>
      </c>
      <c r="F107" s="117" t="s">
        <v>193</v>
      </c>
      <c r="G107" s="118" t="s">
        <v>255</v>
      </c>
      <c r="H107" s="69">
        <v>2206.120652280174</v>
      </c>
      <c r="I107" s="66">
        <v>11690</v>
      </c>
      <c r="J107" s="66">
        <v>0</v>
      </c>
      <c r="K107" s="64">
        <v>257.89550000000003</v>
      </c>
      <c r="L107" s="24">
        <v>4.6899333859249788E-5</v>
      </c>
      <c r="M107" s="32">
        <v>6.4724811821859464E-4</v>
      </c>
      <c r="N107" s="32">
        <v>2.9562412563537756E-4</v>
      </c>
      <c r="O107" s="14"/>
      <c r="P107" s="14"/>
      <c r="Q107" s="14"/>
      <c r="R107" s="14"/>
    </row>
    <row r="108" spans="1:18" x14ac:dyDescent="0.25">
      <c r="A108" s="16" t="s">
        <v>671</v>
      </c>
      <c r="B108" s="117" t="s">
        <v>672</v>
      </c>
      <c r="C108" s="117" t="s">
        <v>387</v>
      </c>
      <c r="D108" s="117" t="s">
        <v>249</v>
      </c>
      <c r="E108" s="117" t="s">
        <v>673</v>
      </c>
      <c r="F108" s="117" t="s">
        <v>226</v>
      </c>
      <c r="G108" s="118" t="s">
        <v>255</v>
      </c>
      <c r="H108" s="69">
        <v>12230.630343985869</v>
      </c>
      <c r="I108" s="66">
        <v>8450</v>
      </c>
      <c r="J108" s="66">
        <v>0</v>
      </c>
      <c r="K108" s="64">
        <v>1033.4882600000001</v>
      </c>
      <c r="L108" s="24">
        <v>5.8051597112615246E-4</v>
      </c>
      <c r="M108" s="32">
        <v>2.5937766711168269E-3</v>
      </c>
      <c r="N108" s="32">
        <v>1.1846816373954868E-3</v>
      </c>
      <c r="O108" s="14"/>
      <c r="P108" s="14"/>
      <c r="Q108" s="14"/>
      <c r="R108" s="14"/>
    </row>
    <row r="109" spans="1:18" x14ac:dyDescent="0.25">
      <c r="A109" s="16" t="s">
        <v>2065</v>
      </c>
      <c r="B109" s="117" t="s">
        <v>628</v>
      </c>
      <c r="C109" s="117" t="s">
        <v>387</v>
      </c>
      <c r="D109" s="117" t="s">
        <v>249</v>
      </c>
      <c r="E109" s="117" t="s">
        <v>629</v>
      </c>
      <c r="F109" s="117" t="s">
        <v>231</v>
      </c>
      <c r="G109" s="118" t="s">
        <v>255</v>
      </c>
      <c r="H109" s="69">
        <v>150649.27211313703</v>
      </c>
      <c r="I109" s="66">
        <v>794.8</v>
      </c>
      <c r="J109" s="66">
        <v>0</v>
      </c>
      <c r="K109" s="64">
        <v>1197.36041</v>
      </c>
      <c r="L109" s="24">
        <v>8.4766397625769244E-4</v>
      </c>
      <c r="M109" s="32">
        <v>3.0050515507325441E-3</v>
      </c>
      <c r="N109" s="32">
        <v>1.3725273386959724E-3</v>
      </c>
      <c r="O109" s="14"/>
      <c r="P109" s="14"/>
      <c r="Q109" s="14"/>
      <c r="R109" s="14"/>
    </row>
    <row r="110" spans="1:18" x14ac:dyDescent="0.25">
      <c r="A110" s="16" t="s">
        <v>690</v>
      </c>
      <c r="B110" s="117" t="s">
        <v>691</v>
      </c>
      <c r="C110" s="117" t="s">
        <v>387</v>
      </c>
      <c r="D110" s="117" t="s">
        <v>249</v>
      </c>
      <c r="E110" s="117" t="s">
        <v>629</v>
      </c>
      <c r="F110" s="117" t="s">
        <v>231</v>
      </c>
      <c r="G110" s="118" t="s">
        <v>255</v>
      </c>
      <c r="H110" s="69">
        <v>46768.532047385452</v>
      </c>
      <c r="I110" s="66">
        <v>709.32667500000002</v>
      </c>
      <c r="J110" s="66">
        <v>0</v>
      </c>
      <c r="K110" s="64">
        <v>331.74167</v>
      </c>
      <c r="L110" s="24">
        <v>2.6315427404952595E-4</v>
      </c>
      <c r="M110" s="32">
        <v>8.325820793390888E-4</v>
      </c>
      <c r="N110" s="32">
        <v>3.8027356479880401E-4</v>
      </c>
      <c r="O110" s="14"/>
      <c r="P110" s="14"/>
      <c r="Q110" s="14"/>
      <c r="R110" s="14"/>
    </row>
    <row r="111" spans="1:18" x14ac:dyDescent="0.25">
      <c r="A111" s="16" t="s">
        <v>684</v>
      </c>
      <c r="B111" s="117" t="s">
        <v>685</v>
      </c>
      <c r="C111" s="117" t="s">
        <v>387</v>
      </c>
      <c r="D111" s="117" t="s">
        <v>249</v>
      </c>
      <c r="E111" s="117" t="s">
        <v>686</v>
      </c>
      <c r="F111" s="117" t="s">
        <v>203</v>
      </c>
      <c r="G111" s="118" t="s">
        <v>255</v>
      </c>
      <c r="H111" s="69">
        <v>6000.8480762704812</v>
      </c>
      <c r="I111" s="66">
        <v>11980</v>
      </c>
      <c r="J111" s="66">
        <v>0</v>
      </c>
      <c r="K111" s="64">
        <v>718.90160000000003</v>
      </c>
      <c r="L111" s="24">
        <v>4.9173804885026024E-4</v>
      </c>
      <c r="M111" s="32">
        <v>1.8042490380186422E-3</v>
      </c>
      <c r="N111" s="32">
        <v>8.2407276171113473E-4</v>
      </c>
      <c r="O111" s="14"/>
      <c r="P111" s="14"/>
      <c r="Q111" s="14"/>
      <c r="R111" s="14"/>
    </row>
    <row r="112" spans="1:18" x14ac:dyDescent="0.25">
      <c r="A112" s="16" t="s">
        <v>2066</v>
      </c>
      <c r="B112" s="117" t="s">
        <v>591</v>
      </c>
      <c r="C112" s="117" t="s">
        <v>387</v>
      </c>
      <c r="D112" s="117" t="s">
        <v>249</v>
      </c>
      <c r="E112" s="117" t="s">
        <v>592</v>
      </c>
      <c r="F112" s="117" t="s">
        <v>197</v>
      </c>
      <c r="G112" s="118" t="s">
        <v>255</v>
      </c>
      <c r="H112" s="69">
        <v>423.90997447750175</v>
      </c>
      <c r="I112" s="66">
        <v>23500</v>
      </c>
      <c r="J112" s="66">
        <v>0</v>
      </c>
      <c r="K112" s="64">
        <v>99.618839999999992</v>
      </c>
      <c r="L112" s="24">
        <v>9.5769683212119062E-6</v>
      </c>
      <c r="M112" s="32">
        <v>2.5001640869700808E-4</v>
      </c>
      <c r="N112" s="32">
        <v>1.1419250228022812E-4</v>
      </c>
      <c r="O112" s="14"/>
      <c r="P112" s="14"/>
      <c r="Q112" s="14"/>
      <c r="R112" s="14"/>
    </row>
    <row r="113" spans="1:18" x14ac:dyDescent="0.25">
      <c r="A113" s="16" t="s">
        <v>2067</v>
      </c>
      <c r="B113" s="117" t="s">
        <v>581</v>
      </c>
      <c r="C113" s="117" t="s">
        <v>387</v>
      </c>
      <c r="D113" s="117" t="s">
        <v>249</v>
      </c>
      <c r="E113" s="117" t="s">
        <v>582</v>
      </c>
      <c r="F113" s="117" t="s">
        <v>203</v>
      </c>
      <c r="G113" s="118" t="s">
        <v>255</v>
      </c>
      <c r="H113" s="69">
        <v>25667.790823584277</v>
      </c>
      <c r="I113" s="66">
        <v>1630.9999999999998</v>
      </c>
      <c r="J113" s="66">
        <v>0</v>
      </c>
      <c r="K113" s="64">
        <v>418.64166999999998</v>
      </c>
      <c r="L113" s="24">
        <v>2.8063336742169785E-4</v>
      </c>
      <c r="M113" s="32">
        <v>1.0506776315034184E-3</v>
      </c>
      <c r="N113" s="32">
        <v>4.7988653407401164E-4</v>
      </c>
      <c r="O113" s="14"/>
      <c r="P113" s="14"/>
      <c r="Q113" s="14"/>
      <c r="R113" s="14"/>
    </row>
    <row r="114" spans="1:18" x14ac:dyDescent="0.25">
      <c r="A114" s="16" t="s">
        <v>542</v>
      </c>
      <c r="B114" s="117" t="s">
        <v>543</v>
      </c>
      <c r="C114" s="117" t="s">
        <v>387</v>
      </c>
      <c r="D114" s="117" t="s">
        <v>249</v>
      </c>
      <c r="E114" s="117" t="s">
        <v>544</v>
      </c>
      <c r="F114" s="117" t="s">
        <v>223</v>
      </c>
      <c r="G114" s="118" t="s">
        <v>255</v>
      </c>
      <c r="H114" s="69">
        <v>1.7371169046171999E-2</v>
      </c>
      <c r="I114" s="66">
        <v>21760</v>
      </c>
      <c r="J114" s="66">
        <v>0</v>
      </c>
      <c r="K114" s="64">
        <v>3.7799999999999999E-3</v>
      </c>
      <c r="L114" s="24">
        <v>1.423964008528454E-9</v>
      </c>
      <c r="M114" s="32">
        <v>9.4867800596221613E-9</v>
      </c>
      <c r="N114" s="32">
        <v>4.3329922193358438E-9</v>
      </c>
      <c r="O114" s="14"/>
      <c r="P114" s="14"/>
      <c r="Q114" s="14"/>
      <c r="R114" s="14"/>
    </row>
    <row r="115" spans="1:18" x14ac:dyDescent="0.25">
      <c r="A115" s="16" t="s">
        <v>557</v>
      </c>
      <c r="B115" s="117" t="s">
        <v>558</v>
      </c>
      <c r="C115" s="117" t="s">
        <v>387</v>
      </c>
      <c r="D115" s="117" t="s">
        <v>249</v>
      </c>
      <c r="E115" s="117" t="s">
        <v>559</v>
      </c>
      <c r="F115" s="117" t="s">
        <v>223</v>
      </c>
      <c r="G115" s="118" t="s">
        <v>255</v>
      </c>
      <c r="H115" s="69">
        <v>10023.832661527485</v>
      </c>
      <c r="I115" s="66">
        <v>1555</v>
      </c>
      <c r="J115" s="66">
        <v>0</v>
      </c>
      <c r="K115" s="64">
        <v>155.8706</v>
      </c>
      <c r="L115" s="24">
        <v>5.1598923956728608E-5</v>
      </c>
      <c r="M115" s="32">
        <v>3.9119314813792122E-4</v>
      </c>
      <c r="N115" s="32">
        <v>1.7867357064106073E-4</v>
      </c>
      <c r="O115" s="14"/>
      <c r="P115" s="14"/>
      <c r="Q115" s="14"/>
      <c r="R115" s="14"/>
    </row>
    <row r="116" spans="1:18" x14ac:dyDescent="0.25">
      <c r="A116" s="16" t="s">
        <v>664</v>
      </c>
      <c r="B116" s="117" t="s">
        <v>665</v>
      </c>
      <c r="C116" s="117" t="s">
        <v>387</v>
      </c>
      <c r="D116" s="117" t="s">
        <v>249</v>
      </c>
      <c r="E116" s="117" t="s">
        <v>666</v>
      </c>
      <c r="F116" s="117" t="s">
        <v>235</v>
      </c>
      <c r="G116" s="118" t="s">
        <v>255</v>
      </c>
      <c r="H116" s="69">
        <v>7713.1553881729942</v>
      </c>
      <c r="I116" s="66">
        <v>7500</v>
      </c>
      <c r="J116" s="66">
        <v>0</v>
      </c>
      <c r="K116" s="64">
        <v>578.48665000000005</v>
      </c>
      <c r="L116" s="24">
        <v>1.5922151409803468E-4</v>
      </c>
      <c r="M116" s="32">
        <v>1.4518454010522819E-3</v>
      </c>
      <c r="N116" s="32">
        <v>6.6311591360837508E-4</v>
      </c>
      <c r="O116" s="14"/>
      <c r="P116" s="14"/>
      <c r="Q116" s="14"/>
      <c r="R116" s="14"/>
    </row>
    <row r="117" spans="1:18" x14ac:dyDescent="0.25">
      <c r="A117" s="16" t="s">
        <v>552</v>
      </c>
      <c r="B117" s="117" t="s">
        <v>553</v>
      </c>
      <c r="C117" s="117" t="s">
        <v>387</v>
      </c>
      <c r="D117" s="117" t="s">
        <v>249</v>
      </c>
      <c r="E117" s="117" t="s">
        <v>554</v>
      </c>
      <c r="F117" s="117" t="s">
        <v>215</v>
      </c>
      <c r="G117" s="118" t="s">
        <v>255</v>
      </c>
      <c r="H117" s="69">
        <v>86393.335627931418</v>
      </c>
      <c r="I117" s="66">
        <v>317.89999999999998</v>
      </c>
      <c r="J117" s="66">
        <v>0</v>
      </c>
      <c r="K117" s="64">
        <v>274.64440999999999</v>
      </c>
      <c r="L117" s="24">
        <v>7.687121066807015E-5</v>
      </c>
      <c r="M117" s="32">
        <v>6.8928336303563319E-4</v>
      </c>
      <c r="N117" s="32">
        <v>3.1482330465981045E-4</v>
      </c>
      <c r="O117" s="14"/>
      <c r="P117" s="14"/>
      <c r="Q117" s="14"/>
      <c r="R117" s="14"/>
    </row>
    <row r="118" spans="1:18" x14ac:dyDescent="0.25">
      <c r="A118" s="16" t="s">
        <v>545</v>
      </c>
      <c r="B118" s="117" t="s">
        <v>546</v>
      </c>
      <c r="C118" s="117" t="s">
        <v>387</v>
      </c>
      <c r="D118" s="117" t="s">
        <v>249</v>
      </c>
      <c r="E118" s="117" t="s">
        <v>547</v>
      </c>
      <c r="F118" s="117" t="s">
        <v>235</v>
      </c>
      <c r="G118" s="118" t="s">
        <v>255</v>
      </c>
      <c r="H118" s="69">
        <v>5448.7121493567765</v>
      </c>
      <c r="I118" s="66">
        <v>21820</v>
      </c>
      <c r="J118" s="66">
        <v>0</v>
      </c>
      <c r="K118" s="64">
        <v>1188.9089899999999</v>
      </c>
      <c r="L118" s="24">
        <v>3.9553405103484742E-4</v>
      </c>
      <c r="M118" s="32">
        <v>2.983840766941144E-3</v>
      </c>
      <c r="N118" s="32">
        <v>1.3628395246477346E-3</v>
      </c>
      <c r="O118" s="14"/>
      <c r="P118" s="14"/>
      <c r="Q118" s="14"/>
      <c r="R118" s="14"/>
    </row>
    <row r="119" spans="1:18" x14ac:dyDescent="0.25">
      <c r="A119" s="16" t="s">
        <v>687</v>
      </c>
      <c r="B119" s="117" t="s">
        <v>688</v>
      </c>
      <c r="C119" s="117" t="s">
        <v>387</v>
      </c>
      <c r="D119" s="117" t="s">
        <v>249</v>
      </c>
      <c r="E119" s="117" t="s">
        <v>689</v>
      </c>
      <c r="F119" s="117" t="s">
        <v>235</v>
      </c>
      <c r="G119" s="118" t="s">
        <v>255</v>
      </c>
      <c r="H119" s="69">
        <v>198226.73478337779</v>
      </c>
      <c r="I119" s="66">
        <v>1769.0000000000002</v>
      </c>
      <c r="J119" s="66">
        <v>0</v>
      </c>
      <c r="K119" s="64">
        <v>3506.63094</v>
      </c>
      <c r="L119" s="24">
        <v>7.4615131587165123E-4</v>
      </c>
      <c r="M119" s="32">
        <v>8.8006974809645821E-3</v>
      </c>
      <c r="N119" s="32">
        <v>4.0196308410323641E-3</v>
      </c>
      <c r="O119" s="14"/>
      <c r="P119" s="14"/>
      <c r="Q119" s="14"/>
      <c r="R119" s="14"/>
    </row>
    <row r="120" spans="1:18" x14ac:dyDescent="0.25">
      <c r="A120" s="16" t="s">
        <v>674</v>
      </c>
      <c r="B120" s="117" t="s">
        <v>675</v>
      </c>
      <c r="C120" s="117" t="s">
        <v>387</v>
      </c>
      <c r="D120" s="117" t="s">
        <v>249</v>
      </c>
      <c r="E120" s="117" t="s">
        <v>676</v>
      </c>
      <c r="F120" s="117" t="s">
        <v>208</v>
      </c>
      <c r="G120" s="118" t="s">
        <v>255</v>
      </c>
      <c r="H120" s="69">
        <v>13869.604597638081</v>
      </c>
      <c r="I120" s="66">
        <v>864</v>
      </c>
      <c r="J120" s="66">
        <v>0</v>
      </c>
      <c r="K120" s="64">
        <v>119.83338000000001</v>
      </c>
      <c r="L120" s="24">
        <v>1.3857856461244497E-4</v>
      </c>
      <c r="M120" s="32">
        <v>3.007494496987104E-4</v>
      </c>
      <c r="N120" s="32">
        <v>1.3736431300442211E-4</v>
      </c>
      <c r="O120" s="14"/>
      <c r="P120" s="14"/>
      <c r="Q120" s="14"/>
      <c r="R120" s="14"/>
    </row>
    <row r="121" spans="1:18" s="119" customFormat="1" x14ac:dyDescent="0.25">
      <c r="A121" s="92" t="s">
        <v>709</v>
      </c>
      <c r="B121" s="131" t="s">
        <v>249</v>
      </c>
      <c r="C121" s="131" t="s">
        <v>249</v>
      </c>
      <c r="D121" s="131" t="s">
        <v>249</v>
      </c>
      <c r="E121" s="131" t="s">
        <v>249</v>
      </c>
      <c r="F121" s="131" t="s">
        <v>249</v>
      </c>
      <c r="G121" s="132" t="s">
        <v>249</v>
      </c>
      <c r="H121" s="135" t="s">
        <v>249</v>
      </c>
      <c r="I121" s="122" t="s">
        <v>249</v>
      </c>
      <c r="J121" s="122" t="s">
        <v>249</v>
      </c>
      <c r="K121" s="152">
        <v>18221.079540099996</v>
      </c>
      <c r="L121" s="137"/>
      <c r="M121" s="121">
        <v>4.5729993133812173E-2</v>
      </c>
      <c r="N121" s="121">
        <v>2.0886718485490164E-2</v>
      </c>
    </row>
    <row r="122" spans="1:18" x14ac:dyDescent="0.25">
      <c r="A122" s="16" t="s">
        <v>721</v>
      </c>
      <c r="B122" s="117" t="s">
        <v>722</v>
      </c>
      <c r="C122" s="117" t="s">
        <v>387</v>
      </c>
      <c r="D122" s="117" t="s">
        <v>249</v>
      </c>
      <c r="E122" s="117" t="s">
        <v>723</v>
      </c>
      <c r="F122" s="117" t="s">
        <v>192</v>
      </c>
      <c r="G122" s="118" t="s">
        <v>255</v>
      </c>
      <c r="H122" s="69">
        <v>12113.771371910134</v>
      </c>
      <c r="I122" s="66">
        <v>738.5</v>
      </c>
      <c r="J122" s="66">
        <v>0</v>
      </c>
      <c r="K122" s="64">
        <v>89.4602</v>
      </c>
      <c r="L122" s="24">
        <v>2.7332956353540015E-4</v>
      </c>
      <c r="M122" s="32">
        <v>2.2452096335709275E-4</v>
      </c>
      <c r="N122" s="32">
        <v>1.0254771178312923E-4</v>
      </c>
      <c r="O122" s="14"/>
      <c r="P122" s="14"/>
      <c r="Q122" s="14"/>
      <c r="R122" s="14"/>
    </row>
    <row r="123" spans="1:18" x14ac:dyDescent="0.25">
      <c r="A123" s="16" t="s">
        <v>2068</v>
      </c>
      <c r="B123" s="117" t="s">
        <v>816</v>
      </c>
      <c r="C123" s="117" t="s">
        <v>387</v>
      </c>
      <c r="D123" s="117" t="s">
        <v>249</v>
      </c>
      <c r="E123" s="117" t="s">
        <v>817</v>
      </c>
      <c r="F123" s="117" t="s">
        <v>224</v>
      </c>
      <c r="G123" s="118" t="s">
        <v>255</v>
      </c>
      <c r="H123" s="69">
        <v>154097.4848019694</v>
      </c>
      <c r="I123" s="66">
        <v>435.20000000000005</v>
      </c>
      <c r="J123" s="66">
        <v>0</v>
      </c>
      <c r="K123" s="64">
        <v>670.63225</v>
      </c>
      <c r="L123" s="24">
        <v>9.3474250321376451E-4</v>
      </c>
      <c r="M123" s="32">
        <v>1.6831059938199856E-3</v>
      </c>
      <c r="N123" s="32">
        <v>7.6874188393801337E-4</v>
      </c>
      <c r="O123" s="14"/>
      <c r="P123" s="14"/>
      <c r="Q123" s="14"/>
      <c r="R123" s="14"/>
    </row>
    <row r="124" spans="1:18" x14ac:dyDescent="0.25">
      <c r="A124" s="16" t="s">
        <v>759</v>
      </c>
      <c r="B124" s="117" t="s">
        <v>760</v>
      </c>
      <c r="C124" s="117" t="s">
        <v>387</v>
      </c>
      <c r="D124" s="117" t="s">
        <v>249</v>
      </c>
      <c r="E124" s="117" t="s">
        <v>761</v>
      </c>
      <c r="F124" s="117" t="s">
        <v>204</v>
      </c>
      <c r="G124" s="118" t="s">
        <v>255</v>
      </c>
      <c r="H124" s="69">
        <v>38267.64313857357</v>
      </c>
      <c r="I124" s="66">
        <v>426.79999999999995</v>
      </c>
      <c r="J124" s="66">
        <v>0</v>
      </c>
      <c r="K124" s="64">
        <v>163.32629999999997</v>
      </c>
      <c r="L124" s="24">
        <v>6.9562963965008075E-4</v>
      </c>
      <c r="M124" s="32">
        <v>4.0990494339996486E-4</v>
      </c>
      <c r="N124" s="32">
        <v>1.8721999659071739E-4</v>
      </c>
      <c r="O124" s="14"/>
      <c r="P124" s="14"/>
      <c r="Q124" s="14"/>
      <c r="R124" s="14"/>
    </row>
    <row r="125" spans="1:18" x14ac:dyDescent="0.25">
      <c r="A125" s="16" t="s">
        <v>733</v>
      </c>
      <c r="B125" s="117" t="s">
        <v>734</v>
      </c>
      <c r="C125" s="117" t="s">
        <v>387</v>
      </c>
      <c r="D125" s="117" t="s">
        <v>249</v>
      </c>
      <c r="E125" s="117" t="s">
        <v>735</v>
      </c>
      <c r="F125" s="117" t="s">
        <v>204</v>
      </c>
      <c r="G125" s="118" t="s">
        <v>255</v>
      </c>
      <c r="H125" s="69">
        <v>12846.683264697667</v>
      </c>
      <c r="I125" s="66">
        <v>2113</v>
      </c>
      <c r="J125" s="66">
        <v>0</v>
      </c>
      <c r="K125" s="64">
        <v>271.45042000000001</v>
      </c>
      <c r="L125" s="24">
        <v>7.6027803324046081E-4</v>
      </c>
      <c r="M125" s="32">
        <v>6.8126730995557167E-4</v>
      </c>
      <c r="N125" s="32">
        <v>3.1116205232683782E-4</v>
      </c>
      <c r="O125" s="14"/>
      <c r="P125" s="14"/>
      <c r="Q125" s="14"/>
      <c r="R125" s="14"/>
    </row>
    <row r="126" spans="1:18" x14ac:dyDescent="0.25">
      <c r="A126" s="16" t="s">
        <v>2069</v>
      </c>
      <c r="B126" s="117" t="s">
        <v>804</v>
      </c>
      <c r="C126" s="117" t="s">
        <v>387</v>
      </c>
      <c r="D126" s="117" t="s">
        <v>249</v>
      </c>
      <c r="E126" s="117" t="s">
        <v>805</v>
      </c>
      <c r="F126" s="117" t="s">
        <v>204</v>
      </c>
      <c r="G126" s="118" t="s">
        <v>255</v>
      </c>
      <c r="H126" s="69">
        <v>17989.404498379081</v>
      </c>
      <c r="I126" s="66">
        <v>1309</v>
      </c>
      <c r="J126" s="66">
        <v>0</v>
      </c>
      <c r="K126" s="64">
        <v>235.48129999999998</v>
      </c>
      <c r="L126" s="24">
        <v>8.0770735916608615E-4</v>
      </c>
      <c r="M126" s="32">
        <v>5.9099452414124447E-4</v>
      </c>
      <c r="N126" s="32">
        <v>2.6993085732780146E-4</v>
      </c>
      <c r="O126" s="14"/>
      <c r="P126" s="14"/>
      <c r="Q126" s="14"/>
      <c r="R126" s="14"/>
    </row>
    <row r="127" spans="1:18" x14ac:dyDescent="0.25">
      <c r="A127" s="16" t="s">
        <v>724</v>
      </c>
      <c r="B127" s="117" t="s">
        <v>725</v>
      </c>
      <c r="C127" s="117" t="s">
        <v>387</v>
      </c>
      <c r="D127" s="117" t="s">
        <v>249</v>
      </c>
      <c r="E127" s="117" t="s">
        <v>726</v>
      </c>
      <c r="F127" s="117" t="s">
        <v>201</v>
      </c>
      <c r="G127" s="118" t="s">
        <v>255</v>
      </c>
      <c r="H127" s="69">
        <v>5011.3150210659905</v>
      </c>
      <c r="I127" s="66">
        <v>1675</v>
      </c>
      <c r="J127" s="66">
        <v>0</v>
      </c>
      <c r="K127" s="64">
        <v>83.939530000000005</v>
      </c>
      <c r="L127" s="24">
        <v>2.7538026690402084E-4</v>
      </c>
      <c r="M127" s="32">
        <v>2.1066557127461807E-4</v>
      </c>
      <c r="N127" s="32">
        <v>9.6219399572673988E-5</v>
      </c>
      <c r="O127" s="14"/>
      <c r="P127" s="14"/>
      <c r="Q127" s="14"/>
      <c r="R127" s="14"/>
    </row>
    <row r="128" spans="1:18" x14ac:dyDescent="0.25">
      <c r="A128" s="16" t="s">
        <v>821</v>
      </c>
      <c r="B128" s="117" t="s">
        <v>822</v>
      </c>
      <c r="C128" s="117" t="s">
        <v>387</v>
      </c>
      <c r="D128" s="117" t="s">
        <v>249</v>
      </c>
      <c r="E128" s="117" t="s">
        <v>823</v>
      </c>
      <c r="F128" s="117" t="s">
        <v>203</v>
      </c>
      <c r="G128" s="118" t="s">
        <v>255</v>
      </c>
      <c r="H128" s="69">
        <v>13288.320739894083</v>
      </c>
      <c r="I128" s="66">
        <v>542.5</v>
      </c>
      <c r="J128" s="66">
        <v>0</v>
      </c>
      <c r="K128" s="64">
        <v>72.08914</v>
      </c>
      <c r="L128" s="24">
        <v>2.3382822859216074E-4</v>
      </c>
      <c r="M128" s="32">
        <v>1.8092428991198689E-4</v>
      </c>
      <c r="N128" s="32">
        <v>8.2635365798574696E-5</v>
      </c>
      <c r="O128" s="14"/>
      <c r="P128" s="14"/>
      <c r="Q128" s="14"/>
      <c r="R128" s="14"/>
    </row>
    <row r="129" spans="1:18" x14ac:dyDescent="0.25">
      <c r="A129" s="16" t="s">
        <v>768</v>
      </c>
      <c r="B129" s="117" t="s">
        <v>769</v>
      </c>
      <c r="C129" s="117" t="s">
        <v>387</v>
      </c>
      <c r="D129" s="117" t="s">
        <v>249</v>
      </c>
      <c r="E129" s="117" t="s">
        <v>770</v>
      </c>
      <c r="F129" s="117" t="s">
        <v>204</v>
      </c>
      <c r="G129" s="118" t="s">
        <v>255</v>
      </c>
      <c r="H129" s="69">
        <v>108761.14773854399</v>
      </c>
      <c r="I129" s="66">
        <v>363</v>
      </c>
      <c r="J129" s="66">
        <v>0</v>
      </c>
      <c r="K129" s="64">
        <v>394.80296999999996</v>
      </c>
      <c r="L129" s="24">
        <v>4.3025723912644301E-4</v>
      </c>
      <c r="M129" s="32">
        <v>9.9084892679248858E-4</v>
      </c>
      <c r="N129" s="32">
        <v>4.5256036962451916E-4</v>
      </c>
      <c r="O129" s="14"/>
      <c r="P129" s="14"/>
      <c r="Q129" s="14"/>
      <c r="R129" s="14"/>
    </row>
    <row r="130" spans="1:18" x14ac:dyDescent="0.25">
      <c r="A130" s="16" t="s">
        <v>830</v>
      </c>
      <c r="B130" s="117" t="s">
        <v>831</v>
      </c>
      <c r="C130" s="117" t="s">
        <v>387</v>
      </c>
      <c r="D130" s="117" t="s">
        <v>249</v>
      </c>
      <c r="E130" s="117" t="s">
        <v>832</v>
      </c>
      <c r="F130" s="117" t="s">
        <v>193</v>
      </c>
      <c r="G130" s="118" t="s">
        <v>255</v>
      </c>
      <c r="H130" s="69">
        <v>3752.065614471273</v>
      </c>
      <c r="I130" s="66">
        <v>825.4</v>
      </c>
      <c r="J130" s="66">
        <v>0</v>
      </c>
      <c r="K130" s="64">
        <v>30.969549999999998</v>
      </c>
      <c r="L130" s="24">
        <v>9.840546371757415E-5</v>
      </c>
      <c r="M130" s="32">
        <v>7.7725214125786118E-5</v>
      </c>
      <c r="N130" s="32">
        <v>3.5500216715960948E-5</v>
      </c>
      <c r="O130" s="14"/>
      <c r="P130" s="14"/>
      <c r="Q130" s="14"/>
      <c r="R130" s="14"/>
    </row>
    <row r="131" spans="1:18" x14ac:dyDescent="0.25">
      <c r="A131" s="16" t="s">
        <v>827</v>
      </c>
      <c r="B131" s="117" t="s">
        <v>828</v>
      </c>
      <c r="C131" s="117" t="s">
        <v>387</v>
      </c>
      <c r="D131" s="117" t="s">
        <v>249</v>
      </c>
      <c r="E131" s="117" t="s">
        <v>829</v>
      </c>
      <c r="F131" s="117" t="s">
        <v>231</v>
      </c>
      <c r="G131" s="118" t="s">
        <v>255</v>
      </c>
      <c r="H131" s="69">
        <v>4497.2620416765849</v>
      </c>
      <c r="I131" s="66">
        <v>5877</v>
      </c>
      <c r="J131" s="66">
        <v>0</v>
      </c>
      <c r="K131" s="64">
        <v>264.30409000000003</v>
      </c>
      <c r="L131" s="24">
        <v>3.4991109116777559E-4</v>
      </c>
      <c r="M131" s="32">
        <v>6.6333194991761415E-4</v>
      </c>
      <c r="N131" s="32">
        <v>3.0297025542556634E-4</v>
      </c>
      <c r="O131" s="14"/>
      <c r="P131" s="14"/>
      <c r="Q131" s="14"/>
      <c r="R131" s="14"/>
    </row>
    <row r="132" spans="1:18" x14ac:dyDescent="0.25">
      <c r="A132" s="16" t="s">
        <v>2070</v>
      </c>
      <c r="B132" s="117" t="s">
        <v>852</v>
      </c>
      <c r="C132" s="117" t="s">
        <v>387</v>
      </c>
      <c r="D132" s="117" t="s">
        <v>249</v>
      </c>
      <c r="E132" s="117" t="s">
        <v>853</v>
      </c>
      <c r="F132" s="117" t="s">
        <v>198</v>
      </c>
      <c r="G132" s="118" t="s">
        <v>255</v>
      </c>
      <c r="H132" s="69">
        <v>4659.588935194196</v>
      </c>
      <c r="I132" s="66">
        <v>6797.704514</v>
      </c>
      <c r="J132" s="66">
        <v>0</v>
      </c>
      <c r="K132" s="64">
        <v>316.74509</v>
      </c>
      <c r="L132" s="24">
        <v>4.109958801696836E-4</v>
      </c>
      <c r="M132" s="32">
        <v>7.9494470999873744E-4</v>
      </c>
      <c r="N132" s="32">
        <v>3.6308307155630466E-4</v>
      </c>
      <c r="O132" s="14"/>
      <c r="P132" s="14"/>
      <c r="Q132" s="14"/>
      <c r="R132" s="14"/>
    </row>
    <row r="133" spans="1:18" x14ac:dyDescent="0.25">
      <c r="A133" s="16" t="s">
        <v>713</v>
      </c>
      <c r="B133" s="117" t="s">
        <v>714</v>
      </c>
      <c r="C133" s="117" t="s">
        <v>387</v>
      </c>
      <c r="D133" s="117" t="s">
        <v>249</v>
      </c>
      <c r="E133" s="117" t="s">
        <v>715</v>
      </c>
      <c r="F133" s="117" t="s">
        <v>224</v>
      </c>
      <c r="G133" s="118" t="s">
        <v>255</v>
      </c>
      <c r="H133" s="69">
        <v>54245.163379484133</v>
      </c>
      <c r="I133" s="66">
        <v>689.9</v>
      </c>
      <c r="J133" s="66">
        <v>0</v>
      </c>
      <c r="K133" s="64">
        <v>374.23738000000003</v>
      </c>
      <c r="L133" s="24">
        <v>8.662342472951541E-4</v>
      </c>
      <c r="M133" s="32">
        <v>9.3923484501302694E-4</v>
      </c>
      <c r="N133" s="32">
        <v>4.2898615230810364E-4</v>
      </c>
      <c r="O133" s="14"/>
      <c r="P133" s="14"/>
      <c r="Q133" s="14"/>
      <c r="R133" s="14"/>
    </row>
    <row r="134" spans="1:18" x14ac:dyDescent="0.25">
      <c r="A134" s="16" t="s">
        <v>810</v>
      </c>
      <c r="B134" s="117" t="s">
        <v>811</v>
      </c>
      <c r="C134" s="117" t="s">
        <v>387</v>
      </c>
      <c r="D134" s="117" t="s">
        <v>249</v>
      </c>
      <c r="E134" s="117" t="s">
        <v>812</v>
      </c>
      <c r="F134" s="117" t="s">
        <v>194</v>
      </c>
      <c r="G134" s="118" t="s">
        <v>255</v>
      </c>
      <c r="H134" s="69">
        <v>21339.091479698287</v>
      </c>
      <c r="I134" s="66">
        <v>5999</v>
      </c>
      <c r="J134" s="66">
        <v>0</v>
      </c>
      <c r="K134" s="64">
        <v>1280.1321</v>
      </c>
      <c r="L134" s="24">
        <v>8.6285739262096479E-4</v>
      </c>
      <c r="M134" s="32">
        <v>3.2127861587201707E-3</v>
      </c>
      <c r="N134" s="32">
        <v>1.4674080500058347E-3</v>
      </c>
      <c r="O134" s="14"/>
      <c r="P134" s="14"/>
      <c r="Q134" s="14"/>
      <c r="R134" s="14"/>
    </row>
    <row r="135" spans="1:18" x14ac:dyDescent="0.25">
      <c r="A135" s="16" t="s">
        <v>835</v>
      </c>
      <c r="B135" s="117" t="s">
        <v>836</v>
      </c>
      <c r="C135" s="117" t="s">
        <v>387</v>
      </c>
      <c r="D135" s="117" t="s">
        <v>249</v>
      </c>
      <c r="E135" s="117" t="s">
        <v>837</v>
      </c>
      <c r="F135" s="117" t="s">
        <v>223</v>
      </c>
      <c r="G135" s="118" t="s">
        <v>255</v>
      </c>
      <c r="H135" s="69">
        <v>101999.94132239303</v>
      </c>
      <c r="I135" s="66">
        <v>215.28755100000004</v>
      </c>
      <c r="J135" s="66">
        <v>0</v>
      </c>
      <c r="K135" s="64">
        <v>219.59317999999999</v>
      </c>
      <c r="L135" s="24">
        <v>3.2922453025625696E-4</v>
      </c>
      <c r="M135" s="32">
        <v>5.5111962996111645E-4</v>
      </c>
      <c r="N135" s="32">
        <v>2.5171839692042736E-4</v>
      </c>
      <c r="O135" s="14"/>
      <c r="P135" s="14"/>
      <c r="Q135" s="14"/>
      <c r="R135" s="14"/>
    </row>
    <row r="136" spans="1:18" x14ac:dyDescent="0.25">
      <c r="A136" s="16" t="s">
        <v>2071</v>
      </c>
      <c r="B136" s="117" t="s">
        <v>808</v>
      </c>
      <c r="C136" s="117" t="s">
        <v>387</v>
      </c>
      <c r="D136" s="117" t="s">
        <v>249</v>
      </c>
      <c r="E136" s="117" t="s">
        <v>809</v>
      </c>
      <c r="F136" s="117" t="s">
        <v>190</v>
      </c>
      <c r="G136" s="118" t="s">
        <v>255</v>
      </c>
      <c r="H136" s="69">
        <v>43784.245379879518</v>
      </c>
      <c r="I136" s="66">
        <v>16.2</v>
      </c>
      <c r="J136" s="66">
        <v>0</v>
      </c>
      <c r="K136" s="64">
        <v>7.0930499999999999</v>
      </c>
      <c r="L136" s="24">
        <v>4.2033430271456941E-4</v>
      </c>
      <c r="M136" s="32">
        <v>1.7801641614260048E-5</v>
      </c>
      <c r="N136" s="32">
        <v>8.1307223442751609E-6</v>
      </c>
      <c r="O136" s="14"/>
      <c r="P136" s="14"/>
      <c r="Q136" s="14"/>
      <c r="R136" s="14"/>
    </row>
    <row r="137" spans="1:18" x14ac:dyDescent="0.25">
      <c r="A137" s="16" t="s">
        <v>824</v>
      </c>
      <c r="B137" s="117" t="s">
        <v>825</v>
      </c>
      <c r="C137" s="117" t="s">
        <v>387</v>
      </c>
      <c r="D137" s="117" t="s">
        <v>249</v>
      </c>
      <c r="E137" s="117" t="s">
        <v>826</v>
      </c>
      <c r="F137" s="117" t="s">
        <v>223</v>
      </c>
      <c r="G137" s="118" t="s">
        <v>255</v>
      </c>
      <c r="H137" s="69">
        <v>38087.000797077024</v>
      </c>
      <c r="I137" s="66">
        <v>939.4</v>
      </c>
      <c r="J137" s="66">
        <v>0</v>
      </c>
      <c r="K137" s="64">
        <v>357.78928999999999</v>
      </c>
      <c r="L137" s="24">
        <v>5.4461676711617304E-4</v>
      </c>
      <c r="M137" s="32">
        <v>8.9795457722708228E-4</v>
      </c>
      <c r="N137" s="32">
        <v>4.1013180151632168E-4</v>
      </c>
      <c r="O137" s="14"/>
      <c r="P137" s="14"/>
      <c r="Q137" s="14"/>
      <c r="R137" s="14"/>
    </row>
    <row r="138" spans="1:18" x14ac:dyDescent="0.25">
      <c r="A138" s="16" t="s">
        <v>2072</v>
      </c>
      <c r="B138" s="117" t="s">
        <v>719</v>
      </c>
      <c r="C138" s="117" t="s">
        <v>387</v>
      </c>
      <c r="D138" s="117" t="s">
        <v>249</v>
      </c>
      <c r="E138" s="117" t="s">
        <v>720</v>
      </c>
      <c r="F138" s="117" t="s">
        <v>192</v>
      </c>
      <c r="G138" s="118" t="s">
        <v>255</v>
      </c>
      <c r="H138" s="69">
        <v>9216.278191592326</v>
      </c>
      <c r="I138" s="66">
        <v>886</v>
      </c>
      <c r="J138" s="66">
        <v>0</v>
      </c>
      <c r="K138" s="64">
        <v>81.656220000000005</v>
      </c>
      <c r="L138" s="24">
        <v>1.0727714464694739E-3</v>
      </c>
      <c r="M138" s="32">
        <v>2.0493507926987314E-4</v>
      </c>
      <c r="N138" s="32">
        <v>9.3602054476289937E-5</v>
      </c>
      <c r="O138" s="14"/>
      <c r="P138" s="14"/>
      <c r="Q138" s="14"/>
      <c r="R138" s="14"/>
    </row>
    <row r="139" spans="1:18" x14ac:dyDescent="0.25">
      <c r="A139" s="16" t="s">
        <v>799</v>
      </c>
      <c r="B139" s="117" t="s">
        <v>800</v>
      </c>
      <c r="C139" s="117" t="s">
        <v>387</v>
      </c>
      <c r="D139" s="117" t="s">
        <v>249</v>
      </c>
      <c r="E139" s="117" t="s">
        <v>801</v>
      </c>
      <c r="F139" s="117" t="s">
        <v>234</v>
      </c>
      <c r="G139" s="118" t="s">
        <v>255</v>
      </c>
      <c r="H139" s="69">
        <v>62358.042729847271</v>
      </c>
      <c r="I139" s="66">
        <v>348.5</v>
      </c>
      <c r="J139" s="66">
        <v>0</v>
      </c>
      <c r="K139" s="64">
        <v>217.31778</v>
      </c>
      <c r="L139" s="24">
        <v>7.4903228717385811E-4</v>
      </c>
      <c r="M139" s="32">
        <v>5.4540898992205182E-4</v>
      </c>
      <c r="N139" s="32">
        <v>2.4911011901146527E-4</v>
      </c>
      <c r="O139" s="14"/>
      <c r="P139" s="14"/>
      <c r="Q139" s="14"/>
      <c r="R139" s="14"/>
    </row>
    <row r="140" spans="1:18" x14ac:dyDescent="0.25">
      <c r="A140" s="16" t="s">
        <v>730</v>
      </c>
      <c r="B140" s="117" t="s">
        <v>731</v>
      </c>
      <c r="C140" s="117" t="s">
        <v>387</v>
      </c>
      <c r="D140" s="117" t="s">
        <v>249</v>
      </c>
      <c r="E140" s="117" t="s">
        <v>732</v>
      </c>
      <c r="F140" s="117" t="s">
        <v>208</v>
      </c>
      <c r="G140" s="118" t="s">
        <v>255</v>
      </c>
      <c r="H140" s="69">
        <v>7124.0500502123086</v>
      </c>
      <c r="I140" s="66">
        <v>1457</v>
      </c>
      <c r="J140" s="66">
        <v>0</v>
      </c>
      <c r="K140" s="64">
        <v>103.79741</v>
      </c>
      <c r="L140" s="24">
        <v>4.4968386324280063E-4</v>
      </c>
      <c r="M140" s="32">
        <v>2.6050349191228205E-4</v>
      </c>
      <c r="N140" s="32">
        <v>1.1898237299397157E-4</v>
      </c>
      <c r="O140" s="14"/>
      <c r="P140" s="14"/>
      <c r="Q140" s="14"/>
      <c r="R140" s="14"/>
    </row>
    <row r="141" spans="1:18" x14ac:dyDescent="0.25">
      <c r="A141" s="16" t="s">
        <v>782</v>
      </c>
      <c r="B141" s="117" t="s">
        <v>783</v>
      </c>
      <c r="C141" s="117" t="s">
        <v>387</v>
      </c>
      <c r="D141" s="117" t="s">
        <v>249</v>
      </c>
      <c r="E141" s="117" t="s">
        <v>784</v>
      </c>
      <c r="F141" s="117" t="s">
        <v>225</v>
      </c>
      <c r="G141" s="118" t="s">
        <v>255</v>
      </c>
      <c r="H141" s="69">
        <v>7965.8122716477801</v>
      </c>
      <c r="I141" s="66">
        <v>7034</v>
      </c>
      <c r="J141" s="66">
        <v>0</v>
      </c>
      <c r="K141" s="64">
        <v>560.31524000000002</v>
      </c>
      <c r="L141" s="24">
        <v>5.033158130092689E-4</v>
      </c>
      <c r="M141" s="32">
        <v>1.4062400650620122E-3</v>
      </c>
      <c r="N141" s="32">
        <v>6.422861310305016E-4</v>
      </c>
      <c r="O141" s="14"/>
      <c r="P141" s="14"/>
      <c r="Q141" s="14"/>
      <c r="R141" s="14"/>
    </row>
    <row r="142" spans="1:18" x14ac:dyDescent="0.25">
      <c r="A142" s="16" t="s">
        <v>785</v>
      </c>
      <c r="B142" s="117" t="s">
        <v>786</v>
      </c>
      <c r="C142" s="117" t="s">
        <v>387</v>
      </c>
      <c r="D142" s="117" t="s">
        <v>249</v>
      </c>
      <c r="E142" s="117" t="s">
        <v>787</v>
      </c>
      <c r="F142" s="117" t="s">
        <v>233</v>
      </c>
      <c r="G142" s="118" t="s">
        <v>255</v>
      </c>
      <c r="H142" s="69">
        <v>7998.8086736266059</v>
      </c>
      <c r="I142" s="66">
        <v>17.600000000000001</v>
      </c>
      <c r="J142" s="66">
        <v>0</v>
      </c>
      <c r="K142" s="64">
        <v>1.4077899999999999</v>
      </c>
      <c r="L142" s="24">
        <v>7.6815868665660171E-5</v>
      </c>
      <c r="M142" s="32">
        <v>3.5331730423638847E-6</v>
      </c>
      <c r="N142" s="32">
        <v>1.6137415652007426E-6</v>
      </c>
      <c r="O142" s="14"/>
      <c r="P142" s="14"/>
      <c r="Q142" s="14"/>
      <c r="R142" s="14"/>
    </row>
    <row r="143" spans="1:18" x14ac:dyDescent="0.25">
      <c r="A143" s="16" t="s">
        <v>833</v>
      </c>
      <c r="B143" s="117" t="s">
        <v>834</v>
      </c>
      <c r="C143" s="117" t="s">
        <v>387</v>
      </c>
      <c r="D143" s="117" t="s">
        <v>249</v>
      </c>
      <c r="E143" s="117" t="s">
        <v>787</v>
      </c>
      <c r="F143" s="117" t="s">
        <v>233</v>
      </c>
      <c r="G143" s="118" t="s">
        <v>255</v>
      </c>
      <c r="H143" s="69">
        <v>80976.372630615951</v>
      </c>
      <c r="I143" s="66">
        <v>5.4777009999999997</v>
      </c>
      <c r="J143" s="66">
        <v>0</v>
      </c>
      <c r="K143" s="64">
        <v>4.4356400000000002</v>
      </c>
      <c r="L143" s="24">
        <v>7.7764960493732196E-4</v>
      </c>
      <c r="M143" s="32">
        <v>1.1132259551233453E-5</v>
      </c>
      <c r="N143" s="32">
        <v>5.0845485734854084E-6</v>
      </c>
      <c r="O143" s="14"/>
      <c r="P143" s="14"/>
      <c r="Q143" s="14"/>
      <c r="R143" s="14"/>
    </row>
    <row r="144" spans="1:18" x14ac:dyDescent="0.25">
      <c r="A144" s="16" t="s">
        <v>762</v>
      </c>
      <c r="B144" s="117" t="s">
        <v>763</v>
      </c>
      <c r="C144" s="117" t="s">
        <v>387</v>
      </c>
      <c r="D144" s="117" t="s">
        <v>249</v>
      </c>
      <c r="E144" s="117" t="s">
        <v>764</v>
      </c>
      <c r="F144" s="117" t="s">
        <v>223</v>
      </c>
      <c r="G144" s="118" t="s">
        <v>255</v>
      </c>
      <c r="H144" s="69">
        <v>12744.220092200709</v>
      </c>
      <c r="I144" s="66">
        <v>16710</v>
      </c>
      <c r="J144" s="66">
        <v>0</v>
      </c>
      <c r="K144" s="64">
        <v>2129.5591800000002</v>
      </c>
      <c r="L144" s="24">
        <v>7.1929647045109043E-4</v>
      </c>
      <c r="M144" s="32">
        <v>5.3446189324363293E-3</v>
      </c>
      <c r="N144" s="32">
        <v>2.4411014173426511E-3</v>
      </c>
      <c r="O144" s="14"/>
      <c r="P144" s="14"/>
      <c r="Q144" s="14"/>
      <c r="R144" s="14"/>
    </row>
    <row r="145" spans="1:18" x14ac:dyDescent="0.25">
      <c r="A145" s="16" t="s">
        <v>813</v>
      </c>
      <c r="B145" s="117" t="s">
        <v>814</v>
      </c>
      <c r="C145" s="117" t="s">
        <v>387</v>
      </c>
      <c r="D145" s="117" t="s">
        <v>249</v>
      </c>
      <c r="E145" s="117" t="s">
        <v>815</v>
      </c>
      <c r="F145" s="117" t="s">
        <v>235</v>
      </c>
      <c r="G145" s="118" t="s">
        <v>255</v>
      </c>
      <c r="H145" s="69">
        <v>4981.026828882922</v>
      </c>
      <c r="I145" s="66">
        <v>3339</v>
      </c>
      <c r="J145" s="66">
        <v>0</v>
      </c>
      <c r="K145" s="64">
        <v>166.31648999999999</v>
      </c>
      <c r="L145" s="24">
        <v>3.468319587588261E-4</v>
      </c>
      <c r="M145" s="32">
        <v>4.1740951347046264E-4</v>
      </c>
      <c r="N145" s="32">
        <v>1.9064763415800202E-4</v>
      </c>
      <c r="O145" s="14"/>
      <c r="P145" s="14"/>
      <c r="Q145" s="14"/>
      <c r="R145" s="14"/>
    </row>
    <row r="146" spans="1:18" x14ac:dyDescent="0.25">
      <c r="A146" s="16" t="s">
        <v>849</v>
      </c>
      <c r="B146" s="117" t="s">
        <v>850</v>
      </c>
      <c r="C146" s="117" t="s">
        <v>387</v>
      </c>
      <c r="D146" s="117" t="s">
        <v>249</v>
      </c>
      <c r="E146" s="117" t="s">
        <v>851</v>
      </c>
      <c r="F146" s="117" t="s">
        <v>231</v>
      </c>
      <c r="G146" s="118" t="s">
        <v>255</v>
      </c>
      <c r="H146" s="69">
        <v>37195.931091342958</v>
      </c>
      <c r="I146" s="66">
        <v>1766</v>
      </c>
      <c r="J146" s="66">
        <v>0</v>
      </c>
      <c r="K146" s="64">
        <v>656.88013999999998</v>
      </c>
      <c r="L146" s="24">
        <v>5.7209274101532284E-4</v>
      </c>
      <c r="M146" s="32">
        <v>1.6485919083898981E-3</v>
      </c>
      <c r="N146" s="32">
        <v>7.5297791948577772E-4</v>
      </c>
      <c r="O146" s="14"/>
      <c r="P146" s="14"/>
      <c r="Q146" s="14"/>
      <c r="R146" s="14"/>
    </row>
    <row r="147" spans="1:18" x14ac:dyDescent="0.25">
      <c r="A147" s="16" t="s">
        <v>818</v>
      </c>
      <c r="B147" s="117" t="s">
        <v>819</v>
      </c>
      <c r="C147" s="117" t="s">
        <v>387</v>
      </c>
      <c r="D147" s="117" t="s">
        <v>249</v>
      </c>
      <c r="E147" s="117" t="s">
        <v>820</v>
      </c>
      <c r="F147" s="117" t="s">
        <v>223</v>
      </c>
      <c r="G147" s="118" t="s">
        <v>255</v>
      </c>
      <c r="H147" s="69">
        <v>7158.0440917918941</v>
      </c>
      <c r="I147" s="66">
        <v>2420</v>
      </c>
      <c r="J147" s="66">
        <v>0</v>
      </c>
      <c r="K147" s="64">
        <v>173.22467</v>
      </c>
      <c r="L147" s="24">
        <v>3.334358505676004E-5</v>
      </c>
      <c r="M147" s="32">
        <v>4.3474718126736232E-4</v>
      </c>
      <c r="N147" s="32">
        <v>1.9856644108651303E-4</v>
      </c>
      <c r="O147" s="14"/>
      <c r="P147" s="14"/>
      <c r="Q147" s="14"/>
      <c r="R147" s="14"/>
    </row>
    <row r="148" spans="1:18" x14ac:dyDescent="0.25">
      <c r="A148" s="16" t="s">
        <v>742</v>
      </c>
      <c r="B148" s="117" t="s">
        <v>743</v>
      </c>
      <c r="C148" s="117" t="s">
        <v>387</v>
      </c>
      <c r="D148" s="117" t="s">
        <v>249</v>
      </c>
      <c r="E148" s="117" t="s">
        <v>744</v>
      </c>
      <c r="F148" s="117" t="s">
        <v>221</v>
      </c>
      <c r="G148" s="118" t="s">
        <v>255</v>
      </c>
      <c r="H148" s="69">
        <v>2737.0726612493677</v>
      </c>
      <c r="I148" s="66">
        <v>1252</v>
      </c>
      <c r="J148" s="66">
        <v>0</v>
      </c>
      <c r="K148" s="64">
        <v>34.268149999999999</v>
      </c>
      <c r="L148" s="24">
        <v>1.5408541314029206E-4</v>
      </c>
      <c r="M148" s="32">
        <v>8.6003810079402439E-5</v>
      </c>
      <c r="N148" s="32">
        <v>3.9281382889162323E-5</v>
      </c>
      <c r="O148" s="14"/>
      <c r="P148" s="14"/>
      <c r="Q148" s="14"/>
      <c r="R148" s="14"/>
    </row>
    <row r="149" spans="1:18" x14ac:dyDescent="0.25">
      <c r="A149" s="16" t="s">
        <v>710</v>
      </c>
      <c r="B149" s="117" t="s">
        <v>711</v>
      </c>
      <c r="C149" s="117" t="s">
        <v>387</v>
      </c>
      <c r="D149" s="117" t="s">
        <v>249</v>
      </c>
      <c r="E149" s="117" t="s">
        <v>712</v>
      </c>
      <c r="F149" s="117" t="s">
        <v>235</v>
      </c>
      <c r="G149" s="118" t="s">
        <v>255</v>
      </c>
      <c r="H149" s="69">
        <v>36428.704458470376</v>
      </c>
      <c r="I149" s="66">
        <v>626.20000000000005</v>
      </c>
      <c r="J149" s="66">
        <v>0</v>
      </c>
      <c r="K149" s="64">
        <v>228.11654999999999</v>
      </c>
      <c r="L149" s="24">
        <v>3.4210892360243887E-4</v>
      </c>
      <c r="M149" s="32">
        <v>5.7251098883857193E-4</v>
      </c>
      <c r="N149" s="32">
        <v>2.6148868683908359E-4</v>
      </c>
      <c r="O149" s="14"/>
      <c r="P149" s="14"/>
      <c r="Q149" s="14"/>
      <c r="R149" s="14"/>
    </row>
    <row r="150" spans="1:18" x14ac:dyDescent="0.25">
      <c r="A150" s="16" t="s">
        <v>727</v>
      </c>
      <c r="B150" s="117" t="s">
        <v>728</v>
      </c>
      <c r="C150" s="117" t="s">
        <v>387</v>
      </c>
      <c r="D150" s="117" t="s">
        <v>249</v>
      </c>
      <c r="E150" s="117" t="s">
        <v>729</v>
      </c>
      <c r="F150" s="117" t="s">
        <v>194</v>
      </c>
      <c r="G150" s="118" t="s">
        <v>255</v>
      </c>
      <c r="H150" s="69">
        <v>484.70906613910284</v>
      </c>
      <c r="I150" s="66">
        <v>26500</v>
      </c>
      <c r="J150" s="66">
        <v>8.4748389260000003</v>
      </c>
      <c r="K150" s="64">
        <v>136.92274</v>
      </c>
      <c r="L150" s="24">
        <v>7.166017510939953E-5</v>
      </c>
      <c r="M150" s="32">
        <v>3.436391321536587E-4</v>
      </c>
      <c r="N150" s="32">
        <v>1.5695374790215469E-4</v>
      </c>
      <c r="O150" s="14"/>
      <c r="P150" s="14"/>
      <c r="Q150" s="14"/>
      <c r="R150" s="14"/>
    </row>
    <row r="151" spans="1:18" x14ac:dyDescent="0.25">
      <c r="A151" s="16" t="s">
        <v>2073</v>
      </c>
      <c r="B151" s="117" t="s">
        <v>858</v>
      </c>
      <c r="C151" s="117" t="s">
        <v>387</v>
      </c>
      <c r="D151" s="117" t="s">
        <v>249</v>
      </c>
      <c r="E151" s="117" t="s">
        <v>729</v>
      </c>
      <c r="F151" s="117" t="s">
        <v>194</v>
      </c>
      <c r="G151" s="118" t="s">
        <v>255</v>
      </c>
      <c r="H151" s="69">
        <v>2169.16905781683</v>
      </c>
      <c r="I151" s="66">
        <v>25362.909232999998</v>
      </c>
      <c r="J151" s="66">
        <v>6.926979126</v>
      </c>
      <c r="K151" s="64">
        <v>557.09136000000001</v>
      </c>
      <c r="L151" s="24">
        <v>3.2069347446543497E-4</v>
      </c>
      <c r="M151" s="32">
        <v>1.3981489961470348E-3</v>
      </c>
      <c r="N151" s="32">
        <v>6.3859061596275755E-4</v>
      </c>
      <c r="O151" s="14"/>
      <c r="P151" s="14"/>
      <c r="Q151" s="14"/>
      <c r="R151" s="14"/>
    </row>
    <row r="152" spans="1:18" x14ac:dyDescent="0.25">
      <c r="A152" s="16" t="s">
        <v>838</v>
      </c>
      <c r="B152" s="117" t="s">
        <v>839</v>
      </c>
      <c r="C152" s="117" t="s">
        <v>387</v>
      </c>
      <c r="D152" s="117" t="s">
        <v>249</v>
      </c>
      <c r="E152" s="117" t="s">
        <v>840</v>
      </c>
      <c r="F152" s="117" t="s">
        <v>204</v>
      </c>
      <c r="G152" s="118" t="s">
        <v>255</v>
      </c>
      <c r="H152" s="69">
        <v>93970.603932704253</v>
      </c>
      <c r="I152" s="66">
        <v>170</v>
      </c>
      <c r="J152" s="66">
        <v>0</v>
      </c>
      <c r="K152" s="64">
        <v>159.75003000000001</v>
      </c>
      <c r="L152" s="24">
        <v>3.5949055383031263E-4</v>
      </c>
      <c r="M152" s="32">
        <v>4.0092947066879426E-4</v>
      </c>
      <c r="N152" s="32">
        <v>1.8312053889647293E-4</v>
      </c>
      <c r="O152" s="14"/>
      <c r="P152" s="14"/>
      <c r="Q152" s="14"/>
      <c r="R152" s="14"/>
    </row>
    <row r="153" spans="1:18" x14ac:dyDescent="0.25">
      <c r="A153" s="16" t="s">
        <v>2074</v>
      </c>
      <c r="B153" s="117" t="s">
        <v>854</v>
      </c>
      <c r="C153" s="117" t="s">
        <v>387</v>
      </c>
      <c r="D153" s="117" t="s">
        <v>249</v>
      </c>
      <c r="E153" s="117" t="s">
        <v>840</v>
      </c>
      <c r="F153" s="117" t="s">
        <v>204</v>
      </c>
      <c r="G153" s="118" t="s">
        <v>255</v>
      </c>
      <c r="H153" s="69">
        <v>91719.772563786784</v>
      </c>
      <c r="I153" s="66">
        <v>167.63611399999999</v>
      </c>
      <c r="J153" s="66">
        <v>0</v>
      </c>
      <c r="K153" s="64">
        <v>153.75546</v>
      </c>
      <c r="L153" s="24">
        <v>3.5087985451023331E-4</v>
      </c>
      <c r="M153" s="32">
        <v>3.8588471745662245E-4</v>
      </c>
      <c r="N153" s="32">
        <v>1.7624899784666762E-4</v>
      </c>
      <c r="O153" s="14"/>
      <c r="P153" s="14"/>
      <c r="Q153" s="14"/>
      <c r="R153" s="14"/>
    </row>
    <row r="154" spans="1:18" x14ac:dyDescent="0.25">
      <c r="A154" s="16" t="s">
        <v>745</v>
      </c>
      <c r="B154" s="117" t="s">
        <v>746</v>
      </c>
      <c r="C154" s="117" t="s">
        <v>387</v>
      </c>
      <c r="D154" s="117" t="s">
        <v>249</v>
      </c>
      <c r="E154" s="117" t="s">
        <v>747</v>
      </c>
      <c r="F154" s="117" t="s">
        <v>205</v>
      </c>
      <c r="G154" s="118" t="s">
        <v>255</v>
      </c>
      <c r="H154" s="69">
        <v>2874.3761630486729</v>
      </c>
      <c r="I154" s="66">
        <v>6895</v>
      </c>
      <c r="J154" s="66">
        <v>0</v>
      </c>
      <c r="K154" s="64">
        <v>198.18823999999998</v>
      </c>
      <c r="L154" s="24">
        <v>4.8449338013942834E-5</v>
      </c>
      <c r="M154" s="32">
        <v>4.9739900615968554E-4</v>
      </c>
      <c r="N154" s="32">
        <v>2.2718203753541397E-4</v>
      </c>
      <c r="O154" s="14"/>
      <c r="P154" s="14"/>
      <c r="Q154" s="14"/>
      <c r="R154" s="14"/>
    </row>
    <row r="155" spans="1:18" x14ac:dyDescent="0.25">
      <c r="A155" s="16" t="s">
        <v>765</v>
      </c>
      <c r="B155" s="117" t="s">
        <v>766</v>
      </c>
      <c r="C155" s="117" t="s">
        <v>387</v>
      </c>
      <c r="D155" s="117" t="s">
        <v>249</v>
      </c>
      <c r="E155" s="117" t="s">
        <v>767</v>
      </c>
      <c r="F155" s="117" t="s">
        <v>208</v>
      </c>
      <c r="G155" s="118" t="s">
        <v>255</v>
      </c>
      <c r="H155" s="69">
        <v>13621.820460705125</v>
      </c>
      <c r="I155" s="66">
        <v>2502</v>
      </c>
      <c r="J155" s="66">
        <v>0</v>
      </c>
      <c r="K155" s="64">
        <v>340.81795</v>
      </c>
      <c r="L155" s="24">
        <v>7.7015693897000389E-4</v>
      </c>
      <c r="M155" s="32">
        <v>8.5536109312732889E-4</v>
      </c>
      <c r="N155" s="32">
        <v>3.9067765226454834E-4</v>
      </c>
      <c r="O155" s="14"/>
      <c r="P155" s="14"/>
      <c r="Q155" s="14"/>
      <c r="R155" s="14"/>
    </row>
    <row r="156" spans="1:18" x14ac:dyDescent="0.25">
      <c r="A156" s="16" t="s">
        <v>776</v>
      </c>
      <c r="B156" s="117" t="s">
        <v>777</v>
      </c>
      <c r="C156" s="117" t="s">
        <v>387</v>
      </c>
      <c r="D156" s="117" t="s">
        <v>249</v>
      </c>
      <c r="E156" s="117" t="s">
        <v>778</v>
      </c>
      <c r="F156" s="117" t="s">
        <v>228</v>
      </c>
      <c r="G156" s="118" t="s">
        <v>255</v>
      </c>
      <c r="H156" s="69">
        <v>10562.223806828513</v>
      </c>
      <c r="I156" s="66">
        <v>9900</v>
      </c>
      <c r="J156" s="66">
        <v>0</v>
      </c>
      <c r="K156" s="64">
        <v>1045.6601600000001</v>
      </c>
      <c r="L156" s="24">
        <v>1.106269689557527E-3</v>
      </c>
      <c r="M156" s="32">
        <v>2.6243248558278629E-3</v>
      </c>
      <c r="N156" s="32">
        <v>1.1986342162300196E-3</v>
      </c>
      <c r="O156" s="14"/>
      <c r="P156" s="14"/>
      <c r="Q156" s="14"/>
      <c r="R156" s="14"/>
    </row>
    <row r="157" spans="1:18" x14ac:dyDescent="0.25">
      <c r="A157" s="16" t="s">
        <v>771</v>
      </c>
      <c r="B157" s="117" t="s">
        <v>772</v>
      </c>
      <c r="C157" s="117" t="s">
        <v>387</v>
      </c>
      <c r="D157" s="117" t="s">
        <v>249</v>
      </c>
      <c r="E157" s="117" t="s">
        <v>773</v>
      </c>
      <c r="F157" s="117" t="s">
        <v>223</v>
      </c>
      <c r="G157" s="118" t="s">
        <v>255</v>
      </c>
      <c r="H157" s="69">
        <v>6762.3199526282833</v>
      </c>
      <c r="I157" s="66">
        <v>425.5</v>
      </c>
      <c r="J157" s="66">
        <v>0</v>
      </c>
      <c r="K157" s="64">
        <v>28.773669999999999</v>
      </c>
      <c r="L157" s="24">
        <v>5.1746229037136569E-5</v>
      </c>
      <c r="M157" s="32">
        <v>7.221414783019799E-5</v>
      </c>
      <c r="N157" s="32">
        <v>3.29830921247982E-5</v>
      </c>
      <c r="O157" s="14"/>
      <c r="P157" s="14"/>
      <c r="Q157" s="14"/>
      <c r="R157" s="14"/>
    </row>
    <row r="158" spans="1:18" x14ac:dyDescent="0.25">
      <c r="A158" s="16" t="s">
        <v>748</v>
      </c>
      <c r="B158" s="117" t="s">
        <v>749</v>
      </c>
      <c r="C158" s="117" t="s">
        <v>387</v>
      </c>
      <c r="D158" s="117" t="s">
        <v>249</v>
      </c>
      <c r="E158" s="117" t="s">
        <v>750</v>
      </c>
      <c r="F158" s="117" t="s">
        <v>208</v>
      </c>
      <c r="G158" s="118" t="s">
        <v>255</v>
      </c>
      <c r="H158" s="69">
        <v>568.34171322417387</v>
      </c>
      <c r="I158" s="66">
        <v>14700</v>
      </c>
      <c r="J158" s="66">
        <v>0</v>
      </c>
      <c r="K158" s="64">
        <v>83.546229999999994</v>
      </c>
      <c r="L158" s="24">
        <v>1.7093888675736636E-4</v>
      </c>
      <c r="M158" s="32">
        <v>2.0967849439698595E-4</v>
      </c>
      <c r="N158" s="32">
        <v>9.5768562048900228E-5</v>
      </c>
      <c r="O158" s="14"/>
      <c r="P158" s="14"/>
      <c r="Q158" s="14"/>
      <c r="R158" s="14"/>
    </row>
    <row r="159" spans="1:18" x14ac:dyDescent="0.25">
      <c r="A159" s="16" t="s">
        <v>790</v>
      </c>
      <c r="B159" s="117" t="s">
        <v>791</v>
      </c>
      <c r="C159" s="117" t="s">
        <v>387</v>
      </c>
      <c r="D159" s="117" t="s">
        <v>249</v>
      </c>
      <c r="E159" s="117" t="s">
        <v>792</v>
      </c>
      <c r="F159" s="117" t="s">
        <v>235</v>
      </c>
      <c r="G159" s="118" t="s">
        <v>255</v>
      </c>
      <c r="H159" s="69">
        <v>9905.388013508049</v>
      </c>
      <c r="I159" s="66">
        <v>310.8</v>
      </c>
      <c r="J159" s="66">
        <v>0</v>
      </c>
      <c r="K159" s="64">
        <v>30.78595</v>
      </c>
      <c r="L159" s="24">
        <v>3.7554589508618103E-4</v>
      </c>
      <c r="M159" s="32">
        <v>7.7264427665747336E-5</v>
      </c>
      <c r="N159" s="32">
        <v>3.5289757093878923E-5</v>
      </c>
      <c r="O159" s="14"/>
      <c r="P159" s="14"/>
      <c r="Q159" s="14"/>
      <c r="R159" s="14"/>
    </row>
    <row r="160" spans="1:18" x14ac:dyDescent="0.25">
      <c r="A160" s="16" t="s">
        <v>2075</v>
      </c>
      <c r="B160" s="117" t="s">
        <v>844</v>
      </c>
      <c r="C160" s="117" t="s">
        <v>387</v>
      </c>
      <c r="D160" s="117" t="s">
        <v>249</v>
      </c>
      <c r="E160" s="117" t="s">
        <v>845</v>
      </c>
      <c r="F160" s="117" t="s">
        <v>192</v>
      </c>
      <c r="G160" s="118" t="s">
        <v>255</v>
      </c>
      <c r="H160" s="69">
        <v>7639.0205836590249</v>
      </c>
      <c r="I160" s="66">
        <v>6272</v>
      </c>
      <c r="J160" s="66">
        <v>0</v>
      </c>
      <c r="K160" s="64">
        <v>479.11937</v>
      </c>
      <c r="L160" s="24">
        <v>3.4888971632903717E-4</v>
      </c>
      <c r="M160" s="32">
        <v>1.2024603400779717E-3</v>
      </c>
      <c r="N160" s="32">
        <v>5.4921177310663792E-4</v>
      </c>
      <c r="O160" s="14"/>
      <c r="P160" s="14"/>
      <c r="Q160" s="14"/>
      <c r="R160" s="14"/>
    </row>
    <row r="161" spans="1:18" x14ac:dyDescent="0.25">
      <c r="A161" s="16" t="s">
        <v>2076</v>
      </c>
      <c r="B161" s="117" t="s">
        <v>788</v>
      </c>
      <c r="C161" s="117" t="s">
        <v>387</v>
      </c>
      <c r="D161" s="117" t="s">
        <v>249</v>
      </c>
      <c r="E161" s="117" t="s">
        <v>789</v>
      </c>
      <c r="F161" s="117" t="s">
        <v>234</v>
      </c>
      <c r="G161" s="118" t="s">
        <v>255</v>
      </c>
      <c r="H161" s="69">
        <v>38906.07368833357</v>
      </c>
      <c r="I161" s="66">
        <v>949.30000000000007</v>
      </c>
      <c r="J161" s="66">
        <v>0</v>
      </c>
      <c r="K161" s="64">
        <v>369.33535999999998</v>
      </c>
      <c r="L161" s="24">
        <v>6.4335544182050441E-4</v>
      </c>
      <c r="M161" s="32">
        <v>9.269320975030087E-4</v>
      </c>
      <c r="N161" s="32">
        <v>4.2336699502793727E-4</v>
      </c>
      <c r="O161" s="14"/>
      <c r="P161" s="14"/>
      <c r="Q161" s="14"/>
      <c r="R161" s="14"/>
    </row>
    <row r="162" spans="1:18" x14ac:dyDescent="0.25">
      <c r="A162" s="16" t="s">
        <v>779</v>
      </c>
      <c r="B162" s="117" t="s">
        <v>780</v>
      </c>
      <c r="C162" s="117" t="s">
        <v>387</v>
      </c>
      <c r="D162" s="117" t="s">
        <v>249</v>
      </c>
      <c r="E162" s="117" t="s">
        <v>781</v>
      </c>
      <c r="F162" s="117" t="s">
        <v>208</v>
      </c>
      <c r="G162" s="118" t="s">
        <v>255</v>
      </c>
      <c r="H162" s="69">
        <v>1491.1856923824748</v>
      </c>
      <c r="I162" s="66">
        <v>6380</v>
      </c>
      <c r="J162" s="66">
        <v>0</v>
      </c>
      <c r="K162" s="64">
        <v>95.137649999999994</v>
      </c>
      <c r="L162" s="24">
        <v>4.0201312927910711E-4</v>
      </c>
      <c r="M162" s="32">
        <v>2.3876983093632602E-4</v>
      </c>
      <c r="N162" s="32">
        <v>1.0905574000420549E-4</v>
      </c>
      <c r="O162" s="14"/>
      <c r="P162" s="14"/>
      <c r="Q162" s="14"/>
      <c r="R162" s="14"/>
    </row>
    <row r="163" spans="1:18" x14ac:dyDescent="0.25">
      <c r="A163" s="16" t="s">
        <v>855</v>
      </c>
      <c r="B163" s="117" t="s">
        <v>856</v>
      </c>
      <c r="C163" s="117" t="s">
        <v>387</v>
      </c>
      <c r="D163" s="117" t="s">
        <v>249</v>
      </c>
      <c r="E163" s="117" t="s">
        <v>857</v>
      </c>
      <c r="F163" s="117" t="s">
        <v>194</v>
      </c>
      <c r="G163" s="118" t="s">
        <v>255</v>
      </c>
      <c r="H163" s="69">
        <v>26992.792332091711</v>
      </c>
      <c r="I163" s="66">
        <v>2340</v>
      </c>
      <c r="J163" s="66">
        <v>0</v>
      </c>
      <c r="K163" s="64">
        <v>631.63134000000002</v>
      </c>
      <c r="L163" s="24">
        <v>3.4196509291698369E-4</v>
      </c>
      <c r="M163" s="32">
        <v>1.5852242331599012E-3</v>
      </c>
      <c r="N163" s="32">
        <v>7.2403536553139502E-4</v>
      </c>
      <c r="O163" s="14"/>
      <c r="P163" s="14"/>
      <c r="Q163" s="14"/>
      <c r="R163" s="14"/>
    </row>
    <row r="164" spans="1:18" x14ac:dyDescent="0.25">
      <c r="A164" s="16" t="s">
        <v>738</v>
      </c>
      <c r="B164" s="117" t="s">
        <v>739</v>
      </c>
      <c r="C164" s="117" t="s">
        <v>387</v>
      </c>
      <c r="D164" s="117" t="s">
        <v>249</v>
      </c>
      <c r="E164" s="117" t="s">
        <v>740</v>
      </c>
      <c r="F164" s="117" t="s">
        <v>203</v>
      </c>
      <c r="G164" s="118" t="s">
        <v>255</v>
      </c>
      <c r="H164" s="69">
        <v>16504.606051230508</v>
      </c>
      <c r="I164" s="66">
        <v>97.4</v>
      </c>
      <c r="J164" s="66">
        <v>0</v>
      </c>
      <c r="K164" s="64">
        <v>16.075489999999999</v>
      </c>
      <c r="L164" s="24">
        <v>7.5976464618860847E-5</v>
      </c>
      <c r="M164" s="32">
        <v>4.0345142322924727E-5</v>
      </c>
      <c r="N164" s="32">
        <v>1.8427241558733111E-5</v>
      </c>
      <c r="O164" s="14"/>
      <c r="P164" s="14"/>
      <c r="Q164" s="14"/>
      <c r="R164" s="14"/>
    </row>
    <row r="165" spans="1:18" x14ac:dyDescent="0.25">
      <c r="A165" s="16" t="s">
        <v>716</v>
      </c>
      <c r="B165" s="117" t="s">
        <v>717</v>
      </c>
      <c r="C165" s="117" t="s">
        <v>387</v>
      </c>
      <c r="D165" s="117" t="s">
        <v>249</v>
      </c>
      <c r="E165" s="117" t="s">
        <v>718</v>
      </c>
      <c r="F165" s="117" t="s">
        <v>231</v>
      </c>
      <c r="G165" s="118" t="s">
        <v>255</v>
      </c>
      <c r="H165" s="69">
        <v>19456.938675983307</v>
      </c>
      <c r="I165" s="66">
        <v>571.70000000000005</v>
      </c>
      <c r="J165" s="66">
        <v>0</v>
      </c>
      <c r="K165" s="64">
        <v>111.23532</v>
      </c>
      <c r="L165" s="24">
        <v>3.3302625984577445E-4</v>
      </c>
      <c r="M165" s="32">
        <v>2.7917063907452125E-4</v>
      </c>
      <c r="N165" s="32">
        <v>1.2750840636913566E-4</v>
      </c>
      <c r="O165" s="14"/>
      <c r="P165" s="14"/>
      <c r="Q165" s="14"/>
      <c r="R165" s="14"/>
    </row>
    <row r="166" spans="1:18" x14ac:dyDescent="0.25">
      <c r="A166" s="16" t="s">
        <v>793</v>
      </c>
      <c r="B166" s="117" t="s">
        <v>794</v>
      </c>
      <c r="C166" s="117" t="s">
        <v>387</v>
      </c>
      <c r="D166" s="117" t="s">
        <v>249</v>
      </c>
      <c r="E166" s="117" t="s">
        <v>795</v>
      </c>
      <c r="F166" s="117" t="s">
        <v>198</v>
      </c>
      <c r="G166" s="118" t="s">
        <v>255</v>
      </c>
      <c r="H166" s="69">
        <v>4924.1117524542078</v>
      </c>
      <c r="I166" s="66">
        <v>241</v>
      </c>
      <c r="J166" s="66">
        <v>0</v>
      </c>
      <c r="K166" s="64">
        <v>11.86711</v>
      </c>
      <c r="L166" s="24">
        <v>6.4377079958456655E-5</v>
      </c>
      <c r="M166" s="32">
        <v>2.9783244051148881E-5</v>
      </c>
      <c r="N166" s="32">
        <v>1.3603199813757298E-5</v>
      </c>
      <c r="O166" s="14"/>
      <c r="P166" s="14"/>
      <c r="Q166" s="14"/>
      <c r="R166" s="14"/>
    </row>
    <row r="167" spans="1:18" x14ac:dyDescent="0.25">
      <c r="A167" s="16" t="s">
        <v>2077</v>
      </c>
      <c r="B167" s="117" t="s">
        <v>751</v>
      </c>
      <c r="C167" s="117" t="s">
        <v>387</v>
      </c>
      <c r="D167" s="117" t="s">
        <v>249</v>
      </c>
      <c r="E167" s="117" t="s">
        <v>752</v>
      </c>
      <c r="F167" s="117" t="s">
        <v>194</v>
      </c>
      <c r="G167" s="118" t="s">
        <v>255</v>
      </c>
      <c r="H167" s="69">
        <v>72691.661239364825</v>
      </c>
      <c r="I167" s="66">
        <v>285.8</v>
      </c>
      <c r="J167" s="66">
        <v>0</v>
      </c>
      <c r="K167" s="64">
        <v>207.75277</v>
      </c>
      <c r="L167" s="24">
        <v>1.0142914181627831E-3</v>
      </c>
      <c r="M167" s="32">
        <v>5.2140339570562683E-4</v>
      </c>
      <c r="N167" s="32">
        <v>2.3814580316282251E-4</v>
      </c>
      <c r="O167" s="14"/>
      <c r="P167" s="14"/>
      <c r="Q167" s="14"/>
      <c r="R167" s="14"/>
    </row>
    <row r="168" spans="1:18" x14ac:dyDescent="0.25">
      <c r="A168" s="16" t="s">
        <v>753</v>
      </c>
      <c r="B168" s="117" t="s">
        <v>754</v>
      </c>
      <c r="C168" s="117" t="s">
        <v>387</v>
      </c>
      <c r="D168" s="117" t="s">
        <v>249</v>
      </c>
      <c r="E168" s="117" t="s">
        <v>755</v>
      </c>
      <c r="F168" s="117" t="s">
        <v>221</v>
      </c>
      <c r="G168" s="118" t="s">
        <v>255</v>
      </c>
      <c r="H168" s="69">
        <v>15438.755660016503</v>
      </c>
      <c r="I168" s="66">
        <v>2624</v>
      </c>
      <c r="J168" s="66">
        <v>0</v>
      </c>
      <c r="K168" s="64">
        <v>405.11295000000001</v>
      </c>
      <c r="L168" s="24">
        <v>7.7106874996617572E-4</v>
      </c>
      <c r="M168" s="32">
        <v>1.0167241946970134E-3</v>
      </c>
      <c r="N168" s="32">
        <v>4.6437864029158488E-4</v>
      </c>
      <c r="O168" s="14"/>
      <c r="P168" s="14"/>
      <c r="Q168" s="14"/>
      <c r="R168" s="14"/>
    </row>
    <row r="169" spans="1:18" x14ac:dyDescent="0.25">
      <c r="A169" s="16" t="s">
        <v>2078</v>
      </c>
      <c r="B169" s="117" t="s">
        <v>806</v>
      </c>
      <c r="C169" s="117" t="s">
        <v>387</v>
      </c>
      <c r="D169" s="117" t="s">
        <v>249</v>
      </c>
      <c r="E169" s="117" t="s">
        <v>807</v>
      </c>
      <c r="F169" s="117" t="s">
        <v>210</v>
      </c>
      <c r="G169" s="118" t="s">
        <v>255</v>
      </c>
      <c r="H169" s="69">
        <v>222889.70164701686</v>
      </c>
      <c r="I169" s="66">
        <v>424.7</v>
      </c>
      <c r="J169" s="66">
        <v>0</v>
      </c>
      <c r="K169" s="64">
        <v>946.61256000000003</v>
      </c>
      <c r="L169" s="24">
        <v>7.7524156254397015E-4</v>
      </c>
      <c r="M169" s="32">
        <v>2.3757421053957378E-3</v>
      </c>
      <c r="N169" s="32">
        <v>1.0850965230702605E-3</v>
      </c>
      <c r="O169" s="14"/>
      <c r="P169" s="14"/>
      <c r="Q169" s="14"/>
      <c r="R169" s="14"/>
    </row>
    <row r="170" spans="1:18" x14ac:dyDescent="0.25">
      <c r="A170" s="16" t="s">
        <v>756</v>
      </c>
      <c r="B170" s="117" t="s">
        <v>757</v>
      </c>
      <c r="C170" s="117" t="s">
        <v>387</v>
      </c>
      <c r="D170" s="117" t="s">
        <v>249</v>
      </c>
      <c r="E170" s="117" t="s">
        <v>758</v>
      </c>
      <c r="F170" s="117" t="s">
        <v>235</v>
      </c>
      <c r="G170" s="118" t="s">
        <v>255</v>
      </c>
      <c r="H170" s="69">
        <v>46441.152323053757</v>
      </c>
      <c r="I170" s="66">
        <v>367.3</v>
      </c>
      <c r="J170" s="66">
        <v>0</v>
      </c>
      <c r="K170" s="64">
        <v>170.57835</v>
      </c>
      <c r="L170" s="24">
        <v>1.0488254603302173E-3</v>
      </c>
      <c r="M170" s="32">
        <v>4.2810563211197097E-4</v>
      </c>
      <c r="N170" s="32">
        <v>1.955329797188218E-4</v>
      </c>
      <c r="O170" s="14"/>
      <c r="P170" s="14"/>
      <c r="Q170" s="14"/>
      <c r="R170" s="14"/>
    </row>
    <row r="171" spans="1:18" x14ac:dyDescent="0.25">
      <c r="A171" s="16" t="s">
        <v>2079</v>
      </c>
      <c r="B171" s="117" t="s">
        <v>802</v>
      </c>
      <c r="C171" s="117" t="s">
        <v>387</v>
      </c>
      <c r="D171" s="117" t="s">
        <v>249</v>
      </c>
      <c r="E171" s="117" t="s">
        <v>803</v>
      </c>
      <c r="F171" s="117" t="s">
        <v>228</v>
      </c>
      <c r="G171" s="118" t="s">
        <v>255</v>
      </c>
      <c r="H171" s="69">
        <v>87386.102393066045</v>
      </c>
      <c r="I171" s="66">
        <v>570</v>
      </c>
      <c r="J171" s="66">
        <v>8.5954892670000014</v>
      </c>
      <c r="K171" s="64">
        <v>506.69627000000003</v>
      </c>
      <c r="L171" s="24">
        <v>5.7303232858341884E-4</v>
      </c>
      <c r="M171" s="32">
        <v>1.2716709181272295E-3</v>
      </c>
      <c r="N171" s="32">
        <v>5.808230146763212E-4</v>
      </c>
      <c r="O171" s="14"/>
      <c r="P171" s="14"/>
      <c r="Q171" s="14"/>
      <c r="R171" s="14"/>
    </row>
    <row r="172" spans="1:18" x14ac:dyDescent="0.25">
      <c r="A172" s="16" t="s">
        <v>2080</v>
      </c>
      <c r="B172" s="117" t="s">
        <v>741</v>
      </c>
      <c r="C172" s="117" t="s">
        <v>387</v>
      </c>
      <c r="D172" s="117" t="s">
        <v>249</v>
      </c>
      <c r="E172" s="117" t="s">
        <v>2087</v>
      </c>
      <c r="F172" s="117" t="s">
        <v>228</v>
      </c>
      <c r="G172" s="118" t="s">
        <v>255</v>
      </c>
      <c r="H172" s="69">
        <v>7.405730237514847</v>
      </c>
      <c r="I172" s="66">
        <v>7.0000000000000009</v>
      </c>
      <c r="J172" s="66">
        <v>0</v>
      </c>
      <c r="K172" s="64">
        <v>5.2000000000000006E-4</v>
      </c>
      <c r="L172" s="24">
        <v>3.0129247779676499E-7</v>
      </c>
      <c r="M172" s="32">
        <v>1.3050596907416732E-9</v>
      </c>
      <c r="N172" s="32">
        <v>5.9607300371815846E-10</v>
      </c>
      <c r="O172" s="14"/>
      <c r="P172" s="14"/>
      <c r="Q172" s="14"/>
      <c r="R172" s="14"/>
    </row>
    <row r="173" spans="1:18" x14ac:dyDescent="0.25">
      <c r="A173" s="16" t="s">
        <v>2081</v>
      </c>
      <c r="B173" s="117" t="s">
        <v>736</v>
      </c>
      <c r="C173" s="117" t="s">
        <v>387</v>
      </c>
      <c r="D173" s="117" t="s">
        <v>249</v>
      </c>
      <c r="E173" s="117" t="s">
        <v>737</v>
      </c>
      <c r="F173" s="117" t="s">
        <v>226</v>
      </c>
      <c r="G173" s="118" t="s">
        <v>255</v>
      </c>
      <c r="H173" s="69">
        <v>258775.5115514232</v>
      </c>
      <c r="I173" s="66">
        <v>429</v>
      </c>
      <c r="J173" s="66">
        <v>0</v>
      </c>
      <c r="K173" s="64">
        <v>1110.1469399999999</v>
      </c>
      <c r="L173" s="24">
        <v>1.4006238494376055E-3</v>
      </c>
      <c r="M173" s="32">
        <v>2.7861692734504127E-3</v>
      </c>
      <c r="N173" s="32">
        <v>1.272555040566004E-3</v>
      </c>
      <c r="O173" s="14"/>
      <c r="P173" s="14"/>
      <c r="Q173" s="14"/>
      <c r="R173" s="14"/>
    </row>
    <row r="174" spans="1:18" x14ac:dyDescent="0.25">
      <c r="A174" s="16" t="s">
        <v>841</v>
      </c>
      <c r="B174" s="117" t="s">
        <v>842</v>
      </c>
      <c r="C174" s="117" t="s">
        <v>387</v>
      </c>
      <c r="D174" s="117" t="s">
        <v>249</v>
      </c>
      <c r="E174" s="117" t="s">
        <v>843</v>
      </c>
      <c r="F174" s="117" t="s">
        <v>226</v>
      </c>
      <c r="G174" s="118" t="s">
        <v>255</v>
      </c>
      <c r="H174" s="69">
        <v>1809.7907492729016</v>
      </c>
      <c r="I174" s="66">
        <v>2810</v>
      </c>
      <c r="J174" s="66">
        <v>0</v>
      </c>
      <c r="K174" s="64">
        <v>50.855119999999999</v>
      </c>
      <c r="L174" s="24">
        <v>3.3416549841818072E-5</v>
      </c>
      <c r="M174" s="32">
        <v>1.2763262919198207E-4</v>
      </c>
      <c r="N174" s="32">
        <v>5.8294931024706523E-5</v>
      </c>
      <c r="O174" s="14"/>
      <c r="P174" s="14"/>
      <c r="Q174" s="14"/>
      <c r="R174" s="14"/>
    </row>
    <row r="175" spans="1:18" x14ac:dyDescent="0.25">
      <c r="A175" s="16" t="s">
        <v>2082</v>
      </c>
      <c r="B175" s="117" t="s">
        <v>774</v>
      </c>
      <c r="C175" s="117" t="s">
        <v>387</v>
      </c>
      <c r="D175" s="117" t="s">
        <v>249</v>
      </c>
      <c r="E175" s="117" t="s">
        <v>775</v>
      </c>
      <c r="F175" s="117" t="s">
        <v>223</v>
      </c>
      <c r="G175" s="118" t="s">
        <v>255</v>
      </c>
      <c r="H175" s="69">
        <v>82531.234792917428</v>
      </c>
      <c r="I175" s="66">
        <v>470.9</v>
      </c>
      <c r="J175" s="66">
        <v>0</v>
      </c>
      <c r="K175" s="64">
        <v>388.63958000000002</v>
      </c>
      <c r="L175" s="24">
        <v>1.1607732689563749E-3</v>
      </c>
      <c r="M175" s="32">
        <v>9.7538048093225721E-4</v>
      </c>
      <c r="N175" s="32">
        <v>4.4549531118146836E-4</v>
      </c>
      <c r="O175" s="14"/>
      <c r="P175" s="14"/>
      <c r="Q175" s="14"/>
      <c r="R175" s="14"/>
    </row>
    <row r="176" spans="1:18" x14ac:dyDescent="0.25">
      <c r="A176" s="16" t="s">
        <v>796</v>
      </c>
      <c r="B176" s="117" t="s">
        <v>797</v>
      </c>
      <c r="C176" s="117" t="s">
        <v>387</v>
      </c>
      <c r="D176" s="117" t="s">
        <v>249</v>
      </c>
      <c r="E176" s="117" t="s">
        <v>798</v>
      </c>
      <c r="F176" s="117" t="s">
        <v>198</v>
      </c>
      <c r="G176" s="118" t="s">
        <v>255</v>
      </c>
      <c r="H176" s="69">
        <v>3513.0294201041315</v>
      </c>
      <c r="I176" s="66">
        <v>409.3</v>
      </c>
      <c r="J176" s="66">
        <v>0</v>
      </c>
      <c r="K176" s="64">
        <v>14.378830000000001</v>
      </c>
      <c r="L176" s="24">
        <v>8.5972007085818858E-4</v>
      </c>
      <c r="M176" s="32">
        <v>3.6086983525052097E-5</v>
      </c>
      <c r="N176" s="32">
        <v>1.6482369977024554E-5</v>
      </c>
      <c r="O176" s="14"/>
      <c r="P176" s="14"/>
      <c r="Q176" s="14"/>
      <c r="R176" s="14"/>
    </row>
    <row r="177" spans="1:18" x14ac:dyDescent="0.25">
      <c r="A177" s="16" t="s">
        <v>846</v>
      </c>
      <c r="B177" s="117" t="s">
        <v>847</v>
      </c>
      <c r="C177" s="117" t="s">
        <v>387</v>
      </c>
      <c r="D177" s="117" t="s">
        <v>249</v>
      </c>
      <c r="E177" s="117" t="s">
        <v>848</v>
      </c>
      <c r="F177" s="117" t="s">
        <v>228</v>
      </c>
      <c r="G177" s="118" t="s">
        <v>255</v>
      </c>
      <c r="H177" s="69">
        <v>8387.2369217908254</v>
      </c>
      <c r="I177" s="66">
        <v>9315</v>
      </c>
      <c r="J177" s="66">
        <v>0</v>
      </c>
      <c r="K177" s="64">
        <v>781.27112</v>
      </c>
      <c r="L177" s="24">
        <v>3.3548947687163301E-4</v>
      </c>
      <c r="M177" s="32">
        <v>1.9607797043319241E-3</v>
      </c>
      <c r="N177" s="32">
        <v>8.9556658310894187E-4</v>
      </c>
      <c r="O177" s="14"/>
      <c r="P177" s="14"/>
      <c r="Q177" s="14"/>
      <c r="R177" s="14"/>
    </row>
    <row r="178" spans="1:18" s="119" customFormat="1" x14ac:dyDescent="0.25">
      <c r="A178" s="92" t="s">
        <v>859</v>
      </c>
      <c r="B178" s="131" t="s">
        <v>249</v>
      </c>
      <c r="C178" s="131" t="s">
        <v>249</v>
      </c>
      <c r="D178" s="131" t="s">
        <v>249</v>
      </c>
      <c r="E178" s="131" t="s">
        <v>249</v>
      </c>
      <c r="F178" s="131" t="s">
        <v>249</v>
      </c>
      <c r="G178" s="132" t="s">
        <v>249</v>
      </c>
      <c r="H178" s="135" t="s">
        <v>249</v>
      </c>
      <c r="I178" s="122" t="s">
        <v>249</v>
      </c>
      <c r="J178" s="122" t="s">
        <v>249</v>
      </c>
      <c r="K178" s="152">
        <v>0</v>
      </c>
      <c r="L178" s="137"/>
      <c r="M178" s="121">
        <v>0</v>
      </c>
      <c r="N178" s="121">
        <v>0</v>
      </c>
    </row>
    <row r="179" spans="1:18" s="119" customFormat="1" x14ac:dyDescent="0.25">
      <c r="A179" s="92" t="s">
        <v>860</v>
      </c>
      <c r="B179" s="131" t="s">
        <v>249</v>
      </c>
      <c r="C179" s="131" t="s">
        <v>249</v>
      </c>
      <c r="D179" s="131" t="s">
        <v>249</v>
      </c>
      <c r="E179" s="131" t="s">
        <v>249</v>
      </c>
      <c r="F179" s="131" t="s">
        <v>249</v>
      </c>
      <c r="G179" s="132" t="s">
        <v>249</v>
      </c>
      <c r="H179" s="135" t="s">
        <v>249</v>
      </c>
      <c r="I179" s="122" t="s">
        <v>249</v>
      </c>
      <c r="J179" s="122" t="s">
        <v>249</v>
      </c>
      <c r="K179" s="152">
        <v>0</v>
      </c>
      <c r="L179" s="137"/>
      <c r="M179" s="121">
        <v>0</v>
      </c>
      <c r="N179" s="121">
        <v>0</v>
      </c>
    </row>
    <row r="180" spans="1:18" s="119" customFormat="1" x14ac:dyDescent="0.25">
      <c r="A180" s="92" t="s">
        <v>861</v>
      </c>
      <c r="B180" s="131" t="s">
        <v>249</v>
      </c>
      <c r="C180" s="131" t="s">
        <v>249</v>
      </c>
      <c r="D180" s="131" t="s">
        <v>249</v>
      </c>
      <c r="E180" s="131" t="s">
        <v>249</v>
      </c>
      <c r="F180" s="131" t="s">
        <v>249</v>
      </c>
      <c r="G180" s="132" t="s">
        <v>249</v>
      </c>
      <c r="H180" s="135" t="s">
        <v>249</v>
      </c>
      <c r="I180" s="122" t="s">
        <v>249</v>
      </c>
      <c r="J180" s="122" t="s">
        <v>249</v>
      </c>
      <c r="K180" s="152">
        <v>0</v>
      </c>
      <c r="L180" s="137"/>
      <c r="M180" s="121">
        <v>0</v>
      </c>
      <c r="N180" s="121">
        <v>0</v>
      </c>
    </row>
    <row r="181" spans="1:18" s="119" customFormat="1" x14ac:dyDescent="0.25">
      <c r="A181" s="92" t="s">
        <v>393</v>
      </c>
      <c r="B181" s="131" t="s">
        <v>249</v>
      </c>
      <c r="C181" s="131" t="s">
        <v>249</v>
      </c>
      <c r="D181" s="131" t="s">
        <v>249</v>
      </c>
      <c r="E181" s="131" t="s">
        <v>249</v>
      </c>
      <c r="F181" s="131" t="s">
        <v>249</v>
      </c>
      <c r="G181" s="132" t="s">
        <v>249</v>
      </c>
      <c r="H181" s="135" t="s">
        <v>249</v>
      </c>
      <c r="I181" s="122" t="s">
        <v>249</v>
      </c>
      <c r="J181" s="122" t="s">
        <v>249</v>
      </c>
      <c r="K181" s="152">
        <v>132443.31454019991</v>
      </c>
      <c r="L181" s="137"/>
      <c r="M181" s="121">
        <v>0.33239698291276043</v>
      </c>
      <c r="N181" s="121">
        <v>0.15181900830839579</v>
      </c>
    </row>
    <row r="182" spans="1:18" s="119" customFormat="1" x14ac:dyDescent="0.25">
      <c r="A182" s="92" t="s">
        <v>143</v>
      </c>
      <c r="B182" s="131" t="s">
        <v>249</v>
      </c>
      <c r="C182" s="131" t="s">
        <v>249</v>
      </c>
      <c r="D182" s="131" t="s">
        <v>249</v>
      </c>
      <c r="E182" s="131" t="s">
        <v>249</v>
      </c>
      <c r="F182" s="131" t="s">
        <v>249</v>
      </c>
      <c r="G182" s="132" t="s">
        <v>249</v>
      </c>
      <c r="H182" s="135" t="s">
        <v>249</v>
      </c>
      <c r="I182" s="122" t="s">
        <v>249</v>
      </c>
      <c r="J182" s="122" t="s">
        <v>249</v>
      </c>
      <c r="K182" s="152">
        <v>35407.74653009999</v>
      </c>
      <c r="L182" s="137"/>
      <c r="M182" s="121">
        <v>8.8863889877753538E-2</v>
      </c>
      <c r="N182" s="121">
        <v>4.0587695825169044E-2</v>
      </c>
    </row>
    <row r="183" spans="1:18" x14ac:dyDescent="0.25">
      <c r="A183" s="16" t="s">
        <v>900</v>
      </c>
      <c r="B183" s="117" t="s">
        <v>901</v>
      </c>
      <c r="C183" s="117" t="s">
        <v>218</v>
      </c>
      <c r="D183" s="117" t="s">
        <v>416</v>
      </c>
      <c r="E183" s="117" t="s">
        <v>902</v>
      </c>
      <c r="F183" s="117" t="s">
        <v>166</v>
      </c>
      <c r="G183" s="118" t="s">
        <v>131</v>
      </c>
      <c r="H183" s="69">
        <v>12174.347756276273</v>
      </c>
      <c r="I183" s="66">
        <v>215</v>
      </c>
      <c r="J183" s="66">
        <v>0</v>
      </c>
      <c r="K183" s="64">
        <v>74.402000000000001</v>
      </c>
      <c r="L183" s="24">
        <v>3.2870920915364124E-4</v>
      </c>
      <c r="M183" s="32">
        <v>1.867289444433884E-4</v>
      </c>
      <c r="N183" s="32">
        <v>8.528658388968928E-5</v>
      </c>
      <c r="O183" s="14"/>
      <c r="P183" s="14"/>
      <c r="Q183" s="14"/>
      <c r="R183" s="14"/>
    </row>
    <row r="184" spans="1:18" x14ac:dyDescent="0.25">
      <c r="A184" s="16" t="s">
        <v>903</v>
      </c>
      <c r="B184" s="117" t="s">
        <v>904</v>
      </c>
      <c r="C184" s="117" t="s">
        <v>864</v>
      </c>
      <c r="D184" s="117" t="s">
        <v>416</v>
      </c>
      <c r="E184" s="117" t="s">
        <v>905</v>
      </c>
      <c r="F184" s="117" t="s">
        <v>177</v>
      </c>
      <c r="G184" s="118" t="s">
        <v>125</v>
      </c>
      <c r="H184" s="69">
        <v>8343.8802655099444</v>
      </c>
      <c r="I184" s="66">
        <v>328</v>
      </c>
      <c r="J184" s="66">
        <v>0</v>
      </c>
      <c r="K184" s="64">
        <v>104.65495</v>
      </c>
      <c r="L184" s="24">
        <v>3.0642746957165143E-4</v>
      </c>
      <c r="M184" s="32">
        <v>2.6265568592612551E-4</v>
      </c>
      <c r="N184" s="32">
        <v>1.1996536615475709E-4</v>
      </c>
      <c r="O184" s="14"/>
      <c r="P184" s="14"/>
      <c r="Q184" s="14"/>
      <c r="R184" s="14"/>
    </row>
    <row r="185" spans="1:18" x14ac:dyDescent="0.25">
      <c r="A185" s="16" t="s">
        <v>886</v>
      </c>
      <c r="B185" s="117" t="s">
        <v>887</v>
      </c>
      <c r="C185" s="117" t="s">
        <v>218</v>
      </c>
      <c r="D185" s="117" t="s">
        <v>416</v>
      </c>
      <c r="E185" s="117" t="s">
        <v>888</v>
      </c>
      <c r="F185" s="117" t="s">
        <v>178</v>
      </c>
      <c r="G185" s="118" t="s">
        <v>125</v>
      </c>
      <c r="H185" s="69">
        <v>120.49088265015646</v>
      </c>
      <c r="I185" s="66">
        <v>480.99999999999994</v>
      </c>
      <c r="J185" s="66">
        <v>0</v>
      </c>
      <c r="K185" s="64">
        <v>2.21624</v>
      </c>
      <c r="L185" s="24">
        <v>3.8454160656137131E-5</v>
      </c>
      <c r="M185" s="32">
        <v>5.5621644019410102E-6</v>
      </c>
      <c r="N185" s="32">
        <v>2.5404631418467912E-6</v>
      </c>
      <c r="O185" s="14"/>
      <c r="P185" s="14"/>
      <c r="Q185" s="14"/>
      <c r="R185" s="14"/>
    </row>
    <row r="186" spans="1:18" x14ac:dyDescent="0.25">
      <c r="A186" s="16" t="s">
        <v>883</v>
      </c>
      <c r="B186" s="117" t="s">
        <v>884</v>
      </c>
      <c r="C186" s="117" t="s">
        <v>885</v>
      </c>
      <c r="D186" s="117" t="s">
        <v>416</v>
      </c>
      <c r="E186" s="117" t="s">
        <v>430</v>
      </c>
      <c r="F186" s="117" t="s">
        <v>173</v>
      </c>
      <c r="G186" s="118" t="s">
        <v>125</v>
      </c>
      <c r="H186" s="69">
        <v>514.90817540398598</v>
      </c>
      <c r="I186" s="66">
        <v>2447</v>
      </c>
      <c r="J186" s="66">
        <v>0</v>
      </c>
      <c r="K186" s="64">
        <v>48.181650000000005</v>
      </c>
      <c r="L186" s="24">
        <v>1.3468868140853978E-5</v>
      </c>
      <c r="M186" s="32">
        <v>1.2092294086235296E-4</v>
      </c>
      <c r="N186" s="32">
        <v>5.5230347768455788E-5</v>
      </c>
      <c r="O186" s="14"/>
      <c r="P186" s="14"/>
      <c r="Q186" s="14"/>
      <c r="R186" s="14"/>
    </row>
    <row r="187" spans="1:18" x14ac:dyDescent="0.25">
      <c r="A187" s="16" t="s">
        <v>906</v>
      </c>
      <c r="B187" s="117" t="s">
        <v>907</v>
      </c>
      <c r="C187" s="117" t="s">
        <v>864</v>
      </c>
      <c r="D187" s="117" t="s">
        <v>416</v>
      </c>
      <c r="E187" s="175" t="s">
        <v>1938</v>
      </c>
      <c r="F187" s="117" t="s">
        <v>177</v>
      </c>
      <c r="G187" s="118" t="s">
        <v>125</v>
      </c>
      <c r="H187" s="69">
        <v>9620.9551640335794</v>
      </c>
      <c r="I187" s="66">
        <v>3046</v>
      </c>
      <c r="J187" s="66">
        <v>0</v>
      </c>
      <c r="K187" s="64">
        <v>1120.6396200000001</v>
      </c>
      <c r="L187" s="24">
        <v>1.1580199925221939E-4</v>
      </c>
      <c r="M187" s="32">
        <v>2.8125030690578198E-3</v>
      </c>
      <c r="N187" s="32">
        <v>1.2845827391903379E-3</v>
      </c>
      <c r="O187" s="14"/>
      <c r="P187" s="14"/>
      <c r="Q187" s="14"/>
      <c r="R187" s="14"/>
    </row>
    <row r="188" spans="1:18" x14ac:dyDescent="0.25">
      <c r="A188" s="16" t="s">
        <v>872</v>
      </c>
      <c r="B188" s="117" t="s">
        <v>873</v>
      </c>
      <c r="C188" s="117" t="s">
        <v>864</v>
      </c>
      <c r="D188" s="117" t="s">
        <v>416</v>
      </c>
      <c r="E188" s="117" t="s">
        <v>874</v>
      </c>
      <c r="F188" s="117" t="s">
        <v>166</v>
      </c>
      <c r="G188" s="118" t="s">
        <v>125</v>
      </c>
      <c r="H188" s="69">
        <v>3103.5152452054058</v>
      </c>
      <c r="I188" s="66">
        <v>1891</v>
      </c>
      <c r="J188" s="66">
        <v>0</v>
      </c>
      <c r="K188" s="64">
        <v>224.42089999999999</v>
      </c>
      <c r="L188" s="24">
        <v>6.1926915608094202E-5</v>
      </c>
      <c r="M188" s="32">
        <v>5.6323590451916913E-4</v>
      </c>
      <c r="N188" s="32">
        <v>2.5725238453871627E-4</v>
      </c>
      <c r="O188" s="14"/>
      <c r="P188" s="14"/>
      <c r="Q188" s="14"/>
      <c r="R188" s="14"/>
    </row>
    <row r="189" spans="1:18" x14ac:dyDescent="0.25">
      <c r="A189" s="16" t="s">
        <v>894</v>
      </c>
      <c r="B189" s="117" t="s">
        <v>895</v>
      </c>
      <c r="C189" s="117" t="s">
        <v>864</v>
      </c>
      <c r="D189" s="117" t="s">
        <v>416</v>
      </c>
      <c r="E189" s="117" t="s">
        <v>896</v>
      </c>
      <c r="F189" s="117" t="s">
        <v>183</v>
      </c>
      <c r="G189" s="118" t="s">
        <v>125</v>
      </c>
      <c r="H189" s="69">
        <v>1173.1507661684352</v>
      </c>
      <c r="I189" s="66">
        <v>15922</v>
      </c>
      <c r="J189" s="66">
        <v>0</v>
      </c>
      <c r="K189" s="64">
        <v>714.28138000000001</v>
      </c>
      <c r="L189" s="24">
        <v>2.4574846245090694E-5</v>
      </c>
      <c r="M189" s="32">
        <v>1.792653532471799E-3</v>
      </c>
      <c r="N189" s="32">
        <v>8.1877663014721415E-4</v>
      </c>
      <c r="O189" s="14"/>
      <c r="P189" s="14"/>
      <c r="Q189" s="14"/>
      <c r="R189" s="14"/>
    </row>
    <row r="190" spans="1:18" x14ac:dyDescent="0.25">
      <c r="A190" s="16" t="s">
        <v>897</v>
      </c>
      <c r="B190" s="117" t="s">
        <v>898</v>
      </c>
      <c r="C190" s="117" t="s">
        <v>864</v>
      </c>
      <c r="D190" s="117" t="s">
        <v>416</v>
      </c>
      <c r="E190" s="117" t="s">
        <v>899</v>
      </c>
      <c r="F190" s="117" t="s">
        <v>172</v>
      </c>
      <c r="G190" s="118" t="s">
        <v>125</v>
      </c>
      <c r="H190" s="69">
        <v>2591.7606051051866</v>
      </c>
      <c r="I190" s="66">
        <v>487</v>
      </c>
      <c r="J190" s="66">
        <v>0</v>
      </c>
      <c r="K190" s="64">
        <v>48.26605</v>
      </c>
      <c r="L190" s="24">
        <v>5.0845960218526509E-5</v>
      </c>
      <c r="M190" s="32">
        <v>1.2113476208908103E-4</v>
      </c>
      <c r="N190" s="32">
        <v>5.5327095002136191E-5</v>
      </c>
      <c r="O190" s="14"/>
      <c r="P190" s="14"/>
      <c r="Q190" s="14"/>
      <c r="R190" s="14"/>
    </row>
    <row r="191" spans="1:18" x14ac:dyDescent="0.25">
      <c r="A191" s="16" t="s">
        <v>880</v>
      </c>
      <c r="B191" s="117" t="s">
        <v>881</v>
      </c>
      <c r="C191" s="117" t="s">
        <v>864</v>
      </c>
      <c r="D191" s="117" t="s">
        <v>416</v>
      </c>
      <c r="E191" s="117" t="s">
        <v>882</v>
      </c>
      <c r="F191" s="117" t="s">
        <v>183</v>
      </c>
      <c r="G191" s="118" t="s">
        <v>125</v>
      </c>
      <c r="H191" s="69">
        <v>736.05651979948004</v>
      </c>
      <c r="I191" s="66">
        <v>23444</v>
      </c>
      <c r="J191" s="66">
        <v>0</v>
      </c>
      <c r="K191" s="64">
        <v>659.87360999999999</v>
      </c>
      <c r="L191" s="24">
        <v>2.3851892102412783E-6</v>
      </c>
      <c r="M191" s="32">
        <v>1.6561047103753682E-3</v>
      </c>
      <c r="N191" s="32">
        <v>7.5640931689816276E-4</v>
      </c>
      <c r="O191" s="14"/>
      <c r="P191" s="14"/>
      <c r="Q191" s="14"/>
      <c r="R191" s="14"/>
    </row>
    <row r="192" spans="1:18" x14ac:dyDescent="0.25">
      <c r="A192" s="16" t="s">
        <v>875</v>
      </c>
      <c r="B192" s="117" t="s">
        <v>876</v>
      </c>
      <c r="C192" s="117" t="s">
        <v>864</v>
      </c>
      <c r="D192" s="117" t="s">
        <v>416</v>
      </c>
      <c r="E192" s="117" t="s">
        <v>425</v>
      </c>
      <c r="F192" s="117" t="s">
        <v>2083</v>
      </c>
      <c r="G192" s="118" t="s">
        <v>125</v>
      </c>
      <c r="H192" s="69">
        <v>446.87555078572262</v>
      </c>
      <c r="I192" s="66">
        <v>12951</v>
      </c>
      <c r="J192" s="66">
        <v>0</v>
      </c>
      <c r="K192" s="64">
        <v>221.31344000000001</v>
      </c>
      <c r="L192" s="24">
        <v>7.9012165318710783E-6</v>
      </c>
      <c r="M192" s="32">
        <v>5.5543701839110742E-4</v>
      </c>
      <c r="N192" s="32">
        <v>2.5369032104615086E-4</v>
      </c>
      <c r="O192" s="14"/>
      <c r="P192" s="14"/>
      <c r="Q192" s="14"/>
      <c r="R192" s="14"/>
    </row>
    <row r="193" spans="1:18" x14ac:dyDescent="0.25">
      <c r="A193" s="16" t="s">
        <v>937</v>
      </c>
      <c r="B193" s="117" t="s">
        <v>938</v>
      </c>
      <c r="C193" s="117" t="s">
        <v>864</v>
      </c>
      <c r="D193" s="117" t="s">
        <v>416</v>
      </c>
      <c r="E193" s="117" t="s">
        <v>939</v>
      </c>
      <c r="F193" s="117" t="s">
        <v>172</v>
      </c>
      <c r="G193" s="118" t="s">
        <v>125</v>
      </c>
      <c r="H193" s="69">
        <v>4454.1459092748046</v>
      </c>
      <c r="I193" s="66">
        <v>379</v>
      </c>
      <c r="J193" s="66">
        <v>0</v>
      </c>
      <c r="K193" s="64">
        <v>64.553759999999997</v>
      </c>
      <c r="L193" s="24">
        <v>1.4795434308021353E-5</v>
      </c>
      <c r="M193" s="32">
        <v>1.6201251934963882E-4</v>
      </c>
      <c r="N193" s="32">
        <v>7.3997603124040582E-5</v>
      </c>
      <c r="O193" s="14"/>
      <c r="P193" s="14"/>
      <c r="Q193" s="14"/>
      <c r="R193" s="14"/>
    </row>
    <row r="194" spans="1:18" x14ac:dyDescent="0.25">
      <c r="A194" s="16" t="s">
        <v>910</v>
      </c>
      <c r="B194" s="117" t="s">
        <v>911</v>
      </c>
      <c r="C194" s="117" t="s">
        <v>885</v>
      </c>
      <c r="D194" s="117" t="s">
        <v>416</v>
      </c>
      <c r="E194" s="117" t="s">
        <v>444</v>
      </c>
      <c r="F194" s="117" t="s">
        <v>178</v>
      </c>
      <c r="G194" s="118" t="s">
        <v>125</v>
      </c>
      <c r="H194" s="69">
        <v>266130.69266692578</v>
      </c>
      <c r="I194" s="66">
        <v>1019.9999999999999</v>
      </c>
      <c r="J194" s="66">
        <v>0</v>
      </c>
      <c r="K194" s="64">
        <v>10380.37444</v>
      </c>
      <c r="L194" s="24">
        <v>2.3753062405285281E-4</v>
      </c>
      <c r="M194" s="32">
        <v>2.605193895470994E-2</v>
      </c>
      <c r="N194" s="32">
        <v>1.1898963408019225E-2</v>
      </c>
      <c r="O194" s="14"/>
      <c r="P194" s="14"/>
      <c r="Q194" s="14"/>
      <c r="R194" s="14"/>
    </row>
    <row r="195" spans="1:18" x14ac:dyDescent="0.25">
      <c r="A195" s="16" t="s">
        <v>877</v>
      </c>
      <c r="B195" s="117" t="s">
        <v>878</v>
      </c>
      <c r="C195" s="117" t="s">
        <v>864</v>
      </c>
      <c r="D195" s="117" t="s">
        <v>416</v>
      </c>
      <c r="E195" s="117" t="s">
        <v>879</v>
      </c>
      <c r="F195" s="117" t="s">
        <v>178</v>
      </c>
      <c r="G195" s="118" t="s">
        <v>125</v>
      </c>
      <c r="H195" s="69">
        <v>1979.0572021171629</v>
      </c>
      <c r="I195" s="66">
        <v>1401</v>
      </c>
      <c r="J195" s="66">
        <v>0</v>
      </c>
      <c r="K195" s="64">
        <v>106.02649000000001</v>
      </c>
      <c r="L195" s="24">
        <v>6.424052678816365E-5</v>
      </c>
      <c r="M195" s="32">
        <v>2.6609788124966365E-4</v>
      </c>
      <c r="N195" s="32">
        <v>1.2153755455383326E-4</v>
      </c>
      <c r="O195" s="14"/>
      <c r="P195" s="14"/>
      <c r="Q195" s="14"/>
      <c r="R195" s="14"/>
    </row>
    <row r="196" spans="1:18" x14ac:dyDescent="0.25">
      <c r="A196" s="16" t="s">
        <v>889</v>
      </c>
      <c r="B196" s="117" t="s">
        <v>890</v>
      </c>
      <c r="C196" s="117" t="s">
        <v>864</v>
      </c>
      <c r="D196" s="117" t="s">
        <v>416</v>
      </c>
      <c r="E196" s="117" t="s">
        <v>417</v>
      </c>
      <c r="F196" s="117" t="s">
        <v>183</v>
      </c>
      <c r="G196" s="118" t="s">
        <v>125</v>
      </c>
      <c r="H196" s="69">
        <v>374.22843100545055</v>
      </c>
      <c r="I196" s="66">
        <v>9180</v>
      </c>
      <c r="J196" s="66">
        <v>0</v>
      </c>
      <c r="K196" s="64">
        <v>131.37035</v>
      </c>
      <c r="L196" s="24">
        <v>6.5469088168064708E-6</v>
      </c>
      <c r="M196" s="32">
        <v>3.2970413143004881E-4</v>
      </c>
      <c r="N196" s="32">
        <v>1.5058907523847264E-4</v>
      </c>
      <c r="O196" s="14"/>
      <c r="P196" s="14"/>
      <c r="Q196" s="14"/>
      <c r="R196" s="14"/>
    </row>
    <row r="197" spans="1:18" x14ac:dyDescent="0.25">
      <c r="A197" s="16" t="s">
        <v>918</v>
      </c>
      <c r="B197" s="117" t="s">
        <v>919</v>
      </c>
      <c r="C197" s="117" t="s">
        <v>885</v>
      </c>
      <c r="D197" s="117" t="s">
        <v>416</v>
      </c>
      <c r="E197" s="117" t="s">
        <v>442</v>
      </c>
      <c r="F197" s="117" t="s">
        <v>165</v>
      </c>
      <c r="G197" s="118" t="s">
        <v>125</v>
      </c>
      <c r="H197" s="69">
        <v>4651.3843984293117</v>
      </c>
      <c r="I197" s="66">
        <v>555</v>
      </c>
      <c r="J197" s="66">
        <v>0</v>
      </c>
      <c r="K197" s="64">
        <v>98.717259999999996</v>
      </c>
      <c r="L197" s="24">
        <v>3.6073734828141076E-6</v>
      </c>
      <c r="M197" s="32">
        <v>2.4775368616627947E-4</v>
      </c>
      <c r="N197" s="32">
        <v>1.1315902632120463E-4</v>
      </c>
      <c r="O197" s="14"/>
      <c r="P197" s="14"/>
      <c r="Q197" s="14"/>
      <c r="R197" s="14"/>
    </row>
    <row r="198" spans="1:18" x14ac:dyDescent="0.25">
      <c r="A198" s="16" t="s">
        <v>922</v>
      </c>
      <c r="B198" s="117" t="s">
        <v>923</v>
      </c>
      <c r="C198" s="117" t="s">
        <v>864</v>
      </c>
      <c r="D198" s="117" t="s">
        <v>416</v>
      </c>
      <c r="E198" s="117" t="s">
        <v>450</v>
      </c>
      <c r="F198" s="117" t="s">
        <v>166</v>
      </c>
      <c r="G198" s="118" t="s">
        <v>125</v>
      </c>
      <c r="H198" s="69">
        <v>804.16931904411035</v>
      </c>
      <c r="I198" s="66">
        <v>19798</v>
      </c>
      <c r="J198" s="66">
        <v>0</v>
      </c>
      <c r="K198" s="64">
        <v>608.81691000000001</v>
      </c>
      <c r="L198" s="24">
        <v>1.8110815779786741E-5</v>
      </c>
      <c r="M198" s="32">
        <v>1.5279661697748098E-3</v>
      </c>
      <c r="N198" s="32">
        <v>6.9788331588097638E-4</v>
      </c>
      <c r="O198" s="14"/>
      <c r="P198" s="14"/>
      <c r="Q198" s="14"/>
      <c r="R198" s="14"/>
    </row>
    <row r="199" spans="1:18" x14ac:dyDescent="0.25">
      <c r="A199" s="16" t="s">
        <v>916</v>
      </c>
      <c r="B199" s="117" t="s">
        <v>917</v>
      </c>
      <c r="C199" s="117" t="s">
        <v>864</v>
      </c>
      <c r="D199" s="117" t="s">
        <v>416</v>
      </c>
      <c r="E199" s="117" t="s">
        <v>832</v>
      </c>
      <c r="F199" s="117" t="s">
        <v>183</v>
      </c>
      <c r="G199" s="118" t="s">
        <v>125</v>
      </c>
      <c r="H199" s="69">
        <v>20737.193834686164</v>
      </c>
      <c r="I199" s="66">
        <v>218.00000000000003</v>
      </c>
      <c r="J199" s="66">
        <v>0</v>
      </c>
      <c r="K199" s="64">
        <v>172.87188</v>
      </c>
      <c r="L199" s="24">
        <v>5.4387459740388175E-4</v>
      </c>
      <c r="M199" s="32">
        <v>4.3386177355909933E-4</v>
      </c>
      <c r="N199" s="32">
        <v>1.9816203994231738E-4</v>
      </c>
      <c r="O199" s="14"/>
      <c r="P199" s="14"/>
      <c r="Q199" s="14"/>
      <c r="R199" s="14"/>
    </row>
    <row r="200" spans="1:18" x14ac:dyDescent="0.25">
      <c r="A200" s="16" t="s">
        <v>929</v>
      </c>
      <c r="B200" s="117" t="s">
        <v>930</v>
      </c>
      <c r="C200" s="117" t="s">
        <v>885</v>
      </c>
      <c r="D200" s="117" t="s">
        <v>416</v>
      </c>
      <c r="E200" s="117" t="s">
        <v>829</v>
      </c>
      <c r="F200" s="117" t="s">
        <v>187</v>
      </c>
      <c r="G200" s="118" t="s">
        <v>125</v>
      </c>
      <c r="H200" s="69">
        <v>8712.309398541518</v>
      </c>
      <c r="I200" s="66">
        <v>1552</v>
      </c>
      <c r="J200" s="66">
        <v>0</v>
      </c>
      <c r="K200" s="64">
        <v>517.06232</v>
      </c>
      <c r="L200" s="24">
        <v>6.7786436724919679E-4</v>
      </c>
      <c r="M200" s="32">
        <v>1.2976869066026386E-3</v>
      </c>
      <c r="N200" s="32">
        <v>5.9270555806130692E-4</v>
      </c>
      <c r="O200" s="14"/>
      <c r="P200" s="14"/>
      <c r="Q200" s="14"/>
      <c r="R200" s="14"/>
    </row>
    <row r="201" spans="1:18" x14ac:dyDescent="0.25">
      <c r="A201" s="16" t="s">
        <v>866</v>
      </c>
      <c r="B201" s="117" t="s">
        <v>867</v>
      </c>
      <c r="C201" s="117" t="s">
        <v>864</v>
      </c>
      <c r="D201" s="117" t="s">
        <v>416</v>
      </c>
      <c r="E201" s="117" t="s">
        <v>868</v>
      </c>
      <c r="F201" s="117" t="s">
        <v>183</v>
      </c>
      <c r="G201" s="118" t="s">
        <v>125</v>
      </c>
      <c r="H201" s="69">
        <v>16778.571657818182</v>
      </c>
      <c r="I201" s="66">
        <v>8449</v>
      </c>
      <c r="J201" s="66">
        <v>0</v>
      </c>
      <c r="K201" s="64">
        <v>5420.9846900000002</v>
      </c>
      <c r="L201" s="24">
        <v>1.4096560127886497E-4</v>
      </c>
      <c r="M201" s="32">
        <v>1.3605208852012973E-2</v>
      </c>
      <c r="N201" s="32">
        <v>6.2140435139970192E-3</v>
      </c>
      <c r="O201" s="14"/>
      <c r="P201" s="14"/>
      <c r="Q201" s="14"/>
      <c r="R201" s="14"/>
    </row>
    <row r="202" spans="1:18" x14ac:dyDescent="0.25">
      <c r="A202" s="16" t="s">
        <v>935</v>
      </c>
      <c r="B202" s="117" t="s">
        <v>936</v>
      </c>
      <c r="C202" s="117" t="s">
        <v>864</v>
      </c>
      <c r="D202" s="117" t="s">
        <v>416</v>
      </c>
      <c r="E202" s="117" t="s">
        <v>525</v>
      </c>
      <c r="F202" s="117" t="s">
        <v>187</v>
      </c>
      <c r="G202" s="118" t="s">
        <v>125</v>
      </c>
      <c r="H202" s="69">
        <v>5027.3054048802869</v>
      </c>
      <c r="I202" s="66">
        <v>1569</v>
      </c>
      <c r="J202" s="66">
        <v>0</v>
      </c>
      <c r="K202" s="64">
        <v>301.63108</v>
      </c>
      <c r="L202" s="24">
        <v>4.2655872116116287E-5</v>
      </c>
      <c r="M202" s="32">
        <v>7.5701262304399405E-4</v>
      </c>
      <c r="N202" s="32">
        <v>3.4575796898144644E-4</v>
      </c>
      <c r="O202" s="14"/>
      <c r="P202" s="14"/>
      <c r="Q202" s="14"/>
      <c r="R202" s="14"/>
    </row>
    <row r="203" spans="1:18" x14ac:dyDescent="0.25">
      <c r="A203" s="16" t="s">
        <v>891</v>
      </c>
      <c r="B203" s="117" t="s">
        <v>892</v>
      </c>
      <c r="C203" s="117" t="s">
        <v>864</v>
      </c>
      <c r="D203" s="117" t="s">
        <v>416</v>
      </c>
      <c r="E203" s="117" t="s">
        <v>893</v>
      </c>
      <c r="F203" s="117" t="s">
        <v>173</v>
      </c>
      <c r="G203" s="118" t="s">
        <v>125</v>
      </c>
      <c r="H203" s="69">
        <v>3505.7888495969323</v>
      </c>
      <c r="I203" s="66">
        <v>715</v>
      </c>
      <c r="J203" s="66">
        <v>0</v>
      </c>
      <c r="K203" s="64">
        <v>95.853880000000004</v>
      </c>
      <c r="L203" s="24">
        <v>2.9545607370066672E-5</v>
      </c>
      <c r="M203" s="32">
        <v>2.4056737497921049E-4</v>
      </c>
      <c r="N203" s="32">
        <v>1.0987675032623061E-4</v>
      </c>
      <c r="O203" s="14"/>
      <c r="P203" s="14"/>
      <c r="Q203" s="14"/>
      <c r="R203" s="14"/>
    </row>
    <row r="204" spans="1:18" x14ac:dyDescent="0.25">
      <c r="A204" s="16" t="s">
        <v>924</v>
      </c>
      <c r="B204" s="117" t="s">
        <v>925</v>
      </c>
      <c r="C204" s="117" t="s">
        <v>864</v>
      </c>
      <c r="D204" s="117" t="s">
        <v>416</v>
      </c>
      <c r="E204" s="117" t="s">
        <v>926</v>
      </c>
      <c r="F204" s="117" t="s">
        <v>184</v>
      </c>
      <c r="G204" s="118" t="s">
        <v>125</v>
      </c>
      <c r="H204" s="69">
        <v>12026.193955041974</v>
      </c>
      <c r="I204" s="66">
        <v>643</v>
      </c>
      <c r="J204" s="66">
        <v>0</v>
      </c>
      <c r="K204" s="64">
        <v>295.70390999999995</v>
      </c>
      <c r="L204" s="24">
        <v>2.1239561425569401E-4</v>
      </c>
      <c r="M204" s="32">
        <v>7.4213702564558367E-4</v>
      </c>
      <c r="N204" s="32">
        <v>3.3896368816327681E-4</v>
      </c>
      <c r="O204" s="14"/>
      <c r="P204" s="14"/>
      <c r="Q204" s="14"/>
      <c r="R204" s="14"/>
    </row>
    <row r="205" spans="1:18" x14ac:dyDescent="0.25">
      <c r="A205" s="16" t="s">
        <v>869</v>
      </c>
      <c r="B205" s="117" t="s">
        <v>870</v>
      </c>
      <c r="C205" s="117" t="s">
        <v>864</v>
      </c>
      <c r="D205" s="117" t="s">
        <v>416</v>
      </c>
      <c r="E205" s="117" t="s">
        <v>871</v>
      </c>
      <c r="F205" s="117" t="s">
        <v>183</v>
      </c>
      <c r="G205" s="118" t="s">
        <v>125</v>
      </c>
      <c r="H205" s="69">
        <v>25995.731770300543</v>
      </c>
      <c r="I205" s="66">
        <v>2299</v>
      </c>
      <c r="J205" s="66">
        <v>0</v>
      </c>
      <c r="K205" s="64">
        <v>2285.3825200000001</v>
      </c>
      <c r="L205" s="24">
        <v>4.0446982306426211E-4</v>
      </c>
      <c r="M205" s="32">
        <v>5.7356934707262037E-3</v>
      </c>
      <c r="N205" s="32">
        <v>2.6197208141180276E-3</v>
      </c>
      <c r="O205" s="14"/>
      <c r="P205" s="14"/>
      <c r="Q205" s="14"/>
      <c r="R205" s="14"/>
    </row>
    <row r="206" spans="1:18" x14ac:dyDescent="0.25">
      <c r="A206" s="16" t="s">
        <v>920</v>
      </c>
      <c r="B206" s="117" t="s">
        <v>921</v>
      </c>
      <c r="C206" s="117" t="s">
        <v>864</v>
      </c>
      <c r="D206" s="117" t="s">
        <v>416</v>
      </c>
      <c r="E206" s="117" t="s">
        <v>474</v>
      </c>
      <c r="F206" s="117" t="s">
        <v>185</v>
      </c>
      <c r="G206" s="118" t="s">
        <v>125</v>
      </c>
      <c r="H206" s="69">
        <v>19015.978230965102</v>
      </c>
      <c r="I206" s="66">
        <v>2456</v>
      </c>
      <c r="J206" s="66">
        <v>0</v>
      </c>
      <c r="K206" s="64">
        <v>1785.93199</v>
      </c>
      <c r="L206" s="24">
        <v>1.7213410224119384E-4</v>
      </c>
      <c r="M206" s="32">
        <v>4.4822074049135786E-3</v>
      </c>
      <c r="N206" s="32">
        <v>2.0472035494531696E-3</v>
      </c>
      <c r="O206" s="14"/>
      <c r="P206" s="14"/>
      <c r="Q206" s="14"/>
      <c r="R206" s="14"/>
    </row>
    <row r="207" spans="1:18" x14ac:dyDescent="0.25">
      <c r="A207" s="16" t="s">
        <v>914</v>
      </c>
      <c r="B207" s="117" t="s">
        <v>915</v>
      </c>
      <c r="C207" s="117" t="s">
        <v>864</v>
      </c>
      <c r="D207" s="117" t="s">
        <v>416</v>
      </c>
      <c r="E207" s="117" t="s">
        <v>580</v>
      </c>
      <c r="F207" s="117" t="s">
        <v>183</v>
      </c>
      <c r="G207" s="118" t="s">
        <v>125</v>
      </c>
      <c r="H207" s="69">
        <v>21514.281946601885</v>
      </c>
      <c r="I207" s="66">
        <v>1129</v>
      </c>
      <c r="J207" s="66">
        <v>0</v>
      </c>
      <c r="K207" s="64">
        <v>928.83523000000002</v>
      </c>
      <c r="L207" s="24">
        <v>4.3823473496611457E-4</v>
      </c>
      <c r="M207" s="32">
        <v>2.3311258038726363E-3</v>
      </c>
      <c r="N207" s="32">
        <v>1.0647184721256663E-3</v>
      </c>
      <c r="O207" s="14"/>
      <c r="P207" s="14"/>
      <c r="Q207" s="14"/>
      <c r="R207" s="14"/>
    </row>
    <row r="208" spans="1:18" x14ac:dyDescent="0.25">
      <c r="A208" s="16" t="s">
        <v>912</v>
      </c>
      <c r="B208" s="117" t="s">
        <v>913</v>
      </c>
      <c r="C208" s="117" t="s">
        <v>864</v>
      </c>
      <c r="D208" s="117" t="s">
        <v>416</v>
      </c>
      <c r="E208" s="117" t="s">
        <v>499</v>
      </c>
      <c r="F208" s="117" t="s">
        <v>185</v>
      </c>
      <c r="G208" s="118" t="s">
        <v>125</v>
      </c>
      <c r="H208" s="69">
        <v>2925.2603259162283</v>
      </c>
      <c r="I208" s="66">
        <v>11244</v>
      </c>
      <c r="J208" s="66">
        <v>0</v>
      </c>
      <c r="K208" s="64">
        <v>1257.7758200000001</v>
      </c>
      <c r="L208" s="24">
        <v>1.0155360853530646E-4</v>
      </c>
      <c r="M208" s="32">
        <v>3.1566779282145279E-3</v>
      </c>
      <c r="N208" s="32">
        <v>1.4417811750605189E-3</v>
      </c>
      <c r="O208" s="14"/>
      <c r="P208" s="14"/>
      <c r="Q208" s="14"/>
      <c r="R208" s="14"/>
    </row>
    <row r="209" spans="1:18" x14ac:dyDescent="0.25">
      <c r="A209" s="16" t="s">
        <v>908</v>
      </c>
      <c r="B209" s="117" t="s">
        <v>909</v>
      </c>
      <c r="C209" s="117" t="s">
        <v>864</v>
      </c>
      <c r="D209" s="117" t="s">
        <v>416</v>
      </c>
      <c r="E209" s="117" t="s">
        <v>421</v>
      </c>
      <c r="F209" s="117" t="s">
        <v>183</v>
      </c>
      <c r="G209" s="118" t="s">
        <v>125</v>
      </c>
      <c r="H209" s="69">
        <v>4526.0625491259561</v>
      </c>
      <c r="I209" s="66">
        <v>17000</v>
      </c>
      <c r="J209" s="66">
        <v>0</v>
      </c>
      <c r="K209" s="64">
        <v>2942.3027400000001</v>
      </c>
      <c r="L209" s="24">
        <v>7.1467409316255286E-5</v>
      </c>
      <c r="M209" s="32">
        <v>7.3843859691014955E-3</v>
      </c>
      <c r="N209" s="32">
        <v>3.3727446770768612E-3</v>
      </c>
      <c r="O209" s="14"/>
      <c r="P209" s="14"/>
      <c r="Q209" s="14"/>
      <c r="R209" s="14"/>
    </row>
    <row r="210" spans="1:18" x14ac:dyDescent="0.25">
      <c r="A210" s="16" t="s">
        <v>927</v>
      </c>
      <c r="B210" s="117" t="s">
        <v>928</v>
      </c>
      <c r="C210" s="117" t="s">
        <v>864</v>
      </c>
      <c r="D210" s="117" t="s">
        <v>416</v>
      </c>
      <c r="E210" s="117" t="s">
        <v>657</v>
      </c>
      <c r="F210" s="117" t="s">
        <v>183</v>
      </c>
      <c r="G210" s="118" t="s">
        <v>125</v>
      </c>
      <c r="H210" s="69">
        <v>789.63098679623738</v>
      </c>
      <c r="I210" s="66">
        <v>2843</v>
      </c>
      <c r="J210" s="66">
        <v>0</v>
      </c>
      <c r="K210" s="64">
        <v>85.845770000000002</v>
      </c>
      <c r="L210" s="24">
        <v>1.4315906234933283E-5</v>
      </c>
      <c r="M210" s="32">
        <v>2.154497193224631E-4</v>
      </c>
      <c r="N210" s="32">
        <v>9.8404511500765722E-5</v>
      </c>
      <c r="O210" s="14"/>
      <c r="P210" s="14"/>
      <c r="Q210" s="14"/>
      <c r="R210" s="14"/>
    </row>
    <row r="211" spans="1:18" x14ac:dyDescent="0.25">
      <c r="A211" s="16" t="s">
        <v>931</v>
      </c>
      <c r="B211" s="117" t="s">
        <v>932</v>
      </c>
      <c r="C211" s="117" t="s">
        <v>864</v>
      </c>
      <c r="D211" s="117" t="s">
        <v>416</v>
      </c>
      <c r="E211" s="117" t="s">
        <v>660</v>
      </c>
      <c r="F211" s="117" t="s">
        <v>172</v>
      </c>
      <c r="G211" s="118" t="s">
        <v>125</v>
      </c>
      <c r="H211" s="69">
        <v>21370.894081490511</v>
      </c>
      <c r="I211" s="66">
        <v>3063</v>
      </c>
      <c r="J211" s="66">
        <v>0</v>
      </c>
      <c r="K211" s="64">
        <v>2503.1540199999999</v>
      </c>
      <c r="L211" s="24">
        <v>4.5431816948114976E-4</v>
      </c>
      <c r="M211" s="32">
        <v>6.2822411754230303E-3</v>
      </c>
      <c r="N211" s="32">
        <v>2.8693510297511213E-3</v>
      </c>
      <c r="O211" s="14"/>
      <c r="P211" s="14"/>
      <c r="Q211" s="14"/>
      <c r="R211" s="14"/>
    </row>
    <row r="212" spans="1:18" x14ac:dyDescent="0.25">
      <c r="A212" s="16" t="s">
        <v>862</v>
      </c>
      <c r="B212" s="117" t="s">
        <v>863</v>
      </c>
      <c r="C212" s="117" t="s">
        <v>864</v>
      </c>
      <c r="D212" s="117" t="s">
        <v>416</v>
      </c>
      <c r="E212" s="117" t="s">
        <v>865</v>
      </c>
      <c r="F212" s="117" t="s">
        <v>183</v>
      </c>
      <c r="G212" s="118" t="s">
        <v>125</v>
      </c>
      <c r="H212" s="69">
        <v>106.79260232077273</v>
      </c>
      <c r="I212" s="66">
        <v>13328</v>
      </c>
      <c r="J212" s="66">
        <v>0</v>
      </c>
      <c r="K212" s="64">
        <v>54.42821</v>
      </c>
      <c r="L212" s="24">
        <v>9.1280605360182729E-7</v>
      </c>
      <c r="M212" s="32">
        <v>1.3660012098119778E-4</v>
      </c>
      <c r="N212" s="32">
        <v>6.2390743503274441E-5</v>
      </c>
      <c r="O212" s="14"/>
      <c r="P212" s="14"/>
      <c r="Q212" s="14"/>
      <c r="R212" s="14"/>
    </row>
    <row r="213" spans="1:18" x14ac:dyDescent="0.25">
      <c r="A213" s="16" t="s">
        <v>933</v>
      </c>
      <c r="B213" s="117" t="s">
        <v>934</v>
      </c>
      <c r="C213" s="117" t="s">
        <v>864</v>
      </c>
      <c r="D213" s="117" t="s">
        <v>416</v>
      </c>
      <c r="E213" s="117" t="s">
        <v>592</v>
      </c>
      <c r="F213" s="117" t="s">
        <v>185</v>
      </c>
      <c r="G213" s="118" t="s">
        <v>125</v>
      </c>
      <c r="H213" s="69">
        <v>9038.3617873922522</v>
      </c>
      <c r="I213" s="66">
        <v>6226</v>
      </c>
      <c r="J213" s="66">
        <v>0</v>
      </c>
      <c r="K213" s="64">
        <v>2151.8734199999999</v>
      </c>
      <c r="L213" s="24">
        <v>2.0211399889980529E-4</v>
      </c>
      <c r="M213" s="32">
        <v>5.4006216538854358E-3</v>
      </c>
      <c r="N213" s="32">
        <v>2.4666801020782041E-3</v>
      </c>
      <c r="O213" s="14"/>
      <c r="P213" s="14"/>
      <c r="Q213" s="14"/>
      <c r="R213" s="14"/>
    </row>
    <row r="214" spans="1:18" s="119" customFormat="1" x14ac:dyDescent="0.25">
      <c r="A214" s="92" t="s">
        <v>144</v>
      </c>
      <c r="B214" s="131" t="s">
        <v>249</v>
      </c>
      <c r="C214" s="131" t="s">
        <v>249</v>
      </c>
      <c r="D214" s="131" t="s">
        <v>249</v>
      </c>
      <c r="E214" s="131" t="s">
        <v>249</v>
      </c>
      <c r="F214" s="131" t="s">
        <v>249</v>
      </c>
      <c r="G214" s="132" t="s">
        <v>249</v>
      </c>
      <c r="H214" s="135" t="s">
        <v>249</v>
      </c>
      <c r="I214" s="122" t="s">
        <v>249</v>
      </c>
      <c r="J214" s="122" t="s">
        <v>249</v>
      </c>
      <c r="K214" s="152">
        <v>97035.56801009996</v>
      </c>
      <c r="L214" s="137"/>
      <c r="M214" s="121">
        <v>0.24353309303500703</v>
      </c>
      <c r="N214" s="121">
        <v>0.11123131248322679</v>
      </c>
    </row>
    <row r="215" spans="1:18" x14ac:dyDescent="0.25">
      <c r="A215" s="16" t="s">
        <v>940</v>
      </c>
      <c r="B215" s="117" t="s">
        <v>941</v>
      </c>
      <c r="C215" s="117" t="s">
        <v>942</v>
      </c>
      <c r="D215" s="117" t="s">
        <v>416</v>
      </c>
      <c r="E215" s="175" t="s">
        <v>1939</v>
      </c>
      <c r="F215" s="117" t="s">
        <v>164</v>
      </c>
      <c r="G215" s="118" t="s">
        <v>126</v>
      </c>
      <c r="H215" s="69">
        <v>9322.4103785102943</v>
      </c>
      <c r="I215" s="66">
        <v>6231</v>
      </c>
      <c r="J215" s="66">
        <v>27.960649420000003</v>
      </c>
      <c r="K215" s="64">
        <v>2382.3229100000003</v>
      </c>
      <c r="L215" s="24">
        <v>3.8646090939797309E-6</v>
      </c>
      <c r="M215" s="32">
        <v>5.9789876926373137E-3</v>
      </c>
      <c r="N215" s="32">
        <v>2.7308430245967003E-3</v>
      </c>
      <c r="O215" s="14"/>
      <c r="P215" s="14"/>
      <c r="Q215" s="14"/>
      <c r="R215" s="14"/>
    </row>
    <row r="216" spans="1:18" x14ac:dyDescent="0.25">
      <c r="A216" s="16" t="s">
        <v>940</v>
      </c>
      <c r="B216" s="117" t="s">
        <v>941</v>
      </c>
      <c r="C216" s="117" t="s">
        <v>942</v>
      </c>
      <c r="D216" s="117" t="s">
        <v>416</v>
      </c>
      <c r="E216" s="175" t="s">
        <v>1939</v>
      </c>
      <c r="F216" s="117" t="s">
        <v>164</v>
      </c>
      <c r="G216" s="118" t="s">
        <v>126</v>
      </c>
      <c r="H216" s="69">
        <v>25.866076329450674</v>
      </c>
      <c r="I216" s="66">
        <v>6231</v>
      </c>
      <c r="J216" s="66">
        <v>5.8184599199999999E-2</v>
      </c>
      <c r="K216" s="64">
        <v>6.59063</v>
      </c>
      <c r="L216" s="24">
        <v>1.072279268447553E-8</v>
      </c>
      <c r="M216" s="32">
        <v>1.654070297998614E-5</v>
      </c>
      <c r="N216" s="32">
        <v>7.5548011932596279E-6</v>
      </c>
      <c r="O216" s="14"/>
      <c r="P216" s="14"/>
      <c r="Q216" s="14"/>
      <c r="R216" s="14"/>
    </row>
    <row r="217" spans="1:18" x14ac:dyDescent="0.25">
      <c r="A217" s="16" t="s">
        <v>943</v>
      </c>
      <c r="B217" s="117" t="s">
        <v>944</v>
      </c>
      <c r="C217" s="117" t="s">
        <v>942</v>
      </c>
      <c r="D217" s="117" t="s">
        <v>416</v>
      </c>
      <c r="E217" s="175" t="s">
        <v>1940</v>
      </c>
      <c r="F217" s="117" t="s">
        <v>166</v>
      </c>
      <c r="G217" s="118" t="s">
        <v>126</v>
      </c>
      <c r="H217" s="69">
        <v>2154.7425414897521</v>
      </c>
      <c r="I217" s="66">
        <v>10502</v>
      </c>
      <c r="J217" s="66">
        <v>0</v>
      </c>
      <c r="K217" s="64">
        <v>917.1803000000001</v>
      </c>
      <c r="L217" s="24">
        <v>3.607605999088652E-6</v>
      </c>
      <c r="M217" s="32">
        <v>2.3018750743699135E-3</v>
      </c>
      <c r="N217" s="32">
        <v>1.051358493023311E-3</v>
      </c>
      <c r="O217" s="14"/>
      <c r="P217" s="14"/>
      <c r="Q217" s="14"/>
      <c r="R217" s="14"/>
    </row>
    <row r="218" spans="1:18" x14ac:dyDescent="0.25">
      <c r="A218" s="16" t="s">
        <v>945</v>
      </c>
      <c r="B218" s="117" t="s">
        <v>946</v>
      </c>
      <c r="C218" s="117" t="s">
        <v>218</v>
      </c>
      <c r="D218" s="117" t="s">
        <v>416</v>
      </c>
      <c r="E218" s="175" t="s">
        <v>1941</v>
      </c>
      <c r="F218" s="117" t="s">
        <v>185</v>
      </c>
      <c r="G218" s="118" t="s">
        <v>126</v>
      </c>
      <c r="H218" s="69">
        <v>344.27909490980448</v>
      </c>
      <c r="I218" s="66">
        <v>55910</v>
      </c>
      <c r="J218" s="66">
        <v>0</v>
      </c>
      <c r="K218" s="64">
        <v>780.16680000000008</v>
      </c>
      <c r="L218" s="24">
        <v>8.5399763901776261E-7</v>
      </c>
      <c r="M218" s="32">
        <v>1.9580081591056169E-3</v>
      </c>
      <c r="N218" s="32">
        <v>8.9430070745612265E-4</v>
      </c>
      <c r="O218" s="14"/>
      <c r="P218" s="14"/>
      <c r="Q218" s="14"/>
      <c r="R218" s="14"/>
    </row>
    <row r="219" spans="1:18" x14ac:dyDescent="0.25">
      <c r="A219" s="16" t="s">
        <v>947</v>
      </c>
      <c r="B219" s="117" t="s">
        <v>948</v>
      </c>
      <c r="C219" s="117" t="s">
        <v>949</v>
      </c>
      <c r="D219" s="117" t="s">
        <v>416</v>
      </c>
      <c r="E219" s="175" t="s">
        <v>1942</v>
      </c>
      <c r="F219" s="117" t="s">
        <v>182</v>
      </c>
      <c r="G219" s="118" t="s">
        <v>126</v>
      </c>
      <c r="H219" s="69">
        <v>113023.20909520383</v>
      </c>
      <c r="I219" s="66">
        <v>58.599999999999994</v>
      </c>
      <c r="J219" s="66">
        <v>0</v>
      </c>
      <c r="K219" s="64">
        <v>268.44329999999997</v>
      </c>
      <c r="L219" s="24">
        <v>1.4008756939306812E-4</v>
      </c>
      <c r="M219" s="32">
        <v>6.7372025015321958E-4</v>
      </c>
      <c r="N219" s="32">
        <v>3.0771500799810518E-4</v>
      </c>
      <c r="O219" s="14"/>
      <c r="P219" s="14"/>
      <c r="Q219" s="14"/>
      <c r="R219" s="14"/>
    </row>
    <row r="220" spans="1:18" x14ac:dyDescent="0.25">
      <c r="A220" s="16" t="s">
        <v>950</v>
      </c>
      <c r="B220" s="117" t="s">
        <v>951</v>
      </c>
      <c r="C220" s="117" t="s">
        <v>942</v>
      </c>
      <c r="D220" s="117" t="s">
        <v>416</v>
      </c>
      <c r="E220" s="175" t="s">
        <v>1943</v>
      </c>
      <c r="F220" s="117" t="s">
        <v>185</v>
      </c>
      <c r="G220" s="118" t="s">
        <v>126</v>
      </c>
      <c r="H220" s="69">
        <v>30.137652728584801</v>
      </c>
      <c r="I220" s="66">
        <v>15775</v>
      </c>
      <c r="J220" s="66">
        <v>0</v>
      </c>
      <c r="K220" s="64">
        <v>19.269310000000001</v>
      </c>
      <c r="L220" s="24">
        <v>8.4390115004585256E-7</v>
      </c>
      <c r="M220" s="32">
        <v>4.8360768748856603E-5</v>
      </c>
      <c r="N220" s="32">
        <v>2.2088299021685284E-5</v>
      </c>
      <c r="O220" s="14"/>
      <c r="P220" s="14"/>
      <c r="Q220" s="14"/>
      <c r="R220" s="14"/>
    </row>
    <row r="221" spans="1:18" x14ac:dyDescent="0.25">
      <c r="A221" s="16" t="s">
        <v>952</v>
      </c>
      <c r="B221" s="117" t="s">
        <v>953</v>
      </c>
      <c r="C221" s="117" t="s">
        <v>949</v>
      </c>
      <c r="D221" s="117" t="s">
        <v>416</v>
      </c>
      <c r="E221" s="175" t="s">
        <v>1944</v>
      </c>
      <c r="F221" s="117" t="s">
        <v>2084</v>
      </c>
      <c r="G221" s="118" t="s">
        <v>2</v>
      </c>
      <c r="H221" s="69">
        <v>84045.831089518528</v>
      </c>
      <c r="I221" s="66">
        <v>531.4</v>
      </c>
      <c r="J221" s="66">
        <v>0</v>
      </c>
      <c r="K221" s="64">
        <v>2089.2415799999999</v>
      </c>
      <c r="L221" s="24">
        <v>4.9096681897762061E-6</v>
      </c>
      <c r="M221" s="32">
        <v>5.2434326351527777E-3</v>
      </c>
      <c r="N221" s="32">
        <v>2.3948855847759059E-3</v>
      </c>
      <c r="O221" s="14"/>
      <c r="P221" s="14"/>
      <c r="Q221" s="14"/>
      <c r="R221" s="14"/>
    </row>
    <row r="222" spans="1:18" x14ac:dyDescent="0.25">
      <c r="A222" s="16" t="s">
        <v>954</v>
      </c>
      <c r="B222" s="117" t="s">
        <v>955</v>
      </c>
      <c r="C222" s="117" t="s">
        <v>956</v>
      </c>
      <c r="D222" s="117" t="s">
        <v>416</v>
      </c>
      <c r="E222" s="175" t="s">
        <v>1945</v>
      </c>
      <c r="F222" s="117" t="s">
        <v>172</v>
      </c>
      <c r="G222" s="118" t="s">
        <v>131</v>
      </c>
      <c r="H222" s="69">
        <v>21321.193762225008</v>
      </c>
      <c r="I222" s="66">
        <v>947.00000000000011</v>
      </c>
      <c r="J222" s="66">
        <v>0</v>
      </c>
      <c r="K222" s="64">
        <v>573.93402000000003</v>
      </c>
      <c r="L222" s="24">
        <v>3.3641995713575977E-4</v>
      </c>
      <c r="M222" s="32">
        <v>1.4404195281679333E-3</v>
      </c>
      <c r="N222" s="32">
        <v>6.5789726007199547E-4</v>
      </c>
      <c r="O222" s="14"/>
      <c r="P222" s="14"/>
      <c r="Q222" s="14"/>
      <c r="R222" s="14"/>
    </row>
    <row r="223" spans="1:18" x14ac:dyDescent="0.25">
      <c r="A223" s="16" t="s">
        <v>957</v>
      </c>
      <c r="B223" s="117" t="s">
        <v>958</v>
      </c>
      <c r="C223" s="117" t="s">
        <v>959</v>
      </c>
      <c r="D223" s="117" t="s">
        <v>416</v>
      </c>
      <c r="E223" s="175" t="s">
        <v>1946</v>
      </c>
      <c r="F223" s="117" t="s">
        <v>170</v>
      </c>
      <c r="G223" s="118" t="s">
        <v>65</v>
      </c>
      <c r="H223" s="69">
        <v>171536.63250384893</v>
      </c>
      <c r="I223" s="66">
        <v>750</v>
      </c>
      <c r="J223" s="66">
        <v>0</v>
      </c>
      <c r="K223" s="64">
        <v>628.21003000000007</v>
      </c>
      <c r="L223" s="24">
        <v>3.2735238911984208E-5</v>
      </c>
      <c r="M223" s="32">
        <v>1.5766376682165716E-3</v>
      </c>
      <c r="N223" s="32">
        <v>7.2011353759225856E-4</v>
      </c>
      <c r="O223" s="14"/>
      <c r="P223" s="14"/>
      <c r="Q223" s="14"/>
      <c r="R223" s="14"/>
    </row>
    <row r="224" spans="1:18" x14ac:dyDescent="0.25">
      <c r="A224" s="16" t="s">
        <v>960</v>
      </c>
      <c r="B224" s="117" t="s">
        <v>961</v>
      </c>
      <c r="C224" s="117" t="s">
        <v>959</v>
      </c>
      <c r="D224" s="117" t="s">
        <v>416</v>
      </c>
      <c r="E224" s="175" t="s">
        <v>1947</v>
      </c>
      <c r="F224" s="117" t="s">
        <v>173</v>
      </c>
      <c r="G224" s="118" t="s">
        <v>65</v>
      </c>
      <c r="H224" s="69">
        <v>26113.952296355532</v>
      </c>
      <c r="I224" s="66">
        <v>8560</v>
      </c>
      <c r="J224" s="66">
        <v>0</v>
      </c>
      <c r="K224" s="64">
        <v>1091.52351</v>
      </c>
      <c r="L224" s="24">
        <v>1.2834053081599133E-6</v>
      </c>
      <c r="M224" s="32">
        <v>2.7394294892266646E-3</v>
      </c>
      <c r="N224" s="32">
        <v>1.2512071100667065E-3</v>
      </c>
      <c r="O224" s="14"/>
      <c r="P224" s="14"/>
      <c r="Q224" s="14"/>
      <c r="R224" s="14"/>
    </row>
    <row r="225" spans="1:18" x14ac:dyDescent="0.25">
      <c r="A225" s="16" t="s">
        <v>962</v>
      </c>
      <c r="B225" s="117" t="s">
        <v>963</v>
      </c>
      <c r="C225" s="117" t="s">
        <v>885</v>
      </c>
      <c r="D225" s="117" t="s">
        <v>416</v>
      </c>
      <c r="E225" s="175" t="s">
        <v>1947</v>
      </c>
      <c r="F225" s="117" t="s">
        <v>173</v>
      </c>
      <c r="G225" s="118" t="s">
        <v>125</v>
      </c>
      <c r="H225" s="69">
        <v>2018.6498683418283</v>
      </c>
      <c r="I225" s="66">
        <v>8674</v>
      </c>
      <c r="J225" s="66">
        <v>0</v>
      </c>
      <c r="K225" s="64">
        <v>669.57356000000004</v>
      </c>
      <c r="L225" s="24">
        <v>7.9367410247058704E-7</v>
      </c>
      <c r="M225" s="32">
        <v>1.6804489675815409E-3</v>
      </c>
      <c r="N225" s="32">
        <v>7.675283136912704E-4</v>
      </c>
      <c r="O225" s="14"/>
      <c r="P225" s="14"/>
      <c r="Q225" s="14"/>
      <c r="R225" s="14"/>
    </row>
    <row r="226" spans="1:18" x14ac:dyDescent="0.25">
      <c r="A226" s="16" t="s">
        <v>964</v>
      </c>
      <c r="B226" s="117" t="s">
        <v>965</v>
      </c>
      <c r="C226" s="117" t="s">
        <v>966</v>
      </c>
      <c r="D226" s="117" t="s">
        <v>416</v>
      </c>
      <c r="E226" s="175" t="s">
        <v>1948</v>
      </c>
      <c r="F226" s="117" t="s">
        <v>182</v>
      </c>
      <c r="G226" s="118" t="s">
        <v>361</v>
      </c>
      <c r="H226" s="69">
        <v>15333.527111708132</v>
      </c>
      <c r="I226" s="66">
        <v>56500</v>
      </c>
      <c r="J226" s="66">
        <v>2.7542081010000001</v>
      </c>
      <c r="K226" s="64">
        <v>225.05814999999998</v>
      </c>
      <c r="L226" s="24">
        <v>2.8942459867303263E-4</v>
      </c>
      <c r="M226" s="32">
        <v>5.6483523007287131E-4</v>
      </c>
      <c r="N226" s="32">
        <v>2.5798286054183047E-4</v>
      </c>
      <c r="O226" s="14"/>
      <c r="P226" s="14"/>
      <c r="Q226" s="14"/>
      <c r="R226" s="14"/>
    </row>
    <row r="227" spans="1:18" x14ac:dyDescent="0.25">
      <c r="A227" s="16" t="s">
        <v>967</v>
      </c>
      <c r="B227" s="117" t="s">
        <v>968</v>
      </c>
      <c r="C227" s="117" t="s">
        <v>966</v>
      </c>
      <c r="D227" s="117" t="s">
        <v>416</v>
      </c>
      <c r="E227" s="175" t="s">
        <v>1949</v>
      </c>
      <c r="F227" s="117" t="s">
        <v>170</v>
      </c>
      <c r="G227" s="118" t="s">
        <v>361</v>
      </c>
      <c r="H227" s="69">
        <v>1479.0239880185607</v>
      </c>
      <c r="I227" s="66">
        <v>59200</v>
      </c>
      <c r="J227" s="66">
        <v>0</v>
      </c>
      <c r="K227" s="64">
        <v>22.46744</v>
      </c>
      <c r="L227" s="24">
        <v>3.1532331052522348E-4</v>
      </c>
      <c r="M227" s="32">
        <v>5.6387212111840571E-5</v>
      </c>
      <c r="N227" s="32">
        <v>2.5754297012802886E-5</v>
      </c>
      <c r="O227" s="14"/>
      <c r="P227" s="14"/>
      <c r="Q227" s="14"/>
      <c r="R227" s="14"/>
    </row>
    <row r="228" spans="1:18" x14ac:dyDescent="0.25">
      <c r="A228" s="16" t="s">
        <v>969</v>
      </c>
      <c r="B228" s="117" t="s">
        <v>970</v>
      </c>
      <c r="C228" s="117" t="s">
        <v>966</v>
      </c>
      <c r="D228" s="117" t="s">
        <v>416</v>
      </c>
      <c r="E228" s="175" t="s">
        <v>1950</v>
      </c>
      <c r="F228" s="117" t="s">
        <v>182</v>
      </c>
      <c r="G228" s="118" t="s">
        <v>361</v>
      </c>
      <c r="H228" s="69">
        <v>52302.327159944958</v>
      </c>
      <c r="I228" s="66">
        <v>91900</v>
      </c>
      <c r="J228" s="66">
        <v>18.78908796</v>
      </c>
      <c r="K228" s="64">
        <v>1252.15851</v>
      </c>
      <c r="L228" s="24">
        <v>7.2659178403102387E-5</v>
      </c>
      <c r="M228" s="32">
        <v>3.142579995807989E-3</v>
      </c>
      <c r="N228" s="32">
        <v>1.435342084974911E-3</v>
      </c>
      <c r="O228" s="14"/>
      <c r="P228" s="14"/>
      <c r="Q228" s="14"/>
      <c r="R228" s="14"/>
    </row>
    <row r="229" spans="1:18" x14ac:dyDescent="0.25">
      <c r="A229" s="16" t="s">
        <v>971</v>
      </c>
      <c r="B229" s="117" t="s">
        <v>972</v>
      </c>
      <c r="C229" s="117" t="s">
        <v>966</v>
      </c>
      <c r="D229" s="117" t="s">
        <v>416</v>
      </c>
      <c r="E229" s="175" t="s">
        <v>1951</v>
      </c>
      <c r="F229" s="117" t="s">
        <v>173</v>
      </c>
      <c r="G229" s="118" t="s">
        <v>361</v>
      </c>
      <c r="H229" s="69">
        <v>6999.2581354301892</v>
      </c>
      <c r="I229" s="66">
        <v>136000</v>
      </c>
      <c r="J229" s="66">
        <v>2.1552115430000001</v>
      </c>
      <c r="K229" s="64">
        <v>246.41252</v>
      </c>
      <c r="L229" s="24">
        <v>2.8746983856570981E-4</v>
      </c>
      <c r="M229" s="32">
        <v>6.1842893681937757E-4</v>
      </c>
      <c r="N229" s="32">
        <v>2.8246125182723226E-4</v>
      </c>
      <c r="O229" s="14"/>
      <c r="P229" s="14"/>
      <c r="Q229" s="14"/>
      <c r="R229" s="14"/>
    </row>
    <row r="230" spans="1:18" x14ac:dyDescent="0.25">
      <c r="A230" s="16" t="s">
        <v>973</v>
      </c>
      <c r="B230" s="117" t="s">
        <v>974</v>
      </c>
      <c r="C230" s="117" t="s">
        <v>966</v>
      </c>
      <c r="D230" s="117" t="s">
        <v>416</v>
      </c>
      <c r="E230" s="175" t="s">
        <v>1952</v>
      </c>
      <c r="F230" s="117" t="s">
        <v>179</v>
      </c>
      <c r="G230" s="118" t="s">
        <v>361</v>
      </c>
      <c r="H230" s="69">
        <v>82759.538636056823</v>
      </c>
      <c r="I230" s="66">
        <v>36100</v>
      </c>
      <c r="J230" s="66">
        <v>10.618048740000001</v>
      </c>
      <c r="K230" s="64">
        <v>777.24117000000001</v>
      </c>
      <c r="L230" s="24">
        <v>2.0738611114605053E-4</v>
      </c>
      <c r="M230" s="32">
        <v>1.9506656172151851E-3</v>
      </c>
      <c r="N230" s="32">
        <v>8.9094707464483806E-4</v>
      </c>
      <c r="O230" s="14"/>
      <c r="P230" s="14"/>
      <c r="Q230" s="14"/>
      <c r="R230" s="14"/>
    </row>
    <row r="231" spans="1:18" x14ac:dyDescent="0.25">
      <c r="A231" s="16" t="s">
        <v>975</v>
      </c>
      <c r="B231" s="117" t="s">
        <v>976</v>
      </c>
      <c r="C231" s="117" t="s">
        <v>885</v>
      </c>
      <c r="D231" s="117" t="s">
        <v>416</v>
      </c>
      <c r="E231" s="175" t="s">
        <v>1953</v>
      </c>
      <c r="F231" s="117" t="s">
        <v>185</v>
      </c>
      <c r="G231" s="118" t="s">
        <v>125</v>
      </c>
      <c r="H231" s="69">
        <v>5998.1276539433284</v>
      </c>
      <c r="I231" s="66">
        <v>8690</v>
      </c>
      <c r="J231" s="66">
        <v>10.805659990000001</v>
      </c>
      <c r="K231" s="64">
        <v>2004.0170700000001</v>
      </c>
      <c r="L231" s="24">
        <v>1.1565076418802694E-6</v>
      </c>
      <c r="M231" s="32">
        <v>5.0295421107985272E-3</v>
      </c>
      <c r="N231" s="32">
        <v>2.2971932200333903E-3</v>
      </c>
      <c r="O231" s="14"/>
      <c r="P231" s="14"/>
      <c r="Q231" s="14"/>
      <c r="R231" s="14"/>
    </row>
    <row r="232" spans="1:18" x14ac:dyDescent="0.25">
      <c r="A232" s="16" t="s">
        <v>977</v>
      </c>
      <c r="B232" s="117" t="s">
        <v>978</v>
      </c>
      <c r="C232" s="117" t="s">
        <v>885</v>
      </c>
      <c r="D232" s="117" t="s">
        <v>416</v>
      </c>
      <c r="E232" s="117" t="s">
        <v>979</v>
      </c>
      <c r="F232" s="117" t="s">
        <v>179</v>
      </c>
      <c r="G232" s="118" t="s">
        <v>125</v>
      </c>
      <c r="H232" s="69">
        <v>9388.4516894275184</v>
      </c>
      <c r="I232" s="66">
        <v>4113</v>
      </c>
      <c r="J232" s="66">
        <v>0</v>
      </c>
      <c r="K232" s="64">
        <v>1476.6261999999999</v>
      </c>
      <c r="L232" s="24">
        <v>4.8753386192482672E-6</v>
      </c>
      <c r="M232" s="32">
        <v>3.705933330602023E-3</v>
      </c>
      <c r="N232" s="32">
        <v>1.6926481046210195E-3</v>
      </c>
      <c r="O232" s="14"/>
      <c r="P232" s="14"/>
      <c r="Q232" s="14"/>
      <c r="R232" s="14"/>
    </row>
    <row r="233" spans="1:18" x14ac:dyDescent="0.25">
      <c r="A233" s="16" t="s">
        <v>980</v>
      </c>
      <c r="B233" s="117" t="s">
        <v>981</v>
      </c>
      <c r="C233" s="117" t="s">
        <v>864</v>
      </c>
      <c r="D233" s="117" t="s">
        <v>416</v>
      </c>
      <c r="E233" s="175" t="s">
        <v>1954</v>
      </c>
      <c r="F233" s="117" t="s">
        <v>172</v>
      </c>
      <c r="G233" s="118" t="s">
        <v>125</v>
      </c>
      <c r="H233" s="69">
        <v>13119.032314932534</v>
      </c>
      <c r="I233" s="66">
        <v>13086.000000000002</v>
      </c>
      <c r="J233" s="66">
        <v>0</v>
      </c>
      <c r="K233" s="64">
        <v>6564.8771200000001</v>
      </c>
      <c r="L233" s="24">
        <v>2.2111970866227093E-6</v>
      </c>
      <c r="M233" s="32">
        <v>1.6476070199969783E-2</v>
      </c>
      <c r="N233" s="32">
        <v>7.5252808153057947E-3</v>
      </c>
      <c r="O233" s="14"/>
      <c r="P233" s="14"/>
      <c r="Q233" s="14"/>
      <c r="R233" s="14"/>
    </row>
    <row r="234" spans="1:18" x14ac:dyDescent="0.25">
      <c r="A234" s="16" t="s">
        <v>982</v>
      </c>
      <c r="B234" s="117" t="s">
        <v>983</v>
      </c>
      <c r="C234" s="117" t="s">
        <v>885</v>
      </c>
      <c r="D234" s="117" t="s">
        <v>416</v>
      </c>
      <c r="E234" s="175" t="s">
        <v>1955</v>
      </c>
      <c r="F234" s="117" t="s">
        <v>179</v>
      </c>
      <c r="G234" s="118" t="s">
        <v>125</v>
      </c>
      <c r="H234" s="69">
        <v>8339.7983638033529</v>
      </c>
      <c r="I234" s="66">
        <v>2738</v>
      </c>
      <c r="J234" s="66">
        <v>0</v>
      </c>
      <c r="K234" s="64">
        <v>873.18623000000002</v>
      </c>
      <c r="L234" s="24">
        <v>1.0495102189760088E-6</v>
      </c>
      <c r="M234" s="32">
        <v>2.1914618293917068E-3</v>
      </c>
      <c r="N234" s="32">
        <v>1.0009283440796822E-3</v>
      </c>
      <c r="O234" s="14"/>
      <c r="P234" s="14"/>
      <c r="Q234" s="14"/>
      <c r="R234" s="14"/>
    </row>
    <row r="235" spans="1:18" x14ac:dyDescent="0.25">
      <c r="A235" s="16" t="s">
        <v>984</v>
      </c>
      <c r="B235" s="117" t="s">
        <v>985</v>
      </c>
      <c r="C235" s="117" t="s">
        <v>885</v>
      </c>
      <c r="D235" s="117" t="s">
        <v>416</v>
      </c>
      <c r="E235" s="175" t="s">
        <v>1956</v>
      </c>
      <c r="F235" s="117" t="s">
        <v>178</v>
      </c>
      <c r="G235" s="118" t="s">
        <v>125</v>
      </c>
      <c r="H235" s="69">
        <v>18235.160390695466</v>
      </c>
      <c r="I235" s="66">
        <v>3317</v>
      </c>
      <c r="J235" s="66">
        <v>0</v>
      </c>
      <c r="K235" s="64">
        <v>2312.98567</v>
      </c>
      <c r="L235" s="24">
        <v>3.2297716915276222E-6</v>
      </c>
      <c r="M235" s="32">
        <v>5.8049699291925416E-3</v>
      </c>
      <c r="N235" s="32">
        <v>2.6513621459114561E-3</v>
      </c>
      <c r="O235" s="14"/>
      <c r="P235" s="14"/>
      <c r="Q235" s="14"/>
      <c r="R235" s="14"/>
    </row>
    <row r="236" spans="1:18" x14ac:dyDescent="0.25">
      <c r="A236" s="16" t="s">
        <v>986</v>
      </c>
      <c r="B236" s="117" t="s">
        <v>987</v>
      </c>
      <c r="C236" s="117" t="s">
        <v>864</v>
      </c>
      <c r="D236" s="117" t="s">
        <v>416</v>
      </c>
      <c r="E236" s="175" t="s">
        <v>1957</v>
      </c>
      <c r="F236" s="117" t="s">
        <v>185</v>
      </c>
      <c r="G236" s="118" t="s">
        <v>125</v>
      </c>
      <c r="H236" s="69">
        <v>3856.0753058959021</v>
      </c>
      <c r="I236" s="66">
        <v>6803</v>
      </c>
      <c r="J236" s="66">
        <v>0</v>
      </c>
      <c r="K236" s="64">
        <v>1003.1453399999999</v>
      </c>
      <c r="L236" s="24">
        <v>3.5205602527481199E-6</v>
      </c>
      <c r="M236" s="32">
        <v>2.5176241292102896E-3</v>
      </c>
      <c r="N236" s="32">
        <v>1.1498997230378332E-3</v>
      </c>
      <c r="O236" s="14"/>
      <c r="P236" s="14"/>
      <c r="Q236" s="14"/>
      <c r="R236" s="14"/>
    </row>
    <row r="237" spans="1:18" x14ac:dyDescent="0.25">
      <c r="A237" s="16" t="s">
        <v>988</v>
      </c>
      <c r="B237" s="117" t="s">
        <v>989</v>
      </c>
      <c r="C237" s="117" t="s">
        <v>864</v>
      </c>
      <c r="D237" s="117" t="s">
        <v>416</v>
      </c>
      <c r="E237" s="175" t="s">
        <v>1958</v>
      </c>
      <c r="F237" s="117" t="s">
        <v>184</v>
      </c>
      <c r="G237" s="118" t="s">
        <v>125</v>
      </c>
      <c r="H237" s="69">
        <v>1745.866750421613</v>
      </c>
      <c r="I237" s="66">
        <v>17121</v>
      </c>
      <c r="J237" s="66">
        <v>0</v>
      </c>
      <c r="K237" s="64">
        <v>1143.03125</v>
      </c>
      <c r="L237" s="24">
        <v>1.1166949233077857E-7</v>
      </c>
      <c r="M237" s="32">
        <v>2.8687000185251312E-3</v>
      </c>
      <c r="N237" s="32">
        <v>1.3102501356369639E-3</v>
      </c>
      <c r="O237" s="14"/>
      <c r="P237" s="14"/>
      <c r="Q237" s="14"/>
      <c r="R237" s="14"/>
    </row>
    <row r="238" spans="1:18" x14ac:dyDescent="0.25">
      <c r="A238" s="16" t="s">
        <v>990</v>
      </c>
      <c r="B238" s="117" t="s">
        <v>991</v>
      </c>
      <c r="C238" s="117" t="s">
        <v>885</v>
      </c>
      <c r="D238" s="117" t="s">
        <v>416</v>
      </c>
      <c r="E238" s="175" t="s">
        <v>1959</v>
      </c>
      <c r="F238" s="117" t="s">
        <v>172</v>
      </c>
      <c r="G238" s="118" t="s">
        <v>125</v>
      </c>
      <c r="H238" s="69">
        <v>5286.0197528386971</v>
      </c>
      <c r="I238" s="66">
        <v>8105</v>
      </c>
      <c r="J238" s="66">
        <v>0</v>
      </c>
      <c r="K238" s="64">
        <v>1638.3235900000002</v>
      </c>
      <c r="L238" s="24">
        <v>2.8888845933816852E-6</v>
      </c>
      <c r="M238" s="32">
        <v>4.111750149423438E-3</v>
      </c>
      <c r="N238" s="32">
        <v>1.8780008910646477E-3</v>
      </c>
      <c r="O238" s="14"/>
      <c r="P238" s="14"/>
      <c r="Q238" s="14"/>
      <c r="R238" s="14"/>
    </row>
    <row r="239" spans="1:18" x14ac:dyDescent="0.25">
      <c r="A239" s="16" t="s">
        <v>992</v>
      </c>
      <c r="B239" s="117" t="s">
        <v>993</v>
      </c>
      <c r="C239" s="117" t="s">
        <v>885</v>
      </c>
      <c r="D239" s="117" t="s">
        <v>416</v>
      </c>
      <c r="E239" s="175" t="s">
        <v>1960</v>
      </c>
      <c r="F239" s="117" t="s">
        <v>183</v>
      </c>
      <c r="G239" s="118" t="s">
        <v>125</v>
      </c>
      <c r="H239" s="69">
        <v>2095.0650076569509</v>
      </c>
      <c r="I239" s="66">
        <v>23001</v>
      </c>
      <c r="J239" s="66">
        <v>0</v>
      </c>
      <c r="K239" s="64">
        <v>1842.7316899999998</v>
      </c>
      <c r="L239" s="24">
        <v>1.303884224489471E-6</v>
      </c>
      <c r="M239" s="32">
        <v>4.6247593259063089E-3</v>
      </c>
      <c r="N239" s="32">
        <v>2.1123127182787276E-3</v>
      </c>
      <c r="O239" s="14"/>
      <c r="P239" s="14"/>
      <c r="Q239" s="14"/>
      <c r="R239" s="14"/>
    </row>
    <row r="240" spans="1:18" x14ac:dyDescent="0.25">
      <c r="A240" s="16" t="s">
        <v>994</v>
      </c>
      <c r="B240" s="117" t="s">
        <v>995</v>
      </c>
      <c r="C240" s="117" t="s">
        <v>885</v>
      </c>
      <c r="D240" s="117" t="s">
        <v>416</v>
      </c>
      <c r="E240" s="175" t="s">
        <v>1961</v>
      </c>
      <c r="F240" s="117" t="s">
        <v>183</v>
      </c>
      <c r="G240" s="118" t="s">
        <v>125</v>
      </c>
      <c r="H240" s="69">
        <v>1299.8668507650809</v>
      </c>
      <c r="I240" s="66">
        <v>39591</v>
      </c>
      <c r="J240" s="66">
        <v>0</v>
      </c>
      <c r="K240" s="64">
        <v>1967.9462100000001</v>
      </c>
      <c r="L240" s="24">
        <v>1.3904581185405017E-6</v>
      </c>
      <c r="M240" s="32">
        <v>4.9390139850362461E-3</v>
      </c>
      <c r="N240" s="32">
        <v>2.2558454010585881E-3</v>
      </c>
      <c r="O240" s="14"/>
      <c r="P240" s="14"/>
      <c r="Q240" s="14"/>
      <c r="R240" s="14"/>
    </row>
    <row r="241" spans="1:18" x14ac:dyDescent="0.25">
      <c r="A241" s="16" t="s">
        <v>996</v>
      </c>
      <c r="B241" s="117" t="s">
        <v>997</v>
      </c>
      <c r="C241" s="117" t="s">
        <v>864</v>
      </c>
      <c r="D241" s="117" t="s">
        <v>416</v>
      </c>
      <c r="E241" s="175" t="s">
        <v>1962</v>
      </c>
      <c r="F241" s="117" t="s">
        <v>172</v>
      </c>
      <c r="G241" s="118" t="s">
        <v>125</v>
      </c>
      <c r="H241" s="69">
        <v>5910.5042966712945</v>
      </c>
      <c r="I241" s="66">
        <v>30020.999999999996</v>
      </c>
      <c r="J241" s="66">
        <v>0</v>
      </c>
      <c r="K241" s="64">
        <v>6785.2769000000008</v>
      </c>
      <c r="L241" s="24">
        <v>2.6592957449187482E-6</v>
      </c>
      <c r="M241" s="32">
        <v>1.7029214178289651E-2</v>
      </c>
      <c r="N241" s="32">
        <v>7.7779238131585283E-3</v>
      </c>
      <c r="O241" s="14"/>
      <c r="P241" s="14"/>
      <c r="Q241" s="14"/>
      <c r="R241" s="14"/>
    </row>
    <row r="242" spans="1:18" x14ac:dyDescent="0.25">
      <c r="A242" s="16" t="s">
        <v>998</v>
      </c>
      <c r="B242" s="117" t="s">
        <v>999</v>
      </c>
      <c r="C242" s="117" t="s">
        <v>864</v>
      </c>
      <c r="D242" s="117" t="s">
        <v>416</v>
      </c>
      <c r="E242" s="175" t="s">
        <v>1963</v>
      </c>
      <c r="F242" s="117" t="s">
        <v>183</v>
      </c>
      <c r="G242" s="118" t="s">
        <v>125</v>
      </c>
      <c r="H242" s="69">
        <v>5899.9685717917973</v>
      </c>
      <c r="I242" s="66">
        <v>31575</v>
      </c>
      <c r="J242" s="66">
        <v>0</v>
      </c>
      <c r="K242" s="64">
        <v>7123.7872500000003</v>
      </c>
      <c r="L242" s="24">
        <v>7.9409908478268524E-7</v>
      </c>
      <c r="M242" s="32">
        <v>1.7878783818066298E-2</v>
      </c>
      <c r="N242" s="32">
        <v>8.1659562768396539E-3</v>
      </c>
      <c r="O242" s="14"/>
      <c r="P242" s="14"/>
      <c r="Q242" s="14"/>
      <c r="R242" s="14"/>
    </row>
    <row r="243" spans="1:18" x14ac:dyDescent="0.25">
      <c r="A243" s="16" t="s">
        <v>1000</v>
      </c>
      <c r="B243" s="117" t="s">
        <v>1001</v>
      </c>
      <c r="C243" s="117" t="s">
        <v>885</v>
      </c>
      <c r="D243" s="117" t="s">
        <v>416</v>
      </c>
      <c r="E243" s="175" t="s">
        <v>1964</v>
      </c>
      <c r="F243" s="117" t="s">
        <v>177</v>
      </c>
      <c r="G243" s="118" t="s">
        <v>125</v>
      </c>
      <c r="H243" s="69">
        <v>619.56538150706353</v>
      </c>
      <c r="I243" s="66">
        <v>50419</v>
      </c>
      <c r="J243" s="66">
        <v>0</v>
      </c>
      <c r="K243" s="64">
        <v>1194.53603</v>
      </c>
      <c r="L243" s="24">
        <v>6.6885668169337826E-7</v>
      </c>
      <c r="M243" s="32">
        <v>2.9979631190222809E-3</v>
      </c>
      <c r="N243" s="32">
        <v>1.3692897681762772E-3</v>
      </c>
      <c r="O243" s="14"/>
      <c r="P243" s="14"/>
      <c r="Q243" s="14"/>
      <c r="R243" s="14"/>
    </row>
    <row r="244" spans="1:18" x14ac:dyDescent="0.25">
      <c r="A244" s="16" t="s">
        <v>1002</v>
      </c>
      <c r="B244" s="117" t="s">
        <v>1003</v>
      </c>
      <c r="C244" s="117" t="s">
        <v>864</v>
      </c>
      <c r="D244" s="117" t="s">
        <v>416</v>
      </c>
      <c r="E244" s="175" t="s">
        <v>1965</v>
      </c>
      <c r="F244" s="117" t="s">
        <v>185</v>
      </c>
      <c r="G244" s="118" t="s">
        <v>125</v>
      </c>
      <c r="H244" s="69">
        <v>3599.0833217194245</v>
      </c>
      <c r="I244" s="66">
        <v>43499</v>
      </c>
      <c r="J244" s="66">
        <v>0</v>
      </c>
      <c r="K244" s="64">
        <v>5986.7215300000007</v>
      </c>
      <c r="L244" s="24">
        <v>1.4571187537325606E-6</v>
      </c>
      <c r="M244" s="32">
        <v>1.502505567018907E-2</v>
      </c>
      <c r="N244" s="32">
        <v>6.8625443938678263E-3</v>
      </c>
      <c r="O244" s="14"/>
      <c r="P244" s="14"/>
      <c r="Q244" s="14"/>
      <c r="R244" s="14"/>
    </row>
    <row r="245" spans="1:18" x14ac:dyDescent="0.25">
      <c r="A245" s="16" t="s">
        <v>1004</v>
      </c>
      <c r="B245" s="117" t="s">
        <v>1005</v>
      </c>
      <c r="C245" s="117" t="s">
        <v>885</v>
      </c>
      <c r="D245" s="117" t="s">
        <v>416</v>
      </c>
      <c r="E245" s="175" t="s">
        <v>1966</v>
      </c>
      <c r="F245" s="117" t="s">
        <v>187</v>
      </c>
      <c r="G245" s="118" t="s">
        <v>125</v>
      </c>
      <c r="H245" s="69">
        <v>11551.899280197138</v>
      </c>
      <c r="I245" s="66">
        <v>1047</v>
      </c>
      <c r="J245" s="66">
        <v>0</v>
      </c>
      <c r="K245" s="64">
        <v>462.50663000000003</v>
      </c>
      <c r="L245" s="24">
        <v>9.4487152360578572E-5</v>
      </c>
      <c r="M245" s="32">
        <v>1.1607668452187951E-3</v>
      </c>
      <c r="N245" s="32">
        <v>5.3016868496858253E-4</v>
      </c>
      <c r="O245" s="14"/>
      <c r="P245" s="14"/>
      <c r="Q245" s="14"/>
      <c r="R245" s="14"/>
    </row>
    <row r="246" spans="1:18" x14ac:dyDescent="0.25">
      <c r="A246" s="16" t="s">
        <v>1006</v>
      </c>
      <c r="B246" s="117" t="s">
        <v>1007</v>
      </c>
      <c r="C246" s="117" t="s">
        <v>864</v>
      </c>
      <c r="D246" s="117" t="s">
        <v>416</v>
      </c>
      <c r="E246" s="175" t="s">
        <v>1967</v>
      </c>
      <c r="F246" s="117" t="s">
        <v>183</v>
      </c>
      <c r="G246" s="118" t="s">
        <v>125</v>
      </c>
      <c r="H246" s="69">
        <v>1667.3220496946772</v>
      </c>
      <c r="I246" s="66">
        <v>50990</v>
      </c>
      <c r="J246" s="66">
        <v>0</v>
      </c>
      <c r="K246" s="64">
        <v>3251.0405699999997</v>
      </c>
      <c r="L246" s="24">
        <v>3.6620295402914059E-6</v>
      </c>
      <c r="M246" s="32">
        <v>8.1592346170631398E-3</v>
      </c>
      <c r="N246" s="32">
        <v>3.7266490726336416E-3</v>
      </c>
      <c r="O246" s="14"/>
      <c r="P246" s="14"/>
      <c r="Q246" s="14"/>
      <c r="R246" s="14"/>
    </row>
    <row r="247" spans="1:18" x14ac:dyDescent="0.25">
      <c r="A247" s="16" t="s">
        <v>1008</v>
      </c>
      <c r="B247" s="117" t="s">
        <v>1009</v>
      </c>
      <c r="C247" s="117" t="s">
        <v>885</v>
      </c>
      <c r="D247" s="117" t="s">
        <v>416</v>
      </c>
      <c r="E247" s="175" t="s">
        <v>1968</v>
      </c>
      <c r="F247" s="117" t="s">
        <v>165</v>
      </c>
      <c r="G247" s="118" t="s">
        <v>125</v>
      </c>
      <c r="H247" s="69">
        <v>8298.5770288729327</v>
      </c>
      <c r="I247" s="66">
        <v>3729</v>
      </c>
      <c r="J247" s="66">
        <v>0</v>
      </c>
      <c r="K247" s="64">
        <v>1183.3518600000002</v>
      </c>
      <c r="L247" s="24">
        <v>5.7884840977608693E-6</v>
      </c>
      <c r="M247" s="32">
        <v>2.9698938700965074E-3</v>
      </c>
      <c r="N247" s="32">
        <v>1.356469418549365E-3</v>
      </c>
      <c r="O247" s="14"/>
      <c r="P247" s="14"/>
      <c r="Q247" s="14"/>
      <c r="R247" s="14"/>
    </row>
    <row r="248" spans="1:18" x14ac:dyDescent="0.25">
      <c r="A248" s="16" t="s">
        <v>1010</v>
      </c>
      <c r="B248" s="117" t="s">
        <v>1011</v>
      </c>
      <c r="C248" s="117" t="s">
        <v>864</v>
      </c>
      <c r="D248" s="117" t="s">
        <v>416</v>
      </c>
      <c r="E248" s="175" t="s">
        <v>1969</v>
      </c>
      <c r="F248" s="117" t="s">
        <v>173</v>
      </c>
      <c r="G248" s="118" t="s">
        <v>125</v>
      </c>
      <c r="H248" s="69">
        <v>14010.882671339505</v>
      </c>
      <c r="I248" s="66">
        <v>12712</v>
      </c>
      <c r="J248" s="66">
        <v>0</v>
      </c>
      <c r="K248" s="64">
        <v>6810.7864600000003</v>
      </c>
      <c r="L248" s="24">
        <v>1.3579396273818965E-6</v>
      </c>
      <c r="M248" s="32">
        <v>1.7093236290759952E-2</v>
      </c>
      <c r="N248" s="32">
        <v>7.8071652747983911E-3</v>
      </c>
      <c r="O248" s="14"/>
      <c r="P248" s="14"/>
      <c r="Q248" s="14"/>
      <c r="R248" s="14"/>
    </row>
    <row r="249" spans="1:18" x14ac:dyDescent="0.25">
      <c r="A249" s="16" t="s">
        <v>1012</v>
      </c>
      <c r="B249" s="117" t="s">
        <v>1013</v>
      </c>
      <c r="C249" s="117" t="s">
        <v>885</v>
      </c>
      <c r="D249" s="117" t="s">
        <v>416</v>
      </c>
      <c r="E249" s="175" t="s">
        <v>1970</v>
      </c>
      <c r="F249" s="117" t="s">
        <v>173</v>
      </c>
      <c r="G249" s="118" t="s">
        <v>125</v>
      </c>
      <c r="H249" s="69">
        <v>2908.6197348471405</v>
      </c>
      <c r="I249" s="66">
        <v>11057</v>
      </c>
      <c r="J249" s="66">
        <v>0</v>
      </c>
      <c r="K249" s="64">
        <v>1229.8216699999998</v>
      </c>
      <c r="L249" s="24">
        <v>6.3010946829848195E-6</v>
      </c>
      <c r="M249" s="32">
        <v>3.0865205544569384E-3</v>
      </c>
      <c r="N249" s="32">
        <v>1.4097374939895802E-3</v>
      </c>
      <c r="O249" s="14"/>
      <c r="P249" s="14"/>
      <c r="Q249" s="14"/>
      <c r="R249" s="14"/>
    </row>
    <row r="250" spans="1:18" x14ac:dyDescent="0.25">
      <c r="A250" s="16" t="s">
        <v>1014</v>
      </c>
      <c r="B250" s="117" t="s">
        <v>1015</v>
      </c>
      <c r="C250" s="117" t="s">
        <v>885</v>
      </c>
      <c r="D250" s="117" t="s">
        <v>416</v>
      </c>
      <c r="E250" s="175" t="s">
        <v>1971</v>
      </c>
      <c r="F250" s="117" t="s">
        <v>177</v>
      </c>
      <c r="G250" s="118" t="s">
        <v>125</v>
      </c>
      <c r="H250" s="69">
        <v>5397.8404073221527</v>
      </c>
      <c r="I250" s="66">
        <v>6888</v>
      </c>
      <c r="J250" s="66">
        <v>0</v>
      </c>
      <c r="K250" s="64">
        <v>1421.7756200000001</v>
      </c>
      <c r="L250" s="24">
        <v>9.9686945983591852E-6</v>
      </c>
      <c r="M250" s="32">
        <v>3.5682731748870205E-3</v>
      </c>
      <c r="N250" s="32">
        <v>1.6297732008204752E-3</v>
      </c>
      <c r="O250" s="14"/>
      <c r="P250" s="14"/>
      <c r="Q250" s="14"/>
      <c r="R250" s="14"/>
    </row>
    <row r="251" spans="1:18" x14ac:dyDescent="0.25">
      <c r="A251" s="16" t="s">
        <v>1016</v>
      </c>
      <c r="B251" s="117" t="s">
        <v>1017</v>
      </c>
      <c r="C251" s="117" t="s">
        <v>885</v>
      </c>
      <c r="D251" s="117" t="s">
        <v>416</v>
      </c>
      <c r="E251" s="175" t="s">
        <v>1972</v>
      </c>
      <c r="F251" s="117" t="s">
        <v>184</v>
      </c>
      <c r="G251" s="118" t="s">
        <v>125</v>
      </c>
      <c r="H251" s="69">
        <v>7041.5380242787624</v>
      </c>
      <c r="I251" s="66">
        <v>4726</v>
      </c>
      <c r="J251" s="66">
        <v>0</v>
      </c>
      <c r="K251" s="64">
        <v>1272.5625199999999</v>
      </c>
      <c r="L251" s="24">
        <v>4.762869222611316E-5</v>
      </c>
      <c r="M251" s="32">
        <v>3.1937885553858544E-3</v>
      </c>
      <c r="N251" s="32">
        <v>1.4587310840683636E-3</v>
      </c>
      <c r="O251" s="14"/>
      <c r="P251" s="14"/>
      <c r="Q251" s="14"/>
      <c r="R251" s="14"/>
    </row>
    <row r="252" spans="1:18" x14ac:dyDescent="0.25">
      <c r="A252" s="16" t="s">
        <v>1018</v>
      </c>
      <c r="B252" s="117" t="s">
        <v>1019</v>
      </c>
      <c r="C252" s="117" t="s">
        <v>885</v>
      </c>
      <c r="D252" s="117" t="s">
        <v>416</v>
      </c>
      <c r="E252" s="175" t="s">
        <v>1973</v>
      </c>
      <c r="F252" s="117" t="s">
        <v>2085</v>
      </c>
      <c r="G252" s="118" t="s">
        <v>125</v>
      </c>
      <c r="H252" s="69">
        <v>1688.3561387271482</v>
      </c>
      <c r="I252" s="66">
        <v>16445</v>
      </c>
      <c r="J252" s="66">
        <v>0</v>
      </c>
      <c r="K252" s="64">
        <v>1061.73424</v>
      </c>
      <c r="L252" s="24">
        <v>3.6218730931369751E-6</v>
      </c>
      <c r="M252" s="32">
        <v>2.6646664594312413E-3</v>
      </c>
      <c r="N252" s="32">
        <v>1.2170598415138772E-3</v>
      </c>
      <c r="O252" s="14"/>
      <c r="P252" s="14"/>
      <c r="Q252" s="14"/>
      <c r="R252" s="14"/>
    </row>
    <row r="253" spans="1:18" x14ac:dyDescent="0.25">
      <c r="A253" s="16" t="s">
        <v>1020</v>
      </c>
      <c r="B253" s="117" t="s">
        <v>1021</v>
      </c>
      <c r="C253" s="117" t="s">
        <v>864</v>
      </c>
      <c r="D253" s="117" t="s">
        <v>416</v>
      </c>
      <c r="E253" s="175" t="s">
        <v>1974</v>
      </c>
      <c r="F253" s="117" t="s">
        <v>185</v>
      </c>
      <c r="G253" s="118" t="s">
        <v>125</v>
      </c>
      <c r="H253" s="69">
        <v>2674.1936294905786</v>
      </c>
      <c r="I253" s="66">
        <v>13844.999999999998</v>
      </c>
      <c r="J253" s="66">
        <v>0</v>
      </c>
      <c r="K253" s="64">
        <v>1415.80582</v>
      </c>
      <c r="L253" s="24">
        <v>3.1967548271920721E-6</v>
      </c>
      <c r="M253" s="32">
        <v>3.5532905876912713E-3</v>
      </c>
      <c r="N253" s="32">
        <v>1.6229300534789429E-3</v>
      </c>
      <c r="O253" s="14"/>
      <c r="P253" s="14"/>
      <c r="Q253" s="14"/>
      <c r="R253" s="14"/>
    </row>
    <row r="254" spans="1:18" x14ac:dyDescent="0.25">
      <c r="A254" s="16" t="s">
        <v>1022</v>
      </c>
      <c r="B254" s="117" t="s">
        <v>1023</v>
      </c>
      <c r="C254" s="117" t="s">
        <v>864</v>
      </c>
      <c r="D254" s="117" t="s">
        <v>416</v>
      </c>
      <c r="E254" s="175" t="s">
        <v>1975</v>
      </c>
      <c r="F254" s="117" t="s">
        <v>166</v>
      </c>
      <c r="G254" s="118" t="s">
        <v>125</v>
      </c>
      <c r="H254" s="69">
        <v>21619.407081331909</v>
      </c>
      <c r="I254" s="66">
        <v>825</v>
      </c>
      <c r="J254" s="66">
        <v>0</v>
      </c>
      <c r="K254" s="64">
        <v>682.04905000000008</v>
      </c>
      <c r="L254" s="24">
        <v>1.1098577083011024E-4</v>
      </c>
      <c r="M254" s="32">
        <v>1.7117590812762539E-3</v>
      </c>
      <c r="N254" s="32">
        <v>7.818288959934932E-4</v>
      </c>
      <c r="O254" s="14"/>
      <c r="P254" s="14"/>
      <c r="Q254" s="14"/>
      <c r="R254" s="14"/>
    </row>
    <row r="255" spans="1:18" x14ac:dyDescent="0.25">
      <c r="A255" s="16" t="s">
        <v>1024</v>
      </c>
      <c r="B255" s="117" t="s">
        <v>1023</v>
      </c>
      <c r="C255" s="117" t="s">
        <v>864</v>
      </c>
      <c r="D255" s="117" t="s">
        <v>416</v>
      </c>
      <c r="E255" s="175" t="s">
        <v>1975</v>
      </c>
      <c r="F255" s="117" t="s">
        <v>166</v>
      </c>
      <c r="G255" s="118" t="s">
        <v>125</v>
      </c>
      <c r="H255" s="69">
        <v>5886.9172246597491</v>
      </c>
      <c r="I255" s="66">
        <v>825</v>
      </c>
      <c r="J255" s="66">
        <v>0</v>
      </c>
      <c r="K255" s="64">
        <v>185.72046</v>
      </c>
      <c r="L255" s="24">
        <v>3.0221182455835584E-5</v>
      </c>
      <c r="M255" s="32">
        <v>4.6610824248461785E-4</v>
      </c>
      <c r="N255" s="32">
        <v>2.1289029316176556E-4</v>
      </c>
      <c r="O255" s="14"/>
      <c r="P255" s="14"/>
      <c r="Q255" s="14"/>
      <c r="R255" s="14"/>
    </row>
    <row r="256" spans="1:18" x14ac:dyDescent="0.25">
      <c r="A256" s="16" t="s">
        <v>1025</v>
      </c>
      <c r="B256" s="117" t="s">
        <v>1026</v>
      </c>
      <c r="C256" s="117" t="s">
        <v>864</v>
      </c>
      <c r="D256" s="117" t="s">
        <v>416</v>
      </c>
      <c r="E256" s="175" t="s">
        <v>1976</v>
      </c>
      <c r="F256" s="117" t="s">
        <v>169</v>
      </c>
      <c r="G256" s="118" t="s">
        <v>125</v>
      </c>
      <c r="H256" s="69">
        <v>1834.4863937342614</v>
      </c>
      <c r="I256" s="66">
        <v>25022</v>
      </c>
      <c r="J256" s="66">
        <v>0</v>
      </c>
      <c r="K256" s="64">
        <v>1755.31231</v>
      </c>
      <c r="L256" s="24">
        <v>5.7797403644127437E-7</v>
      </c>
      <c r="M256" s="32">
        <v>4.4053602700839462E-3</v>
      </c>
      <c r="N256" s="32">
        <v>2.0121043867022295E-3</v>
      </c>
      <c r="O256" s="14"/>
      <c r="P256" s="14"/>
      <c r="Q256" s="14"/>
      <c r="R256" s="14"/>
    </row>
    <row r="257" spans="1:18" x14ac:dyDescent="0.25">
      <c r="A257" s="16" t="s">
        <v>1027</v>
      </c>
      <c r="B257" s="117" t="s">
        <v>1028</v>
      </c>
      <c r="C257" s="117" t="s">
        <v>864</v>
      </c>
      <c r="D257" s="117" t="s">
        <v>416</v>
      </c>
      <c r="E257" s="117" t="s">
        <v>1029</v>
      </c>
      <c r="F257" s="117" t="s">
        <v>169</v>
      </c>
      <c r="G257" s="118" t="s">
        <v>125</v>
      </c>
      <c r="H257" s="69">
        <v>13793.978746722249</v>
      </c>
      <c r="I257" s="66">
        <v>14.66</v>
      </c>
      <c r="J257" s="66">
        <v>0</v>
      </c>
      <c r="K257" s="64">
        <v>7.7328799999999998</v>
      </c>
      <c r="L257" s="24">
        <v>5.5047843756284876E-5</v>
      </c>
      <c r="M257" s="32">
        <v>1.9407442271812441E-5</v>
      </c>
      <c r="N257" s="32">
        <v>8.8641557865232166E-6</v>
      </c>
      <c r="O257" s="14"/>
      <c r="P257" s="14"/>
      <c r="Q257" s="14"/>
      <c r="R257" s="14"/>
    </row>
    <row r="258" spans="1:18" x14ac:dyDescent="0.25">
      <c r="A258" s="16" t="s">
        <v>1030</v>
      </c>
      <c r="B258" s="117" t="s">
        <v>1031</v>
      </c>
      <c r="C258" s="117" t="s">
        <v>885</v>
      </c>
      <c r="D258" s="117" t="s">
        <v>416</v>
      </c>
      <c r="E258" s="175">
        <v>433539202</v>
      </c>
      <c r="F258" s="117" t="s">
        <v>181</v>
      </c>
      <c r="G258" s="118" t="s">
        <v>125</v>
      </c>
      <c r="H258" s="69">
        <v>2806.692742286371</v>
      </c>
      <c r="I258" s="66">
        <v>797</v>
      </c>
      <c r="J258" s="66">
        <v>0</v>
      </c>
      <c r="K258" s="64">
        <v>85.540360000000007</v>
      </c>
      <c r="L258" s="24">
        <v>1.1859918406011228E-4</v>
      </c>
      <c r="M258" s="32">
        <v>2.1468322262986806E-4</v>
      </c>
      <c r="N258" s="32">
        <v>9.8054421777562725E-5</v>
      </c>
      <c r="O258" s="14"/>
      <c r="P258" s="14"/>
      <c r="Q258" s="14"/>
      <c r="R258" s="14"/>
    </row>
    <row r="259" spans="1:18" x14ac:dyDescent="0.25">
      <c r="A259" s="16" t="s">
        <v>1032</v>
      </c>
      <c r="B259" s="117" t="s">
        <v>1028</v>
      </c>
      <c r="C259" s="117" t="s">
        <v>864</v>
      </c>
      <c r="D259" s="117" t="s">
        <v>416</v>
      </c>
      <c r="E259" s="117" t="s">
        <v>1029</v>
      </c>
      <c r="F259" s="117" t="s">
        <v>169</v>
      </c>
      <c r="G259" s="118" t="s">
        <v>125</v>
      </c>
      <c r="H259" s="69">
        <v>3884</v>
      </c>
      <c r="I259" s="66">
        <v>14.66</v>
      </c>
      <c r="J259" s="66">
        <v>0</v>
      </c>
      <c r="K259" s="64">
        <v>2.1773600000000002</v>
      </c>
      <c r="L259" s="24">
        <v>1.5499938710592502E-5</v>
      </c>
      <c r="M259" s="32">
        <v>5.464586092756326E-6</v>
      </c>
      <c r="N259" s="32">
        <v>2.4958952218764801E-6</v>
      </c>
      <c r="O259" s="14"/>
      <c r="P259" s="14"/>
      <c r="Q259" s="14"/>
      <c r="R259" s="14"/>
    </row>
    <row r="260" spans="1:18" x14ac:dyDescent="0.25">
      <c r="A260" s="16" t="s">
        <v>1033</v>
      </c>
      <c r="B260" s="117" t="s">
        <v>1034</v>
      </c>
      <c r="C260" s="117" t="s">
        <v>1035</v>
      </c>
      <c r="D260" s="117" t="s">
        <v>416</v>
      </c>
      <c r="E260" s="175" t="s">
        <v>1977</v>
      </c>
      <c r="F260" s="117" t="s">
        <v>182</v>
      </c>
      <c r="G260" s="118" t="s">
        <v>126</v>
      </c>
      <c r="H260" s="69">
        <v>173970.94847851264</v>
      </c>
      <c r="I260" s="66">
        <v>197.2</v>
      </c>
      <c r="J260" s="66">
        <v>0</v>
      </c>
      <c r="K260" s="64">
        <v>1390.4998999999998</v>
      </c>
      <c r="L260" s="24">
        <v>1.1318675984305779E-4</v>
      </c>
      <c r="M260" s="32">
        <v>3.4897795566737064E-3</v>
      </c>
      <c r="N260" s="32">
        <v>1.5939220231976901E-3</v>
      </c>
      <c r="O260" s="14"/>
      <c r="P260" s="14"/>
      <c r="Q260" s="14"/>
      <c r="R260" s="14"/>
    </row>
    <row r="261" spans="1:18" x14ac:dyDescent="0.25">
      <c r="A261" s="16" t="s">
        <v>1036</v>
      </c>
      <c r="B261" s="117" t="s">
        <v>1037</v>
      </c>
      <c r="C261" s="117" t="s">
        <v>949</v>
      </c>
      <c r="D261" s="117" t="s">
        <v>416</v>
      </c>
      <c r="E261" s="175" t="s">
        <v>1978</v>
      </c>
      <c r="F261" s="117" t="s">
        <v>170</v>
      </c>
      <c r="G261" s="118" t="s">
        <v>2</v>
      </c>
      <c r="H261" s="69">
        <v>35209.373107514577</v>
      </c>
      <c r="I261" s="66">
        <v>1060</v>
      </c>
      <c r="J261" s="66">
        <v>0</v>
      </c>
      <c r="K261" s="64">
        <v>1745.88282</v>
      </c>
      <c r="L261" s="24">
        <v>8.3121827931623626E-4</v>
      </c>
      <c r="M261" s="32">
        <v>4.3816947945007701E-3</v>
      </c>
      <c r="N261" s="32">
        <v>2.0012954166487096E-3</v>
      </c>
      <c r="O261" s="14"/>
      <c r="P261" s="14"/>
      <c r="Q261" s="14"/>
      <c r="R261" s="14"/>
    </row>
    <row r="262" spans="1:18" x14ac:dyDescent="0.25">
      <c r="A262" s="16" t="s">
        <v>1038</v>
      </c>
      <c r="B262" s="117" t="s">
        <v>1039</v>
      </c>
      <c r="C262" s="117" t="s">
        <v>885</v>
      </c>
      <c r="D262" s="117" t="s">
        <v>416</v>
      </c>
      <c r="E262" s="117" t="s">
        <v>470</v>
      </c>
      <c r="F262" s="117" t="s">
        <v>187</v>
      </c>
      <c r="G262" s="118" t="s">
        <v>125</v>
      </c>
      <c r="H262" s="69">
        <v>18637.206571132192</v>
      </c>
      <c r="I262" s="66">
        <v>6992</v>
      </c>
      <c r="J262" s="66">
        <v>0</v>
      </c>
      <c r="K262" s="64">
        <v>4983.1059599999999</v>
      </c>
      <c r="L262" s="24">
        <v>3.0927818241319725E-4</v>
      </c>
      <c r="M262" s="32">
        <v>1.2506251390558824E-2</v>
      </c>
      <c r="N262" s="32">
        <v>5.7121056488904946E-3</v>
      </c>
      <c r="O262" s="14"/>
      <c r="P262" s="14"/>
      <c r="Q262" s="14"/>
      <c r="R262" s="14"/>
    </row>
    <row r="263" spans="1:18" x14ac:dyDescent="0.25">
      <c r="A263" s="16" t="s">
        <v>1040</v>
      </c>
      <c r="B263" s="117" t="s">
        <v>1041</v>
      </c>
      <c r="C263" s="117" t="s">
        <v>949</v>
      </c>
      <c r="D263" s="117" t="s">
        <v>416</v>
      </c>
      <c r="E263" s="117" t="s">
        <v>519</v>
      </c>
      <c r="F263" s="117" t="s">
        <v>164</v>
      </c>
      <c r="G263" s="118" t="s">
        <v>2</v>
      </c>
      <c r="H263" s="69">
        <v>102496.26680106352</v>
      </c>
      <c r="I263" s="66">
        <v>1143</v>
      </c>
      <c r="J263" s="66">
        <v>117.5837172</v>
      </c>
      <c r="K263" s="64">
        <v>5597.8948</v>
      </c>
      <c r="L263" s="24">
        <v>5.7241634160553766E-4</v>
      </c>
      <c r="M263" s="32">
        <v>1.4049205493254655E-2</v>
      </c>
      <c r="N263" s="32">
        <v>6.4168345537197304E-3</v>
      </c>
      <c r="O263" s="14"/>
      <c r="P263" s="14"/>
      <c r="Q263" s="14"/>
      <c r="R263" s="14"/>
    </row>
    <row r="264" spans="1:18" x14ac:dyDescent="0.25">
      <c r="A264" s="16" t="s">
        <v>1042</v>
      </c>
      <c r="B264" s="117" t="s">
        <v>1043</v>
      </c>
      <c r="C264" s="117" t="s">
        <v>864</v>
      </c>
      <c r="D264" s="117" t="s">
        <v>416</v>
      </c>
      <c r="E264" s="175" t="s">
        <v>1979</v>
      </c>
      <c r="F264" s="117" t="s">
        <v>195</v>
      </c>
      <c r="G264" s="118" t="s">
        <v>125</v>
      </c>
      <c r="H264" s="69">
        <v>8464.2134713949126</v>
      </c>
      <c r="I264" s="66">
        <v>1670</v>
      </c>
      <c r="J264" s="66">
        <v>0</v>
      </c>
      <c r="K264" s="64">
        <v>540.53143999999998</v>
      </c>
      <c r="L264" s="24">
        <v>3.2306158287766844E-5</v>
      </c>
      <c r="M264" s="32">
        <v>1.3565880652356753E-3</v>
      </c>
      <c r="N264" s="32">
        <v>6.1960807508634904E-4</v>
      </c>
      <c r="O264" s="14"/>
      <c r="P264" s="14"/>
      <c r="Q264" s="14"/>
      <c r="R264" s="14"/>
    </row>
    <row r="265" spans="1:18" x14ac:dyDescent="0.25">
      <c r="A265" s="16" t="s">
        <v>1044</v>
      </c>
      <c r="B265" s="117" t="s">
        <v>1045</v>
      </c>
      <c r="C265" s="117" t="s">
        <v>885</v>
      </c>
      <c r="D265" s="117" t="s">
        <v>416</v>
      </c>
      <c r="E265" s="175" t="s">
        <v>1980</v>
      </c>
      <c r="F265" s="117" t="s">
        <v>165</v>
      </c>
      <c r="G265" s="118" t="s">
        <v>125</v>
      </c>
      <c r="H265" s="69">
        <v>12126.697303338849</v>
      </c>
      <c r="I265" s="66">
        <v>6176</v>
      </c>
      <c r="J265" s="66">
        <v>18.433064780000002</v>
      </c>
      <c r="K265" s="64">
        <v>2882.3980799999999</v>
      </c>
      <c r="L265" s="24">
        <v>2.4523026906029266E-5</v>
      </c>
      <c r="M265" s="32">
        <v>7.2340414363061397E-3</v>
      </c>
      <c r="N265" s="32">
        <v>3.304076310494332E-3</v>
      </c>
      <c r="O265" s="14"/>
      <c r="P265" s="14"/>
      <c r="Q265" s="14"/>
      <c r="R265" s="14"/>
    </row>
    <row r="266" spans="1:18" x14ac:dyDescent="0.25">
      <c r="A266" s="16" t="s">
        <v>1046</v>
      </c>
      <c r="B266" s="117" t="s">
        <v>1047</v>
      </c>
      <c r="C266" s="117" t="s">
        <v>864</v>
      </c>
      <c r="D266" s="117" t="s">
        <v>416</v>
      </c>
      <c r="E266" s="175" t="s">
        <v>1981</v>
      </c>
      <c r="F266" s="117" t="s">
        <v>183</v>
      </c>
      <c r="G266" s="118" t="s">
        <v>125</v>
      </c>
      <c r="H266" s="69">
        <v>1839.473177612309</v>
      </c>
      <c r="I266" s="66">
        <v>5868</v>
      </c>
      <c r="J266" s="66">
        <v>0</v>
      </c>
      <c r="K266" s="64">
        <v>412.76365000000004</v>
      </c>
      <c r="L266" s="24">
        <v>2.3422725851137561E-6</v>
      </c>
      <c r="M266" s="32">
        <v>1.0359253873430852E-3</v>
      </c>
      <c r="N266" s="32">
        <v>4.731485936176359E-4</v>
      </c>
      <c r="O266" s="14"/>
      <c r="P266" s="14"/>
      <c r="Q266" s="14"/>
      <c r="R266" s="14"/>
    </row>
    <row r="267" spans="1:18" x14ac:dyDescent="0.25">
      <c r="A267" s="16" t="s">
        <v>1048</v>
      </c>
      <c r="B267" s="117" t="s">
        <v>1049</v>
      </c>
      <c r="C267" s="117" t="s">
        <v>864</v>
      </c>
      <c r="D267" s="117" t="s">
        <v>416</v>
      </c>
      <c r="E267" s="175" t="s">
        <v>1982</v>
      </c>
      <c r="F267" s="117" t="s">
        <v>185</v>
      </c>
      <c r="G267" s="118" t="s">
        <v>125</v>
      </c>
      <c r="H267" s="69">
        <v>1191.6087468164701</v>
      </c>
      <c r="I267" s="66">
        <v>45866</v>
      </c>
      <c r="J267" s="66">
        <v>0</v>
      </c>
      <c r="K267" s="64">
        <v>2089.98146</v>
      </c>
      <c r="L267" s="24">
        <v>8.7411113014673168E-6</v>
      </c>
      <c r="M267" s="32">
        <v>5.2452895343142892E-3</v>
      </c>
      <c r="N267" s="32">
        <v>2.3957337049566579E-3</v>
      </c>
      <c r="O267" s="14"/>
      <c r="P267" s="14"/>
      <c r="Q267" s="14"/>
      <c r="R267" s="14"/>
    </row>
    <row r="268" spans="1:18" x14ac:dyDescent="0.25">
      <c r="A268" s="16" t="s">
        <v>1050</v>
      </c>
      <c r="B268" s="117" t="s">
        <v>1051</v>
      </c>
      <c r="C268" s="117" t="s">
        <v>864</v>
      </c>
      <c r="D268" s="117" t="s">
        <v>416</v>
      </c>
      <c r="E268" s="175" t="s">
        <v>1983</v>
      </c>
      <c r="F268" s="117" t="s">
        <v>183</v>
      </c>
      <c r="G268" s="118" t="s">
        <v>125</v>
      </c>
      <c r="H268" s="69">
        <v>327.27282482987556</v>
      </c>
      <c r="I268" s="66">
        <v>6430</v>
      </c>
      <c r="J268" s="66">
        <v>0</v>
      </c>
      <c r="K268" s="64">
        <v>80.470889999999997</v>
      </c>
      <c r="L268" s="24">
        <v>4.5320917689198981E-6</v>
      </c>
      <c r="M268" s="32">
        <v>2.0196022080212924E-4</v>
      </c>
      <c r="N268" s="32">
        <v>9.2243317527256757E-5</v>
      </c>
      <c r="O268" s="14"/>
      <c r="P268" s="14"/>
      <c r="Q268" s="14"/>
      <c r="R268" s="14"/>
    </row>
    <row r="269" spans="1:18" x14ac:dyDescent="0.25">
      <c r="A269" s="16" t="s">
        <v>1052</v>
      </c>
      <c r="B269" s="117" t="s">
        <v>1053</v>
      </c>
      <c r="C269" s="117" t="s">
        <v>885</v>
      </c>
      <c r="D269" s="117" t="s">
        <v>416</v>
      </c>
      <c r="E269" s="175" t="s">
        <v>1984</v>
      </c>
      <c r="F269" s="117" t="s">
        <v>165</v>
      </c>
      <c r="G269" s="118" t="s">
        <v>125</v>
      </c>
      <c r="H269" s="69">
        <v>2968.7862397416616</v>
      </c>
      <c r="I269" s="66">
        <v>8574</v>
      </c>
      <c r="J269" s="66">
        <v>0</v>
      </c>
      <c r="K269" s="64">
        <v>973.37522999999999</v>
      </c>
      <c r="L269" s="24">
        <v>1.538648799991242E-5</v>
      </c>
      <c r="M269" s="32">
        <v>2.4429091858450096E-3</v>
      </c>
      <c r="N269" s="32">
        <v>1.1157744174826025E-3</v>
      </c>
      <c r="O269" s="14"/>
      <c r="P269" s="14"/>
      <c r="Q269" s="14"/>
      <c r="R269" s="14"/>
    </row>
    <row r="270" spans="1:18" x14ac:dyDescent="0.25">
      <c r="A270" s="16" t="s">
        <v>1054</v>
      </c>
      <c r="B270" s="117" t="s">
        <v>1055</v>
      </c>
      <c r="C270" s="117" t="s">
        <v>885</v>
      </c>
      <c r="D270" s="117" t="s">
        <v>416</v>
      </c>
      <c r="E270" s="175" t="s">
        <v>1985</v>
      </c>
      <c r="F270" s="117" t="s">
        <v>183</v>
      </c>
      <c r="G270" s="118" t="s">
        <v>125</v>
      </c>
      <c r="H270" s="69">
        <v>1254.5903699736157</v>
      </c>
      <c r="I270" s="66">
        <v>7448</v>
      </c>
      <c r="J270" s="66">
        <v>0</v>
      </c>
      <c r="K270" s="64">
        <v>357.32178999999996</v>
      </c>
      <c r="L270" s="24">
        <v>8.5455328740448709E-6</v>
      </c>
      <c r="M270" s="32">
        <v>8.9678127837050203E-4</v>
      </c>
      <c r="N270" s="32">
        <v>4.0959590896009422E-4</v>
      </c>
      <c r="O270" s="14"/>
      <c r="P270" s="14"/>
      <c r="Q270" s="14"/>
      <c r="R270" s="14"/>
    </row>
    <row r="271" spans="1:18" x14ac:dyDescent="0.25">
      <c r="A271" s="16" t="s">
        <v>1056</v>
      </c>
      <c r="B271" s="117" t="s">
        <v>1057</v>
      </c>
      <c r="C271" s="117" t="s">
        <v>864</v>
      </c>
      <c r="D271" s="117" t="s">
        <v>416</v>
      </c>
      <c r="E271" s="175" t="s">
        <v>1986</v>
      </c>
      <c r="F271" s="117" t="s">
        <v>185</v>
      </c>
      <c r="G271" s="118" t="s">
        <v>125</v>
      </c>
      <c r="H271" s="69">
        <v>663.23123418283706</v>
      </c>
      <c r="I271" s="66">
        <v>5413</v>
      </c>
      <c r="J271" s="66">
        <v>0</v>
      </c>
      <c r="K271" s="64">
        <v>137.2843</v>
      </c>
      <c r="L271" s="24">
        <v>7.6869637712428963E-7</v>
      </c>
      <c r="M271" s="32">
        <v>3.4454655019555203E-4</v>
      </c>
      <c r="N271" s="32">
        <v>1.5736820204681687E-4</v>
      </c>
      <c r="O271" s="14"/>
      <c r="P271" s="14"/>
      <c r="Q271" s="14"/>
      <c r="R271" s="14"/>
    </row>
    <row r="272" spans="1:18" x14ac:dyDescent="0.25">
      <c r="A272" s="16" t="s">
        <v>1058</v>
      </c>
      <c r="B272" s="117" t="s">
        <v>1059</v>
      </c>
      <c r="C272" s="117" t="s">
        <v>885</v>
      </c>
      <c r="D272" s="117" t="s">
        <v>416</v>
      </c>
      <c r="E272" s="175" t="s">
        <v>1987</v>
      </c>
      <c r="F272" s="117" t="s">
        <v>183</v>
      </c>
      <c r="G272" s="118" t="s">
        <v>125</v>
      </c>
      <c r="H272" s="69">
        <v>12579.657217436643</v>
      </c>
      <c r="I272" s="66">
        <v>1686</v>
      </c>
      <c r="J272" s="66">
        <v>0</v>
      </c>
      <c r="K272" s="64">
        <v>811.04370999999992</v>
      </c>
      <c r="L272" s="24">
        <v>5.1943467060753423E-5</v>
      </c>
      <c r="M272" s="32">
        <v>2.0355008718280368E-3</v>
      </c>
      <c r="N272" s="32">
        <v>9.2969473147388256E-4</v>
      </c>
      <c r="O272" s="14"/>
      <c r="P272" s="14"/>
      <c r="Q272" s="14"/>
      <c r="R272" s="14"/>
    </row>
    <row r="273" spans="1:18" x14ac:dyDescent="0.25">
      <c r="A273" s="16" t="s">
        <v>1060</v>
      </c>
      <c r="B273" s="117" t="s">
        <v>1061</v>
      </c>
      <c r="C273" s="117" t="s">
        <v>885</v>
      </c>
      <c r="D273" s="117" t="s">
        <v>416</v>
      </c>
      <c r="E273" s="117" t="s">
        <v>1062</v>
      </c>
      <c r="F273" s="117" t="s">
        <v>164</v>
      </c>
      <c r="G273" s="118" t="s">
        <v>125</v>
      </c>
      <c r="H273" s="69">
        <v>1799.3145980942872</v>
      </c>
      <c r="I273" s="66">
        <v>2841</v>
      </c>
      <c r="J273" s="66">
        <v>0</v>
      </c>
      <c r="K273" s="64">
        <v>195.47725</v>
      </c>
      <c r="L273" s="24">
        <v>2.7759526449652287E-5</v>
      </c>
      <c r="M273" s="32">
        <v>4.9059515275390905E-4</v>
      </c>
      <c r="N273" s="32">
        <v>2.240744453193565E-4</v>
      </c>
      <c r="O273" s="14"/>
      <c r="P273" s="14"/>
      <c r="Q273" s="14"/>
      <c r="R273" s="14"/>
    </row>
    <row r="274" spans="1:18" x14ac:dyDescent="0.25">
      <c r="A274" s="16" t="s">
        <v>1063</v>
      </c>
      <c r="B274" s="117" t="s">
        <v>1064</v>
      </c>
      <c r="C274" s="117" t="s">
        <v>864</v>
      </c>
      <c r="D274" s="117" t="s">
        <v>416</v>
      </c>
      <c r="E274" s="175" t="s">
        <v>218</v>
      </c>
      <c r="F274" s="117" t="s">
        <v>188</v>
      </c>
      <c r="G274" s="118" t="s">
        <v>125</v>
      </c>
      <c r="H274" s="69">
        <v>3496.9764561319589</v>
      </c>
      <c r="I274" s="66">
        <v>1066.6199999999999</v>
      </c>
      <c r="J274" s="66">
        <v>0</v>
      </c>
      <c r="K274" s="64">
        <v>142.63310000000001</v>
      </c>
      <c r="L274" s="24">
        <v>3.0446800941114245E-4</v>
      </c>
      <c r="M274" s="32">
        <v>3.5797059495293489E-4</v>
      </c>
      <c r="N274" s="32">
        <v>1.634995006666009E-4</v>
      </c>
      <c r="O274" s="14"/>
      <c r="P274" s="14"/>
      <c r="Q274" s="14"/>
      <c r="R274" s="14"/>
    </row>
    <row r="275" spans="1:18" s="119" customFormat="1" x14ac:dyDescent="0.25">
      <c r="A275" s="78" t="s">
        <v>241</v>
      </c>
      <c r="B275" s="125"/>
      <c r="C275" s="125"/>
      <c r="D275" s="125"/>
      <c r="E275" s="125"/>
      <c r="F275" s="125"/>
      <c r="G275" s="126"/>
      <c r="H275" s="126"/>
      <c r="I275" s="126"/>
      <c r="J275" s="126"/>
      <c r="K275" s="127"/>
      <c r="L275" s="128"/>
      <c r="M275" s="128"/>
      <c r="N275" s="129"/>
      <c r="O275" s="148"/>
      <c r="P275" s="148"/>
      <c r="Q275" s="130"/>
      <c r="R275" s="130"/>
    </row>
    <row r="276" spans="1:18" s="119" customFormat="1" x14ac:dyDescent="0.25">
      <c r="A276" s="78" t="s">
        <v>242</v>
      </c>
      <c r="B276" s="125"/>
      <c r="C276" s="125"/>
      <c r="D276" s="125"/>
      <c r="E276" s="125"/>
      <c r="F276" s="125"/>
      <c r="G276" s="126"/>
      <c r="H276" s="126"/>
      <c r="I276" s="126"/>
      <c r="J276" s="126"/>
      <c r="K276" s="127"/>
      <c r="L276" s="128"/>
      <c r="M276" s="128"/>
      <c r="N276" s="129"/>
      <c r="O276" s="148"/>
      <c r="P276" s="148"/>
      <c r="Q276" s="130"/>
      <c r="R276" s="130"/>
    </row>
    <row r="277" spans="1:18" s="119" customFormat="1" x14ac:dyDescent="0.25">
      <c r="A277" s="78" t="s">
        <v>243</v>
      </c>
      <c r="B277" s="125"/>
      <c r="C277" s="125"/>
      <c r="D277" s="125"/>
      <c r="E277" s="125"/>
      <c r="F277" s="125"/>
      <c r="G277" s="126"/>
      <c r="H277" s="126"/>
      <c r="I277" s="126"/>
      <c r="J277" s="126"/>
      <c r="K277" s="127"/>
      <c r="L277" s="128"/>
      <c r="M277" s="128"/>
      <c r="N277" s="129"/>
      <c r="O277" s="148"/>
      <c r="P277" s="148"/>
      <c r="Q277" s="130"/>
      <c r="R277" s="130"/>
    </row>
    <row r="278" spans="1:18" s="119" customFormat="1" x14ac:dyDescent="0.25">
      <c r="A278" s="78" t="s">
        <v>244</v>
      </c>
      <c r="B278" s="125"/>
      <c r="C278" s="125"/>
      <c r="D278" s="125"/>
      <c r="E278" s="125"/>
      <c r="F278" s="125"/>
      <c r="G278" s="126"/>
      <c r="H278" s="126"/>
      <c r="I278" s="126"/>
      <c r="J278" s="126"/>
      <c r="K278" s="127"/>
      <c r="L278" s="128"/>
      <c r="M278" s="128"/>
      <c r="N278" s="129"/>
      <c r="O278" s="148"/>
      <c r="P278" s="148"/>
      <c r="Q278" s="130"/>
      <c r="R278" s="130"/>
    </row>
    <row r="279" spans="1:18" s="119" customFormat="1" x14ac:dyDescent="0.25">
      <c r="A279" s="78" t="s">
        <v>245</v>
      </c>
      <c r="B279" s="125"/>
      <c r="C279" s="125"/>
      <c r="D279" s="125"/>
      <c r="E279" s="125"/>
      <c r="F279" s="125"/>
      <c r="G279" s="126"/>
      <c r="H279" s="126"/>
      <c r="I279" s="126"/>
      <c r="J279" s="126"/>
      <c r="K279" s="127"/>
      <c r="L279" s="128"/>
      <c r="M279" s="128"/>
      <c r="N279" s="129"/>
      <c r="O279" s="148"/>
      <c r="P279" s="148"/>
      <c r="Q279" s="130"/>
      <c r="R279" s="130"/>
    </row>
  </sheetData>
  <mergeCells count="2">
    <mergeCell ref="A5:N5"/>
    <mergeCell ref="A4:N4"/>
  </mergeCells>
  <phoneticPr fontId="3" type="noConversion"/>
  <conditionalFormatting sqref="A9:A274 K9:K274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274 M9:N274">
    <cfRule type="expression" dxfId="107" priority="119" stopIfTrue="1">
      <formula>LEFT(#REF!,3)="TIR"</formula>
    </cfRule>
  </conditionalFormatting>
  <conditionalFormatting sqref="L9:M55809 L1:M3 H9:J274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4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0.8867187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4"/>
      <c r="N4" s="13"/>
      <c r="O4" s="13"/>
      <c r="P4" s="13"/>
      <c r="Q4" s="12"/>
      <c r="R4" s="12"/>
      <c r="S4" s="14"/>
    </row>
    <row r="5" spans="1:19" s="7" customFormat="1" x14ac:dyDescent="0.25">
      <c r="A5" s="225" t="s">
        <v>158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7"/>
      <c r="N5" s="13"/>
    </row>
    <row r="6" spans="1:19" s="7" customFormat="1" x14ac:dyDescent="0.25">
      <c r="A6" s="86" t="s">
        <v>157</v>
      </c>
      <c r="B6" s="205" t="s">
        <v>69</v>
      </c>
      <c r="C6" s="205" t="s">
        <v>76</v>
      </c>
      <c r="D6" s="205" t="s">
        <v>74</v>
      </c>
      <c r="E6" s="205" t="s">
        <v>19</v>
      </c>
      <c r="F6" s="205" t="s">
        <v>6</v>
      </c>
      <c r="G6" s="206" t="s">
        <v>67</v>
      </c>
      <c r="H6" s="206" t="s">
        <v>68</v>
      </c>
      <c r="I6" s="206" t="s">
        <v>134</v>
      </c>
      <c r="J6" s="206" t="s">
        <v>7</v>
      </c>
      <c r="K6" s="206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220562.301271</v>
      </c>
      <c r="K9" s="70" t="s">
        <v>249</v>
      </c>
      <c r="L9" s="70">
        <v>1</v>
      </c>
      <c r="M9" s="82">
        <v>0.25282929504921992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37108.118630599995</v>
      </c>
      <c r="K10" s="121" t="s">
        <v>249</v>
      </c>
      <c r="L10" s="121">
        <v>0.1682432510758313</v>
      </c>
      <c r="M10" s="121">
        <v>4.2536822566291335E-2</v>
      </c>
    </row>
    <row r="11" spans="1:19" s="119" customFormat="1" x14ac:dyDescent="0.25">
      <c r="A11" s="92" t="s">
        <v>1065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37108.118630100005</v>
      </c>
      <c r="K11" s="137"/>
      <c r="L11" s="121">
        <v>0.16824325107356439</v>
      </c>
      <c r="M11" s="121">
        <v>4.2536822565718203E-2</v>
      </c>
    </row>
    <row r="12" spans="1:19" x14ac:dyDescent="0.25">
      <c r="A12" s="16" t="s">
        <v>1094</v>
      </c>
      <c r="B12" s="117" t="s">
        <v>1095</v>
      </c>
      <c r="C12" s="117" t="s">
        <v>387</v>
      </c>
      <c r="D12" s="117" t="s">
        <v>1096</v>
      </c>
      <c r="E12" s="117" t="s">
        <v>1069</v>
      </c>
      <c r="F12" s="117" t="s">
        <v>255</v>
      </c>
      <c r="G12" s="69">
        <v>162378.21418677765</v>
      </c>
      <c r="H12" s="66">
        <v>1854</v>
      </c>
      <c r="I12" s="84">
        <v>0</v>
      </c>
      <c r="J12" s="84">
        <v>3010.4920899999997</v>
      </c>
      <c r="K12" s="24">
        <v>1.7430859890239729E-3</v>
      </c>
      <c r="L12" s="32">
        <v>1.3649168840966504E-2</v>
      </c>
      <c r="M12" s="32">
        <v>3.450909736069339E-3</v>
      </c>
      <c r="N12" s="14"/>
      <c r="O12" s="14"/>
      <c r="P12" s="14"/>
      <c r="Q12" s="14"/>
      <c r="R12" s="14"/>
    </row>
    <row r="13" spans="1:19" x14ac:dyDescent="0.25">
      <c r="A13" s="16" t="s">
        <v>1097</v>
      </c>
      <c r="B13" s="117" t="s">
        <v>1098</v>
      </c>
      <c r="C13" s="117" t="s">
        <v>387</v>
      </c>
      <c r="D13" s="117" t="s">
        <v>1096</v>
      </c>
      <c r="E13" s="117" t="s">
        <v>1069</v>
      </c>
      <c r="F13" s="117" t="s">
        <v>255</v>
      </c>
      <c r="G13" s="69">
        <v>24119.832587442186</v>
      </c>
      <c r="H13" s="66">
        <v>1874.0000000000002</v>
      </c>
      <c r="I13" s="84">
        <v>0</v>
      </c>
      <c r="J13" s="84">
        <v>452.00565999999998</v>
      </c>
      <c r="K13" s="24">
        <v>6.0621726840579481E-4</v>
      </c>
      <c r="L13" s="32">
        <v>2.0493332604678925E-3</v>
      </c>
      <c r="M13" s="32">
        <v>5.1813148356501661E-4</v>
      </c>
      <c r="N13" s="14"/>
      <c r="O13" s="14"/>
      <c r="P13" s="14"/>
      <c r="Q13" s="14"/>
      <c r="R13" s="14"/>
    </row>
    <row r="14" spans="1:19" x14ac:dyDescent="0.25">
      <c r="A14" s="16" t="s">
        <v>1099</v>
      </c>
      <c r="B14" s="117" t="s">
        <v>1100</v>
      </c>
      <c r="C14" s="117" t="s">
        <v>387</v>
      </c>
      <c r="D14" s="117" t="s">
        <v>1096</v>
      </c>
      <c r="E14" s="117" t="s">
        <v>1069</v>
      </c>
      <c r="F14" s="117" t="s">
        <v>255</v>
      </c>
      <c r="G14" s="69">
        <v>6454.119780581922</v>
      </c>
      <c r="H14" s="66">
        <v>535.4</v>
      </c>
      <c r="I14" s="84">
        <v>0</v>
      </c>
      <c r="J14" s="84">
        <v>34.55536</v>
      </c>
      <c r="K14" s="24">
        <v>1.009346017314314E-3</v>
      </c>
      <c r="L14" s="32">
        <v>1.5666938457240069E-4</v>
      </c>
      <c r="M14" s="32">
        <v>3.9610610057235199E-5</v>
      </c>
      <c r="N14" s="14"/>
      <c r="O14" s="14"/>
      <c r="P14" s="14"/>
      <c r="Q14" s="14"/>
      <c r="R14" s="14"/>
    </row>
    <row r="15" spans="1:19" x14ac:dyDescent="0.25">
      <c r="A15" s="16" t="s">
        <v>1101</v>
      </c>
      <c r="B15" s="117" t="s">
        <v>1102</v>
      </c>
      <c r="C15" s="117" t="s">
        <v>387</v>
      </c>
      <c r="D15" s="117" t="s">
        <v>1096</v>
      </c>
      <c r="E15" s="117" t="s">
        <v>1069</v>
      </c>
      <c r="F15" s="117" t="s">
        <v>255</v>
      </c>
      <c r="G15" s="69">
        <v>9889.8608608683171</v>
      </c>
      <c r="H15" s="66">
        <v>3155</v>
      </c>
      <c r="I15" s="84">
        <v>0</v>
      </c>
      <c r="J15" s="84">
        <v>312.02510999999998</v>
      </c>
      <c r="K15" s="24">
        <v>2.7679036377785586E-3</v>
      </c>
      <c r="L15" s="32">
        <v>1.4146801525099326E-3</v>
      </c>
      <c r="M15" s="32">
        <v>3.5767258567920919E-4</v>
      </c>
      <c r="N15" s="14"/>
      <c r="O15" s="14"/>
      <c r="P15" s="14"/>
      <c r="Q15" s="14"/>
      <c r="R15" s="14"/>
    </row>
    <row r="16" spans="1:19" x14ac:dyDescent="0.25">
      <c r="A16" s="16" t="s">
        <v>1110</v>
      </c>
      <c r="B16" s="117" t="s">
        <v>1111</v>
      </c>
      <c r="C16" s="117" t="s">
        <v>387</v>
      </c>
      <c r="D16" s="117" t="s">
        <v>1096</v>
      </c>
      <c r="E16" s="117" t="s">
        <v>1069</v>
      </c>
      <c r="F16" s="117" t="s">
        <v>255</v>
      </c>
      <c r="G16" s="69">
        <v>62200.927187043511</v>
      </c>
      <c r="H16" s="66">
        <v>3597</v>
      </c>
      <c r="I16" s="84">
        <v>0</v>
      </c>
      <c r="J16" s="84">
        <v>2237.36735</v>
      </c>
      <c r="K16" s="24">
        <v>9.4262805887972492E-4</v>
      </c>
      <c r="L16" s="32">
        <v>1.014392458324506E-2</v>
      </c>
      <c r="M16" s="32">
        <v>2.5646813014143003E-3</v>
      </c>
      <c r="N16" s="14"/>
      <c r="O16" s="14"/>
      <c r="P16" s="14"/>
      <c r="Q16" s="14"/>
      <c r="R16" s="14"/>
    </row>
    <row r="17" spans="1:18" x14ac:dyDescent="0.25">
      <c r="A17" s="16" t="s">
        <v>1103</v>
      </c>
      <c r="B17" s="117" t="s">
        <v>1104</v>
      </c>
      <c r="C17" s="117" t="s">
        <v>387</v>
      </c>
      <c r="D17" s="117" t="s">
        <v>1105</v>
      </c>
      <c r="E17" s="117" t="s">
        <v>1069</v>
      </c>
      <c r="F17" s="117" t="s">
        <v>255</v>
      </c>
      <c r="G17" s="69">
        <v>28659.453556715973</v>
      </c>
      <c r="H17" s="66">
        <v>2904</v>
      </c>
      <c r="I17" s="84">
        <v>0</v>
      </c>
      <c r="J17" s="84">
        <v>832.27053000000001</v>
      </c>
      <c r="K17" s="24">
        <v>6.1971708265877391E-4</v>
      </c>
      <c r="L17" s="32">
        <v>3.7734033658698898E-3</v>
      </c>
      <c r="M17" s="32">
        <v>9.5402691292923781E-4</v>
      </c>
      <c r="N17" s="14"/>
      <c r="O17" s="14"/>
      <c r="P17" s="14"/>
      <c r="Q17" s="14"/>
      <c r="R17" s="14"/>
    </row>
    <row r="18" spans="1:18" x14ac:dyDescent="0.25">
      <c r="A18" s="16" t="s">
        <v>1108</v>
      </c>
      <c r="B18" s="117" t="s">
        <v>1109</v>
      </c>
      <c r="C18" s="117" t="s">
        <v>387</v>
      </c>
      <c r="D18" s="117" t="s">
        <v>1105</v>
      </c>
      <c r="E18" s="117" t="s">
        <v>1069</v>
      </c>
      <c r="F18" s="117" t="s">
        <v>255</v>
      </c>
      <c r="G18" s="69">
        <v>70536.415841660375</v>
      </c>
      <c r="H18" s="66">
        <v>2802</v>
      </c>
      <c r="I18" s="84">
        <v>0</v>
      </c>
      <c r="J18" s="84">
        <v>1976.43037</v>
      </c>
      <c r="K18" s="24">
        <v>1.9387345742083245E-3</v>
      </c>
      <c r="L18" s="32">
        <v>8.9608711851968028E-3</v>
      </c>
      <c r="M18" s="32">
        <v>2.2655707447801756E-3</v>
      </c>
      <c r="N18" s="14"/>
      <c r="O18" s="14"/>
      <c r="P18" s="14"/>
      <c r="Q18" s="14"/>
      <c r="R18" s="14"/>
    </row>
    <row r="19" spans="1:18" x14ac:dyDescent="0.25">
      <c r="A19" s="16" t="s">
        <v>1066</v>
      </c>
      <c r="B19" s="117" t="s">
        <v>1067</v>
      </c>
      <c r="C19" s="117" t="s">
        <v>387</v>
      </c>
      <c r="D19" s="117" t="s">
        <v>1068</v>
      </c>
      <c r="E19" s="117" t="s">
        <v>1069</v>
      </c>
      <c r="F19" s="117" t="s">
        <v>255</v>
      </c>
      <c r="G19" s="69">
        <v>7519.2575084504433</v>
      </c>
      <c r="H19" s="66">
        <v>1852</v>
      </c>
      <c r="I19" s="84">
        <v>0</v>
      </c>
      <c r="J19" s="84">
        <v>139.25665000000001</v>
      </c>
      <c r="K19" s="24">
        <v>4.1321493302517297E-5</v>
      </c>
      <c r="L19" s="32">
        <v>6.313710420934466E-4</v>
      </c>
      <c r="M19" s="32">
        <v>1.5962909548697748E-4</v>
      </c>
      <c r="N19" s="14"/>
      <c r="O19" s="14"/>
      <c r="P19" s="14"/>
      <c r="Q19" s="14"/>
      <c r="R19" s="14"/>
    </row>
    <row r="20" spans="1:18" x14ac:dyDescent="0.25">
      <c r="A20" s="16" t="s">
        <v>1070</v>
      </c>
      <c r="B20" s="117" t="s">
        <v>1071</v>
      </c>
      <c r="C20" s="117" t="s">
        <v>387</v>
      </c>
      <c r="D20" s="117" t="s">
        <v>1068</v>
      </c>
      <c r="E20" s="117" t="s">
        <v>1069</v>
      </c>
      <c r="F20" s="117" t="s">
        <v>255</v>
      </c>
      <c r="G20" s="69">
        <v>278652.79554891278</v>
      </c>
      <c r="H20" s="66">
        <v>3539</v>
      </c>
      <c r="I20" s="84">
        <v>0</v>
      </c>
      <c r="J20" s="84">
        <v>9861.5224299999991</v>
      </c>
      <c r="K20" s="24">
        <v>1.8939165329887844E-3</v>
      </c>
      <c r="L20" s="32">
        <v>4.4710824892434206E-2</v>
      </c>
      <c r="M20" s="32">
        <v>1.1304206338623253E-2</v>
      </c>
      <c r="N20" s="14"/>
      <c r="O20" s="14"/>
      <c r="P20" s="14"/>
      <c r="Q20" s="14"/>
      <c r="R20" s="14"/>
    </row>
    <row r="21" spans="1:18" x14ac:dyDescent="0.25">
      <c r="A21" s="16" t="s">
        <v>1072</v>
      </c>
      <c r="B21" s="117" t="s">
        <v>1073</v>
      </c>
      <c r="C21" s="117" t="s">
        <v>387</v>
      </c>
      <c r="D21" s="117" t="s">
        <v>1068</v>
      </c>
      <c r="E21" s="117" t="s">
        <v>1069</v>
      </c>
      <c r="F21" s="117" t="s">
        <v>255</v>
      </c>
      <c r="G21" s="69">
        <v>58458.475222936977</v>
      </c>
      <c r="H21" s="66">
        <v>1849.0000000000002</v>
      </c>
      <c r="I21" s="84">
        <v>0</v>
      </c>
      <c r="J21" s="84">
        <v>1080.8972099999999</v>
      </c>
      <c r="K21" s="24">
        <v>9.3734764653601531E-4</v>
      </c>
      <c r="L21" s="32">
        <v>4.9006435087559485E-3</v>
      </c>
      <c r="M21" s="32">
        <v>1.2390262436063019E-3</v>
      </c>
      <c r="N21" s="14"/>
      <c r="O21" s="14"/>
      <c r="P21" s="14"/>
      <c r="Q21" s="14"/>
      <c r="R21" s="14"/>
    </row>
    <row r="22" spans="1:18" x14ac:dyDescent="0.25">
      <c r="A22" s="16" t="s">
        <v>1074</v>
      </c>
      <c r="B22" s="117" t="s">
        <v>1075</v>
      </c>
      <c r="C22" s="117" t="s">
        <v>387</v>
      </c>
      <c r="D22" s="117" t="s">
        <v>1068</v>
      </c>
      <c r="E22" s="117" t="s">
        <v>1069</v>
      </c>
      <c r="F22" s="117" t="s">
        <v>255</v>
      </c>
      <c r="G22" s="69">
        <v>587.1633303442419</v>
      </c>
      <c r="H22" s="66">
        <v>3134</v>
      </c>
      <c r="I22" s="84">
        <v>0</v>
      </c>
      <c r="J22" s="84">
        <v>18.401700000000002</v>
      </c>
      <c r="K22" s="24">
        <v>1.9144599345033894E-4</v>
      </c>
      <c r="L22" s="32">
        <v>8.3430848762274391E-5</v>
      </c>
      <c r="M22" s="32">
        <v>2.1093762677923918E-5</v>
      </c>
      <c r="N22" s="14"/>
      <c r="O22" s="14"/>
      <c r="P22" s="14"/>
      <c r="Q22" s="14"/>
      <c r="R22" s="14"/>
    </row>
    <row r="23" spans="1:18" x14ac:dyDescent="0.25">
      <c r="A23" s="16" t="s">
        <v>1076</v>
      </c>
      <c r="B23" s="117" t="s">
        <v>1077</v>
      </c>
      <c r="C23" s="117" t="s">
        <v>387</v>
      </c>
      <c r="D23" s="117" t="s">
        <v>1068</v>
      </c>
      <c r="E23" s="117" t="s">
        <v>1069</v>
      </c>
      <c r="F23" s="117" t="s">
        <v>255</v>
      </c>
      <c r="G23" s="69">
        <v>24386.823001535937</v>
      </c>
      <c r="H23" s="66">
        <v>1155</v>
      </c>
      <c r="I23" s="84">
        <v>0</v>
      </c>
      <c r="J23" s="84">
        <v>281.66780999999997</v>
      </c>
      <c r="K23" s="24">
        <v>7.126222157734138E-3</v>
      </c>
      <c r="L23" s="32">
        <v>1.2770442109865414E-3</v>
      </c>
      <c r="M23" s="32">
        <v>3.2287418761041447E-4</v>
      </c>
      <c r="N23" s="14"/>
      <c r="O23" s="14"/>
      <c r="P23" s="14"/>
      <c r="Q23" s="14"/>
      <c r="R23" s="14"/>
    </row>
    <row r="24" spans="1:18" x14ac:dyDescent="0.25">
      <c r="A24" s="16" t="s">
        <v>1078</v>
      </c>
      <c r="B24" s="117" t="s">
        <v>1079</v>
      </c>
      <c r="C24" s="117" t="s">
        <v>387</v>
      </c>
      <c r="D24" s="117" t="s">
        <v>1068</v>
      </c>
      <c r="E24" s="117" t="s">
        <v>1069</v>
      </c>
      <c r="F24" s="117" t="s">
        <v>255</v>
      </c>
      <c r="G24" s="69">
        <v>22123.16021816594</v>
      </c>
      <c r="H24" s="66">
        <v>514</v>
      </c>
      <c r="I24" s="84">
        <v>0</v>
      </c>
      <c r="J24" s="84">
        <v>113.71303999999999</v>
      </c>
      <c r="K24" s="24">
        <v>2.2291912222884396E-3</v>
      </c>
      <c r="L24" s="32">
        <v>5.1555972777180676E-4</v>
      </c>
      <c r="M24" s="32">
        <v>1.3034860252831364E-4</v>
      </c>
      <c r="N24" s="14"/>
      <c r="O24" s="14"/>
      <c r="P24" s="14"/>
      <c r="Q24" s="14"/>
      <c r="R24" s="14"/>
    </row>
    <row r="25" spans="1:18" x14ac:dyDescent="0.25">
      <c r="A25" s="16" t="s">
        <v>1091</v>
      </c>
      <c r="B25" s="117" t="s">
        <v>1092</v>
      </c>
      <c r="C25" s="117" t="s">
        <v>387</v>
      </c>
      <c r="D25" s="117" t="s">
        <v>1093</v>
      </c>
      <c r="E25" s="117" t="s">
        <v>1069</v>
      </c>
      <c r="F25" s="117" t="s">
        <v>255</v>
      </c>
      <c r="G25" s="69">
        <v>185911.40155012778</v>
      </c>
      <c r="H25" s="66">
        <v>3560</v>
      </c>
      <c r="I25" s="84">
        <v>0</v>
      </c>
      <c r="J25" s="84">
        <v>6618.4459000000006</v>
      </c>
      <c r="K25" s="24">
        <v>1.8441158946943643E-3</v>
      </c>
      <c r="L25" s="32">
        <v>3.0007149281000942E-2</v>
      </c>
      <c r="M25" s="32">
        <v>7.5866863991521745E-3</v>
      </c>
      <c r="N25" s="14"/>
      <c r="O25" s="14"/>
      <c r="P25" s="14"/>
      <c r="Q25" s="14"/>
      <c r="R25" s="14"/>
    </row>
    <row r="26" spans="1:18" x14ac:dyDescent="0.25">
      <c r="A26" s="16" t="s">
        <v>1080</v>
      </c>
      <c r="B26" s="117" t="s">
        <v>1081</v>
      </c>
      <c r="C26" s="117" t="s">
        <v>387</v>
      </c>
      <c r="D26" s="117" t="s">
        <v>1082</v>
      </c>
      <c r="E26" s="117" t="s">
        <v>1069</v>
      </c>
      <c r="F26" s="117" t="s">
        <v>255</v>
      </c>
      <c r="G26" s="69">
        <v>30357.463060249716</v>
      </c>
      <c r="H26" s="66">
        <v>17920</v>
      </c>
      <c r="I26" s="84">
        <v>0</v>
      </c>
      <c r="J26" s="84">
        <v>5440.0573800000002</v>
      </c>
      <c r="K26" s="24">
        <v>2.7198898496131551E-3</v>
      </c>
      <c r="L26" s="32">
        <v>2.4664493200567048E-2</v>
      </c>
      <c r="M26" s="32">
        <v>6.2359064286456444E-3</v>
      </c>
      <c r="N26" s="14"/>
      <c r="O26" s="14"/>
      <c r="P26" s="14"/>
      <c r="Q26" s="14"/>
      <c r="R26" s="14"/>
    </row>
    <row r="27" spans="1:18" x14ac:dyDescent="0.25">
      <c r="A27" s="16" t="s">
        <v>1083</v>
      </c>
      <c r="B27" s="117" t="s">
        <v>1084</v>
      </c>
      <c r="C27" s="117" t="s">
        <v>387</v>
      </c>
      <c r="D27" s="117" t="s">
        <v>1082</v>
      </c>
      <c r="E27" s="117" t="s">
        <v>1069</v>
      </c>
      <c r="F27" s="117" t="s">
        <v>255</v>
      </c>
      <c r="G27" s="69">
        <v>1003.8130469896257</v>
      </c>
      <c r="H27" s="66">
        <v>18410</v>
      </c>
      <c r="I27" s="84">
        <v>0</v>
      </c>
      <c r="J27" s="84">
        <v>184.80198000000001</v>
      </c>
      <c r="K27" s="24">
        <v>3.3523336971703332E-5</v>
      </c>
      <c r="L27" s="32">
        <v>8.3786748204507503E-4</v>
      </c>
      <c r="M27" s="32">
        <v>2.1183744483012124E-4</v>
      </c>
      <c r="N27" s="14"/>
      <c r="O27" s="14"/>
      <c r="P27" s="14"/>
      <c r="Q27" s="14"/>
      <c r="R27" s="14"/>
    </row>
    <row r="28" spans="1:18" x14ac:dyDescent="0.25">
      <c r="A28" s="16" t="s">
        <v>1085</v>
      </c>
      <c r="B28" s="117" t="s">
        <v>1086</v>
      </c>
      <c r="C28" s="117" t="s">
        <v>387</v>
      </c>
      <c r="D28" s="117" t="s">
        <v>1082</v>
      </c>
      <c r="E28" s="117" t="s">
        <v>1069</v>
      </c>
      <c r="F28" s="117" t="s">
        <v>255</v>
      </c>
      <c r="G28" s="69">
        <v>10689.593850586791</v>
      </c>
      <c r="H28" s="66">
        <v>34690</v>
      </c>
      <c r="I28" s="84">
        <v>0</v>
      </c>
      <c r="J28" s="84">
        <v>3708.2201099999997</v>
      </c>
      <c r="K28" s="24">
        <v>1.318362284006596E-3</v>
      </c>
      <c r="L28" s="32">
        <v>1.6812574445547665E-2</v>
      </c>
      <c r="M28" s="32">
        <v>4.2507113450303453E-3</v>
      </c>
      <c r="N28" s="14"/>
      <c r="O28" s="14"/>
      <c r="P28" s="14"/>
      <c r="Q28" s="14"/>
      <c r="R28" s="14"/>
    </row>
    <row r="29" spans="1:18" x14ac:dyDescent="0.25">
      <c r="A29" s="16" t="s">
        <v>1087</v>
      </c>
      <c r="B29" s="117" t="s">
        <v>1088</v>
      </c>
      <c r="C29" s="117" t="s">
        <v>387</v>
      </c>
      <c r="D29" s="117" t="s">
        <v>1082</v>
      </c>
      <c r="E29" s="117" t="s">
        <v>1069</v>
      </c>
      <c r="F29" s="117" t="s">
        <v>255</v>
      </c>
      <c r="G29" s="69">
        <v>3931.5409697395921</v>
      </c>
      <c r="H29" s="66">
        <v>5080</v>
      </c>
      <c r="I29" s="84">
        <v>0</v>
      </c>
      <c r="J29" s="84">
        <v>199.72228000000001</v>
      </c>
      <c r="K29" s="24">
        <v>2.5013350938075771E-3</v>
      </c>
      <c r="L29" s="32">
        <v>9.0551412843034162E-4</v>
      </c>
      <c r="M29" s="32">
        <v>2.2894049874815209E-4</v>
      </c>
      <c r="N29" s="14"/>
      <c r="O29" s="14"/>
      <c r="P29" s="14"/>
      <c r="Q29" s="14"/>
      <c r="R29" s="14"/>
    </row>
    <row r="30" spans="1:18" x14ac:dyDescent="0.25">
      <c r="A30" s="16" t="s">
        <v>1089</v>
      </c>
      <c r="B30" s="117" t="s">
        <v>1090</v>
      </c>
      <c r="C30" s="117" t="s">
        <v>387</v>
      </c>
      <c r="D30" s="117" t="s">
        <v>1082</v>
      </c>
      <c r="E30" s="117" t="s">
        <v>1069</v>
      </c>
      <c r="F30" s="117" t="s">
        <v>255</v>
      </c>
      <c r="G30" s="69">
        <v>1561.6591889590209</v>
      </c>
      <c r="H30" s="66">
        <v>30480</v>
      </c>
      <c r="I30" s="84">
        <v>0</v>
      </c>
      <c r="J30" s="84">
        <v>475.99372</v>
      </c>
      <c r="K30" s="24">
        <v>2.3790584808773374E-3</v>
      </c>
      <c r="L30" s="32">
        <v>2.1580919189592472E-3</v>
      </c>
      <c r="M30" s="32">
        <v>5.456288585218847E-4</v>
      </c>
      <c r="N30" s="14"/>
      <c r="O30" s="14"/>
      <c r="P30" s="14"/>
      <c r="Q30" s="14"/>
      <c r="R30" s="14"/>
    </row>
    <row r="31" spans="1:18" x14ac:dyDescent="0.25">
      <c r="A31" s="16" t="s">
        <v>1106</v>
      </c>
      <c r="B31" s="117" t="s">
        <v>1107</v>
      </c>
      <c r="C31" s="117" t="s">
        <v>387</v>
      </c>
      <c r="D31" s="117" t="s">
        <v>1082</v>
      </c>
      <c r="E31" s="117" t="s">
        <v>1069</v>
      </c>
      <c r="F31" s="117" t="s">
        <v>255</v>
      </c>
      <c r="G31" s="69">
        <v>504.53892372719429</v>
      </c>
      <c r="H31" s="66">
        <v>25820</v>
      </c>
      <c r="I31" s="84">
        <v>0</v>
      </c>
      <c r="J31" s="84">
        <v>130.27195</v>
      </c>
      <c r="K31" s="24">
        <v>6.0100432490466777E-4</v>
      </c>
      <c r="L31" s="32">
        <v>5.9063561292796701E-4</v>
      </c>
      <c r="M31" s="32">
        <v>1.4932998564754182E-4</v>
      </c>
      <c r="N31" s="14"/>
      <c r="O31" s="14"/>
      <c r="P31" s="14"/>
      <c r="Q31" s="14"/>
      <c r="R31" s="14"/>
    </row>
    <row r="32" spans="1:18" s="119" customFormat="1" x14ac:dyDescent="0.25">
      <c r="A32" s="92" t="s">
        <v>1112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1113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0</v>
      </c>
      <c r="K33" s="137"/>
      <c r="L33" s="121">
        <v>0</v>
      </c>
      <c r="M33" s="121">
        <v>0</v>
      </c>
    </row>
    <row r="34" spans="1:18" s="119" customFormat="1" x14ac:dyDescent="0.25">
      <c r="A34" s="92" t="s">
        <v>1114</v>
      </c>
      <c r="B34" s="131" t="s">
        <v>249</v>
      </c>
      <c r="C34" s="131" t="s">
        <v>249</v>
      </c>
      <c r="D34" s="131" t="s">
        <v>249</v>
      </c>
      <c r="E34" s="131" t="s">
        <v>249</v>
      </c>
      <c r="F34" s="131" t="s">
        <v>249</v>
      </c>
      <c r="G34" s="135" t="s">
        <v>249</v>
      </c>
      <c r="H34" s="122" t="s">
        <v>249</v>
      </c>
      <c r="I34" s="124" t="s">
        <v>249</v>
      </c>
      <c r="J34" s="124">
        <v>0</v>
      </c>
      <c r="K34" s="137"/>
      <c r="L34" s="121">
        <v>0</v>
      </c>
      <c r="M34" s="121">
        <v>0</v>
      </c>
    </row>
    <row r="35" spans="1:18" s="119" customFormat="1" x14ac:dyDescent="0.25">
      <c r="A35" s="92" t="s">
        <v>1115</v>
      </c>
      <c r="B35" s="131" t="s">
        <v>249</v>
      </c>
      <c r="C35" s="131" t="s">
        <v>249</v>
      </c>
      <c r="D35" s="131" t="s">
        <v>249</v>
      </c>
      <c r="E35" s="131" t="s">
        <v>249</v>
      </c>
      <c r="F35" s="131" t="s">
        <v>249</v>
      </c>
      <c r="G35" s="135" t="s">
        <v>249</v>
      </c>
      <c r="H35" s="122" t="s">
        <v>249</v>
      </c>
      <c r="I35" s="124" t="s">
        <v>249</v>
      </c>
      <c r="J35" s="124">
        <v>0</v>
      </c>
      <c r="K35" s="137"/>
      <c r="L35" s="121">
        <v>0</v>
      </c>
      <c r="M35" s="121">
        <v>0</v>
      </c>
    </row>
    <row r="36" spans="1:18" s="119" customFormat="1" x14ac:dyDescent="0.25">
      <c r="A36" s="92" t="s">
        <v>141</v>
      </c>
      <c r="B36" s="131" t="s">
        <v>249</v>
      </c>
      <c r="C36" s="131" t="s">
        <v>249</v>
      </c>
      <c r="D36" s="131" t="s">
        <v>249</v>
      </c>
      <c r="E36" s="131" t="s">
        <v>249</v>
      </c>
      <c r="F36" s="131" t="s">
        <v>249</v>
      </c>
      <c r="G36" s="135" t="s">
        <v>249</v>
      </c>
      <c r="H36" s="122" t="s">
        <v>249</v>
      </c>
      <c r="I36" s="124" t="s">
        <v>249</v>
      </c>
      <c r="J36" s="124">
        <v>0</v>
      </c>
      <c r="K36" s="137"/>
      <c r="L36" s="121">
        <v>0</v>
      </c>
      <c r="M36" s="121">
        <v>0</v>
      </c>
    </row>
    <row r="37" spans="1:18" s="119" customFormat="1" x14ac:dyDescent="0.25">
      <c r="A37" s="92" t="s">
        <v>393</v>
      </c>
      <c r="B37" s="131" t="s">
        <v>249</v>
      </c>
      <c r="C37" s="131" t="s">
        <v>249</v>
      </c>
      <c r="D37" s="131" t="s">
        <v>249</v>
      </c>
      <c r="E37" s="131" t="s">
        <v>249</v>
      </c>
      <c r="F37" s="131" t="s">
        <v>249</v>
      </c>
      <c r="G37" s="135" t="s">
        <v>249</v>
      </c>
      <c r="H37" s="122" t="s">
        <v>249</v>
      </c>
      <c r="I37" s="124" t="s">
        <v>249</v>
      </c>
      <c r="J37" s="124">
        <v>183454.18264040002</v>
      </c>
      <c r="K37" s="137"/>
      <c r="L37" s="121">
        <v>0.83175674892416884</v>
      </c>
      <c r="M37" s="121">
        <v>0.21029247248292859</v>
      </c>
    </row>
    <row r="38" spans="1:18" s="119" customFormat="1" x14ac:dyDescent="0.25">
      <c r="A38" s="92" t="s">
        <v>1116</v>
      </c>
      <c r="B38" s="131" t="s">
        <v>249</v>
      </c>
      <c r="C38" s="131" t="s">
        <v>249</v>
      </c>
      <c r="D38" s="131" t="s">
        <v>249</v>
      </c>
      <c r="E38" s="131" t="s">
        <v>249</v>
      </c>
      <c r="F38" s="131" t="s">
        <v>249</v>
      </c>
      <c r="G38" s="135" t="s">
        <v>249</v>
      </c>
      <c r="H38" s="122" t="s">
        <v>249</v>
      </c>
      <c r="I38" s="124" t="s">
        <v>249</v>
      </c>
      <c r="J38" s="124">
        <v>131163.49869009998</v>
      </c>
      <c r="K38" s="137"/>
      <c r="L38" s="121">
        <v>0.59467777555032997</v>
      </c>
      <c r="M38" s="121">
        <v>0.15035196277382815</v>
      </c>
    </row>
    <row r="39" spans="1:18" x14ac:dyDescent="0.25">
      <c r="A39" s="16" t="s">
        <v>1146</v>
      </c>
      <c r="B39" s="117" t="s">
        <v>1147</v>
      </c>
      <c r="C39" s="117" t="s">
        <v>949</v>
      </c>
      <c r="D39" s="175" t="s">
        <v>1988</v>
      </c>
      <c r="E39" s="117" t="s">
        <v>1119</v>
      </c>
      <c r="F39" s="117" t="s">
        <v>125</v>
      </c>
      <c r="G39" s="69">
        <v>16782.264004092016</v>
      </c>
      <c r="H39" s="66">
        <v>6110.75</v>
      </c>
      <c r="I39" s="84">
        <v>0</v>
      </c>
      <c r="J39" s="84">
        <v>3921.5968800000001</v>
      </c>
      <c r="K39" s="24">
        <v>2.1540185552895488E-4</v>
      </c>
      <c r="L39" s="32">
        <v>1.7779996206974739E-2</v>
      </c>
      <c r="M39" s="32">
        <v>4.4953039069872275E-3</v>
      </c>
      <c r="N39" s="14"/>
      <c r="O39" s="14"/>
      <c r="P39" s="14"/>
      <c r="Q39" s="14"/>
      <c r="R39" s="14"/>
    </row>
    <row r="40" spans="1:18" x14ac:dyDescent="0.25">
      <c r="A40" s="16" t="s">
        <v>1150</v>
      </c>
      <c r="B40" s="117" t="s">
        <v>1151</v>
      </c>
      <c r="C40" s="117" t="s">
        <v>949</v>
      </c>
      <c r="D40" s="175" t="s">
        <v>1989</v>
      </c>
      <c r="E40" s="117" t="s">
        <v>1119</v>
      </c>
      <c r="F40" s="117" t="s">
        <v>125</v>
      </c>
      <c r="G40" s="69">
        <v>65691.415259761518</v>
      </c>
      <c r="H40" s="66">
        <v>4497.5</v>
      </c>
      <c r="I40" s="84">
        <v>0</v>
      </c>
      <c r="J40" s="84">
        <v>11297.898640000001</v>
      </c>
      <c r="K40" s="24">
        <v>1.2659548063246795E-3</v>
      </c>
      <c r="L40" s="32">
        <v>5.1223162684172957E-2</v>
      </c>
      <c r="M40" s="32">
        <v>1.2950716111630957E-2</v>
      </c>
      <c r="N40" s="14"/>
      <c r="O40" s="14"/>
      <c r="P40" s="14"/>
      <c r="Q40" s="14"/>
      <c r="R40" s="14"/>
    </row>
    <row r="41" spans="1:18" x14ac:dyDescent="0.25">
      <c r="A41" s="16" t="s">
        <v>1142</v>
      </c>
      <c r="B41" s="117" t="s">
        <v>1143</v>
      </c>
      <c r="C41" s="117" t="s">
        <v>885</v>
      </c>
      <c r="D41" s="175" t="s">
        <v>1990</v>
      </c>
      <c r="E41" s="117" t="s">
        <v>1119</v>
      </c>
      <c r="F41" s="117" t="s">
        <v>125</v>
      </c>
      <c r="G41" s="69">
        <v>4418.4787758227158</v>
      </c>
      <c r="H41" s="66">
        <v>1839</v>
      </c>
      <c r="I41" s="84">
        <v>0</v>
      </c>
      <c r="J41" s="84">
        <v>310.72227000000004</v>
      </c>
      <c r="K41" s="24">
        <v>6.4847162287502388E-4</v>
      </c>
      <c r="L41" s="32">
        <v>1.4087732500497557E-3</v>
      </c>
      <c r="M41" s="32">
        <v>3.5617914769427817E-4</v>
      </c>
      <c r="N41" s="14"/>
      <c r="O41" s="14"/>
      <c r="P41" s="14"/>
      <c r="Q41" s="14"/>
      <c r="R41" s="14"/>
    </row>
    <row r="42" spans="1:18" x14ac:dyDescent="0.25">
      <c r="A42" s="16" t="s">
        <v>1120</v>
      </c>
      <c r="B42" s="117" t="s">
        <v>1121</v>
      </c>
      <c r="C42" s="117" t="s">
        <v>949</v>
      </c>
      <c r="D42" s="175" t="s">
        <v>1991</v>
      </c>
      <c r="E42" s="117" t="s">
        <v>1119</v>
      </c>
      <c r="F42" s="117" t="s">
        <v>125</v>
      </c>
      <c r="G42" s="69">
        <v>4623.7261537647846</v>
      </c>
      <c r="H42" s="66">
        <v>83576</v>
      </c>
      <c r="I42" s="84">
        <v>0</v>
      </c>
      <c r="J42" s="84">
        <v>14777.18022</v>
      </c>
      <c r="K42" s="24">
        <v>2.10561742862508E-4</v>
      </c>
      <c r="L42" s="32">
        <v>6.6997760427987232E-2</v>
      </c>
      <c r="M42" s="32">
        <v>1.6938996538884532E-2</v>
      </c>
      <c r="N42" s="14"/>
      <c r="O42" s="14"/>
      <c r="P42" s="14"/>
      <c r="Q42" s="14"/>
      <c r="R42" s="14"/>
    </row>
    <row r="43" spans="1:18" x14ac:dyDescent="0.25">
      <c r="A43" s="16" t="s">
        <v>1138</v>
      </c>
      <c r="B43" s="117" t="s">
        <v>1139</v>
      </c>
      <c r="C43" s="117" t="s">
        <v>949</v>
      </c>
      <c r="D43" s="175" t="s">
        <v>1992</v>
      </c>
      <c r="E43" s="117" t="s">
        <v>1119</v>
      </c>
      <c r="F43" s="117" t="s">
        <v>125</v>
      </c>
      <c r="G43" s="69">
        <v>12795.426155365478</v>
      </c>
      <c r="H43" s="66">
        <v>4475</v>
      </c>
      <c r="I43" s="84">
        <v>0</v>
      </c>
      <c r="J43" s="84">
        <v>2189.6045099999997</v>
      </c>
      <c r="K43" s="24">
        <v>1.5064682561230366E-3</v>
      </c>
      <c r="L43" s="32">
        <v>9.9273742492815287E-3</v>
      </c>
      <c r="M43" s="32">
        <v>2.5099310331356275E-3</v>
      </c>
      <c r="N43" s="14"/>
      <c r="O43" s="14"/>
      <c r="P43" s="14"/>
      <c r="Q43" s="14"/>
      <c r="R43" s="14"/>
    </row>
    <row r="44" spans="1:18" x14ac:dyDescent="0.25">
      <c r="A44" s="16" t="s">
        <v>1148</v>
      </c>
      <c r="B44" s="117" t="s">
        <v>1149</v>
      </c>
      <c r="C44" s="117" t="s">
        <v>1035</v>
      </c>
      <c r="D44" s="175" t="s">
        <v>1993</v>
      </c>
      <c r="E44" s="117" t="s">
        <v>1119</v>
      </c>
      <c r="F44" s="117" t="s">
        <v>125</v>
      </c>
      <c r="G44" s="69">
        <v>32482.063225056514</v>
      </c>
      <c r="H44" s="66">
        <v>3647.5</v>
      </c>
      <c r="I44" s="84">
        <v>0</v>
      </c>
      <c r="J44" s="84">
        <v>4530.6111700000001</v>
      </c>
      <c r="K44" s="24">
        <v>4.9281164601768109E-4</v>
      </c>
      <c r="L44" s="32">
        <v>2.0541185614641091E-2</v>
      </c>
      <c r="M44" s="32">
        <v>5.1934134784248848E-3</v>
      </c>
      <c r="N44" s="14"/>
      <c r="O44" s="14"/>
      <c r="P44" s="14"/>
      <c r="Q44" s="14"/>
      <c r="R44" s="14"/>
    </row>
    <row r="45" spans="1:18" x14ac:dyDescent="0.25">
      <c r="A45" s="16" t="s">
        <v>1126</v>
      </c>
      <c r="B45" s="117" t="s">
        <v>1127</v>
      </c>
      <c r="C45" s="117" t="s">
        <v>218</v>
      </c>
      <c r="D45" s="175" t="s">
        <v>1994</v>
      </c>
      <c r="E45" s="117" t="s">
        <v>1119</v>
      </c>
      <c r="F45" s="117" t="s">
        <v>125</v>
      </c>
      <c r="G45" s="69">
        <v>381027.05570356362</v>
      </c>
      <c r="H45" s="66">
        <v>697.87</v>
      </c>
      <c r="I45" s="84">
        <v>0</v>
      </c>
      <c r="J45" s="84">
        <v>10168.297119999999</v>
      </c>
      <c r="K45" s="24">
        <v>1.0083596012299917E-3</v>
      </c>
      <c r="L45" s="32">
        <v>4.6101700342283058E-2</v>
      </c>
      <c r="M45" s="32">
        <v>1.1655860398109806E-2</v>
      </c>
      <c r="N45" s="14"/>
      <c r="O45" s="14"/>
      <c r="P45" s="14"/>
      <c r="Q45" s="14"/>
      <c r="R45" s="14"/>
    </row>
    <row r="46" spans="1:18" x14ac:dyDescent="0.25">
      <c r="A46" s="16" t="s">
        <v>1130</v>
      </c>
      <c r="B46" s="117" t="s">
        <v>1131</v>
      </c>
      <c r="C46" s="117" t="s">
        <v>218</v>
      </c>
      <c r="D46" s="175" t="s">
        <v>1995</v>
      </c>
      <c r="E46" s="117" t="s">
        <v>1119</v>
      </c>
      <c r="F46" s="117" t="s">
        <v>126</v>
      </c>
      <c r="G46" s="69">
        <v>31737.277141819734</v>
      </c>
      <c r="H46" s="66">
        <v>3863.0000000000005</v>
      </c>
      <c r="I46" s="84">
        <v>0</v>
      </c>
      <c r="J46" s="84">
        <v>4969.1452499999996</v>
      </c>
      <c r="K46" s="24">
        <v>1.1455198981251541E-3</v>
      </c>
      <c r="L46" s="32">
        <v>2.2529440531609803E-2</v>
      </c>
      <c r="M46" s="32">
        <v>5.6961025674602287E-3</v>
      </c>
      <c r="N46" s="14"/>
      <c r="O46" s="14"/>
      <c r="P46" s="14"/>
      <c r="Q46" s="14"/>
      <c r="R46" s="14"/>
    </row>
    <row r="47" spans="1:18" x14ac:dyDescent="0.25">
      <c r="A47" s="16" t="s">
        <v>1136</v>
      </c>
      <c r="B47" s="117" t="s">
        <v>1137</v>
      </c>
      <c r="C47" s="117" t="s">
        <v>949</v>
      </c>
      <c r="D47" s="175" t="s">
        <v>1996</v>
      </c>
      <c r="E47" s="117" t="s">
        <v>1119</v>
      </c>
      <c r="F47" s="117" t="s">
        <v>2</v>
      </c>
      <c r="G47" s="69">
        <v>16930.735531294573</v>
      </c>
      <c r="H47" s="66">
        <v>14218</v>
      </c>
      <c r="I47" s="84">
        <v>0</v>
      </c>
      <c r="J47" s="84">
        <v>11260.696910000001</v>
      </c>
      <c r="K47" s="24">
        <v>1.2565744101533461E-3</v>
      </c>
      <c r="L47" s="32">
        <v>5.1054495011657645E-2</v>
      </c>
      <c r="M47" s="32">
        <v>1.2908071982891319E-2</v>
      </c>
      <c r="N47" s="14"/>
      <c r="O47" s="14"/>
      <c r="P47" s="14"/>
      <c r="Q47" s="14"/>
      <c r="R47" s="14"/>
    </row>
    <row r="48" spans="1:18" x14ac:dyDescent="0.25">
      <c r="A48" s="16" t="s">
        <v>1124</v>
      </c>
      <c r="B48" s="117" t="s">
        <v>1125</v>
      </c>
      <c r="C48" s="117" t="s">
        <v>949</v>
      </c>
      <c r="D48" s="175" t="s">
        <v>1997</v>
      </c>
      <c r="E48" s="117" t="s">
        <v>1119</v>
      </c>
      <c r="F48" s="117" t="s">
        <v>125</v>
      </c>
      <c r="G48" s="69">
        <v>14306.742264675451</v>
      </c>
      <c r="H48" s="66">
        <v>4440.5</v>
      </c>
      <c r="I48" s="84">
        <v>0</v>
      </c>
      <c r="J48" s="84">
        <v>2429.3523599999999</v>
      </c>
      <c r="K48" s="24">
        <v>7.6623973688756062E-5</v>
      </c>
      <c r="L48" s="32">
        <v>1.1014358963434593E-2</v>
      </c>
      <c r="M48" s="32">
        <v>2.7847526121442248E-3</v>
      </c>
      <c r="N48" s="14"/>
      <c r="O48" s="14"/>
      <c r="P48" s="14"/>
      <c r="Q48" s="14"/>
      <c r="R48" s="14"/>
    </row>
    <row r="49" spans="1:18" x14ac:dyDescent="0.25">
      <c r="A49" s="16" t="s">
        <v>1132</v>
      </c>
      <c r="B49" s="117" t="s">
        <v>1133</v>
      </c>
      <c r="C49" s="117" t="s">
        <v>966</v>
      </c>
      <c r="D49" s="175" t="s">
        <v>1998</v>
      </c>
      <c r="E49" s="117" t="s">
        <v>1119</v>
      </c>
      <c r="F49" s="117" t="s">
        <v>361</v>
      </c>
      <c r="G49" s="69">
        <v>28511.514653094022</v>
      </c>
      <c r="H49" s="66">
        <v>242750</v>
      </c>
      <c r="I49" s="84">
        <v>0</v>
      </c>
      <c r="J49" s="84">
        <v>1775.97227</v>
      </c>
      <c r="K49" s="24">
        <v>3.5401028821316351E-6</v>
      </c>
      <c r="L49" s="32">
        <v>8.0520209472148292E-3</v>
      </c>
      <c r="M49" s="32">
        <v>2.0357867798058774E-3</v>
      </c>
      <c r="N49" s="14"/>
      <c r="O49" s="14"/>
      <c r="P49" s="14"/>
      <c r="Q49" s="14"/>
      <c r="R49" s="14"/>
    </row>
    <row r="50" spans="1:18" x14ac:dyDescent="0.25">
      <c r="A50" s="16" t="s">
        <v>1117</v>
      </c>
      <c r="B50" s="117" t="s">
        <v>1118</v>
      </c>
      <c r="C50" s="117" t="s">
        <v>885</v>
      </c>
      <c r="D50" s="175" t="s">
        <v>1999</v>
      </c>
      <c r="E50" s="117" t="s">
        <v>1119</v>
      </c>
      <c r="F50" s="117" t="s">
        <v>125</v>
      </c>
      <c r="G50" s="69">
        <v>10311.822045444427</v>
      </c>
      <c r="H50" s="66">
        <v>42748</v>
      </c>
      <c r="I50" s="84">
        <v>62.428165139999997</v>
      </c>
      <c r="J50" s="84">
        <v>16918.993719999999</v>
      </c>
      <c r="K50" s="24">
        <v>1.0964501717870971E-5</v>
      </c>
      <c r="L50" s="32">
        <v>7.67084566242896E-2</v>
      </c>
      <c r="M50" s="32">
        <v>1.9394145012632803E-2</v>
      </c>
      <c r="N50" s="14"/>
      <c r="O50" s="14"/>
      <c r="P50" s="14"/>
      <c r="Q50" s="14"/>
      <c r="R50" s="14"/>
    </row>
    <row r="51" spans="1:18" x14ac:dyDescent="0.25">
      <c r="A51" s="16" t="s">
        <v>1122</v>
      </c>
      <c r="B51" s="117" t="s">
        <v>1123</v>
      </c>
      <c r="C51" s="117" t="s">
        <v>885</v>
      </c>
      <c r="D51" s="175" t="s">
        <v>2000</v>
      </c>
      <c r="E51" s="117" t="s">
        <v>1119</v>
      </c>
      <c r="F51" s="117" t="s">
        <v>125</v>
      </c>
      <c r="G51" s="69">
        <v>13678.708451823166</v>
      </c>
      <c r="H51" s="66">
        <v>39270</v>
      </c>
      <c r="I51" s="84">
        <v>78.068766289999999</v>
      </c>
      <c r="J51" s="84">
        <v>20619.177329999999</v>
      </c>
      <c r="K51" s="24">
        <v>1.658272232868791E-5</v>
      </c>
      <c r="L51" s="32">
        <v>9.3484594652762862E-2</v>
      </c>
      <c r="M51" s="32">
        <v>2.3635644164020111E-2</v>
      </c>
      <c r="N51" s="14"/>
      <c r="O51" s="14"/>
      <c r="P51" s="14"/>
      <c r="Q51" s="14"/>
      <c r="R51" s="14"/>
    </row>
    <row r="52" spans="1:18" x14ac:dyDescent="0.25">
      <c r="A52" s="16" t="s">
        <v>1134</v>
      </c>
      <c r="B52" s="117" t="s">
        <v>1135</v>
      </c>
      <c r="C52" s="117" t="s">
        <v>949</v>
      </c>
      <c r="D52" s="175" t="s">
        <v>2001</v>
      </c>
      <c r="E52" s="117" t="s">
        <v>1119</v>
      </c>
      <c r="F52" s="117" t="s">
        <v>125</v>
      </c>
      <c r="G52" s="69">
        <v>28339.169621643243</v>
      </c>
      <c r="H52" s="66">
        <v>2456.75</v>
      </c>
      <c r="I52" s="84">
        <v>0</v>
      </c>
      <c r="J52" s="84">
        <v>2662.3550299999997</v>
      </c>
      <c r="K52" s="24">
        <v>2.2690742635676033E-3</v>
      </c>
      <c r="L52" s="32">
        <v>1.2070761932832861E-2</v>
      </c>
      <c r="M52" s="32">
        <v>3.0518422301850914E-3</v>
      </c>
      <c r="N52" s="14"/>
      <c r="O52" s="14"/>
      <c r="P52" s="14"/>
      <c r="Q52" s="14"/>
      <c r="R52" s="14"/>
    </row>
    <row r="53" spans="1:18" x14ac:dyDescent="0.25">
      <c r="A53" s="16" t="s">
        <v>1140</v>
      </c>
      <c r="B53" s="117" t="s">
        <v>1141</v>
      </c>
      <c r="C53" s="117" t="s">
        <v>885</v>
      </c>
      <c r="D53" s="175" t="s">
        <v>2002</v>
      </c>
      <c r="E53" s="117" t="s">
        <v>1119</v>
      </c>
      <c r="F53" s="117" t="s">
        <v>125</v>
      </c>
      <c r="G53" s="69">
        <v>19794.709197946682</v>
      </c>
      <c r="H53" s="66">
        <v>2667</v>
      </c>
      <c r="I53" s="84">
        <v>0</v>
      </c>
      <c r="J53" s="84">
        <v>2018.7848000000001</v>
      </c>
      <c r="K53" s="24">
        <v>2.6271416127967553E-4</v>
      </c>
      <c r="L53" s="32">
        <v>9.1529005109516164E-3</v>
      </c>
      <c r="M53" s="32">
        <v>2.3141213838395419E-3</v>
      </c>
      <c r="N53" s="14"/>
      <c r="O53" s="14"/>
      <c r="P53" s="14"/>
      <c r="Q53" s="14"/>
      <c r="R53" s="14"/>
    </row>
    <row r="54" spans="1:18" x14ac:dyDescent="0.25">
      <c r="A54" s="16" t="s">
        <v>1128</v>
      </c>
      <c r="B54" s="117" t="s">
        <v>1129</v>
      </c>
      <c r="C54" s="117" t="s">
        <v>949</v>
      </c>
      <c r="D54" s="175" t="s">
        <v>2003</v>
      </c>
      <c r="E54" s="117" t="s">
        <v>1119</v>
      </c>
      <c r="F54" s="117" t="s">
        <v>125</v>
      </c>
      <c r="G54" s="69">
        <v>355632.28493920108</v>
      </c>
      <c r="H54" s="66">
        <v>943.75</v>
      </c>
      <c r="I54" s="84">
        <v>0</v>
      </c>
      <c r="J54" s="84">
        <v>12834.41353</v>
      </c>
      <c r="K54" s="24">
        <v>4.7366123732508971E-4</v>
      </c>
      <c r="L54" s="32">
        <v>5.8189515869398918E-2</v>
      </c>
      <c r="M54" s="32">
        <v>1.4712014276515525E-2</v>
      </c>
      <c r="N54" s="14"/>
      <c r="O54" s="14"/>
      <c r="P54" s="14"/>
      <c r="Q54" s="14"/>
      <c r="R54" s="14"/>
    </row>
    <row r="55" spans="1:18" x14ac:dyDescent="0.25">
      <c r="A55" s="16" t="s">
        <v>1144</v>
      </c>
      <c r="B55" s="117" t="s">
        <v>1145</v>
      </c>
      <c r="C55" s="117" t="s">
        <v>949</v>
      </c>
      <c r="D55" s="175" t="s">
        <v>2004</v>
      </c>
      <c r="E55" s="117" t="s">
        <v>1119</v>
      </c>
      <c r="F55" s="117" t="s">
        <v>125</v>
      </c>
      <c r="G55" s="69">
        <v>45579.862193748457</v>
      </c>
      <c r="H55" s="66">
        <v>4864.5</v>
      </c>
      <c r="I55" s="84">
        <v>0</v>
      </c>
      <c r="J55" s="84">
        <v>8478.6966799999991</v>
      </c>
      <c r="K55" s="24">
        <v>4.6962845192250179E-4</v>
      </c>
      <c r="L55" s="32">
        <v>3.8441277730333498E-2</v>
      </c>
      <c r="M55" s="32">
        <v>9.7190811493514939E-3</v>
      </c>
      <c r="N55" s="14"/>
      <c r="O55" s="14"/>
      <c r="P55" s="14"/>
      <c r="Q55" s="14"/>
      <c r="R55" s="14"/>
    </row>
    <row r="56" spans="1:18" s="119" customFormat="1" x14ac:dyDescent="0.25">
      <c r="A56" s="92" t="s">
        <v>1152</v>
      </c>
      <c r="B56" s="131" t="s">
        <v>249</v>
      </c>
      <c r="C56" s="131" t="s">
        <v>249</v>
      </c>
      <c r="D56" s="131" t="s">
        <v>249</v>
      </c>
      <c r="E56" s="131" t="s">
        <v>249</v>
      </c>
      <c r="F56" s="131" t="s">
        <v>249</v>
      </c>
      <c r="G56" s="135" t="s">
        <v>249</v>
      </c>
      <c r="H56" s="122" t="s">
        <v>249</v>
      </c>
      <c r="I56" s="124" t="s">
        <v>249</v>
      </c>
      <c r="J56" s="124">
        <v>0</v>
      </c>
      <c r="K56" s="137"/>
      <c r="L56" s="121">
        <v>0</v>
      </c>
      <c r="M56" s="121">
        <v>0</v>
      </c>
    </row>
    <row r="57" spans="1:18" s="119" customFormat="1" x14ac:dyDescent="0.25">
      <c r="A57" s="92" t="s">
        <v>141</v>
      </c>
      <c r="B57" s="131" t="s">
        <v>249</v>
      </c>
      <c r="C57" s="131" t="s">
        <v>249</v>
      </c>
      <c r="D57" s="131" t="s">
        <v>249</v>
      </c>
      <c r="E57" s="131" t="s">
        <v>249</v>
      </c>
      <c r="F57" s="131" t="s">
        <v>249</v>
      </c>
      <c r="G57" s="135" t="s">
        <v>249</v>
      </c>
      <c r="H57" s="122" t="s">
        <v>249</v>
      </c>
      <c r="I57" s="124" t="s">
        <v>249</v>
      </c>
      <c r="J57" s="124">
        <v>52290.683950099999</v>
      </c>
      <c r="K57" s="137"/>
      <c r="L57" s="121">
        <v>0.23707897337293193</v>
      </c>
      <c r="M57" s="121">
        <v>5.9940509708871159E-2</v>
      </c>
    </row>
    <row r="58" spans="1:18" x14ac:dyDescent="0.25">
      <c r="A58" s="16" t="s">
        <v>1193</v>
      </c>
      <c r="B58" s="117" t="s">
        <v>1194</v>
      </c>
      <c r="C58" s="117" t="s">
        <v>959</v>
      </c>
      <c r="D58" s="175" t="s">
        <v>2005</v>
      </c>
      <c r="E58" s="117" t="s">
        <v>1119</v>
      </c>
      <c r="F58" s="117" t="s">
        <v>65</v>
      </c>
      <c r="G58" s="69">
        <v>100821.18335920379</v>
      </c>
      <c r="H58" s="66">
        <v>823</v>
      </c>
      <c r="I58" s="84">
        <v>0</v>
      </c>
      <c r="J58" s="84">
        <v>405.17099999999999</v>
      </c>
      <c r="K58" s="24">
        <v>7.5855158469808793E-5</v>
      </c>
      <c r="L58" s="32">
        <v>1.8369911705907321E-3</v>
      </c>
      <c r="M58" s="32">
        <v>4.6444518267209611E-4</v>
      </c>
      <c r="N58" s="14"/>
      <c r="O58" s="14"/>
      <c r="P58" s="14"/>
      <c r="Q58" s="14"/>
      <c r="R58" s="14"/>
    </row>
    <row r="59" spans="1:18" x14ac:dyDescent="0.25">
      <c r="A59" s="16" t="s">
        <v>1173</v>
      </c>
      <c r="B59" s="117" t="s">
        <v>1174</v>
      </c>
      <c r="C59" s="117" t="s">
        <v>864</v>
      </c>
      <c r="D59" s="175" t="s">
        <v>2006</v>
      </c>
      <c r="E59" s="117" t="s">
        <v>1119</v>
      </c>
      <c r="F59" s="117" t="s">
        <v>125</v>
      </c>
      <c r="G59" s="69">
        <v>24599.149185903407</v>
      </c>
      <c r="H59" s="66">
        <v>1462</v>
      </c>
      <c r="I59" s="84">
        <v>0</v>
      </c>
      <c r="J59" s="84">
        <v>1375.2616799999998</v>
      </c>
      <c r="K59" s="24">
        <v>1.1455178291000588E-4</v>
      </c>
      <c r="L59" s="32">
        <v>6.2352526795150113E-3</v>
      </c>
      <c r="M59" s="32">
        <v>1.5764545394155397E-3</v>
      </c>
      <c r="N59" s="14"/>
      <c r="O59" s="14"/>
      <c r="P59" s="14"/>
      <c r="Q59" s="14"/>
      <c r="R59" s="14"/>
    </row>
    <row r="60" spans="1:18" x14ac:dyDescent="0.25">
      <c r="A60" s="16" t="s">
        <v>1175</v>
      </c>
      <c r="B60" s="117" t="s">
        <v>1176</v>
      </c>
      <c r="C60" s="117" t="s">
        <v>949</v>
      </c>
      <c r="D60" s="175" t="s">
        <v>2007</v>
      </c>
      <c r="E60" s="117" t="s">
        <v>1119</v>
      </c>
      <c r="F60" s="117" t="s">
        <v>125</v>
      </c>
      <c r="G60" s="69">
        <v>128389.0532353544</v>
      </c>
      <c r="H60" s="66">
        <v>891.625</v>
      </c>
      <c r="I60" s="84">
        <v>0</v>
      </c>
      <c r="J60" s="84">
        <v>4377.5197800000005</v>
      </c>
      <c r="K60" s="24">
        <v>1.0849127037712398E-3</v>
      </c>
      <c r="L60" s="32">
        <v>1.9847089710137902E-2</v>
      </c>
      <c r="M60" s="32">
        <v>5.017925700192793E-3</v>
      </c>
      <c r="N60" s="14"/>
      <c r="O60" s="14"/>
      <c r="P60" s="14"/>
      <c r="Q60" s="14"/>
      <c r="R60" s="14"/>
    </row>
    <row r="61" spans="1:18" x14ac:dyDescent="0.25">
      <c r="A61" s="16" t="s">
        <v>1179</v>
      </c>
      <c r="B61" s="117" t="s">
        <v>1180</v>
      </c>
      <c r="C61" s="117" t="s">
        <v>949</v>
      </c>
      <c r="D61" s="175" t="s">
        <v>2008</v>
      </c>
      <c r="E61" s="117" t="s">
        <v>1119</v>
      </c>
      <c r="F61" s="117" t="s">
        <v>125</v>
      </c>
      <c r="G61" s="69">
        <v>38655.362872090867</v>
      </c>
      <c r="H61" s="66">
        <v>1003.9999999999999</v>
      </c>
      <c r="I61" s="84">
        <v>0</v>
      </c>
      <c r="J61" s="84">
        <v>1484.0938000000001</v>
      </c>
      <c r="K61" s="24">
        <v>1.5779129622273987E-4</v>
      </c>
      <c r="L61" s="32">
        <v>6.7286829682490796E-3</v>
      </c>
      <c r="M61" s="32">
        <v>1.7012081714721076E-3</v>
      </c>
      <c r="N61" s="14"/>
      <c r="O61" s="14"/>
      <c r="P61" s="14"/>
      <c r="Q61" s="14"/>
      <c r="R61" s="14"/>
    </row>
    <row r="62" spans="1:18" x14ac:dyDescent="0.25">
      <c r="A62" s="16" t="s">
        <v>1169</v>
      </c>
      <c r="B62" s="117" t="s">
        <v>1170</v>
      </c>
      <c r="C62" s="117" t="s">
        <v>885</v>
      </c>
      <c r="D62" s="175" t="s">
        <v>2009</v>
      </c>
      <c r="E62" s="117" t="s">
        <v>1119</v>
      </c>
      <c r="F62" s="117" t="s">
        <v>125</v>
      </c>
      <c r="G62" s="69">
        <v>7615.2244336155336</v>
      </c>
      <c r="H62" s="66">
        <v>6058</v>
      </c>
      <c r="I62" s="84">
        <v>0</v>
      </c>
      <c r="J62" s="84">
        <v>1764.1270500000001</v>
      </c>
      <c r="K62" s="24">
        <v>1.5626465378858559E-4</v>
      </c>
      <c r="L62" s="32">
        <v>7.9983163026235218E-3</v>
      </c>
      <c r="M62" s="32">
        <v>2.0222086723729882E-3</v>
      </c>
      <c r="N62" s="14"/>
      <c r="O62" s="14"/>
      <c r="P62" s="14"/>
      <c r="Q62" s="14"/>
      <c r="R62" s="14"/>
    </row>
    <row r="63" spans="1:18" x14ac:dyDescent="0.25">
      <c r="A63" s="16" t="s">
        <v>1161</v>
      </c>
      <c r="B63" s="117" t="s">
        <v>1162</v>
      </c>
      <c r="C63" s="117" t="s">
        <v>885</v>
      </c>
      <c r="D63" s="175" t="s">
        <v>2010</v>
      </c>
      <c r="E63" s="117" t="s">
        <v>1119</v>
      </c>
      <c r="F63" s="117" t="s">
        <v>125</v>
      </c>
      <c r="G63" s="69">
        <v>6291.3470892716468</v>
      </c>
      <c r="H63" s="66">
        <v>3640.9999999999995</v>
      </c>
      <c r="I63" s="84">
        <v>0</v>
      </c>
      <c r="J63" s="84">
        <v>875.95582999999999</v>
      </c>
      <c r="K63" s="24">
        <v>1.512931384224016E-4</v>
      </c>
      <c r="L63" s="32">
        <v>3.971466678359202E-3</v>
      </c>
      <c r="M63" s="32">
        <v>1.0041031206010241E-3</v>
      </c>
      <c r="N63" s="14"/>
      <c r="O63" s="14"/>
      <c r="P63" s="14"/>
      <c r="Q63" s="14"/>
      <c r="R63" s="14"/>
    </row>
    <row r="64" spans="1:18" x14ac:dyDescent="0.25">
      <c r="A64" s="16" t="s">
        <v>1163</v>
      </c>
      <c r="B64" s="117" t="s">
        <v>1164</v>
      </c>
      <c r="C64" s="117" t="s">
        <v>885</v>
      </c>
      <c r="D64" s="175" t="s">
        <v>2011</v>
      </c>
      <c r="E64" s="117" t="s">
        <v>1119</v>
      </c>
      <c r="F64" s="117" t="s">
        <v>125</v>
      </c>
      <c r="G64" s="69">
        <v>15009.397901969753</v>
      </c>
      <c r="H64" s="66">
        <v>5179</v>
      </c>
      <c r="I64" s="84">
        <v>0</v>
      </c>
      <c r="J64" s="84">
        <v>2972.5356099999999</v>
      </c>
      <c r="K64" s="24">
        <v>5.3049156705365188E-4</v>
      </c>
      <c r="L64" s="32">
        <v>1.3477079232809198E-2</v>
      </c>
      <c r="M64" s="32">
        <v>3.4074004417536312E-3</v>
      </c>
      <c r="N64" s="14"/>
      <c r="O64" s="14"/>
      <c r="P64" s="14"/>
      <c r="Q64" s="14"/>
      <c r="R64" s="14"/>
    </row>
    <row r="65" spans="1:18" x14ac:dyDescent="0.25">
      <c r="A65" s="16" t="s">
        <v>1165</v>
      </c>
      <c r="B65" s="117" t="s">
        <v>1166</v>
      </c>
      <c r="C65" s="117" t="s">
        <v>864</v>
      </c>
      <c r="D65" s="175" t="s">
        <v>2012</v>
      </c>
      <c r="E65" s="117" t="s">
        <v>1119</v>
      </c>
      <c r="F65" s="117" t="s">
        <v>125</v>
      </c>
      <c r="G65" s="69">
        <v>30.922227985568622</v>
      </c>
      <c r="H65" s="66">
        <v>35827</v>
      </c>
      <c r="I65" s="84">
        <v>6.3326929599999998E-2</v>
      </c>
      <c r="J65" s="84">
        <v>42.42754</v>
      </c>
      <c r="K65" s="24">
        <v>5.6203937910488084E-8</v>
      </c>
      <c r="L65" s="32">
        <v>1.9236079672504968E-4</v>
      </c>
      <c r="M65" s="32">
        <v>4.863444463110061E-5</v>
      </c>
      <c r="N65" s="14"/>
      <c r="O65" s="14"/>
      <c r="P65" s="14"/>
      <c r="Q65" s="14"/>
      <c r="R65" s="14"/>
    </row>
    <row r="66" spans="1:18" x14ac:dyDescent="0.25">
      <c r="A66" s="16" t="s">
        <v>1167</v>
      </c>
      <c r="B66" s="117" t="s">
        <v>1168</v>
      </c>
      <c r="C66" s="117" t="s">
        <v>949</v>
      </c>
      <c r="D66" s="175" t="s">
        <v>2013</v>
      </c>
      <c r="E66" s="117" t="s">
        <v>1119</v>
      </c>
      <c r="F66" s="117" t="s">
        <v>125</v>
      </c>
      <c r="G66" s="69">
        <v>651.89486352500001</v>
      </c>
      <c r="H66" s="66">
        <v>61925</v>
      </c>
      <c r="I66" s="84">
        <v>0</v>
      </c>
      <c r="J66" s="84">
        <v>1543.6948600000001</v>
      </c>
      <c r="K66" s="24">
        <v>1.3077417225355022E-3</v>
      </c>
      <c r="L66" s="32">
        <v>6.9989062097393362E-3</v>
      </c>
      <c r="M66" s="32">
        <v>1.769528523124004E-3</v>
      </c>
      <c r="N66" s="14"/>
      <c r="O66" s="14"/>
      <c r="P66" s="14"/>
      <c r="Q66" s="14"/>
      <c r="R66" s="14"/>
    </row>
    <row r="67" spans="1:18" x14ac:dyDescent="0.25">
      <c r="A67" s="16" t="s">
        <v>1177</v>
      </c>
      <c r="B67" s="117" t="s">
        <v>1178</v>
      </c>
      <c r="C67" s="117" t="s">
        <v>864</v>
      </c>
      <c r="D67" s="175" t="s">
        <v>2014</v>
      </c>
      <c r="E67" s="117" t="s">
        <v>1119</v>
      </c>
      <c r="F67" s="117" t="s">
        <v>125</v>
      </c>
      <c r="G67" s="69">
        <v>27210.365084051649</v>
      </c>
      <c r="H67" s="66">
        <v>14741</v>
      </c>
      <c r="I67" s="84">
        <v>0</v>
      </c>
      <c r="J67" s="84">
        <v>15338.3696</v>
      </c>
      <c r="K67" s="24">
        <v>2.8360984992926888E-4</v>
      </c>
      <c r="L67" s="32">
        <v>6.9542118084604518E-2</v>
      </c>
      <c r="M67" s="32">
        <v>1.758228469156017E-2</v>
      </c>
      <c r="N67" s="14"/>
      <c r="O67" s="14"/>
      <c r="P67" s="14"/>
      <c r="Q67" s="14"/>
      <c r="R67" s="14"/>
    </row>
    <row r="68" spans="1:18" x14ac:dyDescent="0.25">
      <c r="A68" s="16" t="s">
        <v>1191</v>
      </c>
      <c r="B68" s="117" t="s">
        <v>1192</v>
      </c>
      <c r="C68" s="117" t="s">
        <v>885</v>
      </c>
      <c r="D68" s="175" t="s">
        <v>2015</v>
      </c>
      <c r="E68" s="117" t="s">
        <v>1119</v>
      </c>
      <c r="F68" s="117" t="s">
        <v>125</v>
      </c>
      <c r="G68" s="69">
        <v>3736.5209810221777</v>
      </c>
      <c r="H68" s="66">
        <v>2737</v>
      </c>
      <c r="I68" s="84">
        <v>0</v>
      </c>
      <c r="J68" s="84">
        <v>391.07504999999998</v>
      </c>
      <c r="K68" s="24">
        <v>1.8220982241833271E-5</v>
      </c>
      <c r="L68" s="32">
        <v>1.7730820169467435E-3</v>
      </c>
      <c r="M68" s="32">
        <v>4.4828707640909418E-4</v>
      </c>
      <c r="N68" s="14"/>
      <c r="O68" s="14"/>
      <c r="P68" s="14"/>
      <c r="Q68" s="14"/>
      <c r="R68" s="14"/>
    </row>
    <row r="69" spans="1:18" x14ac:dyDescent="0.25">
      <c r="A69" s="16" t="s">
        <v>1185</v>
      </c>
      <c r="B69" s="117" t="s">
        <v>1186</v>
      </c>
      <c r="C69" s="117" t="s">
        <v>942</v>
      </c>
      <c r="D69" s="175" t="s">
        <v>2016</v>
      </c>
      <c r="E69" s="117" t="s">
        <v>1119</v>
      </c>
      <c r="F69" s="117" t="s">
        <v>126</v>
      </c>
      <c r="G69" s="69">
        <v>6028.6887282391745</v>
      </c>
      <c r="H69" s="66">
        <v>13634.800000000001</v>
      </c>
      <c r="I69" s="84">
        <v>0</v>
      </c>
      <c r="J69" s="84">
        <v>3331.6467799999996</v>
      </c>
      <c r="K69" s="24">
        <v>1.0620412306501608E-3</v>
      </c>
      <c r="L69" s="32">
        <v>1.5105241289201455E-2</v>
      </c>
      <c r="M69" s="32">
        <v>3.8190475066971737E-3</v>
      </c>
      <c r="N69" s="14"/>
      <c r="O69" s="14"/>
      <c r="P69" s="14"/>
      <c r="Q69" s="14"/>
      <c r="R69" s="14"/>
    </row>
    <row r="70" spans="1:18" x14ac:dyDescent="0.25">
      <c r="A70" s="16" t="s">
        <v>1189</v>
      </c>
      <c r="B70" s="117" t="s">
        <v>1190</v>
      </c>
      <c r="C70" s="117" t="s">
        <v>966</v>
      </c>
      <c r="D70" s="175" t="s">
        <v>2017</v>
      </c>
      <c r="E70" s="117" t="s">
        <v>1119</v>
      </c>
      <c r="F70" s="117" t="s">
        <v>361</v>
      </c>
      <c r="G70" s="69">
        <v>359966.7394410735</v>
      </c>
      <c r="H70" s="66">
        <v>27360.000000000004</v>
      </c>
      <c r="I70" s="84">
        <v>0</v>
      </c>
      <c r="J70" s="84">
        <v>2527.1738500000001</v>
      </c>
      <c r="K70" s="24">
        <v>6.3201907116969757E-4</v>
      </c>
      <c r="L70" s="32">
        <v>1.1457868527110251E-2</v>
      </c>
      <c r="M70" s="32">
        <v>2.8968848224759287E-3</v>
      </c>
      <c r="N70" s="14"/>
      <c r="O70" s="14"/>
      <c r="P70" s="14"/>
      <c r="Q70" s="14"/>
      <c r="R70" s="14"/>
    </row>
    <row r="71" spans="1:18" x14ac:dyDescent="0.25">
      <c r="A71" s="16" t="s">
        <v>1183</v>
      </c>
      <c r="B71" s="117" t="s">
        <v>1184</v>
      </c>
      <c r="C71" s="117" t="s">
        <v>949</v>
      </c>
      <c r="D71" s="175" t="s">
        <v>2018</v>
      </c>
      <c r="E71" s="117" t="s">
        <v>218</v>
      </c>
      <c r="F71" s="117" t="s">
        <v>125</v>
      </c>
      <c r="G71" s="69">
        <v>6376.1185777524215</v>
      </c>
      <c r="H71" s="66">
        <v>3381</v>
      </c>
      <c r="I71" s="84">
        <v>0</v>
      </c>
      <c r="J71" s="84">
        <v>824.36480000000006</v>
      </c>
      <c r="K71" s="24">
        <v>2.0450274788248244E-4</v>
      </c>
      <c r="L71" s="32">
        <v>3.7375598425005612E-3</v>
      </c>
      <c r="M71" s="32">
        <v>9.4496462018369028E-4</v>
      </c>
      <c r="N71" s="14"/>
      <c r="O71" s="14"/>
      <c r="P71" s="14"/>
      <c r="Q71" s="14"/>
      <c r="R71" s="14"/>
    </row>
    <row r="72" spans="1:18" x14ac:dyDescent="0.25">
      <c r="A72" s="16" t="s">
        <v>1187</v>
      </c>
      <c r="B72" s="117" t="s">
        <v>1188</v>
      </c>
      <c r="C72" s="117" t="s">
        <v>942</v>
      </c>
      <c r="D72" s="175" t="s">
        <v>2019</v>
      </c>
      <c r="E72" s="117" t="s">
        <v>1119</v>
      </c>
      <c r="F72" s="117" t="s">
        <v>126</v>
      </c>
      <c r="G72" s="69">
        <v>3188.9372659495025</v>
      </c>
      <c r="H72" s="66">
        <v>20350</v>
      </c>
      <c r="I72" s="84">
        <v>0</v>
      </c>
      <c r="J72" s="84">
        <v>2630.2541099999999</v>
      </c>
      <c r="K72" s="24">
        <v>5.7201201983399707E-4</v>
      </c>
      <c r="L72" s="32">
        <v>1.1925220651231168E-2</v>
      </c>
      <c r="M72" s="32">
        <v>3.0150451305571758E-3</v>
      </c>
      <c r="N72" s="14"/>
      <c r="O72" s="14"/>
      <c r="P72" s="14"/>
      <c r="Q72" s="14"/>
      <c r="R72" s="14"/>
    </row>
    <row r="73" spans="1:18" x14ac:dyDescent="0.25">
      <c r="A73" s="16" t="s">
        <v>1153</v>
      </c>
      <c r="B73" s="117" t="s">
        <v>1154</v>
      </c>
      <c r="C73" s="117" t="s">
        <v>885</v>
      </c>
      <c r="D73" s="175" t="s">
        <v>2020</v>
      </c>
      <c r="E73" s="117" t="s">
        <v>1119</v>
      </c>
      <c r="F73" s="117" t="s">
        <v>125</v>
      </c>
      <c r="G73" s="69">
        <v>1423.9916378501241</v>
      </c>
      <c r="H73" s="66">
        <v>9039</v>
      </c>
      <c r="I73" s="84">
        <v>0</v>
      </c>
      <c r="J73" s="84">
        <v>492.20465000000002</v>
      </c>
      <c r="K73" s="24">
        <v>3.2181922644145844E-6</v>
      </c>
      <c r="L73" s="32">
        <v>2.2315901092963258E-3</v>
      </c>
      <c r="M73" s="32">
        <v>5.6421135417220167E-4</v>
      </c>
      <c r="N73" s="14"/>
      <c r="O73" s="14"/>
      <c r="P73" s="14"/>
      <c r="Q73" s="14"/>
      <c r="R73" s="14"/>
    </row>
    <row r="74" spans="1:18" x14ac:dyDescent="0.25">
      <c r="A74" s="16" t="s">
        <v>1155</v>
      </c>
      <c r="B74" s="117" t="s">
        <v>1156</v>
      </c>
      <c r="C74" s="117" t="s">
        <v>885</v>
      </c>
      <c r="D74" s="175" t="s">
        <v>2021</v>
      </c>
      <c r="E74" s="117" t="s">
        <v>1119</v>
      </c>
      <c r="F74" s="117" t="s">
        <v>125</v>
      </c>
      <c r="G74" s="69">
        <v>3967.4974459631121</v>
      </c>
      <c r="H74" s="66">
        <v>12874</v>
      </c>
      <c r="I74" s="84">
        <v>0</v>
      </c>
      <c r="J74" s="84">
        <v>1953.20598</v>
      </c>
      <c r="K74" s="24">
        <v>1.3367565619259176E-5</v>
      </c>
      <c r="L74" s="32">
        <v>8.8555749044354551E-3</v>
      </c>
      <c r="M74" s="32">
        <v>2.2389487603439793E-3</v>
      </c>
      <c r="N74" s="14"/>
      <c r="O74" s="14"/>
      <c r="P74" s="14"/>
      <c r="Q74" s="14"/>
      <c r="R74" s="14"/>
    </row>
    <row r="75" spans="1:18" x14ac:dyDescent="0.25">
      <c r="A75" s="16" t="s">
        <v>1157</v>
      </c>
      <c r="B75" s="117" t="s">
        <v>1158</v>
      </c>
      <c r="C75" s="117" t="s">
        <v>885</v>
      </c>
      <c r="D75" s="175" t="s">
        <v>2022</v>
      </c>
      <c r="E75" s="117" t="s">
        <v>1119</v>
      </c>
      <c r="F75" s="117" t="s">
        <v>125</v>
      </c>
      <c r="G75" s="69">
        <v>55322.369034859308</v>
      </c>
      <c r="H75" s="66">
        <v>3317</v>
      </c>
      <c r="I75" s="84">
        <v>0</v>
      </c>
      <c r="J75" s="84">
        <v>7017.2043600000006</v>
      </c>
      <c r="K75" s="24">
        <v>6.0068885632164245E-5</v>
      </c>
      <c r="L75" s="32">
        <v>3.1815066852145857E-2</v>
      </c>
      <c r="M75" s="32">
        <v>8.0437809241718419E-3</v>
      </c>
      <c r="N75" s="14"/>
      <c r="O75" s="14"/>
      <c r="P75" s="14"/>
      <c r="Q75" s="14"/>
      <c r="R75" s="14"/>
    </row>
    <row r="76" spans="1:18" x14ac:dyDescent="0.25">
      <c r="A76" s="16" t="s">
        <v>1159</v>
      </c>
      <c r="B76" s="117" t="s">
        <v>1160</v>
      </c>
      <c r="C76" s="117" t="s">
        <v>885</v>
      </c>
      <c r="D76" s="175" t="s">
        <v>2023</v>
      </c>
      <c r="E76" s="117" t="s">
        <v>1119</v>
      </c>
      <c r="F76" s="117" t="s">
        <v>125</v>
      </c>
      <c r="G76" s="69">
        <v>1622.078209875277</v>
      </c>
      <c r="H76" s="66">
        <v>7302</v>
      </c>
      <c r="I76" s="84">
        <v>0</v>
      </c>
      <c r="J76" s="84">
        <v>452.93043</v>
      </c>
      <c r="K76" s="24">
        <v>2.1342184332443162E-5</v>
      </c>
      <c r="L76" s="32">
        <v>2.0535260440699447E-3</v>
      </c>
      <c r="M76" s="32">
        <v>5.191915420874175E-4</v>
      </c>
      <c r="N76" s="14"/>
      <c r="O76" s="14"/>
      <c r="P76" s="14"/>
      <c r="Q76" s="14"/>
      <c r="R76" s="14"/>
    </row>
    <row r="77" spans="1:18" x14ac:dyDescent="0.25">
      <c r="A77" s="16" t="s">
        <v>1181</v>
      </c>
      <c r="B77" s="117" t="s">
        <v>1182</v>
      </c>
      <c r="C77" s="117" t="s">
        <v>885</v>
      </c>
      <c r="D77" s="175" t="s">
        <v>2024</v>
      </c>
      <c r="E77" s="117" t="s">
        <v>1119</v>
      </c>
      <c r="F77" s="117" t="s">
        <v>125</v>
      </c>
      <c r="G77" s="69">
        <v>7217.4198711737217</v>
      </c>
      <c r="H77" s="66">
        <v>3975</v>
      </c>
      <c r="I77" s="84">
        <v>0</v>
      </c>
      <c r="J77" s="84">
        <v>1097.0766899999999</v>
      </c>
      <c r="K77" s="24">
        <v>1.4439662589652387E-3</v>
      </c>
      <c r="L77" s="32">
        <v>4.973999108995722E-3</v>
      </c>
      <c r="M77" s="32">
        <v>1.2575726883028364E-3</v>
      </c>
      <c r="N77" s="14"/>
      <c r="O77" s="14"/>
      <c r="P77" s="14"/>
      <c r="Q77" s="14"/>
      <c r="R77" s="14"/>
    </row>
    <row r="78" spans="1:18" x14ac:dyDescent="0.25">
      <c r="A78" s="16" t="s">
        <v>1171</v>
      </c>
      <c r="B78" s="117" t="s">
        <v>1172</v>
      </c>
      <c r="C78" s="117" t="s">
        <v>885</v>
      </c>
      <c r="D78" s="175" t="s">
        <v>2025</v>
      </c>
      <c r="E78" s="117" t="s">
        <v>1119</v>
      </c>
      <c r="F78" s="117" t="s">
        <v>125</v>
      </c>
      <c r="G78" s="69">
        <v>1056.8104175816968</v>
      </c>
      <c r="H78" s="66">
        <v>34504</v>
      </c>
      <c r="I78" s="84">
        <v>0</v>
      </c>
      <c r="J78" s="84">
        <v>1394.3905</v>
      </c>
      <c r="K78" s="24">
        <v>1.3866033467636643E-4</v>
      </c>
      <c r="L78" s="32">
        <v>6.3219801931915075E-3</v>
      </c>
      <c r="M78" s="32">
        <v>1.5983817955597399E-3</v>
      </c>
      <c r="N78" s="14"/>
      <c r="O78" s="14"/>
      <c r="P78" s="14"/>
      <c r="Q78" s="14"/>
      <c r="R78" s="14"/>
    </row>
    <row r="79" spans="1:18" s="119" customFormat="1" x14ac:dyDescent="0.25">
      <c r="A79" s="92" t="s">
        <v>1115</v>
      </c>
      <c r="B79" s="131" t="s">
        <v>249</v>
      </c>
      <c r="C79" s="131" t="s">
        <v>249</v>
      </c>
      <c r="D79" s="131" t="s">
        <v>249</v>
      </c>
      <c r="E79" s="131" t="s">
        <v>249</v>
      </c>
      <c r="F79" s="131" t="s">
        <v>249</v>
      </c>
      <c r="G79" s="135" t="s">
        <v>249</v>
      </c>
      <c r="H79" s="122" t="s">
        <v>249</v>
      </c>
      <c r="I79" s="124" t="s">
        <v>249</v>
      </c>
      <c r="J79" s="124">
        <v>0</v>
      </c>
      <c r="K79" s="137"/>
      <c r="L79" s="121">
        <v>0</v>
      </c>
      <c r="M79" s="121">
        <v>0</v>
      </c>
    </row>
    <row r="80" spans="1:18" s="119" customFormat="1" x14ac:dyDescent="0.25">
      <c r="A80" s="78" t="s">
        <v>241</v>
      </c>
      <c r="B80" s="125"/>
      <c r="C80" s="125"/>
      <c r="D80" s="125"/>
      <c r="E80" s="125"/>
      <c r="F80" s="125"/>
      <c r="G80" s="126"/>
      <c r="H80" s="126"/>
      <c r="I80" s="126"/>
      <c r="J80" s="126"/>
      <c r="K80" s="127"/>
      <c r="L80" s="127"/>
      <c r="M80" s="128"/>
      <c r="N80" s="148"/>
      <c r="O80" s="148"/>
      <c r="P80" s="148"/>
      <c r="Q80" s="130"/>
      <c r="R80" s="130"/>
    </row>
    <row r="81" spans="1:18" s="119" customFormat="1" x14ac:dyDescent="0.25">
      <c r="A81" s="78" t="s">
        <v>242</v>
      </c>
      <c r="B81" s="125"/>
      <c r="C81" s="125"/>
      <c r="D81" s="125"/>
      <c r="E81" s="125"/>
      <c r="F81" s="125"/>
      <c r="G81" s="126"/>
      <c r="H81" s="126"/>
      <c r="I81" s="126"/>
      <c r="J81" s="126"/>
      <c r="K81" s="127"/>
      <c r="L81" s="127"/>
      <c r="M81" s="128"/>
      <c r="N81" s="148"/>
      <c r="O81" s="148"/>
      <c r="P81" s="148"/>
      <c r="Q81" s="130"/>
      <c r="R81" s="130"/>
    </row>
    <row r="82" spans="1:18" s="119" customFormat="1" x14ac:dyDescent="0.25">
      <c r="A82" s="78" t="s">
        <v>243</v>
      </c>
      <c r="B82" s="125"/>
      <c r="C82" s="125"/>
      <c r="D82" s="125"/>
      <c r="E82" s="125"/>
      <c r="F82" s="125"/>
      <c r="G82" s="126"/>
      <c r="H82" s="126"/>
      <c r="I82" s="126"/>
      <c r="J82" s="126"/>
      <c r="K82" s="127"/>
      <c r="L82" s="127"/>
      <c r="M82" s="128"/>
      <c r="N82" s="148"/>
      <c r="O82" s="148"/>
      <c r="P82" s="148"/>
      <c r="Q82" s="130"/>
      <c r="R82" s="130"/>
    </row>
    <row r="83" spans="1:18" s="119" customFormat="1" x14ac:dyDescent="0.25">
      <c r="A83" s="78" t="s">
        <v>244</v>
      </c>
      <c r="B83" s="125"/>
      <c r="C83" s="125"/>
      <c r="D83" s="125"/>
      <c r="E83" s="125"/>
      <c r="F83" s="125"/>
      <c r="G83" s="126"/>
      <c r="H83" s="126"/>
      <c r="I83" s="126"/>
      <c r="J83" s="126"/>
      <c r="K83" s="127"/>
      <c r="L83" s="127"/>
      <c r="M83" s="128"/>
      <c r="N83" s="148"/>
      <c r="O83" s="148"/>
      <c r="P83" s="148"/>
      <c r="Q83" s="130"/>
      <c r="R83" s="130"/>
    </row>
    <row r="84" spans="1:18" s="119" customFormat="1" x14ac:dyDescent="0.25">
      <c r="A84" s="78" t="s">
        <v>245</v>
      </c>
      <c r="B84" s="125"/>
      <c r="C84" s="125"/>
      <c r="D84" s="125"/>
      <c r="E84" s="125"/>
      <c r="F84" s="125"/>
      <c r="G84" s="126"/>
      <c r="H84" s="126"/>
      <c r="I84" s="126"/>
      <c r="J84" s="126"/>
      <c r="K84" s="127"/>
      <c r="L84" s="127"/>
      <c r="M84" s="128"/>
      <c r="N84" s="148"/>
      <c r="O84" s="148"/>
      <c r="P84" s="148"/>
      <c r="Q84" s="130"/>
      <c r="R84" s="130"/>
    </row>
  </sheetData>
  <mergeCells count="2">
    <mergeCell ref="A5:M5"/>
    <mergeCell ref="A4:M4"/>
  </mergeCells>
  <phoneticPr fontId="3" type="noConversion"/>
  <conditionalFormatting sqref="A9:A79 I9:J79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79">
    <cfRule type="expression" dxfId="103" priority="141" stopIfTrue="1">
      <formula>OR(LEFT(#REF!,3)="TIR",LEFT(#REF!,2)="IR")</formula>
    </cfRule>
  </conditionalFormatting>
  <conditionalFormatting sqref="C9:D9 B10:F79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79 K9:K79 M80:M55614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8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  <c r="R4" s="12"/>
      <c r="S4" s="12"/>
    </row>
    <row r="5" spans="1:19" s="7" customFormat="1" x14ac:dyDescent="0.25">
      <c r="A5" s="225" t="s">
        <v>22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5" t="s">
        <v>69</v>
      </c>
      <c r="C6" s="205" t="s">
        <v>76</v>
      </c>
      <c r="D6" s="205" t="s">
        <v>74</v>
      </c>
      <c r="E6" s="205" t="s">
        <v>19</v>
      </c>
      <c r="F6" s="205" t="s">
        <v>70</v>
      </c>
      <c r="G6" s="205" t="s">
        <v>5</v>
      </c>
      <c r="H6" s="205" t="s">
        <v>6</v>
      </c>
      <c r="I6" s="206" t="s">
        <v>67</v>
      </c>
      <c r="J6" s="206" t="s">
        <v>68</v>
      </c>
      <c r="K6" s="206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58623.650660799998</v>
      </c>
      <c r="L9" s="67"/>
      <c r="M9" s="67">
        <v>1</v>
      </c>
      <c r="N9" s="81">
        <v>6.7199952958282808E-2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1195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393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58623.650660400002</v>
      </c>
      <c r="L15" s="137"/>
      <c r="M15" s="137">
        <v>0.9999999999931769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0</v>
      </c>
      <c r="L16" s="137"/>
      <c r="M16" s="137">
        <v>0</v>
      </c>
      <c r="N16" s="121">
        <v>0</v>
      </c>
    </row>
    <row r="17" spans="1:16" s="119" customFormat="1" x14ac:dyDescent="0.25">
      <c r="A17" s="92" t="s">
        <v>1195</v>
      </c>
      <c r="B17" s="121" t="s">
        <v>249</v>
      </c>
      <c r="C17" s="121" t="s">
        <v>249</v>
      </c>
      <c r="D17" s="121" t="s">
        <v>249</v>
      </c>
      <c r="E17" s="137" t="s">
        <v>249</v>
      </c>
      <c r="F17" s="122" t="s">
        <v>249</v>
      </c>
      <c r="G17" s="122" t="s">
        <v>249</v>
      </c>
      <c r="H17" s="122" t="s">
        <v>249</v>
      </c>
      <c r="I17" s="135" t="s">
        <v>249</v>
      </c>
      <c r="J17" s="136" t="s">
        <v>249</v>
      </c>
      <c r="K17" s="124">
        <v>0</v>
      </c>
      <c r="L17" s="137"/>
      <c r="M17" s="137">
        <v>0</v>
      </c>
      <c r="N17" s="121">
        <v>0</v>
      </c>
    </row>
    <row r="18" spans="1:16" s="119" customFormat="1" x14ac:dyDescent="0.25">
      <c r="A18" s="92" t="s">
        <v>59</v>
      </c>
      <c r="B18" s="121" t="s">
        <v>249</v>
      </c>
      <c r="C18" s="121" t="s">
        <v>249</v>
      </c>
      <c r="D18" s="121" t="s">
        <v>249</v>
      </c>
      <c r="E18" s="137" t="s">
        <v>249</v>
      </c>
      <c r="F18" s="122" t="s">
        <v>249</v>
      </c>
      <c r="G18" s="122" t="s">
        <v>249</v>
      </c>
      <c r="H18" s="122" t="s">
        <v>249</v>
      </c>
      <c r="I18" s="135" t="s">
        <v>249</v>
      </c>
      <c r="J18" s="136" t="s">
        <v>249</v>
      </c>
      <c r="K18" s="124">
        <v>11332.759920099999</v>
      </c>
      <c r="L18" s="137"/>
      <c r="M18" s="137">
        <v>0.19331378705280633</v>
      </c>
      <c r="N18" s="121">
        <v>0</v>
      </c>
    </row>
    <row r="19" spans="1:16" x14ac:dyDescent="0.25">
      <c r="A19" s="16" t="s">
        <v>1208</v>
      </c>
      <c r="B19" s="32" t="s">
        <v>1209</v>
      </c>
      <c r="C19" s="32" t="s">
        <v>218</v>
      </c>
      <c r="D19" s="217" t="s">
        <v>218</v>
      </c>
      <c r="E19" s="24" t="s">
        <v>1119</v>
      </c>
      <c r="F19" s="66" t="s">
        <v>401</v>
      </c>
      <c r="G19" s="66" t="s">
        <v>401</v>
      </c>
      <c r="H19" s="66" t="s">
        <v>125</v>
      </c>
      <c r="I19" s="69">
        <v>238.38634236800425</v>
      </c>
      <c r="J19" s="60">
        <v>106745</v>
      </c>
      <c r="K19" s="84">
        <v>973.07607999999993</v>
      </c>
      <c r="L19" s="24">
        <v>7.157244494190538E-5</v>
      </c>
      <c r="M19" s="24">
        <v>1.6598694708220701E-2</v>
      </c>
      <c r="N19" s="32">
        <v>1.1154315035613288E-3</v>
      </c>
      <c r="O19" s="14"/>
      <c r="P19" s="14"/>
    </row>
    <row r="20" spans="1:16" x14ac:dyDescent="0.25">
      <c r="A20" s="16" t="s">
        <v>1206</v>
      </c>
      <c r="B20" s="32" t="s">
        <v>1207</v>
      </c>
      <c r="C20" s="32" t="s">
        <v>218</v>
      </c>
      <c r="D20" s="217" t="s">
        <v>2026</v>
      </c>
      <c r="E20" s="24" t="s">
        <v>1119</v>
      </c>
      <c r="F20" s="66" t="s">
        <v>401</v>
      </c>
      <c r="G20" s="66" t="s">
        <v>401</v>
      </c>
      <c r="H20" s="66" t="s">
        <v>125</v>
      </c>
      <c r="I20" s="69">
        <v>419.92211254345079</v>
      </c>
      <c r="J20" s="60">
        <v>111021</v>
      </c>
      <c r="K20" s="84">
        <v>1782.75541</v>
      </c>
      <c r="L20" s="24">
        <v>2.2945334760403585E-4</v>
      </c>
      <c r="M20" s="24">
        <v>3.0410173878715453E-2</v>
      </c>
      <c r="N20" s="32">
        <v>2.043562254102879E-3</v>
      </c>
      <c r="O20" s="14"/>
      <c r="P20" s="14"/>
    </row>
    <row r="21" spans="1:16" x14ac:dyDescent="0.25">
      <c r="A21" s="16" t="s">
        <v>1200</v>
      </c>
      <c r="B21" s="32" t="s">
        <v>1201</v>
      </c>
      <c r="C21" s="32" t="s">
        <v>218</v>
      </c>
      <c r="D21" s="217" t="s">
        <v>2027</v>
      </c>
      <c r="E21" s="24" t="s">
        <v>1119</v>
      </c>
      <c r="F21" s="66" t="s">
        <v>401</v>
      </c>
      <c r="G21" s="66" t="s">
        <v>401</v>
      </c>
      <c r="H21" s="66" t="s">
        <v>2</v>
      </c>
      <c r="I21" s="69">
        <v>45641.10887809522</v>
      </c>
      <c r="J21" s="60">
        <v>815.5100000000001</v>
      </c>
      <c r="K21" s="84">
        <v>1741.1508999999999</v>
      </c>
      <c r="L21" s="24">
        <v>2.7829827858035264E-4</v>
      </c>
      <c r="M21" s="24">
        <v>2.970048573184916E-2</v>
      </c>
      <c r="N21" s="32">
        <v>1.9958712440184133E-3</v>
      </c>
      <c r="O21" s="14"/>
      <c r="P21" s="14"/>
    </row>
    <row r="22" spans="1:16" x14ac:dyDescent="0.25">
      <c r="A22" s="16" t="s">
        <v>1212</v>
      </c>
      <c r="B22" s="32" t="s">
        <v>1213</v>
      </c>
      <c r="C22" s="32" t="s">
        <v>218</v>
      </c>
      <c r="D22" s="217" t="s">
        <v>2028</v>
      </c>
      <c r="E22" s="24" t="s">
        <v>1119</v>
      </c>
      <c r="F22" s="66" t="s">
        <v>401</v>
      </c>
      <c r="G22" s="66" t="s">
        <v>401</v>
      </c>
      <c r="H22" s="66" t="s">
        <v>125</v>
      </c>
      <c r="I22" s="69">
        <v>1166.6011392574007</v>
      </c>
      <c r="J22" s="60">
        <v>20511</v>
      </c>
      <c r="K22" s="84">
        <v>915.01268000000005</v>
      </c>
      <c r="L22" s="24">
        <v>1.5311530666703251E-4</v>
      </c>
      <c r="M22" s="24">
        <v>1.560825144265271E-2</v>
      </c>
      <c r="N22" s="32">
        <v>1.0488737627073119E-3</v>
      </c>
      <c r="O22" s="14"/>
      <c r="P22" s="14"/>
    </row>
    <row r="23" spans="1:16" x14ac:dyDescent="0.25">
      <c r="A23" s="16" t="s">
        <v>1196</v>
      </c>
      <c r="B23" s="32" t="s">
        <v>1197</v>
      </c>
      <c r="C23" s="32" t="s">
        <v>218</v>
      </c>
      <c r="D23" s="217" t="s">
        <v>2029</v>
      </c>
      <c r="E23" s="24" t="s">
        <v>1119</v>
      </c>
      <c r="F23" s="66" t="s">
        <v>401</v>
      </c>
      <c r="G23" s="66" t="s">
        <v>401</v>
      </c>
      <c r="H23" s="66" t="s">
        <v>125</v>
      </c>
      <c r="I23" s="69">
        <v>45.861412628826074</v>
      </c>
      <c r="J23" s="60">
        <v>116420</v>
      </c>
      <c r="K23" s="84">
        <v>204.17045999999999</v>
      </c>
      <c r="L23" s="24">
        <v>2.8474737755386859E-3</v>
      </c>
      <c r="M23" s="24">
        <v>3.4827319298373735E-3</v>
      </c>
      <c r="N23" s="32">
        <v>2.3403942185138099E-4</v>
      </c>
      <c r="O23" s="14"/>
      <c r="P23" s="14"/>
    </row>
    <row r="24" spans="1:16" x14ac:dyDescent="0.25">
      <c r="A24" s="16" t="s">
        <v>1204</v>
      </c>
      <c r="B24" s="32" t="s">
        <v>1205</v>
      </c>
      <c r="C24" s="32" t="s">
        <v>218</v>
      </c>
      <c r="D24" s="217" t="s">
        <v>2030</v>
      </c>
      <c r="E24" s="24" t="s">
        <v>1119</v>
      </c>
      <c r="F24" s="66" t="s">
        <v>401</v>
      </c>
      <c r="G24" s="66" t="s">
        <v>401</v>
      </c>
      <c r="H24" s="66" t="s">
        <v>361</v>
      </c>
      <c r="I24" s="69">
        <v>4000.109748680828</v>
      </c>
      <c r="J24" s="60">
        <v>1465200</v>
      </c>
      <c r="K24" s="84">
        <v>1503.92254</v>
      </c>
      <c r="L24" s="24">
        <v>3.8324290952341394E-4</v>
      </c>
      <c r="M24" s="24">
        <v>2.5653853402985548E-2</v>
      </c>
      <c r="N24" s="32">
        <v>1.7239377418793121E-3</v>
      </c>
      <c r="O24" s="14"/>
      <c r="P24" s="14"/>
    </row>
    <row r="25" spans="1:16" x14ac:dyDescent="0.25">
      <c r="A25" s="16" t="s">
        <v>1202</v>
      </c>
      <c r="B25" s="32" t="s">
        <v>1203</v>
      </c>
      <c r="C25" s="32" t="s">
        <v>218</v>
      </c>
      <c r="D25" s="217" t="s">
        <v>2031</v>
      </c>
      <c r="E25" s="24" t="s">
        <v>1119</v>
      </c>
      <c r="F25" s="66" t="s">
        <v>401</v>
      </c>
      <c r="G25" s="66" t="s">
        <v>401</v>
      </c>
      <c r="H25" s="66" t="s">
        <v>125</v>
      </c>
      <c r="I25" s="69">
        <v>2525.5635682718089</v>
      </c>
      <c r="J25" s="60">
        <v>18120.53</v>
      </c>
      <c r="K25" s="84">
        <v>1750.0364099999999</v>
      </c>
      <c r="L25" s="24">
        <v>2.5563393375566536E-3</v>
      </c>
      <c r="M25" s="24">
        <v>2.9852054422980528E-2</v>
      </c>
      <c r="N25" s="32">
        <v>2.0060566529323896E-3</v>
      </c>
      <c r="O25" s="14"/>
      <c r="P25" s="14"/>
    </row>
    <row r="26" spans="1:16" x14ac:dyDescent="0.25">
      <c r="A26" s="16" t="s">
        <v>1198</v>
      </c>
      <c r="B26" s="32" t="s">
        <v>1199</v>
      </c>
      <c r="C26" s="32" t="s">
        <v>218</v>
      </c>
      <c r="D26" s="217" t="s">
        <v>2032</v>
      </c>
      <c r="E26" s="24" t="s">
        <v>1119</v>
      </c>
      <c r="F26" s="66" t="s">
        <v>401</v>
      </c>
      <c r="G26" s="66" t="s">
        <v>401</v>
      </c>
      <c r="H26" s="66" t="s">
        <v>126</v>
      </c>
      <c r="I26" s="69">
        <v>1884.9856424179025</v>
      </c>
      <c r="J26" s="60">
        <v>14681</v>
      </c>
      <c r="K26" s="84">
        <v>1121.6335800000002</v>
      </c>
      <c r="L26" s="24">
        <v>1.1290780497875714E-3</v>
      </c>
      <c r="M26" s="24">
        <v>1.9132782884672947E-2</v>
      </c>
      <c r="N26" s="32">
        <v>1.2857221098110604E-3</v>
      </c>
      <c r="O26" s="14"/>
      <c r="P26" s="14"/>
    </row>
    <row r="27" spans="1:16" x14ac:dyDescent="0.25">
      <c r="A27" s="16" t="s">
        <v>1210</v>
      </c>
      <c r="B27" s="32" t="s">
        <v>1211</v>
      </c>
      <c r="C27" s="32" t="s">
        <v>218</v>
      </c>
      <c r="D27" s="217" t="s">
        <v>2033</v>
      </c>
      <c r="E27" s="24" t="s">
        <v>1119</v>
      </c>
      <c r="F27" s="66" t="s">
        <v>401</v>
      </c>
      <c r="G27" s="66" t="s">
        <v>401</v>
      </c>
      <c r="H27" s="66" t="s">
        <v>125</v>
      </c>
      <c r="I27" s="69">
        <v>672.00738796990265</v>
      </c>
      <c r="J27" s="60">
        <v>52184.01</v>
      </c>
      <c r="K27" s="84">
        <v>1341.0018600000001</v>
      </c>
      <c r="L27" s="24">
        <v>1.2032811755532171E-4</v>
      </c>
      <c r="M27" s="24">
        <v>2.2874758649186117E-2</v>
      </c>
      <c r="N27" s="32">
        <v>1.5371827051573795E-3</v>
      </c>
      <c r="O27" s="14"/>
      <c r="P27" s="14"/>
    </row>
    <row r="28" spans="1:16" s="119" customFormat="1" x14ac:dyDescent="0.25">
      <c r="A28" s="92" t="s">
        <v>141</v>
      </c>
      <c r="B28" s="121" t="s">
        <v>249</v>
      </c>
      <c r="C28" s="121" t="s">
        <v>249</v>
      </c>
      <c r="D28" s="121" t="s">
        <v>249</v>
      </c>
      <c r="E28" s="137" t="s">
        <v>249</v>
      </c>
      <c r="F28" s="122" t="s">
        <v>249</v>
      </c>
      <c r="G28" s="122" t="s">
        <v>249</v>
      </c>
      <c r="H28" s="122" t="s">
        <v>249</v>
      </c>
      <c r="I28" s="135" t="s">
        <v>249</v>
      </c>
      <c r="J28" s="136" t="s">
        <v>249</v>
      </c>
      <c r="K28" s="124">
        <v>47290.890740099996</v>
      </c>
      <c r="L28" s="137"/>
      <c r="M28" s="137">
        <v>0.80668621293695886</v>
      </c>
      <c r="N28" s="121">
        <v>5.4209275561458943E-2</v>
      </c>
    </row>
    <row r="29" spans="1:16" x14ac:dyDescent="0.25">
      <c r="A29" s="16" t="s">
        <v>1214</v>
      </c>
      <c r="B29" s="32" t="s">
        <v>1215</v>
      </c>
      <c r="C29" s="32" t="s">
        <v>218</v>
      </c>
      <c r="D29" s="32" t="s">
        <v>1216</v>
      </c>
      <c r="E29" s="24" t="s">
        <v>188</v>
      </c>
      <c r="F29" s="66" t="s">
        <v>1217</v>
      </c>
      <c r="G29" s="66" t="s">
        <v>268</v>
      </c>
      <c r="H29" s="66" t="s">
        <v>125</v>
      </c>
      <c r="I29" s="69">
        <v>5529951.2213132763</v>
      </c>
      <c r="J29" s="60">
        <v>100</v>
      </c>
      <c r="K29" s="84">
        <v>21146.533469999998</v>
      </c>
      <c r="L29" s="24">
        <v>0</v>
      </c>
      <c r="M29" s="24">
        <v>0.36071676246085604</v>
      </c>
      <c r="N29" s="32">
        <v>2.4240149468633596E-2</v>
      </c>
      <c r="O29" s="14"/>
      <c r="P29" s="14"/>
    </row>
    <row r="30" spans="1:16" x14ac:dyDescent="0.25">
      <c r="A30" s="16" t="s">
        <v>1218</v>
      </c>
      <c r="B30" s="32" t="s">
        <v>1219</v>
      </c>
      <c r="C30" s="32" t="s">
        <v>218</v>
      </c>
      <c r="D30" s="32" t="s">
        <v>1216</v>
      </c>
      <c r="E30" s="24" t="s">
        <v>188</v>
      </c>
      <c r="F30" s="66" t="s">
        <v>1217</v>
      </c>
      <c r="G30" s="66" t="s">
        <v>268</v>
      </c>
      <c r="H30" s="66" t="s">
        <v>125</v>
      </c>
      <c r="I30" s="69">
        <v>951905.8281113503</v>
      </c>
      <c r="J30" s="60">
        <v>100</v>
      </c>
      <c r="K30" s="84">
        <v>3640.0878900000002</v>
      </c>
      <c r="L30" s="24">
        <v>0</v>
      </c>
      <c r="M30" s="24">
        <v>6.2092480576854042E-2</v>
      </c>
      <c r="N30" s="32">
        <v>4.1726117738276804E-3</v>
      </c>
      <c r="O30" s="14"/>
      <c r="P30" s="14"/>
    </row>
    <row r="31" spans="1:16" x14ac:dyDescent="0.25">
      <c r="A31" s="16" t="s">
        <v>1220</v>
      </c>
      <c r="B31" s="32" t="s">
        <v>1221</v>
      </c>
      <c r="C31" s="32" t="s">
        <v>218</v>
      </c>
      <c r="D31" s="217" t="s">
        <v>2034</v>
      </c>
      <c r="E31" s="24" t="s">
        <v>188</v>
      </c>
      <c r="F31" s="66" t="s">
        <v>1217</v>
      </c>
      <c r="G31" s="66" t="s">
        <v>268</v>
      </c>
      <c r="H31" s="66" t="s">
        <v>125</v>
      </c>
      <c r="I31" s="69">
        <v>5786203.9823455662</v>
      </c>
      <c r="J31" s="60">
        <v>100</v>
      </c>
      <c r="K31" s="84">
        <v>22126.444019999999</v>
      </c>
      <c r="L31" s="24">
        <v>0</v>
      </c>
      <c r="M31" s="24">
        <v>0.37743203929801217</v>
      </c>
      <c r="N31" s="32">
        <v>2.5363415285775161E-2</v>
      </c>
      <c r="O31" s="14"/>
      <c r="P31" s="14"/>
    </row>
    <row r="32" spans="1:16" x14ac:dyDescent="0.25">
      <c r="A32" s="16" t="s">
        <v>1222</v>
      </c>
      <c r="B32" s="32" t="s">
        <v>1223</v>
      </c>
      <c r="C32" s="32" t="s">
        <v>218</v>
      </c>
      <c r="D32" s="217" t="s">
        <v>2034</v>
      </c>
      <c r="E32" s="24" t="s">
        <v>188</v>
      </c>
      <c r="F32" s="66" t="s">
        <v>368</v>
      </c>
      <c r="G32" s="66" t="s">
        <v>268</v>
      </c>
      <c r="H32" s="66" t="s">
        <v>126</v>
      </c>
      <c r="I32" s="69">
        <v>7.1450750608556097</v>
      </c>
      <c r="J32" s="60">
        <v>988410</v>
      </c>
      <c r="K32" s="84">
        <v>286.24061</v>
      </c>
      <c r="L32" s="24">
        <v>3.9442277486648613E-6</v>
      </c>
      <c r="M32" s="24">
        <v>4.8826814224894582E-3</v>
      </c>
      <c r="N32" s="32">
        <v>3.2811596190157296E-4</v>
      </c>
      <c r="O32" s="14"/>
      <c r="P32" s="14"/>
    </row>
    <row r="33" spans="1:16" x14ac:dyDescent="0.25">
      <c r="A33" s="16" t="s">
        <v>1224</v>
      </c>
      <c r="B33" s="32" t="s">
        <v>1225</v>
      </c>
      <c r="C33" s="32" t="s">
        <v>218</v>
      </c>
      <c r="D33" s="32" t="s">
        <v>1216</v>
      </c>
      <c r="E33" s="24" t="s">
        <v>188</v>
      </c>
      <c r="F33" s="66" t="s">
        <v>1226</v>
      </c>
      <c r="G33" s="66" t="s">
        <v>351</v>
      </c>
      <c r="H33" s="66" t="s">
        <v>2</v>
      </c>
      <c r="I33" s="69">
        <v>19578.178129824664</v>
      </c>
      <c r="J33" s="60">
        <v>100</v>
      </c>
      <c r="K33" s="84">
        <v>91.58475</v>
      </c>
      <c r="L33" s="24">
        <v>0</v>
      </c>
      <c r="M33" s="24">
        <v>1.5622491770414457E-3</v>
      </c>
      <c r="N33" s="32">
        <v>1.0498307120630117E-4</v>
      </c>
      <c r="O33" s="14"/>
      <c r="P33" s="14"/>
    </row>
    <row r="34" spans="1:16" s="119" customFormat="1" x14ac:dyDescent="0.25">
      <c r="A34" s="78" t="s">
        <v>241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29"/>
      <c r="M34" s="129"/>
      <c r="N34" s="129"/>
      <c r="O34" s="130"/>
      <c r="P34" s="130"/>
    </row>
    <row r="35" spans="1:16" s="119" customFormat="1" x14ac:dyDescent="0.25">
      <c r="A35" s="78" t="s">
        <v>242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29"/>
      <c r="M35" s="129"/>
      <c r="N35" s="129"/>
      <c r="O35" s="130"/>
      <c r="P35" s="130"/>
    </row>
    <row r="36" spans="1:16" s="119" customFormat="1" x14ac:dyDescent="0.25">
      <c r="A36" s="78" t="s">
        <v>243</v>
      </c>
      <c r="B36" s="125"/>
      <c r="C36" s="125"/>
      <c r="D36" s="125"/>
      <c r="E36" s="125"/>
      <c r="F36" s="126"/>
      <c r="G36" s="126"/>
      <c r="H36" s="126"/>
      <c r="I36" s="127"/>
      <c r="J36" s="128"/>
      <c r="K36" s="129"/>
      <c r="L36" s="129"/>
      <c r="M36" s="129"/>
      <c r="N36" s="129"/>
      <c r="O36" s="130"/>
      <c r="P36" s="130"/>
    </row>
    <row r="37" spans="1:16" s="119" customFormat="1" x14ac:dyDescent="0.25">
      <c r="A37" s="78" t="s">
        <v>244</v>
      </c>
      <c r="B37" s="125"/>
      <c r="C37" s="125"/>
      <c r="D37" s="125"/>
      <c r="E37" s="125"/>
      <c r="F37" s="126"/>
      <c r="G37" s="126"/>
      <c r="H37" s="126"/>
      <c r="I37" s="127"/>
      <c r="J37" s="128"/>
      <c r="K37" s="129"/>
      <c r="L37" s="129"/>
      <c r="M37" s="129"/>
      <c r="N37" s="129"/>
      <c r="O37" s="130"/>
      <c r="P37" s="130"/>
    </row>
    <row r="38" spans="1:16" s="119" customFormat="1" x14ac:dyDescent="0.25">
      <c r="A38" s="78" t="s">
        <v>245</v>
      </c>
      <c r="B38" s="125"/>
      <c r="C38" s="125"/>
      <c r="D38" s="125"/>
      <c r="E38" s="125"/>
      <c r="F38" s="126"/>
      <c r="G38" s="126"/>
      <c r="H38" s="126"/>
      <c r="I38" s="127"/>
      <c r="J38" s="128"/>
      <c r="K38" s="129"/>
      <c r="L38" s="129"/>
      <c r="M38" s="129"/>
      <c r="N38" s="129"/>
      <c r="O38" s="130"/>
      <c r="P38" s="130"/>
    </row>
  </sheetData>
  <mergeCells count="2">
    <mergeCell ref="A5:N5"/>
    <mergeCell ref="A4:N4"/>
  </mergeCells>
  <phoneticPr fontId="3" type="noConversion"/>
  <conditionalFormatting sqref="A9:A33 K9:K33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33 M9:N33">
    <cfRule type="expression" dxfId="97" priority="163" stopIfTrue="1">
      <formula>OR(LEFT(#REF!,3)="TIR",LEFT(#REF!,2)="IR")</formula>
    </cfRule>
  </conditionalFormatting>
  <conditionalFormatting sqref="C9:D33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33 L9:L33 J34:J55568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30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23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5" t="s">
        <v>69</v>
      </c>
      <c r="C6" s="205" t="s">
        <v>76</v>
      </c>
      <c r="D6" s="205" t="s">
        <v>19</v>
      </c>
      <c r="E6" s="205" t="s">
        <v>6</v>
      </c>
      <c r="F6" s="206" t="s">
        <v>67</v>
      </c>
      <c r="G6" s="206" t="s">
        <v>68</v>
      </c>
      <c r="H6" s="206" t="s">
        <v>7</v>
      </c>
      <c r="I6" s="206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114.91819020000001</v>
      </c>
      <c r="I9" s="70"/>
      <c r="J9" s="83">
        <v>1</v>
      </c>
      <c r="K9" s="82">
        <v>1.3173005925840123E-4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93.715950100000001</v>
      </c>
      <c r="I10" s="121" t="s">
        <v>249</v>
      </c>
      <c r="J10" s="121">
        <v>0.81550144443538231</v>
      </c>
      <c r="K10" s="121">
        <v>1.0742605360078471E-4</v>
      </c>
    </row>
    <row r="11" spans="1:16" s="119" customFormat="1" x14ac:dyDescent="0.25">
      <c r="A11" s="92" t="s">
        <v>1227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93.715950100000001</v>
      </c>
      <c r="I11" s="137"/>
      <c r="J11" s="121">
        <v>0.81550144443538231</v>
      </c>
      <c r="K11" s="121">
        <v>1.0742605360078471E-4</v>
      </c>
    </row>
    <row r="12" spans="1:16" x14ac:dyDescent="0.25">
      <c r="A12" s="16" t="s">
        <v>1230</v>
      </c>
      <c r="B12" s="117" t="s">
        <v>1231</v>
      </c>
      <c r="C12" s="117" t="s">
        <v>387</v>
      </c>
      <c r="D12" s="117" t="s">
        <v>223</v>
      </c>
      <c r="E12" s="117" t="s">
        <v>255</v>
      </c>
      <c r="F12" s="69">
        <v>33024.596722431648</v>
      </c>
      <c r="G12" s="66">
        <v>23.6</v>
      </c>
      <c r="H12" s="84">
        <v>7.7938000000000001</v>
      </c>
      <c r="I12" s="24">
        <v>3.1703587490664389E-3</v>
      </c>
      <c r="J12" s="32">
        <v>6.7820420652604393E-2</v>
      </c>
      <c r="K12" s="32">
        <v>8.9339880314972759E-6</v>
      </c>
      <c r="L12" s="14"/>
      <c r="M12" s="14"/>
      <c r="N12" s="14"/>
      <c r="O12" s="14"/>
    </row>
    <row r="13" spans="1:16" x14ac:dyDescent="0.25">
      <c r="A13" s="16" t="s">
        <v>1236</v>
      </c>
      <c r="B13" s="117" t="s">
        <v>1237</v>
      </c>
      <c r="C13" s="117" t="s">
        <v>387</v>
      </c>
      <c r="D13" s="117" t="s">
        <v>231</v>
      </c>
      <c r="E13" s="117" t="s">
        <v>255</v>
      </c>
      <c r="F13" s="69">
        <v>19598.242000809143</v>
      </c>
      <c r="G13" s="66">
        <v>430</v>
      </c>
      <c r="H13" s="84">
        <v>84.272440000000003</v>
      </c>
      <c r="I13" s="24">
        <v>4.3562394281276362E-3</v>
      </c>
      <c r="J13" s="32">
        <v>0.73332550619997494</v>
      </c>
      <c r="K13" s="32">
        <v>9.6601012387419777E-5</v>
      </c>
      <c r="L13" s="14"/>
      <c r="M13" s="14"/>
      <c r="N13" s="14"/>
      <c r="O13" s="14"/>
    </row>
    <row r="14" spans="1:16" x14ac:dyDescent="0.25">
      <c r="A14" s="16" t="s">
        <v>1232</v>
      </c>
      <c r="B14" s="117" t="s">
        <v>1233</v>
      </c>
      <c r="C14" s="117" t="s">
        <v>387</v>
      </c>
      <c r="D14" s="117" t="s">
        <v>225</v>
      </c>
      <c r="E14" s="117" t="s">
        <v>255</v>
      </c>
      <c r="F14" s="69">
        <v>302.51</v>
      </c>
      <c r="G14" s="66">
        <v>263.39999999999998</v>
      </c>
      <c r="H14" s="84">
        <v>0.79680999999999991</v>
      </c>
      <c r="I14" s="24">
        <v>2.7984273820536539E-5</v>
      </c>
      <c r="J14" s="32">
        <v>6.9337151813238344E-3</v>
      </c>
      <c r="K14" s="32">
        <v>9.1337871171666491E-7</v>
      </c>
      <c r="L14" s="14"/>
      <c r="M14" s="14"/>
      <c r="N14" s="14"/>
      <c r="O14" s="14"/>
    </row>
    <row r="15" spans="1:16" x14ac:dyDescent="0.25">
      <c r="A15" s="16" t="s">
        <v>1234</v>
      </c>
      <c r="B15" s="117" t="s">
        <v>1235</v>
      </c>
      <c r="C15" s="117" t="s">
        <v>387</v>
      </c>
      <c r="D15" s="117" t="s">
        <v>225</v>
      </c>
      <c r="E15" s="117" t="s">
        <v>255</v>
      </c>
      <c r="F15" s="69">
        <v>757.59</v>
      </c>
      <c r="G15" s="66">
        <v>109.1</v>
      </c>
      <c r="H15" s="84">
        <v>0.82652999999999999</v>
      </c>
      <c r="I15" s="24">
        <v>7.7305102040816327E-5</v>
      </c>
      <c r="J15" s="32">
        <v>7.1923339426206859E-3</v>
      </c>
      <c r="K15" s="32">
        <v>9.4744657646763365E-7</v>
      </c>
      <c r="L15" s="14"/>
      <c r="M15" s="14"/>
      <c r="N15" s="14"/>
      <c r="O15" s="14"/>
    </row>
    <row r="16" spans="1:16" x14ac:dyDescent="0.25">
      <c r="A16" s="16" t="s">
        <v>1228</v>
      </c>
      <c r="B16" s="117" t="s">
        <v>1229</v>
      </c>
      <c r="C16" s="117" t="s">
        <v>387</v>
      </c>
      <c r="D16" s="117" t="s">
        <v>198</v>
      </c>
      <c r="E16" s="117" t="s">
        <v>255</v>
      </c>
      <c r="F16" s="69">
        <v>2637.317609465249</v>
      </c>
      <c r="G16" s="66">
        <v>1</v>
      </c>
      <c r="H16" s="84">
        <v>2.6370000000000001E-2</v>
      </c>
      <c r="I16" s="24">
        <v>3.0837849040952561E-3</v>
      </c>
      <c r="J16" s="32">
        <v>2.2946758867422538E-4</v>
      </c>
      <c r="K16" s="32">
        <v>3.0227779053938148E-8</v>
      </c>
      <c r="L16" s="14"/>
      <c r="M16" s="14"/>
      <c r="N16" s="14"/>
      <c r="O16" s="14"/>
    </row>
    <row r="17" spans="1:15" s="119" customFormat="1" x14ac:dyDescent="0.25">
      <c r="A17" s="92" t="s">
        <v>393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21.202240100000004</v>
      </c>
      <c r="I17" s="137"/>
      <c r="J17" s="121">
        <v>0.18449855556461767</v>
      </c>
      <c r="K17" s="121">
        <v>2.4304005657616519E-5</v>
      </c>
    </row>
    <row r="18" spans="1:15" s="119" customFormat="1" x14ac:dyDescent="0.25">
      <c r="A18" s="92" t="s">
        <v>1238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21.202240100000004</v>
      </c>
      <c r="I18" s="137"/>
      <c r="J18" s="121">
        <v>0.18449855556461767</v>
      </c>
      <c r="K18" s="121">
        <v>2.4304005657616519E-5</v>
      </c>
    </row>
    <row r="19" spans="1:15" x14ac:dyDescent="0.25">
      <c r="A19" s="16" t="s">
        <v>1239</v>
      </c>
      <c r="B19" s="117" t="s">
        <v>1240</v>
      </c>
      <c r="C19" s="117" t="s">
        <v>885</v>
      </c>
      <c r="D19" s="117" t="s">
        <v>188</v>
      </c>
      <c r="E19" s="117" t="s">
        <v>125</v>
      </c>
      <c r="F19" s="69">
        <v>960.95524689908643</v>
      </c>
      <c r="G19" s="66">
        <v>4.83</v>
      </c>
      <c r="H19" s="84">
        <v>0.17749000000000001</v>
      </c>
      <c r="I19" s="24">
        <v>0</v>
      </c>
      <c r="J19" s="32">
        <v>1.5444900384447577E-3</v>
      </c>
      <c r="K19" s="32">
        <v>2.0345576428833836E-7</v>
      </c>
      <c r="L19" s="14"/>
      <c r="M19" s="14"/>
      <c r="N19" s="14"/>
      <c r="O19" s="14"/>
    </row>
    <row r="20" spans="1:15" x14ac:dyDescent="0.25">
      <c r="A20" s="16" t="s">
        <v>1241</v>
      </c>
      <c r="B20" s="117" t="s">
        <v>1242</v>
      </c>
      <c r="C20" s="117" t="s">
        <v>864</v>
      </c>
      <c r="D20" s="117" t="s">
        <v>188</v>
      </c>
      <c r="E20" s="117" t="s">
        <v>125</v>
      </c>
      <c r="F20" s="69">
        <v>7274.7187720845559</v>
      </c>
      <c r="G20" s="66">
        <v>23</v>
      </c>
      <c r="H20" s="84">
        <v>6.3982600000000005</v>
      </c>
      <c r="I20" s="24">
        <v>6.3313479304478288E-4</v>
      </c>
      <c r="J20" s="32">
        <v>5.5676651266998459E-2</v>
      </c>
      <c r="K20" s="32">
        <v>7.334288570711047E-6</v>
      </c>
      <c r="L20" s="14"/>
      <c r="M20" s="14"/>
      <c r="N20" s="14"/>
      <c r="O20" s="14"/>
    </row>
    <row r="21" spans="1:15" x14ac:dyDescent="0.25">
      <c r="A21" s="16" t="s">
        <v>1243</v>
      </c>
      <c r="B21" s="117" t="s">
        <v>1244</v>
      </c>
      <c r="C21" s="117" t="s">
        <v>864</v>
      </c>
      <c r="D21" s="117" t="s">
        <v>188</v>
      </c>
      <c r="E21" s="117" t="s">
        <v>125</v>
      </c>
      <c r="F21" s="69">
        <v>3772.1257533986336</v>
      </c>
      <c r="G21" s="66">
        <v>14.000000000000002</v>
      </c>
      <c r="H21" s="84">
        <v>2.01945</v>
      </c>
      <c r="I21" s="24">
        <v>0</v>
      </c>
      <c r="J21" s="32">
        <v>1.7572935985899298E-2</v>
      </c>
      <c r="K21" s="32">
        <v>2.3148838987666058E-6</v>
      </c>
      <c r="L21" s="14"/>
      <c r="M21" s="14"/>
      <c r="N21" s="14"/>
      <c r="O21" s="14"/>
    </row>
    <row r="22" spans="1:15" x14ac:dyDescent="0.25">
      <c r="A22" s="16" t="s">
        <v>1245</v>
      </c>
      <c r="B22" s="117" t="s">
        <v>1246</v>
      </c>
      <c r="C22" s="117" t="s">
        <v>864</v>
      </c>
      <c r="D22" s="117" t="s">
        <v>172</v>
      </c>
      <c r="E22" s="117" t="s">
        <v>125</v>
      </c>
      <c r="F22" s="69">
        <v>2137.9722198682693</v>
      </c>
      <c r="G22" s="66">
        <v>42.99</v>
      </c>
      <c r="H22" s="84">
        <v>3.5146899999999999</v>
      </c>
      <c r="I22" s="24">
        <v>0</v>
      </c>
      <c r="J22" s="32">
        <v>3.0584279076124883E-2</v>
      </c>
      <c r="K22" s="32">
        <v>4.0288688950734115E-6</v>
      </c>
      <c r="L22" s="14"/>
      <c r="M22" s="14"/>
      <c r="N22" s="14"/>
      <c r="O22" s="14"/>
    </row>
    <row r="23" spans="1:15" x14ac:dyDescent="0.25">
      <c r="A23" s="16" t="s">
        <v>1247</v>
      </c>
      <c r="B23" s="117" t="s">
        <v>1248</v>
      </c>
      <c r="C23" s="117" t="s">
        <v>885</v>
      </c>
      <c r="D23" s="117" t="s">
        <v>188</v>
      </c>
      <c r="E23" s="117" t="s">
        <v>125</v>
      </c>
      <c r="F23" s="69">
        <v>1814.7848372811122</v>
      </c>
      <c r="G23" s="66">
        <v>3.02</v>
      </c>
      <c r="H23" s="84">
        <v>0.20958000000000002</v>
      </c>
      <c r="I23" s="24">
        <v>0</v>
      </c>
      <c r="J23" s="32">
        <v>1.8237321666417958E-3</v>
      </c>
      <c r="K23" s="32">
        <v>2.4024034638317624E-7</v>
      </c>
      <c r="L23" s="14"/>
      <c r="M23" s="14"/>
      <c r="N23" s="14"/>
      <c r="O23" s="14"/>
    </row>
    <row r="24" spans="1:15" x14ac:dyDescent="0.25">
      <c r="A24" s="16" t="s">
        <v>1249</v>
      </c>
      <c r="B24" s="117" t="s">
        <v>1250</v>
      </c>
      <c r="C24" s="117" t="s">
        <v>942</v>
      </c>
      <c r="D24" s="117" t="s">
        <v>172</v>
      </c>
      <c r="E24" s="117" t="s">
        <v>126</v>
      </c>
      <c r="F24" s="69">
        <v>7322.0423590137389</v>
      </c>
      <c r="G24" s="66">
        <v>0.4</v>
      </c>
      <c r="H24" s="84">
        <v>0.11871</v>
      </c>
      <c r="I24" s="24">
        <v>0</v>
      </c>
      <c r="J24" s="32">
        <v>1.0329957319498405E-3</v>
      </c>
      <c r="K24" s="32">
        <v>1.3607658898342804E-7</v>
      </c>
      <c r="L24" s="14"/>
      <c r="M24" s="14"/>
      <c r="N24" s="14"/>
      <c r="O24" s="14"/>
    </row>
    <row r="25" spans="1:15" x14ac:dyDescent="0.25">
      <c r="A25" s="16" t="s">
        <v>1251</v>
      </c>
      <c r="B25" s="117" t="s">
        <v>1252</v>
      </c>
      <c r="C25" s="117" t="s">
        <v>218</v>
      </c>
      <c r="D25" s="117" t="s">
        <v>166</v>
      </c>
      <c r="E25" s="117" t="s">
        <v>2</v>
      </c>
      <c r="F25" s="69">
        <v>1289.1941365549994</v>
      </c>
      <c r="G25" s="66">
        <v>20</v>
      </c>
      <c r="H25" s="84">
        <v>1.20614</v>
      </c>
      <c r="I25" s="24">
        <v>0</v>
      </c>
      <c r="J25" s="32">
        <v>1.0495640402105811E-2</v>
      </c>
      <c r="K25" s="32">
        <v>1.3825913321242684E-6</v>
      </c>
      <c r="L25" s="14"/>
      <c r="M25" s="14"/>
      <c r="N25" s="14"/>
      <c r="O25" s="14"/>
    </row>
    <row r="26" spans="1:15" x14ac:dyDescent="0.25">
      <c r="A26" s="16" t="s">
        <v>1253</v>
      </c>
      <c r="B26" s="117" t="s">
        <v>1254</v>
      </c>
      <c r="C26" s="117" t="s">
        <v>864</v>
      </c>
      <c r="D26" s="117" t="s">
        <v>188</v>
      </c>
      <c r="E26" s="117" t="s">
        <v>125</v>
      </c>
      <c r="F26" s="69">
        <v>2377.6864502282333</v>
      </c>
      <c r="G26" s="66">
        <v>16.989999999999998</v>
      </c>
      <c r="H26" s="84">
        <v>1.54478</v>
      </c>
      <c r="I26" s="24">
        <v>0</v>
      </c>
      <c r="J26" s="32">
        <v>1.34424323713375E-2</v>
      </c>
      <c r="K26" s="32">
        <v>1.7707724128533401E-6</v>
      </c>
      <c r="L26" s="14"/>
      <c r="M26" s="14"/>
      <c r="N26" s="14"/>
      <c r="O26" s="14"/>
    </row>
    <row r="27" spans="1:15" x14ac:dyDescent="0.25">
      <c r="A27" s="16" t="s">
        <v>1255</v>
      </c>
      <c r="B27" s="117" t="s">
        <v>1256</v>
      </c>
      <c r="C27" s="117" t="s">
        <v>885</v>
      </c>
      <c r="D27" s="117" t="s">
        <v>172</v>
      </c>
      <c r="E27" s="117" t="s">
        <v>125</v>
      </c>
      <c r="F27" s="69">
        <v>779.47553412309082</v>
      </c>
      <c r="G27" s="66">
        <v>7.0000000000000009</v>
      </c>
      <c r="H27" s="84">
        <v>0.20865</v>
      </c>
      <c r="I27" s="24">
        <v>0</v>
      </c>
      <c r="J27" s="32">
        <v>1.8156394530480517E-3</v>
      </c>
      <c r="K27" s="32">
        <v>2.3917429274191107E-7</v>
      </c>
      <c r="L27" s="14"/>
      <c r="M27" s="14"/>
      <c r="N27" s="14"/>
      <c r="O27" s="14"/>
    </row>
    <row r="28" spans="1:15" x14ac:dyDescent="0.25">
      <c r="A28" s="16" t="s">
        <v>1257</v>
      </c>
      <c r="B28" s="117" t="s">
        <v>1258</v>
      </c>
      <c r="C28" s="117" t="s">
        <v>864</v>
      </c>
      <c r="D28" s="117" t="s">
        <v>177</v>
      </c>
      <c r="E28" s="117" t="s">
        <v>125</v>
      </c>
      <c r="F28" s="69">
        <v>4326.0109776781946</v>
      </c>
      <c r="G28" s="66">
        <v>26.529999999999998</v>
      </c>
      <c r="H28" s="84">
        <v>4.3887700000000001</v>
      </c>
      <c r="I28" s="24">
        <v>0</v>
      </c>
      <c r="J28" s="32">
        <v>3.8190385633135392E-2</v>
      </c>
      <c r="K28" s="32">
        <v>5.0308217625541198E-6</v>
      </c>
      <c r="L28" s="14"/>
      <c r="M28" s="14"/>
      <c r="N28" s="14"/>
      <c r="O28" s="14"/>
    </row>
    <row r="29" spans="1:15" x14ac:dyDescent="0.25">
      <c r="A29" s="16" t="s">
        <v>1259</v>
      </c>
      <c r="B29" s="117" t="s">
        <v>1260</v>
      </c>
      <c r="C29" s="117" t="s">
        <v>885</v>
      </c>
      <c r="D29" s="117" t="s">
        <v>166</v>
      </c>
      <c r="E29" s="117" t="s">
        <v>125</v>
      </c>
      <c r="F29" s="69">
        <v>2322.5544714557354</v>
      </c>
      <c r="G29" s="66">
        <v>15</v>
      </c>
      <c r="H29" s="84">
        <v>1.33222</v>
      </c>
      <c r="I29" s="24">
        <v>0</v>
      </c>
      <c r="J29" s="32">
        <v>1.1592768713825427E-2</v>
      </c>
      <c r="K29" s="32">
        <v>1.5271161096411635E-6</v>
      </c>
      <c r="L29" s="14"/>
      <c r="M29" s="14"/>
      <c r="N29" s="14"/>
      <c r="O29" s="14"/>
    </row>
    <row r="30" spans="1:15" x14ac:dyDescent="0.25">
      <c r="A30" s="16" t="s">
        <v>1261</v>
      </c>
      <c r="B30" s="117" t="s">
        <v>1262</v>
      </c>
      <c r="C30" s="117" t="s">
        <v>864</v>
      </c>
      <c r="D30" s="117" t="s">
        <v>170</v>
      </c>
      <c r="E30" s="117" t="s">
        <v>125</v>
      </c>
      <c r="F30" s="69">
        <v>1097.2845379816558</v>
      </c>
      <c r="G30" s="66">
        <v>1.9900000000000002</v>
      </c>
      <c r="H30" s="84">
        <v>8.3500000000000005E-2</v>
      </c>
      <c r="I30" s="24">
        <v>0</v>
      </c>
      <c r="J30" s="32">
        <v>7.2660385492217747E-4</v>
      </c>
      <c r="K30" s="32">
        <v>9.5715568866281218E-8</v>
      </c>
      <c r="L30" s="14"/>
      <c r="M30" s="14"/>
      <c r="N30" s="14"/>
      <c r="O30" s="14"/>
    </row>
    <row r="31" spans="1:15" s="119" customFormat="1" x14ac:dyDescent="0.25">
      <c r="A31" s="78" t="s">
        <v>241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H9:H30">
    <cfRule type="expression" dxfId="93" priority="176" stopIfTrue="1">
      <formula>#REF!&gt;0</formula>
    </cfRule>
  </conditionalFormatting>
  <conditionalFormatting sqref="B10:E30">
    <cfRule type="expression" dxfId="92" priority="179" stopIfTrue="1">
      <formula>LEFT(#REF!,3)="TIR"</formula>
    </cfRule>
  </conditionalFormatting>
  <conditionalFormatting sqref="G10:G30">
    <cfRule type="expression" dxfId="91" priority="178" stopIfTrue="1">
      <formula>LEFT(#REF!,3)="TIR"</formula>
    </cfRule>
  </conditionalFormatting>
  <conditionalFormatting sqref="J10:K30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1"/>
  <sheetViews>
    <sheetView rightToLeft="1" zoomScale="90" workbookViewId="0"/>
  </sheetViews>
  <sheetFormatPr defaultColWidth="9.109375" defaultRowHeight="13.2" x14ac:dyDescent="0.25"/>
  <cols>
    <col min="1" max="1" width="29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24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5" t="s">
        <v>69</v>
      </c>
      <c r="C6" s="205" t="s">
        <v>76</v>
      </c>
      <c r="D6" s="205" t="s">
        <v>19</v>
      </c>
      <c r="E6" s="205" t="s">
        <v>6</v>
      </c>
      <c r="F6" s="206" t="s">
        <v>67</v>
      </c>
      <c r="G6" s="206" t="s">
        <v>68</v>
      </c>
      <c r="H6" s="206" t="s">
        <v>7</v>
      </c>
      <c r="I6" s="206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5016.8079309000004</v>
      </c>
      <c r="I9" s="70"/>
      <c r="J9" s="70">
        <v>1</v>
      </c>
      <c r="K9" s="82">
        <v>5.7507380239396975E-3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-18.440159599999983</v>
      </c>
      <c r="I10" s="121" t="s">
        <v>249</v>
      </c>
      <c r="J10" s="121">
        <v>-3.6756758189648046E-3</v>
      </c>
      <c r="K10" s="121">
        <v>-2.1137848695796587E-5</v>
      </c>
    </row>
    <row r="11" spans="1:16" s="119" customFormat="1" x14ac:dyDescent="0.25">
      <c r="A11" s="92" t="s">
        <v>1263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-18.440159899999969</v>
      </c>
      <c r="I11" s="137"/>
      <c r="J11" s="121">
        <v>-3.675675878763782E-3</v>
      </c>
      <c r="K11" s="137">
        <v>-2.1137849039684842E-5</v>
      </c>
    </row>
    <row r="12" spans="1:16" x14ac:dyDescent="0.25">
      <c r="A12" s="16" t="s">
        <v>1264</v>
      </c>
      <c r="B12" s="117" t="s">
        <v>1265</v>
      </c>
      <c r="C12" s="117" t="s">
        <v>387</v>
      </c>
      <c r="D12" s="117" t="s">
        <v>218</v>
      </c>
      <c r="E12" s="117" t="s">
        <v>255</v>
      </c>
      <c r="F12" s="69">
        <v>92.200820321988459</v>
      </c>
      <c r="G12" s="66">
        <v>282500</v>
      </c>
      <c r="H12" s="93">
        <v>260.46732000000003</v>
      </c>
      <c r="I12" s="24">
        <v>0</v>
      </c>
      <c r="J12" s="32">
        <v>5.1918934028888163E-2</v>
      </c>
      <c r="K12" s="24">
        <v>2.9857218808234379E-4</v>
      </c>
      <c r="L12" s="14"/>
      <c r="M12" s="14"/>
      <c r="N12" s="14"/>
      <c r="O12" s="14"/>
    </row>
    <row r="13" spans="1:16" x14ac:dyDescent="0.25">
      <c r="A13" s="16" t="s">
        <v>1266</v>
      </c>
      <c r="B13" s="117" t="s">
        <v>1267</v>
      </c>
      <c r="C13" s="117" t="s">
        <v>387</v>
      </c>
      <c r="D13" s="117" t="s">
        <v>218</v>
      </c>
      <c r="E13" s="117" t="s">
        <v>255</v>
      </c>
      <c r="F13" s="69">
        <v>-92.200820321988459</v>
      </c>
      <c r="G13" s="66">
        <v>302500</v>
      </c>
      <c r="H13" s="93">
        <v>-278.90747999999996</v>
      </c>
      <c r="I13" s="24">
        <v>0</v>
      </c>
      <c r="J13" s="32">
        <v>-5.5594609927584936E-2</v>
      </c>
      <c r="K13" s="24">
        <v>-3.1971003723665805E-4</v>
      </c>
      <c r="L13" s="14"/>
      <c r="M13" s="14"/>
      <c r="N13" s="14"/>
      <c r="O13" s="14"/>
    </row>
    <row r="14" spans="1:16" s="119" customFormat="1" x14ac:dyDescent="0.25">
      <c r="A14" s="92" t="s">
        <v>1268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5" t="s">
        <v>249</v>
      </c>
      <c r="G14" s="122" t="s">
        <v>249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1269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5" t="s">
        <v>249</v>
      </c>
      <c r="G15" s="122" t="s">
        <v>249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393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5035.2480905000002</v>
      </c>
      <c r="I17" s="137"/>
      <c r="J17" s="121">
        <v>1.0036756758189649</v>
      </c>
      <c r="K17" s="137">
        <v>5.7718758726354935E-3</v>
      </c>
    </row>
    <row r="18" spans="1:15" s="119" customFormat="1" x14ac:dyDescent="0.25">
      <c r="A18" s="92" t="s">
        <v>1263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5035.2480900999999</v>
      </c>
      <c r="I18" s="137"/>
      <c r="J18" s="121">
        <v>1.0036756757392327</v>
      </c>
      <c r="K18" s="137">
        <v>5.7718758721769757E-3</v>
      </c>
    </row>
    <row r="19" spans="1:15" x14ac:dyDescent="0.25">
      <c r="A19" s="16" t="s">
        <v>1270</v>
      </c>
      <c r="B19" s="117" t="s">
        <v>1271</v>
      </c>
      <c r="C19" s="117" t="s">
        <v>218</v>
      </c>
      <c r="D19" s="117" t="s">
        <v>188</v>
      </c>
      <c r="E19" s="117" t="s">
        <v>125</v>
      </c>
      <c r="F19" s="69">
        <v>-72.566984483249442</v>
      </c>
      <c r="G19" s="66">
        <v>4682</v>
      </c>
      <c r="H19" s="93">
        <v>-1299.2369699999999</v>
      </c>
      <c r="I19" s="24">
        <v>0</v>
      </c>
      <c r="J19" s="32">
        <v>-0.25897682109725911</v>
      </c>
      <c r="K19" s="24">
        <v>-1.4893078524030362E-3</v>
      </c>
      <c r="L19" s="14"/>
      <c r="M19" s="14"/>
      <c r="N19" s="14"/>
      <c r="O19" s="14"/>
    </row>
    <row r="20" spans="1:15" x14ac:dyDescent="0.25">
      <c r="A20" s="16" t="s">
        <v>1272</v>
      </c>
      <c r="B20" s="117" t="s">
        <v>1273</v>
      </c>
      <c r="C20" s="117" t="s">
        <v>218</v>
      </c>
      <c r="D20" s="117" t="s">
        <v>188</v>
      </c>
      <c r="E20" s="117" t="s">
        <v>125</v>
      </c>
      <c r="F20" s="69">
        <v>72.566984483249442</v>
      </c>
      <c r="G20" s="66">
        <v>19642</v>
      </c>
      <c r="H20" s="93">
        <v>5450.57935</v>
      </c>
      <c r="I20" s="24">
        <v>0</v>
      </c>
      <c r="J20" s="32">
        <v>1.086463628880084</v>
      </c>
      <c r="K20" s="24">
        <v>6.2479677022282071E-3</v>
      </c>
      <c r="L20" s="14"/>
      <c r="M20" s="14"/>
      <c r="N20" s="14"/>
      <c r="O20" s="14"/>
    </row>
    <row r="21" spans="1:15" x14ac:dyDescent="0.25">
      <c r="A21" s="16" t="s">
        <v>1274</v>
      </c>
      <c r="B21" s="117" t="s">
        <v>1275</v>
      </c>
      <c r="C21" s="117" t="s">
        <v>218</v>
      </c>
      <c r="D21" s="117" t="s">
        <v>188</v>
      </c>
      <c r="E21" s="117" t="s">
        <v>125</v>
      </c>
      <c r="F21" s="69">
        <v>6.3388699334089518</v>
      </c>
      <c r="G21" s="66">
        <v>50535</v>
      </c>
      <c r="H21" s="93">
        <v>1224.9602399999999</v>
      </c>
      <c r="I21" s="24">
        <v>0</v>
      </c>
      <c r="J21" s="32">
        <v>0.24417124531619169</v>
      </c>
      <c r="K21" s="24">
        <v>1.4041648647925311E-3</v>
      </c>
      <c r="L21" s="14"/>
      <c r="M21" s="14"/>
      <c r="N21" s="14"/>
      <c r="O21" s="14"/>
    </row>
    <row r="22" spans="1:15" x14ac:dyDescent="0.25">
      <c r="A22" s="16" t="s">
        <v>1276</v>
      </c>
      <c r="B22" s="117" t="s">
        <v>1277</v>
      </c>
      <c r="C22" s="117" t="s">
        <v>218</v>
      </c>
      <c r="D22" s="117" t="s">
        <v>188</v>
      </c>
      <c r="E22" s="117" t="s">
        <v>125</v>
      </c>
      <c r="F22" s="69">
        <v>-6.3388699334089518</v>
      </c>
      <c r="G22" s="66">
        <v>14069.999999999998</v>
      </c>
      <c r="H22" s="93">
        <v>-341.05453</v>
      </c>
      <c r="I22" s="24">
        <v>0</v>
      </c>
      <c r="J22" s="32">
        <v>-6.798237737971681E-2</v>
      </c>
      <c r="K22" s="24">
        <v>-3.9094884255535536E-4</v>
      </c>
      <c r="L22" s="14"/>
      <c r="M22" s="14"/>
      <c r="N22" s="14"/>
      <c r="O22" s="14"/>
    </row>
    <row r="23" spans="1:15" s="119" customFormat="1" x14ac:dyDescent="0.25">
      <c r="A23" s="92" t="s">
        <v>1278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5" t="s">
        <v>249</v>
      </c>
      <c r="G23" s="122" t="s">
        <v>249</v>
      </c>
      <c r="H23" s="124">
        <v>0</v>
      </c>
      <c r="I23" s="137"/>
      <c r="J23" s="121">
        <v>0</v>
      </c>
      <c r="K23" s="137">
        <v>0</v>
      </c>
    </row>
    <row r="24" spans="1:15" s="119" customFormat="1" x14ac:dyDescent="0.25">
      <c r="A24" s="92" t="s">
        <v>1269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5" t="s">
        <v>249</v>
      </c>
      <c r="G24" s="122" t="s">
        <v>249</v>
      </c>
      <c r="H24" s="124">
        <v>0</v>
      </c>
      <c r="I24" s="137"/>
      <c r="J24" s="121">
        <v>0</v>
      </c>
      <c r="K24" s="137">
        <v>0</v>
      </c>
    </row>
    <row r="25" spans="1:15" s="119" customFormat="1" x14ac:dyDescent="0.25">
      <c r="A25" s="92" t="s">
        <v>1279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5" t="s">
        <v>249</v>
      </c>
      <c r="G25" s="122" t="s">
        <v>249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141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5" t="s">
        <v>249</v>
      </c>
      <c r="G26" s="122" t="s">
        <v>249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78" t="s">
        <v>241</v>
      </c>
      <c r="B27" s="125"/>
      <c r="C27" s="125"/>
      <c r="D27" s="125"/>
      <c r="E27" s="125"/>
      <c r="F27" s="126"/>
      <c r="G27" s="126"/>
      <c r="H27" s="126"/>
      <c r="I27" s="127"/>
      <c r="J27" s="128"/>
      <c r="K27" s="129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125"/>
      <c r="D28" s="125"/>
      <c r="E28" s="125"/>
      <c r="F28" s="126"/>
      <c r="G28" s="126"/>
      <c r="H28" s="126"/>
      <c r="I28" s="127"/>
      <c r="J28" s="128"/>
      <c r="K28" s="129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</sheetData>
  <mergeCells count="2">
    <mergeCell ref="A5:K5"/>
    <mergeCell ref="A4:K4"/>
  </mergeCells>
  <phoneticPr fontId="3" type="noConversion"/>
  <conditionalFormatting sqref="A9:A26 I9:I26">
    <cfRule type="expression" dxfId="89" priority="196" stopIfTrue="1">
      <formula>LEFT(#REF!,3)="TIR"</formula>
    </cfRule>
  </conditionalFormatting>
  <conditionalFormatting sqref="B9:F26 J9:K26">
    <cfRule type="expression" dxfId="88" priority="193" stopIfTrue="1">
      <formula>LEFT(#REF!,3)="TIR"</formula>
    </cfRule>
  </conditionalFormatting>
  <conditionalFormatting sqref="I9:I26 A9:A26">
    <cfRule type="expression" dxfId="87" priority="195" stopIfTrue="1">
      <formula>#REF!&gt;0</formula>
    </cfRule>
  </conditionalFormatting>
  <conditionalFormatting sqref="J1:J3 F9:I26 I27:I55561">
    <cfRule type="expression" dxfId="86" priority="190" stopIfTrue="1">
      <formula>LEFT(#REF!,3)="TIR"</formula>
    </cfRule>
  </conditionalFormatting>
  <conditionalFormatting sqref="J10:K26 H10:H26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6"/>
  <sheetViews>
    <sheetView rightToLeft="1" workbookViewId="0"/>
  </sheetViews>
  <sheetFormatPr defaultColWidth="9.109375" defaultRowHeight="13.2" x14ac:dyDescent="0.25"/>
  <cols>
    <col min="1" max="1" width="31.1093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3"/>
      <c r="N4" s="12"/>
      <c r="O4" s="12"/>
      <c r="P4" s="14"/>
    </row>
    <row r="5" spans="1:16" s="7" customFormat="1" x14ac:dyDescent="0.25">
      <c r="A5" s="225" t="s">
        <v>25</v>
      </c>
      <c r="B5" s="226"/>
      <c r="C5" s="226"/>
      <c r="D5" s="226"/>
      <c r="E5" s="226"/>
      <c r="F5" s="226"/>
      <c r="G5" s="226"/>
      <c r="H5" s="226"/>
      <c r="I5" s="226"/>
      <c r="J5" s="227"/>
      <c r="K5" s="11"/>
      <c r="L5" s="11"/>
    </row>
    <row r="6" spans="1:16" s="7" customFormat="1" x14ac:dyDescent="0.25">
      <c r="A6" s="86" t="s">
        <v>157</v>
      </c>
      <c r="B6" s="205" t="s">
        <v>69</v>
      </c>
      <c r="C6" s="205" t="s">
        <v>76</v>
      </c>
      <c r="D6" s="205" t="s">
        <v>19</v>
      </c>
      <c r="E6" s="205" t="s">
        <v>6</v>
      </c>
      <c r="F6" s="206" t="s">
        <v>67</v>
      </c>
      <c r="G6" s="206" t="s">
        <v>68</v>
      </c>
      <c r="H6" s="206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-5827.6631697999837</v>
      </c>
      <c r="I9" s="70">
        <v>1</v>
      </c>
      <c r="J9" s="82">
        <v>-6.6802167120776166E-3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393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-5827.6631698999854</v>
      </c>
      <c r="I11" s="121">
        <v>1.0000000000171598</v>
      </c>
      <c r="J11" s="121">
        <v>-6.680216712192248E-3</v>
      </c>
    </row>
    <row r="12" spans="1:16" x14ac:dyDescent="0.25">
      <c r="A12" s="16" t="s">
        <v>1280</v>
      </c>
      <c r="B12" s="117" t="s">
        <v>1281</v>
      </c>
      <c r="C12" s="117" t="s">
        <v>1282</v>
      </c>
      <c r="D12" s="117" t="s">
        <v>188</v>
      </c>
      <c r="E12" s="117" t="s">
        <v>361</v>
      </c>
      <c r="F12" s="69">
        <v>39.353298604267756</v>
      </c>
      <c r="G12" s="60">
        <v>2323.5</v>
      </c>
      <c r="H12" s="84">
        <v>23462.8341</v>
      </c>
      <c r="I12" s="32">
        <v>-4.0261136267429967</v>
      </c>
      <c r="J12" s="32">
        <v>2.6895311534091988E-2</v>
      </c>
      <c r="K12" s="14"/>
      <c r="L12" s="14"/>
      <c r="M12" s="14"/>
      <c r="N12" s="14"/>
      <c r="O12" s="14"/>
    </row>
    <row r="13" spans="1:16" x14ac:dyDescent="0.25">
      <c r="A13" s="16" t="s">
        <v>1283</v>
      </c>
      <c r="B13" s="117" t="s">
        <v>1284</v>
      </c>
      <c r="C13" s="117" t="s">
        <v>1282</v>
      </c>
      <c r="D13" s="117" t="s">
        <v>188</v>
      </c>
      <c r="E13" s="117" t="s">
        <v>361</v>
      </c>
      <c r="F13" s="69">
        <v>-928292401.33844769</v>
      </c>
      <c r="G13" s="60">
        <v>1</v>
      </c>
      <c r="H13" s="84">
        <v>-23819.98302</v>
      </c>
      <c r="I13" s="32">
        <v>4.0873987267211165</v>
      </c>
      <c r="J13" s="32">
        <v>-2.7304709283167174E-2</v>
      </c>
      <c r="K13" s="14"/>
      <c r="L13" s="14"/>
      <c r="M13" s="14"/>
      <c r="N13" s="14"/>
      <c r="O13" s="14"/>
    </row>
    <row r="14" spans="1:16" x14ac:dyDescent="0.25">
      <c r="A14" s="16" t="s">
        <v>1285</v>
      </c>
      <c r="B14" s="117" t="s">
        <v>1286</v>
      </c>
      <c r="C14" s="117" t="s">
        <v>1287</v>
      </c>
      <c r="D14" s="117" t="s">
        <v>188</v>
      </c>
      <c r="E14" s="117" t="s">
        <v>125</v>
      </c>
      <c r="F14" s="69">
        <v>15.616783686630306</v>
      </c>
      <c r="G14" s="60">
        <v>14866.5</v>
      </c>
      <c r="H14" s="84">
        <v>17756.125629999999</v>
      </c>
      <c r="I14" s="32">
        <v>-3.0468688928377827</v>
      </c>
      <c r="J14" s="32">
        <v>2.0353744497444381E-2</v>
      </c>
      <c r="K14" s="14"/>
      <c r="L14" s="14"/>
      <c r="M14" s="14"/>
      <c r="N14" s="14"/>
      <c r="O14" s="14"/>
    </row>
    <row r="15" spans="1:16" x14ac:dyDescent="0.25">
      <c r="A15" s="16" t="s">
        <v>1288</v>
      </c>
      <c r="B15" s="117" t="s">
        <v>1289</v>
      </c>
      <c r="C15" s="117" t="s">
        <v>1287</v>
      </c>
      <c r="D15" s="117" t="s">
        <v>188</v>
      </c>
      <c r="E15" s="117" t="s">
        <v>125</v>
      </c>
      <c r="F15" s="69">
        <v>-4842319.4997996176</v>
      </c>
      <c r="G15" s="60">
        <v>1</v>
      </c>
      <c r="H15" s="84">
        <v>-18517.029770000001</v>
      </c>
      <c r="I15" s="32">
        <v>3.1774365179440425</v>
      </c>
      <c r="J15" s="32">
        <v>-2.1225964528735503E-2</v>
      </c>
      <c r="K15" s="14"/>
      <c r="L15" s="14"/>
      <c r="M15" s="14"/>
      <c r="N15" s="14"/>
      <c r="O15" s="14"/>
    </row>
    <row r="16" spans="1:16" x14ac:dyDescent="0.25">
      <c r="A16" s="16" t="s">
        <v>1290</v>
      </c>
      <c r="B16" s="117" t="s">
        <v>1291</v>
      </c>
      <c r="C16" s="117" t="s">
        <v>1292</v>
      </c>
      <c r="D16" s="117" t="s">
        <v>188</v>
      </c>
      <c r="E16" s="117" t="s">
        <v>126</v>
      </c>
      <c r="F16" s="69">
        <v>121.27291829378463</v>
      </c>
      <c r="G16" s="60">
        <v>4204</v>
      </c>
      <c r="H16" s="84">
        <v>20663.974389999999</v>
      </c>
      <c r="I16" s="32">
        <v>-3.5458422678037564</v>
      </c>
      <c r="J16" s="32">
        <v>2.3686994775773847E-2</v>
      </c>
      <c r="K16" s="14"/>
      <c r="L16" s="14"/>
      <c r="M16" s="14"/>
      <c r="N16" s="14"/>
      <c r="O16" s="14"/>
    </row>
    <row r="17" spans="1:15" x14ac:dyDescent="0.25">
      <c r="A17" s="16" t="s">
        <v>1293</v>
      </c>
      <c r="B17" s="117" t="s">
        <v>1294</v>
      </c>
      <c r="C17" s="117" t="s">
        <v>1292</v>
      </c>
      <c r="D17" s="117" t="s">
        <v>188</v>
      </c>
      <c r="E17" s="117" t="s">
        <v>126</v>
      </c>
      <c r="F17" s="69">
        <v>-5181925.9440615969</v>
      </c>
      <c r="G17" s="60">
        <v>1</v>
      </c>
      <c r="H17" s="84">
        <v>-21002.86404</v>
      </c>
      <c r="I17" s="32">
        <v>3.6039941616462463</v>
      </c>
      <c r="J17" s="32">
        <v>-2.4075462028859417E-2</v>
      </c>
      <c r="K17" s="14"/>
      <c r="L17" s="14"/>
      <c r="M17" s="14"/>
      <c r="N17" s="14"/>
      <c r="O17" s="14"/>
    </row>
    <row r="18" spans="1:15" x14ac:dyDescent="0.25">
      <c r="A18" s="16" t="s">
        <v>1295</v>
      </c>
      <c r="B18" s="117" t="s">
        <v>1296</v>
      </c>
      <c r="C18" s="117" t="s">
        <v>1287</v>
      </c>
      <c r="D18" s="117" t="s">
        <v>188</v>
      </c>
      <c r="E18" s="117" t="s">
        <v>125</v>
      </c>
      <c r="F18" s="69">
        <v>11.793536005772648</v>
      </c>
      <c r="G18" s="60">
        <v>383.22</v>
      </c>
      <c r="H18" s="84">
        <v>8641.3200799999995</v>
      </c>
      <c r="I18" s="32">
        <v>-1.4828104899371846</v>
      </c>
      <c r="J18" s="32">
        <v>9.9054954157223787E-3</v>
      </c>
      <c r="K18" s="14"/>
      <c r="L18" s="14"/>
      <c r="M18" s="14"/>
      <c r="N18" s="14"/>
      <c r="O18" s="14"/>
    </row>
    <row r="19" spans="1:15" x14ac:dyDescent="0.25">
      <c r="A19" s="16" t="s">
        <v>1297</v>
      </c>
      <c r="B19" s="117" t="s">
        <v>1298</v>
      </c>
      <c r="C19" s="117" t="s">
        <v>1287</v>
      </c>
      <c r="D19" s="117" t="s">
        <v>188</v>
      </c>
      <c r="E19" s="117" t="s">
        <v>125</v>
      </c>
      <c r="F19" s="69">
        <v>-2375807.8283628998</v>
      </c>
      <c r="G19" s="60">
        <v>1</v>
      </c>
      <c r="H19" s="84">
        <v>-9085.08914</v>
      </c>
      <c r="I19" s="32">
        <v>1.5589592046226339</v>
      </c>
      <c r="J19" s="32">
        <v>-1.0414185332167347E-2</v>
      </c>
      <c r="K19" s="14"/>
      <c r="L19" s="14"/>
      <c r="M19" s="14"/>
      <c r="N19" s="14"/>
      <c r="O19" s="14"/>
    </row>
    <row r="20" spans="1:15" x14ac:dyDescent="0.25">
      <c r="A20" s="16" t="s">
        <v>1299</v>
      </c>
      <c r="B20" s="117" t="s">
        <v>1300</v>
      </c>
      <c r="C20" s="117" t="s">
        <v>1287</v>
      </c>
      <c r="D20" s="117" t="s">
        <v>188</v>
      </c>
      <c r="E20" s="117" t="s">
        <v>125</v>
      </c>
      <c r="F20" s="69">
        <v>109.14313574930463</v>
      </c>
      <c r="G20" s="60">
        <v>4325.5</v>
      </c>
      <c r="H20" s="84">
        <v>90265.258760000012</v>
      </c>
      <c r="I20" s="32">
        <v>-15.489100198475967</v>
      </c>
      <c r="J20" s="32">
        <v>0.10347054600090388</v>
      </c>
      <c r="K20" s="14"/>
      <c r="L20" s="14"/>
      <c r="M20" s="14"/>
      <c r="N20" s="14"/>
      <c r="O20" s="14"/>
    </row>
    <row r="21" spans="1:15" x14ac:dyDescent="0.25">
      <c r="A21" s="16" t="s">
        <v>1301</v>
      </c>
      <c r="B21" s="117" t="s">
        <v>1302</v>
      </c>
      <c r="C21" s="117" t="s">
        <v>1287</v>
      </c>
      <c r="D21" s="117" t="s">
        <v>188</v>
      </c>
      <c r="E21" s="117" t="s">
        <v>125</v>
      </c>
      <c r="F21" s="69">
        <v>-24631854.122300893</v>
      </c>
      <c r="G21" s="60">
        <v>1</v>
      </c>
      <c r="H21" s="84">
        <v>-94192.210160000002</v>
      </c>
      <c r="I21" s="32">
        <v>16.162946864897968</v>
      </c>
      <c r="J21" s="32">
        <v>-0.10797198776331393</v>
      </c>
      <c r="K21" s="14"/>
      <c r="L21" s="14"/>
      <c r="M21" s="14"/>
      <c r="N21" s="14"/>
      <c r="O21" s="14"/>
    </row>
    <row r="22" spans="1:15" s="119" customFormat="1" x14ac:dyDescent="0.25">
      <c r="A22" s="78" t="s">
        <v>241</v>
      </c>
      <c r="B22" s="125"/>
      <c r="C22" s="78"/>
      <c r="D22" s="78"/>
      <c r="E22" s="126"/>
      <c r="F22" s="146"/>
      <c r="G22" s="146"/>
      <c r="H22" s="147"/>
      <c r="I22" s="147"/>
      <c r="J22" s="130"/>
      <c r="K22" s="148"/>
      <c r="L22" s="148"/>
      <c r="M22" s="148"/>
      <c r="N22" s="130"/>
      <c r="O22" s="130"/>
    </row>
    <row r="23" spans="1:15" s="119" customFormat="1" x14ac:dyDescent="0.25">
      <c r="A23" s="78" t="s">
        <v>242</v>
      </c>
      <c r="B23" s="125"/>
      <c r="C23" s="78"/>
      <c r="D23" s="78"/>
      <c r="E23" s="126"/>
      <c r="F23" s="146"/>
      <c r="G23" s="146"/>
      <c r="H23" s="147"/>
      <c r="I23" s="147"/>
      <c r="J23" s="130"/>
      <c r="K23" s="148"/>
      <c r="L23" s="148"/>
      <c r="M23" s="148"/>
      <c r="N23" s="130"/>
      <c r="O23" s="130"/>
    </row>
    <row r="24" spans="1:15" s="119" customFormat="1" x14ac:dyDescent="0.25">
      <c r="A24" s="78" t="s">
        <v>243</v>
      </c>
      <c r="B24" s="125"/>
      <c r="C24" s="78"/>
      <c r="D24" s="78"/>
      <c r="E24" s="126"/>
      <c r="F24" s="146"/>
      <c r="G24" s="146"/>
      <c r="H24" s="147"/>
      <c r="I24" s="147"/>
      <c r="J24" s="130"/>
      <c r="K24" s="148"/>
      <c r="L24" s="148"/>
      <c r="M24" s="148"/>
      <c r="N24" s="130"/>
      <c r="O24" s="130"/>
    </row>
    <row r="25" spans="1:15" s="119" customFormat="1" x14ac:dyDescent="0.25">
      <c r="A25" s="78" t="s">
        <v>244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245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</sheetData>
  <mergeCells count="2">
    <mergeCell ref="A5:J5"/>
    <mergeCell ref="A4:J4"/>
  </mergeCells>
  <phoneticPr fontId="3" type="noConversion"/>
  <conditionalFormatting sqref="B9:E21 I9:J21">
    <cfRule type="expression" dxfId="84" priority="219" stopIfTrue="1">
      <formula>LEFT(#REF!,3)="TIR"</formula>
    </cfRule>
  </conditionalFormatting>
  <conditionalFormatting sqref="H9:I9 A9:A21 I10:I21">
    <cfRule type="expression" dxfId="83" priority="222" stopIfTrue="1">
      <formula>LEFT(#REF!,3)="TIR"</formula>
    </cfRule>
  </conditionalFormatting>
  <conditionalFormatting sqref="H9:I9 I10:I21 A9:A21">
    <cfRule type="expression" dxfId="82" priority="221" stopIfTrue="1">
      <formula>#REF!&gt;0</formula>
    </cfRule>
  </conditionalFormatting>
  <conditionalFormatting sqref="H10:I21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21 J22:J55556">
    <cfRule type="expression" dxfId="79" priority="216" stopIfTrue="1">
      <formula>LEFT(#REF!,3)="TIR"</formula>
    </cfRule>
  </conditionalFormatting>
  <conditionalFormatting sqref="J10:J21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26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5" t="s">
        <v>69</v>
      </c>
      <c r="C6" s="205" t="s">
        <v>27</v>
      </c>
      <c r="D6" s="205" t="s">
        <v>70</v>
      </c>
      <c r="E6" s="205" t="s">
        <v>5</v>
      </c>
      <c r="F6" s="205" t="s">
        <v>13</v>
      </c>
      <c r="G6" s="205" t="s">
        <v>14</v>
      </c>
      <c r="H6" s="205" t="s">
        <v>6</v>
      </c>
      <c r="I6" s="206" t="s">
        <v>66</v>
      </c>
      <c r="J6" s="206" t="s">
        <v>71</v>
      </c>
      <c r="K6" s="206" t="s">
        <v>67</v>
      </c>
      <c r="L6" s="206" t="s">
        <v>68</v>
      </c>
      <c r="M6" s="206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3611.9564512000002</v>
      </c>
      <c r="N9" s="67"/>
      <c r="O9" s="67">
        <v>1</v>
      </c>
      <c r="P9" s="81">
        <v>4.1403648676268537E-3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1303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1304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1305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1306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1307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1308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1309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393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3611.9564506000002</v>
      </c>
      <c r="N18" s="137"/>
      <c r="O18" s="137">
        <v>0.9999999998338851</v>
      </c>
      <c r="P18" s="137">
        <v>4.1403648669390775E-3</v>
      </c>
    </row>
    <row r="19" spans="1:16" s="119" customFormat="1" x14ac:dyDescent="0.25">
      <c r="A19" s="92" t="s">
        <v>1310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3611.9564501</v>
      </c>
      <c r="N19" s="137"/>
      <c r="O19" s="137">
        <v>0.99999999969545594</v>
      </c>
      <c r="P19" s="137">
        <v>4.1403648663659301E-3</v>
      </c>
    </row>
    <row r="20" spans="1:16" x14ac:dyDescent="0.25">
      <c r="A20" s="16" t="s">
        <v>1311</v>
      </c>
      <c r="B20" s="117" t="s">
        <v>1312</v>
      </c>
      <c r="C20" s="117" t="s">
        <v>1069</v>
      </c>
      <c r="D20" s="117" t="s">
        <v>1313</v>
      </c>
      <c r="E20" s="117" t="s">
        <v>351</v>
      </c>
      <c r="F20" s="117" t="s">
        <v>1314</v>
      </c>
      <c r="G20" s="118">
        <v>0</v>
      </c>
      <c r="H20" s="118" t="s">
        <v>126</v>
      </c>
      <c r="I20" s="117">
        <v>0</v>
      </c>
      <c r="J20" s="117">
        <v>0</v>
      </c>
      <c r="K20" s="69">
        <v>796388.71871040412</v>
      </c>
      <c r="L20" s="60">
        <v>111.9</v>
      </c>
      <c r="M20" s="84">
        <v>3611.9564500000001</v>
      </c>
      <c r="N20" s="24">
        <v>0</v>
      </c>
      <c r="O20" s="24">
        <v>0.99999999966777009</v>
      </c>
      <c r="P20" s="24">
        <v>4.1403648662513004E-3</v>
      </c>
    </row>
    <row r="21" spans="1:16" s="119" customFormat="1" x14ac:dyDescent="0.25">
      <c r="A21" s="92" t="s">
        <v>1315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1316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1306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1307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1308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1309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7" priority="235" stopIfTrue="1">
      <formula>#REF!&gt;0</formula>
    </cfRule>
  </conditionalFormatting>
  <conditionalFormatting sqref="B10:J26">
    <cfRule type="expression" dxfId="76" priority="237" stopIfTrue="1">
      <formula>LEFT(#REF!,3)="TIR"</formula>
    </cfRule>
  </conditionalFormatting>
  <conditionalFormatting sqref="O10:P26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</row>
    <row r="5" spans="1:15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7"/>
    </row>
    <row r="6" spans="1:15" s="7" customFormat="1" ht="31.5" customHeight="1" x14ac:dyDescent="0.25">
      <c r="A6" s="86" t="s">
        <v>157</v>
      </c>
      <c r="B6" s="205" t="s">
        <v>69</v>
      </c>
      <c r="C6" s="205" t="s">
        <v>70</v>
      </c>
      <c r="D6" s="205" t="s">
        <v>5</v>
      </c>
      <c r="E6" s="205" t="s">
        <v>13</v>
      </c>
      <c r="F6" s="205" t="s">
        <v>14</v>
      </c>
      <c r="G6" s="205" t="s">
        <v>6</v>
      </c>
      <c r="H6" s="206" t="s">
        <v>66</v>
      </c>
      <c r="I6" s="206" t="s">
        <v>71</v>
      </c>
      <c r="J6" s="206" t="s">
        <v>67</v>
      </c>
      <c r="K6" s="206" t="s">
        <v>68</v>
      </c>
      <c r="L6" s="206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1317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614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1318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1319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393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1320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1321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5" t="s">
        <v>69</v>
      </c>
      <c r="C6" s="205" t="s">
        <v>79</v>
      </c>
      <c r="D6" s="205" t="s">
        <v>74</v>
      </c>
      <c r="E6" s="205" t="s">
        <v>19</v>
      </c>
      <c r="F6" s="205" t="s">
        <v>70</v>
      </c>
      <c r="G6" s="205" t="s">
        <v>5</v>
      </c>
      <c r="H6" s="205" t="s">
        <v>13</v>
      </c>
      <c r="I6" s="205" t="s">
        <v>14</v>
      </c>
      <c r="J6" s="205" t="s">
        <v>6</v>
      </c>
      <c r="K6" s="206" t="s">
        <v>66</v>
      </c>
      <c r="L6" s="206" t="s">
        <v>71</v>
      </c>
      <c r="M6" s="206" t="s">
        <v>67</v>
      </c>
      <c r="N6" s="206" t="s">
        <v>68</v>
      </c>
      <c r="O6" s="206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1322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1323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396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393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1324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1325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4.4414062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0.88671875" style="63" bestFit="1" customWidth="1"/>
    <col min="14" max="14" width="8.88671875" style="61" bestFit="1" customWidth="1"/>
    <col min="15" max="15" width="10.44140625" style="6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20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5" t="s">
        <v>69</v>
      </c>
      <c r="C6" s="205" t="s">
        <v>79</v>
      </c>
      <c r="D6" s="205" t="s">
        <v>74</v>
      </c>
      <c r="E6" s="205" t="s">
        <v>19</v>
      </c>
      <c r="F6" s="205" t="s">
        <v>70</v>
      </c>
      <c r="G6" s="205" t="s">
        <v>5</v>
      </c>
      <c r="H6" s="205" t="s">
        <v>13</v>
      </c>
      <c r="I6" s="205" t="s">
        <v>14</v>
      </c>
      <c r="J6" s="205" t="s">
        <v>6</v>
      </c>
      <c r="K6" s="206" t="s">
        <v>66</v>
      </c>
      <c r="L6" s="206" t="s">
        <v>71</v>
      </c>
      <c r="M6" s="206" t="s">
        <v>67</v>
      </c>
      <c r="N6" s="206" t="s">
        <v>68</v>
      </c>
      <c r="O6" s="206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1079.7822206000001</v>
      </c>
      <c r="P9" s="67"/>
      <c r="Q9" s="67">
        <v>1</v>
      </c>
      <c r="R9" s="81">
        <v>1.2377481376817407E-3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1079.7822203999999</v>
      </c>
      <c r="P10" s="121" t="s">
        <v>249</v>
      </c>
      <c r="Q10" s="121">
        <v>0.99999999981477738</v>
      </c>
      <c r="R10" s="121">
        <v>1.2377481374524818E-3</v>
      </c>
    </row>
    <row r="11" spans="1:18" s="119" customFormat="1" x14ac:dyDescent="0.25">
      <c r="A11" s="92" t="s">
        <v>1322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1030.4946801000001</v>
      </c>
      <c r="P11" s="137"/>
      <c r="Q11" s="121">
        <v>0.9543541840570291</v>
      </c>
      <c r="R11" s="121">
        <v>1.1812501140053651E-3</v>
      </c>
    </row>
    <row r="12" spans="1:18" x14ac:dyDescent="0.25">
      <c r="A12" s="16" t="s">
        <v>1326</v>
      </c>
      <c r="B12" s="24" t="s">
        <v>1327</v>
      </c>
      <c r="C12" s="24" t="s">
        <v>249</v>
      </c>
      <c r="D12" s="24" t="s">
        <v>1328</v>
      </c>
      <c r="E12" s="24" t="s">
        <v>204</v>
      </c>
      <c r="F12" s="66" t="s">
        <v>253</v>
      </c>
      <c r="G12" s="60" t="s">
        <v>254</v>
      </c>
      <c r="H12" s="60" t="s">
        <v>1329</v>
      </c>
      <c r="I12" s="99">
        <v>5.7257999999999996</v>
      </c>
      <c r="J12" s="60" t="s">
        <v>255</v>
      </c>
      <c r="K12" s="24">
        <v>4.9000000000000002E-2</v>
      </c>
      <c r="L12" s="24">
        <v>2.7900000000000001E-2</v>
      </c>
      <c r="M12" s="69">
        <v>597404.31999999995</v>
      </c>
      <c r="N12" s="66">
        <v>156.19</v>
      </c>
      <c r="O12" s="84">
        <v>933.08580000000006</v>
      </c>
      <c r="P12" s="24">
        <v>3.6952806379452711E-4</v>
      </c>
      <c r="Q12" s="32">
        <v>0.86414258560537738</v>
      </c>
      <c r="R12" s="32">
        <v>1.0695908760245401E-3</v>
      </c>
    </row>
    <row r="13" spans="1:18" x14ac:dyDescent="0.25">
      <c r="A13" s="16" t="s">
        <v>1330</v>
      </c>
      <c r="B13" s="24" t="s">
        <v>1331</v>
      </c>
      <c r="C13" s="24" t="s">
        <v>249</v>
      </c>
      <c r="D13" s="24" t="s">
        <v>1332</v>
      </c>
      <c r="E13" s="24" t="s">
        <v>204</v>
      </c>
      <c r="F13" s="66" t="s">
        <v>1333</v>
      </c>
      <c r="G13" s="60" t="s">
        <v>1334</v>
      </c>
      <c r="H13" s="60" t="s">
        <v>1335</v>
      </c>
      <c r="I13" s="99">
        <v>1.6707000000000003</v>
      </c>
      <c r="J13" s="60" t="s">
        <v>255</v>
      </c>
      <c r="K13" s="24">
        <v>5.5999999999999994E-2</v>
      </c>
      <c r="L13" s="24">
        <v>2.7699999999999999E-2</v>
      </c>
      <c r="M13" s="69">
        <v>68208.73</v>
      </c>
      <c r="N13" s="66">
        <v>142.81</v>
      </c>
      <c r="O13" s="84">
        <v>97.408880000000011</v>
      </c>
      <c r="P13" s="24">
        <v>1.582501035239669E-4</v>
      </c>
      <c r="Q13" s="32">
        <v>9.0211598359040426E-2</v>
      </c>
      <c r="R13" s="32">
        <v>1.1165923786619549E-4</v>
      </c>
    </row>
    <row r="14" spans="1:18" s="119" customFormat="1" x14ac:dyDescent="0.25">
      <c r="A14" s="92" t="s">
        <v>1323</v>
      </c>
      <c r="B14" s="137" t="s">
        <v>249</v>
      </c>
      <c r="C14" s="137" t="s">
        <v>249</v>
      </c>
      <c r="D14" s="137" t="s">
        <v>249</v>
      </c>
      <c r="E14" s="137" t="s">
        <v>249</v>
      </c>
      <c r="F14" s="122" t="s">
        <v>249</v>
      </c>
      <c r="G14" s="136" t="s">
        <v>249</v>
      </c>
      <c r="H14" s="136" t="s">
        <v>249</v>
      </c>
      <c r="I14" s="133" t="s">
        <v>249</v>
      </c>
      <c r="J14" s="136" t="s">
        <v>249</v>
      </c>
      <c r="K14" s="137" t="s">
        <v>249</v>
      </c>
      <c r="L14" s="137" t="s">
        <v>249</v>
      </c>
      <c r="M14" s="135" t="s">
        <v>249</v>
      </c>
      <c r="N14" s="122" t="s">
        <v>249</v>
      </c>
      <c r="O14" s="124">
        <v>0</v>
      </c>
      <c r="P14" s="137"/>
      <c r="Q14" s="121">
        <v>0</v>
      </c>
      <c r="R14" s="121">
        <v>0</v>
      </c>
    </row>
    <row r="15" spans="1:18" s="119" customFormat="1" x14ac:dyDescent="0.25">
      <c r="A15" s="92" t="s">
        <v>396</v>
      </c>
      <c r="B15" s="137" t="s">
        <v>249</v>
      </c>
      <c r="C15" s="137" t="s">
        <v>249</v>
      </c>
      <c r="D15" s="137" t="s">
        <v>249</v>
      </c>
      <c r="E15" s="137" t="s">
        <v>249</v>
      </c>
      <c r="F15" s="122" t="s">
        <v>249</v>
      </c>
      <c r="G15" s="136" t="s">
        <v>249</v>
      </c>
      <c r="H15" s="136" t="s">
        <v>249</v>
      </c>
      <c r="I15" s="133" t="s">
        <v>249</v>
      </c>
      <c r="J15" s="136" t="s">
        <v>249</v>
      </c>
      <c r="K15" s="137" t="s">
        <v>249</v>
      </c>
      <c r="L15" s="137" t="s">
        <v>249</v>
      </c>
      <c r="M15" s="135" t="s">
        <v>249</v>
      </c>
      <c r="N15" s="122" t="s">
        <v>249</v>
      </c>
      <c r="O15" s="124">
        <v>49.287540100000001</v>
      </c>
      <c r="P15" s="137"/>
      <c r="Q15" s="121">
        <v>4.5645815572525825E-2</v>
      </c>
      <c r="R15" s="121">
        <v>5.6498023217858043E-5</v>
      </c>
    </row>
    <row r="16" spans="1:18" x14ac:dyDescent="0.25">
      <c r="A16" s="16" t="s">
        <v>1336</v>
      </c>
      <c r="B16" s="24" t="s">
        <v>1337</v>
      </c>
      <c r="C16" s="24" t="s">
        <v>249</v>
      </c>
      <c r="D16" s="24" t="s">
        <v>1338</v>
      </c>
      <c r="E16" s="24" t="s">
        <v>228</v>
      </c>
      <c r="F16" s="66" t="s">
        <v>1339</v>
      </c>
      <c r="G16" s="60" t="s">
        <v>254</v>
      </c>
      <c r="H16" s="60" t="s">
        <v>1340</v>
      </c>
      <c r="I16" s="99">
        <v>1.9323000000000001</v>
      </c>
      <c r="J16" s="60" t="s">
        <v>125</v>
      </c>
      <c r="K16" s="24">
        <v>7.9699999999999993E-2</v>
      </c>
      <c r="L16" s="24">
        <v>6.1500000000000006E-2</v>
      </c>
      <c r="M16" s="69">
        <v>12210.12</v>
      </c>
      <c r="N16" s="66">
        <v>105.56</v>
      </c>
      <c r="O16" s="84">
        <v>49.28754</v>
      </c>
      <c r="P16" s="24">
        <v>2.6915472821404014E-4</v>
      </c>
      <c r="Q16" s="32">
        <v>4.5645815479914559E-2</v>
      </c>
      <c r="R16" s="32">
        <v>5.649802310322862E-5</v>
      </c>
    </row>
    <row r="17" spans="1:18" s="119" customFormat="1" x14ac:dyDescent="0.25">
      <c r="A17" s="92" t="s">
        <v>141</v>
      </c>
      <c r="B17" s="137" t="s">
        <v>249</v>
      </c>
      <c r="C17" s="137" t="s">
        <v>249</v>
      </c>
      <c r="D17" s="137" t="s">
        <v>249</v>
      </c>
      <c r="E17" s="137" t="s">
        <v>249</v>
      </c>
      <c r="F17" s="122" t="s">
        <v>249</v>
      </c>
      <c r="G17" s="136" t="s">
        <v>249</v>
      </c>
      <c r="H17" s="136" t="s">
        <v>249</v>
      </c>
      <c r="I17" s="133" t="s">
        <v>249</v>
      </c>
      <c r="J17" s="136" t="s">
        <v>249</v>
      </c>
      <c r="K17" s="137" t="s">
        <v>249</v>
      </c>
      <c r="L17" s="137" t="s">
        <v>249</v>
      </c>
      <c r="M17" s="135" t="s">
        <v>249</v>
      </c>
      <c r="N17" s="122" t="s">
        <v>249</v>
      </c>
      <c r="O17" s="124">
        <v>0</v>
      </c>
      <c r="P17" s="137"/>
      <c r="Q17" s="121">
        <v>0</v>
      </c>
      <c r="R17" s="121">
        <v>0</v>
      </c>
    </row>
    <row r="18" spans="1:18" s="119" customFormat="1" x14ac:dyDescent="0.25">
      <c r="A18" s="92" t="s">
        <v>393</v>
      </c>
      <c r="B18" s="137" t="s">
        <v>249</v>
      </c>
      <c r="C18" s="137" t="s">
        <v>249</v>
      </c>
      <c r="D18" s="137" t="s">
        <v>249</v>
      </c>
      <c r="E18" s="137" t="s">
        <v>249</v>
      </c>
      <c r="F18" s="122" t="s">
        <v>249</v>
      </c>
      <c r="G18" s="136" t="s">
        <v>249</v>
      </c>
      <c r="H18" s="136" t="s">
        <v>249</v>
      </c>
      <c r="I18" s="133" t="s">
        <v>249</v>
      </c>
      <c r="J18" s="136" t="s">
        <v>249</v>
      </c>
      <c r="K18" s="137" t="s">
        <v>249</v>
      </c>
      <c r="L18" s="137" t="s">
        <v>249</v>
      </c>
      <c r="M18" s="135" t="s">
        <v>249</v>
      </c>
      <c r="N18" s="122" t="s">
        <v>249</v>
      </c>
      <c r="O18" s="124">
        <v>0</v>
      </c>
      <c r="P18" s="137"/>
      <c r="Q18" s="121">
        <v>0</v>
      </c>
      <c r="R18" s="121">
        <v>0</v>
      </c>
    </row>
    <row r="19" spans="1:18" s="119" customFormat="1" x14ac:dyDescent="0.25">
      <c r="A19" s="92" t="s">
        <v>1341</v>
      </c>
      <c r="B19" s="137" t="s">
        <v>249</v>
      </c>
      <c r="C19" s="137" t="s">
        <v>249</v>
      </c>
      <c r="D19" s="137" t="s">
        <v>249</v>
      </c>
      <c r="E19" s="137" t="s">
        <v>249</v>
      </c>
      <c r="F19" s="122" t="s">
        <v>249</v>
      </c>
      <c r="G19" s="136" t="s">
        <v>249</v>
      </c>
      <c r="H19" s="136" t="s">
        <v>249</v>
      </c>
      <c r="I19" s="133" t="s">
        <v>249</v>
      </c>
      <c r="J19" s="136" t="s">
        <v>249</v>
      </c>
      <c r="K19" s="137" t="s">
        <v>249</v>
      </c>
      <c r="L19" s="137" t="s">
        <v>249</v>
      </c>
      <c r="M19" s="135" t="s">
        <v>249</v>
      </c>
      <c r="N19" s="122" t="s">
        <v>249</v>
      </c>
      <c r="O19" s="124">
        <v>0</v>
      </c>
      <c r="P19" s="137"/>
      <c r="Q19" s="121">
        <v>0</v>
      </c>
      <c r="R19" s="121">
        <v>0</v>
      </c>
    </row>
    <row r="20" spans="1:18" s="119" customFormat="1" x14ac:dyDescent="0.25">
      <c r="A20" s="92" t="s">
        <v>1342</v>
      </c>
      <c r="B20" s="137" t="s">
        <v>249</v>
      </c>
      <c r="C20" s="137" t="s">
        <v>249</v>
      </c>
      <c r="D20" s="137" t="s">
        <v>249</v>
      </c>
      <c r="E20" s="137" t="s">
        <v>249</v>
      </c>
      <c r="F20" s="122" t="s">
        <v>249</v>
      </c>
      <c r="G20" s="136" t="s">
        <v>249</v>
      </c>
      <c r="H20" s="136" t="s">
        <v>249</v>
      </c>
      <c r="I20" s="133" t="s">
        <v>249</v>
      </c>
      <c r="J20" s="136" t="s">
        <v>249</v>
      </c>
      <c r="K20" s="137" t="s">
        <v>249</v>
      </c>
      <c r="L20" s="137" t="s">
        <v>249</v>
      </c>
      <c r="M20" s="135" t="s">
        <v>249</v>
      </c>
      <c r="N20" s="122" t="s">
        <v>249</v>
      </c>
      <c r="O20" s="124">
        <v>0</v>
      </c>
      <c r="P20" s="137"/>
      <c r="Q20" s="121">
        <v>0</v>
      </c>
      <c r="R20" s="121">
        <v>0</v>
      </c>
    </row>
    <row r="21" spans="1:18" s="119" customFormat="1" x14ac:dyDescent="0.25">
      <c r="A21" s="78" t="s">
        <v>241</v>
      </c>
      <c r="B21" s="125"/>
      <c r="C21" s="125"/>
      <c r="D21" s="125"/>
      <c r="E21" s="78"/>
      <c r="F21" s="126"/>
      <c r="G21" s="126"/>
      <c r="H21" s="126"/>
      <c r="I21" s="127"/>
      <c r="J21" s="128"/>
      <c r="K21" s="129"/>
      <c r="L21" s="129"/>
      <c r="M21" s="129"/>
      <c r="N21" s="128"/>
      <c r="O21" s="128"/>
      <c r="P21" s="138"/>
      <c r="Q21" s="138"/>
      <c r="R21" s="138"/>
    </row>
    <row r="22" spans="1:18" s="119" customFormat="1" x14ac:dyDescent="0.25">
      <c r="A22" s="78" t="s">
        <v>242</v>
      </c>
      <c r="B22" s="125"/>
      <c r="C22" s="125"/>
      <c r="D22" s="125"/>
      <c r="E22" s="78"/>
      <c r="F22" s="126"/>
      <c r="G22" s="126"/>
      <c r="H22" s="126"/>
      <c r="I22" s="127"/>
      <c r="J22" s="128"/>
      <c r="K22" s="129"/>
      <c r="L22" s="129"/>
      <c r="M22" s="129"/>
      <c r="N22" s="128"/>
      <c r="O22" s="128"/>
      <c r="P22" s="138"/>
      <c r="Q22" s="138"/>
      <c r="R22" s="138"/>
    </row>
    <row r="23" spans="1:18" s="119" customFormat="1" x14ac:dyDescent="0.25">
      <c r="A23" s="78" t="s">
        <v>243</v>
      </c>
      <c r="B23" s="125"/>
      <c r="C23" s="125"/>
      <c r="D23" s="125"/>
      <c r="E23" s="78"/>
      <c r="F23" s="126"/>
      <c r="G23" s="126"/>
      <c r="H23" s="126"/>
      <c r="I23" s="127"/>
      <c r="J23" s="128"/>
      <c r="K23" s="129"/>
      <c r="L23" s="129"/>
      <c r="M23" s="129"/>
      <c r="N23" s="128"/>
      <c r="O23" s="128"/>
      <c r="P23" s="138"/>
      <c r="Q23" s="138"/>
      <c r="R23" s="138"/>
    </row>
    <row r="24" spans="1:18" s="119" customFormat="1" x14ac:dyDescent="0.25">
      <c r="A24" s="78" t="s">
        <v>244</v>
      </c>
      <c r="B24" s="125"/>
      <c r="C24" s="125"/>
      <c r="D24" s="125"/>
      <c r="E24" s="78"/>
      <c r="F24" s="126"/>
      <c r="G24" s="126"/>
      <c r="H24" s="126"/>
      <c r="I24" s="127"/>
      <c r="J24" s="128"/>
      <c r="K24" s="129"/>
      <c r="L24" s="129"/>
      <c r="M24" s="129"/>
      <c r="N24" s="128"/>
      <c r="O24" s="128"/>
      <c r="P24" s="138"/>
      <c r="Q24" s="138"/>
      <c r="R24" s="138"/>
    </row>
    <row r="25" spans="1:18" s="119" customFormat="1" x14ac:dyDescent="0.25">
      <c r="A25" s="78" t="s">
        <v>245</v>
      </c>
      <c r="B25" s="125"/>
      <c r="C25" s="125"/>
      <c r="D25" s="125"/>
      <c r="E25" s="78"/>
      <c r="F25" s="126"/>
      <c r="G25" s="126"/>
      <c r="H25" s="126"/>
      <c r="I25" s="127"/>
      <c r="J25" s="128"/>
      <c r="K25" s="129"/>
      <c r="L25" s="129"/>
      <c r="M25" s="129"/>
      <c r="N25" s="128"/>
      <c r="O25" s="128"/>
      <c r="P25" s="138"/>
      <c r="Q25" s="138"/>
      <c r="R25" s="138"/>
    </row>
  </sheetData>
  <mergeCells count="2">
    <mergeCell ref="A5:R5"/>
    <mergeCell ref="A4:R4"/>
  </mergeCells>
  <phoneticPr fontId="3" type="noConversion"/>
  <conditionalFormatting sqref="A9:A20 O9:O20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20 J9:J20 Q9:R20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20 I9:I20 K9:N20 J21:J55555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0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" style="59" bestFit="1" customWidth="1"/>
    <col min="7" max="7" width="10.88671875" style="59" bestFit="1" customWidth="1"/>
    <col min="8" max="8" width="10.3320312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8" t="s">
        <v>28</v>
      </c>
      <c r="B4" s="229"/>
      <c r="C4" s="229"/>
      <c r="D4" s="229"/>
      <c r="E4" s="229"/>
      <c r="F4" s="229"/>
      <c r="G4" s="229"/>
      <c r="H4" s="229"/>
      <c r="I4" s="229"/>
      <c r="J4" s="229"/>
      <c r="K4" s="230"/>
      <c r="L4" s="231"/>
      <c r="M4" s="13"/>
      <c r="N4" s="13"/>
      <c r="O4" s="12"/>
      <c r="P4" s="12"/>
      <c r="Q4" s="14"/>
    </row>
    <row r="5" spans="1:17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7"/>
    </row>
    <row r="6" spans="1:17" s="7" customFormat="1" ht="33.75" customHeight="1" x14ac:dyDescent="0.25">
      <c r="A6" s="86" t="s">
        <v>157</v>
      </c>
      <c r="B6" s="205" t="s">
        <v>69</v>
      </c>
      <c r="C6" s="205" t="s">
        <v>79</v>
      </c>
      <c r="D6" s="205" t="s">
        <v>74</v>
      </c>
      <c r="E6" s="205" t="s">
        <v>19</v>
      </c>
      <c r="F6" s="205" t="s">
        <v>6</v>
      </c>
      <c r="G6" s="206" t="s">
        <v>67</v>
      </c>
      <c r="H6" s="206" t="s">
        <v>68</v>
      </c>
      <c r="I6" s="206" t="s">
        <v>7</v>
      </c>
      <c r="J6" s="206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7926.208550299998</v>
      </c>
      <c r="J9" s="67"/>
      <c r="K9" s="67">
        <v>1</v>
      </c>
      <c r="L9" s="58">
        <v>9.0857671897574422E-3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6362.2408300999996</v>
      </c>
      <c r="J10" s="121" t="s">
        <v>249</v>
      </c>
      <c r="K10" s="121">
        <v>0.80268400581753507</v>
      </c>
      <c r="L10" s="121">
        <v>7.2930000038000315E-3</v>
      </c>
    </row>
    <row r="11" spans="1:17" x14ac:dyDescent="0.25">
      <c r="A11" s="16" t="s">
        <v>1361</v>
      </c>
      <c r="B11" s="24" t="s">
        <v>1362</v>
      </c>
      <c r="C11" s="24" t="s">
        <v>249</v>
      </c>
      <c r="D11" s="24" t="s">
        <v>1363</v>
      </c>
      <c r="E11" s="24" t="s">
        <v>199</v>
      </c>
      <c r="F11" s="60" t="s">
        <v>125</v>
      </c>
      <c r="G11" s="69">
        <v>4046</v>
      </c>
      <c r="H11" s="66">
        <v>465.21999999999997</v>
      </c>
      <c r="I11" s="85">
        <v>71.978390000000005</v>
      </c>
      <c r="J11" s="32">
        <v>1.0301870785106438E-4</v>
      </c>
      <c r="K11" s="32">
        <v>9.0810618397462808E-3</v>
      </c>
      <c r="L11" s="32">
        <v>8.2508413711725119E-5</v>
      </c>
      <c r="M11" s="14"/>
      <c r="N11" s="14"/>
      <c r="O11" s="14"/>
      <c r="P11" s="14"/>
    </row>
    <row r="12" spans="1:17" x14ac:dyDescent="0.25">
      <c r="A12" s="16" t="s">
        <v>1412</v>
      </c>
      <c r="B12" s="24" t="s">
        <v>1413</v>
      </c>
      <c r="C12" s="24" t="s">
        <v>249</v>
      </c>
      <c r="D12" s="24" t="s">
        <v>1414</v>
      </c>
      <c r="E12" s="24" t="s">
        <v>188</v>
      </c>
      <c r="F12" s="60" t="s">
        <v>125</v>
      </c>
      <c r="G12" s="69">
        <v>13628.29</v>
      </c>
      <c r="H12" s="66">
        <v>203.45509999999999</v>
      </c>
      <c r="I12" s="85">
        <v>106.02977</v>
      </c>
      <c r="J12" s="32">
        <v>8.7694288617228848E-5</v>
      </c>
      <c r="K12" s="32">
        <v>1.3377110799839716E-2</v>
      </c>
      <c r="L12" s="32">
        <v>1.2154131439893363E-4</v>
      </c>
      <c r="M12" s="14"/>
      <c r="N12" s="14"/>
      <c r="O12" s="14"/>
      <c r="P12" s="14"/>
    </row>
    <row r="13" spans="1:17" x14ac:dyDescent="0.25">
      <c r="A13" s="16" t="s">
        <v>1409</v>
      </c>
      <c r="B13" s="24" t="s">
        <v>1410</v>
      </c>
      <c r="C13" s="24" t="s">
        <v>249</v>
      </c>
      <c r="D13" s="24" t="s">
        <v>1411</v>
      </c>
      <c r="E13" s="24" t="s">
        <v>218</v>
      </c>
      <c r="F13" s="60" t="s">
        <v>125</v>
      </c>
      <c r="G13" s="69">
        <v>65552</v>
      </c>
      <c r="H13" s="66">
        <v>116.23490000000001</v>
      </c>
      <c r="I13" s="85">
        <v>291.36700000000002</v>
      </c>
      <c r="J13" s="32">
        <v>0</v>
      </c>
      <c r="K13" s="32">
        <v>3.6759946215264808E-2</v>
      </c>
      <c r="L13" s="32">
        <v>3.3399231321990132E-4</v>
      </c>
      <c r="M13" s="14"/>
      <c r="N13" s="14"/>
      <c r="O13" s="14"/>
      <c r="P13" s="14"/>
    </row>
    <row r="14" spans="1:17" x14ac:dyDescent="0.25">
      <c r="A14" s="16" t="s">
        <v>1387</v>
      </c>
      <c r="B14" s="24" t="s">
        <v>1388</v>
      </c>
      <c r="C14" s="24" t="s">
        <v>249</v>
      </c>
      <c r="D14" s="24" t="s">
        <v>1389</v>
      </c>
      <c r="E14" s="24" t="s">
        <v>218</v>
      </c>
      <c r="F14" s="60" t="s">
        <v>125</v>
      </c>
      <c r="G14" s="69">
        <v>1319.48</v>
      </c>
      <c r="H14" s="66">
        <v>4968.0307000000003</v>
      </c>
      <c r="I14" s="85">
        <v>250.67150000000001</v>
      </c>
      <c r="J14" s="32">
        <v>5.0152567601421563E-5</v>
      </c>
      <c r="K14" s="32">
        <v>3.1625650323131145E-2</v>
      </c>
      <c r="L14" s="32">
        <v>2.8734329606064683E-4</v>
      </c>
      <c r="M14" s="14"/>
      <c r="N14" s="14"/>
      <c r="O14" s="14"/>
      <c r="P14" s="14"/>
    </row>
    <row r="15" spans="1:17" x14ac:dyDescent="0.25">
      <c r="A15" s="16" t="s">
        <v>1352</v>
      </c>
      <c r="B15" s="24" t="s">
        <v>1353</v>
      </c>
      <c r="C15" s="24" t="s">
        <v>249</v>
      </c>
      <c r="D15" s="24" t="s">
        <v>1354</v>
      </c>
      <c r="E15" s="24" t="s">
        <v>179</v>
      </c>
      <c r="F15" s="60" t="s">
        <v>255</v>
      </c>
      <c r="G15" s="69">
        <v>553.83000000000004</v>
      </c>
      <c r="H15" s="66">
        <v>6888.8077999999996</v>
      </c>
      <c r="I15" s="85">
        <v>38.152279999999998</v>
      </c>
      <c r="J15" s="32">
        <v>2.1195713324561585E-4</v>
      </c>
      <c r="K15" s="32">
        <v>4.813433782102034E-3</v>
      </c>
      <c r="L15" s="32">
        <v>4.3733738727492727E-5</v>
      </c>
      <c r="M15" s="14"/>
      <c r="N15" s="14"/>
      <c r="O15" s="14"/>
      <c r="P15" s="14"/>
    </row>
    <row r="16" spans="1:17" x14ac:dyDescent="0.25">
      <c r="A16" s="16" t="s">
        <v>1393</v>
      </c>
      <c r="B16" s="24" t="s">
        <v>1394</v>
      </c>
      <c r="C16" s="24" t="s">
        <v>249</v>
      </c>
      <c r="D16" s="24" t="s">
        <v>1395</v>
      </c>
      <c r="E16" s="24" t="s">
        <v>193</v>
      </c>
      <c r="F16" s="60" t="s">
        <v>125</v>
      </c>
      <c r="G16" s="69">
        <v>1035.03</v>
      </c>
      <c r="H16" s="66">
        <v>955.89139999999998</v>
      </c>
      <c r="I16" s="85">
        <v>37.833750000000002</v>
      </c>
      <c r="J16" s="32">
        <v>4.3091378302109017E-5</v>
      </c>
      <c r="K16" s="32">
        <v>4.7732468506103132E-3</v>
      </c>
      <c r="L16" s="32">
        <v>4.3368609623888224E-5</v>
      </c>
      <c r="M16" s="14"/>
      <c r="N16" s="14"/>
      <c r="O16" s="14"/>
      <c r="P16" s="14"/>
    </row>
    <row r="17" spans="1:16" x14ac:dyDescent="0.25">
      <c r="A17" s="16" t="s">
        <v>1370</v>
      </c>
      <c r="B17" s="24" t="s">
        <v>1371</v>
      </c>
      <c r="C17" s="24" t="s">
        <v>249</v>
      </c>
      <c r="D17" s="24" t="s">
        <v>1372</v>
      </c>
      <c r="E17" s="24" t="s">
        <v>208</v>
      </c>
      <c r="F17" s="60" t="s">
        <v>125</v>
      </c>
      <c r="G17" s="69">
        <v>40.119999999999997</v>
      </c>
      <c r="H17" s="66">
        <v>193691.3008</v>
      </c>
      <c r="I17" s="85">
        <v>297.17383000000001</v>
      </c>
      <c r="J17" s="32">
        <v>1.0806239175579838E-4</v>
      </c>
      <c r="K17" s="32">
        <v>3.7492557521559576E-2</v>
      </c>
      <c r="L17" s="32">
        <v>3.406486489894796E-4</v>
      </c>
      <c r="M17" s="14"/>
      <c r="N17" s="14"/>
      <c r="O17" s="14"/>
      <c r="P17" s="14"/>
    </row>
    <row r="18" spans="1:16" x14ac:dyDescent="0.25">
      <c r="A18" s="16" t="s">
        <v>1358</v>
      </c>
      <c r="B18" s="24" t="s">
        <v>1359</v>
      </c>
      <c r="C18" s="24" t="s">
        <v>249</v>
      </c>
      <c r="D18" s="24" t="s">
        <v>1360</v>
      </c>
      <c r="E18" s="24" t="s">
        <v>199</v>
      </c>
      <c r="F18" s="60" t="s">
        <v>125</v>
      </c>
      <c r="G18" s="69">
        <v>900.49</v>
      </c>
      <c r="H18" s="66">
        <v>3853.9036999999998</v>
      </c>
      <c r="I18" s="85">
        <v>132.70875000000001</v>
      </c>
      <c r="J18" s="32">
        <v>2.1664397553447661E-4</v>
      </c>
      <c r="K18" s="32">
        <v>1.674303030986702E-2</v>
      </c>
      <c r="L18" s="32">
        <v>1.5212327544650417E-4</v>
      </c>
      <c r="M18" s="14"/>
      <c r="N18" s="14"/>
      <c r="O18" s="14"/>
      <c r="P18" s="14"/>
    </row>
    <row r="19" spans="1:16" x14ac:dyDescent="0.25">
      <c r="A19" s="16" t="s">
        <v>1373</v>
      </c>
      <c r="B19" s="24" t="s">
        <v>1374</v>
      </c>
      <c r="C19" s="24" t="s">
        <v>249</v>
      </c>
      <c r="D19" s="24" t="s">
        <v>1375</v>
      </c>
      <c r="E19" s="24" t="s">
        <v>183</v>
      </c>
      <c r="F19" s="60" t="s">
        <v>125</v>
      </c>
      <c r="G19" s="69">
        <v>34136</v>
      </c>
      <c r="H19" s="66">
        <v>100</v>
      </c>
      <c r="I19" s="85">
        <v>130.53605999999999</v>
      </c>
      <c r="J19" s="32">
        <v>0</v>
      </c>
      <c r="K19" s="32">
        <v>1.6468915645054451E-2</v>
      </c>
      <c r="L19" s="32">
        <v>1.4963273341871874E-4</v>
      </c>
      <c r="M19" s="14"/>
      <c r="N19" s="14"/>
      <c r="O19" s="14"/>
      <c r="P19" s="14"/>
    </row>
    <row r="20" spans="1:16" x14ac:dyDescent="0.25">
      <c r="A20" s="16" t="s">
        <v>1382</v>
      </c>
      <c r="B20" s="24" t="s">
        <v>1383</v>
      </c>
      <c r="C20" s="24" t="s">
        <v>249</v>
      </c>
      <c r="D20" s="24" t="s">
        <v>1384</v>
      </c>
      <c r="E20" s="24" t="s">
        <v>183</v>
      </c>
      <c r="F20" s="60" t="s">
        <v>125</v>
      </c>
      <c r="G20" s="69">
        <v>4064.82</v>
      </c>
      <c r="H20" s="66">
        <v>31.385200000000001</v>
      </c>
      <c r="I20" s="85">
        <v>4.8784700000000001</v>
      </c>
      <c r="J20" s="32">
        <v>8.1706297617383083E-5</v>
      </c>
      <c r="K20" s="32">
        <v>6.1548595006566604E-4</v>
      </c>
      <c r="L20" s="32">
        <v>5.5921620508633161E-6</v>
      </c>
      <c r="M20" s="14"/>
      <c r="N20" s="14"/>
      <c r="O20" s="14"/>
      <c r="P20" s="14"/>
    </row>
    <row r="21" spans="1:16" x14ac:dyDescent="0.25">
      <c r="A21" s="16" t="s">
        <v>1355</v>
      </c>
      <c r="B21" s="24" t="s">
        <v>1356</v>
      </c>
      <c r="C21" s="24" t="s">
        <v>249</v>
      </c>
      <c r="D21" s="24" t="s">
        <v>1357</v>
      </c>
      <c r="E21" s="24" t="s">
        <v>188</v>
      </c>
      <c r="F21" s="60" t="s">
        <v>255</v>
      </c>
      <c r="G21" s="69">
        <v>1625.47</v>
      </c>
      <c r="H21" s="66">
        <v>46957.906999999999</v>
      </c>
      <c r="I21" s="85">
        <v>763.28668999999991</v>
      </c>
      <c r="J21" s="32">
        <v>1.8616748350517638E-4</v>
      </c>
      <c r="K21" s="32">
        <v>9.6299092454627672E-2</v>
      </c>
      <c r="L21" s="32">
        <v>8.7495113462767457E-4</v>
      </c>
      <c r="M21" s="14"/>
      <c r="N21" s="14"/>
      <c r="O21" s="14"/>
      <c r="P21" s="14"/>
    </row>
    <row r="22" spans="1:16" x14ac:dyDescent="0.25">
      <c r="A22" s="16" t="s">
        <v>1346</v>
      </c>
      <c r="B22" s="24" t="s">
        <v>1347</v>
      </c>
      <c r="C22" s="24" t="s">
        <v>249</v>
      </c>
      <c r="D22" s="24" t="s">
        <v>1348</v>
      </c>
      <c r="E22" s="24" t="s">
        <v>206</v>
      </c>
      <c r="F22" s="60" t="s">
        <v>255</v>
      </c>
      <c r="G22" s="69">
        <v>442.53</v>
      </c>
      <c r="H22" s="66">
        <v>40646.225299999998</v>
      </c>
      <c r="I22" s="85">
        <v>179.87417000000002</v>
      </c>
      <c r="J22" s="32">
        <v>3.1475380452873343E-4</v>
      </c>
      <c r="K22" s="32">
        <v>2.2693595413054324E-2</v>
      </c>
      <c r="L22" s="32">
        <v>2.0618872462155899E-4</v>
      </c>
      <c r="M22" s="14"/>
      <c r="N22" s="14"/>
      <c r="O22" s="14"/>
      <c r="P22" s="14"/>
    </row>
    <row r="23" spans="1:16" x14ac:dyDescent="0.25">
      <c r="A23" s="16" t="s">
        <v>1406</v>
      </c>
      <c r="B23" s="24" t="s">
        <v>1407</v>
      </c>
      <c r="C23" s="24" t="s">
        <v>249</v>
      </c>
      <c r="D23" s="24" t="s">
        <v>1408</v>
      </c>
      <c r="E23" s="24" t="s">
        <v>177</v>
      </c>
      <c r="F23" s="60" t="s">
        <v>125</v>
      </c>
      <c r="G23" s="69">
        <v>55258</v>
      </c>
      <c r="H23" s="66">
        <v>100</v>
      </c>
      <c r="I23" s="85">
        <v>211.30659</v>
      </c>
      <c r="J23" s="32">
        <v>0</v>
      </c>
      <c r="K23" s="32">
        <v>2.6659226622544809E-2</v>
      </c>
      <c r="L23" s="32">
        <v>2.4221952655142573E-4</v>
      </c>
      <c r="M23" s="14"/>
      <c r="N23" s="14"/>
      <c r="O23" s="14"/>
      <c r="P23" s="14"/>
    </row>
    <row r="24" spans="1:16" x14ac:dyDescent="0.25">
      <c r="A24" s="16" t="s">
        <v>1349</v>
      </c>
      <c r="B24" s="24" t="s">
        <v>1350</v>
      </c>
      <c r="C24" s="24" t="s">
        <v>249</v>
      </c>
      <c r="D24" s="24" t="s">
        <v>1351</v>
      </c>
      <c r="E24" s="24" t="s">
        <v>179</v>
      </c>
      <c r="F24" s="60" t="s">
        <v>255</v>
      </c>
      <c r="G24" s="69">
        <v>223.59</v>
      </c>
      <c r="H24" s="66">
        <v>38391.9735</v>
      </c>
      <c r="I24" s="85">
        <v>85.840609999999998</v>
      </c>
      <c r="J24" s="32">
        <v>1.9075398971793423E-4</v>
      </c>
      <c r="K24" s="32">
        <v>1.0829971159004014E-2</v>
      </c>
      <c r="L24" s="32">
        <v>9.8398596622498044E-5</v>
      </c>
      <c r="M24" s="14"/>
      <c r="N24" s="14"/>
      <c r="O24" s="14"/>
      <c r="P24" s="14"/>
    </row>
    <row r="25" spans="1:16" x14ac:dyDescent="0.25">
      <c r="A25" s="16" t="s">
        <v>1379</v>
      </c>
      <c r="B25" s="24" t="s">
        <v>1380</v>
      </c>
      <c r="C25" s="24" t="s">
        <v>249</v>
      </c>
      <c r="D25" s="24" t="s">
        <v>1381</v>
      </c>
      <c r="E25" s="24" t="s">
        <v>175</v>
      </c>
      <c r="F25" s="60" t="s">
        <v>125</v>
      </c>
      <c r="G25" s="69">
        <v>29734</v>
      </c>
      <c r="H25" s="66">
        <v>135.66540000000001</v>
      </c>
      <c r="I25" s="85">
        <v>154.25538</v>
      </c>
      <c r="J25" s="32">
        <v>0</v>
      </c>
      <c r="K25" s="32">
        <v>1.9461433423192176E-2</v>
      </c>
      <c r="L25" s="32">
        <v>1.7682205326208835E-4</v>
      </c>
      <c r="M25" s="14"/>
      <c r="N25" s="14"/>
      <c r="O25" s="14"/>
      <c r="P25" s="14"/>
    </row>
    <row r="26" spans="1:16" x14ac:dyDescent="0.25">
      <c r="A26" s="16" t="s">
        <v>1385</v>
      </c>
      <c r="B26" s="24" t="s">
        <v>1386</v>
      </c>
      <c r="C26" s="24" t="s">
        <v>249</v>
      </c>
      <c r="D26" s="24" t="s">
        <v>1381</v>
      </c>
      <c r="E26" s="24" t="s">
        <v>175</v>
      </c>
      <c r="F26" s="60" t="s">
        <v>125</v>
      </c>
      <c r="G26" s="69">
        <v>10.24</v>
      </c>
      <c r="H26" s="66">
        <v>193475.6153</v>
      </c>
      <c r="I26" s="85">
        <v>75.797699999999992</v>
      </c>
      <c r="J26" s="32">
        <v>2.8017182412651508E-5</v>
      </c>
      <c r="K26" s="32">
        <v>9.5629202182840791E-3</v>
      </c>
      <c r="L26" s="32">
        <v>8.6886466757553555E-5</v>
      </c>
      <c r="M26" s="14"/>
      <c r="N26" s="14"/>
      <c r="O26" s="14"/>
      <c r="P26" s="14"/>
    </row>
    <row r="27" spans="1:16" x14ac:dyDescent="0.25">
      <c r="A27" s="16" t="s">
        <v>1376</v>
      </c>
      <c r="B27" s="24" t="s">
        <v>1377</v>
      </c>
      <c r="C27" s="24" t="s">
        <v>249</v>
      </c>
      <c r="D27" s="24" t="s">
        <v>1378</v>
      </c>
      <c r="E27" s="24" t="s">
        <v>181</v>
      </c>
      <c r="F27" s="60" t="s">
        <v>125</v>
      </c>
      <c r="G27" s="69">
        <v>6280.6</v>
      </c>
      <c r="H27" s="66">
        <v>1313.9817</v>
      </c>
      <c r="I27" s="85">
        <v>315.57916999999998</v>
      </c>
      <c r="J27" s="32">
        <v>3.8713773910906978E-5</v>
      </c>
      <c r="K27" s="32">
        <v>3.9814643785527903E-2</v>
      </c>
      <c r="L27" s="32">
        <v>3.6174658417842951E-4</v>
      </c>
      <c r="M27" s="14"/>
      <c r="N27" s="14"/>
      <c r="O27" s="14"/>
      <c r="P27" s="14"/>
    </row>
    <row r="28" spans="1:16" x14ac:dyDescent="0.25">
      <c r="A28" s="16" t="s">
        <v>1367</v>
      </c>
      <c r="B28" s="24" t="s">
        <v>1368</v>
      </c>
      <c r="C28" s="24" t="s">
        <v>249</v>
      </c>
      <c r="D28" s="24" t="s">
        <v>1369</v>
      </c>
      <c r="E28" s="24" t="s">
        <v>193</v>
      </c>
      <c r="F28" s="60" t="s">
        <v>125</v>
      </c>
      <c r="G28" s="69">
        <v>112.86</v>
      </c>
      <c r="H28" s="66">
        <v>14334.182699999999</v>
      </c>
      <c r="I28" s="85">
        <v>61.86298</v>
      </c>
      <c r="J28" s="32">
        <v>1.2521301523058897E-4</v>
      </c>
      <c r="K28" s="32">
        <v>7.8048640289257289E-3</v>
      </c>
      <c r="L28" s="32">
        <v>7.0913177514531466E-5</v>
      </c>
      <c r="M28" s="14"/>
      <c r="N28" s="14"/>
      <c r="O28" s="14"/>
      <c r="P28" s="14"/>
    </row>
    <row r="29" spans="1:16" x14ac:dyDescent="0.25">
      <c r="A29" s="16" t="s">
        <v>1390</v>
      </c>
      <c r="B29" s="24" t="s">
        <v>1391</v>
      </c>
      <c r="C29" s="24" t="s">
        <v>249</v>
      </c>
      <c r="D29" s="24" t="s">
        <v>1392</v>
      </c>
      <c r="E29" s="24" t="s">
        <v>193</v>
      </c>
      <c r="F29" s="60" t="s">
        <v>125</v>
      </c>
      <c r="G29" s="69">
        <v>24498.1</v>
      </c>
      <c r="H29" s="66">
        <v>100.9819</v>
      </c>
      <c r="I29" s="85">
        <v>94.60063000000001</v>
      </c>
      <c r="J29" s="32">
        <v>0</v>
      </c>
      <c r="K29" s="32">
        <v>1.1935167917884204E-2</v>
      </c>
      <c r="L29" s="32">
        <v>1.0844015707255795E-4</v>
      </c>
      <c r="M29" s="14"/>
      <c r="N29" s="14"/>
      <c r="O29" s="14"/>
      <c r="P29" s="14"/>
    </row>
    <row r="30" spans="1:16" x14ac:dyDescent="0.25">
      <c r="A30" s="16" t="s">
        <v>1396</v>
      </c>
      <c r="B30" s="24" t="s">
        <v>1397</v>
      </c>
      <c r="C30" s="24" t="s">
        <v>249</v>
      </c>
      <c r="D30" s="24" t="s">
        <v>1398</v>
      </c>
      <c r="E30" s="24" t="s">
        <v>193</v>
      </c>
      <c r="F30" s="60" t="s">
        <v>125</v>
      </c>
      <c r="G30" s="69">
        <v>22861</v>
      </c>
      <c r="H30" s="66">
        <v>100.87630000000001</v>
      </c>
      <c r="I30" s="85">
        <v>88.186589999999995</v>
      </c>
      <c r="J30" s="32">
        <v>0</v>
      </c>
      <c r="K30" s="32">
        <v>1.1125948735812942E-2</v>
      </c>
      <c r="L30" s="32">
        <v>1.0108777997877252E-4</v>
      </c>
      <c r="M30" s="14"/>
      <c r="N30" s="14"/>
      <c r="O30" s="14"/>
      <c r="P30" s="14"/>
    </row>
    <row r="31" spans="1:16" x14ac:dyDescent="0.25">
      <c r="A31" s="16" t="s">
        <v>1402</v>
      </c>
      <c r="B31" s="24" t="s">
        <v>1403</v>
      </c>
      <c r="C31" s="24" t="s">
        <v>249</v>
      </c>
      <c r="D31" s="24" t="s">
        <v>1404</v>
      </c>
      <c r="E31" s="24" t="s">
        <v>1405</v>
      </c>
      <c r="F31" s="60" t="s">
        <v>125</v>
      </c>
      <c r="G31" s="69">
        <v>7982</v>
      </c>
      <c r="H31" s="66">
        <v>100.8777</v>
      </c>
      <c r="I31" s="85">
        <v>30.791060000000002</v>
      </c>
      <c r="J31" s="32">
        <v>0</v>
      </c>
      <c r="K31" s="32">
        <v>3.8847148424872814E-3</v>
      </c>
      <c r="L31" s="32">
        <v>3.5295614657434691E-5</v>
      </c>
      <c r="M31" s="14"/>
      <c r="N31" s="14"/>
      <c r="O31" s="14"/>
      <c r="P31" s="14"/>
    </row>
    <row r="32" spans="1:16" x14ac:dyDescent="0.25">
      <c r="A32" s="16" t="s">
        <v>1399</v>
      </c>
      <c r="B32" s="24" t="s">
        <v>1400</v>
      </c>
      <c r="C32" s="24" t="s">
        <v>249</v>
      </c>
      <c r="D32" s="24" t="s">
        <v>1401</v>
      </c>
      <c r="E32" s="24" t="s">
        <v>193</v>
      </c>
      <c r="F32" s="60" t="s">
        <v>125</v>
      </c>
      <c r="G32" s="69">
        <v>29254</v>
      </c>
      <c r="H32" s="66">
        <v>100.297</v>
      </c>
      <c r="I32" s="85">
        <v>112.19954</v>
      </c>
      <c r="J32" s="32">
        <v>0</v>
      </c>
      <c r="K32" s="32">
        <v>1.4155511968676798E-2</v>
      </c>
      <c r="L32" s="32">
        <v>1.2861368619922244E-4</v>
      </c>
      <c r="M32" s="14"/>
      <c r="N32" s="14"/>
      <c r="O32" s="14"/>
      <c r="P32" s="14"/>
    </row>
    <row r="33" spans="1:16" x14ac:dyDescent="0.25">
      <c r="A33" s="16" t="s">
        <v>1364</v>
      </c>
      <c r="B33" s="24" t="s">
        <v>1365</v>
      </c>
      <c r="C33" s="24" t="s">
        <v>249</v>
      </c>
      <c r="D33" s="24" t="s">
        <v>1366</v>
      </c>
      <c r="E33" s="24" t="s">
        <v>177</v>
      </c>
      <c r="F33" s="60" t="s">
        <v>125</v>
      </c>
      <c r="G33" s="69">
        <v>131.21</v>
      </c>
      <c r="H33" s="66">
        <v>20926.493999999999</v>
      </c>
      <c r="I33" s="85">
        <v>104.99806</v>
      </c>
      <c r="J33" s="32">
        <v>4.1079880188639961E-5</v>
      </c>
      <c r="K33" s="32">
        <v>1.3246946422577531E-2</v>
      </c>
      <c r="L33" s="32">
        <v>1.2035867117072965E-4</v>
      </c>
      <c r="M33" s="14"/>
      <c r="N33" s="14"/>
      <c r="O33" s="14"/>
      <c r="P33" s="14"/>
    </row>
    <row r="34" spans="1:16" x14ac:dyDescent="0.25">
      <c r="A34" s="16" t="s">
        <v>1343</v>
      </c>
      <c r="B34" s="24" t="s">
        <v>1344</v>
      </c>
      <c r="C34" s="24" t="s">
        <v>249</v>
      </c>
      <c r="D34" s="24" t="s">
        <v>1345</v>
      </c>
      <c r="E34" s="24" t="s">
        <v>207</v>
      </c>
      <c r="F34" s="60" t="s">
        <v>255</v>
      </c>
      <c r="G34" s="69">
        <v>154414.74</v>
      </c>
      <c r="H34" s="66">
        <v>1763</v>
      </c>
      <c r="I34" s="85">
        <v>2722.3318599999998</v>
      </c>
      <c r="J34" s="32">
        <v>5.0119035791023974E-4</v>
      </c>
      <c r="K34" s="32">
        <v>0.34345952957507819</v>
      </c>
      <c r="L34" s="32">
        <v>3.1205933248227712E-3</v>
      </c>
      <c r="M34" s="14"/>
      <c r="N34" s="14"/>
      <c r="O34" s="14"/>
      <c r="P34" s="14"/>
    </row>
    <row r="35" spans="1:16" s="119" customFormat="1" x14ac:dyDescent="0.25">
      <c r="A35" s="92" t="s">
        <v>393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36" t="s">
        <v>249</v>
      </c>
      <c r="G35" s="135" t="s">
        <v>249</v>
      </c>
      <c r="H35" s="122" t="s">
        <v>249</v>
      </c>
      <c r="I35" s="123">
        <v>1563.9677202</v>
      </c>
      <c r="J35" s="121"/>
      <c r="K35" s="121">
        <v>0.19731599418246515</v>
      </c>
      <c r="L35" s="121">
        <v>1.7927671859574122E-3</v>
      </c>
    </row>
    <row r="36" spans="1:16" s="119" customFormat="1" x14ac:dyDescent="0.25">
      <c r="A36" s="92" t="s">
        <v>143</v>
      </c>
      <c r="B36" s="137" t="s">
        <v>249</v>
      </c>
      <c r="C36" s="137" t="s">
        <v>249</v>
      </c>
      <c r="D36" s="137" t="s">
        <v>249</v>
      </c>
      <c r="E36" s="137" t="s">
        <v>249</v>
      </c>
      <c r="F36" s="136" t="s">
        <v>249</v>
      </c>
      <c r="G36" s="135" t="s">
        <v>249</v>
      </c>
      <c r="H36" s="122" t="s">
        <v>249</v>
      </c>
      <c r="I36" s="123">
        <v>0</v>
      </c>
      <c r="J36" s="121"/>
      <c r="K36" s="121">
        <v>0</v>
      </c>
      <c r="L36" s="121">
        <v>0</v>
      </c>
    </row>
    <row r="37" spans="1:16" s="119" customFormat="1" x14ac:dyDescent="0.25">
      <c r="A37" s="92" t="s">
        <v>144</v>
      </c>
      <c r="B37" s="137" t="s">
        <v>249</v>
      </c>
      <c r="C37" s="137" t="s">
        <v>249</v>
      </c>
      <c r="D37" s="137" t="s">
        <v>249</v>
      </c>
      <c r="E37" s="137" t="s">
        <v>249</v>
      </c>
      <c r="F37" s="136" t="s">
        <v>249</v>
      </c>
      <c r="G37" s="135" t="s">
        <v>249</v>
      </c>
      <c r="H37" s="122" t="s">
        <v>249</v>
      </c>
      <c r="I37" s="123">
        <v>1563.9677200999997</v>
      </c>
      <c r="J37" s="121"/>
      <c r="K37" s="121">
        <v>0.19731599416984874</v>
      </c>
      <c r="L37" s="121">
        <v>1.7927671858427826E-3</v>
      </c>
    </row>
    <row r="38" spans="1:16" x14ac:dyDescent="0.25">
      <c r="A38" s="16" t="s">
        <v>1415</v>
      </c>
      <c r="B38" s="24" t="s">
        <v>1416</v>
      </c>
      <c r="C38" s="24" t="s">
        <v>249</v>
      </c>
      <c r="D38" s="24" t="s">
        <v>1417</v>
      </c>
      <c r="E38" s="24" t="s">
        <v>1405</v>
      </c>
      <c r="F38" s="60" t="s">
        <v>125</v>
      </c>
      <c r="G38" s="69">
        <v>245776.86</v>
      </c>
      <c r="H38" s="66">
        <v>4.0653000000000006</v>
      </c>
      <c r="I38" s="85">
        <v>38.207749999999997</v>
      </c>
      <c r="J38" s="32">
        <v>6.6520002972820104E-5</v>
      </c>
      <c r="K38" s="32">
        <v>4.8204320839569477E-3</v>
      </c>
      <c r="L38" s="32">
        <v>4.3797323668870129E-5</v>
      </c>
      <c r="M38" s="14"/>
      <c r="N38" s="14"/>
      <c r="O38" s="14"/>
      <c r="P38" s="14"/>
    </row>
    <row r="39" spans="1:16" x14ac:dyDescent="0.25">
      <c r="A39" s="16" t="s">
        <v>1418</v>
      </c>
      <c r="B39" s="24" t="s">
        <v>1419</v>
      </c>
      <c r="C39" s="24" t="s">
        <v>249</v>
      </c>
      <c r="D39" s="24" t="s">
        <v>1420</v>
      </c>
      <c r="E39" s="24" t="s">
        <v>183</v>
      </c>
      <c r="F39" s="60" t="s">
        <v>125</v>
      </c>
      <c r="G39" s="69">
        <v>9048</v>
      </c>
      <c r="H39" s="66">
        <v>433.22300000000001</v>
      </c>
      <c r="I39" s="85">
        <v>149.89320999999998</v>
      </c>
      <c r="J39" s="32">
        <v>1.6847500163717557E-4</v>
      </c>
      <c r="K39" s="32">
        <v>1.8911085804615462E-2</v>
      </c>
      <c r="L39" s="32">
        <v>1.7182172292626286E-4</v>
      </c>
      <c r="M39" s="14"/>
      <c r="N39" s="14"/>
      <c r="O39" s="14"/>
      <c r="P39" s="14"/>
    </row>
    <row r="40" spans="1:16" x14ac:dyDescent="0.25">
      <c r="A40" s="16" t="s">
        <v>1421</v>
      </c>
      <c r="B40" s="24" t="s">
        <v>1422</v>
      </c>
      <c r="C40" s="24" t="s">
        <v>249</v>
      </c>
      <c r="D40" s="24" t="s">
        <v>1423</v>
      </c>
      <c r="E40" s="24" t="s">
        <v>188</v>
      </c>
      <c r="F40" s="60" t="s">
        <v>125</v>
      </c>
      <c r="G40" s="69">
        <v>2274</v>
      </c>
      <c r="H40" s="66">
        <v>3454.5237999999999</v>
      </c>
      <c r="I40" s="85">
        <v>300.39765</v>
      </c>
      <c r="J40" s="32">
        <v>2.8412559915797868E-5</v>
      </c>
      <c r="K40" s="32">
        <v>3.789928666318404E-2</v>
      </c>
      <c r="L40" s="32">
        <v>3.4434409527956934E-4</v>
      </c>
      <c r="M40" s="14"/>
      <c r="N40" s="14"/>
      <c r="O40" s="14"/>
      <c r="P40" s="14"/>
    </row>
    <row r="41" spans="1:16" x14ac:dyDescent="0.25">
      <c r="A41" s="16" t="s">
        <v>1424</v>
      </c>
      <c r="B41" s="24" t="s">
        <v>1425</v>
      </c>
      <c r="C41" s="24" t="s">
        <v>249</v>
      </c>
      <c r="D41" s="24" t="s">
        <v>1426</v>
      </c>
      <c r="E41" s="24" t="s">
        <v>1405</v>
      </c>
      <c r="F41" s="60" t="s">
        <v>125</v>
      </c>
      <c r="G41" s="69">
        <v>2987.28</v>
      </c>
      <c r="H41" s="66">
        <v>3161.5752000000002</v>
      </c>
      <c r="I41" s="85">
        <v>361.15807000000001</v>
      </c>
      <c r="J41" s="32">
        <v>9.566661564071411E-5</v>
      </c>
      <c r="K41" s="32">
        <v>4.5565047614894078E-2</v>
      </c>
      <c r="L41" s="32">
        <v>4.1399341461914027E-4</v>
      </c>
      <c r="M41" s="14"/>
      <c r="N41" s="14"/>
      <c r="O41" s="14"/>
      <c r="P41" s="14"/>
    </row>
    <row r="42" spans="1:16" x14ac:dyDescent="0.25">
      <c r="A42" s="16" t="s">
        <v>1427</v>
      </c>
      <c r="B42" s="24" t="s">
        <v>1428</v>
      </c>
      <c r="C42" s="24" t="s">
        <v>249</v>
      </c>
      <c r="D42" s="24" t="s">
        <v>1429</v>
      </c>
      <c r="E42" s="24" t="s">
        <v>1405</v>
      </c>
      <c r="F42" s="60" t="s">
        <v>125</v>
      </c>
      <c r="G42" s="69">
        <v>192.15</v>
      </c>
      <c r="H42" s="66">
        <v>2118.4303</v>
      </c>
      <c r="I42" s="85">
        <v>15.56607</v>
      </c>
      <c r="J42" s="32">
        <v>1.9918043186754226E-5</v>
      </c>
      <c r="K42" s="32">
        <v>1.9638733829948039E-3</v>
      </c>
      <c r="L42" s="32">
        <v>1.7843296348052141E-5</v>
      </c>
      <c r="M42" s="14"/>
      <c r="N42" s="14"/>
      <c r="O42" s="14"/>
      <c r="P42" s="14"/>
    </row>
    <row r="43" spans="1:16" x14ac:dyDescent="0.25">
      <c r="A43" s="16" t="s">
        <v>1430</v>
      </c>
      <c r="B43" s="24" t="s">
        <v>1431</v>
      </c>
      <c r="C43" s="24" t="s">
        <v>249</v>
      </c>
      <c r="D43" s="24" t="s">
        <v>1432</v>
      </c>
      <c r="E43" s="24" t="s">
        <v>183</v>
      </c>
      <c r="F43" s="60" t="s">
        <v>125</v>
      </c>
      <c r="G43" s="69">
        <v>384.3</v>
      </c>
      <c r="H43" s="66">
        <v>2183.4335000000001</v>
      </c>
      <c r="I43" s="85">
        <v>32.087350000000001</v>
      </c>
      <c r="J43" s="32">
        <v>3.9836086373508453E-5</v>
      </c>
      <c r="K43" s="32">
        <v>4.048259618249072E-3</v>
      </c>
      <c r="L43" s="32">
        <v>3.6781544415107409E-5</v>
      </c>
      <c r="M43" s="14"/>
      <c r="N43" s="14"/>
      <c r="O43" s="14"/>
      <c r="P43" s="14"/>
    </row>
    <row r="44" spans="1:16" x14ac:dyDescent="0.25">
      <c r="A44" s="16" t="s">
        <v>1433</v>
      </c>
      <c r="B44" s="24" t="s">
        <v>1434</v>
      </c>
      <c r="C44" s="24" t="s">
        <v>249</v>
      </c>
      <c r="D44" s="24" t="s">
        <v>1423</v>
      </c>
      <c r="E44" s="24" t="s">
        <v>188</v>
      </c>
      <c r="F44" s="60" t="s">
        <v>125</v>
      </c>
      <c r="G44" s="69">
        <v>2779.95</v>
      </c>
      <c r="H44" s="66">
        <v>3399.0935999999997</v>
      </c>
      <c r="I44" s="85">
        <v>361.34163000000001</v>
      </c>
      <c r="J44" s="32">
        <v>3.473416707912149E-5</v>
      </c>
      <c r="K44" s="32">
        <v>4.5588206228351587E-2</v>
      </c>
      <c r="L44" s="32">
        <v>4.1420382838945277E-4</v>
      </c>
      <c r="M44" s="14"/>
      <c r="N44" s="14"/>
      <c r="O44" s="14"/>
      <c r="P44" s="14"/>
    </row>
    <row r="45" spans="1:16" x14ac:dyDescent="0.25">
      <c r="A45" s="16" t="s">
        <v>1435</v>
      </c>
      <c r="B45" s="24" t="s">
        <v>1436</v>
      </c>
      <c r="C45" s="24" t="s">
        <v>249</v>
      </c>
      <c r="D45" s="218">
        <v>920631956</v>
      </c>
      <c r="E45" s="24" t="s">
        <v>188</v>
      </c>
      <c r="F45" s="60" t="s">
        <v>125</v>
      </c>
      <c r="G45" s="69">
        <v>64.23</v>
      </c>
      <c r="H45" s="66">
        <v>124296.79819999999</v>
      </c>
      <c r="I45" s="85">
        <v>305.31599</v>
      </c>
      <c r="J45" s="32">
        <v>1.2663368893813423E-4</v>
      </c>
      <c r="K45" s="32">
        <v>3.8519802760986412E-2</v>
      </c>
      <c r="L45" s="32">
        <v>3.4998196008169852E-4</v>
      </c>
      <c r="M45" s="14"/>
      <c r="N45" s="14"/>
      <c r="O45" s="14"/>
      <c r="P45" s="14"/>
    </row>
    <row r="46" spans="1:16" s="119" customFormat="1" x14ac:dyDescent="0.25">
      <c r="A46" s="78" t="s">
        <v>241</v>
      </c>
      <c r="B46" s="125"/>
      <c r="C46" s="125"/>
      <c r="D46" s="125"/>
      <c r="E46" s="78"/>
      <c r="F46" s="126"/>
      <c r="G46" s="126"/>
      <c r="H46" s="126"/>
      <c r="I46" s="127"/>
      <c r="J46" s="128"/>
      <c r="K46" s="128"/>
      <c r="L46" s="129"/>
      <c r="M46" s="148"/>
      <c r="N46" s="148"/>
      <c r="O46" s="130"/>
      <c r="P46" s="130"/>
    </row>
    <row r="47" spans="1:16" s="119" customFormat="1" x14ac:dyDescent="0.25">
      <c r="A47" s="78" t="s">
        <v>242</v>
      </c>
      <c r="B47" s="125"/>
      <c r="C47" s="125"/>
      <c r="D47" s="125"/>
      <c r="E47" s="78"/>
      <c r="F47" s="126"/>
      <c r="G47" s="126"/>
      <c r="H47" s="126"/>
      <c r="I47" s="127"/>
      <c r="J47" s="128"/>
      <c r="K47" s="128"/>
      <c r="L47" s="129"/>
      <c r="M47" s="148"/>
      <c r="N47" s="148"/>
      <c r="O47" s="130"/>
      <c r="P47" s="130"/>
    </row>
    <row r="48" spans="1:16" s="119" customFormat="1" x14ac:dyDescent="0.25">
      <c r="A48" s="78" t="s">
        <v>243</v>
      </c>
      <c r="B48" s="125"/>
      <c r="C48" s="125"/>
      <c r="D48" s="125"/>
      <c r="E48" s="78"/>
      <c r="F48" s="126"/>
      <c r="G48" s="126"/>
      <c r="H48" s="126"/>
      <c r="I48" s="127"/>
      <c r="J48" s="128"/>
      <c r="K48" s="128"/>
      <c r="L48" s="129"/>
      <c r="M48" s="148"/>
      <c r="N48" s="148"/>
      <c r="O48" s="130"/>
      <c r="P48" s="130"/>
    </row>
    <row r="49" spans="1:16" s="119" customFormat="1" x14ac:dyDescent="0.25">
      <c r="A49" s="78" t="s">
        <v>244</v>
      </c>
      <c r="B49" s="125"/>
      <c r="C49" s="125"/>
      <c r="D49" s="125"/>
      <c r="E49" s="78"/>
      <c r="F49" s="126"/>
      <c r="G49" s="126"/>
      <c r="H49" s="126"/>
      <c r="I49" s="127"/>
      <c r="J49" s="128"/>
      <c r="K49" s="128"/>
      <c r="L49" s="129"/>
      <c r="M49" s="148"/>
      <c r="N49" s="148"/>
      <c r="O49" s="130"/>
      <c r="P49" s="130"/>
    </row>
    <row r="50" spans="1:16" s="119" customFormat="1" x14ac:dyDescent="0.25">
      <c r="A50" s="78" t="s">
        <v>245</v>
      </c>
      <c r="B50" s="125"/>
      <c r="C50" s="125"/>
      <c r="D50" s="125"/>
      <c r="E50" s="78"/>
      <c r="F50" s="126"/>
      <c r="G50" s="126"/>
      <c r="H50" s="126"/>
      <c r="I50" s="127"/>
      <c r="J50" s="128"/>
      <c r="K50" s="128"/>
      <c r="L50" s="129"/>
      <c r="M50" s="148"/>
      <c r="N50" s="148"/>
      <c r="O50" s="130"/>
      <c r="P50" s="130"/>
    </row>
  </sheetData>
  <mergeCells count="2">
    <mergeCell ref="A5:L5"/>
    <mergeCell ref="A4:L4"/>
  </mergeCells>
  <phoneticPr fontId="3" type="noConversion"/>
  <conditionalFormatting sqref="A9:A45 I9:I45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45 K9:K45 L10:L45">
    <cfRule type="expression" dxfId="56" priority="322" stopIfTrue="1">
      <formula>OR(LEFT(#REF!,3)="TIR",LEFT(#REF!,2)="IR")</formula>
    </cfRule>
  </conditionalFormatting>
  <conditionalFormatting sqref="C9:D45">
    <cfRule type="expression" dxfId="55" priority="329" stopIfTrue="1">
      <formula>LEFT(#REF!,3)="TIR"</formula>
    </cfRule>
  </conditionalFormatting>
  <conditionalFormatting sqref="J1:K3 G9:H45 J9:J55580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50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" style="59" bestFit="1" customWidth="1"/>
    <col min="4" max="4" width="14.109375" style="59" customWidth="1"/>
    <col min="5" max="5" width="10.88671875" style="59" bestFit="1" customWidth="1"/>
    <col min="6" max="6" width="10.33203125" style="36" bestFit="1" customWidth="1"/>
    <col min="7" max="7" width="11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5" t="s">
        <v>30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5" t="s">
        <v>69</v>
      </c>
      <c r="C6" s="205" t="s">
        <v>6</v>
      </c>
      <c r="D6" s="205" t="s">
        <v>13</v>
      </c>
      <c r="E6" s="206" t="s">
        <v>67</v>
      </c>
      <c r="F6" s="206" t="s">
        <v>68</v>
      </c>
      <c r="G6" s="206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10543.408410800001</v>
      </c>
      <c r="H9" s="67" t="s">
        <v>249</v>
      </c>
      <c r="I9" s="67">
        <v>1</v>
      </c>
      <c r="J9" s="81">
        <v>1.2085848309332407E-2</v>
      </c>
    </row>
    <row r="10" spans="1:17" s="119" customFormat="1" x14ac:dyDescent="0.25">
      <c r="A10" s="91" t="s">
        <v>1437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5155.2841903999997</v>
      </c>
      <c r="H10" s="121" t="s">
        <v>249</v>
      </c>
      <c r="I10" s="121">
        <v>0.48895802851753828</v>
      </c>
      <c r="J10" s="121">
        <v>5.9094725622931971E-3</v>
      </c>
    </row>
    <row r="11" spans="1:17" s="119" customFormat="1" x14ac:dyDescent="0.25">
      <c r="A11" s="92" t="s">
        <v>1438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479.90871010000001</v>
      </c>
      <c r="H11" s="121"/>
      <c r="I11" s="137">
        <v>4.551741632320834E-2</v>
      </c>
      <c r="J11" s="137">
        <v>5.5011658911502674E-4</v>
      </c>
    </row>
    <row r="12" spans="1:17" x14ac:dyDescent="0.25">
      <c r="A12" s="16" t="s">
        <v>1439</v>
      </c>
      <c r="B12" s="24" t="s">
        <v>1440</v>
      </c>
      <c r="C12" s="60" t="s">
        <v>125</v>
      </c>
      <c r="D12" s="60" t="s">
        <v>1441</v>
      </c>
      <c r="E12" s="69">
        <v>48941.54</v>
      </c>
      <c r="F12" s="66">
        <v>173.79230000000001</v>
      </c>
      <c r="G12" s="84">
        <v>325.25655</v>
      </c>
      <c r="H12" s="32">
        <v>5.5504800000000004E-4</v>
      </c>
      <c r="I12" s="24">
        <v>3.0849279220449031E-2</v>
      </c>
      <c r="J12" s="24">
        <v>3.7283970911058728E-4</v>
      </c>
      <c r="K12" s="14"/>
      <c r="L12" s="14"/>
      <c r="M12" s="14"/>
    </row>
    <row r="13" spans="1:17" x14ac:dyDescent="0.25">
      <c r="A13" s="16" t="s">
        <v>1442</v>
      </c>
      <c r="B13" s="24" t="s">
        <v>1443</v>
      </c>
      <c r="C13" s="60" t="s">
        <v>125</v>
      </c>
      <c r="D13" s="60" t="s">
        <v>1444</v>
      </c>
      <c r="E13" s="69">
        <v>31339.18</v>
      </c>
      <c r="F13" s="66">
        <v>129.04770000000002</v>
      </c>
      <c r="G13" s="84">
        <v>154.65216000000001</v>
      </c>
      <c r="H13" s="32">
        <v>3.3037777777777776E-4</v>
      </c>
      <c r="I13" s="24">
        <v>1.4668137093274705E-2</v>
      </c>
      <c r="J13" s="24">
        <v>1.7727687988981008E-4</v>
      </c>
      <c r="K13" s="14"/>
      <c r="L13" s="14"/>
      <c r="M13" s="14"/>
    </row>
    <row r="14" spans="1:17" s="119" customFormat="1" x14ac:dyDescent="0.25">
      <c r="A14" s="92" t="s">
        <v>1445</v>
      </c>
      <c r="B14" s="137" t="s">
        <v>249</v>
      </c>
      <c r="C14" s="136" t="s">
        <v>249</v>
      </c>
      <c r="D14" s="136" t="s">
        <v>249</v>
      </c>
      <c r="E14" s="135" t="s">
        <v>249</v>
      </c>
      <c r="F14" s="122" t="s">
        <v>249</v>
      </c>
      <c r="G14" s="124">
        <v>3802.7897201000005</v>
      </c>
      <c r="H14" s="121"/>
      <c r="I14" s="137">
        <v>0.36067935262800438</v>
      </c>
      <c r="J14" s="137">
        <v>4.3591159441702734E-3</v>
      </c>
    </row>
    <row r="15" spans="1:17" x14ac:dyDescent="0.25">
      <c r="A15" s="16" t="s">
        <v>1446</v>
      </c>
      <c r="B15" s="24" t="s">
        <v>1447</v>
      </c>
      <c r="C15" s="60" t="s">
        <v>125</v>
      </c>
      <c r="D15" s="60" t="s">
        <v>1448</v>
      </c>
      <c r="E15" s="69">
        <v>60.23</v>
      </c>
      <c r="F15" s="66">
        <v>200300</v>
      </c>
      <c r="G15" s="84">
        <v>461.32999000000001</v>
      </c>
      <c r="H15" s="32">
        <v>0</v>
      </c>
      <c r="I15" s="24">
        <v>4.3755299237715456E-2</v>
      </c>
      <c r="J15" s="24">
        <v>5.2881990931647686E-4</v>
      </c>
      <c r="K15" s="14"/>
      <c r="L15" s="14"/>
      <c r="M15" s="14"/>
    </row>
    <row r="16" spans="1:17" x14ac:dyDescent="0.25">
      <c r="A16" s="16" t="s">
        <v>1454</v>
      </c>
      <c r="B16" s="24" t="s">
        <v>1455</v>
      </c>
      <c r="C16" s="60" t="s">
        <v>255</v>
      </c>
      <c r="D16" s="60" t="s">
        <v>1456</v>
      </c>
      <c r="E16" s="69">
        <v>350</v>
      </c>
      <c r="F16" s="66">
        <v>179320</v>
      </c>
      <c r="G16" s="84">
        <v>627.62</v>
      </c>
      <c r="H16" s="32">
        <v>0</v>
      </c>
      <c r="I16" s="24">
        <v>5.952723972611227E-2</v>
      </c>
      <c r="J16" s="24">
        <v>7.194371896030588E-4</v>
      </c>
      <c r="K16" s="14"/>
      <c r="L16" s="14"/>
      <c r="M16" s="14"/>
    </row>
    <row r="17" spans="1:13" x14ac:dyDescent="0.25">
      <c r="A17" s="16" t="s">
        <v>1457</v>
      </c>
      <c r="B17" s="24" t="s">
        <v>1458</v>
      </c>
      <c r="C17" s="60" t="s">
        <v>255</v>
      </c>
      <c r="D17" s="60" t="s">
        <v>1459</v>
      </c>
      <c r="E17" s="69">
        <v>291.41000000000003</v>
      </c>
      <c r="F17" s="66">
        <v>153233.60000000001</v>
      </c>
      <c r="G17" s="84">
        <v>446.53803000000005</v>
      </c>
      <c r="H17" s="32">
        <v>0</v>
      </c>
      <c r="I17" s="24">
        <v>4.23523411596761E-2</v>
      </c>
      <c r="J17" s="24">
        <v>5.1186397080094071E-4</v>
      </c>
      <c r="K17" s="14"/>
      <c r="L17" s="14"/>
      <c r="M17" s="14"/>
    </row>
    <row r="18" spans="1:13" x14ac:dyDescent="0.25">
      <c r="A18" s="16" t="s">
        <v>1449</v>
      </c>
      <c r="B18" s="24" t="s">
        <v>1450</v>
      </c>
      <c r="C18" s="60" t="s">
        <v>255</v>
      </c>
      <c r="D18" s="60" t="s">
        <v>1451</v>
      </c>
      <c r="E18" s="69">
        <v>883.73</v>
      </c>
      <c r="F18" s="66">
        <v>141632</v>
      </c>
      <c r="G18" s="84">
        <v>1251.64447</v>
      </c>
      <c r="H18" s="32">
        <v>0</v>
      </c>
      <c r="I18" s="24">
        <v>0.11871345785276557</v>
      </c>
      <c r="J18" s="24">
        <v>1.4347528438848507E-3</v>
      </c>
      <c r="K18" s="14"/>
      <c r="L18" s="14"/>
      <c r="M18" s="14"/>
    </row>
    <row r="19" spans="1:13" x14ac:dyDescent="0.25">
      <c r="A19" s="16" t="s">
        <v>1449</v>
      </c>
      <c r="B19" s="24" t="s">
        <v>1452</v>
      </c>
      <c r="C19" s="60" t="s">
        <v>255</v>
      </c>
      <c r="D19" s="60" t="s">
        <v>1453</v>
      </c>
      <c r="E19" s="69">
        <v>717.11</v>
      </c>
      <c r="F19" s="66">
        <v>141632</v>
      </c>
      <c r="G19" s="84">
        <v>1015.65723</v>
      </c>
      <c r="H19" s="32">
        <v>0</v>
      </c>
      <c r="I19" s="24">
        <v>9.6331014642250315E-2</v>
      </c>
      <c r="J19" s="24">
        <v>1.1642420304503163E-3</v>
      </c>
      <c r="K19" s="14"/>
      <c r="L19" s="14"/>
      <c r="M19" s="14"/>
    </row>
    <row r="20" spans="1:13" s="119" customFormat="1" x14ac:dyDescent="0.25">
      <c r="A20" s="92" t="s">
        <v>1460</v>
      </c>
      <c r="B20" s="137" t="s">
        <v>249</v>
      </c>
      <c r="C20" s="136" t="s">
        <v>249</v>
      </c>
      <c r="D20" s="136" t="s">
        <v>249</v>
      </c>
      <c r="E20" s="135" t="s">
        <v>249</v>
      </c>
      <c r="F20" s="122" t="s">
        <v>249</v>
      </c>
      <c r="G20" s="124">
        <v>95.382620099999997</v>
      </c>
      <c r="H20" s="121"/>
      <c r="I20" s="137">
        <v>9.0466589535027481E-3</v>
      </c>
      <c r="J20" s="137">
        <v>1.0933654781829806E-4</v>
      </c>
    </row>
    <row r="21" spans="1:13" x14ac:dyDescent="0.25">
      <c r="A21" s="16" t="s">
        <v>1461</v>
      </c>
      <c r="B21" s="24" t="s">
        <v>1462</v>
      </c>
      <c r="C21" s="60" t="s">
        <v>255</v>
      </c>
      <c r="D21" s="60" t="s">
        <v>1463</v>
      </c>
      <c r="E21" s="69">
        <v>96340.71</v>
      </c>
      <c r="F21" s="66">
        <v>99.005499999999998</v>
      </c>
      <c r="G21" s="84">
        <v>95.382619999999989</v>
      </c>
      <c r="H21" s="32">
        <v>6.1727333333333337E-4</v>
      </c>
      <c r="I21" s="24">
        <v>9.0466589440181475E-3</v>
      </c>
      <c r="J21" s="24">
        <v>1.0933654770366863E-4</v>
      </c>
      <c r="K21" s="14"/>
      <c r="L21" s="14"/>
      <c r="M21" s="14"/>
    </row>
    <row r="22" spans="1:13" s="119" customFormat="1" x14ac:dyDescent="0.25">
      <c r="A22" s="92" t="s">
        <v>1464</v>
      </c>
      <c r="B22" s="137" t="s">
        <v>249</v>
      </c>
      <c r="C22" s="136" t="s">
        <v>249</v>
      </c>
      <c r="D22" s="136" t="s">
        <v>249</v>
      </c>
      <c r="E22" s="135" t="s">
        <v>249</v>
      </c>
      <c r="F22" s="122" t="s">
        <v>249</v>
      </c>
      <c r="G22" s="124">
        <v>777.20314009999993</v>
      </c>
      <c r="H22" s="121"/>
      <c r="I22" s="137">
        <v>7.3714600612822909E-2</v>
      </c>
      <c r="J22" s="137">
        <v>8.9090348118959931E-4</v>
      </c>
    </row>
    <row r="23" spans="1:13" x14ac:dyDescent="0.25">
      <c r="A23" s="16" t="s">
        <v>1468</v>
      </c>
      <c r="B23" s="24" t="s">
        <v>1469</v>
      </c>
      <c r="C23" s="60" t="s">
        <v>255</v>
      </c>
      <c r="D23" s="60" t="s">
        <v>1470</v>
      </c>
      <c r="E23" s="69">
        <v>28880.7</v>
      </c>
      <c r="F23" s="66">
        <v>1421.8761</v>
      </c>
      <c r="G23" s="84">
        <v>410.64777000000004</v>
      </c>
      <c r="H23" s="32">
        <v>5.794778474406088E-4</v>
      </c>
      <c r="I23" s="24">
        <v>3.8948293948222516E-2</v>
      </c>
      <c r="J23" s="24">
        <v>4.7072317256550668E-4</v>
      </c>
      <c r="K23" s="14"/>
      <c r="L23" s="14"/>
      <c r="M23" s="14"/>
    </row>
    <row r="24" spans="1:13" x14ac:dyDescent="0.25">
      <c r="A24" s="16" t="s">
        <v>1465</v>
      </c>
      <c r="B24" s="24" t="s">
        <v>1466</v>
      </c>
      <c r="C24" s="60" t="s">
        <v>255</v>
      </c>
      <c r="D24" s="60" t="s">
        <v>1467</v>
      </c>
      <c r="E24" s="69">
        <v>301792</v>
      </c>
      <c r="F24" s="66">
        <v>101.4228</v>
      </c>
      <c r="G24" s="84">
        <v>306.08589000000001</v>
      </c>
      <c r="H24" s="32">
        <v>4.6429538461538461E-4</v>
      </c>
      <c r="I24" s="24">
        <v>2.9031019009608409E-2</v>
      </c>
      <c r="J24" s="24">
        <v>3.5086449201547274E-4</v>
      </c>
      <c r="K24" s="14"/>
      <c r="L24" s="14"/>
      <c r="M24" s="14"/>
    </row>
    <row r="25" spans="1:13" x14ac:dyDescent="0.25">
      <c r="A25" s="16" t="s">
        <v>1471</v>
      </c>
      <c r="B25" s="24" t="s">
        <v>1472</v>
      </c>
      <c r="C25" s="60" t="s">
        <v>125</v>
      </c>
      <c r="D25" s="60" t="s">
        <v>1473</v>
      </c>
      <c r="E25" s="69">
        <v>40.799999999999997</v>
      </c>
      <c r="F25" s="66">
        <v>38755.819000000003</v>
      </c>
      <c r="G25" s="84">
        <v>60.469480000000004</v>
      </c>
      <c r="H25" s="32">
        <v>6.3303253167581541E-4</v>
      </c>
      <c r="I25" s="24">
        <v>5.7352876455073953E-3</v>
      </c>
      <c r="J25" s="24">
        <v>6.9315816493990592E-5</v>
      </c>
      <c r="K25" s="14"/>
      <c r="L25" s="14"/>
      <c r="M25" s="14"/>
    </row>
    <row r="26" spans="1:13" s="119" customFormat="1" x14ac:dyDescent="0.25">
      <c r="A26" s="92" t="s">
        <v>1474</v>
      </c>
      <c r="B26" s="137" t="s">
        <v>249</v>
      </c>
      <c r="C26" s="136" t="s">
        <v>249</v>
      </c>
      <c r="D26" s="136" t="s">
        <v>249</v>
      </c>
      <c r="E26" s="135" t="s">
        <v>249</v>
      </c>
      <c r="F26" s="122" t="s">
        <v>249</v>
      </c>
      <c r="G26" s="124">
        <v>5388.1242204</v>
      </c>
      <c r="H26" s="121"/>
      <c r="I26" s="137">
        <v>0.51104197148246167</v>
      </c>
      <c r="J26" s="137">
        <v>6.1763757470392087E-3</v>
      </c>
    </row>
    <row r="27" spans="1:13" s="119" customFormat="1" x14ac:dyDescent="0.25">
      <c r="A27" s="92" t="s">
        <v>1438</v>
      </c>
      <c r="B27" s="137" t="s">
        <v>249</v>
      </c>
      <c r="C27" s="136" t="s">
        <v>249</v>
      </c>
      <c r="D27" s="136" t="s">
        <v>249</v>
      </c>
      <c r="E27" s="135" t="s">
        <v>249</v>
      </c>
      <c r="F27" s="122" t="s">
        <v>249</v>
      </c>
      <c r="G27" s="124">
        <v>347.84980009999998</v>
      </c>
      <c r="H27" s="121"/>
      <c r="I27" s="137">
        <v>3.2992158374865251E-2</v>
      </c>
      <c r="J27" s="137">
        <v>3.9873822151609224E-4</v>
      </c>
    </row>
    <row r="28" spans="1:13" x14ac:dyDescent="0.25">
      <c r="A28" s="16" t="s">
        <v>1484</v>
      </c>
      <c r="B28" s="24" t="s">
        <v>1485</v>
      </c>
      <c r="C28" s="60" t="s">
        <v>125</v>
      </c>
      <c r="D28" s="60" t="s">
        <v>1483</v>
      </c>
      <c r="E28" s="69">
        <v>4871.43</v>
      </c>
      <c r="F28" s="66">
        <v>99.550000000000011</v>
      </c>
      <c r="G28" s="84">
        <v>18.544529999999998</v>
      </c>
      <c r="H28" s="32">
        <v>1.7559285714285715E-4</v>
      </c>
      <c r="I28" s="24">
        <v>1.7588742916383809E-3</v>
      </c>
      <c r="J28" s="24">
        <v>2.1257487883925961E-5</v>
      </c>
      <c r="K28" s="14"/>
      <c r="L28" s="14"/>
      <c r="M28" s="14"/>
    </row>
    <row r="29" spans="1:13" x14ac:dyDescent="0.25">
      <c r="A29" s="16" t="s">
        <v>1481</v>
      </c>
      <c r="B29" s="24" t="s">
        <v>1482</v>
      </c>
      <c r="C29" s="60" t="s">
        <v>125</v>
      </c>
      <c r="D29" s="60" t="s">
        <v>1483</v>
      </c>
      <c r="E29" s="69">
        <v>7662.04</v>
      </c>
      <c r="F29" s="66">
        <v>98.672499999999999</v>
      </c>
      <c r="G29" s="84">
        <v>28.910679999999999</v>
      </c>
      <c r="H29" s="32">
        <v>4.0969999999999998E-4</v>
      </c>
      <c r="I29" s="24">
        <v>2.7420620423264388E-3</v>
      </c>
      <c r="J29" s="24">
        <v>3.3140145898335552E-5</v>
      </c>
      <c r="K29" s="14"/>
      <c r="L29" s="14"/>
      <c r="M29" s="14"/>
    </row>
    <row r="30" spans="1:13" x14ac:dyDescent="0.25">
      <c r="A30" s="16" t="s">
        <v>1478</v>
      </c>
      <c r="B30" s="24" t="s">
        <v>1479</v>
      </c>
      <c r="C30" s="60" t="s">
        <v>125</v>
      </c>
      <c r="D30" s="60" t="s">
        <v>1480</v>
      </c>
      <c r="E30" s="69">
        <v>22153.29</v>
      </c>
      <c r="F30" s="66">
        <v>98.753899999999987</v>
      </c>
      <c r="G30" s="84">
        <v>83.658550000000005</v>
      </c>
      <c r="H30" s="32">
        <v>1.6177666666666667E-4</v>
      </c>
      <c r="I30" s="24">
        <v>7.9346779277093618E-3</v>
      </c>
      <c r="J30" s="24">
        <v>9.5897313817703357E-5</v>
      </c>
      <c r="K30" s="14"/>
      <c r="L30" s="14"/>
      <c r="M30" s="14"/>
    </row>
    <row r="31" spans="1:13" x14ac:dyDescent="0.25">
      <c r="A31" s="16" t="s">
        <v>1475</v>
      </c>
      <c r="B31" s="24" t="s">
        <v>1476</v>
      </c>
      <c r="C31" s="60" t="s">
        <v>125</v>
      </c>
      <c r="D31" s="60" t="s">
        <v>1477</v>
      </c>
      <c r="E31" s="69">
        <v>27243.86</v>
      </c>
      <c r="F31" s="66">
        <v>96.805899999999994</v>
      </c>
      <c r="G31" s="84">
        <v>100.85289</v>
      </c>
      <c r="H31" s="32">
        <v>2.5491333333333332E-4</v>
      </c>
      <c r="I31" s="24">
        <v>9.565492113223337E-3</v>
      </c>
      <c r="J31" s="24">
        <v>1.1560708668453274E-4</v>
      </c>
      <c r="K31" s="14"/>
      <c r="L31" s="14"/>
      <c r="M31" s="14"/>
    </row>
    <row r="32" spans="1:13" x14ac:dyDescent="0.25">
      <c r="A32" s="16" t="s">
        <v>1492</v>
      </c>
      <c r="B32" s="24" t="s">
        <v>1493</v>
      </c>
      <c r="C32" s="60" t="s">
        <v>125</v>
      </c>
      <c r="D32" s="60" t="s">
        <v>1494</v>
      </c>
      <c r="E32" s="69">
        <v>16555.439999999999</v>
      </c>
      <c r="F32" s="66">
        <v>98.14739999999999</v>
      </c>
      <c r="G32" s="84">
        <v>62.135150000000003</v>
      </c>
      <c r="H32" s="32">
        <v>1.2410142238713668E-4</v>
      </c>
      <c r="I32" s="24">
        <v>5.8932697642967791E-3</v>
      </c>
      <c r="J32" s="24">
        <v>7.1225164417266026E-5</v>
      </c>
      <c r="K32" s="14"/>
      <c r="L32" s="14"/>
      <c r="M32" s="14"/>
    </row>
    <row r="33" spans="1:13" x14ac:dyDescent="0.25">
      <c r="A33" s="16" t="s">
        <v>1486</v>
      </c>
      <c r="B33" s="24" t="s">
        <v>1487</v>
      </c>
      <c r="C33" s="60" t="s">
        <v>125</v>
      </c>
      <c r="D33" s="60" t="s">
        <v>1488</v>
      </c>
      <c r="E33" s="69">
        <v>10921.74</v>
      </c>
      <c r="F33" s="66">
        <v>92.423000000000002</v>
      </c>
      <c r="G33" s="84">
        <v>38.600209999999997</v>
      </c>
      <c r="H33" s="32">
        <v>4.0443500000000003E-4</v>
      </c>
      <c r="I33" s="24">
        <v>3.661075099818801E-3</v>
      </c>
      <c r="J33" s="24">
        <v>4.4247198305484025E-5</v>
      </c>
      <c r="K33" s="14"/>
      <c r="L33" s="14"/>
      <c r="M33" s="14"/>
    </row>
    <row r="34" spans="1:13" x14ac:dyDescent="0.25">
      <c r="A34" s="16" t="s">
        <v>1489</v>
      </c>
      <c r="B34" s="24" t="s">
        <v>1490</v>
      </c>
      <c r="C34" s="60" t="s">
        <v>125</v>
      </c>
      <c r="D34" s="60" t="s">
        <v>1491</v>
      </c>
      <c r="E34" s="69">
        <v>4316.54</v>
      </c>
      <c r="F34" s="66">
        <v>91.768900000000002</v>
      </c>
      <c r="G34" s="84">
        <v>15.147790000000001</v>
      </c>
      <c r="H34" s="32">
        <v>2.4266500000000001E-4</v>
      </c>
      <c r="I34" s="24">
        <v>1.436707126367557E-3</v>
      </c>
      <c r="J34" s="24">
        <v>1.7363824394215161E-5</v>
      </c>
      <c r="K34" s="14"/>
      <c r="L34" s="14"/>
      <c r="M34" s="14"/>
    </row>
    <row r="35" spans="1:13" s="119" customFormat="1" x14ac:dyDescent="0.25">
      <c r="A35" s="92" t="s">
        <v>1445</v>
      </c>
      <c r="B35" s="137" t="s">
        <v>249</v>
      </c>
      <c r="C35" s="136" t="s">
        <v>249</v>
      </c>
      <c r="D35" s="136" t="s">
        <v>249</v>
      </c>
      <c r="E35" s="135" t="s">
        <v>249</v>
      </c>
      <c r="F35" s="122" t="s">
        <v>249</v>
      </c>
      <c r="G35" s="124">
        <v>2409.9144701</v>
      </c>
      <c r="H35" s="121"/>
      <c r="I35" s="137">
        <v>0.22857072174415971</v>
      </c>
      <c r="J35" s="137">
        <v>2.7624710709545407E-3</v>
      </c>
    </row>
    <row r="36" spans="1:13" x14ac:dyDescent="0.25">
      <c r="A36" s="16" t="s">
        <v>1495</v>
      </c>
      <c r="B36" s="24" t="s">
        <v>1496</v>
      </c>
      <c r="C36" s="60" t="s">
        <v>125</v>
      </c>
      <c r="D36" s="60" t="s">
        <v>1497</v>
      </c>
      <c r="E36" s="69">
        <v>143.30000000000001</v>
      </c>
      <c r="F36" s="66">
        <v>154901</v>
      </c>
      <c r="G36" s="84">
        <v>848.82525999999996</v>
      </c>
      <c r="H36" s="32">
        <v>0</v>
      </c>
      <c r="I36" s="24">
        <v>8.0507671421560137E-2</v>
      </c>
      <c r="J36" s="24">
        <v>9.7300350453855152E-4</v>
      </c>
      <c r="K36" s="14"/>
      <c r="L36" s="14"/>
      <c r="M36" s="14"/>
    </row>
    <row r="37" spans="1:13" x14ac:dyDescent="0.25">
      <c r="A37" s="16" t="s">
        <v>1498</v>
      </c>
      <c r="B37" s="24" t="s">
        <v>1499</v>
      </c>
      <c r="C37" s="60" t="s">
        <v>125</v>
      </c>
      <c r="D37" s="60" t="s">
        <v>1500</v>
      </c>
      <c r="E37" s="69">
        <v>288.95</v>
      </c>
      <c r="F37" s="66">
        <v>141282.09999999998</v>
      </c>
      <c r="G37" s="84">
        <v>1561.0892099999999</v>
      </c>
      <c r="H37" s="32">
        <v>0</v>
      </c>
      <c r="I37" s="24">
        <v>0.14806305031311495</v>
      </c>
      <c r="J37" s="24">
        <v>1.7894675663013594E-3</v>
      </c>
      <c r="K37" s="14"/>
      <c r="L37" s="14"/>
      <c r="M37" s="14"/>
    </row>
    <row r="38" spans="1:13" s="119" customFormat="1" x14ac:dyDescent="0.25">
      <c r="A38" s="92" t="s">
        <v>1460</v>
      </c>
      <c r="B38" s="137" t="s">
        <v>249</v>
      </c>
      <c r="C38" s="136" t="s">
        <v>249</v>
      </c>
      <c r="D38" s="136" t="s">
        <v>249</v>
      </c>
      <c r="E38" s="135" t="s">
        <v>249</v>
      </c>
      <c r="F38" s="122" t="s">
        <v>249</v>
      </c>
      <c r="G38" s="124">
        <v>0</v>
      </c>
      <c r="H38" s="121"/>
      <c r="I38" s="137">
        <v>0</v>
      </c>
      <c r="J38" s="137">
        <v>0</v>
      </c>
    </row>
    <row r="39" spans="1:13" s="119" customFormat="1" x14ac:dyDescent="0.25">
      <c r="A39" s="92" t="s">
        <v>1464</v>
      </c>
      <c r="B39" s="137" t="s">
        <v>249</v>
      </c>
      <c r="C39" s="136" t="s">
        <v>249</v>
      </c>
      <c r="D39" s="136" t="s">
        <v>249</v>
      </c>
      <c r="E39" s="135" t="s">
        <v>249</v>
      </c>
      <c r="F39" s="122" t="s">
        <v>249</v>
      </c>
      <c r="G39" s="124">
        <v>2630.3599500999999</v>
      </c>
      <c r="H39" s="121"/>
      <c r="I39" s="137">
        <v>0.24947909135395208</v>
      </c>
      <c r="J39" s="137">
        <v>3.0151664544539468E-3</v>
      </c>
    </row>
    <row r="40" spans="1:13" x14ac:dyDescent="0.25">
      <c r="A40" s="16" t="s">
        <v>1501</v>
      </c>
      <c r="B40" s="24" t="s">
        <v>1502</v>
      </c>
      <c r="C40" s="60" t="s">
        <v>125</v>
      </c>
      <c r="D40" s="60" t="s">
        <v>1503</v>
      </c>
      <c r="E40" s="69">
        <v>62134.25</v>
      </c>
      <c r="F40" s="66">
        <v>159.22240000000002</v>
      </c>
      <c r="G40" s="84">
        <v>378.31484</v>
      </c>
      <c r="H40" s="32">
        <v>1.4294856524093124E-4</v>
      </c>
      <c r="I40" s="24">
        <v>3.5881645219441392E-2</v>
      </c>
      <c r="J40" s="24">
        <v>4.3366012121145097E-4</v>
      </c>
      <c r="K40" s="14"/>
      <c r="L40" s="14"/>
      <c r="M40" s="14"/>
    </row>
    <row r="41" spans="1:13" x14ac:dyDescent="0.25">
      <c r="A41" s="16" t="s">
        <v>1504</v>
      </c>
      <c r="B41" s="24" t="s">
        <v>1505</v>
      </c>
      <c r="C41" s="60" t="s">
        <v>125</v>
      </c>
      <c r="D41" s="60" t="s">
        <v>1506</v>
      </c>
      <c r="E41" s="69">
        <v>19625.48</v>
      </c>
      <c r="F41" s="66">
        <v>91.924899999999994</v>
      </c>
      <c r="G41" s="84">
        <v>68.987660000000005</v>
      </c>
      <c r="H41" s="32">
        <v>5.1429444444444446E-4</v>
      </c>
      <c r="I41" s="24">
        <v>6.5432028535794369E-3</v>
      </c>
      <c r="J41" s="24">
        <v>7.9080157145552019E-5</v>
      </c>
      <c r="K41" s="14"/>
      <c r="L41" s="14"/>
      <c r="M41" s="14"/>
    </row>
    <row r="42" spans="1:13" x14ac:dyDescent="0.25">
      <c r="A42" s="16" t="s">
        <v>1507</v>
      </c>
      <c r="B42" s="24" t="s">
        <v>1508</v>
      </c>
      <c r="C42" s="60" t="s">
        <v>125</v>
      </c>
      <c r="D42" s="60" t="s">
        <v>1509</v>
      </c>
      <c r="E42" s="69">
        <v>61.73</v>
      </c>
      <c r="F42" s="66">
        <v>-2.5361000000000002</v>
      </c>
      <c r="G42" s="84">
        <v>-5.9800000000000001E-3</v>
      </c>
      <c r="H42" s="32">
        <v>7.8983636363636367E-4</v>
      </c>
      <c r="I42" s="24">
        <v>-5.6717901526744107E-7</v>
      </c>
      <c r="J42" s="24">
        <v>-6.8548395427588222E-9</v>
      </c>
      <c r="K42" s="14"/>
      <c r="L42" s="14"/>
      <c r="M42" s="14"/>
    </row>
    <row r="43" spans="1:13" x14ac:dyDescent="0.25">
      <c r="A43" s="16" t="s">
        <v>1510</v>
      </c>
      <c r="B43" s="24" t="s">
        <v>1511</v>
      </c>
      <c r="C43" s="60" t="s">
        <v>125</v>
      </c>
      <c r="D43" s="60" t="s">
        <v>1512</v>
      </c>
      <c r="E43" s="69">
        <v>68666.559999999998</v>
      </c>
      <c r="F43" s="66">
        <v>144.66800000000001</v>
      </c>
      <c r="G43" s="84">
        <v>379.87056999999999</v>
      </c>
      <c r="H43" s="32">
        <v>1.42757920997921E-3</v>
      </c>
      <c r="I43" s="24">
        <v>3.6029199970180857E-2</v>
      </c>
      <c r="J43" s="24">
        <v>4.354434455462095E-4</v>
      </c>
      <c r="K43" s="14"/>
      <c r="L43" s="14"/>
      <c r="M43" s="14"/>
    </row>
    <row r="44" spans="1:13" x14ac:dyDescent="0.25">
      <c r="A44" s="16" t="s">
        <v>1513</v>
      </c>
      <c r="B44" s="24" t="s">
        <v>1514</v>
      </c>
      <c r="C44" s="60" t="s">
        <v>126</v>
      </c>
      <c r="D44" s="60" t="s">
        <v>1515</v>
      </c>
      <c r="E44" s="69">
        <v>78439.740000000005</v>
      </c>
      <c r="F44" s="66">
        <v>105.8759</v>
      </c>
      <c r="G44" s="84">
        <v>336.60500999999999</v>
      </c>
      <c r="H44" s="32">
        <v>4.1695324675324676E-4</v>
      </c>
      <c r="I44" s="24">
        <v>3.1925635134763736E-2</v>
      </c>
      <c r="J44" s="24">
        <v>3.858483834178476E-4</v>
      </c>
      <c r="K44" s="14"/>
      <c r="L44" s="14"/>
      <c r="M44" s="14"/>
    </row>
    <row r="45" spans="1:13" x14ac:dyDescent="0.25">
      <c r="A45" s="16" t="s">
        <v>1516</v>
      </c>
      <c r="B45" s="24" t="s">
        <v>1517</v>
      </c>
      <c r="C45" s="60" t="s">
        <v>125</v>
      </c>
      <c r="D45" s="60" t="s">
        <v>1518</v>
      </c>
      <c r="E45" s="69">
        <v>370268.18</v>
      </c>
      <c r="F45" s="66">
        <v>103.5795</v>
      </c>
      <c r="G45" s="84">
        <v>1466.5878500000001</v>
      </c>
      <c r="H45" s="32">
        <v>1.381705223880597E-3</v>
      </c>
      <c r="I45" s="24">
        <v>0.13909997534551732</v>
      </c>
      <c r="J45" s="24">
        <v>1.6811412018578002E-3</v>
      </c>
      <c r="K45" s="14"/>
      <c r="L45" s="14"/>
      <c r="M45" s="14"/>
    </row>
    <row r="46" spans="1:13" s="119" customFormat="1" x14ac:dyDescent="0.25">
      <c r="A46" s="78" t="s">
        <v>241</v>
      </c>
      <c r="B46" s="125"/>
      <c r="C46" s="126"/>
      <c r="D46" s="126"/>
      <c r="E46" s="126"/>
      <c r="F46" s="127"/>
      <c r="G46" s="128"/>
      <c r="H46" s="129"/>
      <c r="I46" s="129"/>
      <c r="J46" s="129"/>
      <c r="K46" s="148"/>
      <c r="L46" s="130"/>
      <c r="M46" s="130"/>
    </row>
    <row r="47" spans="1:13" s="119" customFormat="1" x14ac:dyDescent="0.25">
      <c r="A47" s="78" t="s">
        <v>242</v>
      </c>
      <c r="B47" s="125"/>
      <c r="C47" s="126"/>
      <c r="D47" s="126"/>
      <c r="E47" s="126"/>
      <c r="F47" s="127"/>
      <c r="G47" s="128"/>
      <c r="H47" s="129"/>
      <c r="I47" s="129"/>
      <c r="J47" s="129"/>
      <c r="K47" s="148"/>
      <c r="L47" s="130"/>
      <c r="M47" s="130"/>
    </row>
    <row r="48" spans="1:13" s="119" customFormat="1" x14ac:dyDescent="0.25">
      <c r="A48" s="78" t="s">
        <v>243</v>
      </c>
      <c r="B48" s="125"/>
      <c r="C48" s="126"/>
      <c r="D48" s="126"/>
      <c r="E48" s="126"/>
      <c r="F48" s="127"/>
      <c r="G48" s="128"/>
      <c r="H48" s="129"/>
      <c r="I48" s="129"/>
      <c r="J48" s="129"/>
      <c r="K48" s="148"/>
      <c r="L48" s="130"/>
      <c r="M48" s="130"/>
    </row>
    <row r="49" spans="1:13" s="119" customFormat="1" x14ac:dyDescent="0.25">
      <c r="A49" s="78" t="s">
        <v>244</v>
      </c>
      <c r="B49" s="125"/>
      <c r="C49" s="126"/>
      <c r="D49" s="126"/>
      <c r="E49" s="126"/>
      <c r="F49" s="127"/>
      <c r="G49" s="128"/>
      <c r="H49" s="129"/>
      <c r="I49" s="129"/>
      <c r="J49" s="129"/>
      <c r="K49" s="148"/>
      <c r="L49" s="130"/>
      <c r="M49" s="130"/>
    </row>
    <row r="50" spans="1:13" s="119" customFormat="1" x14ac:dyDescent="0.25">
      <c r="A50" s="78" t="s">
        <v>245</v>
      </c>
      <c r="B50" s="125"/>
      <c r="C50" s="126"/>
      <c r="D50" s="126"/>
      <c r="E50" s="126"/>
      <c r="F50" s="127"/>
      <c r="G50" s="128"/>
      <c r="H50" s="129"/>
      <c r="I50" s="129"/>
      <c r="J50" s="129"/>
      <c r="K50" s="148"/>
      <c r="L50" s="130"/>
      <c r="M50" s="130"/>
    </row>
  </sheetData>
  <mergeCells count="2">
    <mergeCell ref="A5:J5"/>
    <mergeCell ref="A4:J4"/>
  </mergeCells>
  <phoneticPr fontId="3" type="noConversion"/>
  <conditionalFormatting sqref="A10:A45 G10:G45">
    <cfRule type="expression" dxfId="53" priority="337" stopIfTrue="1">
      <formula>#REF!&gt;0</formula>
    </cfRule>
  </conditionalFormatting>
  <conditionalFormatting sqref="B10:D45 I10:J45">
    <cfRule type="expression" dxfId="52" priority="335" stopIfTrue="1">
      <formula>OR(LEFT(#REF!,3)="TIR",LEFT(#REF!,2)="IR")</formula>
    </cfRule>
  </conditionalFormatting>
  <conditionalFormatting sqref="F11:F45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4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31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5" t="s">
        <v>69</v>
      </c>
      <c r="C6" s="205" t="s">
        <v>19</v>
      </c>
      <c r="D6" s="205" t="s">
        <v>6</v>
      </c>
      <c r="E6" s="205" t="s">
        <v>13</v>
      </c>
      <c r="F6" s="206" t="s">
        <v>67</v>
      </c>
      <c r="G6" s="206" t="s">
        <v>68</v>
      </c>
      <c r="H6" s="206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186.4173102</v>
      </c>
      <c r="I9" s="70"/>
      <c r="J9" s="83">
        <v>1</v>
      </c>
      <c r="K9" s="82">
        <v>2.1368908853071865E-4</v>
      </c>
    </row>
    <row r="10" spans="1:18" s="119" customFormat="1" x14ac:dyDescent="0.25">
      <c r="A10" s="91" t="s">
        <v>1519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171.09834009999997</v>
      </c>
      <c r="I10" s="121" t="s">
        <v>249</v>
      </c>
      <c r="J10" s="121">
        <v>0.91782431533013276</v>
      </c>
      <c r="K10" s="121">
        <v>1.9612904137422695E-4</v>
      </c>
    </row>
    <row r="11" spans="1:18" x14ac:dyDescent="0.25">
      <c r="A11" s="16" t="s">
        <v>1535</v>
      </c>
      <c r="B11" s="24" t="s">
        <v>1536</v>
      </c>
      <c r="C11" s="24" t="s">
        <v>226</v>
      </c>
      <c r="D11" s="25" t="s">
        <v>255</v>
      </c>
      <c r="E11" s="25" t="s">
        <v>1537</v>
      </c>
      <c r="F11" s="110">
        <v>0.40220937560751502</v>
      </c>
      <c r="G11" s="25">
        <v>258.51</v>
      </c>
      <c r="H11" s="84">
        <v>1.0400000000000001E-3</v>
      </c>
      <c r="I11" s="24">
        <v>5.8733845737078709E-8</v>
      </c>
      <c r="J11" s="32">
        <v>5.57888105393337E-6</v>
      </c>
      <c r="K11" s="32">
        <v>1.1921460074363169E-9</v>
      </c>
      <c r="L11" s="14"/>
      <c r="M11" s="14"/>
      <c r="N11" s="14"/>
    </row>
    <row r="12" spans="1:18" x14ac:dyDescent="0.25">
      <c r="A12" s="16" t="s">
        <v>1538</v>
      </c>
      <c r="B12" s="24" t="s">
        <v>1539</v>
      </c>
      <c r="C12" s="24" t="s">
        <v>226</v>
      </c>
      <c r="D12" s="25" t="s">
        <v>255</v>
      </c>
      <c r="E12" s="25" t="s">
        <v>1540</v>
      </c>
      <c r="F12" s="110">
        <v>27637.975367050167</v>
      </c>
      <c r="G12" s="25">
        <v>239.08</v>
      </c>
      <c r="H12" s="84">
        <v>66.07687</v>
      </c>
      <c r="I12" s="24">
        <v>8.5434236065070075E-3</v>
      </c>
      <c r="J12" s="32">
        <v>0.35445672898674829</v>
      </c>
      <c r="K12" s="32">
        <v>7.574353534075821E-5</v>
      </c>
      <c r="L12" s="14"/>
      <c r="M12" s="14"/>
      <c r="N12" s="14"/>
    </row>
    <row r="13" spans="1:18" x14ac:dyDescent="0.25">
      <c r="A13" s="16" t="s">
        <v>1529</v>
      </c>
      <c r="B13" s="24" t="s">
        <v>1530</v>
      </c>
      <c r="C13" s="24" t="s">
        <v>204</v>
      </c>
      <c r="D13" s="25" t="s">
        <v>255</v>
      </c>
      <c r="E13" s="25" t="s">
        <v>1531</v>
      </c>
      <c r="F13" s="110">
        <v>108761.15664683582</v>
      </c>
      <c r="G13" s="25">
        <v>2.8</v>
      </c>
      <c r="H13" s="84">
        <v>3.0453099999999997</v>
      </c>
      <c r="I13" s="24">
        <v>1.2220354679419756E-2</v>
      </c>
      <c r="J13" s="32">
        <v>1.633598294457099E-2</v>
      </c>
      <c r="K13" s="32">
        <v>3.49082130567874E-6</v>
      </c>
      <c r="L13" s="14"/>
      <c r="M13" s="14"/>
      <c r="N13" s="14"/>
    </row>
    <row r="14" spans="1:18" x14ac:dyDescent="0.25">
      <c r="A14" s="16" t="s">
        <v>1523</v>
      </c>
      <c r="B14" s="24" t="s">
        <v>1524</v>
      </c>
      <c r="C14" s="24" t="s">
        <v>198</v>
      </c>
      <c r="D14" s="25" t="s">
        <v>255</v>
      </c>
      <c r="E14" s="25" t="s">
        <v>1525</v>
      </c>
      <c r="F14" s="110">
        <v>4659.588935194196</v>
      </c>
      <c r="G14" s="25">
        <v>1286.25</v>
      </c>
      <c r="H14" s="84">
        <v>59.933959999999999</v>
      </c>
      <c r="I14" s="24">
        <v>8.6535148909193151E-3</v>
      </c>
      <c r="J14" s="32">
        <v>0.32150426339538501</v>
      </c>
      <c r="K14" s="32">
        <v>6.8701953003699913E-5</v>
      </c>
      <c r="L14" s="14"/>
      <c r="M14" s="14"/>
      <c r="N14" s="14"/>
    </row>
    <row r="15" spans="1:18" x14ac:dyDescent="0.25">
      <c r="A15" s="16" t="s">
        <v>1520</v>
      </c>
      <c r="B15" s="24" t="s">
        <v>1521</v>
      </c>
      <c r="C15" s="24" t="s">
        <v>224</v>
      </c>
      <c r="D15" s="25" t="s">
        <v>255</v>
      </c>
      <c r="E15" s="25" t="s">
        <v>1522</v>
      </c>
      <c r="F15" s="110">
        <v>20934.485773591583</v>
      </c>
      <c r="G15" s="25">
        <v>0.01</v>
      </c>
      <c r="H15" s="84">
        <v>2.0899999999999998E-3</v>
      </c>
      <c r="I15" s="24">
        <v>3.3495177237746533E-3</v>
      </c>
      <c r="J15" s="32">
        <v>1.121140519492379E-5</v>
      </c>
      <c r="K15" s="32">
        <v>2.3957549572518288E-9</v>
      </c>
      <c r="L15" s="14"/>
      <c r="M15" s="14"/>
      <c r="N15" s="14"/>
    </row>
    <row r="16" spans="1:18" x14ac:dyDescent="0.25">
      <c r="A16" s="16" t="s">
        <v>1526</v>
      </c>
      <c r="B16" s="24" t="s">
        <v>1527</v>
      </c>
      <c r="C16" s="24" t="s">
        <v>204</v>
      </c>
      <c r="D16" s="25" t="s">
        <v>255</v>
      </c>
      <c r="E16" s="25" t="s">
        <v>1528</v>
      </c>
      <c r="F16" s="110">
        <v>91719.772563786784</v>
      </c>
      <c r="G16" s="25">
        <v>10.66</v>
      </c>
      <c r="H16" s="84">
        <v>9.7773299999999992</v>
      </c>
      <c r="I16" s="24">
        <v>8.0174626366946496E-3</v>
      </c>
      <c r="J16" s="32">
        <v>5.2448616437552262E-2</v>
      </c>
      <c r="K16" s="32">
        <v>1.120769704123781E-5</v>
      </c>
      <c r="L16" s="14"/>
      <c r="M16" s="14"/>
      <c r="N16" s="14"/>
    </row>
    <row r="17" spans="1:14" x14ac:dyDescent="0.25">
      <c r="A17" s="16" t="s">
        <v>1532</v>
      </c>
      <c r="B17" s="24" t="s">
        <v>1533</v>
      </c>
      <c r="C17" s="24" t="s">
        <v>231</v>
      </c>
      <c r="D17" s="25" t="s">
        <v>255</v>
      </c>
      <c r="E17" s="25" t="s">
        <v>1534</v>
      </c>
      <c r="F17" s="110">
        <v>69484.676184686963</v>
      </c>
      <c r="G17" s="25">
        <v>46.43</v>
      </c>
      <c r="H17" s="84">
        <v>32.261740000000003</v>
      </c>
      <c r="I17" s="24">
        <v>8.6855845230858712E-3</v>
      </c>
      <c r="J17" s="32">
        <v>0.17306193274319651</v>
      </c>
      <c r="K17" s="32">
        <v>3.6981446667258197E-5</v>
      </c>
      <c r="L17" s="14"/>
      <c r="M17" s="14"/>
      <c r="N17" s="14"/>
    </row>
    <row r="18" spans="1:14" s="119" customFormat="1" x14ac:dyDescent="0.25">
      <c r="A18" s="92" t="s">
        <v>1541</v>
      </c>
      <c r="B18" s="137" t="s">
        <v>249</v>
      </c>
      <c r="C18" s="137" t="s">
        <v>249</v>
      </c>
      <c r="D18" s="145" t="s">
        <v>249</v>
      </c>
      <c r="E18" s="145" t="s">
        <v>249</v>
      </c>
      <c r="F18" s="144" t="s">
        <v>249</v>
      </c>
      <c r="G18" s="145" t="s">
        <v>249</v>
      </c>
      <c r="H18" s="124">
        <v>15.318970099999998</v>
      </c>
      <c r="I18" s="137"/>
      <c r="J18" s="121">
        <v>8.2175684669867091E-2</v>
      </c>
      <c r="K18" s="121">
        <v>1.7560047156491648E-5</v>
      </c>
    </row>
    <row r="19" spans="1:14" x14ac:dyDescent="0.25">
      <c r="A19" s="16" t="s">
        <v>1542</v>
      </c>
      <c r="B19" s="24" t="s">
        <v>1543</v>
      </c>
      <c r="C19" s="24" t="s">
        <v>184</v>
      </c>
      <c r="D19" s="25" t="s">
        <v>131</v>
      </c>
      <c r="E19" s="25" t="s">
        <v>1544</v>
      </c>
      <c r="F19" s="110">
        <v>36537.358893781224</v>
      </c>
      <c r="G19" s="25">
        <v>14.75</v>
      </c>
      <c r="H19" s="84">
        <v>15.31897</v>
      </c>
      <c r="I19" s="24">
        <v>0</v>
      </c>
      <c r="J19" s="32">
        <v>8.2175684133436219E-2</v>
      </c>
      <c r="K19" s="32">
        <v>1.7560047041862225E-5</v>
      </c>
      <c r="L19" s="14"/>
      <c r="M19" s="14"/>
      <c r="N19" s="14"/>
    </row>
    <row r="20" spans="1:14" s="119" customFormat="1" x14ac:dyDescent="0.25">
      <c r="A20" s="78" t="s">
        <v>241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242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243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244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245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</sheetData>
  <mergeCells count="2">
    <mergeCell ref="A5:K5"/>
    <mergeCell ref="A4:K4"/>
  </mergeCells>
  <phoneticPr fontId="3" type="noConversion"/>
  <conditionalFormatting sqref="A9:A19 H9:H19">
    <cfRule type="expression" dxfId="50" priority="343" stopIfTrue="1">
      <formula>#REF!&gt;0</formula>
    </cfRule>
  </conditionalFormatting>
  <conditionalFormatting sqref="J9:K19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32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5" t="s">
        <v>69</v>
      </c>
      <c r="C6" s="205" t="s">
        <v>19</v>
      </c>
      <c r="D6" s="205" t="s">
        <v>6</v>
      </c>
      <c r="E6" s="205" t="s">
        <v>13</v>
      </c>
      <c r="F6" s="206" t="s">
        <v>67</v>
      </c>
      <c r="G6" s="206" t="s">
        <v>68</v>
      </c>
      <c r="H6" s="206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48.350100999999995</v>
      </c>
      <c r="I9" s="67" t="s">
        <v>249</v>
      </c>
      <c r="J9" s="67">
        <v>1</v>
      </c>
      <c r="K9" s="81">
        <v>5.5423442179127563E-5</v>
      </c>
    </row>
    <row r="10" spans="1:18" s="119" customFormat="1" x14ac:dyDescent="0.25">
      <c r="A10" s="91" t="s">
        <v>1545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48.350100500000003</v>
      </c>
      <c r="I10" s="121" t="s">
        <v>249</v>
      </c>
      <c r="J10" s="121">
        <v>0.99999998965876002</v>
      </c>
      <c r="K10" s="121">
        <v>5.5423441605980456E-5</v>
      </c>
    </row>
    <row r="11" spans="1:18" s="119" customFormat="1" x14ac:dyDescent="0.25">
      <c r="A11" s="92" t="s">
        <v>1263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1546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1547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1269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48.350100099999999</v>
      </c>
      <c r="I15" s="137"/>
      <c r="J15" s="137">
        <v>0.99999998138576796</v>
      </c>
      <c r="K15" s="137">
        <v>5.5423441147462752E-5</v>
      </c>
    </row>
    <row r="16" spans="1:18" x14ac:dyDescent="0.25">
      <c r="A16" s="16" t="s">
        <v>1548</v>
      </c>
      <c r="B16" s="24" t="s">
        <v>1549</v>
      </c>
      <c r="C16" s="24" t="s">
        <v>199</v>
      </c>
      <c r="D16" s="60" t="s">
        <v>255</v>
      </c>
      <c r="E16" s="60" t="s">
        <v>1550</v>
      </c>
      <c r="F16" s="69">
        <v>0.19</v>
      </c>
      <c r="G16" s="60">
        <v>24419242.772829998</v>
      </c>
      <c r="H16" s="84">
        <v>48.350099999999998</v>
      </c>
      <c r="I16" s="24">
        <v>0</v>
      </c>
      <c r="J16" s="24">
        <v>0.99999997931752005</v>
      </c>
      <c r="K16" s="24">
        <v>5.5423441032833329E-5</v>
      </c>
      <c r="L16" s="14"/>
      <c r="M16" s="14"/>
      <c r="N16" s="14"/>
    </row>
    <row r="17" spans="1:14" s="119" customFormat="1" x14ac:dyDescent="0.25">
      <c r="A17" s="92" t="s">
        <v>1551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1263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1278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1269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1279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8" priority="351" stopIfTrue="1">
      <formula>#REF!&gt;0</formula>
    </cfRule>
  </conditionalFormatting>
  <conditionalFormatting sqref="B10:E22 J10:K22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51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4.5546875" style="59" bestFit="1" customWidth="1"/>
    <col min="7" max="7" width="7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3"/>
      <c r="M4" s="12"/>
      <c r="N4" s="12"/>
      <c r="O4" s="12"/>
    </row>
    <row r="5" spans="1:15" s="7" customFormat="1" x14ac:dyDescent="0.25">
      <c r="A5" s="225" t="s">
        <v>33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5" t="s">
        <v>69</v>
      </c>
      <c r="C6" s="205" t="s">
        <v>19</v>
      </c>
      <c r="D6" s="205" t="s">
        <v>6</v>
      </c>
      <c r="E6" s="205" t="s">
        <v>13</v>
      </c>
      <c r="F6" s="206" t="s">
        <v>67</v>
      </c>
      <c r="G6" s="206" t="s">
        <v>68</v>
      </c>
      <c r="H6" s="206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-12942.407199100006</v>
      </c>
      <c r="I9" s="67">
        <v>1</v>
      </c>
      <c r="J9" s="81">
        <v>-1.483580679713665E-2</v>
      </c>
    </row>
    <row r="10" spans="1:15" s="119" customFormat="1" x14ac:dyDescent="0.25">
      <c r="A10" s="91" t="s">
        <v>1552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-532.84735949999936</v>
      </c>
      <c r="I10" s="121">
        <v>4.1170653287516144E-2</v>
      </c>
      <c r="J10" s="121">
        <v>-6.1079985788548854E-4</v>
      </c>
    </row>
    <row r="11" spans="1:15" s="119" customFormat="1" x14ac:dyDescent="0.25">
      <c r="A11" s="92" t="s">
        <v>1263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259.27444009999908</v>
      </c>
      <c r="I11" s="137">
        <v>-2.0032937931208701E-2</v>
      </c>
      <c r="J11" s="137">
        <v>2.9720479672644271E-4</v>
      </c>
    </row>
    <row r="12" spans="1:15" x14ac:dyDescent="0.25">
      <c r="A12" s="16" t="s">
        <v>1553</v>
      </c>
      <c r="B12" s="24" t="s">
        <v>1554</v>
      </c>
      <c r="C12" s="24" t="s">
        <v>200</v>
      </c>
      <c r="D12" s="60" t="s">
        <v>255</v>
      </c>
      <c r="E12" s="60" t="s">
        <v>1555</v>
      </c>
      <c r="F12" s="69">
        <v>27678.062680233637</v>
      </c>
      <c r="G12" s="60">
        <v>15.75</v>
      </c>
      <c r="H12" s="84">
        <v>435.92948999999999</v>
      </c>
      <c r="I12" s="24">
        <v>-3.3682257349337129E-2</v>
      </c>
      <c r="J12" s="24">
        <v>4.9970346252620169E-4</v>
      </c>
      <c r="K12" s="14"/>
      <c r="L12" s="14"/>
      <c r="M12" s="14"/>
      <c r="N12" s="14"/>
    </row>
    <row r="13" spans="1:15" x14ac:dyDescent="0.25">
      <c r="A13" s="16" t="s">
        <v>1556</v>
      </c>
      <c r="B13" s="24" t="s">
        <v>1557</v>
      </c>
      <c r="C13" s="24" t="s">
        <v>200</v>
      </c>
      <c r="D13" s="60" t="s">
        <v>255</v>
      </c>
      <c r="E13" s="60" t="s">
        <v>1555</v>
      </c>
      <c r="F13" s="69">
        <v>-27678.062680233637</v>
      </c>
      <c r="G13" s="60">
        <v>15.408989999999999</v>
      </c>
      <c r="H13" s="84">
        <v>-426.49101000000002</v>
      </c>
      <c r="I13" s="24">
        <v>3.2952989613064983E-2</v>
      </c>
      <c r="J13" s="24">
        <v>-4.8888418728748302E-4</v>
      </c>
      <c r="K13" s="14"/>
      <c r="L13" s="14"/>
      <c r="M13" s="14"/>
      <c r="N13" s="14"/>
    </row>
    <row r="14" spans="1:15" x14ac:dyDescent="0.25">
      <c r="A14" s="16" t="s">
        <v>1558</v>
      </c>
      <c r="B14" s="24" t="s">
        <v>1559</v>
      </c>
      <c r="C14" s="24" t="s">
        <v>200</v>
      </c>
      <c r="D14" s="60" t="s">
        <v>255</v>
      </c>
      <c r="E14" s="60" t="s">
        <v>1560</v>
      </c>
      <c r="F14" s="69">
        <v>12931.704001813905</v>
      </c>
      <c r="G14" s="60">
        <v>15.75</v>
      </c>
      <c r="H14" s="84">
        <v>203.67434</v>
      </c>
      <c r="I14" s="24">
        <v>-1.5736975113421186E-2</v>
      </c>
      <c r="J14" s="24">
        <v>2.3347072235406434E-4</v>
      </c>
      <c r="K14" s="14"/>
      <c r="L14" s="14"/>
      <c r="M14" s="14"/>
      <c r="N14" s="14"/>
    </row>
    <row r="15" spans="1:15" x14ac:dyDescent="0.25">
      <c r="A15" s="16" t="s">
        <v>1561</v>
      </c>
      <c r="B15" s="24" t="s">
        <v>1562</v>
      </c>
      <c r="C15" s="24" t="s">
        <v>200</v>
      </c>
      <c r="D15" s="60" t="s">
        <v>255</v>
      </c>
      <c r="E15" s="60" t="s">
        <v>1560</v>
      </c>
      <c r="F15" s="69">
        <v>-12931.704001813905</v>
      </c>
      <c r="G15" s="60">
        <v>15.452735000000001</v>
      </c>
      <c r="H15" s="84">
        <v>-199.83020000000002</v>
      </c>
      <c r="I15" s="24">
        <v>1.5439956178623083E-2</v>
      </c>
      <c r="J15" s="24">
        <v>-2.2906420682230837E-4</v>
      </c>
      <c r="K15" s="14"/>
      <c r="L15" s="14"/>
      <c r="M15" s="14"/>
      <c r="N15" s="14"/>
    </row>
    <row r="16" spans="1:15" x14ac:dyDescent="0.25">
      <c r="A16" s="16" t="s">
        <v>1563</v>
      </c>
      <c r="B16" s="24" t="s">
        <v>1564</v>
      </c>
      <c r="C16" s="24" t="s">
        <v>200</v>
      </c>
      <c r="D16" s="60" t="s">
        <v>255</v>
      </c>
      <c r="E16" s="60" t="s">
        <v>1565</v>
      </c>
      <c r="F16" s="69">
        <v>59508.226727342335</v>
      </c>
      <c r="G16" s="60">
        <v>20.59</v>
      </c>
      <c r="H16" s="84">
        <v>1225.2743899999998</v>
      </c>
      <c r="I16" s="24">
        <v>-9.4671290367467617E-2</v>
      </c>
      <c r="J16" s="24">
        <v>1.4045249731273735E-3</v>
      </c>
      <c r="K16" s="14"/>
      <c r="L16" s="14"/>
      <c r="M16" s="14"/>
      <c r="N16" s="14"/>
    </row>
    <row r="17" spans="1:14" x14ac:dyDescent="0.25">
      <c r="A17" s="16" t="s">
        <v>1566</v>
      </c>
      <c r="B17" s="24" t="s">
        <v>1567</v>
      </c>
      <c r="C17" s="24" t="s">
        <v>200</v>
      </c>
      <c r="D17" s="60" t="s">
        <v>255</v>
      </c>
      <c r="E17" s="60" t="s">
        <v>1565</v>
      </c>
      <c r="F17" s="69">
        <v>-59508.226727342335</v>
      </c>
      <c r="G17" s="60">
        <v>19.215540000000001</v>
      </c>
      <c r="H17" s="84">
        <v>-1143.4827399999999</v>
      </c>
      <c r="I17" s="24">
        <v>8.8351627514819342E-2</v>
      </c>
      <c r="J17" s="24">
        <v>-1.3107676760224422E-3</v>
      </c>
      <c r="K17" s="14"/>
      <c r="L17" s="14"/>
      <c r="M17" s="14"/>
      <c r="N17" s="14"/>
    </row>
    <row r="18" spans="1:14" x14ac:dyDescent="0.25">
      <c r="A18" s="16" t="s">
        <v>1568</v>
      </c>
      <c r="B18" s="24" t="s">
        <v>1569</v>
      </c>
      <c r="C18" s="24" t="s">
        <v>200</v>
      </c>
      <c r="D18" s="60" t="s">
        <v>255</v>
      </c>
      <c r="E18" s="60" t="s">
        <v>1570</v>
      </c>
      <c r="F18" s="69">
        <v>236714.96076798221</v>
      </c>
      <c r="G18" s="60">
        <v>33.89</v>
      </c>
      <c r="H18" s="84">
        <v>8022.2700199999999</v>
      </c>
      <c r="I18" s="24">
        <v>-0.61984373514054292</v>
      </c>
      <c r="J18" s="24">
        <v>9.1958818989606363E-3</v>
      </c>
      <c r="K18" s="14"/>
      <c r="L18" s="14"/>
      <c r="M18" s="14"/>
      <c r="N18" s="14"/>
    </row>
    <row r="19" spans="1:14" x14ac:dyDescent="0.25">
      <c r="A19" s="16" t="s">
        <v>1571</v>
      </c>
      <c r="B19" s="24" t="s">
        <v>1572</v>
      </c>
      <c r="C19" s="24" t="s">
        <v>200</v>
      </c>
      <c r="D19" s="60" t="s">
        <v>255</v>
      </c>
      <c r="E19" s="60" t="s">
        <v>1570</v>
      </c>
      <c r="F19" s="69">
        <v>-236714.96076798221</v>
      </c>
      <c r="G19" s="60">
        <v>33.899054</v>
      </c>
      <c r="H19" s="84">
        <v>-8024.4133899999997</v>
      </c>
      <c r="I19" s="24">
        <v>0.62000934343635894</v>
      </c>
      <c r="J19" s="24">
        <v>-9.1983388316413655E-3</v>
      </c>
      <c r="K19" s="14"/>
      <c r="L19" s="14"/>
      <c r="M19" s="14"/>
      <c r="N19" s="14"/>
    </row>
    <row r="20" spans="1:14" x14ac:dyDescent="0.25">
      <c r="A20" s="16" t="s">
        <v>1573</v>
      </c>
      <c r="B20" s="24" t="s">
        <v>1574</v>
      </c>
      <c r="C20" s="24" t="s">
        <v>200</v>
      </c>
      <c r="D20" s="60" t="s">
        <v>255</v>
      </c>
      <c r="E20" s="60" t="s">
        <v>1575</v>
      </c>
      <c r="F20" s="69">
        <v>61689.217088402387</v>
      </c>
      <c r="G20" s="60">
        <v>39.619999999999997</v>
      </c>
      <c r="H20" s="84">
        <v>2444.1267799999996</v>
      </c>
      <c r="I20" s="24">
        <v>-0.18884638246971247</v>
      </c>
      <c r="J20" s="24">
        <v>2.8016884446588276E-3</v>
      </c>
      <c r="K20" s="14"/>
      <c r="L20" s="14"/>
      <c r="M20" s="14"/>
      <c r="N20" s="14"/>
    </row>
    <row r="21" spans="1:14" x14ac:dyDescent="0.25">
      <c r="A21" s="16" t="s">
        <v>1576</v>
      </c>
      <c r="B21" s="24" t="s">
        <v>1577</v>
      </c>
      <c r="C21" s="24" t="s">
        <v>200</v>
      </c>
      <c r="D21" s="60" t="s">
        <v>255</v>
      </c>
      <c r="E21" s="60" t="s">
        <v>1575</v>
      </c>
      <c r="F21" s="69">
        <v>-61689.217088402387</v>
      </c>
      <c r="G21" s="60">
        <v>37.803959999999996</v>
      </c>
      <c r="H21" s="84">
        <v>-2332.0967300000002</v>
      </c>
      <c r="I21" s="24">
        <v>0.18019033817466121</v>
      </c>
      <c r="J21" s="24">
        <v>-2.6732690438699908E-3</v>
      </c>
      <c r="K21" s="14"/>
      <c r="L21" s="14"/>
      <c r="M21" s="14"/>
      <c r="N21" s="14"/>
    </row>
    <row r="22" spans="1:14" x14ac:dyDescent="0.25">
      <c r="A22" s="16" t="s">
        <v>1578</v>
      </c>
      <c r="B22" s="24" t="s">
        <v>1579</v>
      </c>
      <c r="C22" s="24" t="s">
        <v>200</v>
      </c>
      <c r="D22" s="60" t="s">
        <v>255</v>
      </c>
      <c r="E22" s="60" t="s">
        <v>1575</v>
      </c>
      <c r="F22" s="69">
        <v>43472.464074522097</v>
      </c>
      <c r="G22" s="60">
        <v>20.59</v>
      </c>
      <c r="H22" s="84">
        <v>895.09804000000008</v>
      </c>
      <c r="I22" s="24">
        <v>-6.9160089481827128E-2</v>
      </c>
      <c r="J22" s="24">
        <v>1.02604572562507E-3</v>
      </c>
      <c r="K22" s="14"/>
      <c r="L22" s="14"/>
      <c r="M22" s="14"/>
      <c r="N22" s="14"/>
    </row>
    <row r="23" spans="1:14" x14ac:dyDescent="0.25">
      <c r="A23" s="16" t="s">
        <v>1580</v>
      </c>
      <c r="B23" s="24" t="s">
        <v>1581</v>
      </c>
      <c r="C23" s="24" t="s">
        <v>200</v>
      </c>
      <c r="D23" s="60" t="s">
        <v>255</v>
      </c>
      <c r="E23" s="60" t="s">
        <v>1575</v>
      </c>
      <c r="F23" s="69">
        <v>-43472.464074522097</v>
      </c>
      <c r="G23" s="60">
        <v>19.340623000000001</v>
      </c>
      <c r="H23" s="84">
        <v>-840.78455000000008</v>
      </c>
      <c r="I23" s="24">
        <v>6.4963537081298664E-2</v>
      </c>
      <c r="J23" s="24">
        <v>-9.6378648499676964E-4</v>
      </c>
      <c r="K23" s="14"/>
      <c r="L23" s="14"/>
      <c r="M23" s="14"/>
      <c r="N23" s="14"/>
    </row>
    <row r="24" spans="1:14" s="119" customFormat="1" x14ac:dyDescent="0.25">
      <c r="A24" s="92" t="s">
        <v>1269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5" t="s">
        <v>249</v>
      </c>
      <c r="G24" s="136" t="s">
        <v>249</v>
      </c>
      <c r="H24" s="124">
        <v>0</v>
      </c>
      <c r="I24" s="137">
        <v>0</v>
      </c>
      <c r="J24" s="137">
        <v>0</v>
      </c>
    </row>
    <row r="25" spans="1:14" s="119" customFormat="1" x14ac:dyDescent="0.25">
      <c r="A25" s="92" t="s">
        <v>1582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5" t="s">
        <v>249</v>
      </c>
      <c r="G25" s="136" t="s">
        <v>249</v>
      </c>
      <c r="H25" s="124">
        <v>0</v>
      </c>
      <c r="I25" s="137">
        <v>0</v>
      </c>
      <c r="J25" s="137">
        <v>0</v>
      </c>
    </row>
    <row r="26" spans="1:14" s="119" customFormat="1" x14ac:dyDescent="0.25">
      <c r="A26" s="92" t="s">
        <v>1547</v>
      </c>
      <c r="B26" s="137" t="s">
        <v>249</v>
      </c>
      <c r="C26" s="137" t="s">
        <v>249</v>
      </c>
      <c r="D26" s="136" t="s">
        <v>249</v>
      </c>
      <c r="E26" s="136" t="s">
        <v>249</v>
      </c>
      <c r="F26" s="135" t="s">
        <v>249</v>
      </c>
      <c r="G26" s="136" t="s">
        <v>249</v>
      </c>
      <c r="H26" s="124">
        <v>-121.69858990000048</v>
      </c>
      <c r="I26" s="137">
        <v>9.4030876967356736E-3</v>
      </c>
      <c r="J26" s="137">
        <v>-1.3950239236530312E-4</v>
      </c>
    </row>
    <row r="27" spans="1:14" x14ac:dyDescent="0.25">
      <c r="A27" s="16" t="s">
        <v>1588</v>
      </c>
      <c r="B27" s="24" t="s">
        <v>1589</v>
      </c>
      <c r="C27" s="24" t="s">
        <v>200</v>
      </c>
      <c r="D27" s="60" t="s">
        <v>361</v>
      </c>
      <c r="E27" s="60" t="s">
        <v>1570</v>
      </c>
      <c r="F27" s="69">
        <v>10211931.91629733</v>
      </c>
      <c r="G27" s="60">
        <v>1.000256</v>
      </c>
      <c r="H27" s="84">
        <v>262.10539999999997</v>
      </c>
      <c r="I27" s="24">
        <v>-2.0251673121382423E-2</v>
      </c>
      <c r="J27" s="24">
        <v>3.0044990974759496E-4</v>
      </c>
      <c r="K27" s="14"/>
      <c r="L27" s="14"/>
      <c r="M27" s="14"/>
      <c r="N27" s="14"/>
    </row>
    <row r="28" spans="1:14" x14ac:dyDescent="0.25">
      <c r="A28" s="16" t="s">
        <v>1590</v>
      </c>
      <c r="B28" s="24" t="s">
        <v>1591</v>
      </c>
      <c r="C28" s="24" t="s">
        <v>200</v>
      </c>
      <c r="D28" s="60" t="s">
        <v>125</v>
      </c>
      <c r="E28" s="60" t="s">
        <v>1570</v>
      </c>
      <c r="F28" s="69">
        <v>-74322.648586058698</v>
      </c>
      <c r="G28" s="60">
        <v>0.99676699999999996</v>
      </c>
      <c r="H28" s="84">
        <v>-283.29109999999997</v>
      </c>
      <c r="I28" s="24">
        <v>2.1888594265501056E-2</v>
      </c>
      <c r="J28" s="24">
        <v>-3.2473495558388689E-4</v>
      </c>
      <c r="K28" s="14"/>
      <c r="L28" s="14"/>
      <c r="M28" s="14"/>
      <c r="N28" s="14"/>
    </row>
    <row r="29" spans="1:14" x14ac:dyDescent="0.25">
      <c r="A29" s="16" t="s">
        <v>1595</v>
      </c>
      <c r="B29" s="24" t="s">
        <v>1596</v>
      </c>
      <c r="C29" s="24" t="s">
        <v>200</v>
      </c>
      <c r="D29" s="60" t="s">
        <v>125</v>
      </c>
      <c r="E29" s="60" t="s">
        <v>1597</v>
      </c>
      <c r="F29" s="69">
        <v>369277.51420291432</v>
      </c>
      <c r="G29" s="60">
        <v>0.97838400000000003</v>
      </c>
      <c r="H29" s="84">
        <v>1381.5940000000001</v>
      </c>
      <c r="I29" s="24">
        <v>-0.10674938431052253</v>
      </c>
      <c r="J29" s="24">
        <v>1.5837132413442027E-3</v>
      </c>
      <c r="K29" s="14"/>
      <c r="L29" s="14"/>
      <c r="M29" s="14"/>
      <c r="N29" s="14"/>
    </row>
    <row r="30" spans="1:14" x14ac:dyDescent="0.25">
      <c r="A30" s="16" t="s">
        <v>1598</v>
      </c>
      <c r="B30" s="24" t="s">
        <v>1599</v>
      </c>
      <c r="C30" s="24" t="s">
        <v>200</v>
      </c>
      <c r="D30" s="60" t="s">
        <v>2</v>
      </c>
      <c r="E30" s="60" t="s">
        <v>1597</v>
      </c>
      <c r="F30" s="69">
        <v>-298427.77592141193</v>
      </c>
      <c r="G30" s="60">
        <v>0.97932300000000005</v>
      </c>
      <c r="H30" s="84">
        <v>-1367.1505900000002</v>
      </c>
      <c r="I30" s="24">
        <v>0.10563340875993064</v>
      </c>
      <c r="J30" s="24">
        <v>-1.5671568436852934E-3</v>
      </c>
      <c r="K30" s="14"/>
      <c r="L30" s="14"/>
      <c r="M30" s="14"/>
      <c r="N30" s="14"/>
    </row>
    <row r="31" spans="1:14" x14ac:dyDescent="0.25">
      <c r="A31" s="16" t="s">
        <v>1583</v>
      </c>
      <c r="B31" s="24" t="s">
        <v>1584</v>
      </c>
      <c r="C31" s="24" t="s">
        <v>200</v>
      </c>
      <c r="D31" s="60" t="s">
        <v>126</v>
      </c>
      <c r="E31" s="60" t="s">
        <v>1585</v>
      </c>
      <c r="F31" s="69">
        <v>897000</v>
      </c>
      <c r="G31" s="60">
        <v>0.99839999999999995</v>
      </c>
      <c r="H31" s="84">
        <v>3629.8149900000003</v>
      </c>
      <c r="I31" s="24">
        <v>-0.28045903162839841</v>
      </c>
      <c r="J31" s="24">
        <v>4.1608360077509563E-3</v>
      </c>
      <c r="K31" s="14"/>
      <c r="L31" s="14"/>
      <c r="M31" s="14"/>
      <c r="N31" s="14"/>
    </row>
    <row r="32" spans="1:14" x14ac:dyDescent="0.25">
      <c r="A32" s="16" t="s">
        <v>1586</v>
      </c>
      <c r="B32" s="24" t="s">
        <v>1587</v>
      </c>
      <c r="C32" s="24" t="s">
        <v>200</v>
      </c>
      <c r="D32" s="60" t="s">
        <v>125</v>
      </c>
      <c r="E32" s="60" t="s">
        <v>1585</v>
      </c>
      <c r="F32" s="69">
        <v>-965082.3</v>
      </c>
      <c r="G32" s="60">
        <v>0.99779300000000004</v>
      </c>
      <c r="H32" s="84">
        <v>-3682.3322200000002</v>
      </c>
      <c r="I32" s="24">
        <v>0.28451679531888502</v>
      </c>
      <c r="J32" s="24">
        <v>-4.2210362058914515E-3</v>
      </c>
      <c r="K32" s="14"/>
      <c r="L32" s="14"/>
      <c r="M32" s="14"/>
      <c r="N32" s="14"/>
    </row>
    <row r="33" spans="1:14" x14ac:dyDescent="0.25">
      <c r="A33" s="16" t="s">
        <v>1583</v>
      </c>
      <c r="B33" s="24" t="s">
        <v>1592</v>
      </c>
      <c r="C33" s="24" t="s">
        <v>200</v>
      </c>
      <c r="D33" s="60" t="s">
        <v>126</v>
      </c>
      <c r="E33" s="60" t="s">
        <v>1593</v>
      </c>
      <c r="F33" s="69">
        <v>664000</v>
      </c>
      <c r="G33" s="60">
        <v>0.99839999999999995</v>
      </c>
      <c r="H33" s="84">
        <v>2686.9533500000002</v>
      </c>
      <c r="I33" s="24">
        <v>-0.20760846948061148</v>
      </c>
      <c r="J33" s="24">
        <v>3.0800391426635929E-3</v>
      </c>
      <c r="K33" s="14"/>
      <c r="L33" s="14"/>
      <c r="M33" s="14"/>
      <c r="N33" s="14"/>
    </row>
    <row r="34" spans="1:14" x14ac:dyDescent="0.25">
      <c r="A34" s="16" t="s">
        <v>1586</v>
      </c>
      <c r="B34" s="24" t="s">
        <v>1594</v>
      </c>
      <c r="C34" s="24" t="s">
        <v>200</v>
      </c>
      <c r="D34" s="60" t="s">
        <v>125</v>
      </c>
      <c r="E34" s="60" t="s">
        <v>1593</v>
      </c>
      <c r="F34" s="69">
        <v>-727843.6</v>
      </c>
      <c r="G34" s="60">
        <v>0.99779300000000004</v>
      </c>
      <c r="H34" s="84">
        <v>-2777.1330400000002</v>
      </c>
      <c r="I34" s="24">
        <v>0.21457623742460499</v>
      </c>
      <c r="J34" s="24">
        <v>-3.183411601687963E-3</v>
      </c>
      <c r="K34" s="14"/>
      <c r="L34" s="14"/>
      <c r="M34" s="14"/>
      <c r="N34" s="14"/>
    </row>
    <row r="35" spans="1:14" x14ac:dyDescent="0.25">
      <c r="A35" s="16" t="s">
        <v>1590</v>
      </c>
      <c r="B35" s="24" t="s">
        <v>1600</v>
      </c>
      <c r="C35" s="24" t="s">
        <v>200</v>
      </c>
      <c r="D35" s="60" t="s">
        <v>125</v>
      </c>
      <c r="E35" s="60" t="s">
        <v>1601</v>
      </c>
      <c r="F35" s="69">
        <v>900000</v>
      </c>
      <c r="G35" s="60">
        <v>0.99676699999999996</v>
      </c>
      <c r="H35" s="84">
        <v>3430.4750600000002</v>
      </c>
      <c r="I35" s="24">
        <v>-0.26505695634723575</v>
      </c>
      <c r="J35" s="24">
        <v>3.9323337946046725E-3</v>
      </c>
      <c r="K35" s="14"/>
      <c r="L35" s="14"/>
      <c r="M35" s="14"/>
      <c r="N35" s="14"/>
    </row>
    <row r="36" spans="1:14" x14ac:dyDescent="0.25">
      <c r="A36" s="16" t="s">
        <v>1588</v>
      </c>
      <c r="B36" s="24" t="s">
        <v>1602</v>
      </c>
      <c r="C36" s="24" t="s">
        <v>200</v>
      </c>
      <c r="D36" s="60" t="s">
        <v>361</v>
      </c>
      <c r="E36" s="60" t="s">
        <v>1601</v>
      </c>
      <c r="F36" s="69">
        <v>-132574500</v>
      </c>
      <c r="G36" s="60">
        <v>1.000256</v>
      </c>
      <c r="H36" s="84">
        <v>-3402.7344399999997</v>
      </c>
      <c r="I36" s="24">
        <v>0.26291356682369105</v>
      </c>
      <c r="J36" s="24">
        <v>-3.9005348817423569E-3</v>
      </c>
      <c r="K36" s="14"/>
      <c r="L36" s="14"/>
      <c r="M36" s="14"/>
      <c r="N36" s="14"/>
    </row>
    <row r="37" spans="1:14" s="119" customFormat="1" x14ac:dyDescent="0.25">
      <c r="A37" s="92" t="s">
        <v>1546</v>
      </c>
      <c r="B37" s="137" t="s">
        <v>249</v>
      </c>
      <c r="C37" s="137" t="s">
        <v>249</v>
      </c>
      <c r="D37" s="136" t="s">
        <v>249</v>
      </c>
      <c r="E37" s="136" t="s">
        <v>249</v>
      </c>
      <c r="F37" s="135" t="s">
        <v>249</v>
      </c>
      <c r="G37" s="136" t="s">
        <v>249</v>
      </c>
      <c r="H37" s="124">
        <v>-670.42320989999689</v>
      </c>
      <c r="I37" s="137">
        <v>5.1800503537442172E-2</v>
      </c>
      <c r="J37" s="137">
        <v>-7.6850226247588565E-4</v>
      </c>
    </row>
    <row r="38" spans="1:14" x14ac:dyDescent="0.25">
      <c r="A38" s="16" t="s">
        <v>1613</v>
      </c>
      <c r="B38" s="24" t="s">
        <v>1614</v>
      </c>
      <c r="C38" s="24" t="s">
        <v>200</v>
      </c>
      <c r="D38" s="60" t="s">
        <v>255</v>
      </c>
      <c r="E38" s="60" t="s">
        <v>1615</v>
      </c>
      <c r="F38" s="69">
        <v>572126.13375453011</v>
      </c>
      <c r="G38" s="60">
        <v>0.97453000000000001</v>
      </c>
      <c r="H38" s="84">
        <v>557.55442000000005</v>
      </c>
      <c r="I38" s="24">
        <v>-4.3079653685967431E-2</v>
      </c>
      <c r="J38" s="24">
        <v>6.3912141897256864E-4</v>
      </c>
      <c r="K38" s="14"/>
      <c r="L38" s="14"/>
      <c r="M38" s="14"/>
      <c r="N38" s="14"/>
    </row>
    <row r="39" spans="1:14" x14ac:dyDescent="0.25">
      <c r="A39" s="16" t="s">
        <v>1616</v>
      </c>
      <c r="B39" s="24" t="s">
        <v>1617</v>
      </c>
      <c r="C39" s="24" t="s">
        <v>200</v>
      </c>
      <c r="D39" s="60" t="s">
        <v>125</v>
      </c>
      <c r="E39" s="60" t="s">
        <v>1615</v>
      </c>
      <c r="F39" s="69">
        <v>-160349.25273389299</v>
      </c>
      <c r="G39" s="60">
        <v>0.96175999999999995</v>
      </c>
      <c r="H39" s="84">
        <v>-589.72818000000007</v>
      </c>
      <c r="I39" s="24">
        <v>4.5565571452659034E-2</v>
      </c>
      <c r="J39" s="24">
        <v>-6.760020146727747E-4</v>
      </c>
      <c r="K39" s="14"/>
      <c r="L39" s="14"/>
      <c r="M39" s="14"/>
      <c r="N39" s="14"/>
    </row>
    <row r="40" spans="1:14" x14ac:dyDescent="0.25">
      <c r="A40" s="16" t="s">
        <v>1611</v>
      </c>
      <c r="B40" s="24" t="s">
        <v>1627</v>
      </c>
      <c r="C40" s="24" t="s">
        <v>200</v>
      </c>
      <c r="D40" s="60" t="s">
        <v>125</v>
      </c>
      <c r="E40" s="60" t="s">
        <v>1628</v>
      </c>
      <c r="F40" s="69">
        <v>1000000</v>
      </c>
      <c r="G40" s="60">
        <v>0.99060800000000004</v>
      </c>
      <c r="H40" s="84">
        <v>3788.0869900000002</v>
      </c>
      <c r="I40" s="24">
        <v>-0.29268797772514976</v>
      </c>
      <c r="J40" s="24">
        <v>4.3422622893749575E-3</v>
      </c>
      <c r="K40" s="14"/>
      <c r="L40" s="14"/>
      <c r="M40" s="14"/>
      <c r="N40" s="14"/>
    </row>
    <row r="41" spans="1:14" x14ac:dyDescent="0.25">
      <c r="A41" s="16" t="s">
        <v>1608</v>
      </c>
      <c r="B41" s="24" t="s">
        <v>1629</v>
      </c>
      <c r="C41" s="24" t="s">
        <v>200</v>
      </c>
      <c r="D41" s="60" t="s">
        <v>255</v>
      </c>
      <c r="E41" s="60" t="s">
        <v>1628</v>
      </c>
      <c r="F41" s="69">
        <v>-3720000</v>
      </c>
      <c r="G41" s="60">
        <v>0.99354699999999996</v>
      </c>
      <c r="H41" s="84">
        <v>-3695.9952499999999</v>
      </c>
      <c r="I41" s="24">
        <v>0.28557247451285672</v>
      </c>
      <c r="J41" s="24">
        <v>-4.236698058452973E-3</v>
      </c>
      <c r="K41" s="14"/>
      <c r="L41" s="14"/>
      <c r="M41" s="14"/>
      <c r="N41" s="14"/>
    </row>
    <row r="42" spans="1:14" x14ac:dyDescent="0.25">
      <c r="A42" s="16" t="s">
        <v>1603</v>
      </c>
      <c r="B42" s="24" t="s">
        <v>1604</v>
      </c>
      <c r="C42" s="24" t="s">
        <v>200</v>
      </c>
      <c r="D42" s="60" t="s">
        <v>255</v>
      </c>
      <c r="E42" s="60" t="s">
        <v>1605</v>
      </c>
      <c r="F42" s="69">
        <v>35579000</v>
      </c>
      <c r="G42" s="60">
        <v>0.98297100000000004</v>
      </c>
      <c r="H42" s="84">
        <v>34973.159610000002</v>
      </c>
      <c r="I42" s="24">
        <v>-2.7022144390907417</v>
      </c>
      <c r="J42" s="24">
        <v>4.008953134278323E-2</v>
      </c>
      <c r="K42" s="14"/>
      <c r="L42" s="14"/>
      <c r="M42" s="14"/>
      <c r="N42" s="14"/>
    </row>
    <row r="43" spans="1:14" x14ac:dyDescent="0.25">
      <c r="A43" s="16" t="s">
        <v>1606</v>
      </c>
      <c r="B43" s="24" t="s">
        <v>1607</v>
      </c>
      <c r="C43" s="24" t="s">
        <v>200</v>
      </c>
      <c r="D43" s="60" t="s">
        <v>125</v>
      </c>
      <c r="E43" s="60" t="s">
        <v>1605</v>
      </c>
      <c r="F43" s="69">
        <v>-10000000</v>
      </c>
      <c r="G43" s="60">
        <v>0.97437200000000002</v>
      </c>
      <c r="H43" s="84">
        <v>-37260.020039999996</v>
      </c>
      <c r="I43" s="24">
        <v>2.8789095773922955</v>
      </c>
      <c r="J43" s="24">
        <v>-4.2710946276618415E-2</v>
      </c>
      <c r="K43" s="14"/>
      <c r="L43" s="14"/>
      <c r="M43" s="14"/>
      <c r="N43" s="14"/>
    </row>
    <row r="44" spans="1:14" x14ac:dyDescent="0.25">
      <c r="A44" s="16" t="s">
        <v>1608</v>
      </c>
      <c r="B44" s="24" t="s">
        <v>1609</v>
      </c>
      <c r="C44" s="24" t="s">
        <v>200</v>
      </c>
      <c r="D44" s="60" t="s">
        <v>255</v>
      </c>
      <c r="E44" s="60" t="s">
        <v>1610</v>
      </c>
      <c r="F44" s="69">
        <v>1726803.68</v>
      </c>
      <c r="G44" s="60">
        <v>0.99354699999999996</v>
      </c>
      <c r="H44" s="84">
        <v>1715.6610800000001</v>
      </c>
      <c r="I44" s="24">
        <v>-0.13256120392497805</v>
      </c>
      <c r="J44" s="24">
        <v>1.9666524102268071E-3</v>
      </c>
      <c r="K44" s="14"/>
      <c r="L44" s="14"/>
      <c r="M44" s="14"/>
      <c r="N44" s="14"/>
    </row>
    <row r="45" spans="1:14" x14ac:dyDescent="0.25">
      <c r="A45" s="16" t="s">
        <v>1611</v>
      </c>
      <c r="B45" s="24" t="s">
        <v>1612</v>
      </c>
      <c r="C45" s="24" t="s">
        <v>200</v>
      </c>
      <c r="D45" s="60" t="s">
        <v>125</v>
      </c>
      <c r="E45" s="60" t="s">
        <v>1610</v>
      </c>
      <c r="F45" s="69">
        <v>-478000</v>
      </c>
      <c r="G45" s="60">
        <v>0.99060800000000004</v>
      </c>
      <c r="H45" s="84">
        <v>-1810.70587</v>
      </c>
      <c r="I45" s="24">
        <v>0.13990487566531778</v>
      </c>
      <c r="J45" s="24">
        <v>-2.0756017053480793E-3</v>
      </c>
      <c r="K45" s="14"/>
      <c r="L45" s="14"/>
      <c r="M45" s="14"/>
      <c r="N45" s="14"/>
    </row>
    <row r="46" spans="1:14" x14ac:dyDescent="0.25">
      <c r="A46" s="16" t="s">
        <v>1611</v>
      </c>
      <c r="B46" s="24" t="s">
        <v>1630</v>
      </c>
      <c r="C46" s="24" t="s">
        <v>200</v>
      </c>
      <c r="D46" s="60" t="s">
        <v>125</v>
      </c>
      <c r="E46" s="60" t="s">
        <v>1631</v>
      </c>
      <c r="F46" s="69">
        <v>1124000</v>
      </c>
      <c r="G46" s="60">
        <v>0.99060800000000004</v>
      </c>
      <c r="H46" s="84">
        <v>4257.8097800000005</v>
      </c>
      <c r="I46" s="24">
        <v>-0.32898128721340814</v>
      </c>
      <c r="J46" s="24">
        <v>4.8807028169714451E-3</v>
      </c>
      <c r="K46" s="14"/>
      <c r="L46" s="14"/>
      <c r="M46" s="14"/>
      <c r="N46" s="14"/>
    </row>
    <row r="47" spans="1:14" x14ac:dyDescent="0.25">
      <c r="A47" s="16" t="s">
        <v>1608</v>
      </c>
      <c r="B47" s="24" t="s">
        <v>1632</v>
      </c>
      <c r="C47" s="24" t="s">
        <v>200</v>
      </c>
      <c r="D47" s="60" t="s">
        <v>255</v>
      </c>
      <c r="E47" s="60" t="s">
        <v>1631</v>
      </c>
      <c r="F47" s="69">
        <v>-4312450.8</v>
      </c>
      <c r="G47" s="60">
        <v>0.99354699999999996</v>
      </c>
      <c r="H47" s="84">
        <v>-4284.6230300000007</v>
      </c>
      <c r="I47" s="24">
        <v>0.33105302314224405</v>
      </c>
      <c r="J47" s="24">
        <v>-4.9114386909463415E-3</v>
      </c>
      <c r="K47" s="14"/>
      <c r="L47" s="14"/>
      <c r="M47" s="14"/>
      <c r="N47" s="14"/>
    </row>
    <row r="48" spans="1:14" x14ac:dyDescent="0.25">
      <c r="A48" s="16" t="s">
        <v>1611</v>
      </c>
      <c r="B48" s="24" t="s">
        <v>1633</v>
      </c>
      <c r="C48" s="24" t="s">
        <v>200</v>
      </c>
      <c r="D48" s="60" t="s">
        <v>125</v>
      </c>
      <c r="E48" s="60" t="s">
        <v>1634</v>
      </c>
      <c r="F48" s="69">
        <v>9643.2258935799528</v>
      </c>
      <c r="G48" s="60">
        <v>0.99060899999999996</v>
      </c>
      <c r="H48" s="84">
        <v>36.529410000000006</v>
      </c>
      <c r="I48" s="24">
        <v>-2.8224587156043274E-3</v>
      </c>
      <c r="J48" s="24">
        <v>4.1873452197600264E-5</v>
      </c>
      <c r="K48" s="14"/>
      <c r="L48" s="14"/>
      <c r="M48" s="14"/>
      <c r="N48" s="14"/>
    </row>
    <row r="49" spans="1:14" x14ac:dyDescent="0.25">
      <c r="A49" s="16" t="s">
        <v>1608</v>
      </c>
      <c r="B49" s="24" t="s">
        <v>1635</v>
      </c>
      <c r="C49" s="24" t="s">
        <v>200</v>
      </c>
      <c r="D49" s="60" t="s">
        <v>255</v>
      </c>
      <c r="E49" s="60" t="s">
        <v>1634</v>
      </c>
      <c r="F49" s="69">
        <v>-36634.61516971024</v>
      </c>
      <c r="G49" s="60">
        <v>0.99354699999999996</v>
      </c>
      <c r="H49" s="84">
        <v>-36.398240000000001</v>
      </c>
      <c r="I49" s="24">
        <v>2.8123238158146557E-3</v>
      </c>
      <c r="J49" s="24">
        <v>-4.1723092782412355E-5</v>
      </c>
      <c r="K49" s="14"/>
      <c r="L49" s="14"/>
      <c r="M49" s="14"/>
      <c r="N49" s="14"/>
    </row>
    <row r="50" spans="1:14" x14ac:dyDescent="0.25">
      <c r="A50" s="16" t="s">
        <v>1616</v>
      </c>
      <c r="B50" s="24" t="s">
        <v>1636</v>
      </c>
      <c r="C50" s="24" t="s">
        <v>200</v>
      </c>
      <c r="D50" s="60" t="s">
        <v>125</v>
      </c>
      <c r="E50" s="60" t="s">
        <v>1637</v>
      </c>
      <c r="F50" s="69">
        <v>890829.18185496097</v>
      </c>
      <c r="G50" s="60">
        <v>0.96176099999999998</v>
      </c>
      <c r="H50" s="84">
        <v>3276.27025</v>
      </c>
      <c r="I50" s="24">
        <v>-0.25314226322811312</v>
      </c>
      <c r="J50" s="24">
        <v>3.7555697094421958E-3</v>
      </c>
      <c r="K50" s="14"/>
      <c r="L50" s="14"/>
      <c r="M50" s="14"/>
      <c r="N50" s="14"/>
    </row>
    <row r="51" spans="1:14" x14ac:dyDescent="0.25">
      <c r="A51" s="16" t="s">
        <v>1613</v>
      </c>
      <c r="B51" s="24" t="s">
        <v>1638</v>
      </c>
      <c r="C51" s="24" t="s">
        <v>200</v>
      </c>
      <c r="D51" s="60" t="s">
        <v>255</v>
      </c>
      <c r="E51" s="60" t="s">
        <v>1637</v>
      </c>
      <c r="F51" s="69">
        <v>-3336689.7835559421</v>
      </c>
      <c r="G51" s="60">
        <v>0.97453100000000004</v>
      </c>
      <c r="H51" s="84">
        <v>-3251.7089000000001</v>
      </c>
      <c r="I51" s="24">
        <v>0.25124452120669782</v>
      </c>
      <c r="J51" s="24">
        <v>-3.7274151754616708E-3</v>
      </c>
      <c r="K51" s="14"/>
      <c r="L51" s="14"/>
      <c r="M51" s="14"/>
      <c r="N51" s="14"/>
    </row>
    <row r="52" spans="1:14" x14ac:dyDescent="0.25">
      <c r="A52" s="16" t="s">
        <v>1616</v>
      </c>
      <c r="B52" s="24" t="s">
        <v>1618</v>
      </c>
      <c r="C52" s="24" t="s">
        <v>200</v>
      </c>
      <c r="D52" s="60" t="s">
        <v>125</v>
      </c>
      <c r="E52" s="60" t="s">
        <v>1619</v>
      </c>
      <c r="F52" s="69">
        <v>445414.59092748049</v>
      </c>
      <c r="G52" s="60">
        <v>0.96176099999999998</v>
      </c>
      <c r="H52" s="84">
        <v>1638.1351200000001</v>
      </c>
      <c r="I52" s="24">
        <v>-0.12657113122772967</v>
      </c>
      <c r="J52" s="24">
        <v>1.8777848489896268E-3</v>
      </c>
      <c r="K52" s="14"/>
      <c r="L52" s="14"/>
      <c r="M52" s="14"/>
      <c r="N52" s="14"/>
    </row>
    <row r="53" spans="1:14" x14ac:dyDescent="0.25">
      <c r="A53" s="16" t="s">
        <v>1613</v>
      </c>
      <c r="B53" s="24" t="s">
        <v>1620</v>
      </c>
      <c r="C53" s="24" t="s">
        <v>200</v>
      </c>
      <c r="D53" s="60" t="s">
        <v>255</v>
      </c>
      <c r="E53" s="60" t="s">
        <v>1619</v>
      </c>
      <c r="F53" s="69">
        <v>-1621309.110976029</v>
      </c>
      <c r="G53" s="60">
        <v>0.97453100000000004</v>
      </c>
      <c r="H53" s="84">
        <v>-1580.0166000000002</v>
      </c>
      <c r="I53" s="24">
        <v>0.12208058174138361</v>
      </c>
      <c r="J53" s="24">
        <v>-1.8111639243972156E-3</v>
      </c>
      <c r="K53" s="14"/>
      <c r="L53" s="14"/>
      <c r="M53" s="14"/>
      <c r="N53" s="14"/>
    </row>
    <row r="54" spans="1:14" x14ac:dyDescent="0.25">
      <c r="A54" s="16" t="s">
        <v>1613</v>
      </c>
      <c r="B54" s="24" t="s">
        <v>1621</v>
      </c>
      <c r="C54" s="24" t="s">
        <v>200</v>
      </c>
      <c r="D54" s="60" t="s">
        <v>255</v>
      </c>
      <c r="E54" s="60" t="s">
        <v>1622</v>
      </c>
      <c r="F54" s="69">
        <v>1557614.8244733992</v>
      </c>
      <c r="G54" s="60">
        <v>0.97453100000000004</v>
      </c>
      <c r="H54" s="84">
        <v>1517.94505</v>
      </c>
      <c r="I54" s="24">
        <v>-0.11728459989309836</v>
      </c>
      <c r="J54" s="24">
        <v>1.7400116642934812E-3</v>
      </c>
      <c r="K54" s="14"/>
      <c r="L54" s="14"/>
      <c r="M54" s="14"/>
      <c r="N54" s="14"/>
    </row>
    <row r="55" spans="1:14" x14ac:dyDescent="0.25">
      <c r="A55" s="16" t="s">
        <v>1616</v>
      </c>
      <c r="B55" s="24" t="s">
        <v>1623</v>
      </c>
      <c r="C55" s="24" t="s">
        <v>200</v>
      </c>
      <c r="D55" s="60" t="s">
        <v>125</v>
      </c>
      <c r="E55" s="60" t="s">
        <v>1622</v>
      </c>
      <c r="F55" s="69">
        <v>-445414.59092748049</v>
      </c>
      <c r="G55" s="60">
        <v>0.96176099999999998</v>
      </c>
      <c r="H55" s="84">
        <v>-1638.1351200000001</v>
      </c>
      <c r="I55" s="24">
        <v>0.12657113122772967</v>
      </c>
      <c r="J55" s="24">
        <v>-1.8777848489896268E-3</v>
      </c>
      <c r="K55" s="14"/>
      <c r="L55" s="14"/>
      <c r="M55" s="14"/>
      <c r="N55" s="14"/>
    </row>
    <row r="56" spans="1:14" x14ac:dyDescent="0.25">
      <c r="A56" s="16" t="s">
        <v>1611</v>
      </c>
      <c r="B56" s="24" t="s">
        <v>1624</v>
      </c>
      <c r="C56" s="24" t="s">
        <v>200</v>
      </c>
      <c r="D56" s="60" t="s">
        <v>125</v>
      </c>
      <c r="E56" s="60" t="s">
        <v>1625</v>
      </c>
      <c r="F56" s="69">
        <v>10000000</v>
      </c>
      <c r="G56" s="60">
        <v>0.99060899999999996</v>
      </c>
      <c r="H56" s="84">
        <v>37880.898520000002</v>
      </c>
      <c r="I56" s="24">
        <v>-2.9268819885866502</v>
      </c>
      <c r="J56" s="24">
        <v>4.3422655700690663E-2</v>
      </c>
      <c r="K56" s="14"/>
      <c r="L56" s="14"/>
      <c r="M56" s="14"/>
      <c r="N56" s="14"/>
    </row>
    <row r="57" spans="1:14" x14ac:dyDescent="0.25">
      <c r="A57" s="16" t="s">
        <v>1608</v>
      </c>
      <c r="B57" s="24" t="s">
        <v>1626</v>
      </c>
      <c r="C57" s="24" t="s">
        <v>200</v>
      </c>
      <c r="D57" s="60" t="s">
        <v>255</v>
      </c>
      <c r="E57" s="60" t="s">
        <v>1625</v>
      </c>
      <c r="F57" s="69">
        <v>-36400000</v>
      </c>
      <c r="G57" s="60">
        <v>0.99354699999999996</v>
      </c>
      <c r="H57" s="84">
        <v>-36165.142209999998</v>
      </c>
      <c r="I57" s="24">
        <v>2.7943134266796106</v>
      </c>
      <c r="J57" s="24">
        <v>-4.1455894128863573E-2</v>
      </c>
      <c r="K57" s="14"/>
      <c r="L57" s="14"/>
      <c r="M57" s="14"/>
      <c r="N57" s="14"/>
    </row>
    <row r="58" spans="1:14" s="119" customFormat="1" x14ac:dyDescent="0.25">
      <c r="A58" s="92" t="s">
        <v>1639</v>
      </c>
      <c r="B58" s="137" t="s">
        <v>249</v>
      </c>
      <c r="C58" s="137" t="s">
        <v>249</v>
      </c>
      <c r="D58" s="136" t="s">
        <v>249</v>
      </c>
      <c r="E58" s="136" t="s">
        <v>249</v>
      </c>
      <c r="F58" s="135" t="s">
        <v>249</v>
      </c>
      <c r="G58" s="136" t="s">
        <v>249</v>
      </c>
      <c r="H58" s="124">
        <v>-12409.559839600008</v>
      </c>
      <c r="I58" s="137">
        <v>0.95882934671248388</v>
      </c>
      <c r="J58" s="137">
        <v>-1.4225006939251163E-2</v>
      </c>
    </row>
    <row r="59" spans="1:14" s="119" customFormat="1" x14ac:dyDescent="0.25">
      <c r="A59" s="92" t="s">
        <v>1263</v>
      </c>
      <c r="B59" s="137" t="s">
        <v>249</v>
      </c>
      <c r="C59" s="137" t="s">
        <v>249</v>
      </c>
      <c r="D59" s="136" t="s">
        <v>249</v>
      </c>
      <c r="E59" s="136" t="s">
        <v>249</v>
      </c>
      <c r="F59" s="135" t="s">
        <v>249</v>
      </c>
      <c r="G59" s="136" t="s">
        <v>249</v>
      </c>
      <c r="H59" s="124">
        <v>-1284.1450498999989</v>
      </c>
      <c r="I59" s="137">
        <v>9.9219954228398577E-2</v>
      </c>
      <c r="J59" s="137">
        <v>-1.4720080713532631E-3</v>
      </c>
    </row>
    <row r="60" spans="1:14" x14ac:dyDescent="0.25">
      <c r="A60" s="16" t="s">
        <v>1660</v>
      </c>
      <c r="B60" s="24" t="s">
        <v>1661</v>
      </c>
      <c r="C60" s="24" t="s">
        <v>200</v>
      </c>
      <c r="D60" s="60" t="s">
        <v>125</v>
      </c>
      <c r="E60" s="60" t="s">
        <v>1662</v>
      </c>
      <c r="F60" s="69">
        <v>1120.8217956911703</v>
      </c>
      <c r="G60" s="60">
        <v>490.36</v>
      </c>
      <c r="H60" s="84">
        <v>2101.6940199999999</v>
      </c>
      <c r="I60" s="24">
        <v>-0.16238818541779063</v>
      </c>
      <c r="J60" s="24">
        <v>2.4091597449959448E-3</v>
      </c>
      <c r="K60" s="14"/>
      <c r="L60" s="14"/>
      <c r="M60" s="14"/>
      <c r="N60" s="14"/>
    </row>
    <row r="61" spans="1:14" x14ac:dyDescent="0.25">
      <c r="A61" s="16" t="s">
        <v>1663</v>
      </c>
      <c r="B61" s="24" t="s">
        <v>1664</v>
      </c>
      <c r="C61" s="24" t="s">
        <v>200</v>
      </c>
      <c r="D61" s="60" t="s">
        <v>125</v>
      </c>
      <c r="E61" s="60" t="s">
        <v>1662</v>
      </c>
      <c r="F61" s="69">
        <v>-1120.8217956911703</v>
      </c>
      <c r="G61" s="60">
        <v>543.03659200000004</v>
      </c>
      <c r="H61" s="84">
        <v>-2327.4670799999999</v>
      </c>
      <c r="I61" s="24">
        <v>0.17983262651184767</v>
      </c>
      <c r="J61" s="24">
        <v>-2.6679621027514062E-3</v>
      </c>
      <c r="K61" s="14"/>
      <c r="L61" s="14"/>
      <c r="M61" s="14"/>
      <c r="N61" s="14"/>
    </row>
    <row r="62" spans="1:14" x14ac:dyDescent="0.25">
      <c r="A62" s="16" t="s">
        <v>1665</v>
      </c>
      <c r="B62" s="24" t="s">
        <v>1666</v>
      </c>
      <c r="C62" s="24" t="s">
        <v>200</v>
      </c>
      <c r="D62" s="60" t="s">
        <v>125</v>
      </c>
      <c r="E62" s="60" t="s">
        <v>1662</v>
      </c>
      <c r="F62" s="69">
        <v>104.61003426450922</v>
      </c>
      <c r="G62" s="60">
        <v>5627.24</v>
      </c>
      <c r="H62" s="84">
        <v>2251.0578999999998</v>
      </c>
      <c r="I62" s="24">
        <v>-0.17392884224478231</v>
      </c>
      <c r="J62" s="24">
        <v>2.5803746999932494E-3</v>
      </c>
      <c r="K62" s="14"/>
      <c r="L62" s="14"/>
      <c r="M62" s="14"/>
      <c r="N62" s="14"/>
    </row>
    <row r="63" spans="1:14" x14ac:dyDescent="0.25">
      <c r="A63" s="16" t="s">
        <v>1667</v>
      </c>
      <c r="B63" s="24" t="s">
        <v>1668</v>
      </c>
      <c r="C63" s="24" t="s">
        <v>200</v>
      </c>
      <c r="D63" s="60" t="s">
        <v>125</v>
      </c>
      <c r="E63" s="60" t="s">
        <v>1662</v>
      </c>
      <c r="F63" s="69">
        <v>-104.61003426450922</v>
      </c>
      <c r="G63" s="60">
        <v>6913.2013120000001</v>
      </c>
      <c r="H63" s="84">
        <v>-2765.4794200000001</v>
      </c>
      <c r="I63" s="24">
        <v>0.21367581605625163</v>
      </c>
      <c r="J63" s="24">
        <v>-3.170053124231059E-3</v>
      </c>
      <c r="K63" s="14"/>
      <c r="L63" s="14"/>
      <c r="M63" s="14"/>
      <c r="N63" s="14"/>
    </row>
    <row r="64" spans="1:14" x14ac:dyDescent="0.25">
      <c r="A64" s="16" t="s">
        <v>1669</v>
      </c>
      <c r="B64" s="24" t="s">
        <v>1670</v>
      </c>
      <c r="C64" s="24" t="s">
        <v>200</v>
      </c>
      <c r="D64" s="60" t="s">
        <v>125</v>
      </c>
      <c r="E64" s="60" t="s">
        <v>1662</v>
      </c>
      <c r="F64" s="69">
        <v>8891.8529124832839</v>
      </c>
      <c r="G64" s="60">
        <v>73.02</v>
      </c>
      <c r="H64" s="84">
        <v>2482.8585699999999</v>
      </c>
      <c r="I64" s="24">
        <v>-0.1918390089111594</v>
      </c>
      <c r="J64" s="24">
        <v>2.8460864723601374E-3</v>
      </c>
      <c r="K64" s="14"/>
      <c r="L64" s="14"/>
      <c r="M64" s="14"/>
      <c r="N64" s="14"/>
    </row>
    <row r="65" spans="1:14" x14ac:dyDescent="0.25">
      <c r="A65" s="16" t="s">
        <v>1671</v>
      </c>
      <c r="B65" s="24" t="s">
        <v>1672</v>
      </c>
      <c r="C65" s="24" t="s">
        <v>200</v>
      </c>
      <c r="D65" s="60" t="s">
        <v>125</v>
      </c>
      <c r="E65" s="60" t="s">
        <v>1662</v>
      </c>
      <c r="F65" s="69">
        <v>-8891.8529124832839</v>
      </c>
      <c r="G65" s="60">
        <v>92.850202999999993</v>
      </c>
      <c r="H65" s="84">
        <v>-3157.1339900000003</v>
      </c>
      <c r="I65" s="24">
        <v>0.24393715492273663</v>
      </c>
      <c r="J65" s="24">
        <v>-3.6190045010769125E-3</v>
      </c>
      <c r="K65" s="14"/>
      <c r="L65" s="14"/>
      <c r="M65" s="14"/>
      <c r="N65" s="14"/>
    </row>
    <row r="66" spans="1:14" x14ac:dyDescent="0.25">
      <c r="A66" s="16" t="s">
        <v>1678</v>
      </c>
      <c r="B66" s="24" t="s">
        <v>1679</v>
      </c>
      <c r="C66" s="24" t="s">
        <v>200</v>
      </c>
      <c r="D66" s="60" t="s">
        <v>125</v>
      </c>
      <c r="E66" s="60" t="s">
        <v>1675</v>
      </c>
      <c r="F66" s="69">
        <v>13698.933058447637</v>
      </c>
      <c r="G66" s="60">
        <v>40.07</v>
      </c>
      <c r="H66" s="84">
        <v>2099.05573</v>
      </c>
      <c r="I66" s="24">
        <v>-0.16218433694050091</v>
      </c>
      <c r="J66" s="24">
        <v>2.4061354883709841E-3</v>
      </c>
      <c r="K66" s="14"/>
      <c r="L66" s="14"/>
      <c r="M66" s="14"/>
      <c r="N66" s="14"/>
    </row>
    <row r="67" spans="1:14" x14ac:dyDescent="0.25">
      <c r="A67" s="16" t="s">
        <v>1680</v>
      </c>
      <c r="B67" s="24" t="s">
        <v>1681</v>
      </c>
      <c r="C67" s="24" t="s">
        <v>200</v>
      </c>
      <c r="D67" s="60" t="s">
        <v>125</v>
      </c>
      <c r="E67" s="60" t="s">
        <v>1675</v>
      </c>
      <c r="F67" s="69">
        <v>-13698.933058447637</v>
      </c>
      <c r="G67" s="60">
        <v>61.047032999999999</v>
      </c>
      <c r="H67" s="84">
        <v>-3197.9317400000004</v>
      </c>
      <c r="I67" s="24">
        <v>0.24708940854699574</v>
      </c>
      <c r="J67" s="24">
        <v>-3.6657707268219946E-3</v>
      </c>
      <c r="K67" s="14"/>
      <c r="L67" s="14"/>
      <c r="M67" s="14"/>
      <c r="N67" s="14"/>
    </row>
    <row r="68" spans="1:14" x14ac:dyDescent="0.25">
      <c r="A68" s="16" t="s">
        <v>1640</v>
      </c>
      <c r="B68" s="24" t="s">
        <v>1641</v>
      </c>
      <c r="C68" s="24" t="s">
        <v>200</v>
      </c>
      <c r="D68" s="60" t="s">
        <v>125</v>
      </c>
      <c r="E68" s="60" t="s">
        <v>1642</v>
      </c>
      <c r="F68" s="69">
        <v>558.36851146232573</v>
      </c>
      <c r="G68" s="60">
        <v>9246.7389999999996</v>
      </c>
      <c r="H68" s="84">
        <v>19743.648100000002</v>
      </c>
      <c r="I68" s="24">
        <v>-1.5255004572389703</v>
      </c>
      <c r="J68" s="24">
        <v>2.2632030052540986E-2</v>
      </c>
      <c r="K68" s="14"/>
      <c r="L68" s="14"/>
      <c r="M68" s="14"/>
      <c r="N68" s="14"/>
    </row>
    <row r="69" spans="1:14" x14ac:dyDescent="0.25">
      <c r="A69" s="16" t="s">
        <v>1643</v>
      </c>
      <c r="B69" s="24" t="s">
        <v>1644</v>
      </c>
      <c r="C69" s="24" t="s">
        <v>200</v>
      </c>
      <c r="D69" s="60" t="s">
        <v>125</v>
      </c>
      <c r="E69" s="60" t="s">
        <v>1642</v>
      </c>
      <c r="F69" s="69">
        <v>-558.36851146232573</v>
      </c>
      <c r="G69" s="60">
        <v>8532.2973970000003</v>
      </c>
      <c r="H69" s="84">
        <v>-18218.171539999999</v>
      </c>
      <c r="I69" s="24">
        <v>1.4076339323697729</v>
      </c>
      <c r="J69" s="24">
        <v>-2.0883385061731669E-2</v>
      </c>
      <c r="K69" s="14"/>
      <c r="L69" s="14"/>
      <c r="M69" s="14"/>
      <c r="N69" s="14"/>
    </row>
    <row r="70" spans="1:14" x14ac:dyDescent="0.25">
      <c r="A70" s="16" t="s">
        <v>1645</v>
      </c>
      <c r="B70" s="24" t="s">
        <v>1646</v>
      </c>
      <c r="C70" s="24" t="s">
        <v>200</v>
      </c>
      <c r="D70" s="60" t="s">
        <v>125</v>
      </c>
      <c r="E70" s="60" t="s">
        <v>1647</v>
      </c>
      <c r="F70" s="69">
        <v>4508.1943337800403</v>
      </c>
      <c r="G70" s="60">
        <v>127.16</v>
      </c>
      <c r="H70" s="84">
        <v>2192.1538599999999</v>
      </c>
      <c r="I70" s="24">
        <v>-0.16937759925776702</v>
      </c>
      <c r="J70" s="24">
        <v>2.5128533383510679E-3</v>
      </c>
      <c r="K70" s="14"/>
      <c r="L70" s="14"/>
      <c r="M70" s="14"/>
      <c r="N70" s="14"/>
    </row>
    <row r="71" spans="1:14" x14ac:dyDescent="0.25">
      <c r="A71" s="16" t="s">
        <v>1648</v>
      </c>
      <c r="B71" s="24" t="s">
        <v>1649</v>
      </c>
      <c r="C71" s="24" t="s">
        <v>200</v>
      </c>
      <c r="D71" s="60" t="s">
        <v>125</v>
      </c>
      <c r="E71" s="60" t="s">
        <v>1647</v>
      </c>
      <c r="F71" s="69">
        <v>-4508.1943337800403</v>
      </c>
      <c r="G71" s="60">
        <v>122.594111</v>
      </c>
      <c r="H71" s="84">
        <v>-2113.4409700000001</v>
      </c>
      <c r="I71" s="24">
        <v>0.16329581796398474</v>
      </c>
      <c r="J71" s="24">
        <v>-2.422625206094074E-3</v>
      </c>
      <c r="K71" s="14"/>
      <c r="L71" s="14"/>
      <c r="M71" s="14"/>
      <c r="N71" s="14"/>
    </row>
    <row r="72" spans="1:14" x14ac:dyDescent="0.25">
      <c r="A72" s="16" t="s">
        <v>1650</v>
      </c>
      <c r="B72" s="24" t="s">
        <v>1651</v>
      </c>
      <c r="C72" s="24" t="s">
        <v>200</v>
      </c>
      <c r="D72" s="60" t="s">
        <v>125</v>
      </c>
      <c r="E72" s="60" t="s">
        <v>1652</v>
      </c>
      <c r="F72" s="69">
        <v>2104.654260797864</v>
      </c>
      <c r="G72" s="60">
        <v>98.23</v>
      </c>
      <c r="H72" s="84">
        <v>790.57447999999999</v>
      </c>
      <c r="I72" s="24">
        <v>-6.1084036983087293E-2</v>
      </c>
      <c r="J72" s="24">
        <v>9.0623097107023296E-4</v>
      </c>
      <c r="K72" s="14"/>
      <c r="L72" s="14"/>
      <c r="M72" s="14"/>
      <c r="N72" s="14"/>
    </row>
    <row r="73" spans="1:14" x14ac:dyDescent="0.25">
      <c r="A73" s="16" t="s">
        <v>1653</v>
      </c>
      <c r="B73" s="24" t="s">
        <v>1654</v>
      </c>
      <c r="C73" s="24" t="s">
        <v>200</v>
      </c>
      <c r="D73" s="60" t="s">
        <v>125</v>
      </c>
      <c r="E73" s="60" t="s">
        <v>1652</v>
      </c>
      <c r="F73" s="69">
        <v>-2104.654260797864</v>
      </c>
      <c r="G73" s="60">
        <v>119.64470300000001</v>
      </c>
      <c r="H73" s="84">
        <v>-962.92425000000003</v>
      </c>
      <c r="I73" s="24">
        <v>7.4400707317179765E-2</v>
      </c>
      <c r="J73" s="24">
        <v>-1.1037945193279903E-3</v>
      </c>
      <c r="K73" s="14"/>
      <c r="L73" s="14"/>
      <c r="M73" s="14"/>
      <c r="N73" s="14"/>
    </row>
    <row r="74" spans="1:14" x14ac:dyDescent="0.25">
      <c r="A74" s="16" t="s">
        <v>1655</v>
      </c>
      <c r="B74" s="24" t="s">
        <v>1656</v>
      </c>
      <c r="C74" s="24" t="s">
        <v>200</v>
      </c>
      <c r="D74" s="60" t="s">
        <v>125</v>
      </c>
      <c r="E74" s="60" t="s">
        <v>1657</v>
      </c>
      <c r="F74" s="69">
        <v>6102.2519987630385</v>
      </c>
      <c r="G74" s="60">
        <v>149.22999999999999</v>
      </c>
      <c r="H74" s="84">
        <v>3482.28379</v>
      </c>
      <c r="I74" s="24">
        <v>-0.26905997751655908</v>
      </c>
      <c r="J74" s="24">
        <v>3.9917218432776016E-3</v>
      </c>
      <c r="K74" s="14"/>
      <c r="L74" s="14"/>
      <c r="M74" s="14"/>
      <c r="N74" s="14"/>
    </row>
    <row r="75" spans="1:14" x14ac:dyDescent="0.25">
      <c r="A75" s="16" t="s">
        <v>1658</v>
      </c>
      <c r="B75" s="24" t="s">
        <v>1659</v>
      </c>
      <c r="C75" s="24" t="s">
        <v>200</v>
      </c>
      <c r="D75" s="60" t="s">
        <v>125</v>
      </c>
      <c r="E75" s="60" t="s">
        <v>1657</v>
      </c>
      <c r="F75" s="69">
        <v>-6102.2519987630385</v>
      </c>
      <c r="G75" s="60">
        <v>144.82067900000001</v>
      </c>
      <c r="H75" s="84">
        <v>-3379.3922400000001</v>
      </c>
      <c r="I75" s="24">
        <v>0.26111002288932755</v>
      </c>
      <c r="J75" s="24">
        <v>-3.8737778523819919E-3</v>
      </c>
      <c r="K75" s="14"/>
      <c r="L75" s="14"/>
      <c r="M75" s="14"/>
      <c r="N75" s="14"/>
    </row>
    <row r="76" spans="1:14" x14ac:dyDescent="0.25">
      <c r="A76" s="16" t="s">
        <v>1673</v>
      </c>
      <c r="B76" s="24" t="s">
        <v>1674</v>
      </c>
      <c r="C76" s="24" t="s">
        <v>200</v>
      </c>
      <c r="D76" s="60" t="s">
        <v>125</v>
      </c>
      <c r="E76" s="60" t="s">
        <v>1675</v>
      </c>
      <c r="F76" s="69">
        <v>311.33938769199176</v>
      </c>
      <c r="G76" s="60">
        <v>5149.53</v>
      </c>
      <c r="H76" s="84">
        <v>6130.8337999999994</v>
      </c>
      <c r="I76" s="24">
        <v>-0.47370119836952185</v>
      </c>
      <c r="J76" s="24">
        <v>7.0277394585823291E-3</v>
      </c>
      <c r="K76" s="14"/>
      <c r="L76" s="14"/>
      <c r="M76" s="14"/>
      <c r="N76" s="14"/>
    </row>
    <row r="77" spans="1:14" x14ac:dyDescent="0.25">
      <c r="A77" s="16" t="s">
        <v>1676</v>
      </c>
      <c r="B77" s="24" t="s">
        <v>1677</v>
      </c>
      <c r="C77" s="24" t="s">
        <v>200</v>
      </c>
      <c r="D77" s="60" t="s">
        <v>125</v>
      </c>
      <c r="E77" s="60" t="s">
        <v>1675</v>
      </c>
      <c r="F77" s="69">
        <v>-311.33938769199176</v>
      </c>
      <c r="G77" s="60">
        <v>5443.9077500000003</v>
      </c>
      <c r="H77" s="84">
        <v>-6481.3087100000002</v>
      </c>
      <c r="I77" s="24">
        <v>0.50078077519077746</v>
      </c>
      <c r="J77" s="24">
        <v>-7.4294868284506977E-3</v>
      </c>
      <c r="K77" s="14"/>
      <c r="L77" s="14"/>
      <c r="M77" s="14"/>
      <c r="N77" s="14"/>
    </row>
    <row r="78" spans="1:14" x14ac:dyDescent="0.25">
      <c r="A78" s="16" t="s">
        <v>1682</v>
      </c>
      <c r="B78" s="24" t="s">
        <v>1683</v>
      </c>
      <c r="C78" s="24" t="s">
        <v>200</v>
      </c>
      <c r="D78" s="60" t="s">
        <v>125</v>
      </c>
      <c r="E78" s="60" t="s">
        <v>1605</v>
      </c>
      <c r="F78" s="69">
        <v>288.10101579466146</v>
      </c>
      <c r="G78" s="60">
        <v>9246.7389999999996</v>
      </c>
      <c r="H78" s="84">
        <v>10187.11649</v>
      </c>
      <c r="I78" s="24">
        <v>-0.78711141855499611</v>
      </c>
      <c r="J78" s="24">
        <v>1.1677432933502083E-2</v>
      </c>
      <c r="K78" s="14"/>
      <c r="L78" s="14"/>
      <c r="M78" s="14"/>
      <c r="N78" s="14"/>
    </row>
    <row r="79" spans="1:14" x14ac:dyDescent="0.25">
      <c r="A79" s="16" t="s">
        <v>1684</v>
      </c>
      <c r="B79" s="24" t="s">
        <v>1685</v>
      </c>
      <c r="C79" s="24" t="s">
        <v>200</v>
      </c>
      <c r="D79" s="60" t="s">
        <v>125</v>
      </c>
      <c r="E79" s="60" t="s">
        <v>1605</v>
      </c>
      <c r="F79" s="69">
        <v>-288.10101579466146</v>
      </c>
      <c r="G79" s="60">
        <v>8721.3861949999991</v>
      </c>
      <c r="H79" s="84">
        <v>-9608.3362100000013</v>
      </c>
      <c r="I79" s="24">
        <v>0.74239174074728143</v>
      </c>
      <c r="J79" s="24">
        <v>-1.1013980433516628E-2</v>
      </c>
      <c r="K79" s="14"/>
      <c r="L79" s="14"/>
      <c r="M79" s="14"/>
      <c r="N79" s="14"/>
    </row>
    <row r="80" spans="1:14" x14ac:dyDescent="0.25">
      <c r="A80" s="16" t="s">
        <v>1686</v>
      </c>
      <c r="B80" s="24" t="s">
        <v>1687</v>
      </c>
      <c r="C80" s="24" t="s">
        <v>200</v>
      </c>
      <c r="D80" s="60" t="s">
        <v>125</v>
      </c>
      <c r="E80" s="60" t="s">
        <v>1688</v>
      </c>
      <c r="F80" s="69">
        <v>102.81671939140335</v>
      </c>
      <c r="G80" s="60">
        <v>9246.7389999999996</v>
      </c>
      <c r="H80" s="84">
        <v>3635.55087</v>
      </c>
      <c r="I80" s="24">
        <v>-0.28090221657164444</v>
      </c>
      <c r="J80" s="24">
        <v>4.1674110139443537E-3</v>
      </c>
      <c r="K80" s="14"/>
      <c r="L80" s="14"/>
      <c r="M80" s="14"/>
      <c r="N80" s="14"/>
    </row>
    <row r="81" spans="1:14" x14ac:dyDescent="0.25">
      <c r="A81" s="16" t="s">
        <v>1689</v>
      </c>
      <c r="B81" s="24" t="s">
        <v>1690</v>
      </c>
      <c r="C81" s="24" t="s">
        <v>200</v>
      </c>
      <c r="D81" s="60" t="s">
        <v>125</v>
      </c>
      <c r="E81" s="60" t="s">
        <v>1688</v>
      </c>
      <c r="F81" s="69">
        <v>-102.81671939140335</v>
      </c>
      <c r="G81" s="60">
        <v>9390.918275</v>
      </c>
      <c r="H81" s="84">
        <v>-3692.2379999999998</v>
      </c>
      <c r="I81" s="24">
        <v>0.28528216916685734</v>
      </c>
      <c r="J81" s="24">
        <v>-4.2323911444275492E-3</v>
      </c>
      <c r="K81" s="14"/>
      <c r="L81" s="14"/>
      <c r="M81" s="14"/>
      <c r="N81" s="14"/>
    </row>
    <row r="82" spans="1:14" x14ac:dyDescent="0.25">
      <c r="A82" s="16" t="s">
        <v>1691</v>
      </c>
      <c r="B82" s="24" t="s">
        <v>1692</v>
      </c>
      <c r="C82" s="24" t="s">
        <v>200</v>
      </c>
      <c r="D82" s="60" t="s">
        <v>125</v>
      </c>
      <c r="E82" s="60" t="s">
        <v>1693</v>
      </c>
      <c r="F82" s="69">
        <v>259.03437055973711</v>
      </c>
      <c r="G82" s="60">
        <v>5149.53</v>
      </c>
      <c r="H82" s="84">
        <v>5100.8537200000001</v>
      </c>
      <c r="I82" s="24">
        <v>-0.39411939691981757</v>
      </c>
      <c r="J82" s="24">
        <v>5.8470792277064273E-3</v>
      </c>
      <c r="K82" s="14"/>
      <c r="L82" s="14"/>
      <c r="M82" s="14"/>
      <c r="N82" s="14"/>
    </row>
    <row r="83" spans="1:14" x14ac:dyDescent="0.25">
      <c r="A83" s="16" t="s">
        <v>1694</v>
      </c>
      <c r="B83" s="24" t="s">
        <v>1695</v>
      </c>
      <c r="C83" s="24" t="s">
        <v>200</v>
      </c>
      <c r="D83" s="60" t="s">
        <v>125</v>
      </c>
      <c r="E83" s="60" t="s">
        <v>1693</v>
      </c>
      <c r="F83" s="69">
        <v>-259.03437055973711</v>
      </c>
      <c r="G83" s="60">
        <v>5331.7387399999998</v>
      </c>
      <c r="H83" s="84">
        <v>-5281.3401199999998</v>
      </c>
      <c r="I83" s="24">
        <v>0.4080647470562706</v>
      </c>
      <c r="J83" s="24">
        <v>-6.0539697480492677E-3</v>
      </c>
      <c r="K83" s="14"/>
      <c r="L83" s="14"/>
      <c r="M83" s="14"/>
      <c r="N83" s="14"/>
    </row>
    <row r="84" spans="1:14" x14ac:dyDescent="0.25">
      <c r="A84" s="16" t="s">
        <v>1696</v>
      </c>
      <c r="B84" s="24" t="s">
        <v>1697</v>
      </c>
      <c r="C84" s="24" t="s">
        <v>200</v>
      </c>
      <c r="D84" s="60" t="s">
        <v>125</v>
      </c>
      <c r="E84" s="60" t="s">
        <v>1698</v>
      </c>
      <c r="F84" s="69">
        <v>6600.3950190702253</v>
      </c>
      <c r="G84" s="60">
        <v>98.23</v>
      </c>
      <c r="H84" s="84">
        <v>2479.3164100000004</v>
      </c>
      <c r="I84" s="24">
        <v>-0.19156532257557216</v>
      </c>
      <c r="J84" s="24">
        <v>2.842026114762349E-3</v>
      </c>
      <c r="K84" s="14"/>
      <c r="L84" s="14"/>
      <c r="M84" s="14"/>
      <c r="N84" s="14"/>
    </row>
    <row r="85" spans="1:14" x14ac:dyDescent="0.25">
      <c r="A85" s="16" t="s">
        <v>1699</v>
      </c>
      <c r="B85" s="24" t="s">
        <v>1700</v>
      </c>
      <c r="C85" s="24" t="s">
        <v>200</v>
      </c>
      <c r="D85" s="60" t="s">
        <v>125</v>
      </c>
      <c r="E85" s="60" t="s">
        <v>1698</v>
      </c>
      <c r="F85" s="69">
        <v>-6600.3950190702253</v>
      </c>
      <c r="G85" s="60">
        <v>109.983661</v>
      </c>
      <c r="H85" s="84">
        <v>-2775.9777899999999</v>
      </c>
      <c r="I85" s="24">
        <v>0.21448697659528415</v>
      </c>
      <c r="J85" s="24">
        <v>-3.182087345269606E-3</v>
      </c>
      <c r="K85" s="14"/>
      <c r="L85" s="14"/>
      <c r="M85" s="14"/>
      <c r="N85" s="14"/>
    </row>
    <row r="86" spans="1:14" x14ac:dyDescent="0.25">
      <c r="A86" s="16" t="s">
        <v>1701</v>
      </c>
      <c r="B86" s="24" t="s">
        <v>1702</v>
      </c>
      <c r="C86" s="24" t="s">
        <v>200</v>
      </c>
      <c r="D86" s="60" t="s">
        <v>125</v>
      </c>
      <c r="E86" s="60" t="s">
        <v>1703</v>
      </c>
      <c r="F86" s="69">
        <v>1.245357550768E-2</v>
      </c>
      <c r="G86" s="60">
        <v>349.4803</v>
      </c>
      <c r="H86" s="84">
        <v>1.6640000000000002E-2</v>
      </c>
      <c r="I86" s="24">
        <v>-1.2856959098889362E-6</v>
      </c>
      <c r="J86" s="24">
        <v>1.9074336118981071E-8</v>
      </c>
      <c r="K86" s="14"/>
      <c r="L86" s="14"/>
      <c r="M86" s="14"/>
      <c r="N86" s="14"/>
    </row>
    <row r="87" spans="1:14" x14ac:dyDescent="0.25">
      <c r="A87" s="16" t="s">
        <v>1704</v>
      </c>
      <c r="B87" s="24" t="s">
        <v>1705</v>
      </c>
      <c r="C87" s="24" t="s">
        <v>200</v>
      </c>
      <c r="D87" s="60" t="s">
        <v>125</v>
      </c>
      <c r="E87" s="60" t="s">
        <v>1703</v>
      </c>
      <c r="F87" s="69">
        <v>-1.245357550768E-2</v>
      </c>
      <c r="G87" s="60">
        <v>364.81486200000001</v>
      </c>
      <c r="H87" s="84">
        <v>-1.737E-2</v>
      </c>
      <c r="I87" s="24">
        <v>1.3420996367049772E-6</v>
      </c>
      <c r="J87" s="24">
        <v>-1.9911130912662331E-8</v>
      </c>
      <c r="K87" s="14"/>
      <c r="L87" s="14"/>
      <c r="M87" s="14"/>
      <c r="N87" s="14"/>
    </row>
    <row r="88" spans="1:14" s="119" customFormat="1" x14ac:dyDescent="0.25">
      <c r="A88" s="92" t="s">
        <v>1278</v>
      </c>
      <c r="B88" s="137" t="s">
        <v>249</v>
      </c>
      <c r="C88" s="137" t="s">
        <v>249</v>
      </c>
      <c r="D88" s="136" t="s">
        <v>249</v>
      </c>
      <c r="E88" s="136" t="s">
        <v>249</v>
      </c>
      <c r="F88" s="135" t="s">
        <v>249</v>
      </c>
      <c r="G88" s="136" t="s">
        <v>249</v>
      </c>
      <c r="H88" s="124">
        <v>-11125.414789900005</v>
      </c>
      <c r="I88" s="137">
        <v>0.85960939249953805</v>
      </c>
      <c r="J88" s="137">
        <v>-1.2752998868127155E-2</v>
      </c>
    </row>
    <row r="89" spans="1:14" x14ac:dyDescent="0.25">
      <c r="A89" s="16" t="s">
        <v>1586</v>
      </c>
      <c r="B89" s="24" t="s">
        <v>1724</v>
      </c>
      <c r="C89" s="24" t="s">
        <v>200</v>
      </c>
      <c r="D89" s="60" t="s">
        <v>125</v>
      </c>
      <c r="E89" s="60" t="s">
        <v>1725</v>
      </c>
      <c r="F89" s="69">
        <v>2696676.36</v>
      </c>
      <c r="G89" s="60">
        <v>0.99779300000000004</v>
      </c>
      <c r="H89" s="84">
        <v>10289.33829</v>
      </c>
      <c r="I89" s="24">
        <v>-0.79500962469450831</v>
      </c>
      <c r="J89" s="24">
        <v>1.1794609193831846E-2</v>
      </c>
      <c r="K89" s="18"/>
      <c r="L89" s="18"/>
    </row>
    <row r="90" spans="1:14" x14ac:dyDescent="0.25">
      <c r="A90" s="16" t="s">
        <v>1583</v>
      </c>
      <c r="B90" s="24" t="s">
        <v>1726</v>
      </c>
      <c r="C90" s="24" t="s">
        <v>200</v>
      </c>
      <c r="D90" s="60" t="s">
        <v>126</v>
      </c>
      <c r="E90" s="60" t="s">
        <v>1725</v>
      </c>
      <c r="F90" s="69">
        <v>-2436000</v>
      </c>
      <c r="G90" s="60">
        <v>0.99839999999999995</v>
      </c>
      <c r="H90" s="84">
        <v>-9857.5577899999989</v>
      </c>
      <c r="I90" s="24">
        <v>0.76164794063081842</v>
      </c>
      <c r="J90" s="24">
        <v>-1.1299661694635829E-2</v>
      </c>
      <c r="K90" s="18"/>
      <c r="L90" s="18"/>
    </row>
    <row r="91" spans="1:14" x14ac:dyDescent="0.25">
      <c r="A91" s="16" t="s">
        <v>1583</v>
      </c>
      <c r="B91" s="24" t="s">
        <v>1727</v>
      </c>
      <c r="C91" s="24" t="s">
        <v>200</v>
      </c>
      <c r="D91" s="60" t="s">
        <v>126</v>
      </c>
      <c r="E91" s="60" t="s">
        <v>1725</v>
      </c>
      <c r="F91" s="69">
        <v>1046100.3426450923</v>
      </c>
      <c r="G91" s="60">
        <v>0.99839999999999995</v>
      </c>
      <c r="H91" s="84">
        <v>4233.1669099999999</v>
      </c>
      <c r="I91" s="24">
        <v>-0.32707724651828041</v>
      </c>
      <c r="J91" s="24">
        <v>4.8524548370846446E-3</v>
      </c>
      <c r="K91" s="18"/>
      <c r="L91" s="18"/>
    </row>
    <row r="92" spans="1:14" x14ac:dyDescent="0.25">
      <c r="A92" s="16" t="s">
        <v>1586</v>
      </c>
      <c r="B92" s="24" t="s">
        <v>1728</v>
      </c>
      <c r="C92" s="24" t="s">
        <v>200</v>
      </c>
      <c r="D92" s="60" t="s">
        <v>125</v>
      </c>
      <c r="E92" s="60" t="s">
        <v>1725</v>
      </c>
      <c r="F92" s="69">
        <v>-1158043.5403115435</v>
      </c>
      <c r="G92" s="60">
        <v>0.99779300000000004</v>
      </c>
      <c r="H92" s="84">
        <v>-4418.5879800000002</v>
      </c>
      <c r="I92" s="24">
        <v>0.34140387580351061</v>
      </c>
      <c r="J92" s="24">
        <v>-5.0650019412145199E-3</v>
      </c>
      <c r="K92" s="18"/>
      <c r="L92" s="18"/>
    </row>
    <row r="93" spans="1:14" x14ac:dyDescent="0.25">
      <c r="A93" s="16" t="s">
        <v>1583</v>
      </c>
      <c r="B93" s="24" t="s">
        <v>1729</v>
      </c>
      <c r="C93" s="24" t="s">
        <v>200</v>
      </c>
      <c r="D93" s="60" t="s">
        <v>126</v>
      </c>
      <c r="E93" s="60" t="s">
        <v>1730</v>
      </c>
      <c r="F93" s="69">
        <v>336246.53870735108</v>
      </c>
      <c r="G93" s="60">
        <v>0.99839999999999995</v>
      </c>
      <c r="H93" s="84">
        <v>1360.6607900000001</v>
      </c>
      <c r="I93" s="24">
        <v>-0.10513197190199812</v>
      </c>
      <c r="J93" s="24">
        <v>1.5597176233400432E-3</v>
      </c>
      <c r="K93" s="18"/>
      <c r="L93" s="18"/>
    </row>
    <row r="94" spans="1:14" x14ac:dyDescent="0.25">
      <c r="A94" s="16" t="s">
        <v>1586</v>
      </c>
      <c r="B94" s="24" t="s">
        <v>1731</v>
      </c>
      <c r="C94" s="24" t="s">
        <v>200</v>
      </c>
      <c r="D94" s="60" t="s">
        <v>125</v>
      </c>
      <c r="E94" s="60" t="s">
        <v>1730</v>
      </c>
      <c r="F94" s="69">
        <v>-365220.9029477635</v>
      </c>
      <c r="G94" s="60">
        <v>0.99779300000000004</v>
      </c>
      <c r="H94" s="84">
        <v>-1393.52333</v>
      </c>
      <c r="I94" s="24">
        <v>0.10767110851657513</v>
      </c>
      <c r="J94" s="24">
        <v>-1.5973877635854432E-3</v>
      </c>
      <c r="K94" s="18"/>
      <c r="L94" s="18"/>
    </row>
    <row r="95" spans="1:14" x14ac:dyDescent="0.25">
      <c r="A95" s="16" t="s">
        <v>1732</v>
      </c>
      <c r="B95" s="24" t="s">
        <v>1733</v>
      </c>
      <c r="C95" s="24" t="s">
        <v>200</v>
      </c>
      <c r="D95" s="60" t="s">
        <v>2</v>
      </c>
      <c r="E95" s="60" t="s">
        <v>1734</v>
      </c>
      <c r="F95" s="69">
        <v>177000</v>
      </c>
      <c r="G95" s="60">
        <v>0.99788399999999999</v>
      </c>
      <c r="H95" s="84">
        <v>826.23628000000008</v>
      </c>
      <c r="I95" s="24">
        <v>-6.3839459483043856E-2</v>
      </c>
      <c r="J95" s="24">
        <v>9.4710988692407196E-4</v>
      </c>
      <c r="K95" s="18"/>
      <c r="L95" s="18"/>
    </row>
    <row r="96" spans="1:14" x14ac:dyDescent="0.25">
      <c r="A96" s="16" t="s">
        <v>1735</v>
      </c>
      <c r="B96" s="24" t="s">
        <v>1736</v>
      </c>
      <c r="C96" s="24" t="s">
        <v>200</v>
      </c>
      <c r="D96" s="60" t="s">
        <v>125</v>
      </c>
      <c r="E96" s="60" t="s">
        <v>1734</v>
      </c>
      <c r="F96" s="69">
        <v>-226471.5</v>
      </c>
      <c r="G96" s="60">
        <v>0.99779300000000004</v>
      </c>
      <c r="H96" s="84">
        <v>-864.11625000000004</v>
      </c>
      <c r="I96" s="24">
        <v>6.6766269729180608E-2</v>
      </c>
      <c r="J96" s="24">
        <v>-9.9053147826763687E-4</v>
      </c>
      <c r="K96" s="18"/>
      <c r="L96" s="18"/>
    </row>
    <row r="97" spans="1:12" x14ac:dyDescent="0.25">
      <c r="A97" s="16" t="s">
        <v>1590</v>
      </c>
      <c r="B97" s="24" t="s">
        <v>1737</v>
      </c>
      <c r="C97" s="24" t="s">
        <v>200</v>
      </c>
      <c r="D97" s="60" t="s">
        <v>125</v>
      </c>
      <c r="E97" s="60" t="s">
        <v>1734</v>
      </c>
      <c r="F97" s="69">
        <v>445242.37</v>
      </c>
      <c r="G97" s="60">
        <v>0.99676699999999996</v>
      </c>
      <c r="H97" s="84">
        <v>1697.1031599999999</v>
      </c>
      <c r="I97" s="24">
        <v>-0.13112731919901374</v>
      </c>
      <c r="J97" s="24">
        <v>1.9453795734630352E-3</v>
      </c>
      <c r="K97" s="18"/>
      <c r="L97" s="18"/>
    </row>
    <row r="98" spans="1:12" x14ac:dyDescent="0.25">
      <c r="A98" s="16" t="s">
        <v>1588</v>
      </c>
      <c r="B98" s="24" t="s">
        <v>1738</v>
      </c>
      <c r="C98" s="24" t="s">
        <v>200</v>
      </c>
      <c r="D98" s="60" t="s">
        <v>361</v>
      </c>
      <c r="E98" s="60" t="s">
        <v>1734</v>
      </c>
      <c r="F98" s="69">
        <v>-62000000</v>
      </c>
      <c r="G98" s="60">
        <v>1.000256</v>
      </c>
      <c r="H98" s="84">
        <v>-1591.32816</v>
      </c>
      <c r="I98" s="24">
        <v>0.1229545737141278</v>
      </c>
      <c r="J98" s="24">
        <v>-1.8241303004470967E-3</v>
      </c>
      <c r="K98" s="18"/>
      <c r="L98" s="18"/>
    </row>
    <row r="99" spans="1:12" x14ac:dyDescent="0.25">
      <c r="A99" s="16" t="s">
        <v>1588</v>
      </c>
      <c r="B99" s="24" t="s">
        <v>1739</v>
      </c>
      <c r="C99" s="24" t="s">
        <v>200</v>
      </c>
      <c r="D99" s="60" t="s">
        <v>361</v>
      </c>
      <c r="E99" s="60" t="s">
        <v>1740</v>
      </c>
      <c r="F99" s="69">
        <v>31258474.524275973</v>
      </c>
      <c r="G99" s="60">
        <v>1.000256</v>
      </c>
      <c r="H99" s="84">
        <v>802.29823999999996</v>
      </c>
      <c r="I99" s="24">
        <v>-6.1989877745137742E-2</v>
      </c>
      <c r="J99" s="24">
        <v>9.1966984960498448E-4</v>
      </c>
      <c r="K99" s="18"/>
      <c r="L99" s="18"/>
    </row>
    <row r="100" spans="1:12" x14ac:dyDescent="0.25">
      <c r="A100" s="16" t="s">
        <v>1590</v>
      </c>
      <c r="B100" s="24" t="s">
        <v>1741</v>
      </c>
      <c r="C100" s="24" t="s">
        <v>200</v>
      </c>
      <c r="D100" s="60" t="s">
        <v>125</v>
      </c>
      <c r="E100" s="60" t="s">
        <v>1740</v>
      </c>
      <c r="F100" s="69">
        <v>-221958.91871353131</v>
      </c>
      <c r="G100" s="60">
        <v>0.99676699999999996</v>
      </c>
      <c r="H100" s="84">
        <v>-846.02725999999996</v>
      </c>
      <c r="I100" s="24">
        <v>6.536861705748459E-2</v>
      </c>
      <c r="J100" s="24">
        <v>-9.6979617326085259E-4</v>
      </c>
      <c r="K100" s="18"/>
      <c r="L100" s="18"/>
    </row>
    <row r="101" spans="1:12" x14ac:dyDescent="0.25">
      <c r="A101" s="16" t="s">
        <v>1588</v>
      </c>
      <c r="B101" s="24" t="s">
        <v>1742</v>
      </c>
      <c r="C101" s="24" t="s">
        <v>200</v>
      </c>
      <c r="D101" s="60" t="s">
        <v>361</v>
      </c>
      <c r="E101" s="60" t="s">
        <v>1528</v>
      </c>
      <c r="F101" s="69">
        <v>19563161.225972123</v>
      </c>
      <c r="G101" s="60">
        <v>1.000256</v>
      </c>
      <c r="H101" s="84">
        <v>502.11937999999998</v>
      </c>
      <c r="I101" s="24">
        <v>-3.8796444299397145E-2</v>
      </c>
      <c r="J101" s="24">
        <v>5.7557655204172956E-4</v>
      </c>
      <c r="K101" s="18"/>
      <c r="L101" s="18"/>
    </row>
    <row r="102" spans="1:12" x14ac:dyDescent="0.25">
      <c r="A102" s="16" t="s">
        <v>1590</v>
      </c>
      <c r="B102" s="24" t="s">
        <v>1743</v>
      </c>
      <c r="C102" s="24" t="s">
        <v>200</v>
      </c>
      <c r="D102" s="60" t="s">
        <v>125</v>
      </c>
      <c r="E102" s="60" t="s">
        <v>1528</v>
      </c>
      <c r="F102" s="69">
        <v>-138157.91831809876</v>
      </c>
      <c r="G102" s="60">
        <v>0.99676699999999996</v>
      </c>
      <c r="H102" s="84">
        <v>-526.60809999999992</v>
      </c>
      <c r="I102" s="24">
        <v>4.0688574536321145E-2</v>
      </c>
      <c r="J102" s="24">
        <v>-6.0364783067175438E-4</v>
      </c>
      <c r="K102" s="18"/>
      <c r="L102" s="18"/>
    </row>
    <row r="103" spans="1:12" x14ac:dyDescent="0.25">
      <c r="A103" s="16" t="s">
        <v>1583</v>
      </c>
      <c r="B103" s="24" t="s">
        <v>1744</v>
      </c>
      <c r="C103" s="24" t="s">
        <v>200</v>
      </c>
      <c r="D103" s="60" t="s">
        <v>126</v>
      </c>
      <c r="E103" s="60" t="s">
        <v>1745</v>
      </c>
      <c r="F103" s="69">
        <v>99628.604061437363</v>
      </c>
      <c r="G103" s="60">
        <v>0.99839999999999995</v>
      </c>
      <c r="H103" s="84">
        <v>403.15875</v>
      </c>
      <c r="I103" s="24">
        <v>-3.1150213696570679E-2</v>
      </c>
      <c r="J103" s="24">
        <v>4.6213855209184252E-4</v>
      </c>
      <c r="K103" s="18"/>
      <c r="L103" s="18"/>
    </row>
    <row r="104" spans="1:12" x14ac:dyDescent="0.25">
      <c r="A104" s="16" t="s">
        <v>1586</v>
      </c>
      <c r="B104" s="24" t="s">
        <v>1746</v>
      </c>
      <c r="C104" s="24" t="s">
        <v>200</v>
      </c>
      <c r="D104" s="60" t="s">
        <v>125</v>
      </c>
      <c r="E104" s="60" t="s">
        <v>1745</v>
      </c>
      <c r="F104" s="69">
        <v>-109158.08003991384</v>
      </c>
      <c r="G104" s="60">
        <v>0.99779300000000004</v>
      </c>
      <c r="H104" s="84">
        <v>-416.49952000000002</v>
      </c>
      <c r="I104" s="24">
        <v>3.2180993349441418E-2</v>
      </c>
      <c r="J104" s="24">
        <v>-4.7743099987225231E-4</v>
      </c>
      <c r="K104" s="18"/>
      <c r="L104" s="18"/>
    </row>
    <row r="105" spans="1:12" x14ac:dyDescent="0.25">
      <c r="A105" s="16" t="s">
        <v>1583</v>
      </c>
      <c r="B105" s="24" t="s">
        <v>1747</v>
      </c>
      <c r="C105" s="24" t="s">
        <v>200</v>
      </c>
      <c r="D105" s="60" t="s">
        <v>126</v>
      </c>
      <c r="E105" s="60" t="s">
        <v>1748</v>
      </c>
      <c r="F105" s="69">
        <v>336246.53870735108</v>
      </c>
      <c r="G105" s="60">
        <v>0.99839999999999995</v>
      </c>
      <c r="H105" s="84">
        <v>1360.6607900000001</v>
      </c>
      <c r="I105" s="24">
        <v>-0.10513197190199812</v>
      </c>
      <c r="J105" s="24">
        <v>1.5597176233400432E-3</v>
      </c>
      <c r="K105" s="18"/>
      <c r="L105" s="18"/>
    </row>
    <row r="106" spans="1:12" x14ac:dyDescent="0.25">
      <c r="A106" s="16" t="s">
        <v>1586</v>
      </c>
      <c r="B106" s="24" t="s">
        <v>1749</v>
      </c>
      <c r="C106" s="24" t="s">
        <v>200</v>
      </c>
      <c r="D106" s="60" t="s">
        <v>125</v>
      </c>
      <c r="E106" s="60" t="s">
        <v>1748</v>
      </c>
      <c r="F106" s="69">
        <v>-377393.02764896967</v>
      </c>
      <c r="G106" s="60">
        <v>0.99779300000000004</v>
      </c>
      <c r="H106" s="84">
        <v>-1439.96684</v>
      </c>
      <c r="I106" s="24">
        <v>0.11125958392810674</v>
      </c>
      <c r="J106" s="24">
        <v>-1.6506256914872017E-3</v>
      </c>
      <c r="K106" s="18"/>
      <c r="L106" s="18"/>
    </row>
    <row r="107" spans="1:12" x14ac:dyDescent="0.25">
      <c r="A107" s="16" t="s">
        <v>1590</v>
      </c>
      <c r="B107" s="24" t="s">
        <v>1750</v>
      </c>
      <c r="C107" s="24" t="s">
        <v>200</v>
      </c>
      <c r="D107" s="60" t="s">
        <v>125</v>
      </c>
      <c r="E107" s="60" t="s">
        <v>1570</v>
      </c>
      <c r="F107" s="69">
        <v>152598.46839842375</v>
      </c>
      <c r="G107" s="60">
        <v>0.99676699999999996</v>
      </c>
      <c r="H107" s="84">
        <v>581.65026999999998</v>
      </c>
      <c r="I107" s="24">
        <v>-4.4941428673365105E-2</v>
      </c>
      <c r="J107" s="24">
        <v>6.6674235298534203E-4</v>
      </c>
      <c r="K107" s="18"/>
      <c r="L107" s="18"/>
    </row>
    <row r="108" spans="1:12" x14ac:dyDescent="0.25">
      <c r="A108" s="16" t="s">
        <v>1588</v>
      </c>
      <c r="B108" s="24" t="s">
        <v>1751</v>
      </c>
      <c r="C108" s="24" t="s">
        <v>200</v>
      </c>
      <c r="D108" s="60" t="s">
        <v>361</v>
      </c>
      <c r="E108" s="60" t="s">
        <v>1570</v>
      </c>
      <c r="F108" s="69">
        <v>-20971821.154932566</v>
      </c>
      <c r="G108" s="60">
        <v>1.000256</v>
      </c>
      <c r="H108" s="84">
        <v>-538.27499</v>
      </c>
      <c r="I108" s="24">
        <v>4.159002121625649E-2</v>
      </c>
      <c r="J108" s="24">
        <v>-6.1702151945319556E-4</v>
      </c>
      <c r="K108" s="18"/>
      <c r="L108" s="18"/>
    </row>
    <row r="109" spans="1:12" x14ac:dyDescent="0.25">
      <c r="A109" s="16" t="s">
        <v>1588</v>
      </c>
      <c r="B109" s="24" t="s">
        <v>1752</v>
      </c>
      <c r="C109" s="24" t="s">
        <v>200</v>
      </c>
      <c r="D109" s="60" t="s">
        <v>361</v>
      </c>
      <c r="E109" s="60" t="s">
        <v>1753</v>
      </c>
      <c r="F109" s="69">
        <v>176940645</v>
      </c>
      <c r="G109" s="60">
        <v>1.000256</v>
      </c>
      <c r="H109" s="84">
        <v>4541.4618</v>
      </c>
      <c r="I109" s="24">
        <v>-0.35089776809957002</v>
      </c>
      <c r="J109" s="24">
        <v>5.2058514930716816E-3</v>
      </c>
      <c r="K109" s="18"/>
      <c r="L109" s="18"/>
    </row>
    <row r="110" spans="1:12" x14ac:dyDescent="0.25">
      <c r="A110" s="16" t="s">
        <v>1590</v>
      </c>
      <c r="B110" s="24" t="s">
        <v>1754</v>
      </c>
      <c r="C110" s="24" t="s">
        <v>200</v>
      </c>
      <c r="D110" s="60" t="s">
        <v>125</v>
      </c>
      <c r="E110" s="60" t="s">
        <v>1753</v>
      </c>
      <c r="F110" s="69">
        <v>-1285000</v>
      </c>
      <c r="G110" s="60">
        <v>0.99676699999999996</v>
      </c>
      <c r="H110" s="84">
        <v>-4897.9560499999998</v>
      </c>
      <c r="I110" s="24">
        <v>0.37844243150845969</v>
      </c>
      <c r="J110" s="24">
        <v>-5.6144987976981279E-3</v>
      </c>
      <c r="K110" s="18"/>
      <c r="L110" s="18"/>
    </row>
    <row r="111" spans="1:12" x14ac:dyDescent="0.25">
      <c r="A111" s="16" t="s">
        <v>1586</v>
      </c>
      <c r="B111" s="24" t="s">
        <v>1755</v>
      </c>
      <c r="C111" s="24" t="s">
        <v>200</v>
      </c>
      <c r="D111" s="60" t="s">
        <v>125</v>
      </c>
      <c r="E111" s="60" t="s">
        <v>1756</v>
      </c>
      <c r="F111" s="69">
        <v>677681.23697120149</v>
      </c>
      <c r="G111" s="60">
        <v>0.99779300000000004</v>
      </c>
      <c r="H111" s="84">
        <v>2585.7353900000003</v>
      </c>
      <c r="I111" s="24">
        <v>-0.19978782541935536</v>
      </c>
      <c r="J111" s="24">
        <v>2.964013578341623E-3</v>
      </c>
      <c r="K111" s="18"/>
      <c r="L111" s="18"/>
    </row>
    <row r="112" spans="1:12" x14ac:dyDescent="0.25">
      <c r="A112" s="16" t="s">
        <v>1583</v>
      </c>
      <c r="B112" s="24" t="s">
        <v>1757</v>
      </c>
      <c r="C112" s="24" t="s">
        <v>200</v>
      </c>
      <c r="D112" s="60" t="s">
        <v>126</v>
      </c>
      <c r="E112" s="60" t="s">
        <v>1756</v>
      </c>
      <c r="F112" s="69">
        <v>-622678.77538398351</v>
      </c>
      <c r="G112" s="60">
        <v>0.99839999999999995</v>
      </c>
      <c r="H112" s="84">
        <v>-2519.7422099999999</v>
      </c>
      <c r="I112" s="24">
        <v>0.19468883734203779</v>
      </c>
      <c r="J112" s="24">
        <v>-2.8883659763656359E-3</v>
      </c>
      <c r="K112" s="18"/>
      <c r="L112" s="18"/>
    </row>
    <row r="113" spans="1:12" x14ac:dyDescent="0.25">
      <c r="A113" s="16" t="s">
        <v>1735</v>
      </c>
      <c r="B113" s="24" t="s">
        <v>1758</v>
      </c>
      <c r="C113" s="24" t="s">
        <v>200</v>
      </c>
      <c r="D113" s="60" t="s">
        <v>125</v>
      </c>
      <c r="E113" s="60" t="s">
        <v>1759</v>
      </c>
      <c r="F113" s="69">
        <v>282815.94425706193</v>
      </c>
      <c r="G113" s="60">
        <v>0.99779300000000004</v>
      </c>
      <c r="H113" s="84">
        <v>1079.10203</v>
      </c>
      <c r="I113" s="24">
        <v>-8.3377227543500479E-2</v>
      </c>
      <c r="J113" s="24">
        <v>1.2369684391162737E-3</v>
      </c>
      <c r="K113" s="18"/>
      <c r="L113" s="18"/>
    </row>
    <row r="114" spans="1:12" x14ac:dyDescent="0.25">
      <c r="A114" s="16" t="s">
        <v>1732</v>
      </c>
      <c r="B114" s="24" t="s">
        <v>1760</v>
      </c>
      <c r="C114" s="24" t="s">
        <v>200</v>
      </c>
      <c r="D114" s="60" t="s">
        <v>2</v>
      </c>
      <c r="E114" s="60" t="s">
        <v>1759</v>
      </c>
      <c r="F114" s="69">
        <v>-224221.31033531672</v>
      </c>
      <c r="G114" s="60">
        <v>0.99788399999999999</v>
      </c>
      <c r="H114" s="84">
        <v>-1046.66544</v>
      </c>
      <c r="I114" s="24">
        <v>8.0871002117193724E-2</v>
      </c>
      <c r="J114" s="24">
        <v>-1.1997865629015153E-3</v>
      </c>
      <c r="K114" s="18"/>
      <c r="L114" s="18"/>
    </row>
    <row r="115" spans="1:12" x14ac:dyDescent="0.25">
      <c r="A115" s="16" t="s">
        <v>1595</v>
      </c>
      <c r="B115" s="24" t="s">
        <v>1761</v>
      </c>
      <c r="C115" s="24" t="s">
        <v>200</v>
      </c>
      <c r="D115" s="60" t="s">
        <v>125</v>
      </c>
      <c r="E115" s="60" t="s">
        <v>1597</v>
      </c>
      <c r="F115" s="69">
        <v>2713013.4169200975</v>
      </c>
      <c r="G115" s="60">
        <v>0.97838400000000003</v>
      </c>
      <c r="H115" s="84">
        <v>10150.31494</v>
      </c>
      <c r="I115" s="24">
        <v>-0.78426793283909624</v>
      </c>
      <c r="J115" s="24">
        <v>1.1635247528790575E-2</v>
      </c>
      <c r="K115" s="18"/>
      <c r="L115" s="18"/>
    </row>
    <row r="116" spans="1:12" x14ac:dyDescent="0.25">
      <c r="A116" s="16" t="s">
        <v>1598</v>
      </c>
      <c r="B116" s="24" t="s">
        <v>1762</v>
      </c>
      <c r="C116" s="24" t="s">
        <v>200</v>
      </c>
      <c r="D116" s="60" t="s">
        <v>2</v>
      </c>
      <c r="E116" s="60" t="s">
        <v>1597</v>
      </c>
      <c r="F116" s="69">
        <v>-2191829.2893516221</v>
      </c>
      <c r="G116" s="60">
        <v>0.97932300000000005</v>
      </c>
      <c r="H116" s="84">
        <v>-10041.158890000001</v>
      </c>
      <c r="I116" s="24">
        <v>0.77583394924386606</v>
      </c>
      <c r="J116" s="24">
        <v>-1.1510122577641519E-2</v>
      </c>
      <c r="K116" s="18"/>
      <c r="L116" s="18"/>
    </row>
    <row r="117" spans="1:12" x14ac:dyDescent="0.25">
      <c r="A117" s="16" t="s">
        <v>1595</v>
      </c>
      <c r="B117" s="24" t="s">
        <v>1763</v>
      </c>
      <c r="C117" s="24" t="s">
        <v>200</v>
      </c>
      <c r="D117" s="60" t="s">
        <v>125</v>
      </c>
      <c r="E117" s="60" t="s">
        <v>1597</v>
      </c>
      <c r="F117" s="69">
        <v>1732899</v>
      </c>
      <c r="G117" s="60">
        <v>0.97838400000000003</v>
      </c>
      <c r="H117" s="84">
        <v>6483.3671399999994</v>
      </c>
      <c r="I117" s="24">
        <v>-0.50093982056528419</v>
      </c>
      <c r="J117" s="24">
        <v>7.4318463948988573E-3</v>
      </c>
      <c r="K117" s="18"/>
      <c r="L117" s="18"/>
    </row>
    <row r="118" spans="1:12" x14ac:dyDescent="0.25">
      <c r="A118" s="16" t="s">
        <v>1598</v>
      </c>
      <c r="B118" s="24" t="s">
        <v>1764</v>
      </c>
      <c r="C118" s="24" t="s">
        <v>200</v>
      </c>
      <c r="D118" s="60" t="s">
        <v>2</v>
      </c>
      <c r="E118" s="60" t="s">
        <v>1597</v>
      </c>
      <c r="F118" s="69">
        <v>-1400000</v>
      </c>
      <c r="G118" s="60">
        <v>0.97932300000000005</v>
      </c>
      <c r="H118" s="84">
        <v>-6413.6462199999996</v>
      </c>
      <c r="I118" s="24">
        <v>0.49555280724330741</v>
      </c>
      <c r="J118" s="24">
        <v>-7.3519257060404089E-3</v>
      </c>
      <c r="K118" s="18"/>
      <c r="L118" s="18"/>
    </row>
    <row r="119" spans="1:12" x14ac:dyDescent="0.25">
      <c r="A119" s="16" t="s">
        <v>1735</v>
      </c>
      <c r="B119" s="24" t="s">
        <v>1765</v>
      </c>
      <c r="C119" s="24" t="s">
        <v>200</v>
      </c>
      <c r="D119" s="60" t="s">
        <v>125</v>
      </c>
      <c r="E119" s="60" t="s">
        <v>1766</v>
      </c>
      <c r="F119" s="69">
        <v>218860.5</v>
      </c>
      <c r="G119" s="60">
        <v>0.99779300000000004</v>
      </c>
      <c r="H119" s="84">
        <v>835.0760600000001</v>
      </c>
      <c r="I119" s="24">
        <v>-6.4522468436788938E-2</v>
      </c>
      <c r="J119" s="24">
        <v>9.572428758025484E-4</v>
      </c>
      <c r="K119" s="18"/>
      <c r="L119" s="18"/>
    </row>
    <row r="120" spans="1:12" x14ac:dyDescent="0.25">
      <c r="A120" s="16" t="s">
        <v>1732</v>
      </c>
      <c r="B120" s="24" t="s">
        <v>1767</v>
      </c>
      <c r="C120" s="24" t="s">
        <v>200</v>
      </c>
      <c r="D120" s="60" t="s">
        <v>2</v>
      </c>
      <c r="E120" s="60" t="s">
        <v>1766</v>
      </c>
      <c r="F120" s="69">
        <v>-177000</v>
      </c>
      <c r="G120" s="60">
        <v>0.99788399999999999</v>
      </c>
      <c r="H120" s="84">
        <v>-826.23633999999993</v>
      </c>
      <c r="I120" s="24">
        <v>6.3839464118966613E-2</v>
      </c>
      <c r="J120" s="24">
        <v>-9.4710995570172611E-4</v>
      </c>
      <c r="K120" s="18"/>
      <c r="L120" s="18"/>
    </row>
    <row r="121" spans="1:12" x14ac:dyDescent="0.25">
      <c r="A121" s="16" t="s">
        <v>1598</v>
      </c>
      <c r="B121" s="24" t="s">
        <v>1768</v>
      </c>
      <c r="C121" s="24" t="s">
        <v>200</v>
      </c>
      <c r="D121" s="60" t="s">
        <v>2</v>
      </c>
      <c r="E121" s="60" t="s">
        <v>1766</v>
      </c>
      <c r="F121" s="69">
        <v>177000</v>
      </c>
      <c r="G121" s="60">
        <v>0.97932300000000005</v>
      </c>
      <c r="H121" s="84">
        <v>810.86818000000005</v>
      </c>
      <c r="I121" s="24">
        <v>-6.2652037408959471E-2</v>
      </c>
      <c r="J121" s="24">
        <v>9.2949352244630073E-4</v>
      </c>
      <c r="K121" s="18"/>
      <c r="L121" s="18"/>
    </row>
    <row r="122" spans="1:12" x14ac:dyDescent="0.25">
      <c r="A122" s="16" t="s">
        <v>1595</v>
      </c>
      <c r="B122" s="24" t="s">
        <v>1769</v>
      </c>
      <c r="C122" s="24" t="s">
        <v>200</v>
      </c>
      <c r="D122" s="60" t="s">
        <v>125</v>
      </c>
      <c r="E122" s="60" t="s">
        <v>1766</v>
      </c>
      <c r="F122" s="69">
        <v>-219016.26</v>
      </c>
      <c r="G122" s="60">
        <v>0.97838400000000003</v>
      </c>
      <c r="H122" s="84">
        <v>-819.41463999999996</v>
      </c>
      <c r="I122" s="24">
        <v>6.3312382881677592E-2</v>
      </c>
      <c r="J122" s="24">
        <v>-9.3929028029891045E-4</v>
      </c>
      <c r="K122" s="18"/>
      <c r="L122" s="18"/>
    </row>
    <row r="123" spans="1:12" x14ac:dyDescent="0.25">
      <c r="A123" s="16" t="s">
        <v>1732</v>
      </c>
      <c r="B123" s="24" t="s">
        <v>1770</v>
      </c>
      <c r="C123" s="24" t="s">
        <v>200</v>
      </c>
      <c r="D123" s="60" t="s">
        <v>2</v>
      </c>
      <c r="E123" s="60" t="s">
        <v>1766</v>
      </c>
      <c r="F123" s="69">
        <v>224164.35913823405</v>
      </c>
      <c r="G123" s="60">
        <v>0.99788399999999999</v>
      </c>
      <c r="H123" s="84">
        <v>1046.39967</v>
      </c>
      <c r="I123" s="24">
        <v>-8.085046729736374E-2</v>
      </c>
      <c r="J123" s="24">
        <v>1.1994819122819033E-3</v>
      </c>
      <c r="K123" s="18"/>
      <c r="L123" s="18"/>
    </row>
    <row r="124" spans="1:12" x14ac:dyDescent="0.25">
      <c r="A124" s="16" t="s">
        <v>1735</v>
      </c>
      <c r="B124" s="24" t="s">
        <v>1771</v>
      </c>
      <c r="C124" s="24" t="s">
        <v>200</v>
      </c>
      <c r="D124" s="60" t="s">
        <v>125</v>
      </c>
      <c r="E124" s="60" t="s">
        <v>1766</v>
      </c>
      <c r="F124" s="69">
        <v>-277179.23007442639</v>
      </c>
      <c r="G124" s="60">
        <v>0.99779300000000004</v>
      </c>
      <c r="H124" s="84">
        <v>-1057.5948600000002</v>
      </c>
      <c r="I124" s="24">
        <v>8.1715467897930424E-2</v>
      </c>
      <c r="J124" s="24">
        <v>-1.212314894071318E-3</v>
      </c>
      <c r="K124" s="18"/>
      <c r="L124" s="18"/>
    </row>
    <row r="125" spans="1:12" x14ac:dyDescent="0.25">
      <c r="A125" s="16" t="s">
        <v>1595</v>
      </c>
      <c r="B125" s="24" t="s">
        <v>1772</v>
      </c>
      <c r="C125" s="24" t="s">
        <v>200</v>
      </c>
      <c r="D125" s="60" t="s">
        <v>125</v>
      </c>
      <c r="E125" s="60" t="s">
        <v>1766</v>
      </c>
      <c r="F125" s="69">
        <v>277376.49471046805</v>
      </c>
      <c r="G125" s="60">
        <v>0.97838400000000003</v>
      </c>
      <c r="H125" s="84">
        <v>1037.7602199999999</v>
      </c>
      <c r="I125" s="24">
        <v>-8.0182936917033792E-2</v>
      </c>
      <c r="J125" s="24">
        <v>1.1895785605281093E-3</v>
      </c>
      <c r="K125" s="18"/>
      <c r="L125" s="18"/>
    </row>
    <row r="126" spans="1:12" x14ac:dyDescent="0.25">
      <c r="A126" s="16" t="s">
        <v>1598</v>
      </c>
      <c r="B126" s="24" t="s">
        <v>1773</v>
      </c>
      <c r="C126" s="24" t="s">
        <v>200</v>
      </c>
      <c r="D126" s="60" t="s">
        <v>2</v>
      </c>
      <c r="E126" s="60" t="s">
        <v>1766</v>
      </c>
      <c r="F126" s="69">
        <v>-224164.35913823405</v>
      </c>
      <c r="G126" s="60">
        <v>0.97932200000000003</v>
      </c>
      <c r="H126" s="84">
        <v>-1026.93534</v>
      </c>
      <c r="I126" s="24">
        <v>7.9346548459038699E-2</v>
      </c>
      <c r="J126" s="24">
        <v>-1.1771700629579389E-3</v>
      </c>
      <c r="K126" s="18"/>
      <c r="L126" s="18"/>
    </row>
    <row r="127" spans="1:12" x14ac:dyDescent="0.25">
      <c r="A127" s="16" t="s">
        <v>1586</v>
      </c>
      <c r="B127" s="24" t="s">
        <v>1774</v>
      </c>
      <c r="C127" s="24" t="s">
        <v>200</v>
      </c>
      <c r="D127" s="60" t="s">
        <v>125</v>
      </c>
      <c r="E127" s="60" t="s">
        <v>1601</v>
      </c>
      <c r="F127" s="69">
        <v>1274676.2563711668</v>
      </c>
      <c r="G127" s="60">
        <v>0.99779300000000004</v>
      </c>
      <c r="H127" s="84">
        <v>4863.6074500000004</v>
      </c>
      <c r="I127" s="24">
        <v>-0.37578847390446868</v>
      </c>
      <c r="J127" s="24">
        <v>5.5751251954375258E-3</v>
      </c>
      <c r="K127" s="18"/>
      <c r="L127" s="18"/>
    </row>
    <row r="128" spans="1:12" x14ac:dyDescent="0.25">
      <c r="A128" s="16" t="s">
        <v>1583</v>
      </c>
      <c r="B128" s="24" t="s">
        <v>1775</v>
      </c>
      <c r="C128" s="24" t="s">
        <v>200</v>
      </c>
      <c r="D128" s="60" t="s">
        <v>126</v>
      </c>
      <c r="E128" s="60" t="s">
        <v>1601</v>
      </c>
      <c r="F128" s="69">
        <v>-1195543.2487372484</v>
      </c>
      <c r="G128" s="60">
        <v>0.99839999999999995</v>
      </c>
      <c r="H128" s="84">
        <v>-4837.9050399999996</v>
      </c>
      <c r="I128" s="24">
        <v>0.37380256744946333</v>
      </c>
      <c r="J128" s="24">
        <v>-5.5456626709538791E-3</v>
      </c>
      <c r="K128" s="18"/>
      <c r="L128" s="18"/>
    </row>
    <row r="129" spans="1:14" x14ac:dyDescent="0.25">
      <c r="A129" s="16" t="s">
        <v>1776</v>
      </c>
      <c r="B129" s="24" t="s">
        <v>1777</v>
      </c>
      <c r="C129" s="24" t="s">
        <v>200</v>
      </c>
      <c r="D129" s="60" t="s">
        <v>126</v>
      </c>
      <c r="E129" s="60" t="s">
        <v>1601</v>
      </c>
      <c r="F129" s="69">
        <v>1195543.2487372484</v>
      </c>
      <c r="G129" s="60">
        <v>0.98312500000000003</v>
      </c>
      <c r="H129" s="84">
        <v>4763.8883299999998</v>
      </c>
      <c r="I129" s="24">
        <v>-0.36808363828417273</v>
      </c>
      <c r="J129" s="24">
        <v>5.4608177427711178E-3</v>
      </c>
      <c r="K129" s="18"/>
      <c r="L129" s="18"/>
    </row>
    <row r="130" spans="1:14" x14ac:dyDescent="0.25">
      <c r="A130" s="16" t="s">
        <v>1778</v>
      </c>
      <c r="B130" s="24" t="s">
        <v>1779</v>
      </c>
      <c r="C130" s="24" t="s">
        <v>200</v>
      </c>
      <c r="D130" s="60" t="s">
        <v>125</v>
      </c>
      <c r="E130" s="60" t="s">
        <v>1601</v>
      </c>
      <c r="F130" s="69">
        <v>-1284013.4491438046</v>
      </c>
      <c r="G130" s="60">
        <v>0.97537300000000005</v>
      </c>
      <c r="H130" s="84">
        <v>-4789.1498700000002</v>
      </c>
      <c r="I130" s="24">
        <v>0.37003548075145015</v>
      </c>
      <c r="J130" s="24">
        <v>-5.4897749005140923E-3</v>
      </c>
      <c r="K130" s="18"/>
      <c r="L130" s="18"/>
    </row>
    <row r="131" spans="1:14" x14ac:dyDescent="0.25">
      <c r="A131" s="16" t="s">
        <v>1583</v>
      </c>
      <c r="B131" s="24" t="s">
        <v>1780</v>
      </c>
      <c r="C131" s="24" t="s">
        <v>200</v>
      </c>
      <c r="D131" s="60" t="s">
        <v>126</v>
      </c>
      <c r="E131" s="60" t="s">
        <v>1601</v>
      </c>
      <c r="F131" s="69">
        <v>875000</v>
      </c>
      <c r="G131" s="60">
        <v>0.99839999999999995</v>
      </c>
      <c r="H131" s="84">
        <v>3540.7894300000003</v>
      </c>
      <c r="I131" s="24">
        <v>-0.27358043797650106</v>
      </c>
      <c r="J131" s="24">
        <v>4.0587865212953966E-3</v>
      </c>
      <c r="K131" s="18"/>
      <c r="L131" s="18"/>
    </row>
    <row r="132" spans="1:14" x14ac:dyDescent="0.25">
      <c r="A132" s="16" t="s">
        <v>1586</v>
      </c>
      <c r="B132" s="24" t="s">
        <v>1781</v>
      </c>
      <c r="C132" s="24" t="s">
        <v>200</v>
      </c>
      <c r="D132" s="60" t="s">
        <v>125</v>
      </c>
      <c r="E132" s="60" t="s">
        <v>1601</v>
      </c>
      <c r="F132" s="69">
        <v>-932916.25</v>
      </c>
      <c r="G132" s="60">
        <v>0.99779300000000004</v>
      </c>
      <c r="H132" s="84">
        <v>-3559.6006400000001</v>
      </c>
      <c r="I132" s="24">
        <v>0.27503389325036293</v>
      </c>
      <c r="J132" s="24">
        <v>-4.0803497029266904E-3</v>
      </c>
      <c r="K132" s="18"/>
      <c r="L132" s="18"/>
    </row>
    <row r="133" spans="1:14" x14ac:dyDescent="0.25">
      <c r="A133" s="16" t="s">
        <v>1778</v>
      </c>
      <c r="B133" s="24" t="s">
        <v>1782</v>
      </c>
      <c r="C133" s="24" t="s">
        <v>200</v>
      </c>
      <c r="D133" s="60" t="s">
        <v>125</v>
      </c>
      <c r="E133" s="60" t="s">
        <v>1601</v>
      </c>
      <c r="F133" s="69">
        <v>939750</v>
      </c>
      <c r="G133" s="60">
        <v>0.97537300000000005</v>
      </c>
      <c r="H133" s="84">
        <v>3505.1062700000002</v>
      </c>
      <c r="I133" s="24">
        <v>-0.27082336508804478</v>
      </c>
      <c r="J133" s="24">
        <v>4.0178831205966358E-3</v>
      </c>
      <c r="K133" s="18"/>
      <c r="L133" s="18"/>
    </row>
    <row r="134" spans="1:14" x14ac:dyDescent="0.25">
      <c r="A134" s="16" t="s">
        <v>1776</v>
      </c>
      <c r="B134" s="24" t="s">
        <v>1783</v>
      </c>
      <c r="C134" s="24" t="s">
        <v>200</v>
      </c>
      <c r="D134" s="60" t="s">
        <v>126</v>
      </c>
      <c r="E134" s="60" t="s">
        <v>1601</v>
      </c>
      <c r="F134" s="69">
        <v>-875000</v>
      </c>
      <c r="G134" s="60">
        <v>0.98312600000000006</v>
      </c>
      <c r="H134" s="84">
        <v>-3486.6228700000001</v>
      </c>
      <c r="I134" s="24">
        <v>0.26939523817813849</v>
      </c>
      <c r="J134" s="24">
        <v>-3.9966957056794738E-3</v>
      </c>
      <c r="K134" s="18"/>
      <c r="L134" s="18"/>
    </row>
    <row r="135" spans="1:14" x14ac:dyDescent="0.25">
      <c r="A135" s="16" t="s">
        <v>1608</v>
      </c>
      <c r="B135" s="24" t="s">
        <v>1706</v>
      </c>
      <c r="C135" s="24" t="s">
        <v>200</v>
      </c>
      <c r="D135" s="60" t="s">
        <v>255</v>
      </c>
      <c r="E135" s="60" t="s">
        <v>1707</v>
      </c>
      <c r="F135" s="69">
        <v>13412000</v>
      </c>
      <c r="G135" s="60">
        <v>0.99354699999999996</v>
      </c>
      <c r="H135" s="84">
        <v>13325.464619999999</v>
      </c>
      <c r="I135" s="24">
        <v>-1.0295970768812335</v>
      </c>
      <c r="J135" s="24">
        <v>1.5274903311506631E-2</v>
      </c>
      <c r="K135" s="14"/>
      <c r="L135" s="14"/>
      <c r="M135" s="14"/>
      <c r="N135" s="14"/>
    </row>
    <row r="136" spans="1:14" x14ac:dyDescent="0.25">
      <c r="A136" s="16" t="s">
        <v>1611</v>
      </c>
      <c r="B136" s="24" t="s">
        <v>1708</v>
      </c>
      <c r="C136" s="24" t="s">
        <v>200</v>
      </c>
      <c r="D136" s="60" t="s">
        <v>125</v>
      </c>
      <c r="E136" s="60" t="s">
        <v>1707</v>
      </c>
      <c r="F136" s="69">
        <v>-4000000</v>
      </c>
      <c r="G136" s="60">
        <v>0.99060899999999996</v>
      </c>
      <c r="H136" s="84">
        <v>-15152.360199999999</v>
      </c>
      <c r="I136" s="24">
        <v>1.1707528566288403</v>
      </c>
      <c r="J136" s="24">
        <v>-1.7369063188141298E-2</v>
      </c>
      <c r="K136" s="14"/>
      <c r="L136" s="14"/>
      <c r="M136" s="14"/>
      <c r="N136" s="14"/>
    </row>
    <row r="137" spans="1:14" x14ac:dyDescent="0.25">
      <c r="A137" s="16" t="s">
        <v>1709</v>
      </c>
      <c r="B137" s="24" t="s">
        <v>1710</v>
      </c>
      <c r="C137" s="24" t="s">
        <v>200</v>
      </c>
      <c r="D137" s="60" t="s">
        <v>255</v>
      </c>
      <c r="E137" s="60" t="s">
        <v>1711</v>
      </c>
      <c r="F137" s="69">
        <v>86958223.799999997</v>
      </c>
      <c r="G137" s="60">
        <v>0.97833700000000001</v>
      </c>
      <c r="H137" s="84">
        <v>85074.51204999999</v>
      </c>
      <c r="I137" s="24">
        <v>-6.573314433803005</v>
      </c>
      <c r="J137" s="24">
        <v>9.7520422956731079E-2</v>
      </c>
      <c r="K137" s="14"/>
      <c r="L137" s="14"/>
      <c r="M137" s="14"/>
      <c r="N137" s="14"/>
    </row>
    <row r="138" spans="1:14" x14ac:dyDescent="0.25">
      <c r="A138" s="16" t="s">
        <v>1712</v>
      </c>
      <c r="B138" s="24" t="s">
        <v>1713</v>
      </c>
      <c r="C138" s="24" t="s">
        <v>200</v>
      </c>
      <c r="D138" s="60" t="s">
        <v>125</v>
      </c>
      <c r="E138" s="60" t="s">
        <v>1711</v>
      </c>
      <c r="F138" s="69">
        <v>-24308000</v>
      </c>
      <c r="G138" s="60">
        <v>0.96748199999999995</v>
      </c>
      <c r="H138" s="84">
        <v>-89931.171620000008</v>
      </c>
      <c r="I138" s="24">
        <v>6.9485660771246378</v>
      </c>
      <c r="J138" s="24">
        <v>-0.10308758383735886</v>
      </c>
      <c r="K138" s="14"/>
      <c r="L138" s="14"/>
      <c r="M138" s="14"/>
      <c r="N138" s="14"/>
    </row>
    <row r="139" spans="1:14" x14ac:dyDescent="0.25">
      <c r="A139" s="16" t="s">
        <v>1714</v>
      </c>
      <c r="B139" s="24" t="s">
        <v>1715</v>
      </c>
      <c r="C139" s="24" t="s">
        <v>200</v>
      </c>
      <c r="D139" s="60" t="s">
        <v>125</v>
      </c>
      <c r="E139" s="60" t="s">
        <v>1688</v>
      </c>
      <c r="F139" s="69">
        <v>-11758000</v>
      </c>
      <c r="G139" s="60">
        <v>0.96651900000000002</v>
      </c>
      <c r="H139" s="84">
        <v>-43457.240319999997</v>
      </c>
      <c r="I139" s="24">
        <v>3.3577401523127741</v>
      </c>
      <c r="J139" s="24">
        <v>-4.9814784174700505E-2</v>
      </c>
      <c r="K139" s="14"/>
      <c r="L139" s="14"/>
      <c r="M139" s="14"/>
      <c r="N139" s="14"/>
    </row>
    <row r="140" spans="1:14" x14ac:dyDescent="0.25">
      <c r="A140" s="16" t="s">
        <v>1716</v>
      </c>
      <c r="B140" s="24" t="s">
        <v>1717</v>
      </c>
      <c r="C140" s="24" t="s">
        <v>200</v>
      </c>
      <c r="D140" s="60" t="s">
        <v>255</v>
      </c>
      <c r="E140" s="60" t="s">
        <v>1688</v>
      </c>
      <c r="F140" s="69">
        <v>42446380</v>
      </c>
      <c r="G140" s="60">
        <v>0.97769600000000001</v>
      </c>
      <c r="H140" s="84">
        <v>41499.675380000001</v>
      </c>
      <c r="I140" s="24">
        <v>-3.2064881549149389</v>
      </c>
      <c r="J140" s="24">
        <v>4.7570838763625209E-2</v>
      </c>
      <c r="K140" s="14"/>
      <c r="L140" s="14"/>
      <c r="M140" s="14"/>
      <c r="N140" s="14"/>
    </row>
    <row r="141" spans="1:14" x14ac:dyDescent="0.25">
      <c r="A141" s="16" t="s">
        <v>1608</v>
      </c>
      <c r="B141" s="24" t="s">
        <v>1718</v>
      </c>
      <c r="C141" s="24" t="s">
        <v>200</v>
      </c>
      <c r="D141" s="60" t="s">
        <v>255</v>
      </c>
      <c r="E141" s="60" t="s">
        <v>1719</v>
      </c>
      <c r="F141" s="69">
        <v>62050000</v>
      </c>
      <c r="G141" s="60">
        <v>0.99354699999999996</v>
      </c>
      <c r="H141" s="84">
        <v>61649.603069999997</v>
      </c>
      <c r="I141" s="24">
        <v>-4.7633799587365022</v>
      </c>
      <c r="J141" s="24">
        <v>7.06685847691675E-2</v>
      </c>
      <c r="K141" s="14"/>
      <c r="L141" s="14"/>
      <c r="M141" s="14"/>
      <c r="N141" s="14"/>
    </row>
    <row r="142" spans="1:14" x14ac:dyDescent="0.25">
      <c r="A142" s="16" t="s">
        <v>1611</v>
      </c>
      <c r="B142" s="24" t="s">
        <v>1720</v>
      </c>
      <c r="C142" s="24" t="s">
        <v>200</v>
      </c>
      <c r="D142" s="60" t="s">
        <v>125</v>
      </c>
      <c r="E142" s="60" t="s">
        <v>1719</v>
      </c>
      <c r="F142" s="69">
        <v>-17000000</v>
      </c>
      <c r="G142" s="60">
        <v>0.99060800000000004</v>
      </c>
      <c r="H142" s="84">
        <v>-64397.478920000001</v>
      </c>
      <c r="I142" s="24">
        <v>4.9756956282814295</v>
      </c>
      <c r="J142" s="24">
        <v>-7.381845902254075E-2</v>
      </c>
      <c r="K142" s="14"/>
      <c r="L142" s="14"/>
      <c r="M142" s="14"/>
      <c r="N142" s="14"/>
    </row>
    <row r="143" spans="1:14" x14ac:dyDescent="0.25">
      <c r="A143" s="16" t="s">
        <v>1616</v>
      </c>
      <c r="B143" s="24" t="s">
        <v>1721</v>
      </c>
      <c r="C143" s="24" t="s">
        <v>200</v>
      </c>
      <c r="D143" s="60" t="s">
        <v>125</v>
      </c>
      <c r="E143" s="60" t="s">
        <v>1722</v>
      </c>
      <c r="F143" s="69">
        <v>890829.18185496097</v>
      </c>
      <c r="G143" s="60">
        <v>0.96176099999999998</v>
      </c>
      <c r="H143" s="84">
        <v>3276.27025</v>
      </c>
      <c r="I143" s="24">
        <v>-0.25314226322811312</v>
      </c>
      <c r="J143" s="24">
        <v>3.7555697094421958E-3</v>
      </c>
      <c r="K143" s="14"/>
      <c r="L143" s="14"/>
      <c r="M143" s="14"/>
      <c r="N143" s="14"/>
    </row>
    <row r="144" spans="1:14" x14ac:dyDescent="0.25">
      <c r="A144" s="16" t="s">
        <v>1613</v>
      </c>
      <c r="B144" s="24" t="s">
        <v>1723</v>
      </c>
      <c r="C144" s="24" t="s">
        <v>200</v>
      </c>
      <c r="D144" s="60" t="s">
        <v>255</v>
      </c>
      <c r="E144" s="60" t="s">
        <v>1722</v>
      </c>
      <c r="F144" s="69">
        <v>-3178389.4379403153</v>
      </c>
      <c r="G144" s="60">
        <v>0.97453100000000004</v>
      </c>
      <c r="H144" s="84">
        <v>-3097.4402400000004</v>
      </c>
      <c r="I144" s="24">
        <v>0.23932489469311327</v>
      </c>
      <c r="J144" s="24">
        <v>-3.5505778994121035E-3</v>
      </c>
      <c r="K144" s="18"/>
      <c r="L144" s="18"/>
    </row>
    <row r="145" spans="1:14" s="119" customFormat="1" x14ac:dyDescent="0.25">
      <c r="A145" s="92" t="s">
        <v>1269</v>
      </c>
      <c r="B145" s="137" t="s">
        <v>249</v>
      </c>
      <c r="C145" s="137" t="s">
        <v>249</v>
      </c>
      <c r="D145" s="136" t="s">
        <v>249</v>
      </c>
      <c r="E145" s="136" t="s">
        <v>249</v>
      </c>
      <c r="F145" s="135" t="s">
        <v>249</v>
      </c>
      <c r="G145" s="136" t="s">
        <v>249</v>
      </c>
      <c r="H145" s="124">
        <v>0</v>
      </c>
      <c r="I145" s="137">
        <v>0</v>
      </c>
      <c r="J145" s="137">
        <v>0</v>
      </c>
      <c r="K145" s="159"/>
      <c r="L145" s="159"/>
      <c r="M145" s="130"/>
      <c r="N145" s="130"/>
    </row>
    <row r="146" spans="1:14" s="119" customFormat="1" x14ac:dyDescent="0.25">
      <c r="A146" s="92" t="s">
        <v>141</v>
      </c>
      <c r="B146" s="137" t="s">
        <v>249</v>
      </c>
      <c r="C146" s="137" t="s">
        <v>249</v>
      </c>
      <c r="D146" s="136" t="s">
        <v>249</v>
      </c>
      <c r="E146" s="136" t="s">
        <v>249</v>
      </c>
      <c r="F146" s="135" t="s">
        <v>249</v>
      </c>
      <c r="G146" s="136" t="s">
        <v>249</v>
      </c>
      <c r="H146" s="124">
        <v>0</v>
      </c>
      <c r="I146" s="137">
        <v>0</v>
      </c>
      <c r="J146" s="137">
        <v>0</v>
      </c>
      <c r="K146" s="159"/>
      <c r="L146" s="159"/>
      <c r="M146" s="130"/>
      <c r="N146" s="130"/>
    </row>
    <row r="147" spans="1:14" s="119" customFormat="1" x14ac:dyDescent="0.25">
      <c r="A147" s="78" t="s">
        <v>241</v>
      </c>
      <c r="B147" s="125"/>
      <c r="C147" s="78"/>
      <c r="D147" s="126"/>
      <c r="E147" s="126"/>
      <c r="F147" s="126"/>
      <c r="G147" s="127"/>
      <c r="H147" s="128"/>
      <c r="I147" s="128"/>
      <c r="J147" s="129"/>
      <c r="K147" s="148"/>
      <c r="L147" s="148"/>
      <c r="M147" s="130"/>
      <c r="N147" s="130"/>
    </row>
    <row r="148" spans="1:14" s="119" customFormat="1" x14ac:dyDescent="0.25">
      <c r="A148" s="78" t="s">
        <v>242</v>
      </c>
      <c r="B148" s="125"/>
      <c r="C148" s="78"/>
      <c r="D148" s="126"/>
      <c r="E148" s="126"/>
      <c r="F148" s="126"/>
      <c r="G148" s="127"/>
      <c r="H148" s="128"/>
      <c r="I148" s="128"/>
      <c r="J148" s="129"/>
      <c r="K148" s="148"/>
      <c r="L148" s="148"/>
      <c r="M148" s="130"/>
      <c r="N148" s="130"/>
    </row>
    <row r="149" spans="1:14" s="119" customFormat="1" x14ac:dyDescent="0.25">
      <c r="A149" s="78" t="s">
        <v>243</v>
      </c>
      <c r="B149" s="125"/>
      <c r="C149" s="78"/>
      <c r="D149" s="126"/>
      <c r="E149" s="126"/>
      <c r="F149" s="126"/>
      <c r="G149" s="127"/>
      <c r="H149" s="128"/>
      <c r="I149" s="128"/>
      <c r="J149" s="129"/>
      <c r="K149" s="148"/>
      <c r="L149" s="148"/>
      <c r="M149" s="130"/>
      <c r="N149" s="130"/>
    </row>
    <row r="150" spans="1:14" s="119" customFormat="1" x14ac:dyDescent="0.25">
      <c r="A150" s="78" t="s">
        <v>244</v>
      </c>
      <c r="B150" s="125"/>
      <c r="C150" s="78"/>
      <c r="D150" s="126"/>
      <c r="E150" s="126"/>
      <c r="F150" s="126"/>
      <c r="G150" s="127"/>
      <c r="H150" s="128"/>
      <c r="I150" s="128"/>
      <c r="J150" s="129"/>
      <c r="K150" s="148"/>
      <c r="L150" s="148"/>
      <c r="M150" s="130"/>
      <c r="N150" s="130"/>
    </row>
    <row r="151" spans="1:14" s="119" customFormat="1" x14ac:dyDescent="0.25">
      <c r="A151" s="78" t="s">
        <v>245</v>
      </c>
      <c r="B151" s="125"/>
      <c r="C151" s="78"/>
      <c r="D151" s="126"/>
      <c r="E151" s="126"/>
      <c r="F151" s="126"/>
      <c r="G151" s="127"/>
      <c r="H151" s="128"/>
      <c r="I151" s="128"/>
      <c r="J151" s="129"/>
      <c r="K151" s="148"/>
      <c r="L151" s="148"/>
      <c r="M151" s="130"/>
      <c r="N151" s="130"/>
    </row>
  </sheetData>
  <mergeCells count="2">
    <mergeCell ref="A5:J5"/>
    <mergeCell ref="A4:J4"/>
  </mergeCells>
  <phoneticPr fontId="3" type="noConversion"/>
  <conditionalFormatting sqref="B10:E146 I10:J146">
    <cfRule type="expression" dxfId="46" priority="355" stopIfTrue="1">
      <formula>OR(LEFT(#REF!,3)="TIR",LEFT(#REF!,2)="IR")</formula>
    </cfRule>
  </conditionalFormatting>
  <conditionalFormatting sqref="H10:I146 A10:A146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34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5" t="s">
        <v>69</v>
      </c>
      <c r="C6" s="205" t="s">
        <v>27</v>
      </c>
      <c r="D6" s="205" t="s">
        <v>70</v>
      </c>
      <c r="E6" s="205" t="s">
        <v>5</v>
      </c>
      <c r="F6" s="205" t="s">
        <v>13</v>
      </c>
      <c r="G6" s="205" t="s">
        <v>14</v>
      </c>
      <c r="H6" s="205" t="s">
        <v>6</v>
      </c>
      <c r="I6" s="206" t="s">
        <v>66</v>
      </c>
      <c r="J6" s="206" t="s">
        <v>71</v>
      </c>
      <c r="K6" s="206" t="s">
        <v>67</v>
      </c>
      <c r="L6" s="206" t="s">
        <v>68</v>
      </c>
      <c r="M6" s="206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1.2000000000000002E-6</v>
      </c>
      <c r="N9" s="67" t="s">
        <v>249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1303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1304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1305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6" t="s">
        <v>249</v>
      </c>
      <c r="I13" s="137" t="s">
        <v>249</v>
      </c>
      <c r="J13" s="137" t="s">
        <v>249</v>
      </c>
      <c r="K13" s="135" t="s">
        <v>249</v>
      </c>
      <c r="L13" s="122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1306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1307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1308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1309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393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1303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1304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1305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1306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1307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1308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1309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69"/>
  <sheetViews>
    <sheetView rightToLeft="1" tabSelected="1" topLeftCell="A2" zoomScale="80" zoomScaleNormal="80" workbookViewId="0">
      <selection activeCell="B12" sqref="B12:B13"/>
    </sheetView>
  </sheetViews>
  <sheetFormatPr defaultColWidth="9.109375" defaultRowHeight="13.2" x14ac:dyDescent="0.25"/>
  <cols>
    <col min="1" max="1" width="39.8867187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0.88671875" style="59" customWidth="1"/>
    <col min="10" max="10" width="11.33203125" style="59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7.10937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2" t="s">
        <v>35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  <c r="R4" s="12"/>
      <c r="S4" s="12"/>
      <c r="T4" s="12"/>
    </row>
    <row r="5" spans="1:20" s="7" customFormat="1" ht="33.75" customHeight="1" x14ac:dyDescent="0.25">
      <c r="A5" s="86" t="s">
        <v>157</v>
      </c>
      <c r="B5" s="205" t="s">
        <v>80</v>
      </c>
      <c r="C5" s="205" t="s">
        <v>69</v>
      </c>
      <c r="D5" s="205" t="s">
        <v>74</v>
      </c>
      <c r="E5" s="205" t="s">
        <v>70</v>
      </c>
      <c r="F5" s="205" t="s">
        <v>13</v>
      </c>
      <c r="G5" s="205" t="s">
        <v>5</v>
      </c>
      <c r="H5" s="205" t="s">
        <v>14</v>
      </c>
      <c r="I5" s="205" t="s">
        <v>160</v>
      </c>
      <c r="J5" s="205" t="s">
        <v>6</v>
      </c>
      <c r="K5" s="206" t="s">
        <v>36</v>
      </c>
      <c r="L5" s="206" t="s">
        <v>71</v>
      </c>
      <c r="M5" s="206" t="s">
        <v>67</v>
      </c>
      <c r="N5" s="206" t="s">
        <v>68</v>
      </c>
      <c r="O5" s="206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9415.1987112999996</v>
      </c>
      <c r="P8" s="67">
        <v>1</v>
      </c>
      <c r="Q8" s="81">
        <v>1.0792588031630626E-2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9415.1987109000002</v>
      </c>
      <c r="P9" s="121">
        <v>0.99999999995751554</v>
      </c>
      <c r="Q9" s="121">
        <v>1.0792588031172109E-2</v>
      </c>
    </row>
    <row r="10" spans="1:20" s="119" customFormat="1" x14ac:dyDescent="0.25">
      <c r="A10" s="92" t="s">
        <v>1784</v>
      </c>
      <c r="B10" s="131" t="s">
        <v>249</v>
      </c>
      <c r="C10" s="131" t="s">
        <v>249</v>
      </c>
      <c r="D10" s="131"/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9375.2928600999985</v>
      </c>
      <c r="P10" s="137">
        <v>0.99576154976398901</v>
      </c>
      <c r="Q10" s="137">
        <v>1.0746844184340789E-2</v>
      </c>
    </row>
    <row r="11" spans="1:20" s="119" customFormat="1" x14ac:dyDescent="0.25">
      <c r="A11" s="177" t="s">
        <v>1932</v>
      </c>
      <c r="B11" s="117" t="s">
        <v>1936</v>
      </c>
      <c r="C11" s="175">
        <v>54290</v>
      </c>
      <c r="D11" s="175"/>
      <c r="E11" s="117" t="s">
        <v>401</v>
      </c>
      <c r="F11" s="131"/>
      <c r="G11" s="131" t="s">
        <v>401</v>
      </c>
      <c r="H11" s="118">
        <v>4.5999999999999996</v>
      </c>
      <c r="I11" s="117" t="s">
        <v>218</v>
      </c>
      <c r="J11" s="118" t="s">
        <v>255</v>
      </c>
      <c r="K11" s="117">
        <v>5.7500000000000002E-2</v>
      </c>
      <c r="L11" s="117">
        <v>5.7500000000000002E-2</v>
      </c>
      <c r="M11" s="176">
        <v>597190.50223906129</v>
      </c>
      <c r="N11" s="60">
        <v>118.653734</v>
      </c>
      <c r="O11" s="84">
        <v>708.58882999999992</v>
      </c>
      <c r="P11" s="24">
        <v>7.5260103554645186E-2</v>
      </c>
      <c r="Q11" s="24">
        <v>8.122512928831452E-4</v>
      </c>
      <c r="R11" s="14"/>
    </row>
    <row r="12" spans="1:20" x14ac:dyDescent="0.25">
      <c r="A12" s="16" t="s">
        <v>1934</v>
      </c>
      <c r="B12" s="117" t="s">
        <v>1936</v>
      </c>
      <c r="C12" s="117" t="s">
        <v>1785</v>
      </c>
      <c r="D12" s="117"/>
      <c r="E12" s="117" t="s">
        <v>401</v>
      </c>
      <c r="F12" s="117" t="s">
        <v>249</v>
      </c>
      <c r="G12" s="117" t="s">
        <v>401</v>
      </c>
      <c r="H12" s="118">
        <v>2.56</v>
      </c>
      <c r="I12" s="117" t="s">
        <v>218</v>
      </c>
      <c r="J12" s="118" t="s">
        <v>255</v>
      </c>
      <c r="K12" s="117">
        <v>5.8599999999999999E-2</v>
      </c>
      <c r="L12" s="117">
        <v>5.8599999999999999E-2</v>
      </c>
      <c r="M12" s="176">
        <v>7304198.3070671819</v>
      </c>
      <c r="N12" s="60">
        <v>118.653734</v>
      </c>
      <c r="O12" s="84">
        <v>8666.7040300999979</v>
      </c>
      <c r="P12" s="24">
        <v>0.9205014462093436</v>
      </c>
      <c r="Q12" s="24">
        <v>9.9345928914576428E-3</v>
      </c>
      <c r="R12" s="14"/>
    </row>
    <row r="13" spans="1:20" s="119" customFormat="1" x14ac:dyDescent="0.25">
      <c r="A13" s="92" t="s">
        <v>1786</v>
      </c>
      <c r="B13" s="131" t="s">
        <v>249</v>
      </c>
      <c r="C13" s="131" t="s">
        <v>249</v>
      </c>
      <c r="D13" s="131"/>
      <c r="E13" s="131" t="s">
        <v>249</v>
      </c>
      <c r="F13" s="131" t="s">
        <v>249</v>
      </c>
      <c r="G13" s="131" t="s">
        <v>249</v>
      </c>
      <c r="H13" s="132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61" t="s">
        <v>249</v>
      </c>
      <c r="N13" s="136" t="s">
        <v>249</v>
      </c>
      <c r="O13" s="124">
        <v>0</v>
      </c>
      <c r="P13" s="137">
        <v>0</v>
      </c>
      <c r="Q13" s="137">
        <v>0</v>
      </c>
    </row>
    <row r="14" spans="1:20" s="119" customFormat="1" x14ac:dyDescent="0.25">
      <c r="A14" s="92" t="s">
        <v>1787</v>
      </c>
      <c r="B14" s="131" t="s">
        <v>249</v>
      </c>
      <c r="C14" s="131" t="s">
        <v>249</v>
      </c>
      <c r="D14" s="131"/>
      <c r="E14" s="131" t="s">
        <v>249</v>
      </c>
      <c r="F14" s="131" t="s">
        <v>249</v>
      </c>
      <c r="G14" s="131" t="s">
        <v>249</v>
      </c>
      <c r="H14" s="132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61" t="s">
        <v>249</v>
      </c>
      <c r="N14" s="136" t="s">
        <v>249</v>
      </c>
      <c r="O14" s="124">
        <v>39.905850099999995</v>
      </c>
      <c r="P14" s="137">
        <v>4.2384501191786335E-3</v>
      </c>
      <c r="Q14" s="137">
        <v>4.5743846028910712E-5</v>
      </c>
    </row>
    <row r="15" spans="1:20" x14ac:dyDescent="0.25">
      <c r="A15" s="16" t="s">
        <v>1933</v>
      </c>
      <c r="B15" s="117" t="s">
        <v>1788</v>
      </c>
      <c r="C15" s="117" t="s">
        <v>1791</v>
      </c>
      <c r="D15" s="117"/>
      <c r="E15" s="117" t="s">
        <v>1333</v>
      </c>
      <c r="F15" s="117" t="s">
        <v>1790</v>
      </c>
      <c r="G15" s="117" t="s">
        <v>1334</v>
      </c>
      <c r="H15" s="118">
        <v>1.92</v>
      </c>
      <c r="I15" s="117" t="s">
        <v>218</v>
      </c>
      <c r="J15" s="118" t="s">
        <v>255</v>
      </c>
      <c r="K15" s="117">
        <v>3.85E-2</v>
      </c>
      <c r="L15" s="117">
        <v>2.3900000000000001E-2</v>
      </c>
      <c r="M15" s="112">
        <v>39.93</v>
      </c>
      <c r="N15" s="60">
        <v>153.08000000000001</v>
      </c>
      <c r="O15" s="84">
        <v>6.1120000000000001E-2</v>
      </c>
      <c r="P15" s="24">
        <v>6.4916314433857427E-6</v>
      </c>
      <c r="Q15" s="24">
        <v>7.0061503821642002E-8</v>
      </c>
      <c r="R15" s="14"/>
    </row>
    <row r="16" spans="1:20" x14ac:dyDescent="0.25">
      <c r="A16" s="16" t="s">
        <v>1933</v>
      </c>
      <c r="B16" s="117" t="s">
        <v>1788</v>
      </c>
      <c r="C16" s="117" t="s">
        <v>1811</v>
      </c>
      <c r="D16" s="117"/>
      <c r="E16" s="117" t="s">
        <v>1333</v>
      </c>
      <c r="F16" s="117" t="s">
        <v>1810</v>
      </c>
      <c r="G16" s="117" t="s">
        <v>1334</v>
      </c>
      <c r="H16" s="118">
        <v>1.91</v>
      </c>
      <c r="I16" s="117" t="s">
        <v>218</v>
      </c>
      <c r="J16" s="118" t="s">
        <v>255</v>
      </c>
      <c r="K16" s="117">
        <v>5.1699999999999996E-2</v>
      </c>
      <c r="L16" s="117">
        <v>2.3900000000000001E-2</v>
      </c>
      <c r="M16" s="112">
        <v>39.94</v>
      </c>
      <c r="N16" s="60">
        <v>157.34</v>
      </c>
      <c r="O16" s="84">
        <v>6.2840000000000007E-2</v>
      </c>
      <c r="P16" s="24">
        <v>6.6743147889784049E-6</v>
      </c>
      <c r="Q16" s="24">
        <v>7.2033129910863615E-8</v>
      </c>
      <c r="R16" s="14"/>
    </row>
    <row r="17" spans="1:18" x14ac:dyDescent="0.25">
      <c r="A17" s="16" t="s">
        <v>1933</v>
      </c>
      <c r="B17" s="117" t="s">
        <v>1788</v>
      </c>
      <c r="C17" s="117" t="s">
        <v>1794</v>
      </c>
      <c r="D17" s="117"/>
      <c r="E17" s="117" t="s">
        <v>1333</v>
      </c>
      <c r="F17" s="117" t="s">
        <v>1790</v>
      </c>
      <c r="G17" s="117" t="s">
        <v>1334</v>
      </c>
      <c r="H17" s="118">
        <v>1.92</v>
      </c>
      <c r="I17" s="117" t="s">
        <v>218</v>
      </c>
      <c r="J17" s="118" t="s">
        <v>255</v>
      </c>
      <c r="K17" s="117">
        <v>3.85E-2</v>
      </c>
      <c r="L17" s="117">
        <v>2.3900000000000001E-2</v>
      </c>
      <c r="M17" s="112">
        <v>600.58000000000004</v>
      </c>
      <c r="N17" s="60">
        <v>152.94</v>
      </c>
      <c r="O17" s="84">
        <v>0.91852</v>
      </c>
      <c r="P17" s="24">
        <v>9.7557154996378811E-5</v>
      </c>
      <c r="Q17" s="24">
        <v>1.0528941834138517E-6</v>
      </c>
      <c r="R17" s="14"/>
    </row>
    <row r="18" spans="1:18" x14ac:dyDescent="0.25">
      <c r="A18" s="16" t="s">
        <v>1933</v>
      </c>
      <c r="B18" s="117" t="s">
        <v>1788</v>
      </c>
      <c r="C18" s="117" t="s">
        <v>1814</v>
      </c>
      <c r="D18" s="117"/>
      <c r="E18" s="117" t="s">
        <v>1333</v>
      </c>
      <c r="F18" s="117" t="s">
        <v>1810</v>
      </c>
      <c r="G18" s="117" t="s">
        <v>1334</v>
      </c>
      <c r="H18" s="118">
        <v>1.91</v>
      </c>
      <c r="I18" s="117" t="s">
        <v>218</v>
      </c>
      <c r="J18" s="118" t="s">
        <v>255</v>
      </c>
      <c r="K18" s="117">
        <v>5.1699999999999996E-2</v>
      </c>
      <c r="L18" s="117">
        <v>2.3900000000000001E-2</v>
      </c>
      <c r="M18" s="112">
        <v>600.59</v>
      </c>
      <c r="N18" s="60">
        <v>157.19</v>
      </c>
      <c r="O18" s="84">
        <v>0.9440599999999999</v>
      </c>
      <c r="P18" s="24">
        <v>1.0026979025593495E-4</v>
      </c>
      <c r="Q18" s="24">
        <v>1.0821705382503165E-6</v>
      </c>
      <c r="R18" s="14"/>
    </row>
    <row r="19" spans="1:18" x14ac:dyDescent="0.25">
      <c r="A19" s="16" t="s">
        <v>1933</v>
      </c>
      <c r="B19" s="117" t="s">
        <v>1788</v>
      </c>
      <c r="C19" s="117" t="s">
        <v>1793</v>
      </c>
      <c r="D19" s="117"/>
      <c r="E19" s="117" t="s">
        <v>1333</v>
      </c>
      <c r="F19" s="117" t="s">
        <v>1790</v>
      </c>
      <c r="G19" s="117" t="s">
        <v>1334</v>
      </c>
      <c r="H19" s="118">
        <v>1.92</v>
      </c>
      <c r="I19" s="117" t="s">
        <v>218</v>
      </c>
      <c r="J19" s="118" t="s">
        <v>255</v>
      </c>
      <c r="K19" s="117">
        <v>3.85E-2</v>
      </c>
      <c r="L19" s="117">
        <v>2.3900000000000001E-2</v>
      </c>
      <c r="M19" s="112">
        <v>514.64</v>
      </c>
      <c r="N19" s="60">
        <v>152.94</v>
      </c>
      <c r="O19" s="84">
        <v>0.78709000000000007</v>
      </c>
      <c r="P19" s="24">
        <v>8.3597810745655838E-5</v>
      </c>
      <c r="Q19" s="24">
        <v>9.0223673172408724E-7</v>
      </c>
      <c r="R19" s="14"/>
    </row>
    <row r="20" spans="1:18" x14ac:dyDescent="0.25">
      <c r="A20" s="16" t="s">
        <v>1933</v>
      </c>
      <c r="B20" s="117" t="s">
        <v>1788</v>
      </c>
      <c r="C20" s="117" t="s">
        <v>1813</v>
      </c>
      <c r="D20" s="117"/>
      <c r="E20" s="117" t="s">
        <v>1333</v>
      </c>
      <c r="F20" s="117" t="s">
        <v>1810</v>
      </c>
      <c r="G20" s="117" t="s">
        <v>1334</v>
      </c>
      <c r="H20" s="118">
        <v>1.91</v>
      </c>
      <c r="I20" s="117" t="s">
        <v>218</v>
      </c>
      <c r="J20" s="118" t="s">
        <v>255</v>
      </c>
      <c r="K20" s="117">
        <v>5.1699999999999996E-2</v>
      </c>
      <c r="L20" s="117">
        <v>2.3900000000000001E-2</v>
      </c>
      <c r="M20" s="112">
        <v>514.64</v>
      </c>
      <c r="N20" s="60">
        <v>157.19</v>
      </c>
      <c r="O20" s="84">
        <v>0.80896000000000001</v>
      </c>
      <c r="P20" s="24">
        <v>8.5920650727116022E-5</v>
      </c>
      <c r="Q20" s="24">
        <v>9.2730618670738738E-7</v>
      </c>
      <c r="R20" s="14"/>
    </row>
    <row r="21" spans="1:18" x14ac:dyDescent="0.25">
      <c r="A21" s="16" t="s">
        <v>1933</v>
      </c>
      <c r="B21" s="117" t="s">
        <v>1788</v>
      </c>
      <c r="C21" s="117" t="s">
        <v>1808</v>
      </c>
      <c r="D21" s="117"/>
      <c r="E21" s="117" t="s">
        <v>1333</v>
      </c>
      <c r="F21" s="117" t="s">
        <v>1790</v>
      </c>
      <c r="G21" s="117" t="s">
        <v>1334</v>
      </c>
      <c r="H21" s="118">
        <v>1.92</v>
      </c>
      <c r="I21" s="117" t="s">
        <v>218</v>
      </c>
      <c r="J21" s="118" t="s">
        <v>255</v>
      </c>
      <c r="K21" s="117">
        <v>3.85E-2</v>
      </c>
      <c r="L21" s="117">
        <v>2.4E-2</v>
      </c>
      <c r="M21" s="112">
        <v>339.36</v>
      </c>
      <c r="N21" s="60">
        <v>144.61000000000001</v>
      </c>
      <c r="O21" s="84">
        <v>0.49074000000000001</v>
      </c>
      <c r="P21" s="24">
        <v>5.2122107567524861E-5</v>
      </c>
      <c r="Q21" s="24">
        <v>5.6253243431663281E-7</v>
      </c>
      <c r="R21" s="14"/>
    </row>
    <row r="22" spans="1:18" x14ac:dyDescent="0.25">
      <c r="A22" s="16" t="s">
        <v>1933</v>
      </c>
      <c r="B22" s="117" t="s">
        <v>1788</v>
      </c>
      <c r="C22" s="117" t="s">
        <v>1828</v>
      </c>
      <c r="D22" s="117"/>
      <c r="E22" s="117" t="s">
        <v>1333</v>
      </c>
      <c r="F22" s="117" t="s">
        <v>1810</v>
      </c>
      <c r="G22" s="117" t="s">
        <v>1334</v>
      </c>
      <c r="H22" s="118">
        <v>1.91</v>
      </c>
      <c r="I22" s="117" t="s">
        <v>218</v>
      </c>
      <c r="J22" s="118" t="s">
        <v>255</v>
      </c>
      <c r="K22" s="117">
        <v>5.1699999999999996E-2</v>
      </c>
      <c r="L22" s="117">
        <v>2.4E-2</v>
      </c>
      <c r="M22" s="112">
        <v>339.36</v>
      </c>
      <c r="N22" s="60">
        <v>148.63</v>
      </c>
      <c r="O22" s="84">
        <v>0.50439000000000001</v>
      </c>
      <c r="P22" s="24">
        <v>5.3571891095048017E-5</v>
      </c>
      <c r="Q22" s="24">
        <v>5.7817935066423453E-7</v>
      </c>
      <c r="R22" s="14"/>
    </row>
    <row r="23" spans="1:18" x14ac:dyDescent="0.25">
      <c r="A23" s="16" t="s">
        <v>1933</v>
      </c>
      <c r="B23" s="117" t="s">
        <v>1788</v>
      </c>
      <c r="C23" s="117" t="s">
        <v>1797</v>
      </c>
      <c r="D23" s="117"/>
      <c r="E23" s="117" t="s">
        <v>1333</v>
      </c>
      <c r="F23" s="117" t="s">
        <v>1790</v>
      </c>
      <c r="G23" s="117" t="s">
        <v>1334</v>
      </c>
      <c r="H23" s="118">
        <v>1.92</v>
      </c>
      <c r="I23" s="117" t="s">
        <v>218</v>
      </c>
      <c r="J23" s="118" t="s">
        <v>255</v>
      </c>
      <c r="K23" s="117">
        <v>3.85E-2</v>
      </c>
      <c r="L23" s="117">
        <v>2.3900000000000001E-2</v>
      </c>
      <c r="M23" s="112">
        <v>145.24</v>
      </c>
      <c r="N23" s="60">
        <v>151.85</v>
      </c>
      <c r="O23" s="84">
        <v>0.22053999999999999</v>
      </c>
      <c r="P23" s="24">
        <v>2.3423828509886974E-5</v>
      </c>
      <c r="Q23" s="24">
        <v>2.5280373123077431E-7</v>
      </c>
      <c r="R23" s="14"/>
    </row>
    <row r="24" spans="1:18" x14ac:dyDescent="0.25">
      <c r="A24" s="16" t="s">
        <v>1933</v>
      </c>
      <c r="B24" s="117" t="s">
        <v>1788</v>
      </c>
      <c r="C24" s="117" t="s">
        <v>1817</v>
      </c>
      <c r="D24" s="117"/>
      <c r="E24" s="117" t="s">
        <v>1333</v>
      </c>
      <c r="F24" s="117" t="s">
        <v>1810</v>
      </c>
      <c r="G24" s="117" t="s">
        <v>1334</v>
      </c>
      <c r="H24" s="118">
        <v>1.91</v>
      </c>
      <c r="I24" s="117" t="s">
        <v>218</v>
      </c>
      <c r="J24" s="118" t="s">
        <v>255</v>
      </c>
      <c r="K24" s="117">
        <v>5.1699999999999996E-2</v>
      </c>
      <c r="L24" s="117">
        <v>2.4E-2</v>
      </c>
      <c r="M24" s="112">
        <v>145.24</v>
      </c>
      <c r="N24" s="60">
        <v>156.07</v>
      </c>
      <c r="O24" s="84">
        <v>0.22666999999999998</v>
      </c>
      <c r="P24" s="24">
        <v>2.4074903456679423E-5</v>
      </c>
      <c r="Q24" s="24">
        <v>2.5983051490922108E-7</v>
      </c>
      <c r="R24" s="14"/>
    </row>
    <row r="25" spans="1:18" x14ac:dyDescent="0.25">
      <c r="A25" s="16" t="s">
        <v>1933</v>
      </c>
      <c r="B25" s="117" t="s">
        <v>1788</v>
      </c>
      <c r="C25" s="117" t="s">
        <v>1789</v>
      </c>
      <c r="D25" s="117"/>
      <c r="E25" s="117" t="s">
        <v>1333</v>
      </c>
      <c r="F25" s="117" t="s">
        <v>1790</v>
      </c>
      <c r="G25" s="117" t="s">
        <v>1334</v>
      </c>
      <c r="H25" s="118">
        <v>1.92</v>
      </c>
      <c r="I25" s="117" t="s">
        <v>218</v>
      </c>
      <c r="J25" s="118" t="s">
        <v>255</v>
      </c>
      <c r="K25" s="117">
        <v>3.85E-2</v>
      </c>
      <c r="L25" s="117">
        <v>2.4E-2</v>
      </c>
      <c r="M25" s="112">
        <v>1037.3</v>
      </c>
      <c r="N25" s="60">
        <v>153.80000000000001</v>
      </c>
      <c r="O25" s="84">
        <v>1.5953599999999999</v>
      </c>
      <c r="P25" s="24">
        <v>1.6944517571203989E-4</v>
      </c>
      <c r="Q25" s="24">
        <v>1.8287519754073099E-6</v>
      </c>
      <c r="R25" s="14"/>
    </row>
    <row r="26" spans="1:18" x14ac:dyDescent="0.25">
      <c r="A26" s="16" t="s">
        <v>1933</v>
      </c>
      <c r="B26" s="117" t="s">
        <v>1788</v>
      </c>
      <c r="C26" s="117" t="s">
        <v>1809</v>
      </c>
      <c r="D26" s="117"/>
      <c r="E26" s="117" t="s">
        <v>1333</v>
      </c>
      <c r="F26" s="117" t="s">
        <v>1810</v>
      </c>
      <c r="G26" s="117" t="s">
        <v>1334</v>
      </c>
      <c r="H26" s="118">
        <v>1.91</v>
      </c>
      <c r="I26" s="117" t="s">
        <v>218</v>
      </c>
      <c r="J26" s="118" t="s">
        <v>255</v>
      </c>
      <c r="K26" s="117">
        <v>5.1699999999999996E-2</v>
      </c>
      <c r="L26" s="117">
        <v>2.3900000000000001E-2</v>
      </c>
      <c r="M26" s="112">
        <v>1037.31</v>
      </c>
      <c r="N26" s="60">
        <v>158.08000000000001</v>
      </c>
      <c r="O26" s="84">
        <v>1.6397699999999999</v>
      </c>
      <c r="P26" s="24">
        <v>1.7416201721074347E-4</v>
      </c>
      <c r="Q26" s="24">
        <v>1.8796589025133165E-6</v>
      </c>
      <c r="R26" s="14"/>
    </row>
    <row r="27" spans="1:18" x14ac:dyDescent="0.25">
      <c r="A27" s="16" t="s">
        <v>1933</v>
      </c>
      <c r="B27" s="117" t="s">
        <v>1788</v>
      </c>
      <c r="C27" s="117" t="s">
        <v>1796</v>
      </c>
      <c r="D27" s="117"/>
      <c r="E27" s="117" t="s">
        <v>1333</v>
      </c>
      <c r="F27" s="117" t="s">
        <v>1790</v>
      </c>
      <c r="G27" s="117" t="s">
        <v>1334</v>
      </c>
      <c r="H27" s="118">
        <v>1.92</v>
      </c>
      <c r="I27" s="117" t="s">
        <v>218</v>
      </c>
      <c r="J27" s="118" t="s">
        <v>255</v>
      </c>
      <c r="K27" s="117">
        <v>3.85E-2</v>
      </c>
      <c r="L27" s="117">
        <v>2.3900000000000001E-2</v>
      </c>
      <c r="M27" s="112">
        <v>571.88</v>
      </c>
      <c r="N27" s="60">
        <v>154.13999999999999</v>
      </c>
      <c r="O27" s="84">
        <v>0.88149</v>
      </c>
      <c r="P27" s="24">
        <v>9.3624152503764713E-5</v>
      </c>
      <c r="Q27" s="24">
        <v>1.0104469077836913E-6</v>
      </c>
      <c r="R27" s="14"/>
    </row>
    <row r="28" spans="1:18" x14ac:dyDescent="0.25">
      <c r="A28" s="16" t="s">
        <v>1933</v>
      </c>
      <c r="B28" s="117" t="s">
        <v>1788</v>
      </c>
      <c r="C28" s="117" t="s">
        <v>1816</v>
      </c>
      <c r="D28" s="117"/>
      <c r="E28" s="117" t="s">
        <v>1333</v>
      </c>
      <c r="F28" s="117" t="s">
        <v>1810</v>
      </c>
      <c r="G28" s="117" t="s">
        <v>1334</v>
      </c>
      <c r="H28" s="118">
        <v>1.91</v>
      </c>
      <c r="I28" s="117" t="s">
        <v>218</v>
      </c>
      <c r="J28" s="118" t="s">
        <v>255</v>
      </c>
      <c r="K28" s="117">
        <v>5.1699999999999996E-2</v>
      </c>
      <c r="L28" s="117">
        <v>2.3900000000000001E-2</v>
      </c>
      <c r="M28" s="112">
        <v>571.89</v>
      </c>
      <c r="N28" s="60">
        <v>158.43</v>
      </c>
      <c r="O28" s="84">
        <v>0.90603999999999996</v>
      </c>
      <c r="P28" s="24">
        <v>9.6231638628357629E-5</v>
      </c>
      <c r="Q28" s="24">
        <v>1.0385884313246158E-6</v>
      </c>
      <c r="R28" s="14"/>
    </row>
    <row r="29" spans="1:18" x14ac:dyDescent="0.25">
      <c r="A29" s="16" t="s">
        <v>1933</v>
      </c>
      <c r="B29" s="117" t="s">
        <v>1788</v>
      </c>
      <c r="C29" s="117" t="s">
        <v>1792</v>
      </c>
      <c r="D29" s="117"/>
      <c r="E29" s="117" t="s">
        <v>1333</v>
      </c>
      <c r="F29" s="117" t="s">
        <v>1790</v>
      </c>
      <c r="G29" s="117" t="s">
        <v>1334</v>
      </c>
      <c r="H29" s="118">
        <v>1.92</v>
      </c>
      <c r="I29" s="117" t="s">
        <v>218</v>
      </c>
      <c r="J29" s="118" t="s">
        <v>255</v>
      </c>
      <c r="K29" s="117">
        <v>3.85E-2</v>
      </c>
      <c r="L29" s="117">
        <v>2.3900000000000001E-2</v>
      </c>
      <c r="M29" s="112">
        <v>449.07</v>
      </c>
      <c r="N29" s="60">
        <v>154.53</v>
      </c>
      <c r="O29" s="84">
        <v>0.69394</v>
      </c>
      <c r="P29" s="24">
        <v>7.370423304684396E-5</v>
      </c>
      <c r="Q29" s="24">
        <v>7.9545942346188244E-7</v>
      </c>
      <c r="R29" s="14"/>
    </row>
    <row r="30" spans="1:18" x14ac:dyDescent="0.25">
      <c r="A30" s="16" t="s">
        <v>1933</v>
      </c>
      <c r="B30" s="117" t="s">
        <v>1788</v>
      </c>
      <c r="C30" s="117" t="s">
        <v>1812</v>
      </c>
      <c r="D30" s="117"/>
      <c r="E30" s="117" t="s">
        <v>1333</v>
      </c>
      <c r="F30" s="117" t="s">
        <v>1810</v>
      </c>
      <c r="G30" s="117" t="s">
        <v>1334</v>
      </c>
      <c r="H30" s="118">
        <v>1.91</v>
      </c>
      <c r="I30" s="117" t="s">
        <v>218</v>
      </c>
      <c r="J30" s="118" t="s">
        <v>255</v>
      </c>
      <c r="K30" s="117">
        <v>5.1699999999999996E-2</v>
      </c>
      <c r="L30" s="117">
        <v>2.3900000000000001E-2</v>
      </c>
      <c r="M30" s="112">
        <v>449.08</v>
      </c>
      <c r="N30" s="60">
        <v>158.83000000000001</v>
      </c>
      <c r="O30" s="84">
        <v>0.71326999999999996</v>
      </c>
      <c r="P30" s="24">
        <v>7.5757296459812645E-5</v>
      </c>
      <c r="Q30" s="24">
        <v>8.1761729108086703E-7</v>
      </c>
      <c r="R30" s="14"/>
    </row>
    <row r="31" spans="1:18" x14ac:dyDescent="0.25">
      <c r="A31" s="16" t="s">
        <v>1933</v>
      </c>
      <c r="B31" s="117" t="s">
        <v>1788</v>
      </c>
      <c r="C31" s="117" t="s">
        <v>1801</v>
      </c>
      <c r="D31" s="117"/>
      <c r="E31" s="117" t="s">
        <v>1333</v>
      </c>
      <c r="F31" s="117" t="s">
        <v>1790</v>
      </c>
      <c r="G31" s="117" t="s">
        <v>1334</v>
      </c>
      <c r="H31" s="118">
        <v>1.92</v>
      </c>
      <c r="I31" s="117" t="s">
        <v>218</v>
      </c>
      <c r="J31" s="118" t="s">
        <v>255</v>
      </c>
      <c r="K31" s="117">
        <v>3.85E-2</v>
      </c>
      <c r="L31" s="117">
        <v>2.4E-2</v>
      </c>
      <c r="M31" s="112">
        <v>721.31</v>
      </c>
      <c r="N31" s="60">
        <v>143.87</v>
      </c>
      <c r="O31" s="84">
        <v>1.0377400000000001</v>
      </c>
      <c r="P31" s="24">
        <v>1.1021965991588876E-4</v>
      </c>
      <c r="Q31" s="24">
        <v>1.1895553824586187E-6</v>
      </c>
      <c r="R31" s="14"/>
    </row>
    <row r="32" spans="1:18" x14ac:dyDescent="0.25">
      <c r="A32" s="16" t="s">
        <v>1933</v>
      </c>
      <c r="B32" s="117" t="s">
        <v>1788</v>
      </c>
      <c r="C32" s="117" t="s">
        <v>1821</v>
      </c>
      <c r="D32" s="117"/>
      <c r="E32" s="117" t="s">
        <v>1333</v>
      </c>
      <c r="F32" s="117" t="s">
        <v>1810</v>
      </c>
      <c r="G32" s="117" t="s">
        <v>1334</v>
      </c>
      <c r="H32" s="118">
        <v>1.91</v>
      </c>
      <c r="I32" s="117" t="s">
        <v>218</v>
      </c>
      <c r="J32" s="118" t="s">
        <v>255</v>
      </c>
      <c r="K32" s="117">
        <v>5.1699999999999996E-2</v>
      </c>
      <c r="L32" s="117">
        <v>2.4E-2</v>
      </c>
      <c r="M32" s="112">
        <v>721.33</v>
      </c>
      <c r="N32" s="60">
        <v>147.87</v>
      </c>
      <c r="O32" s="84">
        <v>1.0666300000000002</v>
      </c>
      <c r="P32" s="24">
        <v>1.1328810285436087E-4</v>
      </c>
      <c r="Q32" s="24">
        <v>1.2226718229921143E-6</v>
      </c>
      <c r="R32" s="14"/>
    </row>
    <row r="33" spans="1:18" x14ac:dyDescent="0.25">
      <c r="A33" s="16" t="s">
        <v>1933</v>
      </c>
      <c r="B33" s="117" t="s">
        <v>1788</v>
      </c>
      <c r="C33" s="117" t="s">
        <v>1805</v>
      </c>
      <c r="D33" s="117"/>
      <c r="E33" s="117" t="s">
        <v>1333</v>
      </c>
      <c r="F33" s="117" t="s">
        <v>1790</v>
      </c>
      <c r="G33" s="117" t="s">
        <v>1334</v>
      </c>
      <c r="H33" s="118">
        <v>1.92</v>
      </c>
      <c r="I33" s="117" t="s">
        <v>218</v>
      </c>
      <c r="J33" s="118" t="s">
        <v>255</v>
      </c>
      <c r="K33" s="117">
        <v>3.85E-2</v>
      </c>
      <c r="L33" s="117">
        <v>2.3900000000000001E-2</v>
      </c>
      <c r="M33" s="112">
        <v>789.39</v>
      </c>
      <c r="N33" s="60">
        <v>141.62</v>
      </c>
      <c r="O33" s="84">
        <v>1.1179300000000001</v>
      </c>
      <c r="P33" s="24">
        <v>1.1873673984790943E-4</v>
      </c>
      <c r="Q33" s="24">
        <v>1.2814767173973864E-6</v>
      </c>
      <c r="R33" s="14"/>
    </row>
    <row r="34" spans="1:18" x14ac:dyDescent="0.25">
      <c r="A34" s="16" t="s">
        <v>1933</v>
      </c>
      <c r="B34" s="117" t="s">
        <v>1788</v>
      </c>
      <c r="C34" s="117" t="s">
        <v>1825</v>
      </c>
      <c r="D34" s="117"/>
      <c r="E34" s="117" t="s">
        <v>1333</v>
      </c>
      <c r="F34" s="117" t="s">
        <v>1810</v>
      </c>
      <c r="G34" s="117" t="s">
        <v>1334</v>
      </c>
      <c r="H34" s="118">
        <v>1.91</v>
      </c>
      <c r="I34" s="117" t="s">
        <v>218</v>
      </c>
      <c r="J34" s="118" t="s">
        <v>255</v>
      </c>
      <c r="K34" s="117">
        <v>5.1699999999999996E-2</v>
      </c>
      <c r="L34" s="117">
        <v>2.3900000000000001E-2</v>
      </c>
      <c r="M34" s="112">
        <v>789.39</v>
      </c>
      <c r="N34" s="60">
        <v>145.56</v>
      </c>
      <c r="O34" s="84">
        <v>1.14903</v>
      </c>
      <c r="P34" s="24">
        <v>1.2203990964321859E-4</v>
      </c>
      <c r="Q34" s="24">
        <v>1.3171264681966837E-6</v>
      </c>
      <c r="R34" s="14"/>
    </row>
    <row r="35" spans="1:18" x14ac:dyDescent="0.25">
      <c r="A35" s="16" t="s">
        <v>1933</v>
      </c>
      <c r="B35" s="117" t="s">
        <v>1788</v>
      </c>
      <c r="C35" s="117" t="s">
        <v>1798</v>
      </c>
      <c r="D35" s="117"/>
      <c r="E35" s="117" t="s">
        <v>1333</v>
      </c>
      <c r="F35" s="117" t="s">
        <v>1790</v>
      </c>
      <c r="G35" s="117" t="s">
        <v>1334</v>
      </c>
      <c r="H35" s="118">
        <v>1.92</v>
      </c>
      <c r="I35" s="117" t="s">
        <v>218</v>
      </c>
      <c r="J35" s="118" t="s">
        <v>255</v>
      </c>
      <c r="K35" s="117">
        <v>3.85E-2</v>
      </c>
      <c r="L35" s="117">
        <v>2.3900000000000001E-2</v>
      </c>
      <c r="M35" s="112">
        <v>1882.4</v>
      </c>
      <c r="N35" s="60">
        <v>150.36000000000001</v>
      </c>
      <c r="O35" s="84">
        <v>2.8303699999999998</v>
      </c>
      <c r="P35" s="24">
        <v>3.0061712840994282E-4</v>
      </c>
      <c r="Q35" s="24">
        <v>3.2444368221803153E-6</v>
      </c>
      <c r="R35" s="14"/>
    </row>
    <row r="36" spans="1:18" x14ac:dyDescent="0.25">
      <c r="A36" s="16" t="s">
        <v>1933</v>
      </c>
      <c r="B36" s="117" t="s">
        <v>1788</v>
      </c>
      <c r="C36" s="117" t="s">
        <v>1818</v>
      </c>
      <c r="D36" s="117"/>
      <c r="E36" s="117" t="s">
        <v>1333</v>
      </c>
      <c r="F36" s="117" t="s">
        <v>1810</v>
      </c>
      <c r="G36" s="117" t="s">
        <v>1334</v>
      </c>
      <c r="H36" s="118">
        <v>1.91</v>
      </c>
      <c r="I36" s="117" t="s">
        <v>218</v>
      </c>
      <c r="J36" s="118" t="s">
        <v>255</v>
      </c>
      <c r="K36" s="117">
        <v>5.1699999999999996E-2</v>
      </c>
      <c r="L36" s="117">
        <v>2.4E-2</v>
      </c>
      <c r="M36" s="112">
        <v>1882.43</v>
      </c>
      <c r="N36" s="60">
        <v>154.54</v>
      </c>
      <c r="O36" s="84">
        <v>2.9091</v>
      </c>
      <c r="P36" s="24">
        <v>3.089791399207046E-4</v>
      </c>
      <c r="Q36" s="24">
        <v>3.3346845675317207E-6</v>
      </c>
      <c r="R36" s="14"/>
    </row>
    <row r="37" spans="1:18" x14ac:dyDescent="0.25">
      <c r="A37" s="16" t="s">
        <v>1933</v>
      </c>
      <c r="B37" s="117" t="s">
        <v>1788</v>
      </c>
      <c r="C37" s="117" t="s">
        <v>1802</v>
      </c>
      <c r="D37" s="117"/>
      <c r="E37" s="117" t="s">
        <v>1333</v>
      </c>
      <c r="F37" s="117" t="s">
        <v>1790</v>
      </c>
      <c r="G37" s="117" t="s">
        <v>1334</v>
      </c>
      <c r="H37" s="118">
        <v>1.92</v>
      </c>
      <c r="I37" s="117" t="s">
        <v>218</v>
      </c>
      <c r="J37" s="118" t="s">
        <v>255</v>
      </c>
      <c r="K37" s="117">
        <v>3.85E-2</v>
      </c>
      <c r="L37" s="117">
        <v>2.4E-2</v>
      </c>
      <c r="M37" s="112">
        <v>897.39</v>
      </c>
      <c r="N37" s="60">
        <v>141.61000000000001</v>
      </c>
      <c r="O37" s="84">
        <v>1.2707899999999999</v>
      </c>
      <c r="P37" s="24">
        <v>1.3497219113122003E-4</v>
      </c>
      <c r="Q37" s="24">
        <v>1.4566992546057662E-6</v>
      </c>
      <c r="R37" s="14"/>
    </row>
    <row r="38" spans="1:18" x14ac:dyDescent="0.25">
      <c r="A38" s="16" t="s">
        <v>1933</v>
      </c>
      <c r="B38" s="117" t="s">
        <v>1788</v>
      </c>
      <c r="C38" s="117" t="s">
        <v>1822</v>
      </c>
      <c r="D38" s="117"/>
      <c r="E38" s="117" t="s">
        <v>1333</v>
      </c>
      <c r="F38" s="117" t="s">
        <v>1810</v>
      </c>
      <c r="G38" s="117" t="s">
        <v>1334</v>
      </c>
      <c r="H38" s="118">
        <v>1.91</v>
      </c>
      <c r="I38" s="117" t="s">
        <v>218</v>
      </c>
      <c r="J38" s="118" t="s">
        <v>255</v>
      </c>
      <c r="K38" s="117">
        <v>5.1699999999999996E-2</v>
      </c>
      <c r="L38" s="117">
        <v>2.4E-2</v>
      </c>
      <c r="M38" s="112">
        <v>897.4</v>
      </c>
      <c r="N38" s="60">
        <v>145.55000000000001</v>
      </c>
      <c r="O38" s="84">
        <v>1.30616</v>
      </c>
      <c r="P38" s="24">
        <v>1.3872888295308775E-4</v>
      </c>
      <c r="Q38" s="24">
        <v>1.4972436818009804E-6</v>
      </c>
      <c r="R38" s="14"/>
    </row>
    <row r="39" spans="1:18" x14ac:dyDescent="0.25">
      <c r="A39" s="16" t="s">
        <v>1933</v>
      </c>
      <c r="B39" s="117" t="s">
        <v>1788</v>
      </c>
      <c r="C39" s="117" t="s">
        <v>1806</v>
      </c>
      <c r="D39" s="117"/>
      <c r="E39" s="117" t="s">
        <v>1333</v>
      </c>
      <c r="F39" s="117" t="s">
        <v>1790</v>
      </c>
      <c r="G39" s="117" t="s">
        <v>1334</v>
      </c>
      <c r="H39" s="118">
        <v>1.92</v>
      </c>
      <c r="I39" s="117" t="s">
        <v>218</v>
      </c>
      <c r="J39" s="118" t="s">
        <v>255</v>
      </c>
      <c r="K39" s="117">
        <v>3.85E-2</v>
      </c>
      <c r="L39" s="117">
        <v>2.4E-2</v>
      </c>
      <c r="M39" s="112">
        <v>559.96</v>
      </c>
      <c r="N39" s="60">
        <v>143.16999999999999</v>
      </c>
      <c r="O39" s="84">
        <v>0.80169000000000001</v>
      </c>
      <c r="P39" s="24">
        <v>8.5148494958244711E-5</v>
      </c>
      <c r="Q39" s="24">
        <v>9.1897262759771243E-7</v>
      </c>
      <c r="R39" s="14"/>
    </row>
    <row r="40" spans="1:18" x14ac:dyDescent="0.25">
      <c r="A40" s="16" t="s">
        <v>1933</v>
      </c>
      <c r="B40" s="117" t="s">
        <v>1788</v>
      </c>
      <c r="C40" s="117" t="s">
        <v>1826</v>
      </c>
      <c r="D40" s="117"/>
      <c r="E40" s="117" t="s">
        <v>1333</v>
      </c>
      <c r="F40" s="117" t="s">
        <v>1810</v>
      </c>
      <c r="G40" s="117" t="s">
        <v>1334</v>
      </c>
      <c r="H40" s="118">
        <v>1.91</v>
      </c>
      <c r="I40" s="117" t="s">
        <v>218</v>
      </c>
      <c r="J40" s="118" t="s">
        <v>255</v>
      </c>
      <c r="K40" s="117">
        <v>5.1699999999999996E-2</v>
      </c>
      <c r="L40" s="117">
        <v>2.4E-2</v>
      </c>
      <c r="M40" s="112">
        <v>559.97</v>
      </c>
      <c r="N40" s="60">
        <v>147.15</v>
      </c>
      <c r="O40" s="84">
        <v>0.82399</v>
      </c>
      <c r="P40" s="24">
        <v>8.7517005776103048E-5</v>
      </c>
      <c r="Q40" s="24">
        <v>9.44534989103318E-7</v>
      </c>
      <c r="R40" s="14"/>
    </row>
    <row r="41" spans="1:18" x14ac:dyDescent="0.25">
      <c r="A41" s="16" t="s">
        <v>1933</v>
      </c>
      <c r="B41" s="117" t="s">
        <v>1788</v>
      </c>
      <c r="C41" s="117" t="s">
        <v>1800</v>
      </c>
      <c r="D41" s="117"/>
      <c r="E41" s="117" t="s">
        <v>1333</v>
      </c>
      <c r="F41" s="117" t="s">
        <v>1790</v>
      </c>
      <c r="G41" s="117" t="s">
        <v>1334</v>
      </c>
      <c r="H41" s="118">
        <v>1.92</v>
      </c>
      <c r="I41" s="117" t="s">
        <v>218</v>
      </c>
      <c r="J41" s="118" t="s">
        <v>255</v>
      </c>
      <c r="K41" s="117">
        <v>3.85E-2</v>
      </c>
      <c r="L41" s="117">
        <v>2.4E-2</v>
      </c>
      <c r="M41" s="112">
        <v>926.98</v>
      </c>
      <c r="N41" s="60">
        <v>148.18</v>
      </c>
      <c r="O41" s="84">
        <v>1.3735899999999999</v>
      </c>
      <c r="P41" s="24">
        <v>1.4589070736780469E-4</v>
      </c>
      <c r="Q41" s="24">
        <v>1.5745383022638945E-6</v>
      </c>
      <c r="R41" s="14"/>
    </row>
    <row r="42" spans="1:18" x14ac:dyDescent="0.25">
      <c r="A42" s="16" t="s">
        <v>1933</v>
      </c>
      <c r="B42" s="117" t="s">
        <v>1788</v>
      </c>
      <c r="C42" s="117" t="s">
        <v>1820</v>
      </c>
      <c r="D42" s="117"/>
      <c r="E42" s="117" t="s">
        <v>1333</v>
      </c>
      <c r="F42" s="117" t="s">
        <v>1810</v>
      </c>
      <c r="G42" s="117" t="s">
        <v>1334</v>
      </c>
      <c r="H42" s="118">
        <v>1.91</v>
      </c>
      <c r="I42" s="117" t="s">
        <v>218</v>
      </c>
      <c r="J42" s="118" t="s">
        <v>255</v>
      </c>
      <c r="K42" s="117">
        <v>5.1699999999999996E-2</v>
      </c>
      <c r="L42" s="117">
        <v>2.4E-2</v>
      </c>
      <c r="M42" s="112">
        <v>926.98</v>
      </c>
      <c r="N42" s="60">
        <v>152.30000000000001</v>
      </c>
      <c r="O42" s="84">
        <v>1.4117899999999999</v>
      </c>
      <c r="P42" s="24">
        <v>1.4994797701992077E-4</v>
      </c>
      <c r="Q42" s="24">
        <v>1.6183267421524209E-6</v>
      </c>
      <c r="R42" s="14"/>
    </row>
    <row r="43" spans="1:18" x14ac:dyDescent="0.25">
      <c r="A43" s="16" t="s">
        <v>1933</v>
      </c>
      <c r="B43" s="117" t="s">
        <v>1788</v>
      </c>
      <c r="C43" s="117" t="s">
        <v>1804</v>
      </c>
      <c r="D43" s="117"/>
      <c r="E43" s="117" t="s">
        <v>1333</v>
      </c>
      <c r="F43" s="117" t="s">
        <v>1790</v>
      </c>
      <c r="G43" s="117" t="s">
        <v>1334</v>
      </c>
      <c r="H43" s="118">
        <v>1.92</v>
      </c>
      <c r="I43" s="117" t="s">
        <v>218</v>
      </c>
      <c r="J43" s="118" t="s">
        <v>255</v>
      </c>
      <c r="K43" s="117">
        <v>3.85E-2</v>
      </c>
      <c r="L43" s="117">
        <v>2.4E-2</v>
      </c>
      <c r="M43" s="112">
        <v>761.41</v>
      </c>
      <c r="N43" s="60">
        <v>140.91999999999999</v>
      </c>
      <c r="O43" s="84">
        <v>1.07297</v>
      </c>
      <c r="P43" s="24">
        <v>1.139614821631152E-4</v>
      </c>
      <c r="Q43" s="24">
        <v>1.229939328460524E-6</v>
      </c>
      <c r="R43" s="14"/>
    </row>
    <row r="44" spans="1:18" x14ac:dyDescent="0.25">
      <c r="A44" s="16" t="s">
        <v>1933</v>
      </c>
      <c r="B44" s="117" t="s">
        <v>1788</v>
      </c>
      <c r="C44" s="117" t="s">
        <v>1824</v>
      </c>
      <c r="D44" s="117"/>
      <c r="E44" s="117" t="s">
        <v>1333</v>
      </c>
      <c r="F44" s="117" t="s">
        <v>1810</v>
      </c>
      <c r="G44" s="117" t="s">
        <v>1334</v>
      </c>
      <c r="H44" s="118">
        <v>1.91</v>
      </c>
      <c r="I44" s="117" t="s">
        <v>218</v>
      </c>
      <c r="J44" s="118" t="s">
        <v>255</v>
      </c>
      <c r="K44" s="117">
        <v>5.1699999999999996E-2</v>
      </c>
      <c r="L44" s="117">
        <v>2.4E-2</v>
      </c>
      <c r="M44" s="112">
        <v>761.41</v>
      </c>
      <c r="N44" s="60">
        <v>144.84</v>
      </c>
      <c r="O44" s="84">
        <v>1.1028199999999999</v>
      </c>
      <c r="P44" s="24">
        <v>1.1713188789912738E-4</v>
      </c>
      <c r="Q44" s="24">
        <v>1.2641562114624219E-6</v>
      </c>
      <c r="R44" s="14"/>
    </row>
    <row r="45" spans="1:18" x14ac:dyDescent="0.25">
      <c r="A45" s="16" t="s">
        <v>1933</v>
      </c>
      <c r="B45" s="117" t="s">
        <v>1788</v>
      </c>
      <c r="C45" s="117" t="s">
        <v>1795</v>
      </c>
      <c r="D45" s="117"/>
      <c r="E45" s="117" t="s">
        <v>1333</v>
      </c>
      <c r="F45" s="117" t="s">
        <v>1790</v>
      </c>
      <c r="G45" s="117" t="s">
        <v>1334</v>
      </c>
      <c r="H45" s="118">
        <v>1.92</v>
      </c>
      <c r="I45" s="117" t="s">
        <v>218</v>
      </c>
      <c r="J45" s="118" t="s">
        <v>255</v>
      </c>
      <c r="K45" s="117">
        <v>3.85E-2</v>
      </c>
      <c r="L45" s="117">
        <v>2.3900000000000001E-2</v>
      </c>
      <c r="M45" s="112">
        <v>609.58000000000004</v>
      </c>
      <c r="N45" s="60">
        <v>152.94</v>
      </c>
      <c r="O45" s="84">
        <v>0.93228999999999995</v>
      </c>
      <c r="P45" s="24">
        <v>9.9019683873594481E-5</v>
      </c>
      <c r="Q45" s="24">
        <v>1.0686786550700037E-6</v>
      </c>
      <c r="R45" s="14"/>
    </row>
    <row r="46" spans="1:18" x14ac:dyDescent="0.25">
      <c r="A46" s="16" t="s">
        <v>1933</v>
      </c>
      <c r="B46" s="117" t="s">
        <v>1788</v>
      </c>
      <c r="C46" s="117" t="s">
        <v>1815</v>
      </c>
      <c r="D46" s="117"/>
      <c r="E46" s="117" t="s">
        <v>1333</v>
      </c>
      <c r="F46" s="117" t="s">
        <v>1810</v>
      </c>
      <c r="G46" s="117" t="s">
        <v>1334</v>
      </c>
      <c r="H46" s="118">
        <v>1.91</v>
      </c>
      <c r="I46" s="117" t="s">
        <v>218</v>
      </c>
      <c r="J46" s="118" t="s">
        <v>255</v>
      </c>
      <c r="K46" s="117">
        <v>5.1699999999999996E-2</v>
      </c>
      <c r="L46" s="117">
        <v>2.3900000000000001E-2</v>
      </c>
      <c r="M46" s="112">
        <v>608.9</v>
      </c>
      <c r="N46" s="60">
        <v>157.19</v>
      </c>
      <c r="O46" s="84">
        <v>0.95711999999999997</v>
      </c>
      <c r="P46" s="24">
        <v>1.0165690914746994E-4</v>
      </c>
      <c r="Q46" s="24">
        <v>1.0971411409975456E-6</v>
      </c>
      <c r="R46" s="14"/>
    </row>
    <row r="47" spans="1:18" x14ac:dyDescent="0.25">
      <c r="A47" s="16" t="s">
        <v>1933</v>
      </c>
      <c r="B47" s="117" t="s">
        <v>1788</v>
      </c>
      <c r="C47" s="117" t="s">
        <v>1799</v>
      </c>
      <c r="D47" s="117"/>
      <c r="E47" s="117" t="s">
        <v>1333</v>
      </c>
      <c r="F47" s="117" t="s">
        <v>1790</v>
      </c>
      <c r="G47" s="117" t="s">
        <v>1334</v>
      </c>
      <c r="H47" s="118">
        <v>1.92</v>
      </c>
      <c r="I47" s="117" t="s">
        <v>218</v>
      </c>
      <c r="J47" s="118" t="s">
        <v>255</v>
      </c>
      <c r="K47" s="117">
        <v>3.85E-2</v>
      </c>
      <c r="L47" s="117">
        <v>2.3900000000000001E-2</v>
      </c>
      <c r="M47" s="112">
        <v>1250.26</v>
      </c>
      <c r="N47" s="60">
        <v>150.81</v>
      </c>
      <c r="O47" s="84">
        <v>1.88551</v>
      </c>
      <c r="P47" s="24">
        <v>2.0026236915605779E-4</v>
      </c>
      <c r="Q47" s="24">
        <v>2.1613492485396632E-6</v>
      </c>
      <c r="R47" s="14"/>
    </row>
    <row r="48" spans="1:18" x14ac:dyDescent="0.25">
      <c r="A48" s="16" t="s">
        <v>1933</v>
      </c>
      <c r="B48" s="117" t="s">
        <v>1788</v>
      </c>
      <c r="C48" s="117" t="s">
        <v>1819</v>
      </c>
      <c r="D48" s="117"/>
      <c r="E48" s="117" t="s">
        <v>1333</v>
      </c>
      <c r="F48" s="117" t="s">
        <v>1810</v>
      </c>
      <c r="G48" s="117" t="s">
        <v>1334</v>
      </c>
      <c r="H48" s="118">
        <v>1.91</v>
      </c>
      <c r="I48" s="117" t="s">
        <v>218</v>
      </c>
      <c r="J48" s="118" t="s">
        <v>255</v>
      </c>
      <c r="K48" s="117">
        <v>5.1699999999999996E-2</v>
      </c>
      <c r="L48" s="117">
        <v>2.3900000000000001E-2</v>
      </c>
      <c r="M48" s="112">
        <v>1250.25</v>
      </c>
      <c r="N48" s="60">
        <v>155</v>
      </c>
      <c r="O48" s="84">
        <v>1.93788</v>
      </c>
      <c r="P48" s="24">
        <v>2.0582465218436461E-4</v>
      </c>
      <c r="Q48" s="24">
        <v>2.2213806777795093E-6</v>
      </c>
      <c r="R48" s="14"/>
    </row>
    <row r="49" spans="1:18" x14ac:dyDescent="0.25">
      <c r="A49" s="16" t="s">
        <v>1933</v>
      </c>
      <c r="B49" s="117" t="s">
        <v>1788</v>
      </c>
      <c r="C49" s="117" t="s">
        <v>1803</v>
      </c>
      <c r="D49" s="117"/>
      <c r="E49" s="117" t="s">
        <v>1333</v>
      </c>
      <c r="F49" s="117" t="s">
        <v>1790</v>
      </c>
      <c r="G49" s="117" t="s">
        <v>1334</v>
      </c>
      <c r="H49" s="118">
        <v>1.92</v>
      </c>
      <c r="I49" s="117" t="s">
        <v>218</v>
      </c>
      <c r="J49" s="118" t="s">
        <v>255</v>
      </c>
      <c r="K49" s="117">
        <v>3.85E-2</v>
      </c>
      <c r="L49" s="117">
        <v>2.4E-2</v>
      </c>
      <c r="M49" s="112">
        <v>864.19</v>
      </c>
      <c r="N49" s="60">
        <v>141.35</v>
      </c>
      <c r="O49" s="84">
        <v>1.22153</v>
      </c>
      <c r="P49" s="24">
        <v>1.2974022508244415E-4</v>
      </c>
      <c r="Q49" s="24">
        <v>1.4002328004458501E-6</v>
      </c>
      <c r="R49" s="14"/>
    </row>
    <row r="50" spans="1:18" x14ac:dyDescent="0.25">
      <c r="A50" s="16" t="s">
        <v>1933</v>
      </c>
      <c r="B50" s="117" t="s">
        <v>1788</v>
      </c>
      <c r="C50" s="117" t="s">
        <v>1823</v>
      </c>
      <c r="D50" s="117"/>
      <c r="E50" s="117" t="s">
        <v>1333</v>
      </c>
      <c r="F50" s="117" t="s">
        <v>1810</v>
      </c>
      <c r="G50" s="117" t="s">
        <v>1334</v>
      </c>
      <c r="H50" s="118">
        <v>1.91</v>
      </c>
      <c r="I50" s="117" t="s">
        <v>218</v>
      </c>
      <c r="J50" s="118" t="s">
        <v>255</v>
      </c>
      <c r="K50" s="117">
        <v>5.1699999999999996E-2</v>
      </c>
      <c r="L50" s="117">
        <v>2.4E-2</v>
      </c>
      <c r="M50" s="112">
        <v>864.19</v>
      </c>
      <c r="N50" s="60">
        <v>145.28</v>
      </c>
      <c r="O50" s="84">
        <v>1.25549</v>
      </c>
      <c r="P50" s="24">
        <v>1.3334715904542486E-4</v>
      </c>
      <c r="Q50" s="24">
        <v>1.4391609527655974E-6</v>
      </c>
      <c r="R50" s="14"/>
    </row>
    <row r="51" spans="1:18" x14ac:dyDescent="0.25">
      <c r="A51" s="16" t="s">
        <v>1933</v>
      </c>
      <c r="B51" s="117" t="s">
        <v>1788</v>
      </c>
      <c r="C51" s="117" t="s">
        <v>1807</v>
      </c>
      <c r="D51" s="117"/>
      <c r="E51" s="117" t="s">
        <v>1333</v>
      </c>
      <c r="F51" s="117" t="s">
        <v>1790</v>
      </c>
      <c r="G51" s="117" t="s">
        <v>1334</v>
      </c>
      <c r="H51" s="118">
        <v>1.92</v>
      </c>
      <c r="I51" s="117" t="s">
        <v>218</v>
      </c>
      <c r="J51" s="118" t="s">
        <v>255</v>
      </c>
      <c r="K51" s="117">
        <v>3.85E-2</v>
      </c>
      <c r="L51" s="117">
        <v>2.3900000000000001E-2</v>
      </c>
      <c r="M51" s="112">
        <v>337.46</v>
      </c>
      <c r="N51" s="60">
        <v>144.18</v>
      </c>
      <c r="O51" s="84">
        <v>0.48654000000000003</v>
      </c>
      <c r="P51" s="24">
        <v>5.1676020328286971E-5</v>
      </c>
      <c r="Q51" s="24">
        <v>5.5771799851737083E-7</v>
      </c>
      <c r="R51" s="14"/>
    </row>
    <row r="52" spans="1:18" x14ac:dyDescent="0.25">
      <c r="A52" s="16" t="s">
        <v>1933</v>
      </c>
      <c r="B52" s="117" t="s">
        <v>1788</v>
      </c>
      <c r="C52" s="117" t="s">
        <v>1827</v>
      </c>
      <c r="D52" s="117"/>
      <c r="E52" s="117" t="s">
        <v>1333</v>
      </c>
      <c r="F52" s="117" t="s">
        <v>1810</v>
      </c>
      <c r="G52" s="117" t="s">
        <v>1334</v>
      </c>
      <c r="H52" s="118">
        <v>1.91</v>
      </c>
      <c r="I52" s="117" t="s">
        <v>218</v>
      </c>
      <c r="J52" s="118" t="s">
        <v>255</v>
      </c>
      <c r="K52" s="117">
        <v>5.1699999999999996E-2</v>
      </c>
      <c r="L52" s="117">
        <v>2.3900000000000001E-2</v>
      </c>
      <c r="M52" s="112">
        <v>337.47</v>
      </c>
      <c r="N52" s="60">
        <v>148.19</v>
      </c>
      <c r="O52" s="84">
        <v>0.50008999999999992</v>
      </c>
      <c r="P52" s="24">
        <v>5.3115182731066358E-5</v>
      </c>
      <c r="Q52" s="24">
        <v>5.7325028544118034E-7</v>
      </c>
      <c r="R52" s="14"/>
    </row>
    <row r="53" spans="1:18" s="119" customFormat="1" x14ac:dyDescent="0.25">
      <c r="A53" s="92" t="s">
        <v>1829</v>
      </c>
      <c r="B53" s="131" t="s">
        <v>249</v>
      </c>
      <c r="C53" s="131" t="s">
        <v>249</v>
      </c>
      <c r="D53" s="131"/>
      <c r="E53" s="131" t="s">
        <v>249</v>
      </c>
      <c r="F53" s="131" t="s">
        <v>249</v>
      </c>
      <c r="G53" s="131" t="s">
        <v>249</v>
      </c>
      <c r="H53" s="132" t="s">
        <v>249</v>
      </c>
      <c r="I53" s="131" t="s">
        <v>249</v>
      </c>
      <c r="J53" s="132" t="s">
        <v>249</v>
      </c>
      <c r="K53" s="131" t="s">
        <v>249</v>
      </c>
      <c r="L53" s="131" t="s">
        <v>249</v>
      </c>
      <c r="M53" s="161" t="s">
        <v>249</v>
      </c>
      <c r="N53" s="136" t="s">
        <v>249</v>
      </c>
      <c r="O53" s="124">
        <v>0</v>
      </c>
      <c r="P53" s="137">
        <v>0</v>
      </c>
      <c r="Q53" s="137">
        <v>0</v>
      </c>
    </row>
    <row r="54" spans="1:18" s="119" customFormat="1" x14ac:dyDescent="0.25">
      <c r="A54" s="92" t="s">
        <v>1830</v>
      </c>
      <c r="B54" s="131" t="s">
        <v>249</v>
      </c>
      <c r="C54" s="131" t="s">
        <v>249</v>
      </c>
      <c r="D54" s="131"/>
      <c r="E54" s="131" t="s">
        <v>249</v>
      </c>
      <c r="F54" s="131" t="s">
        <v>249</v>
      </c>
      <c r="G54" s="131" t="s">
        <v>249</v>
      </c>
      <c r="H54" s="132" t="s">
        <v>249</v>
      </c>
      <c r="I54" s="131" t="s">
        <v>249</v>
      </c>
      <c r="J54" s="132" t="s">
        <v>249</v>
      </c>
      <c r="K54" s="131" t="s">
        <v>249</v>
      </c>
      <c r="L54" s="131" t="s">
        <v>249</v>
      </c>
      <c r="M54" s="161">
        <v>0</v>
      </c>
      <c r="N54" s="136" t="s">
        <v>249</v>
      </c>
      <c r="O54" s="124">
        <v>0</v>
      </c>
      <c r="P54" s="137">
        <v>0</v>
      </c>
      <c r="Q54" s="137">
        <v>0</v>
      </c>
    </row>
    <row r="55" spans="1:18" s="119" customFormat="1" x14ac:dyDescent="0.25">
      <c r="A55" s="92" t="s">
        <v>1831</v>
      </c>
      <c r="B55" s="131" t="s">
        <v>249</v>
      </c>
      <c r="C55" s="131" t="s">
        <v>249</v>
      </c>
      <c r="D55" s="131"/>
      <c r="E55" s="131" t="s">
        <v>249</v>
      </c>
      <c r="F55" s="131" t="s">
        <v>249</v>
      </c>
      <c r="G55" s="131" t="s">
        <v>249</v>
      </c>
      <c r="H55" s="132" t="s">
        <v>249</v>
      </c>
      <c r="I55" s="131" t="s">
        <v>249</v>
      </c>
      <c r="J55" s="132" t="s">
        <v>249</v>
      </c>
      <c r="K55" s="131" t="s">
        <v>249</v>
      </c>
      <c r="L55" s="131" t="s">
        <v>249</v>
      </c>
      <c r="M55" s="161" t="s">
        <v>249</v>
      </c>
      <c r="N55" s="136" t="s">
        <v>249</v>
      </c>
      <c r="O55" s="124">
        <v>0</v>
      </c>
      <c r="P55" s="137">
        <v>0</v>
      </c>
      <c r="Q55" s="137">
        <v>0</v>
      </c>
    </row>
    <row r="56" spans="1:18" s="119" customFormat="1" x14ac:dyDescent="0.25">
      <c r="A56" s="92" t="s">
        <v>1832</v>
      </c>
      <c r="B56" s="131" t="s">
        <v>249</v>
      </c>
      <c r="C56" s="131" t="s">
        <v>249</v>
      </c>
      <c r="D56" s="131"/>
      <c r="E56" s="131" t="s">
        <v>249</v>
      </c>
      <c r="F56" s="131" t="s">
        <v>249</v>
      </c>
      <c r="G56" s="131" t="s">
        <v>249</v>
      </c>
      <c r="H56" s="132" t="s">
        <v>249</v>
      </c>
      <c r="I56" s="131" t="s">
        <v>249</v>
      </c>
      <c r="J56" s="132" t="s">
        <v>249</v>
      </c>
      <c r="K56" s="131" t="s">
        <v>249</v>
      </c>
      <c r="L56" s="131" t="s">
        <v>249</v>
      </c>
      <c r="M56" s="161" t="s">
        <v>249</v>
      </c>
      <c r="N56" s="136" t="s">
        <v>249</v>
      </c>
      <c r="O56" s="124">
        <v>0</v>
      </c>
      <c r="P56" s="137">
        <v>0</v>
      </c>
      <c r="Q56" s="137">
        <v>0</v>
      </c>
    </row>
    <row r="57" spans="1:18" s="119" customFormat="1" x14ac:dyDescent="0.25">
      <c r="A57" s="92" t="s">
        <v>1833</v>
      </c>
      <c r="B57" s="131" t="s">
        <v>249</v>
      </c>
      <c r="C57" s="131" t="s">
        <v>249</v>
      </c>
      <c r="D57" s="131"/>
      <c r="E57" s="131" t="s">
        <v>249</v>
      </c>
      <c r="F57" s="131" t="s">
        <v>249</v>
      </c>
      <c r="G57" s="131" t="s">
        <v>249</v>
      </c>
      <c r="H57" s="132" t="s">
        <v>249</v>
      </c>
      <c r="I57" s="131" t="s">
        <v>249</v>
      </c>
      <c r="J57" s="132" t="s">
        <v>249</v>
      </c>
      <c r="K57" s="131" t="s">
        <v>249</v>
      </c>
      <c r="L57" s="131" t="s">
        <v>249</v>
      </c>
      <c r="M57" s="161" t="s">
        <v>249</v>
      </c>
      <c r="N57" s="136" t="s">
        <v>249</v>
      </c>
      <c r="O57" s="124">
        <v>0</v>
      </c>
      <c r="P57" s="137">
        <v>0</v>
      </c>
      <c r="Q57" s="137">
        <v>0</v>
      </c>
    </row>
    <row r="58" spans="1:18" s="119" customFormat="1" x14ac:dyDescent="0.25">
      <c r="A58" s="92" t="s">
        <v>1834</v>
      </c>
      <c r="B58" s="131" t="s">
        <v>249</v>
      </c>
      <c r="C58" s="131" t="s">
        <v>249</v>
      </c>
      <c r="D58" s="131"/>
      <c r="E58" s="131" t="s">
        <v>249</v>
      </c>
      <c r="F58" s="131" t="s">
        <v>249</v>
      </c>
      <c r="G58" s="131" t="s">
        <v>249</v>
      </c>
      <c r="H58" s="132" t="s">
        <v>249</v>
      </c>
      <c r="I58" s="131" t="s">
        <v>249</v>
      </c>
      <c r="J58" s="132" t="s">
        <v>249</v>
      </c>
      <c r="K58" s="131" t="s">
        <v>249</v>
      </c>
      <c r="L58" s="131" t="s">
        <v>249</v>
      </c>
      <c r="M58" s="161" t="s">
        <v>249</v>
      </c>
      <c r="N58" s="136" t="s">
        <v>249</v>
      </c>
      <c r="O58" s="124">
        <v>0</v>
      </c>
      <c r="P58" s="137">
        <v>0</v>
      </c>
      <c r="Q58" s="137">
        <v>0</v>
      </c>
    </row>
    <row r="59" spans="1:18" s="119" customFormat="1" x14ac:dyDescent="0.25">
      <c r="A59" s="92" t="s">
        <v>1835</v>
      </c>
      <c r="B59" s="131" t="s">
        <v>249</v>
      </c>
      <c r="C59" s="131" t="s">
        <v>249</v>
      </c>
      <c r="D59" s="131"/>
      <c r="E59" s="131" t="s">
        <v>249</v>
      </c>
      <c r="F59" s="131" t="s">
        <v>249</v>
      </c>
      <c r="G59" s="131" t="s">
        <v>249</v>
      </c>
      <c r="H59" s="132" t="s">
        <v>249</v>
      </c>
      <c r="I59" s="131" t="s">
        <v>249</v>
      </c>
      <c r="J59" s="132" t="s">
        <v>249</v>
      </c>
      <c r="K59" s="131" t="s">
        <v>249</v>
      </c>
      <c r="L59" s="131" t="s">
        <v>249</v>
      </c>
      <c r="M59" s="161" t="s">
        <v>249</v>
      </c>
      <c r="N59" s="136" t="s">
        <v>249</v>
      </c>
      <c r="O59" s="124">
        <v>0</v>
      </c>
      <c r="P59" s="137">
        <v>0</v>
      </c>
      <c r="Q59" s="137">
        <v>0</v>
      </c>
    </row>
    <row r="60" spans="1:18" s="119" customFormat="1" x14ac:dyDescent="0.25">
      <c r="A60" s="92" t="s">
        <v>393</v>
      </c>
      <c r="B60" s="131" t="s">
        <v>249</v>
      </c>
      <c r="C60" s="131" t="s">
        <v>249</v>
      </c>
      <c r="D60" s="131"/>
      <c r="E60" s="131" t="s">
        <v>249</v>
      </c>
      <c r="F60" s="131" t="s">
        <v>249</v>
      </c>
      <c r="G60" s="131" t="s">
        <v>249</v>
      </c>
      <c r="H60" s="132" t="s">
        <v>249</v>
      </c>
      <c r="I60" s="131" t="s">
        <v>249</v>
      </c>
      <c r="J60" s="132" t="s">
        <v>249</v>
      </c>
      <c r="K60" s="131" t="s">
        <v>249</v>
      </c>
      <c r="L60" s="131" t="s">
        <v>249</v>
      </c>
      <c r="M60" s="161" t="s">
        <v>249</v>
      </c>
      <c r="N60" s="136" t="s">
        <v>249</v>
      </c>
      <c r="O60" s="124">
        <v>0</v>
      </c>
      <c r="P60" s="137">
        <v>0</v>
      </c>
      <c r="Q60" s="137">
        <v>0</v>
      </c>
    </row>
    <row r="61" spans="1:18" s="119" customFormat="1" x14ac:dyDescent="0.25">
      <c r="A61" s="92" t="s">
        <v>1786</v>
      </c>
      <c r="B61" s="131" t="s">
        <v>249</v>
      </c>
      <c r="C61" s="131" t="s">
        <v>249</v>
      </c>
      <c r="D61" s="131"/>
      <c r="E61" s="131" t="s">
        <v>249</v>
      </c>
      <c r="F61" s="131" t="s">
        <v>249</v>
      </c>
      <c r="G61" s="131" t="s">
        <v>249</v>
      </c>
      <c r="H61" s="132" t="s">
        <v>249</v>
      </c>
      <c r="I61" s="131" t="s">
        <v>249</v>
      </c>
      <c r="J61" s="132" t="s">
        <v>249</v>
      </c>
      <c r="K61" s="131" t="s">
        <v>249</v>
      </c>
      <c r="L61" s="131" t="s">
        <v>249</v>
      </c>
      <c r="M61" s="161" t="s">
        <v>249</v>
      </c>
      <c r="N61" s="136" t="s">
        <v>249</v>
      </c>
      <c r="O61" s="124">
        <v>0</v>
      </c>
      <c r="P61" s="137">
        <v>0</v>
      </c>
      <c r="Q61" s="137">
        <v>0</v>
      </c>
    </row>
    <row r="62" spans="1:18" s="119" customFormat="1" x14ac:dyDescent="0.25">
      <c r="A62" s="92" t="s">
        <v>1834</v>
      </c>
      <c r="B62" s="131" t="s">
        <v>249</v>
      </c>
      <c r="C62" s="131" t="s">
        <v>249</v>
      </c>
      <c r="D62" s="131"/>
      <c r="E62" s="131" t="s">
        <v>249</v>
      </c>
      <c r="F62" s="131" t="s">
        <v>249</v>
      </c>
      <c r="G62" s="131" t="s">
        <v>249</v>
      </c>
      <c r="H62" s="132" t="s">
        <v>249</v>
      </c>
      <c r="I62" s="131" t="s">
        <v>249</v>
      </c>
      <c r="J62" s="132" t="s">
        <v>249</v>
      </c>
      <c r="K62" s="131" t="s">
        <v>249</v>
      </c>
      <c r="L62" s="131" t="s">
        <v>249</v>
      </c>
      <c r="M62" s="161" t="s">
        <v>249</v>
      </c>
      <c r="N62" s="136" t="s">
        <v>249</v>
      </c>
      <c r="O62" s="124">
        <v>0</v>
      </c>
      <c r="P62" s="137">
        <v>0</v>
      </c>
      <c r="Q62" s="137">
        <v>0</v>
      </c>
    </row>
    <row r="63" spans="1:18" s="119" customFormat="1" x14ac:dyDescent="0.25">
      <c r="A63" s="92" t="s">
        <v>1787</v>
      </c>
      <c r="B63" s="131" t="s">
        <v>249</v>
      </c>
      <c r="C63" s="131" t="s">
        <v>249</v>
      </c>
      <c r="D63" s="131"/>
      <c r="E63" s="131" t="s">
        <v>249</v>
      </c>
      <c r="F63" s="131" t="s">
        <v>249</v>
      </c>
      <c r="G63" s="131" t="s">
        <v>249</v>
      </c>
      <c r="H63" s="132" t="s">
        <v>249</v>
      </c>
      <c r="I63" s="131" t="s">
        <v>249</v>
      </c>
      <c r="J63" s="132" t="s">
        <v>249</v>
      </c>
      <c r="K63" s="131" t="s">
        <v>249</v>
      </c>
      <c r="L63" s="131" t="s">
        <v>249</v>
      </c>
      <c r="M63" s="161" t="s">
        <v>249</v>
      </c>
      <c r="N63" s="136" t="s">
        <v>249</v>
      </c>
      <c r="O63" s="124">
        <v>0</v>
      </c>
      <c r="P63" s="137">
        <v>0</v>
      </c>
      <c r="Q63" s="137">
        <v>0</v>
      </c>
    </row>
    <row r="64" spans="1:18" s="119" customFormat="1" x14ac:dyDescent="0.25">
      <c r="A64" s="92" t="s">
        <v>1835</v>
      </c>
      <c r="B64" s="131" t="s">
        <v>249</v>
      </c>
      <c r="C64" s="131" t="s">
        <v>249</v>
      </c>
      <c r="D64" s="131"/>
      <c r="E64" s="131" t="s">
        <v>249</v>
      </c>
      <c r="F64" s="131" t="s">
        <v>249</v>
      </c>
      <c r="G64" s="131" t="s">
        <v>249</v>
      </c>
      <c r="H64" s="132" t="s">
        <v>249</v>
      </c>
      <c r="I64" s="131" t="s">
        <v>249</v>
      </c>
      <c r="J64" s="132" t="s">
        <v>249</v>
      </c>
      <c r="K64" s="131" t="s">
        <v>249</v>
      </c>
      <c r="L64" s="131" t="s">
        <v>249</v>
      </c>
      <c r="M64" s="161" t="s">
        <v>249</v>
      </c>
      <c r="N64" s="136" t="s">
        <v>249</v>
      </c>
      <c r="O64" s="124">
        <v>0</v>
      </c>
      <c r="P64" s="137">
        <v>0</v>
      </c>
      <c r="Q64" s="137">
        <v>0</v>
      </c>
    </row>
    <row r="65" spans="1:18" s="119" customFormat="1" x14ac:dyDescent="0.25">
      <c r="A65" s="78" t="s">
        <v>241</v>
      </c>
      <c r="B65" s="78"/>
      <c r="C65" s="125"/>
      <c r="D65" s="125"/>
      <c r="E65" s="125"/>
      <c r="F65" s="126"/>
      <c r="G65" s="126"/>
      <c r="H65" s="126"/>
      <c r="I65" s="126"/>
      <c r="J65" s="126"/>
      <c r="K65" s="127"/>
      <c r="L65" s="128"/>
      <c r="M65" s="129"/>
      <c r="N65" s="129"/>
      <c r="O65" s="129"/>
      <c r="P65" s="129"/>
      <c r="Q65" s="128"/>
      <c r="R65" s="130"/>
    </row>
    <row r="66" spans="1:18" s="119" customFormat="1" x14ac:dyDescent="0.25">
      <c r="A66" s="78" t="s">
        <v>242</v>
      </c>
      <c r="B66" s="78"/>
      <c r="C66" s="125"/>
      <c r="D66" s="125"/>
      <c r="E66" s="125"/>
      <c r="F66" s="126"/>
      <c r="G66" s="126"/>
      <c r="H66" s="126"/>
      <c r="I66" s="126"/>
      <c r="J66" s="126"/>
      <c r="K66" s="127"/>
      <c r="L66" s="128"/>
      <c r="M66" s="129"/>
      <c r="N66" s="129"/>
      <c r="O66" s="129"/>
      <c r="P66" s="129"/>
      <c r="Q66" s="128"/>
      <c r="R66" s="130"/>
    </row>
    <row r="67" spans="1:18" s="119" customFormat="1" x14ac:dyDescent="0.25">
      <c r="A67" s="78" t="s">
        <v>243</v>
      </c>
      <c r="B67" s="78"/>
      <c r="C67" s="125"/>
      <c r="D67" s="125"/>
      <c r="E67" s="125"/>
      <c r="F67" s="126"/>
      <c r="G67" s="126"/>
      <c r="H67" s="126"/>
      <c r="I67" s="126"/>
      <c r="J67" s="126"/>
      <c r="K67" s="127"/>
      <c r="L67" s="128"/>
      <c r="M67" s="129"/>
      <c r="N67" s="129"/>
      <c r="O67" s="129"/>
      <c r="P67" s="129"/>
      <c r="Q67" s="128"/>
      <c r="R67" s="130"/>
    </row>
    <row r="68" spans="1:18" s="119" customFormat="1" x14ac:dyDescent="0.25">
      <c r="A68" s="78" t="s">
        <v>244</v>
      </c>
      <c r="B68" s="78"/>
      <c r="C68" s="125"/>
      <c r="D68" s="125"/>
      <c r="E68" s="125"/>
      <c r="F68" s="126"/>
      <c r="G68" s="126"/>
      <c r="H68" s="126"/>
      <c r="I68" s="126"/>
      <c r="J68" s="126"/>
      <c r="K68" s="127"/>
      <c r="L68" s="128"/>
      <c r="M68" s="129"/>
      <c r="N68" s="129"/>
      <c r="O68" s="129"/>
      <c r="P68" s="129"/>
      <c r="Q68" s="128"/>
      <c r="R68" s="130"/>
    </row>
    <row r="69" spans="1:18" s="119" customFormat="1" x14ac:dyDescent="0.25">
      <c r="A69" s="78" t="s">
        <v>245</v>
      </c>
      <c r="B69" s="78"/>
      <c r="C69" s="125"/>
      <c r="D69" s="125"/>
      <c r="E69" s="125"/>
      <c r="F69" s="126"/>
      <c r="G69" s="126"/>
      <c r="H69" s="126"/>
      <c r="I69" s="126"/>
      <c r="J69" s="126"/>
      <c r="K69" s="127"/>
      <c r="L69" s="128"/>
      <c r="M69" s="129"/>
      <c r="N69" s="129"/>
      <c r="O69" s="129"/>
      <c r="P69" s="129"/>
      <c r="Q69" s="128"/>
      <c r="R69" s="130"/>
    </row>
  </sheetData>
  <sortState xmlns:xlrd2="http://schemas.microsoft.com/office/spreadsheetml/2017/richdata2" ref="A15:Z52">
    <sortCondition ref="A15:A52" customList="א,ב,ג,ד,ה,ו,ז,ח,ט,י,כ,ל,מ,נ,ס,ע,פ,צ,ק,ר,ש,ת"/>
  </sortState>
  <mergeCells count="1">
    <mergeCell ref="A4:Q4"/>
  </mergeCells>
  <phoneticPr fontId="3" type="noConversion"/>
  <conditionalFormatting sqref="B9:L64">
    <cfRule type="expression" dxfId="42" priority="374" stopIfTrue="1">
      <formula>LEFT(#REF!,3)="TIR"</formula>
    </cfRule>
  </conditionalFormatting>
  <conditionalFormatting sqref="O9:P64 A9:A64">
    <cfRule type="expression" dxfId="41" priority="372" stopIfTrue="1">
      <formula>#REF!&gt;0</formula>
    </cfRule>
  </conditionalFormatting>
  <conditionalFormatting sqref="P9:Q64">
    <cfRule type="expression" dxfId="40" priority="371" stopIfTrue="1">
      <formula>OR(LEFT(#REF!,3)="TIR",LEFT(#REF!,2)="IR")</formula>
    </cfRule>
  </conditionalFormatting>
  <conditionalFormatting sqref="Q11:Q12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5546875" style="63" customWidth="1"/>
    <col min="11" max="11" width="7" style="63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2" t="s">
        <v>37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</row>
    <row r="5" spans="1:17" s="7" customFormat="1" ht="30.75" customHeight="1" x14ac:dyDescent="0.25">
      <c r="A5" s="86" t="s">
        <v>157</v>
      </c>
      <c r="B5" s="205" t="s">
        <v>69</v>
      </c>
      <c r="C5" s="205" t="s">
        <v>74</v>
      </c>
      <c r="D5" s="205" t="s">
        <v>70</v>
      </c>
      <c r="E5" s="205" t="s">
        <v>5</v>
      </c>
      <c r="F5" s="205" t="s">
        <v>14</v>
      </c>
      <c r="G5" s="205" t="s">
        <v>6</v>
      </c>
      <c r="H5" s="206" t="s">
        <v>89</v>
      </c>
      <c r="I5" s="206" t="s">
        <v>71</v>
      </c>
      <c r="J5" s="206" t="s">
        <v>67</v>
      </c>
      <c r="K5" s="206" t="s">
        <v>68</v>
      </c>
      <c r="L5" s="206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6.0000000000000008E-7</v>
      </c>
      <c r="M8" s="67">
        <v>0</v>
      </c>
      <c r="N8" s="81">
        <v>0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0</v>
      </c>
      <c r="M9" s="121">
        <v>0</v>
      </c>
      <c r="N9" s="121">
        <v>0</v>
      </c>
    </row>
    <row r="10" spans="1:17" s="119" customFormat="1" x14ac:dyDescent="0.25">
      <c r="A10" s="92" t="s">
        <v>1836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1323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2" t="s">
        <v>1837</v>
      </c>
      <c r="B12" s="137" t="s">
        <v>249</v>
      </c>
      <c r="C12" s="136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7" t="s">
        <v>249</v>
      </c>
      <c r="I12" s="137" t="s">
        <v>249</v>
      </c>
      <c r="J12" s="135" t="s">
        <v>249</v>
      </c>
      <c r="K12" s="136" t="s">
        <v>249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1838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141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397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78" t="s">
        <v>241</v>
      </c>
      <c r="B16" s="78"/>
      <c r="C16" s="125"/>
      <c r="D16" s="125"/>
      <c r="E16" s="126"/>
      <c r="F16" s="126"/>
      <c r="G16" s="126"/>
      <c r="H16" s="127"/>
      <c r="I16" s="128"/>
      <c r="J16" s="129"/>
      <c r="K16" s="129"/>
      <c r="L16" s="129"/>
      <c r="M16" s="129"/>
      <c r="N16" s="128"/>
      <c r="O16" s="130"/>
    </row>
    <row r="17" spans="1:15" s="119" customFormat="1" x14ac:dyDescent="0.25">
      <c r="A17" s="78" t="s">
        <v>242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243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244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245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5" t="s">
        <v>38</v>
      </c>
      <c r="B4" s="236"/>
      <c r="C4" s="236"/>
      <c r="D4" s="236"/>
      <c r="E4" s="236"/>
      <c r="F4" s="236"/>
      <c r="G4" s="236"/>
      <c r="H4" s="236"/>
      <c r="I4" s="237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4.0000000000000003E-7</v>
      </c>
      <c r="G8" s="70">
        <v>1</v>
      </c>
      <c r="H8" s="70">
        <v>0</v>
      </c>
      <c r="I8" s="82"/>
    </row>
    <row r="9" spans="1:17" s="119" customFormat="1" x14ac:dyDescent="0.25">
      <c r="A9" s="91" t="s">
        <v>1839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0</v>
      </c>
      <c r="G9" s="121">
        <v>0</v>
      </c>
      <c r="H9" s="121">
        <v>0</v>
      </c>
      <c r="I9" s="121" t="s">
        <v>249</v>
      </c>
    </row>
    <row r="10" spans="1:17" s="119" customFormat="1" x14ac:dyDescent="0.25">
      <c r="A10" s="92" t="s">
        <v>1840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0</v>
      </c>
      <c r="G10" s="121">
        <v>0</v>
      </c>
      <c r="H10" s="121">
        <v>0</v>
      </c>
      <c r="I10" s="121" t="s">
        <v>249</v>
      </c>
    </row>
    <row r="11" spans="1:17" s="119" customFormat="1" x14ac:dyDescent="0.25">
      <c r="A11" s="92" t="s">
        <v>1841</v>
      </c>
      <c r="B11" s="121" t="s">
        <v>249</v>
      </c>
      <c r="C11" s="121" t="s">
        <v>249</v>
      </c>
      <c r="D11" s="121" t="s">
        <v>249</v>
      </c>
      <c r="E11" s="122" t="s">
        <v>249</v>
      </c>
      <c r="F11" s="123">
        <v>0</v>
      </c>
      <c r="G11" s="121">
        <v>0</v>
      </c>
      <c r="H11" s="121">
        <v>0</v>
      </c>
      <c r="I11" s="121" t="s">
        <v>249</v>
      </c>
    </row>
    <row r="12" spans="1:17" s="119" customFormat="1" x14ac:dyDescent="0.25">
      <c r="A12" s="92" t="s">
        <v>1842</v>
      </c>
      <c r="B12" s="121" t="s">
        <v>249</v>
      </c>
      <c r="C12" s="121" t="s">
        <v>249</v>
      </c>
      <c r="D12" s="121" t="s">
        <v>249</v>
      </c>
      <c r="E12" s="122" t="s">
        <v>249</v>
      </c>
      <c r="F12" s="123">
        <v>0</v>
      </c>
      <c r="G12" s="121">
        <v>0</v>
      </c>
      <c r="H12" s="121">
        <v>0</v>
      </c>
      <c r="I12" s="121" t="s">
        <v>249</v>
      </c>
    </row>
    <row r="13" spans="1:17" s="119" customFormat="1" x14ac:dyDescent="0.25">
      <c r="A13" s="92" t="s">
        <v>1840</v>
      </c>
      <c r="B13" s="121" t="s">
        <v>249</v>
      </c>
      <c r="C13" s="121" t="s">
        <v>249</v>
      </c>
      <c r="D13" s="121" t="s">
        <v>249</v>
      </c>
      <c r="E13" s="122" t="s">
        <v>249</v>
      </c>
      <c r="F13" s="123">
        <v>0</v>
      </c>
      <c r="G13" s="121">
        <v>0</v>
      </c>
      <c r="H13" s="121">
        <v>0</v>
      </c>
      <c r="I13" s="121" t="s">
        <v>249</v>
      </c>
    </row>
    <row r="14" spans="1:17" s="119" customFormat="1" x14ac:dyDescent="0.25">
      <c r="A14" s="92" t="s">
        <v>1841</v>
      </c>
      <c r="B14" s="121" t="s">
        <v>249</v>
      </c>
      <c r="C14" s="121" t="s">
        <v>249</v>
      </c>
      <c r="D14" s="121" t="s">
        <v>249</v>
      </c>
      <c r="E14" s="122" t="s">
        <v>249</v>
      </c>
      <c r="F14" s="123">
        <v>0</v>
      </c>
      <c r="G14" s="121">
        <v>0</v>
      </c>
      <c r="H14" s="121">
        <v>0</v>
      </c>
      <c r="I14" s="121" t="s">
        <v>249</v>
      </c>
    </row>
    <row r="15" spans="1:17" s="119" customFormat="1" x14ac:dyDescent="0.25">
      <c r="A15" s="78" t="s">
        <v>241</v>
      </c>
      <c r="B15" s="125"/>
      <c r="C15" s="78"/>
      <c r="D15" s="146"/>
      <c r="E15" s="126"/>
      <c r="F15" s="126"/>
      <c r="G15" s="126"/>
      <c r="H15" s="126"/>
      <c r="I15" s="126"/>
      <c r="J15" s="147"/>
      <c r="K15" s="130"/>
      <c r="L15" s="148"/>
      <c r="M15" s="148"/>
      <c r="N15" s="148"/>
      <c r="O15" s="130"/>
      <c r="P15" s="130"/>
    </row>
    <row r="16" spans="1:17" s="119" customFormat="1" x14ac:dyDescent="0.25">
      <c r="A16" s="78" t="s">
        <v>242</v>
      </c>
      <c r="B16" s="125"/>
      <c r="C16" s="78"/>
      <c r="D16" s="146"/>
      <c r="E16" s="126"/>
      <c r="F16" s="126"/>
      <c r="G16" s="126"/>
      <c r="H16" s="126"/>
      <c r="I16" s="126"/>
      <c r="J16" s="147"/>
      <c r="K16" s="130"/>
      <c r="L16" s="148"/>
      <c r="M16" s="148"/>
      <c r="N16" s="148"/>
      <c r="O16" s="130"/>
      <c r="P16" s="130"/>
    </row>
    <row r="17" spans="1:16" s="119" customFormat="1" x14ac:dyDescent="0.25">
      <c r="A17" s="78" t="s">
        <v>243</v>
      </c>
      <c r="B17" s="125"/>
      <c r="C17" s="78"/>
      <c r="D17" s="146"/>
      <c r="E17" s="126"/>
      <c r="F17" s="126"/>
      <c r="G17" s="126"/>
      <c r="H17" s="126"/>
      <c r="I17" s="126"/>
      <c r="J17" s="147"/>
      <c r="K17" s="130"/>
      <c r="L17" s="148"/>
      <c r="M17" s="148"/>
      <c r="N17" s="148"/>
      <c r="O17" s="130"/>
      <c r="P17" s="130"/>
    </row>
    <row r="18" spans="1:16" s="119" customFormat="1" x14ac:dyDescent="0.25">
      <c r="A18" s="78" t="s">
        <v>244</v>
      </c>
      <c r="B18" s="125"/>
      <c r="C18" s="78"/>
      <c r="D18" s="146"/>
      <c r="E18" s="126"/>
      <c r="F18" s="126"/>
      <c r="G18" s="126"/>
      <c r="H18" s="126"/>
      <c r="I18" s="126"/>
      <c r="J18" s="147"/>
      <c r="K18" s="130"/>
      <c r="L18" s="148"/>
      <c r="M18" s="148"/>
      <c r="N18" s="148"/>
      <c r="O18" s="130"/>
      <c r="P18" s="130"/>
    </row>
    <row r="19" spans="1:16" s="119" customFormat="1" x14ac:dyDescent="0.25">
      <c r="A19" s="78" t="s">
        <v>245</v>
      </c>
      <c r="B19" s="125"/>
      <c r="C19" s="78"/>
      <c r="D19" s="146"/>
      <c r="E19" s="126"/>
      <c r="F19" s="126"/>
      <c r="G19" s="126"/>
      <c r="H19" s="126"/>
      <c r="I19" s="126"/>
      <c r="J19" s="147"/>
      <c r="K19" s="130"/>
      <c r="L19" s="148"/>
      <c r="M19" s="148"/>
      <c r="N19" s="148"/>
      <c r="O19" s="130"/>
      <c r="P19" s="130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2" t="s">
        <v>86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1"/>
    </row>
    <row r="5" spans="1:18" s="7" customFormat="1" ht="33" customHeight="1" x14ac:dyDescent="0.25">
      <c r="A5" s="86" t="s">
        <v>157</v>
      </c>
      <c r="B5" s="205" t="s">
        <v>74</v>
      </c>
      <c r="C5" s="205" t="s">
        <v>70</v>
      </c>
      <c r="D5" s="205" t="s">
        <v>83</v>
      </c>
      <c r="E5" s="205" t="s">
        <v>84</v>
      </c>
      <c r="F5" s="206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2.2925884758390713E-13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393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1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2" t="s">
        <v>87</v>
      </c>
      <c r="B4" s="223"/>
      <c r="C4" s="223"/>
      <c r="D4" s="223"/>
      <c r="E4" s="223"/>
      <c r="F4" s="223"/>
      <c r="G4" s="223"/>
      <c r="H4" s="223"/>
      <c r="I4" s="223"/>
      <c r="J4" s="224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5" t="s">
        <v>81</v>
      </c>
      <c r="C5" s="205" t="s">
        <v>70</v>
      </c>
      <c r="D5" s="205" t="s">
        <v>5</v>
      </c>
      <c r="E5" s="206" t="s">
        <v>66</v>
      </c>
      <c r="F5" s="206" t="s">
        <v>6</v>
      </c>
      <c r="G5" s="206" t="s">
        <v>71</v>
      </c>
      <c r="H5" s="206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-168.38266980000003</v>
      </c>
      <c r="I8" s="77">
        <v>1</v>
      </c>
      <c r="J8" s="58">
        <v>-1.930160841572478E-4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-168.38266989999997</v>
      </c>
      <c r="I9" s="121">
        <v>1.0000000005938849</v>
      </c>
      <c r="J9" s="121">
        <v>-1.9301608427187717E-4</v>
      </c>
    </row>
    <row r="10" spans="1:20" x14ac:dyDescent="0.25">
      <c r="A10" s="16" t="s">
        <v>1845</v>
      </c>
      <c r="B10" s="23" t="s">
        <v>1846</v>
      </c>
      <c r="C10" s="66" t="s">
        <v>401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-401.91843999999998</v>
      </c>
      <c r="I10" s="76">
        <v>2.3869347152969298</v>
      </c>
      <c r="J10" s="32">
        <v>-4.6071679188560848E-4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1851</v>
      </c>
      <c r="B11" s="23" t="s">
        <v>1852</v>
      </c>
      <c r="C11" s="66" t="s">
        <v>401</v>
      </c>
      <c r="D11" s="25" t="s">
        <v>401</v>
      </c>
      <c r="E11" s="17">
        <v>0</v>
      </c>
      <c r="F11" s="68" t="s">
        <v>151</v>
      </c>
      <c r="G11" s="17">
        <v>0</v>
      </c>
      <c r="H11" s="85">
        <v>1.8420000000000002E-2</v>
      </c>
      <c r="I11" s="76">
        <v>-1.0939368060786026E-4</v>
      </c>
      <c r="J11" s="32">
        <v>2.1114739862477846E-8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1853</v>
      </c>
      <c r="B12" s="23" t="s">
        <v>1854</v>
      </c>
      <c r="C12" s="66" t="s">
        <v>401</v>
      </c>
      <c r="D12" s="25" t="s">
        <v>401</v>
      </c>
      <c r="E12" s="17">
        <v>0</v>
      </c>
      <c r="F12" s="68" t="s">
        <v>125</v>
      </c>
      <c r="G12" s="17">
        <v>0</v>
      </c>
      <c r="H12" s="85">
        <v>95.762169999999998</v>
      </c>
      <c r="I12" s="76">
        <v>-0.56871749398999005</v>
      </c>
      <c r="J12" s="32">
        <v>1.09771623681671E-4</v>
      </c>
      <c r="K12" s="14"/>
      <c r="L12" s="14"/>
      <c r="M12" s="14"/>
      <c r="N12" s="14"/>
      <c r="O12" s="14"/>
      <c r="P12" s="14"/>
    </row>
    <row r="13" spans="1:20" x14ac:dyDescent="0.25">
      <c r="A13" s="16" t="s">
        <v>1847</v>
      </c>
      <c r="B13" s="23" t="s">
        <v>1848</v>
      </c>
      <c r="C13" s="66" t="s">
        <v>401</v>
      </c>
      <c r="D13" s="25" t="s">
        <v>401</v>
      </c>
      <c r="E13" s="17">
        <v>0</v>
      </c>
      <c r="F13" s="68" t="s">
        <v>126</v>
      </c>
      <c r="G13" s="17">
        <v>0</v>
      </c>
      <c r="H13" s="85">
        <v>0.41537999999999997</v>
      </c>
      <c r="I13" s="76">
        <v>-2.4668809473883274E-3</v>
      </c>
      <c r="J13" s="32">
        <v>4.7614770054701658E-7</v>
      </c>
      <c r="K13" s="14"/>
      <c r="L13" s="14"/>
      <c r="M13" s="14"/>
      <c r="N13" s="14"/>
      <c r="O13" s="14"/>
      <c r="P13" s="14"/>
    </row>
    <row r="14" spans="1:20" x14ac:dyDescent="0.25">
      <c r="A14" s="16" t="s">
        <v>1843</v>
      </c>
      <c r="B14" s="23" t="s">
        <v>1844</v>
      </c>
      <c r="C14" s="66" t="s">
        <v>401</v>
      </c>
      <c r="D14" s="25" t="s">
        <v>401</v>
      </c>
      <c r="E14" s="17">
        <v>5.3499999999999999E-2</v>
      </c>
      <c r="F14" s="68" t="s">
        <v>255</v>
      </c>
      <c r="G14" s="17">
        <v>0</v>
      </c>
      <c r="H14" s="85">
        <v>2.6370100000000001</v>
      </c>
      <c r="I14" s="76">
        <v>-1.5660815944610943E-2</v>
      </c>
      <c r="J14" s="32">
        <v>3.0227893683361942E-6</v>
      </c>
      <c r="K14" s="14"/>
      <c r="L14" s="14"/>
      <c r="M14" s="14"/>
      <c r="N14" s="14"/>
      <c r="O14" s="14"/>
      <c r="P14" s="14"/>
    </row>
    <row r="15" spans="1:20" x14ac:dyDescent="0.25">
      <c r="A15" s="16" t="s">
        <v>1849</v>
      </c>
      <c r="B15" s="23" t="s">
        <v>1850</v>
      </c>
      <c r="C15" s="66" t="s">
        <v>401</v>
      </c>
      <c r="D15" s="25" t="s">
        <v>401</v>
      </c>
      <c r="E15" s="17">
        <v>0</v>
      </c>
      <c r="F15" s="68" t="s">
        <v>125</v>
      </c>
      <c r="G15" s="17">
        <v>0</v>
      </c>
      <c r="H15" s="85">
        <v>134.70279000000002</v>
      </c>
      <c r="I15" s="76">
        <v>-0.79998012954656206</v>
      </c>
      <c r="J15" s="32">
        <v>1.5440903200868524E-4</v>
      </c>
      <c r="K15" s="14"/>
      <c r="L15" s="14"/>
      <c r="M15" s="14"/>
      <c r="N15" s="14"/>
      <c r="O15" s="14"/>
      <c r="P15" s="14"/>
    </row>
    <row r="16" spans="1:20" s="119" customFormat="1" x14ac:dyDescent="0.25">
      <c r="A16" s="92" t="s">
        <v>393</v>
      </c>
      <c r="B16" s="165" t="s">
        <v>249</v>
      </c>
      <c r="C16" s="122" t="s">
        <v>249</v>
      </c>
      <c r="D16" s="145" t="s">
        <v>249</v>
      </c>
      <c r="E16" s="158" t="s">
        <v>249</v>
      </c>
      <c r="F16" s="134" t="s">
        <v>249</v>
      </c>
      <c r="G16" s="158" t="s">
        <v>249</v>
      </c>
      <c r="H16" s="123">
        <v>0</v>
      </c>
      <c r="I16" s="121">
        <v>0</v>
      </c>
      <c r="J16" s="121">
        <v>0</v>
      </c>
    </row>
    <row r="17" spans="1:16" s="119" customFormat="1" x14ac:dyDescent="0.25">
      <c r="A17" s="78" t="s">
        <v>241</v>
      </c>
      <c r="B17" s="78"/>
      <c r="C17" s="125"/>
      <c r="D17" s="78"/>
      <c r="E17" s="146"/>
      <c r="F17" s="146"/>
      <c r="G17" s="146"/>
      <c r="H17" s="146"/>
      <c r="I17" s="146"/>
      <c r="J17" s="127"/>
      <c r="K17" s="130"/>
      <c r="L17" s="148"/>
      <c r="M17" s="148"/>
      <c r="N17" s="148"/>
      <c r="O17" s="130"/>
      <c r="P17" s="130"/>
    </row>
    <row r="18" spans="1:16" s="119" customFormat="1" x14ac:dyDescent="0.25">
      <c r="A18" s="78" t="s">
        <v>242</v>
      </c>
      <c r="B18" s="78"/>
      <c r="C18" s="125"/>
      <c r="D18" s="78"/>
      <c r="E18" s="146"/>
      <c r="F18" s="146"/>
      <c r="G18" s="146"/>
      <c r="H18" s="146"/>
      <c r="I18" s="146"/>
      <c r="J18" s="127"/>
      <c r="K18" s="130"/>
      <c r="L18" s="148"/>
      <c r="M18" s="148"/>
      <c r="N18" s="148"/>
      <c r="O18" s="130"/>
      <c r="P18" s="130"/>
    </row>
    <row r="19" spans="1:16" s="119" customFormat="1" x14ac:dyDescent="0.25">
      <c r="A19" s="78" t="s">
        <v>243</v>
      </c>
      <c r="B19" s="78"/>
      <c r="C19" s="125"/>
      <c r="D19" s="78"/>
      <c r="E19" s="146"/>
      <c r="F19" s="146"/>
      <c r="G19" s="146"/>
      <c r="H19" s="146"/>
      <c r="I19" s="146"/>
      <c r="J19" s="127"/>
      <c r="K19" s="130"/>
      <c r="L19" s="148"/>
      <c r="M19" s="148"/>
      <c r="N19" s="148"/>
      <c r="O19" s="130"/>
      <c r="P19" s="130"/>
    </row>
    <row r="20" spans="1:16" s="119" customFormat="1" x14ac:dyDescent="0.25">
      <c r="A20" s="78" t="s">
        <v>244</v>
      </c>
      <c r="B20" s="78"/>
      <c r="C20" s="125"/>
      <c r="D20" s="78"/>
      <c r="E20" s="146"/>
      <c r="F20" s="146"/>
      <c r="G20" s="146"/>
      <c r="H20" s="146"/>
      <c r="I20" s="146"/>
      <c r="J20" s="12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245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</sheetData>
  <mergeCells count="1">
    <mergeCell ref="A4:J4"/>
  </mergeCells>
  <phoneticPr fontId="3" type="noConversion"/>
  <conditionalFormatting sqref="A9:A16 F9:F16 H9:J16">
    <cfRule type="expression" dxfId="28" priority="423" stopIfTrue="1">
      <formula>LEFT(#REF!,3)="TIR"</formula>
    </cfRule>
  </conditionalFormatting>
  <conditionalFormatting sqref="B9:D16 J9:J16">
    <cfRule type="expression" dxfId="27" priority="420" stopIfTrue="1">
      <formula>LEFT(#REF!,3)="TIR"</formula>
    </cfRule>
  </conditionalFormatting>
  <conditionalFormatting sqref="H9:J16 F9:F16 A9:A1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6 K17:K5555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6"/>
  <sheetViews>
    <sheetView showGridLines="0" rightToLeft="1" workbookViewId="0"/>
  </sheetViews>
  <sheetFormatPr defaultRowHeight="13.2" x14ac:dyDescent="0.25"/>
  <cols>
    <col min="1" max="1" width="42.66406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2" t="s">
        <v>128</v>
      </c>
      <c r="B4" s="223"/>
      <c r="C4" s="224"/>
    </row>
    <row r="5" spans="1:3" x14ac:dyDescent="0.25">
      <c r="A5" s="86" t="s">
        <v>157</v>
      </c>
      <c r="B5" s="205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1910</v>
      </c>
      <c r="B8" s="169">
        <v>3157.7094402000002</v>
      </c>
      <c r="C8" s="116" t="s">
        <v>249</v>
      </c>
    </row>
    <row r="9" spans="1:3" s="113" customFormat="1" x14ac:dyDescent="0.25">
      <c r="A9" s="115" t="s">
        <v>137</v>
      </c>
      <c r="B9" s="170">
        <v>201.55548010000001</v>
      </c>
      <c r="C9" s="171" t="s">
        <v>249</v>
      </c>
    </row>
    <row r="10" spans="1:3" x14ac:dyDescent="0.25">
      <c r="A10" s="45" t="s">
        <v>1911</v>
      </c>
      <c r="B10" s="114">
        <v>33.726660000000003</v>
      </c>
      <c r="C10" s="40" t="s">
        <v>1912</v>
      </c>
    </row>
    <row r="11" spans="1:3" x14ac:dyDescent="0.25">
      <c r="A11" s="45" t="s">
        <v>1913</v>
      </c>
      <c r="B11" s="114">
        <v>2.8E-3</v>
      </c>
      <c r="C11" s="40" t="s">
        <v>246</v>
      </c>
    </row>
    <row r="12" spans="1:3" x14ac:dyDescent="0.25">
      <c r="A12" s="45" t="s">
        <v>1914</v>
      </c>
      <c r="B12" s="114">
        <v>78.546019999999999</v>
      </c>
      <c r="C12" s="40" t="s">
        <v>1915</v>
      </c>
    </row>
    <row r="13" spans="1:3" x14ac:dyDescent="0.25">
      <c r="A13" s="45" t="s">
        <v>1916</v>
      </c>
      <c r="B13" s="114">
        <v>89.28</v>
      </c>
      <c r="C13" s="40" t="s">
        <v>246</v>
      </c>
    </row>
    <row r="14" spans="1:3" s="113" customFormat="1" x14ac:dyDescent="0.25">
      <c r="A14" s="172" t="s">
        <v>393</v>
      </c>
      <c r="B14" s="173">
        <v>2956.1539601000004</v>
      </c>
      <c r="C14" s="174" t="s">
        <v>249</v>
      </c>
    </row>
    <row r="15" spans="1:3" x14ac:dyDescent="0.25">
      <c r="A15" s="45" t="s">
        <v>1917</v>
      </c>
      <c r="B15" s="114">
        <v>159.15470000000002</v>
      </c>
      <c r="C15" s="40" t="s">
        <v>1918</v>
      </c>
    </row>
    <row r="16" spans="1:3" x14ac:dyDescent="0.25">
      <c r="A16" s="45" t="s">
        <v>1919</v>
      </c>
      <c r="B16" s="114">
        <v>326.35836999999998</v>
      </c>
      <c r="C16" s="40" t="s">
        <v>246</v>
      </c>
    </row>
    <row r="17" spans="1:3" x14ac:dyDescent="0.25">
      <c r="A17" s="45" t="s">
        <v>1920</v>
      </c>
      <c r="B17" s="114">
        <v>331.25400000000002</v>
      </c>
      <c r="C17" s="40" t="s">
        <v>1912</v>
      </c>
    </row>
    <row r="18" spans="1:3" x14ac:dyDescent="0.25">
      <c r="A18" s="45" t="s">
        <v>1921</v>
      </c>
      <c r="B18" s="114">
        <v>93.771160000000009</v>
      </c>
      <c r="C18" s="40" t="s">
        <v>1922</v>
      </c>
    </row>
    <row r="19" spans="1:3" x14ac:dyDescent="0.25">
      <c r="A19" s="45" t="s">
        <v>1923</v>
      </c>
      <c r="B19" s="114">
        <v>217.10972000000001</v>
      </c>
      <c r="C19" s="40" t="s">
        <v>1918</v>
      </c>
    </row>
    <row r="20" spans="1:3" x14ac:dyDescent="0.25">
      <c r="A20" s="45" t="s">
        <v>1924</v>
      </c>
      <c r="B20" s="114">
        <v>73.640590000000003</v>
      </c>
      <c r="C20" s="40" t="s">
        <v>1922</v>
      </c>
    </row>
    <row r="21" spans="1:3" x14ac:dyDescent="0.25">
      <c r="A21" s="45" t="s">
        <v>1925</v>
      </c>
      <c r="B21" s="114">
        <v>567.45637999999997</v>
      </c>
      <c r="C21" s="40" t="s">
        <v>1926</v>
      </c>
    </row>
    <row r="22" spans="1:3" x14ac:dyDescent="0.25">
      <c r="A22" s="45" t="s">
        <v>1927</v>
      </c>
      <c r="B22" s="114">
        <v>280.23802000000001</v>
      </c>
      <c r="C22" s="40" t="s">
        <v>1915</v>
      </c>
    </row>
    <row r="23" spans="1:3" x14ac:dyDescent="0.25">
      <c r="A23" s="45" t="s">
        <v>1928</v>
      </c>
      <c r="B23" s="114">
        <v>166.56929</v>
      </c>
      <c r="C23" s="40" t="s">
        <v>1926</v>
      </c>
    </row>
    <row r="24" spans="1:3" x14ac:dyDescent="0.25">
      <c r="A24" s="45" t="s">
        <v>1929</v>
      </c>
      <c r="B24" s="114">
        <v>128.76173</v>
      </c>
      <c r="C24" s="40" t="s">
        <v>246</v>
      </c>
    </row>
    <row r="25" spans="1:3" x14ac:dyDescent="0.25">
      <c r="A25" s="45" t="s">
        <v>1930</v>
      </c>
      <c r="B25" s="114">
        <v>611.84</v>
      </c>
      <c r="C25" s="40" t="s">
        <v>1931</v>
      </c>
    </row>
    <row r="26" spans="1:3" x14ac:dyDescent="0.25">
      <c r="A26" t="s">
        <v>1909</v>
      </c>
    </row>
  </sheetData>
  <mergeCells count="1">
    <mergeCell ref="A4:C4"/>
  </mergeCells>
  <phoneticPr fontId="3" type="noConversion"/>
  <conditionalFormatting sqref="A8:C25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98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144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117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144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144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2025-05-21T19:11:31Z</dcterms:modified>
</cp:coreProperties>
</file>