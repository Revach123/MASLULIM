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א\דוח נכסים\רביון 1\"/>
    </mc:Choice>
  </mc:AlternateContent>
  <xr:revisionPtr revIDLastSave="0" documentId="8_{856FCBEB-9417-4626-83FA-86511ADAFB2D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קונצרני'!$A$5:$T$19</definedName>
    <definedName name="_xlnm.Print_Area" localSheetId="9">אופציות!$A$5:$K$21</definedName>
    <definedName name="_xlnm.Print_Area" localSheetId="21">הלוואות!$A$5:$Q$39</definedName>
    <definedName name="_xlnm.Print_Area" localSheetId="25">'השקעות אחרות'!$A$5:$J$13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להשקעה'!$A$1:$B$16</definedName>
    <definedName name="_xlnm.Print_Area" localSheetId="8">'כתבי אופציה'!$A$5:$K$14</definedName>
    <definedName name="_xlnm.Print_Area" localSheetId="12">'לא סחיר- תעודות התחייבות ממשלתי'!$A$5:$O$189</definedName>
    <definedName name="_xlnm.Print_Area" localSheetId="14">'לא סחיר - אג"ח קונצרני'!$A$5:$R$37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מזומנים!$A$5:$K$34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חודשים'!$A$5:$N$26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ממשלתיות'!$A$5:$Q$20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<sst xmlns="http://schemas.openxmlformats.org/spreadsheetml/2006/main" count="5367" uniqueCount="996">
  <si>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</si>
  <si>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</si>
  <si>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</si>
  <si>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</si>
  <si>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</si>
  <si>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</si>
  <si>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</si>
  <si>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</si>
  <si>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</si>
  <si>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</si>
  <si>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</si>
  <si>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</si>
  <si>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</si>
  <si>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</si>
  <si>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</si>
  <si>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</si>
  <si>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</si>
  <si>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</si>
  <si>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</si>
  <si>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</si>
  <si>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</si>
  <si>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</si>
  <si>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</si>
  <si>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</si>
  <si>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</si>
  <si>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</si>
  <si>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</si>
  <si>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</si>
  <si>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</si>
  <si>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</si>
  <si>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</si>
  <si>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</si>
  <si>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</si>
  <si>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</si>
  <si>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</si>
  <si>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</si>
  <si>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</si>
  <si>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</si>
  <si>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</si>
  <si>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</si>
  <si>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</si>
  <si>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</si>
  <si>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</si>
  <si>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</si>
  <si>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</si>
  <si>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</si>
  <si>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</si>
  <si>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</si>
  <si>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</si>
  <si>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</si>
  <si>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</si>
  <si>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</si>
  <si>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</si>
  <si>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</si>
  <si>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</si>
  <si>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</si>
  <si>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</si>
  <si>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</si>
  <si>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</si>
  <si>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</si>
  <si>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</si>
  <si>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</si>
  <si>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</si>
  <si>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</si>
  <si>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</si>
  <si>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</si>
  <si>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</si>
  <si>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</si>
  <si>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</si>
  <si>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</si>
  <si>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</si>
  <si>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</si>
  <si>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</si>
  <si>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</si>
  <si>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</si>
  <si>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</si>
  <si>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</si>
  <si>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</si>
  <si>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</si>
  <si>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</si>
  <si>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</si>
  <si>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</si>
  <si>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</si>
  <si>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</si>
  <si>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</si>
  <si>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</si>
  <si>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</si>
  <si>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</si>
  <si>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</si>
  <si>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</si>
  <si>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</si>
  <si>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</si>
  <si>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</si>
  <si>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</si>
  <si>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</si>
  <si>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</si>
  <si>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</si>
  <si>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</si>
  <si>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</si>
  <si>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</si>
  <si>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</si>
  <si>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</si>
  <si>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</si>
  <si>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</si>
  <si>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</si>
  <si>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</si>
  <si>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</si>
  <si>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</si>
  <si>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</si>
  <si>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</si>
  <si>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</si>
  <si>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</si>
  <si>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</si>
  <si>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</si>
  <si>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</si>
  <si>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</si>
  <si>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</si>
  <si>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</si>
  <si>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</si>
  <si>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</si>
  <si>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</si>
  <si>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</si>
  <si>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</si>
  <si>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</si>
  <si>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</si>
  <si>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</si>
  <si>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</si>
  <si>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</si>
  <si>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</si>
  <si>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</si>
  <si>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</si>
  <si>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</si>
  <si>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</si>
  <si>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</si>
  <si>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</si>
  <si>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</si>
  <si>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</si>
  <si>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</si>
  <si>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</si>
  <si>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</si>
  <si>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</si>
  <si>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</si>
  <si>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</si>
  <si>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</si>
  <si>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</si>
  <si>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</si>
  <si>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</si>
  <si>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</si>
  <si>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</si>
  <si>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</si>
  <si>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</si>
  <si>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</si>
  <si>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</si>
  <si>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</si>
  <si>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</si>
  <si>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</si>
  <si>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</si>
  <si>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</si>
  <si>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</si>
  <si>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</si>
  <si>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</si>
  <si>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</si>
  <si>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</si>
  <si>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</si>
  <si>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</si>
  <si>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</si>
  <si>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</si>
  <si>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</si>
  <si>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</si>
  <si>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</si>
  <si>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</si>
  <si>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</si>
  <si>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</si>
  <si>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</si>
  <si>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</si>
  <si>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</si>
  <si>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</si>
  <si>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</si>
  <si>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</si>
  <si>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</si>
  <si>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</si>
  <si>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</si>
  <si>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</si>
  <si>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</si>
  <si>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</si>
  <si>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</si>
  <si>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</si>
  <si>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</si>
  <si>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</si>
  <si>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</si>
  <si>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</si>
  <si>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</si>
  <si>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</si>
  <si>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</si>
  <si>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</si>
  <si>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</si>
  <si>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</si>
  <si>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</si>
  <si>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</si>
  <si>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</si>
  <si>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</si>
  <si>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</si>
  <si>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</si>
  <si>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</si>
  <si>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</si>
  <si>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</si>
  <si>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</si>
  <si>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</si>
  <si>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</si>
  <si>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</si>
  <si>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</si>
  <si>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</si>
  <si>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</si>
  <si>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</si>
  <si>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</si>
  <si>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</si>
  <si>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</si>
  <si>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</si>
  <si>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</si>
  <si>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</si>
  <si>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</si>
  <si>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</si>
  <si>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</si>
  <si>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</si>
  <si>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</si>
  <si>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</si>
  <si>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</si>
  <si>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</si>
  <si>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</si>
  <si>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</si>
  <si>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</si>
  <si>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</si>
  <si>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</si>
  <si>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</si>
  <si>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</si>
  <si>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</si>
  <si>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</si>
  <si>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539</t>
  </si>
  <si>
    <t>31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</si>
  <si>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</si>
  <si>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</si>
  <si>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</si>
  <si>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</si>
  <si>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</si>
  <si>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</si>
  <si>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</si>
  <si>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</si>
  <si>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</si>
  <si>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</si>
  <si>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</si>
  <si>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12</t>
  </si>
  <si>
    <t>30002790</t>
  </si>
  <si>
    <t>219750</t>
  </si>
  <si>
    <t>54540</t>
  </si>
  <si>
    <t xml:space="preserve">יתרות מזומנים ועו"ש נקובים במט"ח </t>
  </si>
  <si>
    <t xml:space="preserve">פח"ק/פר"י </t>
  </si>
  <si>
    <t>30173210</t>
  </si>
  <si>
    <t>30173211</t>
  </si>
  <si>
    <t>11</t>
  </si>
  <si>
    <t>30173212</t>
  </si>
  <si>
    <t>30173213</t>
  </si>
  <si>
    <t>13</t>
  </si>
  <si>
    <t>Aa3.il</t>
  </si>
  <si>
    <t>מידרוג</t>
  </si>
  <si>
    <t>30173217</t>
  </si>
  <si>
    <t>17</t>
  </si>
  <si>
    <t>30173220</t>
  </si>
  <si>
    <t>30173223</t>
  </si>
  <si>
    <t>23</t>
  </si>
  <si>
    <t>A1</t>
  </si>
  <si>
    <t>Moodys</t>
  </si>
  <si>
    <t>30173231</t>
  </si>
  <si>
    <t>ilAA+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</si>
  <si>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</si>
  <si>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</si>
  <si>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</si>
  <si>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</si>
  <si>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</si>
  <si>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</si>
  <si>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</si>
  <si>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</si>
  <si>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</si>
  <si>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</si>
  <si>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</si>
  <si>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</si>
  <si>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</si>
  <si>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</si>
  <si>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</si>
  <si>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נתיבי גז אגח ד - הוסחר 1131994</t>
  </si>
  <si>
    <t>1147503</t>
  </si>
  <si>
    <t>TASE</t>
  </si>
  <si>
    <t>513436394</t>
  </si>
  <si>
    <t>שרותים</t>
  </si>
  <si>
    <t>Aa1.il</t>
  </si>
  <si>
    <t>07/06/2018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</si>
  <si>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</si>
  <si>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</si>
  <si>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</si>
  <si>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</si>
  <si>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</si>
  <si>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</si>
  <si>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</si>
  <si>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</si>
  <si>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</si>
  <si>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</si>
  <si>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</si>
  <si>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</si>
  <si>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</si>
  <si>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</si>
  <si>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</si>
  <si>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</si>
  <si>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</si>
  <si>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</si>
  <si>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</si>
  <si>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</si>
  <si>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</si>
  <si>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</si>
  <si>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</si>
  <si>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</si>
  <si>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</si>
  <si>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</si>
  <si>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</si>
  <si>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</si>
  <si>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</si>
  <si>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</si>
  <si>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</si>
  <si>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</si>
  <si>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</si>
  <si>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</si>
  <si>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30/04/20</t>
  </si>
  <si>
    <t>878983808</t>
  </si>
  <si>
    <t>RF</t>
  </si>
  <si>
    <t>פנימי</t>
  </si>
  <si>
    <t>01/01/2008</t>
  </si>
  <si>
    <t>חשב כללי 5.95 31/05/20</t>
  </si>
  <si>
    <t>878984004</t>
  </si>
  <si>
    <t>חשב כללי 5.95 30/06/20</t>
  </si>
  <si>
    <t>878984103</t>
  </si>
  <si>
    <t>חשב כללי 5.95 31/07/20</t>
  </si>
  <si>
    <t>878984301</t>
  </si>
  <si>
    <t>חשב כללי 5.95 31/08/20</t>
  </si>
  <si>
    <t>878984509</t>
  </si>
  <si>
    <t>חשב כללי 5.95 30/09/20</t>
  </si>
  <si>
    <t>878984806</t>
  </si>
  <si>
    <t>חשב כללי 5.95 31/10/20</t>
  </si>
  <si>
    <t>878985100</t>
  </si>
  <si>
    <t>חשב כללי 5.95 30/11/20</t>
  </si>
  <si>
    <t>878985407</t>
  </si>
  <si>
    <t>חשב כללי 5.95 31/12/20</t>
  </si>
  <si>
    <t>878985704</t>
  </si>
  <si>
    <t>חשב כללי 5.95 30/01/21</t>
  </si>
  <si>
    <t>878986009</t>
  </si>
  <si>
    <t>חשב כללי 5.95 28/02/21</t>
  </si>
  <si>
    <t>878986306</t>
  </si>
  <si>
    <t>חשב כללי 5.95 31/03/21</t>
  </si>
  <si>
    <t>878986603</t>
  </si>
  <si>
    <t>חשב כללי 5.95 29/04/21</t>
  </si>
  <si>
    <t>878986900</t>
  </si>
  <si>
    <t>חשב כללי 5.95 31/05/21</t>
  </si>
  <si>
    <t>878987106</t>
  </si>
  <si>
    <t>חשב כללי 5.95 30/06/21</t>
  </si>
  <si>
    <t>878987205</t>
  </si>
  <si>
    <t>חשב כללי 5.95 31/08/21</t>
  </si>
  <si>
    <t>878987601</t>
  </si>
  <si>
    <t>חשב כללי 5.95 29/09/21</t>
  </si>
  <si>
    <t>878987809</t>
  </si>
  <si>
    <t>חשב כללי 5.95 31/10/21</t>
  </si>
  <si>
    <t>878988104</t>
  </si>
  <si>
    <t>חשב כללי 5.95 30/11/21</t>
  </si>
  <si>
    <t>878988401</t>
  </si>
  <si>
    <t>חשב כללי 5.95 31/12/21</t>
  </si>
  <si>
    <t>878988708</t>
  </si>
  <si>
    <t>חשב כללי 5.95 31/01/22</t>
  </si>
  <si>
    <t>878989003</t>
  </si>
  <si>
    <t>חשב כללי 5.95 28/02/22</t>
  </si>
  <si>
    <t>878989300</t>
  </si>
  <si>
    <t>חשב כללי 5.95 31/03/22</t>
  </si>
  <si>
    <t>878989607</t>
  </si>
  <si>
    <t>חשב כללי 5.95 31/05/22</t>
  </si>
  <si>
    <t>878990209</t>
  </si>
  <si>
    <t>חשב כללי 5.95 30/06/22</t>
  </si>
  <si>
    <t>878990407</t>
  </si>
  <si>
    <t>חשב כללי 5.95 31/07/22</t>
  </si>
  <si>
    <t>878990704</t>
  </si>
  <si>
    <t>חשב כללי 5.95 31/08/22</t>
  </si>
  <si>
    <t>878991009</t>
  </si>
  <si>
    <t>חשב כללי 5.95 29/09/22</t>
  </si>
  <si>
    <t>878991306</t>
  </si>
  <si>
    <t>חשב כללי 5.95 31/10/22</t>
  </si>
  <si>
    <t>878991603</t>
  </si>
  <si>
    <t>חשב כללי 5.95 30/11/22</t>
  </si>
  <si>
    <t>878991900</t>
  </si>
  <si>
    <t>חשב כללי 5.95 29/12/22</t>
  </si>
  <si>
    <t>878992205</t>
  </si>
  <si>
    <t>חשב כללי 5.95 31/01/23</t>
  </si>
  <si>
    <t>878992502</t>
  </si>
  <si>
    <t>חשב כללי 5.95 28/02/23</t>
  </si>
  <si>
    <t>878992809</t>
  </si>
  <si>
    <t>חשב כללי 5.95 31/03/23</t>
  </si>
  <si>
    <t>878993104</t>
  </si>
  <si>
    <t>חשב כללי 5.95 30/04/23</t>
  </si>
  <si>
    <t>878993401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</si>
  <si>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</si>
  <si>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</si>
  <si>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</si>
  <si>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</si>
  <si>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</si>
  <si>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</si>
  <si>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</si>
  <si>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</si>
  <si>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</si>
  <si>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</si>
  <si>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</si>
  <si>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</si>
  <si>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</si>
  <si>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</si>
  <si>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</si>
  <si>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</si>
  <si>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</si>
  <si>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</si>
  <si>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</si>
  <si>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</si>
  <si>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</si>
  <si>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</si>
  <si>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</si>
  <si>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</si>
  <si>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</si>
  <si>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</si>
  <si>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</si>
  <si>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</si>
  <si>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</si>
  <si>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</si>
  <si>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</si>
  <si>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</si>
  <si>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</si>
  <si>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</si>
  <si>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</si>
  <si>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</si>
  <si>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</si>
  <si>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</si>
  <si>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</si>
  <si>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</si>
  <si>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</si>
  <si>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</si>
  <si>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</si>
  <si>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</si>
  <si>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</si>
  <si>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</si>
  <si>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</si>
  <si>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</si>
  <si>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</si>
  <si>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</si>
  <si>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</si>
  <si>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</si>
  <si>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</si>
  <si>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</si>
  <si>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</si>
  <si>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</si>
  <si>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</si>
  <si>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</si>
  <si>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</si>
  <si>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</si>
  <si>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</si>
  <si>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</si>
  <si>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</si>
  <si>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</si>
  <si>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</si>
  <si>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</si>
  <si>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</si>
  <si>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</si>
  <si>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</si>
  <si>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</si>
  <si>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</si>
  <si>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</si>
  <si>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</si>
  <si>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</si>
  <si>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</si>
  <si>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</si>
  <si>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</si>
  <si>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</si>
  <si>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</si>
  <si>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</si>
  <si>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</si>
  <si>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</si>
  <si>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</si>
  <si>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</si>
  <si>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</si>
  <si>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</si>
  <si>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</si>
  <si>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</si>
  <si>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</si>
  <si>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</si>
  <si>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</si>
  <si>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</si>
  <si>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</si>
  <si>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</si>
  <si>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</si>
  <si>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</si>
  <si>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</si>
  <si>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</si>
  <si>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</si>
  <si>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</si>
  <si>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</si>
  <si>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</si>
  <si>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</si>
  <si>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</si>
  <si>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</si>
  <si>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</si>
  <si>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</si>
  <si>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</si>
  <si>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</si>
  <si>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</si>
  <si>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</si>
  <si>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</si>
  <si>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</si>
  <si>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</si>
  <si>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</si>
  <si>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</si>
  <si>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</si>
  <si>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</si>
  <si>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</si>
  <si>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</si>
  <si>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</si>
  <si>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</si>
  <si>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</si>
  <si>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</si>
  <si>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</si>
  <si>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</si>
  <si>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</si>
  <si>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</si>
  <si>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</si>
  <si>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</si>
  <si>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</si>
  <si>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</si>
  <si>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</si>
  <si>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</si>
  <si>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</si>
  <si>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</si>
  <si>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</si>
  <si>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</si>
  <si>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</si>
  <si>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</si>
  <si>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</si>
  <si>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</si>
  <si>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</si>
  <si>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</si>
  <si>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</si>
  <si>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</si>
  <si>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</si>
  <si>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</si>
  <si>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</si>
  <si>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</si>
  <si>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</si>
  <si>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</si>
  <si>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</si>
  <si>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</si>
  <si>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</si>
  <si>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</si>
  <si>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</si>
  <si>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</si>
  <si>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</si>
  <si>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</si>
  <si>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</si>
  <si>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</si>
  <si>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</si>
  <si>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</si>
  <si>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</si>
  <si>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</si>
  <si>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</si>
  <si>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</si>
  <si>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</si>
  <si>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</si>
  <si>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</si>
  <si>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</si>
  <si>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</si>
  <si>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</si>
  <si>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</si>
  <si>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</si>
  <si>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</si>
  <si>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</si>
  <si>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</si>
  <si>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</si>
  <si>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</si>
  <si>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</si>
  <si>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</si>
  <si>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</si>
  <si>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</si>
  <si>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</si>
  <si>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</si>
  <si>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</si>
  <si>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</si>
  <si>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</si>
  <si>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</si>
  <si>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</si>
  <si>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</si>
  <si>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</si>
  <si>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</si>
  <si>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</si>
  <si>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</si>
  <si>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</si>
  <si>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</si>
  <si>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</si>
  <si>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</si>
  <si>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</si>
  <si>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</si>
  <si>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</si>
  <si>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</si>
  <si>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</si>
  <si>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</si>
  <si>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</si>
  <si>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</si>
  <si>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</si>
  <si>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</si>
  <si>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</si>
  <si>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</si>
  <si>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</si>
  <si>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</si>
  <si>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</si>
  <si>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</si>
  <si>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</si>
  <si>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</si>
  <si>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</si>
  <si>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</si>
  <si>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</si>
  <si>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</si>
  <si>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</si>
  <si>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</si>
  <si>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</si>
  <si>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</si>
  <si>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</si>
  <si>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</si>
  <si>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</si>
  <si>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</si>
  <si>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</si>
  <si>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</si>
  <si>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</si>
  <si>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</si>
  <si>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</si>
  <si>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</si>
  <si>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</si>
  <si>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</si>
  <si>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</si>
  <si>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</si>
  <si>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</si>
  <si>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</si>
  <si>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</si>
  <si>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</si>
  <si>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</si>
  <si>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</si>
  <si>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</si>
  <si>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</si>
  <si>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</si>
  <si>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</si>
  <si>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</si>
  <si>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</si>
  <si>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</si>
  <si>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</si>
  <si>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</si>
  <si>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</si>
  <si>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</si>
  <si>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</si>
  <si>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</si>
  <si>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</si>
  <si>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</si>
  <si>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</si>
  <si>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</si>
  <si>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</si>
  <si>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</si>
  <si>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</si>
  <si>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</si>
  <si>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</si>
  <si>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</si>
  <si>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</si>
  <si>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</si>
  <si>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</si>
  <si>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</si>
  <si>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</si>
  <si>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</si>
  <si>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</si>
  <si>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</si>
  <si>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</si>
  <si>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</si>
  <si>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</si>
  <si>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</si>
  <si>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</si>
  <si>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</si>
  <si>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</si>
  <si>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</si>
  <si>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</si>
  <si>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</si>
  <si>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</si>
  <si>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</si>
  <si>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</si>
  <si>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</si>
  <si>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</si>
  <si>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</si>
  <si>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</si>
  <si>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</si>
  <si>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</si>
  <si>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</si>
  <si>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</si>
  <si>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</si>
  <si>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</si>
  <si>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</si>
  <si>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</si>
  <si>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</si>
  <si>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</si>
  <si>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</si>
  <si>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</si>
  <si>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</si>
  <si>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</si>
  <si>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</si>
  <si>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</si>
  <si>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</si>
  <si>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</si>
  <si>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</si>
  <si>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</si>
  <si>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</si>
  <si>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</si>
  <si>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</si>
  <si>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</si>
  <si>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</si>
  <si>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</si>
  <si>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</si>
  <si>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</si>
  <si>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</si>
  <si>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</si>
  <si>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</si>
  <si>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</si>
  <si>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</si>
  <si>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</si>
  <si>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</si>
  <si>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</si>
  <si>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</si>
  <si>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</si>
  <si>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</si>
  <si>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</si>
  <si>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</si>
  <si>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</si>
  <si>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</si>
  <si>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</si>
  <si>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</si>
  <si>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</si>
  <si>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</si>
  <si>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</si>
  <si>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</si>
  <si>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</si>
  <si>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</si>
  <si>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</si>
  <si>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</si>
  <si>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</si>
  <si>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</si>
  <si>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</si>
  <si>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</si>
  <si>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</si>
  <si>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</si>
  <si>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</si>
  <si>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</si>
  <si>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</si>
  <si>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</si>
  <si>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</si>
  <si>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</si>
  <si>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</si>
  <si>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</si>
  <si>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</si>
  <si>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</si>
  <si>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</si>
  <si>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</si>
  <si>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</si>
  <si>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</si>
  <si>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</si>
  <si>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</si>
  <si>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</si>
  <si>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</si>
  <si>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</si>
  <si>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</si>
  <si>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</si>
  <si>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</si>
  <si>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</si>
  <si>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</si>
  <si>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</si>
  <si>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</si>
  <si>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</si>
  <si>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</si>
  <si>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</si>
  <si>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</si>
  <si>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</si>
  <si>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</si>
  <si>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</si>
  <si>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</si>
  <si>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</si>
  <si>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</si>
  <si>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</si>
  <si>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</si>
  <si>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</si>
  <si>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</si>
  <si>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</si>
  <si>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A1.il</t>
  </si>
  <si>
    <t>02/04/2014</t>
  </si>
  <si>
    <t>ש"ה לאומי 25.1.2002</t>
  </si>
  <si>
    <t>864013800</t>
  </si>
  <si>
    <t>520018078</t>
  </si>
  <si>
    <t>ש"ה דיסקונט 24.03.2011</t>
  </si>
  <si>
    <t>999999762</t>
  </si>
  <si>
    <t>520007030</t>
  </si>
  <si>
    <t>03/03/2011</t>
  </si>
  <si>
    <t>וי.אי.די התפלת מי אשקלון מאוחד 07/06 נשר</t>
  </si>
  <si>
    <t>1097997</t>
  </si>
  <si>
    <t>513365098</t>
  </si>
  <si>
    <t>ilAA-</t>
  </si>
  <si>
    <t>06/07/2006</t>
  </si>
  <si>
    <t>אס.פי.סי.אל-עד אגח 2 רצף מוסדי</t>
  </si>
  <si>
    <t>1092774</t>
  </si>
  <si>
    <t>1229</t>
  </si>
  <si>
    <t>ilA-</t>
  </si>
  <si>
    <t>03/04/2005</t>
  </si>
  <si>
    <t>מנורה מבטחים אגח ב רצף מוסדי</t>
  </si>
  <si>
    <t>5660055</t>
  </si>
  <si>
    <t>520007469</t>
  </si>
  <si>
    <t>Aa2.il</t>
  </si>
  <si>
    <t>01/07/2010</t>
  </si>
  <si>
    <t>מימון ישיר אגח 6 רצף מוסדי</t>
  </si>
  <si>
    <t>1145606</t>
  </si>
  <si>
    <t>515697696</t>
  </si>
  <si>
    <t>09/05/2018</t>
  </si>
  <si>
    <t>חשמל צמוד 2029 רצף מוסדי בר א</t>
  </si>
  <si>
    <t>60001861</t>
  </si>
  <si>
    <t>520000472</t>
  </si>
  <si>
    <t> אנרגיה</t>
  </si>
  <si>
    <t>06/12/2018</t>
  </si>
  <si>
    <t>מקורות אגח 8 רצף מוסדי פרמיה</t>
  </si>
  <si>
    <t>11243460</t>
  </si>
  <si>
    <t>520010869</t>
  </si>
  <si>
    <t> שירותים</t>
  </si>
  <si>
    <t>24/12/2018</t>
  </si>
  <si>
    <t>11243461</t>
  </si>
  <si>
    <t>11/01/2019</t>
  </si>
  <si>
    <t>11243462</t>
  </si>
  <si>
    <t>22/01/2019</t>
  </si>
  <si>
    <t>60001862</t>
  </si>
  <si>
    <t>06/02/2019</t>
  </si>
  <si>
    <t>11243463</t>
  </si>
  <si>
    <t>14/04/2019</t>
  </si>
  <si>
    <t>11243464</t>
  </si>
  <si>
    <t>28/05/2019</t>
  </si>
  <si>
    <t>בזק אגח 12 רצף מוסדי</t>
  </si>
  <si>
    <t>2300200</t>
  </si>
  <si>
    <t>520031931</t>
  </si>
  <si>
    <t>14/11/2019</t>
  </si>
  <si>
    <t>23002000</t>
  </si>
  <si>
    <t>16/02/2020</t>
  </si>
  <si>
    <t>אילת אחג א נשר</t>
  </si>
  <si>
    <t>1099449</t>
  </si>
  <si>
    <t>513867192</t>
  </si>
  <si>
    <t>07/09/2006</t>
  </si>
  <si>
    <t>אס.פי.סי.אל-עד אגח 1 רצף מוסדי</t>
  </si>
  <si>
    <t>1092162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</si>
  <si>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</si>
  <si>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</si>
  <si>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</si>
  <si>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</si>
  <si>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</si>
  <si>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</si>
  <si>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</si>
  <si>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</si>
  <si>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</si>
  <si>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</si>
  <si>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</si>
  <si>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</si>
  <si>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</si>
  <si>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</si>
  <si>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</si>
  <si>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</si>
  <si>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</si>
  <si>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</si>
  <si>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</si>
  <si>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</si>
  <si>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</si>
  <si>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</si>
  <si>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 מדורג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</si>
  <si>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</si>
  <si>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</si>
  <si>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</si>
  <si>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</si>
  <si>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</si>
  <si>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</si>
  <si>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</si>
  <si>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</si>
  <si>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</si>
  <si>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</si>
  <si>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</si>
  <si>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</si>
  <si>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</si>
  <si>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</si>
  <si>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</si>
  <si>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</si>
  <si>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הלוואה לגורם 166</t>
  </si>
  <si>
    <t>כן</t>
  </si>
  <si>
    <t>2080421</t>
  </si>
  <si>
    <t>514460393</t>
  </si>
  <si>
    <t>02/02/2020</t>
  </si>
  <si>
    <t>הלוואה לגורם 54</t>
  </si>
  <si>
    <t>2070153</t>
  </si>
  <si>
    <t>513184192</t>
  </si>
  <si>
    <t>17/09/2015</t>
  </si>
  <si>
    <t>הלוואה לגורם 93</t>
  </si>
  <si>
    <t>2070295</t>
  </si>
  <si>
    <t>510791270</t>
  </si>
  <si>
    <t>BBB+</t>
  </si>
  <si>
    <t>04/09/2017</t>
  </si>
  <si>
    <t>הלוואה לגורם 94</t>
  </si>
  <si>
    <t>2070296</t>
  </si>
  <si>
    <t>550225650</t>
  </si>
  <si>
    <t>A</t>
  </si>
  <si>
    <t>הלוואה לגורם 162</t>
  </si>
  <si>
    <t>2080451</t>
  </si>
  <si>
    <t>513893123</t>
  </si>
  <si>
    <t>29/05/2019</t>
  </si>
  <si>
    <t>הלוואה לגורם 41</t>
  </si>
  <si>
    <t>20803950</t>
  </si>
  <si>
    <t>512542721</t>
  </si>
  <si>
    <t>29/07/2019</t>
  </si>
  <si>
    <t>הלוואה לגורם 165</t>
  </si>
  <si>
    <t>20702019</t>
  </si>
  <si>
    <t>511774150</t>
  </si>
  <si>
    <t>A-</t>
  </si>
  <si>
    <t>26/12/2019</t>
  </si>
  <si>
    <t>20702022</t>
  </si>
  <si>
    <t>01/01/2020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</si>
  <si>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</si>
  <si>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</si>
  <si>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</si>
  <si>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</si>
  <si>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</si>
  <si>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</si>
  <si>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</si>
  <si>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</si>
  <si>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</si>
  <si>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</si>
  <si>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</si>
  <si>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</si>
  <si>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</si>
  <si>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</si>
  <si>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</si>
  <si>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</si>
  <si>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</si>
  <si>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</si>
  <si>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</si>
  <si>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</si>
  <si>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1.94% 15/08/32</t>
  </si>
  <si>
    <t>208013479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</si>
  <si>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</si>
  <si>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</si>
  <si>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</si>
  <si>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</si>
  <si>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</si>
  <si>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</si>
  <si>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</si>
  <si>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</si>
  <si>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</si>
  <si>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</si>
  <si>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</si>
  <si>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</si>
  <si>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</si>
  <si>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</si>
  <si>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סקורפיו א לאחר הסדר חוב - חש</t>
  </si>
  <si>
    <t>11133988</t>
  </si>
  <si>
    <t>חייבים זכאים תפעולי</t>
  </si>
  <si>
    <t>60101335</t>
  </si>
  <si>
    <t>שקל  ניהול ידני הפועלים בנק הפועלים בע"מ</t>
  </si>
  <si>
    <t>שקל  הפועלים בנק הפועלים בע"מ</t>
  </si>
  <si>
    <t>שקל  פועלים סהר בנק הפועלים בע"מ</t>
  </si>
  <si>
    <t>שקל  פועלים סהר עדכון ידני בנק הפועלים בע"מ</t>
  </si>
  <si>
    <t>שקל  לאומי בנק לאומי לישראל בע"מ</t>
  </si>
  <si>
    <t>שקל  מזרחי בנק מזרחי טפחות בע"מ</t>
  </si>
  <si>
    <t>פרי  HSBC  פועלים סהר HSBC</t>
  </si>
  <si>
    <t>פרי איגוד  פועלים סהר בנק אגוד לישראל בע"מ</t>
  </si>
  <si>
    <t>פרי דיסקונט   פועלים סהר בנק דיסקונט לישראל בע"מ</t>
  </si>
  <si>
    <t>פרי פועלים  פועלים סהר בנק הפועלים בע"מ</t>
  </si>
  <si>
    <t>פרי לאומי   פועלים סהר בנק לאומי לישראל בע"מ</t>
  </si>
  <si>
    <t>פרי מזרחי   פועלים סהר בנק מזרחי טפחות בע"מ</t>
  </si>
  <si>
    <t>פרי מרכנטיל  פועלים סהר בנק מרכנתיל דיסקונט בע"מ</t>
  </si>
  <si>
    <t>פרי בינלאומי  פועלים סהר הבנק הבינלאומי הראשון לישראל בע"מ</t>
  </si>
  <si>
    <t>*בעל עניין/צד קשור</t>
  </si>
  <si>
    <t>סה"כ יתרות התחייבות להשקעה</t>
  </si>
  <si>
    <t>מסגרת גזית 1</t>
  </si>
  <si>
    <t>2021</t>
  </si>
  <si>
    <t>מסגרת גזית 2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</si>
  <si>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</si>
  <si>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</si>
  <si>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</si>
  <si>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</si>
  <si>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</si>
  <si>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</si>
  <si>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יין יפני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</si>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</sst>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5">
    <xf numFmtId="0" fontId="0" fillId="0" borderId="0" xfId="0"/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1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31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165" fontId="5" fillId="4" borderId="20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0" xfId="2" quotePrefix="1" applyNumberFormat="1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5856D-5D1D-4C29-89F8-7A1086843DC6}" name="טבלה1" displayName="טבלה1" ref="A6:C42" totalsRowShown="0" headerRowBorderDxfId="582" tableBorderDxfId="583">
  <autoFilter ref="A6:C42" xr:uid="{B02B4B26-F7ED-45EE-8F44-F2AA7CA2361F}">
    <filterColumn colId="0" hiddenButton="1"/>
    <filterColumn colId="1" hiddenButton="1"/>
    <filterColumn colId="2" hiddenButton="1"/>
  </autoFilter>
  <tableColumns count="3">
    <tableColumn id="1" xr3:uid="{48678CB1-E6D2-4AF0-9FCB-90F66A1A7957}" name="עמודה ריקה" dataDxfId="581" dataCellStyle="היפר-קישור"/>
    <tableColumn id="2" xr3:uid="{AF4DD106-BB16-4A87-AC67-2D4CA82E6F75}" name="שווי הוגן" dataDxfId="580" dataCellStyle="Comma"/>
    <tableColumn id="3" xr3:uid="{8EA18C8E-FD51-4869-BE30-3B31B86B90D8}" name="שיעור מנכסי השקעה" dataDxfId="57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95DB47-A5D8-41F7-8B1D-71E13B7D841E}" name="טבלה2" displayName="טבלה2" ref="B44:C68" totalsRowShown="0" headerRowDxfId="573" headerRowBorderDxfId="577" tableBorderDxfId="578" totalsRowBorderDxfId="576">
  <autoFilter ref="B44:C68" xr:uid="{EAB5F5C3-D71F-4871-8A08-FB4D9740A5CB}">
    <filterColumn colId="0" hiddenButton="1"/>
    <filterColumn colId="1" hiddenButton="1"/>
  </autoFilter>
  <tableColumns count="2">
    <tableColumn id="1" xr3:uid="{E212705C-D2AA-44C3-AA6A-E6E33058AD1B}" name="שם המטבע" dataDxfId="575"/>
    <tableColumn id="2" xr3:uid="{7A6AA7A5-3847-455A-8A57-1AB7B927FF17}" name="שע&quot;ח" dataDxfId="57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EAE314-B600-4FDC-90AF-B7CCCDFF0A96}" name="טבלה3" displayName="טבלה3" ref="A6:K34" totalsRowShown="0" headerRowDxfId="559" headerRowBorderDxfId="571" tableBorderDxfId="572" headerRowCellStyle="Percent">
  <autoFilter ref="A6:K34" xr:uid="{D70E8D77-E948-443F-B295-CDACC50C25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0FB4FB4-2FAE-4095-9B1B-29491A471685}" name="שם המנפיק/שם נייר ערך" dataDxfId="570"/>
    <tableColumn id="2" xr3:uid="{452D18B7-5BD1-4A45-AEF8-E58D6E18FCCF}" name="מספר נ&quot;ע" dataDxfId="569" dataCellStyle="Percent"/>
    <tableColumn id="3" xr3:uid="{0F1B21B5-94AF-467B-BBE2-4DDAB2AB12D8}" name="מספר מנפיק" dataDxfId="568" dataCellStyle="Percent"/>
    <tableColumn id="4" xr3:uid="{956ACE2E-9920-4F24-826D-87BDEA4E8DF9}" name="דירוג" dataDxfId="567" dataCellStyle="Percent"/>
    <tableColumn id="5" xr3:uid="{8D50DFC5-0364-4F03-A216-A376E9A737AB}" name="שם מדרג" dataDxfId="566" dataCellStyle="Percent"/>
    <tableColumn id="6" xr3:uid="{8B853D2C-EDE4-4283-8555-F92BC9426A98}" name="סוג מטבע" dataDxfId="565" dataCellStyle="Percent"/>
    <tableColumn id="7" xr3:uid="{E36FDCE8-9C0A-4104-9C1F-51F1A05AAC1F}" name="שעור ריבית" dataDxfId="564" dataCellStyle="Percent"/>
    <tableColumn id="8" xr3:uid="{A6649966-B0D8-4C6A-B930-1E7278AD7823}" name="תשואה לפדיון" dataDxfId="563" dataCellStyle="Percent"/>
    <tableColumn id="9" xr3:uid="{04BB6E9B-C69C-4DB8-9ED7-C930C8937D5B}" name="שווי שוק" dataDxfId="562" dataCellStyle="Comma"/>
    <tableColumn id="10" xr3:uid="{473FAA7A-DA83-41C6-8DAF-2ECEAD651B40}" name="שעור מנכסי אפיק ההשקעה" dataDxfId="561" dataCellStyle="Percent"/>
    <tableColumn id="11" xr3:uid="{98001133-1A7E-4140-9BEA-5A551CC5702B}" name="שעור מנכסי השקעה" dataDxfId="56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FB7574-22BD-471F-B57C-4B56347C13FA}" name="טבלה4" displayName="טבלה4" ref="A7:Q20" totalsRowShown="0" headerRowDxfId="539" headerRowBorderDxfId="557" tableBorderDxfId="558" headerRowCellStyle="Percent">
  <autoFilter ref="A7:Q20" xr:uid="{C63F3F49-910D-47F1-85B8-505C071E68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AB9F20B0-3FDF-4CA7-903C-12195188ED17}" name="שם המנפיק/שם נייר ערך" dataDxfId="556"/>
    <tableColumn id="2" xr3:uid="{DF251265-1F3A-4EAC-9019-31C10CAFC915}" name="מספר נ&quot;ע" dataDxfId="555" dataCellStyle="Percent"/>
    <tableColumn id="3" xr3:uid="{A26E5A9C-4999-4F80-805A-148DE233E121}" name="זירת מסחר" dataDxfId="554" dataCellStyle="Percent"/>
    <tableColumn id="4" xr3:uid="{40F2BC5F-6295-4D1A-80A9-685DE78242BC}" name="דירוג" dataDxfId="553" dataCellStyle="Percent"/>
    <tableColumn id="5" xr3:uid="{9472D137-B90A-43B1-AA1B-63CCC7EE5FBB}" name="שם מדרג" dataDxfId="552" dataCellStyle="Percent"/>
    <tableColumn id="6" xr3:uid="{C0E62536-E3E1-4B91-8BD3-E41ADF9D36BB}" name="תאריך רכישה" dataDxfId="551" dataCellStyle="Percent"/>
    <tableColumn id="7" xr3:uid="{D7118DB1-BDBD-4710-907F-D2446F4ADFDD}" name="מח&quot;מ" dataDxfId="550" dataCellStyle="Percent"/>
    <tableColumn id="8" xr3:uid="{0AE35143-A7A1-4366-A3DF-8FF0BEF81C2C}" name="סוג מטבע" dataDxfId="549" dataCellStyle="Percent"/>
    <tableColumn id="9" xr3:uid="{CEFC83FF-3DFE-4EC9-BBCE-76EDEF3202A2}" name="שעור ריבית" dataDxfId="548" dataCellStyle="Percent"/>
    <tableColumn id="10" xr3:uid="{337B61B1-C0E8-4392-891E-1A9F4C98D58A}" name="תשואה לפדיון" dataDxfId="547" dataCellStyle="Percent"/>
    <tableColumn id="11" xr3:uid="{50C3B3AD-5087-4840-B6A6-F966622EF1DF}" name="ערך נקוב" dataDxfId="546" dataCellStyle="Percent"/>
    <tableColumn id="12" xr3:uid="{AE428B2D-30ED-4B02-A083-9DF6D663A784}" name="שער" dataDxfId="545" dataCellStyle="Percent"/>
    <tableColumn id="13" xr3:uid="{623AF994-BDC9-4160-9D4B-42686F378FE2}" name="פדיון/ריבית לקבל" dataDxfId="544" dataCellStyle="Percent"/>
    <tableColumn id="14" xr3:uid="{08BF9297-5E81-4676-9257-402A198CED7A}" name="שווי שוק" dataDxfId="543" dataCellStyle="Comma"/>
    <tableColumn id="15" xr3:uid="{A5E04599-4AD3-4567-97A0-4C6B73646EC8}" name="שעור מערך נקוב מונפק" dataDxfId="542" dataCellStyle="Percent"/>
    <tableColumn id="16" xr3:uid="{D4B13076-072F-47AD-BB01-153CA744C4BF}" name="שעור מנכסי אפיק ההשקעה" dataDxfId="541" dataCellStyle="Percent"/>
    <tableColumn id="17" xr3:uid="{99B8E169-DA38-4B1D-A1FF-215F6BD111E2}" name="שעור מנכסי השקעה" dataDxfId="54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5DBDD0-2435-43B8-AA66-1B0C521AF49E}" name="טבלה5" displayName="טבלה5" ref="A7:T17" totalsRowShown="0" headerRowDxfId="516" headerRowBorderDxfId="537" tableBorderDxfId="538" headerRowCellStyle="Percent">
  <autoFilter ref="A7:T17" xr:uid="{6E18185E-7E34-450B-B4CA-54356EAB64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A1F0D9D-FC86-4635-90E7-311D027FC4A6}" name="שם המנפיק/שם נייר ערך" dataDxfId="536"/>
    <tableColumn id="2" xr3:uid="{2103BB63-E291-48E7-B3E4-3D8E94DD89EA}" name="מספר נ&quot;ע" dataDxfId="535" dataCellStyle="Percent"/>
    <tableColumn id="3" xr3:uid="{467B9EA5-D24D-4E5F-8E2F-D03C06598BBD}" name="זירת מסחר" dataDxfId="534" dataCellStyle="Percent"/>
    <tableColumn id="4" xr3:uid="{B5E88768-3934-4F3C-B7FA-27A44EA06438}" name="ספק מידע" dataDxfId="533" dataCellStyle="Percent"/>
    <tableColumn id="5" xr3:uid="{B10BB710-8765-489D-81C8-AAFD58E11A9F}" name="מספר מנפיק" dataDxfId="532" dataCellStyle="Percent"/>
    <tableColumn id="6" xr3:uid="{6C1D6B71-2A63-424B-A940-14E50950006B}" name="ענף מסחר" dataDxfId="531" dataCellStyle="Percent"/>
    <tableColumn id="7" xr3:uid="{25E08466-B148-49A8-921D-6BB2074D6EF5}" name="דירוג" dataDxfId="530" dataCellStyle="Percent"/>
    <tableColumn id="8" xr3:uid="{50B61C36-CE92-4841-ACB5-95E8AABE07B7}" name="שם מדרג" dataDxfId="529" dataCellStyle="Percent"/>
    <tableColumn id="9" xr3:uid="{12B86017-19DD-4D57-983D-0F64C8BA718F}" name="תאריך רכישה" dataDxfId="528" dataCellStyle="Percent"/>
    <tableColumn id="10" xr3:uid="{5099FC92-7990-4FD5-BB75-E1015BE21803}" name="מח&quot;מ" dataDxfId="527" dataCellStyle="Percent"/>
    <tableColumn id="11" xr3:uid="{E0D3BC25-BDCB-4247-827E-65CA928D9C76}" name="סוג מטבע" dataDxfId="526" dataCellStyle="Percent"/>
    <tableColumn id="12" xr3:uid="{7400444B-19C5-4175-9C6B-EFF60B441FF9}" name="שעור ריבית" dataDxfId="525" dataCellStyle="Percent"/>
    <tableColumn id="13" xr3:uid="{6FA90560-1BDD-4157-9606-3B309EAA86B3}" name="תשואה לפדיון" dataDxfId="524" dataCellStyle="Percent"/>
    <tableColumn id="14" xr3:uid="{B601D213-A1E3-4F69-A59B-94CFD6300DE2}" name="ערך נקוב" dataDxfId="523" dataCellStyle="Percent"/>
    <tableColumn id="15" xr3:uid="{AC00DBC3-2965-451B-9C06-AEA9C576A53F}" name="שער" dataDxfId="522" dataCellStyle="Percent"/>
    <tableColumn id="16" xr3:uid="{73825292-249C-42B9-8D0E-B7482E24CE53}" name="פדיון/ריבית לקבל" dataDxfId="521" dataCellStyle="Percent"/>
    <tableColumn id="17" xr3:uid="{2758893C-A5F4-440E-A2EC-21D8404691D9}" name="שווי שוק" dataDxfId="520" dataCellStyle="Comma"/>
    <tableColumn id="18" xr3:uid="{2D597E1F-8CFF-4CD5-BEF0-91B6ABE23D23}" name="שעור מערך נקוב מונפק" dataDxfId="519" dataCellStyle="Percent"/>
    <tableColumn id="19" xr3:uid="{55CAE9E1-73C1-4040-A398-93796E2C53B8}" name="שעור מנכסי אפיק ההשקעה" dataDxfId="518" dataCellStyle="Percent"/>
    <tableColumn id="20" xr3:uid="{D86DEE72-8A5A-470C-BF42-BCCB8DDC46D7}" name="שעור מנכסי השקעה" dataDxfId="51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96D070-4BCD-405F-9BC8-CBA91D469537}" name="טבלה6" displayName="טבלה6" ref="A7:T19" totalsRowShown="0" headerRowDxfId="492" dataDxfId="493" headerRowBorderDxfId="514" tableBorderDxfId="515" headerRowCellStyle="Percent" dataCellStyle="Percent">
  <autoFilter ref="A7:T19" xr:uid="{655A1307-B17D-4726-A824-882C16FD95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61D9A01-C625-45F7-B82E-0D9BA63D4602}" name="שם המנפיק/שם נייר ערך" dataDxfId="513"/>
    <tableColumn id="2" xr3:uid="{35879D83-8FE0-4D91-A30E-EB0E4861099F}" name="מספר נ&quot;ע" dataDxfId="512" dataCellStyle="Percent"/>
    <tableColumn id="3" xr3:uid="{3171436E-0AA7-403A-AB65-0A8E9AD54FDB}" name="זירת מסחר" dataDxfId="511" dataCellStyle="Percent"/>
    <tableColumn id="4" xr3:uid="{1CDD790F-CFD2-432A-B269-38BB8DA53F30}" name="ספק מידע" dataDxfId="510" dataCellStyle="Percent"/>
    <tableColumn id="5" xr3:uid="{108C5A7A-77CA-4601-AEDA-3C291EB956BF}" name="מספר מנפיק" dataDxfId="509" dataCellStyle="Percent"/>
    <tableColumn id="6" xr3:uid="{A973AA2B-6FB6-45E3-AD78-B503CD0171FC}" name="ענף מסחר" dataDxfId="508" dataCellStyle="Percent"/>
    <tableColumn id="7" xr3:uid="{8A9FCAD3-D657-4827-B098-4434791190D0}" name="דירוג" dataDxfId="507" dataCellStyle="Percent"/>
    <tableColumn id="8" xr3:uid="{B9A0B40E-82A7-49F3-A76F-51576D6B37C7}" name="שם מדרג" dataDxfId="506" dataCellStyle="Percent"/>
    <tableColumn id="9" xr3:uid="{E94D0903-494B-432E-8FCD-C3B8EA40950F}" name="תאריך רכישה" dataDxfId="505" dataCellStyle="Percent"/>
    <tableColumn id="10" xr3:uid="{92A3EC28-8E79-4FF4-9A49-5B1050780BD6}" name="מח&quot;מ" dataDxfId="504" dataCellStyle="Percent"/>
    <tableColumn id="11" xr3:uid="{60A9076E-E8D6-42F7-AF85-455F152C42D5}" name="סוג מטבע" dataDxfId="503" dataCellStyle="Percent"/>
    <tableColumn id="12" xr3:uid="{0D9DBEA9-1A27-40D9-BDFE-6717A66D9705}" name="שעור ריבית" dataDxfId="502" dataCellStyle="Percent"/>
    <tableColumn id="13" xr3:uid="{0E724EB2-8280-4C3B-B375-C99B1E66CE15}" name="תשואה לפדיון" dataDxfId="501" dataCellStyle="Percent"/>
    <tableColumn id="14" xr3:uid="{0D069EE7-3099-46E2-A947-5B004EA3FDB5}" name="ערך נקוב" dataDxfId="500" dataCellStyle="Percent"/>
    <tableColumn id="15" xr3:uid="{C205284C-3061-4B8A-B9E8-126B5484435D}" name="שער" dataDxfId="499" dataCellStyle="Percent"/>
    <tableColumn id="16" xr3:uid="{003D476D-BD1E-4351-B9F7-9EC96B564503}" name="פדיון/ריבית לקבל" dataDxfId="498" dataCellStyle="Comma"/>
    <tableColumn id="17" xr3:uid="{5660601C-F488-4194-971F-DF2130928AD8}" name="שווי שוק" dataDxfId="497" dataCellStyle="Comma"/>
    <tableColumn id="18" xr3:uid="{0AF90036-7430-4B20-BFD9-CEBEBA47B170}" name="שעור מערך נקוב מונפק" dataDxfId="496" dataCellStyle="Percent"/>
    <tableColumn id="19" xr3:uid="{1CC0B486-255F-452D-880F-E6D61D2F4BC1}" name="שעור מנכסי אפיק ההשקעה" dataDxfId="495" dataCellStyle="Percent"/>
    <tableColumn id="20" xr3:uid="{F59C6BBD-8561-4FA2-9B8A-6F77DD117DD8}" name="שעור מנכסי השקעה" dataDxfId="49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E15FAE-9997-4162-A93A-853B7C86C37F}" name="טבלה7" displayName="טבלה7" ref="A7:N20" totalsRowShown="0" headerRowDxfId="474" dataDxfId="475" headerRowBorderDxfId="490" tableBorderDxfId="491" headerRowCellStyle="Percent" dataCellStyle="Percent">
  <autoFilter ref="A7:N20" xr:uid="{0B46D6C6-EEB8-431F-AE14-71A2E1A492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5EDA471-D8A5-4D0F-8E4B-B8CA1965952E}" name="שם המנפיק/שם נייר ערך" dataDxfId="489"/>
    <tableColumn id="2" xr3:uid="{5AD21DAE-5FCB-47C1-A539-B5C805B5F220}" name="מספר נ&quot;ע" dataDxfId="488" dataCellStyle="Percent"/>
    <tableColumn id="3" xr3:uid="{C38DC1D3-40C5-42E3-85E4-DE0F8A73CAA8}" name="זירת מסחר" dataDxfId="487" dataCellStyle="Percent"/>
    <tableColumn id="4" xr3:uid="{3E21A6C9-1B32-4B42-B6A1-08C86F30C26E}" name="ספק מידע" dataDxfId="486" dataCellStyle="Percent"/>
    <tableColumn id="5" xr3:uid="{E79B0B5D-BB8F-49A3-B29F-3BD114A8F15C}" name="מספר מנפיק" dataDxfId="485" dataCellStyle="Percent"/>
    <tableColumn id="6" xr3:uid="{03213844-2FED-430E-B7BA-23FE59CF690D}" name="ענף מסחר" dataDxfId="484" dataCellStyle="Percent"/>
    <tableColumn id="7" xr3:uid="{61C57490-614A-4543-B420-25F5B5297F0D}" name="סוג מטבע" dataDxfId="483" dataCellStyle="Percent"/>
    <tableColumn id="8" xr3:uid="{3095BAEB-B75E-4C41-93BF-3DA77C6F59B8}" name="ערך נקוב" dataDxfId="482" dataCellStyle="Percent"/>
    <tableColumn id="9" xr3:uid="{C0006080-7D58-47AE-9389-6E403222CD84}" name="שער" dataDxfId="481" dataCellStyle="Percent"/>
    <tableColumn id="10" xr3:uid="{1DE249C8-C5E0-4B3A-9454-AA22CA90D117}" name="פדיון/ריבית לקבל" dataDxfId="480" dataCellStyle="Percent"/>
    <tableColumn id="11" xr3:uid="{D5FC1FCA-9928-4AA3-9C1E-2641E64D38E2}" name="שווי שוק" dataDxfId="479" dataCellStyle="Comma"/>
    <tableColumn id="12" xr3:uid="{88491EAF-99F2-4AC2-AF5A-1E6FDE144730}" name="שעור מערך נקוב מונפק" dataDxfId="478" dataCellStyle="Percent"/>
    <tableColumn id="13" xr3:uid="{1441A2FA-C075-4CD4-9C7A-DE3D7CC9BB65}" name="שעור מנכסי אפיק ההשקעה" dataDxfId="477" dataCellStyle="Percent"/>
    <tableColumn id="14" xr3:uid="{0AD71C19-FF1C-46FF-A160-CB6579DE3B3C}" name="שעור מנכסי השקעה" dataDxfId="47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77E328-D9F3-431A-BBC3-4ED672F292D4}" name="טבלה8" displayName="טבלה8" ref="A7:M22" totalsRowShown="0" headerRowDxfId="458" headerRowBorderDxfId="472" tableBorderDxfId="473" headerRowCellStyle="Percent">
  <autoFilter ref="A7:M22" xr:uid="{5F8CED3E-9F65-4EBF-9065-ADF38A52BD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7B387B3-0392-43D6-98FF-623CC51022FF}" name="שם המנפיק/שם נייר ערך" dataDxfId="471"/>
    <tableColumn id="2" xr3:uid="{CCFF988B-8691-4306-B7AE-0AE191A774AE}" name="מספר נ&quot;ע" dataDxfId="470" dataCellStyle="Percent"/>
    <tableColumn id="3" xr3:uid="{5F0A7DD4-C8AF-487E-9F3C-EA60B67030BF}" name="זירת מסחר" dataDxfId="469" dataCellStyle="Percent"/>
    <tableColumn id="4" xr3:uid="{3BB1CDA9-3906-4649-9E61-5E083541A244}" name="מספר מנפיק" dataDxfId="468" dataCellStyle="Percent"/>
    <tableColumn id="5" xr3:uid="{42CE3BFC-BDD5-4D2D-A9E8-32EA12361CC3}" name="ענף מסחר" dataDxfId="467" dataCellStyle="Percent"/>
    <tableColumn id="6" xr3:uid="{5BC95532-34C7-4338-A7EB-AFFF3896C391}" name="סוג מטבע" dataDxfId="466" dataCellStyle="Percent"/>
    <tableColumn id="7" xr3:uid="{38AB109F-BE74-4E17-A920-6E4C32C3876B}" name="ערך נקוב" dataDxfId="465" dataCellStyle="Percent"/>
    <tableColumn id="8" xr3:uid="{2BB77A3C-E327-4607-A033-4F4BDD68F39D}" name="שער" dataDxfId="464" dataCellStyle="Percent"/>
    <tableColumn id="9" xr3:uid="{5260B856-6C0B-431B-B7DF-31F2A443E39D}" name="פדיון/ריבית לקבל" dataDxfId="463" dataCellStyle="Comma"/>
    <tableColumn id="10" xr3:uid="{B34E6701-B5E0-4428-AFE0-F2A326FFD26D}" name="שווי שוק" dataDxfId="462" dataCellStyle="Comma"/>
    <tableColumn id="11" xr3:uid="{ACB47343-8145-4AE1-AFB1-BE49418AB1A6}" name="שעור מערך נקוב מונפק" dataDxfId="461" dataCellStyle="Percent"/>
    <tableColumn id="12" xr3:uid="{F1DD726A-34BB-41FB-AB2D-75069F6E6AC6}" name="שעור מנכסי אפיק ההשקעה" dataDxfId="460" dataCellStyle="Percent"/>
    <tableColumn id="13" xr3:uid="{21F9B62E-2DE4-4D54-85B8-194D96938DE6}" name="שעור מנכסי השקעה" dataDxfId="45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FFD426-3210-4E9F-95E0-A6E1B4360B5A}" name="טבלה9" displayName="טבלה9" ref="A7:N20" totalsRowShown="0" headerRowDxfId="440" dataDxfId="441" headerRowBorderDxfId="456" tableBorderDxfId="457" headerRowCellStyle="Percent" dataCellStyle="Percent">
  <autoFilter ref="A7:N20" xr:uid="{9C2A4D2D-097A-4C11-A93B-BAF524DFF8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6B45B08-65E5-4AB2-AF4D-83819335357C}" name="שם המנפיק/שם נייר ערך" dataDxfId="455"/>
    <tableColumn id="2" xr3:uid="{63A61AE4-AACC-421A-ABF8-AFECEDD53476}" name="מספר נ&quot;ע" dataDxfId="454" dataCellStyle="Percent"/>
    <tableColumn id="3" xr3:uid="{B151563B-16E8-4613-B9AD-DC478F169DF1}" name="זירת מסחר" dataDxfId="453" dataCellStyle="Percent"/>
    <tableColumn id="4" xr3:uid="{870BEEF4-E8C0-4056-B386-390108762A40}" name="מספר מנפיק" dataDxfId="452" dataCellStyle="Percent"/>
    <tableColumn id="5" xr3:uid="{A522DE2B-3707-4AEC-BB49-0E75E8AAA2D0}" name="ענף מסחר" dataDxfId="451" dataCellStyle="Percent"/>
    <tableColumn id="6" xr3:uid="{4B867C84-B87C-4DE1-BC7F-4C4139D8B59B}" name="דירוג" dataDxfId="450" dataCellStyle="Percent"/>
    <tableColumn id="7" xr3:uid="{3F200D18-19E0-4F53-8DB7-5E1498B5FA67}" name="שם מדרג" dataDxfId="449" dataCellStyle="Percent"/>
    <tableColumn id="8" xr3:uid="{DE843709-5D59-4FB1-B999-BA916EBCB90C}" name="סוג מטבע" dataDxfId="448" dataCellStyle="Percent"/>
    <tableColumn id="9" xr3:uid="{6ED8C46C-2C00-4D40-A563-3BD01A4CC95B}" name="ערך נקוב" dataDxfId="447" dataCellStyle="Percent"/>
    <tableColumn id="10" xr3:uid="{D10D653E-3BA7-42A2-9522-1834535E7590}" name="שער" dataDxfId="446" dataCellStyle="Percent"/>
    <tableColumn id="11" xr3:uid="{2361F896-A824-4081-A7ED-C8762B1DFDC2}" name="שווי שוק" dataDxfId="445" dataCellStyle="Comma"/>
    <tableColumn id="12" xr3:uid="{AB8E8E0D-B98F-4A59-8371-202C5932F356}" name="שעור מערך נקוב מונפק" dataDxfId="444" dataCellStyle="Percent"/>
    <tableColumn id="13" xr3:uid="{AB76D415-8BE9-40B2-92B7-2C768C33C099}" name="שעור מנכסי אפיק ההשקעה" dataDxfId="443" dataCellStyle="Percent"/>
    <tableColumn id="14" xr3:uid="{B74EFBB6-3AFF-41E9-BE7E-326C91CC793A}" name="שעור מנכסי השקעה" dataDxfId="44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0365BE-E12A-4346-BC1D-8718A9D1936B}" name="טבלה10" displayName="טבלה10" ref="A7:K14" totalsRowShown="0" headerRowDxfId="425" dataDxfId="426" headerRowBorderDxfId="438" tableBorderDxfId="439" headerRowCellStyle="Percent" dataCellStyle="Percent">
  <autoFilter ref="A7:K14" xr:uid="{D8353F56-2DC5-481B-8B1F-79F6D1BFC0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CF1C787-23DC-4846-ABB2-BDED315E23A8}" name="שם המנפיק/שם נייר ערך" dataDxfId="437"/>
    <tableColumn id="2" xr3:uid="{8EF0D819-2B55-4F04-85AE-B257F9691A87}" name="מספר נ&quot;ע" dataDxfId="436" dataCellStyle="Percent"/>
    <tableColumn id="3" xr3:uid="{215359A5-C5C2-41A0-BD96-C8FEFD12113E}" name="זירת מסחר" dataDxfId="435" dataCellStyle="Percent"/>
    <tableColumn id="4" xr3:uid="{E8E433F0-A503-4FCD-B474-A16159A0C1DC}" name="ענף מסחר" dataDxfId="434" dataCellStyle="Percent"/>
    <tableColumn id="5" xr3:uid="{8DCDCA44-74F9-4CB5-BA36-7D878577E7F0}" name="סוג מטבע" dataDxfId="433" dataCellStyle="Percent"/>
    <tableColumn id="6" xr3:uid="{4BC8F96F-1F57-4BFF-B75F-D4421323E7FD}" name="ערך נקוב" dataDxfId="432" dataCellStyle="Percent"/>
    <tableColumn id="7" xr3:uid="{801064D1-AA1E-4978-9BDA-1837D5CCA90D}" name="שער" dataDxfId="431" dataCellStyle="Percent"/>
    <tableColumn id="8" xr3:uid="{9913087C-39E5-4417-AF45-D962CD60F53D}" name="שווי שוק" dataDxfId="430" dataCellStyle="Comma"/>
    <tableColumn id="9" xr3:uid="{CFDCDF57-A995-47D5-A849-A6E899393BE0}" name="שעור מערך נקוב מונפק" dataDxfId="429" dataCellStyle="Percent"/>
    <tableColumn id="10" xr3:uid="{BF3DC7F7-63DC-48CD-80C3-08B969A0DB91}" name="שעור מנכסי אפיק ההשקעה" dataDxfId="428" dataCellStyle="Percent"/>
    <tableColumn id="11" xr3:uid="{D52281F1-9456-4997-9B22-737D13B0808F}" name="שעור מנכסי השקעה" dataDxfId="42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ABD194-FF3A-4681-B1C8-526ED97D289A}" name="טבלה11" displayName="טבלה11" ref="A7:K21" totalsRowShown="0" headerRowDxfId="411" headerRowBorderDxfId="423" tableBorderDxfId="424" headerRowCellStyle="Percent">
  <autoFilter ref="A7:K21" xr:uid="{CD95F3E3-E3F0-48F2-9236-CE5BCF4738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A344478-90AB-42EB-8961-22E429BD3CE3}" name="שם המנפיק/שם נייר ערך" dataDxfId="422"/>
    <tableColumn id="2" xr3:uid="{5A4105B1-183D-46E0-851A-61BB5AB47E4F}" name="מספר נ&quot;ע" dataDxfId="421" dataCellStyle="Percent"/>
    <tableColumn id="3" xr3:uid="{BA285A0D-E83B-4C1F-89D8-99AF4B7D38E4}" name="זירת מסחר" dataDxfId="420" dataCellStyle="Percent"/>
    <tableColumn id="4" xr3:uid="{D0DF99AC-FB9F-4C62-BE14-6DCC51F6393D}" name="ענף מסחר" dataDxfId="419" dataCellStyle="Percent"/>
    <tableColumn id="5" xr3:uid="{94DB010D-5912-4EFD-A55E-1045F9D8662A}" name="סוג מטבע" dataDxfId="418" dataCellStyle="Percent"/>
    <tableColumn id="6" xr3:uid="{721A89E7-697C-4AE9-9A57-1836E6432EA4}" name="ערך נקוב" dataDxfId="417" dataCellStyle="Percent"/>
    <tableColumn id="7" xr3:uid="{B5E0738F-3F5C-4244-B7F1-AC6CC4C4DB3D}" name="שער" dataDxfId="416" dataCellStyle="Percent"/>
    <tableColumn id="8" xr3:uid="{E9FF57F9-33A2-4A49-A772-124A457A0F5B}" name="שווי שוק" dataDxfId="415" dataCellStyle="Comma"/>
    <tableColumn id="9" xr3:uid="{FB7A1904-67BE-4366-81F7-C2DCE56AEE73}" name="שעור מערך נקוב מונפק" dataDxfId="414" dataCellStyle="Percent"/>
    <tableColumn id="10" xr3:uid="{805477CA-EADD-4FE1-92D5-88432E579E08}" name="שעור מנכסי אפיק ההשקעה" dataDxfId="413" dataCellStyle="Percent"/>
    <tableColumn id="11" xr3:uid="{D0E23894-8405-402A-9B52-C457E36A036C}" name="שעור מנכסי השקעה" dataDxfId="41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FA3041F-06DC-4C6E-861F-0D6924395B9B}" name="טבלה12" displayName="טבלה12" ref="A7:J12" totalsRowShown="0" headerRowDxfId="408" headerRowBorderDxfId="409" tableBorderDxfId="410" headerRowCellStyle="Percent">
  <autoFilter ref="A7:J12" xr:uid="{EE7C78A2-803C-44B5-9FD0-DF3F720F74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FDC36E1-E14B-4A26-B57A-9E7B951BEEEE}" name="שם המנפיק/שם נייר ערך"/>
    <tableColumn id="2" xr3:uid="{FEC49A23-AA23-48E7-BF7F-BA489FE82E6D}" name="מספר נ&quot;ע"/>
    <tableColumn id="3" xr3:uid="{F189416E-94AF-49FF-9346-202292BEC4EC}" name="זירת מסחר"/>
    <tableColumn id="4" xr3:uid="{59258D67-6B65-48E8-A2A1-4D44A5190383}" name="ענף מסחר"/>
    <tableColumn id="5" xr3:uid="{C0F5228F-4D53-4141-A114-1C0E8076BF64}" name="סוג מטבע"/>
    <tableColumn id="6" xr3:uid="{60BAFD7C-AEB9-46DC-96D6-FD50C685A8AF}" name="ערך נקוב"/>
    <tableColumn id="7" xr3:uid="{9DF0C60B-D6EF-4631-A82C-551C4656DEA1}" name="שער"/>
    <tableColumn id="8" xr3:uid="{D569788B-ED27-49D7-BACE-A865CB2AE9AB}" name="שווי שוק"/>
    <tableColumn id="9" xr3:uid="{4CB1D02E-7B8D-4F5D-9E66-489E507C923E}" name="שעור מנכסי אפיק ההשקעה"/>
    <tableColumn id="10" xr3:uid="{4F660ED7-DC0B-4E44-9BDB-6225BCEB21D1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6DB94D5-D021-4D5F-9124-BE028ADDBB0B}" name="טבלה13" displayName="טבלה13" ref="A7:P26" totalsRowShown="0" headerRowDxfId="388" dataDxfId="389" headerRowBorderDxfId="406" tableBorderDxfId="407" headerRowCellStyle="Percent" dataCellStyle="Percent">
  <autoFilter ref="A7:P26" xr:uid="{C2EAC952-BEB1-4979-97CA-2FD8816FC1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791D465-24BD-408A-BDF1-DDC0A7F016D2}" name="שם המנפיק/שם נייר ערך" dataDxfId="405"/>
    <tableColumn id="2" xr3:uid="{B5108AAA-A3B5-46B5-A948-E1FA289D739E}" name="מספר נ&quot;ע" dataDxfId="404" dataCellStyle="Percent"/>
    <tableColumn id="3" xr3:uid="{E7AC347D-2626-41AF-BB7D-3BEF5B7D9F6B}" name="נכס הבסיס" dataDxfId="403" dataCellStyle="Percent"/>
    <tableColumn id="4" xr3:uid="{BEFD186D-07B7-44DC-883E-30C30513C57F}" name="דירוג" dataDxfId="402" dataCellStyle="Percent"/>
    <tableColumn id="5" xr3:uid="{362F4D38-862E-4BBA-B525-2ADDEC80BFE9}" name="שם מדרג" dataDxfId="401" dataCellStyle="Percent"/>
    <tableColumn id="6" xr3:uid="{8AA18008-6D33-4647-9010-C04A9F6C0DA3}" name="תאריך רכישה" dataDxfId="400" dataCellStyle="Percent"/>
    <tableColumn id="7" xr3:uid="{91FD6EF8-78DC-4475-81C0-B4F97657C21C}" name="מח&quot;מ" dataDxfId="399" dataCellStyle="Percent"/>
    <tableColumn id="8" xr3:uid="{5516FB86-07AD-4FA0-B319-B0B4D5001E27}" name="סוג מטבע" dataDxfId="398" dataCellStyle="Percent"/>
    <tableColumn id="9" xr3:uid="{2368A8F9-B3DF-4181-82F9-30252A41D4FE}" name="שעור ריבית" dataDxfId="397" dataCellStyle="Percent"/>
    <tableColumn id="10" xr3:uid="{3D268286-3F83-4DA2-AE74-9657B0119252}" name="תשואה לפדיון" dataDxfId="396" dataCellStyle="Percent"/>
    <tableColumn id="11" xr3:uid="{4B4A27A9-B8E9-4A57-88F1-878143A1D5D4}" name="ערך נקוב" dataDxfId="395" dataCellStyle="Percent"/>
    <tableColumn id="12" xr3:uid="{B2AE21B0-5D35-4A0F-8334-D9F5A9DDBC41}" name="שער" dataDxfId="394" dataCellStyle="Percent"/>
    <tableColumn id="13" xr3:uid="{E3827837-CEA2-422C-B73A-0F62FA296905}" name="שווי שוק" dataDxfId="393" dataCellStyle="Comma"/>
    <tableColumn id="14" xr3:uid="{3A07C440-0AB8-43F6-AA3A-397AF167DF1C}" name="שעור מערך נקוב מונפק" dataDxfId="392" dataCellStyle="Percent"/>
    <tableColumn id="15" xr3:uid="{170D0ADE-4A8A-4018-A308-3743E12E9E52}" name="שעור מנכסי אפיק ההשקעה" dataDxfId="391" dataCellStyle="Percent"/>
    <tableColumn id="16" xr3:uid="{5327C260-B8BD-4117-8DFE-4C497050E102}" name="שעור מנכסי השקעה" dataDxfId="39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E6317C4-D12A-4799-B21B-EF0E6A786BDB}" name="טבלה14" displayName="טבלה14" ref="A7:O189" totalsRowShown="0" headerRowDxfId="370" headerRowBorderDxfId="386" tableBorderDxfId="387" headerRowCellStyle="Percent">
  <autoFilter ref="A7:O189" xr:uid="{7F91B672-330F-497F-AB4B-7E6D3653C7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76F1306-8B5F-4159-99CB-D9F58F0149D8}" name="שם המנפיק/שם נייר ערך" dataDxfId="385"/>
    <tableColumn id="2" xr3:uid="{AAF9B94A-CB96-455C-83E0-A6524B141ACC}" name="מספר נ&quot;ע" dataDxfId="384" dataCellStyle="Percent"/>
    <tableColumn id="3" xr3:uid="{E932B277-34D8-4E98-AABF-2408B97C36DC}" name="דירוג" dataDxfId="383" dataCellStyle="Percent"/>
    <tableColumn id="4" xr3:uid="{25665FCA-182F-40FB-AA36-2B965DB4A943}" name="שם מדרג" dataDxfId="382" dataCellStyle="Percent"/>
    <tableColumn id="5" xr3:uid="{E9789863-A4AA-41AC-B233-C834EA6A0748}" name="תאריך רכישה" dataDxfId="381" dataCellStyle="Percent"/>
    <tableColumn id="6" xr3:uid="{3B43B3E1-7B3D-463E-8DD6-B73331A14D84}" name="מח&quot;מ" dataDxfId="380" dataCellStyle="Percent"/>
    <tableColumn id="7" xr3:uid="{8010B48D-6EC2-4615-A414-71D84D84B836}" name="סוג מטבע" dataDxfId="379" dataCellStyle="Percent"/>
    <tableColumn id="8" xr3:uid="{15847A68-07D6-4755-801F-BD6756473C36}" name="שעור ריבית" dataDxfId="378" dataCellStyle="Percent"/>
    <tableColumn id="9" xr3:uid="{BDEEB046-8DAD-4FE8-ADBF-F71E7CA8CDFD}" name="תשואה לפדיון" dataDxfId="377" dataCellStyle="Percent"/>
    <tableColumn id="10" xr3:uid="{EC5CB853-9830-4354-AB68-F9BA882D3CCD}" name="ערך נקוב" dataDxfId="376" dataCellStyle="Percent"/>
    <tableColumn id="11" xr3:uid="{9D5B7022-DEE6-4266-AC47-1C7ABF760A22}" name="שער" dataDxfId="375" dataCellStyle="Percent"/>
    <tableColumn id="12" xr3:uid="{5B67E5C5-FF00-4AEB-8714-56DB87DF1029}" name="שווי הוגן" dataDxfId="374" dataCellStyle="Comma"/>
    <tableColumn id="13" xr3:uid="{DF494B10-FBB2-44E3-875B-E26D833A32EF}" name="שעור מערך נקוב מונפק" dataDxfId="373" dataCellStyle="Percent"/>
    <tableColumn id="14" xr3:uid="{BD16CDC0-BBCD-4AC1-A740-B19637765E24}" name="שעור מנכסי אפיק ההשקעה" dataDxfId="372" dataCellStyle="Percent"/>
    <tableColumn id="15" xr3:uid="{C6AE5F2D-757E-40C8-8E10-F71A2B6DB3B7}" name="שעור מנכסי השקעה" dataDxfId="37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59E0D25-B3D4-4DC6-AA9B-CD99D612FED6}" name="טבלה15" displayName="טבלה15" ref="A7:R18" totalsRowShown="0" headerRowDxfId="349" headerRowBorderDxfId="368" tableBorderDxfId="369" headerRowCellStyle="Percent">
  <autoFilter ref="A7:R18" xr:uid="{040D3016-D865-4F46-BE78-7F096C6445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3DE75C1-2649-4F76-B3CC-704BBBB860B6}" name="שם המנפיק/שם נייר ערך" dataDxfId="367"/>
    <tableColumn id="2" xr3:uid="{02517589-7455-44B3-93CB-AE13A6DD5B5D}" name="מספר נ&quot;ע" dataDxfId="366" dataCellStyle="Percent"/>
    <tableColumn id="3" xr3:uid="{72256718-889F-480E-9282-7035E518B253}" name="ספק המידע" dataDxfId="365" dataCellStyle="Percent"/>
    <tableColumn id="4" xr3:uid="{5C36C54F-5407-4209-9B61-709A65AC4323}" name="מספר מנפיק" dataDxfId="364" dataCellStyle="Percent"/>
    <tableColumn id="5" xr3:uid="{D6482291-7334-40E5-8350-6D4110ECAC92}" name="ענף מסחר" dataDxfId="363" dataCellStyle="Percent"/>
    <tableColumn id="6" xr3:uid="{B2ED0114-B1CA-4342-9CCE-AE684E073073}" name="דירוג" dataDxfId="362" dataCellStyle="Percent"/>
    <tableColumn id="7" xr3:uid="{15494BE9-8C49-4FEF-8A35-4CCBB0B882C8}" name="שם מדרג" dataDxfId="361" dataCellStyle="Percent"/>
    <tableColumn id="8" xr3:uid="{D98B5AB8-734A-4558-BCC1-478CF7CF8ABB}" name="תאריך רכישה" dataDxfId="360" dataCellStyle="Percent"/>
    <tableColumn id="9" xr3:uid="{4911333C-7454-43B0-AF3E-313D8634E821}" name="מח&quot;מ" dataDxfId="359" dataCellStyle="Percent"/>
    <tableColumn id="10" xr3:uid="{DCF8D716-3BCD-410E-B436-B0739304BE0C}" name="סוג מטבע" dataDxfId="358" dataCellStyle="Percent"/>
    <tableColumn id="11" xr3:uid="{0A4F3337-AA20-49F1-A3C1-2161DDFDDBDD}" name="שעור ריבית" dataDxfId="357" dataCellStyle="Percent"/>
    <tableColumn id="12" xr3:uid="{B594AA02-0D7D-44BE-B264-FC50BC7FC56A}" name="תשואה לפדיון" dataDxfId="356" dataCellStyle="Percent"/>
    <tableColumn id="13" xr3:uid="{EF0227EC-94FD-4D22-AE57-62E32DCFF84F}" name="ערך נקוב" dataDxfId="355" dataCellStyle="Percent"/>
    <tableColumn id="14" xr3:uid="{86B95FFB-B47E-40D2-87C7-890DCAC2651F}" name="שער" dataDxfId="354" dataCellStyle="Percent"/>
    <tableColumn id="15" xr3:uid="{8751F2B5-DDD6-4E22-9B30-E663FEE6648E}" name="שווי הוגן" dataDxfId="353" dataCellStyle="Comma"/>
    <tableColumn id="16" xr3:uid="{3D103EAF-1313-46AB-9B1F-DDF9E7A7585B}" name="שעור מערך נקוב מונפק" dataDxfId="352" dataCellStyle="Percent"/>
    <tableColumn id="17" xr3:uid="{456FA618-8A07-41D8-B223-FD1FCBCB2695}" name="שעור מנכסי אפיק ההשקעה" dataDxfId="351" dataCellStyle="Percent"/>
    <tableColumn id="18" xr3:uid="{59EAF6AD-8E16-4EB8-AD3B-60A1F8B00F82}" name="שעור מנכסי השקעה" dataDxfId="35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AC88AC5-D9B7-4750-8C26-D873450A4F0D}" name="טבלה16" displayName="טבלה16" ref="A7:R37" totalsRowShown="0" headerRowDxfId="327" dataDxfId="328" headerRowBorderDxfId="347" tableBorderDxfId="348" headerRowCellStyle="Percent" dataCellStyle="Percent">
  <autoFilter ref="A7:R37" xr:uid="{965C932A-3F38-443F-835C-A73FF07B16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3A48CC7-9CF1-477B-9EF7-9C2D3C8FF7B4}" name="שם המנפיק/שם נייר ערך" dataDxfId="346"/>
    <tableColumn id="2" xr3:uid="{24ADBA78-9076-4AC7-A4F1-BCDC35818939}" name="מספר נ&quot;ע" dataDxfId="345" dataCellStyle="Percent"/>
    <tableColumn id="3" xr3:uid="{39D0C1E4-D156-4A2C-A6C1-4E65988B754E}" name="ספק המידע" dataDxfId="344" dataCellStyle="Percent"/>
    <tableColumn id="4" xr3:uid="{99DFDECE-7E8A-453F-AFAA-54DABBA5B162}" name="מספר מנפיק" dataDxfId="343" dataCellStyle="Percent"/>
    <tableColumn id="5" xr3:uid="{78DD3C52-E42D-434B-8C11-E53819FD066F}" name="ענף מסחר" dataDxfId="342" dataCellStyle="Percent"/>
    <tableColumn id="6" xr3:uid="{5134AF31-36EB-40AC-B4B0-8FFAC9B4A7A8}" name="דירוג" dataDxfId="341" dataCellStyle="Percent"/>
    <tableColumn id="7" xr3:uid="{86BD3CBA-5F67-4217-9EAA-AF5F2A8C03C8}" name="שם מדרג" dataDxfId="340" dataCellStyle="Percent"/>
    <tableColumn id="8" xr3:uid="{5856CE44-B866-43FA-A06E-234FA24E2267}" name="תאריך רכישה" dataDxfId="339" dataCellStyle="Percent"/>
    <tableColumn id="9" xr3:uid="{B5DEC9EF-2EF8-4498-8A82-9E5F16B9A1D7}" name="מח&quot;מ" dataDxfId="338" dataCellStyle="Percent"/>
    <tableColumn id="10" xr3:uid="{EA771826-1F26-4F71-881B-9F0084D6BC27}" name="סוג מטבע" dataDxfId="337" dataCellStyle="Percent"/>
    <tableColumn id="11" xr3:uid="{A39683A7-4950-48BF-B8E9-FE3697670B00}" name="שעור ריבית" dataDxfId="336" dataCellStyle="Percent"/>
    <tableColumn id="12" xr3:uid="{F85E63D2-BC88-4200-8959-6936A9488A27}" name="תשואה לפדיון" dataDxfId="335" dataCellStyle="Percent"/>
    <tableColumn id="13" xr3:uid="{9F77A207-CBFD-4961-B45C-8E5DBC3CEBC0}" name="ערך נקוב" dataDxfId="334" dataCellStyle="Percent"/>
    <tableColumn id="14" xr3:uid="{0A542C81-7A42-498F-B98C-2B8FEE55B272}" name="שער" dataDxfId="333" dataCellStyle="Percent"/>
    <tableColumn id="15" xr3:uid="{367EF3F3-AFF2-45CD-91A7-F0522C2D2B31}" name="שווי הוגן" dataDxfId="332" dataCellStyle="Comma"/>
    <tableColumn id="16" xr3:uid="{C47706A7-0913-4BCD-834B-A38D9C4950C0}" name="שעור מערך נקוב מונפק" dataDxfId="331" dataCellStyle="Percent"/>
    <tableColumn id="17" xr3:uid="{183D8BAD-C4CF-4EB0-B364-2F47B1D10B4D}" name="שעור מנכסי אפיק ההשקעה" dataDxfId="330" dataCellStyle="Percent"/>
    <tableColumn id="18" xr3:uid="{68D31456-AAAB-4A7D-90F6-9E2E127FBB2C}" name="שעור מנכסי השקעה" dataDxfId="32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2EC50C-2CD0-4A92-997C-960BE22D8616}" name="טבלה17" displayName="טבלה17" ref="A7:L14" totalsRowShown="0" headerRowDxfId="311" dataDxfId="312" headerRowBorderDxfId="325" tableBorderDxfId="326" headerRowCellStyle="Percent" dataCellStyle="Percent">
  <autoFilter ref="A7:L14" xr:uid="{2E371F86-220E-443E-A916-9143F1CA05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549FFF0-287D-400A-8E83-3910BAD2CB22}" name="שם המנפיק/שם נייר ערך" dataDxfId="324"/>
    <tableColumn id="2" xr3:uid="{B9749361-07C1-4581-902F-B20D9F753EAA}" name="מספר נ&quot;ע" dataDxfId="323" dataCellStyle="Percent"/>
    <tableColumn id="3" xr3:uid="{3CCDFC54-A9F1-486D-A474-BFF3E6F29293}" name="ספק המידע" dataDxfId="322" dataCellStyle="Percent"/>
    <tableColumn id="4" xr3:uid="{17492082-E283-4B57-9274-FAC50FA555D8}" name="מספר מנפיק" dataDxfId="321" dataCellStyle="Percent"/>
    <tableColumn id="5" xr3:uid="{ED020271-D873-45D1-8786-B57866C55D07}" name="ענף מסחר" dataDxfId="320" dataCellStyle="Percent"/>
    <tableColumn id="6" xr3:uid="{011984E3-1824-4965-89BF-7DE24419A577}" name="סוג מטבע" dataDxfId="319" dataCellStyle="Percent"/>
    <tableColumn id="7" xr3:uid="{DBC0B2B1-30AC-4465-91A8-8775135122C8}" name="ערך נקוב" dataDxfId="318" dataCellStyle="Percent"/>
    <tableColumn id="8" xr3:uid="{28BA9B72-C3DB-411F-BB7E-65474626F7C5}" name="שער" dataDxfId="317" dataCellStyle="Percent"/>
    <tableColumn id="9" xr3:uid="{C5674E59-CD85-411B-97D9-4D5681D954AF}" name="שווי שוק" dataDxfId="316" dataCellStyle="Comma"/>
    <tableColumn id="10" xr3:uid="{3A11B0E4-BF03-47CF-9C1F-7CA4428027A3}" name="שעור מערך נקוב מונפק" dataDxfId="315" dataCellStyle="Percent"/>
    <tableColumn id="11" xr3:uid="{90AC6444-F124-4E75-8EE7-404AB89C9108}" name="שעור מנכסי אפיק ההשקעה" dataDxfId="314" dataCellStyle="Percent"/>
    <tableColumn id="12" xr3:uid="{80E42039-2205-4CDB-A249-6F9D0F85DD95}" name="שעור מנכסי השקעה" dataDxfId="313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2F138C6-9831-45BC-8B37-E2F256A661E5}" name="טבלה18" displayName="טבלה18" ref="A7:J20" totalsRowShown="0" headerRowDxfId="297" dataDxfId="298" headerRowBorderDxfId="309" tableBorderDxfId="310" headerRowCellStyle="Percent" dataCellStyle="Percent">
  <autoFilter ref="A7:J20" xr:uid="{921A2741-ACC2-4080-83A7-8C265C530F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51268FA-69C2-4979-9F1F-75EF1ACCB23C}" name="שם המנפיק/שם נייר ערך" dataDxfId="308"/>
    <tableColumn id="2" xr3:uid="{9BAD5979-EC21-4F6B-9FBD-DD5A8FEE495E}" name="מספר נ&quot;ע" dataDxfId="307" dataCellStyle="Percent"/>
    <tableColumn id="3" xr3:uid="{6BDB38A7-0CAC-4D71-BEA9-A29256C82605}" name="סוג מטבע" dataDxfId="306" dataCellStyle="Percent"/>
    <tableColumn id="4" xr3:uid="{C96D8B5E-44D6-4117-A7A6-7333A5A08F0E}" name="תאריך רכישה" dataDxfId="305" dataCellStyle="Percent"/>
    <tableColumn id="5" xr3:uid="{A579372F-8EDA-41A6-A120-11772D283579}" name="ערך נקוב" dataDxfId="304" dataCellStyle="Percent"/>
    <tableColumn id="6" xr3:uid="{3F7AF15A-05EA-4EE0-AEBC-10F4A8BC6CD0}" name="שער" dataDxfId="303" dataCellStyle="Percent"/>
    <tableColumn id="7" xr3:uid="{BB67CAB5-E2C1-4D5C-8B78-1084A8E7C824}" name="שווי הוגן" dataDxfId="302" dataCellStyle="Comma"/>
    <tableColumn id="8" xr3:uid="{59A98D50-9E7B-4846-8ACD-D83B0E2F6D55}" name="שעור מערך נקוב מונפק" dataDxfId="301" dataCellStyle="Percent"/>
    <tableColumn id="9" xr3:uid="{F6215D7F-1F05-4D80-9B6B-133E166F411E}" name="שעור מנכסי אפיק ההשקעה" dataDxfId="300" dataCellStyle="Percent"/>
    <tableColumn id="10" xr3:uid="{ABFC4C2D-25EA-46AD-B79F-58CB5C280837}" name="שעור מנכסי השקעה" dataDxfId="299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D7C835-0ABC-4079-9D53-7FA381EADEAB}" name="טבלה19" displayName="טבלה19" ref="A7:K12" totalsRowShown="0" headerRowDxfId="294" headerRowBorderDxfId="295" tableBorderDxfId="296" headerRowCellStyle="Percent">
  <autoFilter ref="A7:K12" xr:uid="{43A8A607-9070-4223-B5F9-3818C26651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797B443-C517-4D0A-81A4-17BD27916111}" name="שם המנפיק/שם נייר ערך"/>
    <tableColumn id="2" xr3:uid="{A76EE2A5-274E-426C-AF1B-043570BDB378}" name="מספר נ&quot;ע"/>
    <tableColumn id="3" xr3:uid="{A7BBA115-081E-44CB-A5E5-A62E510960F9}" name="ענף מסחר"/>
    <tableColumn id="4" xr3:uid="{65DE4757-B5AE-4758-B270-A411D2257675}" name="סוג מטבע"/>
    <tableColumn id="5" xr3:uid="{B069CF54-4575-4B90-AE8D-67A9E428684B}" name="תאריך רכישה"/>
    <tableColumn id="6" xr3:uid="{78EE3663-8B16-47CD-823E-9DF5A1633F1B}" name="ערך נקוב"/>
    <tableColumn id="7" xr3:uid="{C93F1DE3-DCAE-488B-B2D4-B65EBF38F7A6}" name="שער"/>
    <tableColumn id="8" xr3:uid="{78F9CCB8-F8FC-4951-BE3B-2253A6E85B16}" name="שווי הוגן"/>
    <tableColumn id="9" xr3:uid="{4702044C-2D67-43ED-97C0-302F25DB0CFC}" name="שעור מערך נקוב מונפק"/>
    <tableColumn id="10" xr3:uid="{662F9840-3915-4424-A4A4-E89C454659B3}" name="שעור מנכסי אפיק ההשקעה"/>
    <tableColumn id="11" xr3:uid="{0BBB6D0B-FE47-426A-B30E-853C67438354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E6136C3-0A83-4D1D-89E0-9B5F9AE3E8D0}" name="טבלה20" displayName="טבלה20" ref="A7:K22" totalsRowShown="0" headerRowDxfId="279" dataDxfId="280" headerRowBorderDxfId="292" tableBorderDxfId="293" headerRowCellStyle="Percent" dataCellStyle="Percent">
  <autoFilter ref="A7:K22" xr:uid="{BF775C23-C788-4DDA-BC07-2FF3EC8771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B520C50-7D57-4726-9273-DF799B43A5DF}" name="שם המנפיק/שם נייר ערך" dataDxfId="291"/>
    <tableColumn id="2" xr3:uid="{40ADA9D0-1D00-4854-8A9E-4F2E2BC91EC5}" name="מספר נ&quot;ע" dataDxfId="290" dataCellStyle="Percent"/>
    <tableColumn id="3" xr3:uid="{65E6CA64-0BB9-420D-A64A-85EAC1FBCA25}" name="ענף מסחר" dataDxfId="289" dataCellStyle="Percent"/>
    <tableColumn id="4" xr3:uid="{3F5FCFCC-E382-416D-8A64-A72AD233F3A4}" name="סוג מטבע" dataDxfId="288" dataCellStyle="Percent"/>
    <tableColumn id="5" xr3:uid="{A643EB6C-2424-44F6-AC5A-7DDEAF013E96}" name="תאריך רכישה" dataDxfId="287" dataCellStyle="Percent"/>
    <tableColumn id="6" xr3:uid="{1105CDAA-31A6-405B-8CFA-7E4FE02F9AB3}" name="ערך נקוב" dataDxfId="286" dataCellStyle="Percent"/>
    <tableColumn id="7" xr3:uid="{FCB65AA6-7F74-4324-B293-19A99482D20A}" name="שער" dataDxfId="285" dataCellStyle="Percent"/>
    <tableColumn id="8" xr3:uid="{4B1CA164-13FA-4AAC-A53D-8F8EDC3D8C12}" name="שווי הוגן" dataDxfId="284" dataCellStyle="Comma"/>
    <tableColumn id="9" xr3:uid="{8E41BB7A-1AAE-4AF5-8983-6E5CFE893BCD}" name="שעור מערך נקוב מונפק" dataDxfId="283" dataCellStyle="Percent"/>
    <tableColumn id="10" xr3:uid="{A59084EC-B795-48C9-A057-44D4901F3FD4}" name="שעור מנכסי אפיק ההשקעה" dataDxfId="282" dataCellStyle="Percent"/>
    <tableColumn id="11" xr3:uid="{A725D41F-5BF4-40AC-8FDF-D29CA2189CB0}" name="שעור מנכסי השקעה" dataDxfId="281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70AE3A7-29E9-46A8-8633-21B2B6CA3565}" name="טבלה21" displayName="טבלה21" ref="A7:J21" totalsRowShown="0" headerRowDxfId="265" dataDxfId="266" headerRowBorderDxfId="277" tableBorderDxfId="278" headerRowCellStyle="Percent" dataCellStyle="Percent">
  <autoFilter ref="A7:J21" xr:uid="{B1EE78C4-0000-42F2-A1FA-999667A716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EFB7DB5-9202-4E19-82DD-10B99F96461A}" name="שם המנפיק/שם נייר ערך" dataDxfId="276"/>
    <tableColumn id="2" xr3:uid="{C3492023-F2BD-43F3-A3C8-4DA47D1D49C9}" name="מספר נ&quot;ע" dataDxfId="275" dataCellStyle="Percent"/>
    <tableColumn id="3" xr3:uid="{B0C676C5-9303-4031-8853-A363B2452AB0}" name="ענף מסחר" dataDxfId="274" dataCellStyle="Percent"/>
    <tableColumn id="4" xr3:uid="{83A7F5F3-A410-4320-9849-52B98AE3E723}" name="סוג מטבע" dataDxfId="273" dataCellStyle="Percent"/>
    <tableColumn id="5" xr3:uid="{5B5E666E-A8A1-4D60-A58B-D39744723A3C}" name="תאריך רכישה" dataDxfId="272" dataCellStyle="Percent"/>
    <tableColumn id="6" xr3:uid="{63F32100-0CFE-4FF6-A5F7-6D68E46CCD91}" name="ערך נקוב" dataDxfId="271" dataCellStyle="Percent"/>
    <tableColumn id="7" xr3:uid="{2814286C-098D-4AE5-91F3-A37A45BBF240}" name="שער" dataDxfId="270" dataCellStyle="Percent"/>
    <tableColumn id="8" xr3:uid="{94BCA5FD-8C12-489F-B939-4580CEC49D6B}" name="שווי הוגן" dataDxfId="269" dataCellStyle="Comma"/>
    <tableColumn id="9" xr3:uid="{50634B93-15F5-4596-98A7-1020C7E7E70F}" name="שעור מנכסי אפיק ההשקעה" dataDxfId="268" dataCellStyle="Percent"/>
    <tableColumn id="10" xr3:uid="{C311D41E-7889-495C-B6AC-AC33CFDA048F}" name="שעור מנכסי השקעה" dataDxfId="267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0550E33-62B1-4528-A737-7AD4DC13C581}" name="טבלה22" displayName="טבלה22" ref="A7:P26" totalsRowShown="0" headerRowDxfId="245" dataDxfId="246" headerRowBorderDxfId="263" tableBorderDxfId="264" headerRowCellStyle="Percent" dataCellStyle="Percent">
  <autoFilter ref="A7:P26" xr:uid="{ADD4628C-B76B-4646-949F-437B8DBB98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A062B20-0A29-421B-80FA-451BFCCC40AF}" name="שם המנפיק/שם נייר ערך" dataDxfId="262"/>
    <tableColumn id="2" xr3:uid="{2FAB1A74-D759-4F20-9476-3407C9B408F3}" name="מספר נ&quot;ע" dataDxfId="261" dataCellStyle="Percent"/>
    <tableColumn id="3" xr3:uid="{32BCE4E4-29A9-43F6-8DDF-5C02306A329B}" name="נכס הבסיס" dataDxfId="260" dataCellStyle="Percent"/>
    <tableColumn id="4" xr3:uid="{C664D33E-F463-4047-AAFF-B6BE59AA902F}" name="דירוג" dataDxfId="259" dataCellStyle="Percent"/>
    <tableColumn id="5" xr3:uid="{D6F8AB1A-FAE5-48D8-B291-8C8A9626A98B}" name="שם מדרג" dataDxfId="258" dataCellStyle="Percent"/>
    <tableColumn id="6" xr3:uid="{6AB5E6B5-24E6-4AC8-9658-E958A1E6C20C}" name="תאריך רכישה" dataDxfId="257" dataCellStyle="Percent"/>
    <tableColumn id="7" xr3:uid="{D737E437-C83C-4DBA-B01A-F72043C423A7}" name="מח&quot;מ" dataDxfId="256" dataCellStyle="Percent"/>
    <tableColumn id="8" xr3:uid="{20E8598F-E54B-4EBD-BBFC-063074B79015}" name="סוג מטבע" dataDxfId="255" dataCellStyle="Percent"/>
    <tableColumn id="9" xr3:uid="{E1C378EA-D19F-46A0-A1C8-4D09472C73E4}" name="שעור ריבית" dataDxfId="254" dataCellStyle="Percent"/>
    <tableColumn id="10" xr3:uid="{72B51648-8343-4D25-B1E1-401EBF61E96E}" name="תשואה לפדיון" dataDxfId="253" dataCellStyle="Percent"/>
    <tableColumn id="11" xr3:uid="{557246AF-20C5-4AB2-A365-17341531B632}" name="ערך נקוב" dataDxfId="252" dataCellStyle="Percent"/>
    <tableColumn id="12" xr3:uid="{FB522A2A-B3F2-4CE3-9B10-C34E7E25A9B0}" name="שער" dataDxfId="251" dataCellStyle="Percent"/>
    <tableColumn id="13" xr3:uid="{2A34BAE4-37F3-4102-940E-0AA1D34582CA}" name="שווי שוק" dataDxfId="250" dataCellStyle="Comma"/>
    <tableColumn id="14" xr3:uid="{48A29089-C63A-4D1E-8900-35DD4AFAAB81}" name="שעור מערך נקוב מונפק" dataDxfId="249" dataCellStyle="Percent"/>
    <tableColumn id="15" xr3:uid="{C3C713D9-816D-4BCA-9A8E-053F8A1C7685}" name="שעור מנכסי אפיק ההשקעה" dataDxfId="248" dataCellStyle="Percent"/>
    <tableColumn id="16" xr3:uid="{49735A7B-CF78-40AA-B221-0D8318CF4234}" name="שעור מנכסי השקעה" dataDxfId="247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56E6B1D-A602-483F-84B2-D602E98C8A26}" name="טבלה23" displayName="טבלה23" ref="A6:Q39" totalsRowShown="0" headerRowDxfId="224" dataDxfId="225" headerRowBorderDxfId="243" tableBorderDxfId="244" headerRowCellStyle="Percent" dataCellStyle="Percent">
  <autoFilter ref="A6:Q39" xr:uid="{8F086C68-5924-49ED-9727-FAD704ABAE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6258ECA-B115-4611-836D-3F7B55DEC189}" name="שם המנפיק/שם נייר ערך" dataDxfId="242"/>
    <tableColumn id="2" xr3:uid="{40B6001E-E72E-40E7-9C75-7D46003309C1}" name="קונסורציום" dataDxfId="241" dataCellStyle="Percent"/>
    <tableColumn id="3" xr3:uid="{95CF8D50-509E-480C-8B91-FEB7E7B1630D}" name="מספר נ&quot;ע" dataDxfId="240" dataCellStyle="Percent"/>
    <tableColumn id="4" xr3:uid="{F079233B-45B2-4A06-809A-D627E1520872}" name="מספר מנפיק" dataDxfId="239" dataCellStyle="Percent"/>
    <tableColumn id="5" xr3:uid="{59173E82-636F-4318-95C9-AB034DE07973}" name="דירוג" dataDxfId="238" dataCellStyle="Percent"/>
    <tableColumn id="6" xr3:uid="{D433A17A-F32C-4A91-93C0-56FD3340111B}" name="תאריך רכישה" dataDxfId="237" dataCellStyle="Percent"/>
    <tableColumn id="7" xr3:uid="{64898735-A956-486D-9A47-10B90BEC0640}" name="שם מדרג" dataDxfId="236" dataCellStyle="Percent"/>
    <tableColumn id="8" xr3:uid="{9B70F6CF-558F-4829-8DDA-3279506E3F06}" name="מח&quot;מ" dataDxfId="235" dataCellStyle="Percent"/>
    <tableColumn id="9" xr3:uid="{2942C359-A33E-4AB8-8827-475485ACB904}" name="ענף משק" dataDxfId="234" dataCellStyle="Percent"/>
    <tableColumn id="10" xr3:uid="{3710AE26-1AD6-4E3E-8FB3-32AB7EA2A851}" name="סוג מטבע" dataDxfId="233" dataCellStyle="Percent"/>
    <tableColumn id="11" xr3:uid="{39506C3B-8FDF-4837-8299-F20DD24CF601}" name="שעור ריבית ממוצע" dataDxfId="232" dataCellStyle="Percent"/>
    <tableColumn id="12" xr3:uid="{D2641B85-DFEC-4BCA-846F-D3DB88566795}" name="תשואה לפדיון" dataDxfId="231" dataCellStyle="Percent"/>
    <tableColumn id="13" xr3:uid="{C5942909-59F6-4CA5-9B5B-AA0D41A1C3C3}" name="ערך נקוב" dataDxfId="230" dataCellStyle="Comma"/>
    <tableColumn id="14" xr3:uid="{64EED234-CEDA-4F06-B10E-1BC12C31C0A0}" name="שער" dataDxfId="229" dataCellStyle="Percent"/>
    <tableColumn id="15" xr3:uid="{B2F75B2E-CF57-44FD-84CA-6B8FBB02CE29}" name="שווי הוגן" dataDxfId="228" dataCellStyle="Comma"/>
    <tableColumn id="16" xr3:uid="{02F5041B-C9D2-4A69-AD87-19DA8BC6051B}" name="שעור מנכסי אפיק ההשקעה" dataDxfId="227" dataCellStyle="Percent"/>
    <tableColumn id="17" xr3:uid="{9468A3BF-59CC-4514-9D9B-CAECF18D63FC}" name="שעור מנכסי השקעה" dataDxfId="22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303AED5-03CB-4ECC-AF50-4965A5C34850}" name="טבלה24" displayName="טבלה24" ref="A6:N26" totalsRowShown="0" headerRowDxfId="206" dataDxfId="207" headerRowBorderDxfId="222" tableBorderDxfId="223" headerRowCellStyle="Percent" dataCellStyle="Percent">
  <autoFilter ref="A6:N26" xr:uid="{F47925B8-95A4-4DBA-BAF6-01B7EC5531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656EF52-B0FF-43D6-8C98-19841BDA4FBF}" name="שם המנפיק/שם נייר ערך" dataDxfId="221"/>
    <tableColumn id="2" xr3:uid="{15F809E5-7D2B-4E0B-B6EF-85B96224A402}" name="מספר נ&quot;ע" dataDxfId="220" dataCellStyle="Percent"/>
    <tableColumn id="3" xr3:uid="{CF0DFBA2-EA54-4C62-9A22-E46BDD31755C}" name="מספר מנפיק" dataDxfId="219" dataCellStyle="Percent"/>
    <tableColumn id="4" xr3:uid="{A025298B-7BA3-414D-83B4-E48C1D5B8721}" name="דירוג" dataDxfId="218" dataCellStyle="Percent"/>
    <tableColumn id="5" xr3:uid="{BDF9B4D6-6BAE-41B7-BF99-019F2D856DDA}" name="שם מדרג" dataDxfId="217" dataCellStyle="Percent"/>
    <tableColumn id="6" xr3:uid="{23E73322-3D9D-4E01-A1CF-3915B3643EDD}" name="מח&quot;מ" dataDxfId="216" dataCellStyle="Percent"/>
    <tableColumn id="7" xr3:uid="{7832CDB2-804E-42BE-8B32-AA6102B5C3C7}" name="סוג מטבע" dataDxfId="215" dataCellStyle="Percent"/>
    <tableColumn id="8" xr3:uid="{DF8FF41E-4764-4D2A-8F4A-6F9A90499623}" name="תנאי ושיעור ריבית" dataDxfId="214" dataCellStyle="Percent"/>
    <tableColumn id="9" xr3:uid="{033ACBB9-03F8-4868-A891-7975C4C097CC}" name="תשואה לפדיון" dataDxfId="213" dataCellStyle="Percent"/>
    <tableColumn id="10" xr3:uid="{7ECE9995-B775-4175-AB22-53382CC6985A}" name="ערך נקוב" dataDxfId="212" dataCellStyle="Percent"/>
    <tableColumn id="11" xr3:uid="{CA3D847E-D1AE-459E-B3C6-C0808773E1AC}" name="שער" dataDxfId="211" dataCellStyle="Percent"/>
    <tableColumn id="12" xr3:uid="{FFC49264-C897-49EF-BBAF-108C78F5F5C1}" name="שווי הוגן" dataDxfId="210" dataCellStyle="Comma"/>
    <tableColumn id="13" xr3:uid="{66A8ABE1-BF13-44D8-8F6C-7F375F40698F}" name="שעור מנכסי אפיק ההשקעה" dataDxfId="209" dataCellStyle="Percent"/>
    <tableColumn id="14" xr3:uid="{C5B4E38C-434E-4BF9-A5C9-1B0B44081215}" name="שעור מנכסי השקעה" dataDxfId="20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8EEDFEF-87DE-4CB5-B337-40AA079F3399}" name="טבלה25" displayName="טבלה25" ref="A6:I15" totalsRowShown="0" headerRowDxfId="193" dataDxfId="194" headerRowBorderDxfId="204" tableBorderDxfId="205" headerRowCellStyle="Percent" dataCellStyle="Percent">
  <autoFilter ref="A6:I15" xr:uid="{82077C74-61D8-478C-A3B9-CCED2DB446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B7F8F1A-ED87-4C13-9BDA-A6F13C25BAFE}" name="שם המנפיק/שם נייר ערך" dataDxfId="203"/>
    <tableColumn id="2" xr3:uid="{4A39A50D-4281-40AE-8EFF-4C887F2759EC}" name="תאריך שערוך אחרון" dataDxfId="202" dataCellStyle="Percent"/>
    <tableColumn id="3" xr3:uid="{60FA8F21-B860-4C99-BE06-523DDC5BCEB3}" name="אופי הנכס" dataDxfId="201" dataCellStyle="Percent"/>
    <tableColumn id="4" xr3:uid="{8D29A01D-7AD8-42FD-A53E-E4F9B63EEAEC}" name="שעור תשואה במהלך התקופה" dataDxfId="200" dataCellStyle="Percent"/>
    <tableColumn id="5" xr3:uid="{EE5E2F6D-35B4-4D80-9B8F-1784597A84A5}" name="סוג מטבע" dataDxfId="199" dataCellStyle="Percent"/>
    <tableColumn id="6" xr3:uid="{F01A2AAA-3635-49A7-9BDE-0B7A6E9E5E48}" name="שווי משוערך" dataDxfId="198" dataCellStyle="Comma"/>
    <tableColumn id="7" xr3:uid="{498BF6A6-4E4C-4101-8319-0F449E845FCC}" name="שעור מנכסי אפיק ההשקעה" dataDxfId="197" dataCellStyle="Percent"/>
    <tableColumn id="8" xr3:uid="{38356521-8960-46FA-A408-32334C411DA6}" name="שעור מנכסי השקעה" dataDxfId="196" dataCellStyle="Percent"/>
    <tableColumn id="9" xr3:uid="{178F6286-A2F8-4A3D-B4C6-86030AD5E558}" name="כתובת הנכס" dataDxfId="19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E3D484E-777C-42C1-B7AE-AF2E3A55BFE7}" name="טבלה26" displayName="טבלה26" ref="A6:J11" totalsRowShown="0" headerRowDxfId="190" headerRowBorderDxfId="191" tableBorderDxfId="192" headerRowCellStyle="Percent">
  <autoFilter ref="A6:J11" xr:uid="{3B3FCBAB-5388-43AA-BA00-5D848DBED0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4709CC3-4671-4E03-874A-508769ECF9FC}" name="שם המנפיק/שם נייר ערך"/>
    <tableColumn id="2" xr3:uid="{30EEC22C-AFFB-4A5A-A7BA-F7F3FDE65A80}" name="מספר מנפיק"/>
    <tableColumn id="3" xr3:uid="{FE8AF944-8E51-4FFE-AA9F-C0EAD7B00C5B}" name="דירוג"/>
    <tableColumn id="4" xr3:uid="{9D9A268B-2046-4382-B2BD-1D85D910BB67}" name="שם המדרג"/>
    <tableColumn id="5" xr3:uid="{140B66A2-30A3-44C9-AA5B-2F2463AEC6BE}" name="שעור הריבית"/>
    <tableColumn id="6" xr3:uid="{CDB7A012-7B10-4EDD-817F-043DE30865F2}" name="סוג מטבע"/>
    <tableColumn id="7" xr3:uid="{B2144630-BF1E-4E0C-844D-74BF0A687208}" name="תשואה לפדיון"/>
    <tableColumn id="8" xr3:uid="{B4EE544C-CA1A-473F-9C37-06BD83E76472}" name="שווי הוגן"/>
    <tableColumn id="9" xr3:uid="{DB6A6ACE-8979-4437-ACAB-0B1FCA39499C}" name="שעור מנכסי אפיק ההשקעה"/>
    <tableColumn id="10" xr3:uid="{FA909FAD-968C-41EB-B28B-9AA9A0D393D2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7112A7A-9463-44A9-ADA2-E5E6E8FB89BC}" name="טבלה27" displayName="טבלה27" ref="A6:J13" totalsRowShown="0" headerRowDxfId="187" headerRowBorderDxfId="188" tableBorderDxfId="189" headerRowCellStyle="Percent">
  <autoFilter ref="A6:J13" xr:uid="{6AC769E5-4734-4E90-ACAB-2C76CF8C44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2A7B0AA-B88B-4BF5-9E7B-103A20F8B06C}" name="שם המנפיק/שם נייר ערך"/>
    <tableColumn id="2" xr3:uid="{9C6D89EC-F93D-4FF3-AE8F-18244024BB67}" name="מספר נייר"/>
    <tableColumn id="3" xr3:uid="{9A3218EC-4C55-497B-B99A-3ED9C89C4327}" name="דירוג"/>
    <tableColumn id="4" xr3:uid="{A51DB9AD-9EC3-4AA7-80C7-15E861042FE6}" name="שם מדרג"/>
    <tableColumn id="5" xr3:uid="{7F1257C1-6C18-47FD-9A3E-54268DF8ABF2}" name="שעור ריבית"/>
    <tableColumn id="6" xr3:uid="{70A0A307-FC8D-423B-8791-EE9E825E121A}" name="סוג מטבע"/>
    <tableColumn id="7" xr3:uid="{396780ED-65D3-45CB-B8AF-8ECF6919271C}" name="תשואה לפדיון"/>
    <tableColumn id="8" xr3:uid="{99B15C5A-AAEB-4FE0-88F7-3175F8A8D896}" name="שווי הוגן"/>
    <tableColumn id="9" xr3:uid="{21C99E09-ADA9-4773-8C14-97E00A8EC9AC}" name="שעור מנכסי אפיק ההשקעה"/>
    <tableColumn id="10" xr3:uid="{34CCE66C-9332-4683-A96F-D3CD87C039B4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DAA8773-649A-4D16-94CF-EEFFD5313C29}" name="טבלה28" displayName="טבלה28" ref="A6:C16" totalsRowShown="0" headerRowBorderDxfId="185" tableBorderDxfId="186">
  <autoFilter ref="A6:C16" xr:uid="{B2A9D935-5F47-4960-B42D-D0180D68E951}">
    <filterColumn colId="0" hiddenButton="1"/>
    <filterColumn colId="1" hiddenButton="1"/>
    <filterColumn colId="2" hiddenButton="1"/>
  </autoFilter>
  <tableColumns count="3">
    <tableColumn id="1" xr3:uid="{FB95526D-4681-4558-802A-6A515E99ACF5}" name="שם המנפיק/שם נייר ערך" dataDxfId="184"/>
    <tableColumn id="2" xr3:uid="{76B6CB00-E97A-4CB8-82D3-74664F80373E}" name="סכום ההתחייבות" dataDxfId="183"/>
    <tableColumn id="3" xr3:uid="{CEB8A065-3FDA-41B2-9DFB-208FEB5F1E04}" name="תאריך סיום ההתחייבות" dataDxfId="18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0F1E2AD-564C-46EB-B327-4ECFE138F093}" name="טבלה29" displayName="טבלה29" ref="A6:O19" totalsRowShown="0" headerRowDxfId="164" headerRowBorderDxfId="180" tableBorderDxfId="181" headerRowCellStyle="Percent">
  <autoFilter ref="A6:O19" xr:uid="{889F2034-5D0D-42D0-B4F1-00B49A9A8F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6C91DFB-9A0B-456A-8B2B-55F45214BFB6}" name="שם המנפיק/שם נייר ערך" dataDxfId="179"/>
    <tableColumn id="2" xr3:uid="{4484944D-3992-4EDE-9E3A-F821B9D42BFE}" name="מספר ני&quot;ע" dataDxfId="178" dataCellStyle="Percent"/>
    <tableColumn id="3" xr3:uid="{B66CA9EC-7DAB-49A0-9E43-6D444C87DB36}" name="ענף מסחר" dataDxfId="177" dataCellStyle="Percent"/>
    <tableColumn id="4" xr3:uid="{FDFDF567-A74E-4833-9B30-1A96DF29A057}" name="דירוג" dataDxfId="176" dataCellStyle="Percent"/>
    <tableColumn id="5" xr3:uid="{3699BBC5-FDC9-451C-A656-2D8B684CE726}" name="שם מדרג" dataDxfId="175" dataCellStyle="Percent"/>
    <tableColumn id="6" xr3:uid="{34D04E6A-3C7F-4C77-80E1-586AC56F19FB}" name="תאריך רכישה" dataDxfId="174" dataCellStyle="Percent"/>
    <tableColumn id="7" xr3:uid="{A215E64E-8807-4761-AE8F-29880EBC8805}" name="מח&quot;מ" dataDxfId="173" dataCellStyle="Percent"/>
    <tableColumn id="8" xr3:uid="{41C1B251-3334-4F62-85E5-974995B19793}" name="סוג מטבע" dataDxfId="172" dataCellStyle="Percent"/>
    <tableColumn id="9" xr3:uid="{A4FAF992-3132-4C7F-80C3-E4C5D8822347}" name="שיעור ריבית" dataDxfId="171" dataCellStyle="Percent"/>
    <tableColumn id="10" xr3:uid="{EDCF23A3-54B3-482D-B905-3E0EE75DD8D8}" name="ריבית אפקטיבית" dataDxfId="170" dataCellStyle="Percent"/>
    <tableColumn id="11" xr3:uid="{D098447A-9AAE-477C-8081-A6B999C3D899}" name="ערך נקוב" dataDxfId="169" dataCellStyle="Comma"/>
    <tableColumn id="12" xr3:uid="{AA0748F6-6E37-43FC-8F88-2F1AD843A7FB}" name="עלות מתואמת" dataDxfId="168" dataCellStyle="Percent"/>
    <tableColumn id="13" xr3:uid="{87420F61-1C6E-4C2C-AC49-234CBAEF58D9}" name="שעור מערך נקוב מונפק" dataDxfId="167" dataCellStyle="Comma"/>
    <tableColumn id="14" xr3:uid="{EDCCED53-B159-462F-87E0-94E059EFE397}" name="שעור מנכסי אפיק ההשקעה" dataDxfId="166" dataCellStyle="Percent"/>
    <tableColumn id="15" xr3:uid="{92E68FAD-0E61-4EDB-B389-8AB45E06CC3F}" name="שעור מסך נכסי השקעה**" dataDxfId="16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B84A678-4564-49AE-AB59-F8FA0198B80A}" name="טבלה30" displayName="טבלה30" ref="A6:O18" totalsRowShown="0" headerRowDxfId="146" headerRowBorderDxfId="162" tableBorderDxfId="163" headerRowCellStyle="Percent">
  <autoFilter ref="A6:O18" xr:uid="{53D97CC7-344B-4332-8568-11D1D60A0F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F4D30D1-A802-4AA4-AEE7-90DF2F65D74D}" name="שם המנפיק/שם נייר ערך" dataDxfId="161"/>
    <tableColumn id="2" xr3:uid="{C4C73874-976D-4F92-BE3D-1447B0978380}" name="מספר ני&quot;ע" dataDxfId="160" dataCellStyle="Percent"/>
    <tableColumn id="3" xr3:uid="{9CC850E3-031C-4D44-ADEC-7B2748179743}" name="ענף מסחר" dataDxfId="159" dataCellStyle="Percent"/>
    <tableColumn id="4" xr3:uid="{E15B05B2-965D-43A4-A74C-13284834A614}" name="דירוג" dataDxfId="158" dataCellStyle="Percent"/>
    <tableColumn id="5" xr3:uid="{D224FC2A-65D1-472C-9ADE-CA6058F296E6}" name="שם מדרג" dataDxfId="157" dataCellStyle="Percent"/>
    <tableColumn id="6" xr3:uid="{1599921D-9CAE-47E7-9589-A3A008DC5C93}" name="תאריך רכישה" dataDxfId="156" dataCellStyle="Percent"/>
    <tableColumn id="7" xr3:uid="{BED80E7E-2A3F-4C5F-9E7D-EF6E9C4A3624}" name="מח&quot;מ" dataDxfId="155" dataCellStyle="Percent"/>
    <tableColumn id="8" xr3:uid="{47ABBC75-2A10-4E61-B11C-3E865CEE3476}" name="סוג מטבע" dataDxfId="154" dataCellStyle="Percent"/>
    <tableColumn id="9" xr3:uid="{2C185F7A-9D13-4DFE-B62A-FB615FED3D11}" name="שיעור ריבית" dataDxfId="153" dataCellStyle="Percent"/>
    <tableColumn id="10" xr3:uid="{ADBF0276-2D1D-40AD-9B49-00F0ABAD5604}" name="ריבית אפקטיבית" dataDxfId="152" dataCellStyle="Percent"/>
    <tableColumn id="11" xr3:uid="{E87911B3-F65A-4B78-96D1-0161E28246B2}" name="ערך נקוב" dataDxfId="151" dataCellStyle="Comma"/>
    <tableColumn id="12" xr3:uid="{0D166792-3CE9-45C9-8E13-0BF98BF18B7F}" name="עלות מתואמת" dataDxfId="150" dataCellStyle="Percent"/>
    <tableColumn id="13" xr3:uid="{CC62F09C-CF19-4C52-A3E8-10B4547CAC60}" name="שעור מערך נקוב מונפק" dataDxfId="149" dataCellStyle="Comma"/>
    <tableColumn id="14" xr3:uid="{18911CAF-DEE6-43C6-8CDC-F2FFF6BD78BD}" name="שעור מנכסי אפיק ההשקעה" dataDxfId="148" dataCellStyle="Percent"/>
    <tableColumn id="15" xr3:uid="{43EECFB4-90F4-4496-9BFB-B58D99F1AD85}" name="שעור מסך נכסי השקעה**" dataDxfId="14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BEE2D6C-0233-450A-A3DC-D3821976D0DF}" name="טבלה31" displayName="טבלה31" ref="A6:O19" totalsRowShown="0" headerRowDxfId="0" headerRowBorderDxfId="16" tableBorderDxfId="17" headerRowCellStyle="Percent">
  <autoFilter ref="A6:O19" xr:uid="{AD696A31-B7B0-4785-A372-4FE97D79EC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7DF14BB-5E6F-4DA9-8025-C886F829A64B}" name="שם המנפיק/שם נייר ערך" dataDxfId="15"/>
    <tableColumn id="2" xr3:uid="{E202E80A-6216-49AA-A8C5-EA241CF3CBD6}" name="מספר ני&quot;ע" dataDxfId="14" dataCellStyle="Percent"/>
    <tableColumn id="3" xr3:uid="{A8EFFFF2-411B-4CDE-9E28-06224FDD383A}" name="ענף מסחר" dataDxfId="13" dataCellStyle="Percent"/>
    <tableColumn id="4" xr3:uid="{83EA5F74-E070-4A11-846B-3A9D03AC1966}" name="דירוג" dataDxfId="12" dataCellStyle="Percent"/>
    <tableColumn id="5" xr3:uid="{097FA9C7-E317-4BA6-BC80-90CE44153950}" name="שם מדרג" dataDxfId="11" dataCellStyle="Percent"/>
    <tableColumn id="6" xr3:uid="{AF5B1BC1-650B-4A82-A6CB-6BC29B62F571}" name="תאריך רכישה" dataDxfId="10" dataCellStyle="Percent"/>
    <tableColumn id="7" xr3:uid="{CFAAE9F6-FD83-4D4C-82BE-45317B771E1C}" name="מח&quot;מ" dataDxfId="9" dataCellStyle="Percent"/>
    <tableColumn id="8" xr3:uid="{BA69A866-A60B-44DB-996D-13D1B5213809}" name="סוג מטבע" dataDxfId="8" dataCellStyle="Percent"/>
    <tableColumn id="9" xr3:uid="{BF302C2D-5F23-4F81-83BA-3DE6D8542B98}" name="שיעור ריבית" dataDxfId="7" dataCellStyle="Percent"/>
    <tableColumn id="10" xr3:uid="{2A14988A-0385-4CEF-8975-2D9C8A452E4B}" name="ריבית אפקטיבית" dataDxfId="6" dataCellStyle="Percent"/>
    <tableColumn id="11" xr3:uid="{DCA33A44-2806-486A-9C32-363F507A849E}" name="ערך נקוב" dataDxfId="5" dataCellStyle="Comma"/>
    <tableColumn id="12" xr3:uid="{308CC99D-FF41-4050-A476-5CB4D169EEBF}" name="עלות מתואמת" dataDxfId="4" dataCellStyle="Percent"/>
    <tableColumn id="13" xr3:uid="{1AA0CA39-CAA5-49C4-B5F5-C88D3DCEC7AE}" name="שעור מערך נקוב מונפק" dataDxfId="3" dataCellStyle="Comma"/>
    <tableColumn id="14" xr3:uid="{4C2D586A-AAF3-49B5-8F32-53BE7795D510}" name="שעור מנכסי אפיק ההשקעה" dataDxfId="2" dataCellStyle="Percent"/>
    <tableColumn id="15" xr3:uid="{81B15795-5C2D-4C71-B773-6733BB85CB92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B7F3-0F08-40CF-8015-9A44898C3C49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227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228</v>
      </c>
      <c r="B3" s="56" t="s">
        <v>229</v>
      </c>
      <c r="C3" s="56"/>
      <c r="D3" s="60" t="s">
        <v>240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230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09" t="s">
        <v>995</v>
      </c>
      <c r="B6" s="204" t="s">
        <v>29</v>
      </c>
      <c r="C6" s="205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193"/>
      <c r="B7" s="61" t="s">
        <v>10</v>
      </c>
      <c r="C7" s="200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194"/>
      <c r="B8" s="55" t="s">
        <v>49</v>
      </c>
      <c r="C8" s="201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195" t="s">
        <v>99</v>
      </c>
      <c r="B9" s="55"/>
      <c r="C9" s="201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196" t="s">
        <v>43</v>
      </c>
      <c r="B10" s="114">
        <v>27746.231130899996</v>
      </c>
      <c r="C10" s="202">
        <v>1.1594960769441238E-2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197" t="s">
        <v>45</v>
      </c>
      <c r="B11" s="114">
        <v>1237.8879255000002</v>
      </c>
      <c r="C11" s="202">
        <v>5.1730492207832798E-4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198" t="s">
        <v>12</v>
      </c>
      <c r="B12" s="114">
        <v>6.9999999999999997E-7</v>
      </c>
      <c r="C12" s="202">
        <v>2.9252522623044963E-13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198" t="s">
        <v>18</v>
      </c>
      <c r="B13" s="114">
        <v>0</v>
      </c>
      <c r="C13" s="202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198" t="s">
        <v>20</v>
      </c>
      <c r="B14" s="114">
        <v>1237.8879205999999</v>
      </c>
      <c r="C14" s="202">
        <v>5.1730492003065128E-4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198" t="s">
        <v>21</v>
      </c>
      <c r="B15" s="114">
        <v>6.9999999999999997E-7</v>
      </c>
      <c r="C15" s="202">
        <v>2.9252522623044963E-13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198" t="s">
        <v>160</v>
      </c>
      <c r="B16" s="114">
        <v>9.9999999999999995E-7</v>
      </c>
      <c r="C16" s="202">
        <v>4.178931803292138E-13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198" t="s">
        <v>44</v>
      </c>
      <c r="B17" s="114">
        <v>0</v>
      </c>
      <c r="C17" s="202">
        <v>0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198" t="s">
        <v>23</v>
      </c>
      <c r="B18" s="114">
        <v>2.0000000000000002E-7</v>
      </c>
      <c r="C18" s="202">
        <v>8.3578636065842763E-14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198" t="s">
        <v>24</v>
      </c>
      <c r="B19" s="114">
        <v>9.0000000000000007E-7</v>
      </c>
      <c r="C19" s="202">
        <v>3.7610386229629243E-13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198" t="s">
        <v>25</v>
      </c>
      <c r="B20" s="114">
        <v>2.0000000000000002E-7</v>
      </c>
      <c r="C20" s="202">
        <v>8.3578636065842763E-14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198" t="s">
        <v>26</v>
      </c>
      <c r="B21" s="114">
        <v>1.2000000000000002E-6</v>
      </c>
      <c r="C21" s="202">
        <v>5.014718163950566E-13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195" t="s">
        <v>46</v>
      </c>
      <c r="B22" s="114">
        <v>2267632.9930362999</v>
      </c>
      <c r="C22" s="202">
        <v>0.94762836327939337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198" t="s">
        <v>12</v>
      </c>
      <c r="B23" s="114">
        <v>2128191.7296107006</v>
      </c>
      <c r="C23" s="202">
        <v>0.88935681023734592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198" t="s">
        <v>18</v>
      </c>
      <c r="B24" s="114">
        <v>6.0000000000000008E-7</v>
      </c>
      <c r="C24" s="202">
        <v>2.507359081975283E-13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198" t="s">
        <v>20</v>
      </c>
      <c r="B25" s="114">
        <v>139441.26342060001</v>
      </c>
      <c r="C25" s="202">
        <v>5.82715530399582E-2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198" t="s">
        <v>21</v>
      </c>
      <c r="B26" s="114">
        <v>3.0000000000000004E-7</v>
      </c>
      <c r="C26" s="202">
        <v>1.2536795409876415E-13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198" t="s">
        <v>30</v>
      </c>
      <c r="B27" s="114">
        <v>8.0000000000000007E-7</v>
      </c>
      <c r="C27" s="202">
        <v>3.3431454426337105E-13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198" t="s">
        <v>31</v>
      </c>
      <c r="B28" s="114">
        <v>2.0000000000000002E-7</v>
      </c>
      <c r="C28" s="202">
        <v>8.3578636065842763E-14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198" t="s">
        <v>32</v>
      </c>
      <c r="B29" s="114">
        <v>9.9999999999999995E-7</v>
      </c>
      <c r="C29" s="202">
        <v>4.178931803292138E-13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198" t="s">
        <v>33</v>
      </c>
      <c r="B30" s="114">
        <v>9.0000000000000007E-7</v>
      </c>
      <c r="C30" s="202">
        <v>3.7610386229629243E-13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198" t="s">
        <v>34</v>
      </c>
      <c r="B31" s="114">
        <v>1.2000000000000002E-6</v>
      </c>
      <c r="C31" s="202">
        <v>5.014718163950566E-13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198" t="s">
        <v>35</v>
      </c>
      <c r="B32" s="114">
        <v>20717.509691299998</v>
      </c>
      <c r="C32" s="202">
        <v>8.6577060133986652E-3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198" t="s">
        <v>37</v>
      </c>
      <c r="B33" s="114">
        <v>75706.986700599999</v>
      </c>
      <c r="C33" s="202">
        <v>3.1637433445455228E-2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198" t="s">
        <v>47</v>
      </c>
      <c r="B34" s="114">
        <v>4.0000000000000003E-7</v>
      </c>
      <c r="C34" s="202">
        <v>1.6715727213168553E-13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198" t="s">
        <v>86</v>
      </c>
      <c r="B35" s="114">
        <v>2.0000000000000002E-7</v>
      </c>
      <c r="C35" s="202">
        <v>8.3578636065842763E-14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198" t="s">
        <v>87</v>
      </c>
      <c r="B36" s="114">
        <v>-85.592279800000014</v>
      </c>
      <c r="C36" s="202">
        <v>-3.5768430017249931E-5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195" t="s">
        <v>95</v>
      </c>
      <c r="B37" s="98"/>
      <c r="C37" s="202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198" t="s">
        <v>96</v>
      </c>
      <c r="B38" s="98">
        <v>0</v>
      </c>
      <c r="C38" s="202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198" t="s">
        <v>97</v>
      </c>
      <c r="B39" s="98">
        <v>0</v>
      </c>
      <c r="C39" s="202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198" t="s">
        <v>98</v>
      </c>
      <c r="B40" s="98">
        <v>0</v>
      </c>
      <c r="C40" s="202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199" t="s">
        <v>48</v>
      </c>
      <c r="B41" s="65">
        <v>2392956.0162053993</v>
      </c>
      <c r="C41" s="203">
        <v>1.0000000000000004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06" t="s">
        <v>94</v>
      </c>
      <c r="B42" s="207">
        <v>20835.747300200001</v>
      </c>
      <c r="C42" s="208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15" t="s">
        <v>0</v>
      </c>
      <c r="C44" s="216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10" t="s">
        <v>49</v>
      </c>
      <c r="C45" s="201" t="s">
        <v>50</v>
      </c>
      <c r="D45" s="56"/>
      <c r="E45" s="130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11" t="s">
        <v>127</v>
      </c>
      <c r="C46" s="213">
        <v>3.5649999999999999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11" t="s">
        <v>128</v>
      </c>
      <c r="C47" s="213">
        <v>3.9003000000000001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12" t="s">
        <v>2</v>
      </c>
      <c r="C48" s="213">
        <v>4.3986000000000001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11" t="s">
        <v>134</v>
      </c>
      <c r="C49" s="213">
        <v>2.5002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12" t="s">
        <v>3</v>
      </c>
      <c r="C50" s="213">
        <v>2.1722000000000001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12" t="s">
        <v>65</v>
      </c>
      <c r="C51" s="213">
        <v>0.45679999999999998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11" t="s">
        <v>129</v>
      </c>
      <c r="C52" s="213">
        <v>2.1187999999999998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12" t="s">
        <v>92</v>
      </c>
      <c r="C53" s="214">
        <v>0.52229999999999999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11" t="s">
        <v>135</v>
      </c>
      <c r="C54" s="214">
        <v>0.35189999999999999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11" t="s">
        <v>994</v>
      </c>
      <c r="C55" s="213">
        <v>3.2787999999999999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11" t="s">
        <v>133</v>
      </c>
      <c r="C56" s="214">
        <v>0.14910000000000001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12" t="s">
        <v>91</v>
      </c>
      <c r="C57" s="214">
        <v>3.6854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12" t="s">
        <v>93</v>
      </c>
      <c r="C58" s="214">
        <v>0.50160000000000005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12" t="s">
        <v>130</v>
      </c>
      <c r="C59" s="214">
        <v>0.68520000000000003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11" t="s">
        <v>132</v>
      </c>
      <c r="C60" s="214">
        <v>0.14280000000000001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11" t="s">
        <v>153</v>
      </c>
      <c r="C61" s="214">
        <v>0.3402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11" t="s">
        <v>163</v>
      </c>
      <c r="C62" s="214">
        <v>0.4143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11" t="s">
        <v>154</v>
      </c>
      <c r="C63" s="214">
        <v>0.85519999999999996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11" t="s">
        <v>155</v>
      </c>
      <c r="C64" s="214">
        <v>4.7059999999999998E-2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11" t="s">
        <v>164</v>
      </c>
      <c r="C65" s="214">
        <v>2.2000000000000001E-4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11" t="s">
        <v>156</v>
      </c>
      <c r="C66" s="214">
        <v>4.5400000000000003E-2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11" t="s">
        <v>157</v>
      </c>
      <c r="C67" s="214">
        <v>2.9099999999999998E-3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17" t="s">
        <v>158</v>
      </c>
      <c r="C68" s="218">
        <v>6.9940000000000002E-2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45" priority="21" stopIfTrue="1">
      <formula>$F9&gt;0</formula>
    </cfRule>
    <cfRule type="expression" dxfId="14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0006-C2A2-4B62-BA1E-0AAAB89AB51A}">
  <sheetPr codeName="גיליון4">
    <pageSetUpPr fitToPage="1"/>
  </sheetPr>
  <dimension ref="A1:K39"/>
  <sheetViews>
    <sheetView rightToLeft="1" zoomScale="90" zoomScaleNormal="90" workbookViewId="0">
      <selection activeCell="A6" sqref="A6:K34"/>
    </sheetView>
  </sheetViews>
  <sheetFormatPr defaultRowHeight="12.75" x14ac:dyDescent="0.2"/>
  <cols>
    <col min="1" max="1" width="56" style="23" bestFit="1" customWidth="1"/>
    <col min="2" max="2" width="14.570312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" style="50" customWidth="1"/>
    <col min="7" max="7" width="11.85546875" style="81" customWidth="1"/>
    <col min="8" max="8" width="13.7109375" style="83" customWidth="1"/>
    <col min="9" max="9" width="10.710937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236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227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230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159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8" customFormat="1" ht="12.75" customHeight="1" thickBot="1" x14ac:dyDescent="0.25">
      <c r="A9" s="91" t="s">
        <v>78</v>
      </c>
      <c r="B9" s="139"/>
      <c r="C9" s="139"/>
      <c r="D9" s="139"/>
      <c r="E9" s="139"/>
      <c r="F9" s="139"/>
      <c r="G9" s="139"/>
      <c r="H9" s="139"/>
      <c r="I9" s="100">
        <v>27746.231130899996</v>
      </c>
      <c r="J9" s="96">
        <v>1</v>
      </c>
      <c r="K9" s="78">
        <v>1.1594960769441238E-2</v>
      </c>
    </row>
    <row r="10" spans="1:11" s="138" customFormat="1" x14ac:dyDescent="0.2">
      <c r="A10" s="140" t="s">
        <v>239</v>
      </c>
      <c r="B10" s="141" t="s">
        <v>240</v>
      </c>
      <c r="C10" s="141" t="s">
        <v>240</v>
      </c>
      <c r="D10" s="142" t="s">
        <v>240</v>
      </c>
      <c r="E10" s="142" t="s">
        <v>240</v>
      </c>
      <c r="F10" s="142" t="s">
        <v>240</v>
      </c>
      <c r="G10" s="141" t="s">
        <v>240</v>
      </c>
      <c r="H10" s="141" t="s">
        <v>240</v>
      </c>
      <c r="I10" s="143">
        <v>27746.231130699998</v>
      </c>
      <c r="J10" s="141">
        <v>0.99999999999279199</v>
      </c>
      <c r="K10" s="141">
        <v>1.1594960769357661E-2</v>
      </c>
    </row>
    <row r="11" spans="1:11" s="138" customFormat="1" x14ac:dyDescent="0.2">
      <c r="A11" s="144" t="s">
        <v>241</v>
      </c>
      <c r="B11" s="145" t="s">
        <v>240</v>
      </c>
      <c r="C11" s="145" t="s">
        <v>240</v>
      </c>
      <c r="D11" s="142" t="s">
        <v>240</v>
      </c>
      <c r="E11" s="146" t="s">
        <v>240</v>
      </c>
      <c r="F11" s="146" t="s">
        <v>240</v>
      </c>
      <c r="G11" s="145" t="s">
        <v>240</v>
      </c>
      <c r="H11" s="145" t="s">
        <v>240</v>
      </c>
      <c r="I11" s="147">
        <v>24763.673220100001</v>
      </c>
      <c r="J11" s="141">
        <v>0.89250583631596636</v>
      </c>
      <c r="K11" s="141">
        <v>1.0348570158580973E-2</v>
      </c>
    </row>
    <row r="12" spans="1:11" x14ac:dyDescent="0.2">
      <c r="A12" s="67" t="s">
        <v>970</v>
      </c>
      <c r="B12" s="38" t="s">
        <v>249</v>
      </c>
      <c r="C12" s="38" t="s">
        <v>250</v>
      </c>
      <c r="D12" s="85" t="s">
        <v>244</v>
      </c>
      <c r="E12" s="80" t="s">
        <v>245</v>
      </c>
      <c r="F12" s="80" t="s">
        <v>246</v>
      </c>
      <c r="G12" s="38">
        <v>0</v>
      </c>
      <c r="H12" s="38">
        <v>0</v>
      </c>
      <c r="I12" s="104">
        <v>1665.9659999999999</v>
      </c>
      <c r="J12" s="46">
        <v>6.004296555234389E-2</v>
      </c>
      <c r="K12" s="46">
        <v>6.9619583006033897E-4</v>
      </c>
    </row>
    <row r="13" spans="1:11" x14ac:dyDescent="0.2">
      <c r="A13" s="67" t="s">
        <v>971</v>
      </c>
      <c r="B13" s="38" t="s">
        <v>251</v>
      </c>
      <c r="C13" s="38" t="s">
        <v>250</v>
      </c>
      <c r="D13" s="85" t="s">
        <v>244</v>
      </c>
      <c r="E13" s="80" t="s">
        <v>245</v>
      </c>
      <c r="F13" s="80" t="s">
        <v>246</v>
      </c>
      <c r="G13" s="38">
        <v>0</v>
      </c>
      <c r="H13" s="38">
        <v>0</v>
      </c>
      <c r="I13" s="104">
        <v>20044.177920000002</v>
      </c>
      <c r="J13" s="46">
        <v>0.72241083213919854</v>
      </c>
      <c r="K13" s="46">
        <v>8.3763252580734068E-3</v>
      </c>
    </row>
    <row r="14" spans="1:11" x14ac:dyDescent="0.2">
      <c r="A14" s="67" t="s">
        <v>972</v>
      </c>
      <c r="B14" s="38" t="s">
        <v>252</v>
      </c>
      <c r="C14" s="38" t="s">
        <v>250</v>
      </c>
      <c r="D14" s="85" t="s">
        <v>244</v>
      </c>
      <c r="E14" s="80" t="s">
        <v>245</v>
      </c>
      <c r="F14" s="80" t="s">
        <v>246</v>
      </c>
      <c r="G14" s="38">
        <v>0</v>
      </c>
      <c r="H14" s="38">
        <v>0</v>
      </c>
      <c r="I14" s="104">
        <v>-18360.26009</v>
      </c>
      <c r="J14" s="46">
        <v>-0.66172086592159995</v>
      </c>
      <c r="K14" s="46">
        <v>-7.6726274806816373E-3</v>
      </c>
    </row>
    <row r="15" spans="1:11" x14ac:dyDescent="0.2">
      <c r="A15" s="67" t="s">
        <v>969</v>
      </c>
      <c r="B15" s="38" t="s">
        <v>253</v>
      </c>
      <c r="C15" s="38" t="s">
        <v>250</v>
      </c>
      <c r="D15" s="85" t="s">
        <v>244</v>
      </c>
      <c r="E15" s="80" t="s">
        <v>245</v>
      </c>
      <c r="F15" s="80" t="s">
        <v>246</v>
      </c>
      <c r="G15" s="38">
        <v>0</v>
      </c>
      <c r="H15" s="38">
        <v>0</v>
      </c>
      <c r="I15" s="104">
        <v>15377.769420000001</v>
      </c>
      <c r="J15" s="46">
        <v>0.55422912565859517</v>
      </c>
      <c r="K15" s="46">
        <v>6.4262649692931294E-3</v>
      </c>
    </row>
    <row r="16" spans="1:11" x14ac:dyDescent="0.2">
      <c r="A16" s="67" t="s">
        <v>973</v>
      </c>
      <c r="B16" s="38" t="s">
        <v>242</v>
      </c>
      <c r="C16" s="38" t="s">
        <v>243</v>
      </c>
      <c r="D16" s="85" t="s">
        <v>244</v>
      </c>
      <c r="E16" s="80" t="s">
        <v>245</v>
      </c>
      <c r="F16" s="80" t="s">
        <v>246</v>
      </c>
      <c r="G16" s="38">
        <v>0</v>
      </c>
      <c r="H16" s="38">
        <v>0</v>
      </c>
      <c r="I16" s="104">
        <v>6035.9240799999998</v>
      </c>
      <c r="J16" s="46">
        <v>0.21754032291895692</v>
      </c>
      <c r="K16" s="46">
        <v>2.522371510016884E-3</v>
      </c>
    </row>
    <row r="17" spans="1:11" x14ac:dyDescent="0.2">
      <c r="A17" s="67" t="s">
        <v>974</v>
      </c>
      <c r="B17" s="38" t="s">
        <v>247</v>
      </c>
      <c r="C17" s="38" t="s">
        <v>248</v>
      </c>
      <c r="D17" s="85" t="s">
        <v>244</v>
      </c>
      <c r="E17" s="80" t="s">
        <v>245</v>
      </c>
      <c r="F17" s="80" t="s">
        <v>246</v>
      </c>
      <c r="G17" s="38">
        <v>0</v>
      </c>
      <c r="H17" s="38">
        <v>0</v>
      </c>
      <c r="I17" s="104">
        <v>9.5890000000000003E-2</v>
      </c>
      <c r="J17" s="46">
        <v>3.4559648677189423E-6</v>
      </c>
      <c r="K17" s="46">
        <v>4.0071777061768311E-8</v>
      </c>
    </row>
    <row r="18" spans="1:11" s="138" customFormat="1" x14ac:dyDescent="0.2">
      <c r="A18" s="144" t="s">
        <v>254</v>
      </c>
      <c r="B18" s="145" t="s">
        <v>240</v>
      </c>
      <c r="C18" s="145" t="s">
        <v>240</v>
      </c>
      <c r="D18" s="142" t="s">
        <v>240</v>
      </c>
      <c r="E18" s="146" t="s">
        <v>240</v>
      </c>
      <c r="F18" s="146" t="s">
        <v>240</v>
      </c>
      <c r="G18" s="145" t="s">
        <v>240</v>
      </c>
      <c r="H18" s="145" t="s">
        <v>240</v>
      </c>
      <c r="I18" s="147">
        <v>0</v>
      </c>
      <c r="J18" s="141">
        <v>0</v>
      </c>
      <c r="K18" s="141">
        <v>0</v>
      </c>
    </row>
    <row r="19" spans="1:11" s="138" customFormat="1" x14ac:dyDescent="0.2">
      <c r="A19" s="144" t="s">
        <v>255</v>
      </c>
      <c r="B19" s="145" t="s">
        <v>240</v>
      </c>
      <c r="C19" s="145" t="s">
        <v>240</v>
      </c>
      <c r="D19" s="142" t="s">
        <v>240</v>
      </c>
      <c r="E19" s="146" t="s">
        <v>240</v>
      </c>
      <c r="F19" s="146" t="s">
        <v>240</v>
      </c>
      <c r="G19" s="145" t="s">
        <v>240</v>
      </c>
      <c r="H19" s="145" t="s">
        <v>240</v>
      </c>
      <c r="I19" s="147">
        <v>2982.5579100999998</v>
      </c>
      <c r="J19" s="141">
        <v>0.10749416365880521</v>
      </c>
      <c r="K19" s="141">
        <v>1.2463906105677422E-3</v>
      </c>
    </row>
    <row r="20" spans="1:11" x14ac:dyDescent="0.2">
      <c r="A20" s="67" t="s">
        <v>975</v>
      </c>
      <c r="B20" s="38" t="s">
        <v>267</v>
      </c>
      <c r="C20" s="38" t="s">
        <v>268</v>
      </c>
      <c r="D20" s="85" t="s">
        <v>269</v>
      </c>
      <c r="E20" s="80" t="s">
        <v>270</v>
      </c>
      <c r="F20" s="80" t="s">
        <v>246</v>
      </c>
      <c r="G20" s="38">
        <v>0</v>
      </c>
      <c r="H20" s="38">
        <v>0</v>
      </c>
      <c r="I20" s="104">
        <v>27.071840000000002</v>
      </c>
      <c r="J20" s="46">
        <v>9.7569431582551227E-4</v>
      </c>
      <c r="K20" s="46">
        <v>1.1313137314963624E-5</v>
      </c>
    </row>
    <row r="21" spans="1:11" x14ac:dyDescent="0.2">
      <c r="A21" s="67" t="s">
        <v>976</v>
      </c>
      <c r="B21" s="38" t="s">
        <v>260</v>
      </c>
      <c r="C21" s="38" t="s">
        <v>261</v>
      </c>
      <c r="D21" s="85" t="s">
        <v>262</v>
      </c>
      <c r="E21" s="80" t="s">
        <v>263</v>
      </c>
      <c r="F21" s="80" t="s">
        <v>246</v>
      </c>
      <c r="G21" s="38">
        <v>0</v>
      </c>
      <c r="H21" s="38">
        <v>0</v>
      </c>
      <c r="I21" s="104">
        <v>54.097490000000001</v>
      </c>
      <c r="J21" s="46">
        <v>1.9497239010509626E-3</v>
      </c>
      <c r="K21" s="46">
        <v>2.2606972143927841E-5</v>
      </c>
    </row>
    <row r="22" spans="1:11" x14ac:dyDescent="0.2">
      <c r="A22" s="67" t="s">
        <v>977</v>
      </c>
      <c r="B22" s="38" t="s">
        <v>257</v>
      </c>
      <c r="C22" s="38" t="s">
        <v>258</v>
      </c>
      <c r="D22" s="85" t="s">
        <v>244</v>
      </c>
      <c r="E22" s="80" t="s">
        <v>245</v>
      </c>
      <c r="F22" s="80" t="s">
        <v>246</v>
      </c>
      <c r="G22" s="38">
        <v>0</v>
      </c>
      <c r="H22" s="38">
        <v>0</v>
      </c>
      <c r="I22" s="104">
        <v>503.79513000000003</v>
      </c>
      <c r="J22" s="46">
        <v>1.8157245487620162E-2</v>
      </c>
      <c r="K22" s="46">
        <v>2.1053254911006973E-4</v>
      </c>
    </row>
    <row r="23" spans="1:11" x14ac:dyDescent="0.2">
      <c r="A23" s="67" t="s">
        <v>978</v>
      </c>
      <c r="B23" s="38" t="s">
        <v>259</v>
      </c>
      <c r="C23" s="38" t="s">
        <v>250</v>
      </c>
      <c r="D23" s="85" t="s">
        <v>244</v>
      </c>
      <c r="E23" s="80" t="s">
        <v>245</v>
      </c>
      <c r="F23" s="80" t="s">
        <v>246</v>
      </c>
      <c r="G23" s="38">
        <v>0</v>
      </c>
      <c r="H23" s="38">
        <v>0</v>
      </c>
      <c r="I23" s="104">
        <v>1434.8222700000001</v>
      </c>
      <c r="J23" s="46">
        <v>5.1712330342483494E-2</v>
      </c>
      <c r="K23" s="46">
        <v>5.9960244161748192E-4</v>
      </c>
    </row>
    <row r="24" spans="1:11" x14ac:dyDescent="0.2">
      <c r="A24" s="67" t="s">
        <v>979</v>
      </c>
      <c r="B24" s="38" t="s">
        <v>256</v>
      </c>
      <c r="C24" s="38" t="s">
        <v>243</v>
      </c>
      <c r="D24" s="85" t="s">
        <v>244</v>
      </c>
      <c r="E24" s="80" t="s">
        <v>245</v>
      </c>
      <c r="F24" s="80" t="s">
        <v>246</v>
      </c>
      <c r="G24" s="38">
        <v>0</v>
      </c>
      <c r="H24" s="38">
        <v>0</v>
      </c>
      <c r="I24" s="104">
        <v>27.22073</v>
      </c>
      <c r="J24" s="46">
        <v>9.810604500329861E-4</v>
      </c>
      <c r="K24" s="46">
        <v>1.1375357430582839E-5</v>
      </c>
    </row>
    <row r="25" spans="1:11" x14ac:dyDescent="0.2">
      <c r="A25" s="67" t="s">
        <v>980</v>
      </c>
      <c r="B25" s="38" t="s">
        <v>266</v>
      </c>
      <c r="C25" s="38" t="s">
        <v>248</v>
      </c>
      <c r="D25" s="85" t="s">
        <v>244</v>
      </c>
      <c r="E25" s="80" t="s">
        <v>245</v>
      </c>
      <c r="F25" s="80" t="s">
        <v>246</v>
      </c>
      <c r="G25" s="38">
        <v>0</v>
      </c>
      <c r="H25" s="38">
        <v>0</v>
      </c>
      <c r="I25" s="104">
        <v>328.81617999999997</v>
      </c>
      <c r="J25" s="46">
        <v>1.1850841234931148E-2</v>
      </c>
      <c r="K25" s="46">
        <v>1.3741003920390323E-4</v>
      </c>
    </row>
    <row r="26" spans="1:11" x14ac:dyDescent="0.2">
      <c r="A26" s="67" t="s">
        <v>981</v>
      </c>
      <c r="B26" s="38" t="s">
        <v>264</v>
      </c>
      <c r="C26" s="38" t="s">
        <v>265</v>
      </c>
      <c r="D26" s="85" t="s">
        <v>244</v>
      </c>
      <c r="E26" s="80" t="s">
        <v>245</v>
      </c>
      <c r="F26" s="80" t="s">
        <v>246</v>
      </c>
      <c r="G26" s="38">
        <v>0</v>
      </c>
      <c r="H26" s="38">
        <v>0</v>
      </c>
      <c r="I26" s="104">
        <v>106.90275</v>
      </c>
      <c r="J26" s="46">
        <v>3.8528746299149146E-3</v>
      </c>
      <c r="K26" s="46">
        <v>4.4673930183438857E-5</v>
      </c>
    </row>
    <row r="27" spans="1:11" x14ac:dyDescent="0.2">
      <c r="A27" s="67" t="s">
        <v>982</v>
      </c>
      <c r="B27" s="38" t="s">
        <v>271</v>
      </c>
      <c r="C27" s="38" t="s">
        <v>238</v>
      </c>
      <c r="D27" s="85" t="s">
        <v>272</v>
      </c>
      <c r="E27" s="80" t="s">
        <v>245</v>
      </c>
      <c r="F27" s="80" t="s">
        <v>246</v>
      </c>
      <c r="G27" s="38">
        <v>0</v>
      </c>
      <c r="H27" s="38">
        <v>0</v>
      </c>
      <c r="I27" s="104">
        <v>499.83152000000001</v>
      </c>
      <c r="J27" s="46">
        <v>1.8014393293341931E-2</v>
      </c>
      <c r="K27" s="46">
        <v>2.0887618352158504E-4</v>
      </c>
    </row>
    <row r="28" spans="1:11" s="138" customFormat="1" x14ac:dyDescent="0.2">
      <c r="A28" s="144" t="s">
        <v>273</v>
      </c>
      <c r="B28" s="145" t="s">
        <v>240</v>
      </c>
      <c r="C28" s="145" t="s">
        <v>240</v>
      </c>
      <c r="D28" s="142" t="s">
        <v>240</v>
      </c>
      <c r="E28" s="146" t="s">
        <v>240</v>
      </c>
      <c r="F28" s="146" t="s">
        <v>240</v>
      </c>
      <c r="G28" s="145" t="s">
        <v>240</v>
      </c>
      <c r="H28" s="145" t="s">
        <v>240</v>
      </c>
      <c r="I28" s="147">
        <v>0</v>
      </c>
      <c r="J28" s="141">
        <v>0</v>
      </c>
      <c r="K28" s="141">
        <v>0</v>
      </c>
    </row>
    <row r="29" spans="1:11" s="138" customFormat="1" x14ac:dyDescent="0.2">
      <c r="A29" s="144" t="s">
        <v>274</v>
      </c>
      <c r="B29" s="145" t="s">
        <v>240</v>
      </c>
      <c r="C29" s="145" t="s">
        <v>240</v>
      </c>
      <c r="D29" s="142" t="s">
        <v>240</v>
      </c>
      <c r="E29" s="146" t="s">
        <v>240</v>
      </c>
      <c r="F29" s="146" t="s">
        <v>240</v>
      </c>
      <c r="G29" s="145" t="s">
        <v>240</v>
      </c>
      <c r="H29" s="145" t="s">
        <v>240</v>
      </c>
      <c r="I29" s="147">
        <v>0</v>
      </c>
      <c r="J29" s="141">
        <v>0</v>
      </c>
      <c r="K29" s="141">
        <v>0</v>
      </c>
    </row>
    <row r="30" spans="1:11" s="138" customFormat="1" x14ac:dyDescent="0.2">
      <c r="A30" s="144" t="s">
        <v>275</v>
      </c>
      <c r="B30" s="145" t="s">
        <v>240</v>
      </c>
      <c r="C30" s="145" t="s">
        <v>240</v>
      </c>
      <c r="D30" s="142" t="s">
        <v>240</v>
      </c>
      <c r="E30" s="146" t="s">
        <v>240</v>
      </c>
      <c r="F30" s="146" t="s">
        <v>240</v>
      </c>
      <c r="G30" s="145" t="s">
        <v>240</v>
      </c>
      <c r="H30" s="145" t="s">
        <v>240</v>
      </c>
      <c r="I30" s="147">
        <v>0</v>
      </c>
      <c r="J30" s="141">
        <v>0</v>
      </c>
      <c r="K30" s="141">
        <v>0</v>
      </c>
    </row>
    <row r="31" spans="1:11" s="138" customFormat="1" x14ac:dyDescent="0.2">
      <c r="A31" s="144" t="s">
        <v>276</v>
      </c>
      <c r="B31" s="145" t="s">
        <v>240</v>
      </c>
      <c r="C31" s="145" t="s">
        <v>240</v>
      </c>
      <c r="D31" s="142" t="s">
        <v>240</v>
      </c>
      <c r="E31" s="146" t="s">
        <v>240</v>
      </c>
      <c r="F31" s="146" t="s">
        <v>240</v>
      </c>
      <c r="G31" s="145" t="s">
        <v>240</v>
      </c>
      <c r="H31" s="145" t="s">
        <v>240</v>
      </c>
      <c r="I31" s="147">
        <v>0</v>
      </c>
      <c r="J31" s="141">
        <v>0</v>
      </c>
      <c r="K31" s="141">
        <v>0</v>
      </c>
    </row>
    <row r="32" spans="1:11" s="138" customFormat="1" x14ac:dyDescent="0.2">
      <c r="A32" s="144" t="s">
        <v>277</v>
      </c>
      <c r="B32" s="145" t="s">
        <v>240</v>
      </c>
      <c r="C32" s="145" t="s">
        <v>240</v>
      </c>
      <c r="D32" s="142" t="s">
        <v>240</v>
      </c>
      <c r="E32" s="146" t="s">
        <v>240</v>
      </c>
      <c r="F32" s="146" t="s">
        <v>240</v>
      </c>
      <c r="G32" s="145" t="s">
        <v>240</v>
      </c>
      <c r="H32" s="145" t="s">
        <v>240</v>
      </c>
      <c r="I32" s="147">
        <v>0</v>
      </c>
      <c r="J32" s="141">
        <v>0</v>
      </c>
      <c r="K32" s="141">
        <v>0</v>
      </c>
    </row>
    <row r="33" spans="1:11" s="138" customFormat="1" x14ac:dyDescent="0.2">
      <c r="A33" s="144" t="s">
        <v>254</v>
      </c>
      <c r="B33" s="145" t="s">
        <v>240</v>
      </c>
      <c r="C33" s="145" t="s">
        <v>240</v>
      </c>
      <c r="D33" s="142" t="s">
        <v>240</v>
      </c>
      <c r="E33" s="146" t="s">
        <v>240</v>
      </c>
      <c r="F33" s="146" t="s">
        <v>240</v>
      </c>
      <c r="G33" s="145" t="s">
        <v>240</v>
      </c>
      <c r="H33" s="145" t="s">
        <v>240</v>
      </c>
      <c r="I33" s="147">
        <v>0</v>
      </c>
      <c r="J33" s="141">
        <v>0</v>
      </c>
      <c r="K33" s="141">
        <v>0</v>
      </c>
    </row>
    <row r="34" spans="1:11" s="138" customFormat="1" x14ac:dyDescent="0.2">
      <c r="A34" s="219" t="s">
        <v>276</v>
      </c>
      <c r="B34" s="220" t="s">
        <v>240</v>
      </c>
      <c r="C34" s="220" t="s">
        <v>240</v>
      </c>
      <c r="D34" s="221" t="s">
        <v>240</v>
      </c>
      <c r="E34" s="222" t="s">
        <v>240</v>
      </c>
      <c r="F34" s="222" t="s">
        <v>240</v>
      </c>
      <c r="G34" s="220" t="s">
        <v>240</v>
      </c>
      <c r="H34" s="220" t="s">
        <v>240</v>
      </c>
      <c r="I34" s="223">
        <v>0</v>
      </c>
      <c r="J34" s="224">
        <v>0</v>
      </c>
      <c r="K34" s="224">
        <v>0</v>
      </c>
    </row>
    <row r="35" spans="1:11" s="138" customFormat="1" x14ac:dyDescent="0.2">
      <c r="A35" s="97" t="s">
        <v>231</v>
      </c>
      <c r="B35" s="148"/>
      <c r="C35" s="148"/>
      <c r="D35" s="148"/>
      <c r="E35" s="149"/>
      <c r="F35" s="150"/>
      <c r="G35" s="151"/>
      <c r="H35" s="152"/>
      <c r="I35" s="151"/>
      <c r="J35" s="153"/>
    </row>
    <row r="36" spans="1:11" s="138" customFormat="1" x14ac:dyDescent="0.2">
      <c r="A36" s="97" t="s">
        <v>232</v>
      </c>
      <c r="B36" s="148"/>
      <c r="C36" s="148"/>
      <c r="D36" s="148"/>
      <c r="E36" s="149"/>
      <c r="F36" s="150"/>
      <c r="G36" s="151"/>
      <c r="H36" s="152"/>
      <c r="I36" s="151"/>
      <c r="J36" s="153"/>
    </row>
    <row r="37" spans="1:11" s="138" customFormat="1" x14ac:dyDescent="0.2">
      <c r="A37" s="97" t="s">
        <v>233</v>
      </c>
      <c r="B37" s="148"/>
      <c r="C37" s="148"/>
      <c r="D37" s="148"/>
      <c r="E37" s="149"/>
      <c r="F37" s="150"/>
      <c r="G37" s="151"/>
      <c r="H37" s="152"/>
      <c r="I37" s="151"/>
      <c r="J37" s="153"/>
    </row>
    <row r="38" spans="1:11" s="138" customFormat="1" x14ac:dyDescent="0.2">
      <c r="A38" s="97" t="s">
        <v>234</v>
      </c>
      <c r="B38" s="148"/>
      <c r="C38" s="148"/>
      <c r="D38" s="148"/>
      <c r="E38" s="149"/>
      <c r="F38" s="150"/>
      <c r="G38" s="151"/>
      <c r="H38" s="152"/>
      <c r="I38" s="151"/>
      <c r="J38" s="153"/>
    </row>
    <row r="39" spans="1:11" s="138" customFormat="1" x14ac:dyDescent="0.2">
      <c r="A39" s="97" t="s">
        <v>235</v>
      </c>
      <c r="B39" s="148"/>
      <c r="C39" s="148"/>
      <c r="D39" s="148"/>
      <c r="E39" s="149"/>
      <c r="F39" s="150"/>
      <c r="G39" s="151"/>
      <c r="H39" s="152"/>
      <c r="I39" s="151"/>
      <c r="J39" s="153"/>
    </row>
  </sheetData>
  <mergeCells count="1">
    <mergeCell ref="A5:K5"/>
  </mergeCells>
  <conditionalFormatting sqref="G1:G4 G10:H34 G35:G55569">
    <cfRule type="expression" dxfId="143" priority="34" stopIfTrue="1">
      <formula>LEFT(#REF!,3)="TIR"</formula>
    </cfRule>
  </conditionalFormatting>
  <conditionalFormatting sqref="G6">
    <cfRule type="expression" dxfId="142" priority="37" stopIfTrue="1">
      <formula>LEFT(#REF!,3)="TIR"</formula>
    </cfRule>
  </conditionalFormatting>
  <conditionalFormatting sqref="B10:F34 J10:K34">
    <cfRule type="expression" dxfId="141" priority="38" stopIfTrue="1">
      <formula>LEFT(#REF!,3)="TIR"</formula>
    </cfRule>
  </conditionalFormatting>
  <conditionalFormatting sqref="A10:A34 I10:J34">
    <cfRule type="expression" dxfId="140" priority="40" stopIfTrue="1">
      <formula>#REF!&gt;0</formula>
    </cfRule>
  </conditionalFormatting>
  <conditionalFormatting sqref="A10:A34 I10:K34">
    <cfRule type="expression" dxfId="13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FCC7-64C7-4107-A447-0B47F1C2E64A}">
  <sheetPr codeName="גיליון2">
    <pageSetUpPr fitToPage="1"/>
  </sheetPr>
  <dimension ref="A1:Q25"/>
  <sheetViews>
    <sheetView rightToLeft="1" zoomScale="80" zoomScaleNormal="80" workbookViewId="0">
      <selection activeCell="A7" sqref="A7:Q20"/>
    </sheetView>
  </sheetViews>
  <sheetFormatPr defaultRowHeight="12.75" x14ac:dyDescent="0.2"/>
  <cols>
    <col min="1" max="1" width="35.5703125" style="23" bestFit="1" customWidth="1"/>
    <col min="2" max="2" width="15.2851562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1.28515625" style="50" customWidth="1"/>
    <col min="9" max="9" width="12.5703125" style="81" customWidth="1"/>
    <col min="10" max="10" width="14.140625" style="83" customWidth="1"/>
    <col min="11" max="11" width="10.5703125" style="83" customWidth="1"/>
    <col min="12" max="12" width="8.85546875" style="83" bestFit="1" customWidth="1"/>
    <col min="13" max="13" width="16.5703125" style="83" customWidth="1"/>
    <col min="14" max="14" width="10.42578125" style="8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236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227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228</v>
      </c>
      <c r="B3" s="22" t="s">
        <v>229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230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25" t="s">
        <v>159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137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8" customFormat="1" ht="12.75" customHeight="1" thickBot="1" x14ac:dyDescent="0.25">
      <c r="A10" s="120" t="s">
        <v>52</v>
      </c>
      <c r="B10" s="86"/>
      <c r="C10" s="86"/>
      <c r="D10" s="121"/>
      <c r="E10" s="121"/>
      <c r="F10" s="121"/>
      <c r="G10" s="121"/>
      <c r="H10" s="121"/>
      <c r="I10" s="86"/>
      <c r="J10" s="86"/>
      <c r="K10" s="124"/>
      <c r="L10" s="121"/>
      <c r="M10" s="121" t="s">
        <v>240</v>
      </c>
      <c r="N10" s="125">
        <v>6.9999999999999997E-7</v>
      </c>
      <c r="O10" s="86"/>
      <c r="P10" s="86">
        <v>1</v>
      </c>
      <c r="Q10" s="101">
        <v>0</v>
      </c>
    </row>
    <row r="11" spans="1:17" s="138" customFormat="1" x14ac:dyDescent="0.2">
      <c r="A11" s="111" t="s">
        <v>140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1" t="s">
        <v>240</v>
      </c>
      <c r="J11" s="141" t="s">
        <v>240</v>
      </c>
      <c r="K11" s="154" t="s">
        <v>240</v>
      </c>
      <c r="L11" s="142" t="s">
        <v>240</v>
      </c>
      <c r="M11" s="142" t="s">
        <v>240</v>
      </c>
      <c r="N11" s="155">
        <v>0</v>
      </c>
      <c r="O11" s="141" t="s">
        <v>240</v>
      </c>
      <c r="P11" s="141">
        <v>0</v>
      </c>
      <c r="Q11" s="141">
        <v>0</v>
      </c>
    </row>
    <row r="12" spans="1:17" s="138" customFormat="1" x14ac:dyDescent="0.2">
      <c r="A12" s="112" t="s">
        <v>278</v>
      </c>
      <c r="B12" s="145" t="s">
        <v>240</v>
      </c>
      <c r="C12" s="145" t="s">
        <v>240</v>
      </c>
      <c r="D12" s="142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45" t="s">
        <v>240</v>
      </c>
      <c r="J12" s="145" t="s">
        <v>240</v>
      </c>
      <c r="K12" s="156" t="s">
        <v>240</v>
      </c>
      <c r="L12" s="146" t="s">
        <v>240</v>
      </c>
      <c r="M12" s="146" t="s">
        <v>240</v>
      </c>
      <c r="N12" s="147">
        <v>0</v>
      </c>
      <c r="O12" s="145" t="s">
        <v>240</v>
      </c>
      <c r="P12" s="141">
        <v>0</v>
      </c>
      <c r="Q12" s="141">
        <v>0</v>
      </c>
    </row>
    <row r="13" spans="1:17" s="138" customFormat="1" x14ac:dyDescent="0.2">
      <c r="A13" s="112" t="s">
        <v>142</v>
      </c>
      <c r="B13" s="145" t="s">
        <v>240</v>
      </c>
      <c r="C13" s="145" t="s">
        <v>240</v>
      </c>
      <c r="D13" s="142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45" t="s">
        <v>240</v>
      </c>
      <c r="J13" s="145" t="s">
        <v>240</v>
      </c>
      <c r="K13" s="156" t="s">
        <v>240</v>
      </c>
      <c r="L13" s="146" t="s">
        <v>240</v>
      </c>
      <c r="M13" s="156" t="s">
        <v>240</v>
      </c>
      <c r="N13" s="147">
        <v>0</v>
      </c>
      <c r="O13" s="145" t="s">
        <v>240</v>
      </c>
      <c r="P13" s="141">
        <v>0</v>
      </c>
      <c r="Q13" s="141">
        <v>0</v>
      </c>
    </row>
    <row r="14" spans="1:17" s="138" customFormat="1" x14ac:dyDescent="0.2">
      <c r="A14" s="112" t="s">
        <v>279</v>
      </c>
      <c r="B14" s="145" t="s">
        <v>240</v>
      </c>
      <c r="C14" s="145" t="s">
        <v>240</v>
      </c>
      <c r="D14" s="142" t="s">
        <v>240</v>
      </c>
      <c r="E14" s="146" t="s">
        <v>240</v>
      </c>
      <c r="F14" s="146" t="s">
        <v>240</v>
      </c>
      <c r="G14" s="146" t="s">
        <v>240</v>
      </c>
      <c r="H14" s="146" t="s">
        <v>240</v>
      </c>
      <c r="I14" s="145" t="s">
        <v>240</v>
      </c>
      <c r="J14" s="145" t="s">
        <v>240</v>
      </c>
      <c r="K14" s="156" t="s">
        <v>240</v>
      </c>
      <c r="L14" s="146" t="s">
        <v>240</v>
      </c>
      <c r="M14" s="146" t="s">
        <v>240</v>
      </c>
      <c r="N14" s="147">
        <v>0</v>
      </c>
      <c r="O14" s="145" t="s">
        <v>240</v>
      </c>
      <c r="P14" s="141">
        <v>0</v>
      </c>
      <c r="Q14" s="141">
        <v>0</v>
      </c>
    </row>
    <row r="15" spans="1:17" s="138" customFormat="1" x14ac:dyDescent="0.2">
      <c r="A15" s="112" t="s">
        <v>280</v>
      </c>
      <c r="B15" s="145" t="s">
        <v>240</v>
      </c>
      <c r="C15" s="145" t="s">
        <v>240</v>
      </c>
      <c r="D15" s="142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45" t="s">
        <v>240</v>
      </c>
      <c r="J15" s="145" t="s">
        <v>240</v>
      </c>
      <c r="K15" s="156" t="s">
        <v>240</v>
      </c>
      <c r="L15" s="146" t="s">
        <v>240</v>
      </c>
      <c r="M15" s="146" t="s">
        <v>240</v>
      </c>
      <c r="N15" s="147">
        <v>0</v>
      </c>
      <c r="O15" s="145" t="s">
        <v>240</v>
      </c>
      <c r="P15" s="141">
        <v>0</v>
      </c>
      <c r="Q15" s="141">
        <v>0</v>
      </c>
    </row>
    <row r="16" spans="1:17" s="138" customFormat="1" x14ac:dyDescent="0.2">
      <c r="A16" s="112" t="s">
        <v>281</v>
      </c>
      <c r="B16" s="145" t="s">
        <v>240</v>
      </c>
      <c r="C16" s="145" t="s">
        <v>240</v>
      </c>
      <c r="D16" s="142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45" t="s">
        <v>240</v>
      </c>
      <c r="J16" s="145" t="s">
        <v>240</v>
      </c>
      <c r="K16" s="156" t="s">
        <v>240</v>
      </c>
      <c r="L16" s="146" t="s">
        <v>240</v>
      </c>
      <c r="M16" s="146" t="s">
        <v>240</v>
      </c>
      <c r="N16" s="147">
        <v>0</v>
      </c>
      <c r="O16" s="145" t="s">
        <v>240</v>
      </c>
      <c r="P16" s="141">
        <v>0</v>
      </c>
      <c r="Q16" s="141">
        <v>0</v>
      </c>
    </row>
    <row r="17" spans="1:17" s="138" customFormat="1" x14ac:dyDescent="0.2">
      <c r="A17" s="112" t="s">
        <v>282</v>
      </c>
      <c r="B17" s="145" t="s">
        <v>240</v>
      </c>
      <c r="C17" s="145" t="s">
        <v>240</v>
      </c>
      <c r="D17" s="142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45" t="s">
        <v>240</v>
      </c>
      <c r="J17" s="145" t="s">
        <v>240</v>
      </c>
      <c r="K17" s="156" t="s">
        <v>240</v>
      </c>
      <c r="L17" s="146" t="s">
        <v>240</v>
      </c>
      <c r="M17" s="146" t="s">
        <v>240</v>
      </c>
      <c r="N17" s="147">
        <v>0</v>
      </c>
      <c r="O17" s="145" t="s">
        <v>240</v>
      </c>
      <c r="P17" s="141">
        <v>0</v>
      </c>
      <c r="Q17" s="141">
        <v>0</v>
      </c>
    </row>
    <row r="18" spans="1:17" s="138" customFormat="1" x14ac:dyDescent="0.2">
      <c r="A18" s="112" t="s">
        <v>283</v>
      </c>
      <c r="B18" s="145" t="s">
        <v>240</v>
      </c>
      <c r="C18" s="145" t="s">
        <v>240</v>
      </c>
      <c r="D18" s="142" t="s">
        <v>240</v>
      </c>
      <c r="E18" s="146" t="s">
        <v>240</v>
      </c>
      <c r="F18" s="146" t="s">
        <v>240</v>
      </c>
      <c r="G18" s="146" t="s">
        <v>240</v>
      </c>
      <c r="H18" s="146" t="s">
        <v>240</v>
      </c>
      <c r="I18" s="145" t="s">
        <v>240</v>
      </c>
      <c r="J18" s="145" t="s">
        <v>240</v>
      </c>
      <c r="K18" s="156" t="s">
        <v>240</v>
      </c>
      <c r="L18" s="146" t="s">
        <v>240</v>
      </c>
      <c r="M18" s="146" t="s">
        <v>240</v>
      </c>
      <c r="N18" s="147">
        <v>0</v>
      </c>
      <c r="O18" s="145" t="s">
        <v>240</v>
      </c>
      <c r="P18" s="141">
        <v>0</v>
      </c>
      <c r="Q18" s="141">
        <v>0</v>
      </c>
    </row>
    <row r="19" spans="1:17" s="138" customFormat="1" x14ac:dyDescent="0.2">
      <c r="A19" s="112" t="s">
        <v>284</v>
      </c>
      <c r="B19" s="145" t="s">
        <v>240</v>
      </c>
      <c r="C19" s="145" t="s">
        <v>240</v>
      </c>
      <c r="D19" s="142" t="s">
        <v>240</v>
      </c>
      <c r="E19" s="146" t="s">
        <v>240</v>
      </c>
      <c r="F19" s="146" t="s">
        <v>240</v>
      </c>
      <c r="G19" s="146" t="s">
        <v>240</v>
      </c>
      <c r="H19" s="146" t="s">
        <v>240</v>
      </c>
      <c r="I19" s="145" t="s">
        <v>240</v>
      </c>
      <c r="J19" s="145" t="s">
        <v>240</v>
      </c>
      <c r="K19" s="156" t="s">
        <v>240</v>
      </c>
      <c r="L19" s="146" t="s">
        <v>240</v>
      </c>
      <c r="M19" s="146" t="s">
        <v>240</v>
      </c>
      <c r="N19" s="147">
        <v>0</v>
      </c>
      <c r="O19" s="145" t="s">
        <v>240</v>
      </c>
      <c r="P19" s="141">
        <v>0</v>
      </c>
      <c r="Q19" s="141">
        <v>0</v>
      </c>
    </row>
    <row r="20" spans="1:17" s="138" customFormat="1" x14ac:dyDescent="0.2">
      <c r="A20" s="226" t="s">
        <v>285</v>
      </c>
      <c r="B20" s="220" t="s">
        <v>240</v>
      </c>
      <c r="C20" s="220" t="s">
        <v>240</v>
      </c>
      <c r="D20" s="221" t="s">
        <v>240</v>
      </c>
      <c r="E20" s="222" t="s">
        <v>240</v>
      </c>
      <c r="F20" s="222" t="s">
        <v>240</v>
      </c>
      <c r="G20" s="222" t="s">
        <v>240</v>
      </c>
      <c r="H20" s="222" t="s">
        <v>240</v>
      </c>
      <c r="I20" s="220" t="s">
        <v>240</v>
      </c>
      <c r="J20" s="220" t="s">
        <v>240</v>
      </c>
      <c r="K20" s="227" t="s">
        <v>240</v>
      </c>
      <c r="L20" s="222" t="s">
        <v>240</v>
      </c>
      <c r="M20" s="222" t="s">
        <v>240</v>
      </c>
      <c r="N20" s="223">
        <v>0</v>
      </c>
      <c r="O20" s="220" t="s">
        <v>240</v>
      </c>
      <c r="P20" s="224">
        <v>0</v>
      </c>
      <c r="Q20" s="224">
        <v>0</v>
      </c>
    </row>
    <row r="21" spans="1:17" s="138" customFormat="1" x14ac:dyDescent="0.2">
      <c r="A21" s="97" t="s">
        <v>231</v>
      </c>
      <c r="B21" s="148"/>
      <c r="C21" s="148"/>
      <c r="D21" s="148"/>
      <c r="E21" s="149"/>
      <c r="F21" s="149"/>
      <c r="G21" s="149"/>
      <c r="H21" s="150"/>
      <c r="I21" s="151"/>
      <c r="J21" s="152"/>
      <c r="K21" s="152"/>
      <c r="L21" s="152"/>
      <c r="M21" s="152"/>
      <c r="N21" s="151"/>
      <c r="O21" s="151"/>
      <c r="P21" s="151"/>
      <c r="Q21" s="157"/>
    </row>
    <row r="22" spans="1:17" s="138" customFormat="1" x14ac:dyDescent="0.2">
      <c r="A22" s="97" t="s">
        <v>232</v>
      </c>
      <c r="B22" s="148"/>
      <c r="C22" s="148"/>
      <c r="D22" s="148"/>
      <c r="E22" s="149"/>
      <c r="F22" s="149"/>
      <c r="G22" s="149"/>
      <c r="H22" s="150"/>
      <c r="I22" s="151"/>
      <c r="J22" s="152"/>
      <c r="K22" s="152"/>
      <c r="L22" s="152"/>
      <c r="M22" s="152"/>
      <c r="N22" s="151"/>
      <c r="O22" s="151"/>
      <c r="P22" s="151"/>
      <c r="Q22" s="157"/>
    </row>
    <row r="23" spans="1:17" s="138" customFormat="1" x14ac:dyDescent="0.2">
      <c r="A23" s="97" t="s">
        <v>233</v>
      </c>
      <c r="B23" s="148"/>
      <c r="C23" s="148"/>
      <c r="D23" s="148"/>
      <c r="E23" s="149"/>
      <c r="F23" s="149"/>
      <c r="G23" s="149"/>
      <c r="H23" s="150"/>
      <c r="I23" s="151"/>
      <c r="J23" s="152"/>
      <c r="K23" s="152"/>
      <c r="L23" s="152"/>
      <c r="M23" s="152"/>
      <c r="N23" s="151"/>
      <c r="O23" s="151"/>
      <c r="P23" s="151"/>
      <c r="Q23" s="157"/>
    </row>
    <row r="24" spans="1:17" s="138" customFormat="1" x14ac:dyDescent="0.2">
      <c r="A24" s="97" t="s">
        <v>234</v>
      </c>
      <c r="B24" s="148"/>
      <c r="C24" s="148"/>
      <c r="D24" s="148"/>
      <c r="E24" s="149"/>
      <c r="F24" s="149"/>
      <c r="G24" s="149"/>
      <c r="H24" s="150"/>
      <c r="I24" s="151"/>
      <c r="J24" s="152"/>
      <c r="K24" s="152"/>
      <c r="L24" s="152"/>
      <c r="M24" s="152"/>
      <c r="N24" s="151"/>
      <c r="O24" s="151"/>
      <c r="P24" s="151"/>
      <c r="Q24" s="157"/>
    </row>
    <row r="25" spans="1:17" s="138" customFormat="1" x14ac:dyDescent="0.2">
      <c r="A25" s="97" t="s">
        <v>235</v>
      </c>
      <c r="B25" s="148"/>
      <c r="C25" s="148"/>
      <c r="D25" s="148"/>
      <c r="E25" s="149"/>
      <c r="F25" s="149"/>
      <c r="G25" s="149"/>
      <c r="H25" s="150"/>
      <c r="I25" s="151"/>
      <c r="J25" s="152"/>
      <c r="K25" s="152"/>
      <c r="L25" s="152"/>
      <c r="M25" s="152"/>
      <c r="N25" s="151"/>
      <c r="O25" s="151"/>
      <c r="P25" s="151"/>
      <c r="Q25" s="157"/>
    </row>
  </sheetData>
  <mergeCells count="2">
    <mergeCell ref="A6:Q6"/>
    <mergeCell ref="A5:Q5"/>
  </mergeCells>
  <conditionalFormatting sqref="I1:I4 G10:G20 I10:M20 O10:O20 I21:I55555">
    <cfRule type="expression" dxfId="138" priority="57" stopIfTrue="1">
      <formula>LEFT(#REF!,3)="TIR"</formula>
    </cfRule>
  </conditionalFormatting>
  <conditionalFormatting sqref="I7">
    <cfRule type="expression" dxfId="137" priority="62" stopIfTrue="1">
      <formula>LEFT(#REF!,3)="TIR"</formula>
    </cfRule>
  </conditionalFormatting>
  <conditionalFormatting sqref="B10:F20 H10:H20 P10:Q20">
    <cfRule type="expression" dxfId="136" priority="63" stopIfTrue="1">
      <formula>OR(LEFT(#REF!,3)="TIR",LEFT(#REF!,2)="IR")</formula>
    </cfRule>
  </conditionalFormatting>
  <conditionalFormatting sqref="A10:A20 N10:N20">
    <cfRule type="expression" dxfId="135" priority="66" stopIfTrue="1">
      <formula>#REF!&gt;0</formula>
    </cfRule>
    <cfRule type="expression" dxfId="134" priority="67" stopIfTrue="1">
      <formula>LEFT(#REF!,3)="TIR"</formula>
    </cfRule>
  </conditionalFormatting>
  <conditionalFormatting sqref="F11:F20">
    <cfRule type="expression" dxfId="13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5993-4E5D-424A-B91B-534654DC4D3B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227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159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8" customFormat="1" ht="12.75" customHeight="1" thickBot="1" x14ac:dyDescent="0.25">
      <c r="A10" s="120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86" t="s">
        <v>240</v>
      </c>
      <c r="G10" s="158"/>
      <c r="H10" s="158" t="s">
        <v>240</v>
      </c>
      <c r="I10" s="158" t="s">
        <v>240</v>
      </c>
      <c r="J10" s="158" t="s">
        <v>240</v>
      </c>
      <c r="K10" s="158" t="s">
        <v>240</v>
      </c>
      <c r="L10" s="159" t="s">
        <v>240</v>
      </c>
      <c r="M10" s="159" t="s">
        <v>240</v>
      </c>
      <c r="N10" s="160" t="s">
        <v>240</v>
      </c>
      <c r="O10" s="158"/>
      <c r="P10" s="158" t="s">
        <v>240</v>
      </c>
      <c r="Q10" s="123">
        <v>4.9999999999999998E-7</v>
      </c>
      <c r="R10" s="86" t="s">
        <v>240</v>
      </c>
      <c r="S10" s="86">
        <v>1</v>
      </c>
      <c r="T10" s="101">
        <v>0</v>
      </c>
    </row>
    <row r="11" spans="1:20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61" t="s">
        <v>240</v>
      </c>
      <c r="H11" s="161" t="s">
        <v>240</v>
      </c>
      <c r="I11" s="161" t="s">
        <v>240</v>
      </c>
      <c r="J11" s="161" t="s">
        <v>240</v>
      </c>
      <c r="K11" s="161" t="s">
        <v>240</v>
      </c>
      <c r="L11" s="162" t="s">
        <v>240</v>
      </c>
      <c r="M11" s="162" t="s">
        <v>240</v>
      </c>
      <c r="N11" s="163" t="s">
        <v>240</v>
      </c>
      <c r="O11" s="161" t="s">
        <v>240</v>
      </c>
      <c r="P11" s="161" t="s">
        <v>240</v>
      </c>
      <c r="Q11" s="143">
        <v>0</v>
      </c>
      <c r="R11" s="141" t="s">
        <v>240</v>
      </c>
      <c r="S11" s="141">
        <v>0</v>
      </c>
      <c r="T11" s="141">
        <v>0</v>
      </c>
    </row>
    <row r="12" spans="1:20" s="138" customFormat="1" x14ac:dyDescent="0.2">
      <c r="A12" s="112" t="s">
        <v>141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5" t="s">
        <v>240</v>
      </c>
      <c r="G12" s="161" t="s">
        <v>240</v>
      </c>
      <c r="H12" s="164" t="s">
        <v>240</v>
      </c>
      <c r="I12" s="164" t="s">
        <v>240</v>
      </c>
      <c r="J12" s="164" t="s">
        <v>240</v>
      </c>
      <c r="K12" s="164" t="s">
        <v>240</v>
      </c>
      <c r="L12" s="165" t="s">
        <v>240</v>
      </c>
      <c r="M12" s="165" t="s">
        <v>240</v>
      </c>
      <c r="N12" s="166" t="s">
        <v>240</v>
      </c>
      <c r="O12" s="164" t="s">
        <v>240</v>
      </c>
      <c r="P12" s="164" t="s">
        <v>240</v>
      </c>
      <c r="Q12" s="147">
        <v>0</v>
      </c>
      <c r="R12" s="145" t="s">
        <v>240</v>
      </c>
      <c r="S12" s="145">
        <v>0</v>
      </c>
      <c r="T12" s="141">
        <v>0</v>
      </c>
    </row>
    <row r="13" spans="1:20" s="138" customFormat="1" x14ac:dyDescent="0.2">
      <c r="A13" s="112" t="s">
        <v>142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5" t="s">
        <v>240</v>
      </c>
      <c r="G13" s="161" t="s">
        <v>240</v>
      </c>
      <c r="H13" s="164" t="s">
        <v>240</v>
      </c>
      <c r="I13" s="164" t="s">
        <v>240</v>
      </c>
      <c r="J13" s="164" t="s">
        <v>240</v>
      </c>
      <c r="K13" s="164" t="s">
        <v>240</v>
      </c>
      <c r="L13" s="165" t="s">
        <v>240</v>
      </c>
      <c r="M13" s="165" t="s">
        <v>240</v>
      </c>
      <c r="N13" s="166" t="s">
        <v>240</v>
      </c>
      <c r="O13" s="164" t="s">
        <v>240</v>
      </c>
      <c r="P13" s="164" t="s">
        <v>240</v>
      </c>
      <c r="Q13" s="147">
        <v>0</v>
      </c>
      <c r="R13" s="145" t="s">
        <v>240</v>
      </c>
      <c r="S13" s="145">
        <v>0</v>
      </c>
      <c r="T13" s="141">
        <v>0</v>
      </c>
    </row>
    <row r="14" spans="1:20" s="138" customFormat="1" x14ac:dyDescent="0.2">
      <c r="A14" s="112" t="s">
        <v>286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5" t="s">
        <v>240</v>
      </c>
      <c r="G14" s="161" t="s">
        <v>240</v>
      </c>
      <c r="H14" s="164" t="s">
        <v>240</v>
      </c>
      <c r="I14" s="164" t="s">
        <v>240</v>
      </c>
      <c r="J14" s="164" t="s">
        <v>240</v>
      </c>
      <c r="K14" s="164" t="s">
        <v>240</v>
      </c>
      <c r="L14" s="165" t="s">
        <v>240</v>
      </c>
      <c r="M14" s="165" t="s">
        <v>240</v>
      </c>
      <c r="N14" s="166" t="s">
        <v>240</v>
      </c>
      <c r="O14" s="164" t="s">
        <v>240</v>
      </c>
      <c r="P14" s="164" t="s">
        <v>240</v>
      </c>
      <c r="Q14" s="147">
        <v>0</v>
      </c>
      <c r="R14" s="145" t="s">
        <v>240</v>
      </c>
      <c r="S14" s="145">
        <v>0</v>
      </c>
      <c r="T14" s="141">
        <v>0</v>
      </c>
    </row>
    <row r="15" spans="1:20" s="138" customFormat="1" x14ac:dyDescent="0.2">
      <c r="A15" s="112" t="s">
        <v>287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5" t="s">
        <v>240</v>
      </c>
      <c r="G15" s="161" t="s">
        <v>240</v>
      </c>
      <c r="H15" s="164" t="s">
        <v>240</v>
      </c>
      <c r="I15" s="164" t="s">
        <v>240</v>
      </c>
      <c r="J15" s="164" t="s">
        <v>240</v>
      </c>
      <c r="K15" s="164" t="s">
        <v>240</v>
      </c>
      <c r="L15" s="165" t="s">
        <v>240</v>
      </c>
      <c r="M15" s="165" t="s">
        <v>240</v>
      </c>
      <c r="N15" s="166" t="s">
        <v>240</v>
      </c>
      <c r="O15" s="164" t="s">
        <v>240</v>
      </c>
      <c r="P15" s="164" t="s">
        <v>240</v>
      </c>
      <c r="Q15" s="147">
        <v>0</v>
      </c>
      <c r="R15" s="145" t="s">
        <v>240</v>
      </c>
      <c r="S15" s="145">
        <v>0</v>
      </c>
      <c r="T15" s="141">
        <v>0</v>
      </c>
    </row>
    <row r="16" spans="1:20" s="138" customFormat="1" x14ac:dyDescent="0.2">
      <c r="A16" s="112" t="s">
        <v>146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5" t="s">
        <v>240</v>
      </c>
      <c r="G16" s="161" t="s">
        <v>240</v>
      </c>
      <c r="H16" s="164" t="s">
        <v>240</v>
      </c>
      <c r="I16" s="164" t="s">
        <v>240</v>
      </c>
      <c r="J16" s="164" t="s">
        <v>240</v>
      </c>
      <c r="K16" s="164" t="s">
        <v>240</v>
      </c>
      <c r="L16" s="165" t="s">
        <v>240</v>
      </c>
      <c r="M16" s="165" t="s">
        <v>240</v>
      </c>
      <c r="N16" s="166" t="s">
        <v>240</v>
      </c>
      <c r="O16" s="164" t="s">
        <v>240</v>
      </c>
      <c r="P16" s="164" t="s">
        <v>240</v>
      </c>
      <c r="Q16" s="147">
        <v>0</v>
      </c>
      <c r="R16" s="145" t="s">
        <v>240</v>
      </c>
      <c r="S16" s="145">
        <v>0</v>
      </c>
      <c r="T16" s="141">
        <v>0</v>
      </c>
    </row>
    <row r="17" spans="1:20" s="138" customFormat="1" x14ac:dyDescent="0.2">
      <c r="A17" s="226" t="s">
        <v>147</v>
      </c>
      <c r="B17" s="220" t="s">
        <v>240</v>
      </c>
      <c r="C17" s="220" t="s">
        <v>240</v>
      </c>
      <c r="D17" s="220" t="s">
        <v>240</v>
      </c>
      <c r="E17" s="220" t="s">
        <v>240</v>
      </c>
      <c r="F17" s="220" t="s">
        <v>240</v>
      </c>
      <c r="G17" s="228" t="s">
        <v>240</v>
      </c>
      <c r="H17" s="229" t="s">
        <v>240</v>
      </c>
      <c r="I17" s="229" t="s">
        <v>240</v>
      </c>
      <c r="J17" s="229" t="s">
        <v>240</v>
      </c>
      <c r="K17" s="229" t="s">
        <v>240</v>
      </c>
      <c r="L17" s="230" t="s">
        <v>240</v>
      </c>
      <c r="M17" s="230" t="s">
        <v>240</v>
      </c>
      <c r="N17" s="231" t="s">
        <v>240</v>
      </c>
      <c r="O17" s="229" t="s">
        <v>240</v>
      </c>
      <c r="P17" s="229" t="s">
        <v>240</v>
      </c>
      <c r="Q17" s="223">
        <v>0</v>
      </c>
      <c r="R17" s="220" t="s">
        <v>240</v>
      </c>
      <c r="S17" s="220">
        <v>0</v>
      </c>
      <c r="T17" s="224">
        <v>0</v>
      </c>
    </row>
    <row r="18" spans="1:20" s="138" customFormat="1" x14ac:dyDescent="0.2">
      <c r="A18" s="97" t="s">
        <v>231</v>
      </c>
      <c r="B18" s="148"/>
      <c r="C18" s="148"/>
      <c r="D18" s="148"/>
      <c r="E18" s="148"/>
      <c r="F18" s="97"/>
      <c r="G18" s="167"/>
      <c r="H18" s="167"/>
      <c r="I18" s="167"/>
      <c r="J18" s="168"/>
      <c r="K18" s="153"/>
      <c r="L18" s="169"/>
      <c r="M18" s="169"/>
      <c r="N18" s="169"/>
      <c r="O18" s="153"/>
      <c r="P18" s="153"/>
      <c r="Q18" s="153"/>
    </row>
    <row r="19" spans="1:20" s="138" customFormat="1" x14ac:dyDescent="0.2">
      <c r="A19" s="97" t="s">
        <v>232</v>
      </c>
      <c r="B19" s="148"/>
      <c r="C19" s="148"/>
      <c r="D19" s="148"/>
      <c r="E19" s="148"/>
      <c r="F19" s="97"/>
      <c r="G19" s="167"/>
      <c r="H19" s="167"/>
      <c r="I19" s="167"/>
      <c r="J19" s="168"/>
      <c r="K19" s="153"/>
      <c r="L19" s="169"/>
      <c r="M19" s="169"/>
      <c r="N19" s="169"/>
      <c r="O19" s="153"/>
      <c r="P19" s="153"/>
      <c r="Q19" s="153"/>
    </row>
    <row r="20" spans="1:20" s="138" customFormat="1" x14ac:dyDescent="0.2">
      <c r="A20" s="97" t="s">
        <v>233</v>
      </c>
      <c r="B20" s="148"/>
      <c r="C20" s="148"/>
      <c r="D20" s="148"/>
      <c r="E20" s="148"/>
      <c r="F20" s="97"/>
      <c r="G20" s="167"/>
      <c r="H20" s="167"/>
      <c r="I20" s="167"/>
      <c r="J20" s="168"/>
      <c r="K20" s="153"/>
      <c r="L20" s="169"/>
      <c r="M20" s="169"/>
      <c r="N20" s="169"/>
      <c r="O20" s="153"/>
      <c r="P20" s="153"/>
      <c r="Q20" s="153"/>
    </row>
    <row r="21" spans="1:20" s="138" customFormat="1" x14ac:dyDescent="0.2">
      <c r="A21" s="97" t="s">
        <v>234</v>
      </c>
      <c r="B21" s="148"/>
      <c r="C21" s="148"/>
      <c r="D21" s="148"/>
      <c r="E21" s="148"/>
      <c r="F21" s="97"/>
      <c r="G21" s="167"/>
      <c r="H21" s="167"/>
      <c r="I21" s="167"/>
      <c r="J21" s="168"/>
      <c r="K21" s="153"/>
      <c r="L21" s="169"/>
      <c r="M21" s="169"/>
      <c r="N21" s="169"/>
      <c r="O21" s="153"/>
      <c r="P21" s="153"/>
      <c r="Q21" s="153"/>
    </row>
    <row r="22" spans="1:20" s="138" customFormat="1" x14ac:dyDescent="0.2">
      <c r="A22" s="97" t="s">
        <v>235</v>
      </c>
      <c r="B22" s="148"/>
      <c r="C22" s="148"/>
      <c r="D22" s="148"/>
      <c r="E22" s="148"/>
      <c r="F22" s="97"/>
      <c r="G22" s="167"/>
      <c r="H22" s="167"/>
      <c r="I22" s="167"/>
      <c r="J22" s="168"/>
      <c r="K22" s="153"/>
      <c r="L22" s="169"/>
      <c r="M22" s="169"/>
      <c r="N22" s="169"/>
      <c r="O22" s="153"/>
      <c r="P22" s="153"/>
      <c r="Q22" s="153"/>
    </row>
  </sheetData>
  <mergeCells count="2">
    <mergeCell ref="A6:T6"/>
    <mergeCell ref="A5:T5"/>
  </mergeCells>
  <conditionalFormatting sqref="K1:K4 J10:J17 L10:P17 R10:R17 K18:K55552">
    <cfRule type="expression" dxfId="132" priority="84" stopIfTrue="1">
      <formula>LEFT(#REF!,3)="TIR"</formula>
    </cfRule>
  </conditionalFormatting>
  <conditionalFormatting sqref="L7">
    <cfRule type="expression" dxfId="131" priority="89" stopIfTrue="1">
      <formula>LEFT(#REF!,3)="TIR"</formula>
    </cfRule>
  </conditionalFormatting>
  <conditionalFormatting sqref="B10:I17 K10:K17">
    <cfRule type="expression" dxfId="130" priority="90" stopIfTrue="1">
      <formula>LEFT(#REF!,3)="TIR"</formula>
    </cfRule>
  </conditionalFormatting>
  <conditionalFormatting sqref="A10:A17 Q10:Q17">
    <cfRule type="expression" dxfId="129" priority="92" stopIfTrue="1">
      <formula>#REF!&gt;0</formula>
    </cfRule>
    <cfRule type="expression" dxfId="128" priority="93" stopIfTrue="1">
      <formula>LEFT(#REF!,3)="TIR"</formula>
    </cfRule>
  </conditionalFormatting>
  <conditionalFormatting sqref="S10:T17">
    <cfRule type="expression" dxfId="12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3550-D180-44A5-8CBE-94DF77BB4C9A}">
  <sheetPr codeName="גיליון5">
    <pageSetUpPr fitToPage="1"/>
  </sheetPr>
  <dimension ref="A1:T24"/>
  <sheetViews>
    <sheetView rightToLeft="1" zoomScale="80" zoomScaleNormal="80" workbookViewId="0">
      <selection activeCell="A7" sqref="A7:T19"/>
    </sheetView>
  </sheetViews>
  <sheetFormatPr defaultRowHeight="12.75" x14ac:dyDescent="0.2"/>
  <cols>
    <col min="1" max="1" width="28.710937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1.28515625" style="8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8.85546875" style="81" bestFit="1" customWidth="1"/>
    <col min="16" max="16" width="16.5703125" style="81" customWidth="1"/>
    <col min="17" max="17" width="10.42578125" style="81" customWidth="1"/>
    <col min="18" max="18" width="22" style="84" customWidth="1"/>
    <col min="19" max="19" width="25.42578125" style="84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236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227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159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8" customFormat="1" ht="12.75" customHeight="1" thickBot="1" x14ac:dyDescent="0.25">
      <c r="A10" s="120" t="s">
        <v>53</v>
      </c>
      <c r="B10" s="86"/>
      <c r="C10" s="86"/>
      <c r="D10" s="86"/>
      <c r="E10" s="86"/>
      <c r="F10" s="86"/>
      <c r="G10" s="121"/>
      <c r="H10" s="121"/>
      <c r="I10" s="121"/>
      <c r="J10" s="121"/>
      <c r="K10" s="121"/>
      <c r="L10" s="86"/>
      <c r="M10" s="86"/>
      <c r="N10" s="124"/>
      <c r="O10" s="121"/>
      <c r="P10" s="123" t="s">
        <v>240</v>
      </c>
      <c r="Q10" s="125">
        <v>1237.8879205999999</v>
      </c>
      <c r="R10" s="86" t="s">
        <v>240</v>
      </c>
      <c r="S10" s="86">
        <v>1</v>
      </c>
      <c r="T10" s="101">
        <v>5.1730492003065128E-4</v>
      </c>
    </row>
    <row r="11" spans="1:20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2" t="s">
        <v>240</v>
      </c>
      <c r="H11" s="142" t="s">
        <v>240</v>
      </c>
      <c r="I11" s="142" t="s">
        <v>240</v>
      </c>
      <c r="J11" s="142" t="s">
        <v>240</v>
      </c>
      <c r="K11" s="142" t="s">
        <v>240</v>
      </c>
      <c r="L11" s="141" t="s">
        <v>240</v>
      </c>
      <c r="M11" s="141" t="s">
        <v>240</v>
      </c>
      <c r="N11" s="154" t="s">
        <v>240</v>
      </c>
      <c r="O11" s="142" t="s">
        <v>240</v>
      </c>
      <c r="P11" s="143" t="s">
        <v>240</v>
      </c>
      <c r="Q11" s="155">
        <v>1237.8879204</v>
      </c>
      <c r="R11" s="141" t="s">
        <v>240</v>
      </c>
      <c r="S11" s="141">
        <v>0.99999999983843457</v>
      </c>
      <c r="T11" s="141">
        <v>5.1730491994707263E-4</v>
      </c>
    </row>
    <row r="12" spans="1:20" s="138" customFormat="1" x14ac:dyDescent="0.2">
      <c r="A12" s="112" t="s">
        <v>141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5" t="s">
        <v>240</v>
      </c>
      <c r="G12" s="146" t="s">
        <v>240</v>
      </c>
      <c r="H12" s="146" t="s">
        <v>240</v>
      </c>
      <c r="I12" s="146" t="s">
        <v>240</v>
      </c>
      <c r="J12" s="146" t="s">
        <v>240</v>
      </c>
      <c r="K12" s="146" t="s">
        <v>240</v>
      </c>
      <c r="L12" s="145" t="s">
        <v>240</v>
      </c>
      <c r="M12" s="145" t="s">
        <v>240</v>
      </c>
      <c r="N12" s="156" t="s">
        <v>240</v>
      </c>
      <c r="O12" s="146" t="s">
        <v>240</v>
      </c>
      <c r="P12" s="147" t="s">
        <v>240</v>
      </c>
      <c r="Q12" s="147">
        <v>1237.8879201</v>
      </c>
      <c r="R12" s="145" t="s">
        <v>240</v>
      </c>
      <c r="S12" s="145">
        <v>0.99999999959608632</v>
      </c>
      <c r="T12" s="145">
        <v>5.173049198217047E-4</v>
      </c>
    </row>
    <row r="13" spans="1:20" x14ac:dyDescent="0.2">
      <c r="A13" s="30" t="s">
        <v>288</v>
      </c>
      <c r="B13" s="38" t="s">
        <v>289</v>
      </c>
      <c r="C13" s="38" t="s">
        <v>290</v>
      </c>
      <c r="D13" s="38" t="s">
        <v>240</v>
      </c>
      <c r="E13" s="38" t="s">
        <v>291</v>
      </c>
      <c r="F13" s="38" t="s">
        <v>292</v>
      </c>
      <c r="G13" s="80" t="s">
        <v>293</v>
      </c>
      <c r="H13" s="80" t="s">
        <v>263</v>
      </c>
      <c r="I13" s="80" t="s">
        <v>294</v>
      </c>
      <c r="J13" s="80">
        <v>8.86</v>
      </c>
      <c r="K13" s="80" t="s">
        <v>246</v>
      </c>
      <c r="L13" s="38">
        <v>2.6499999999999999E-2</v>
      </c>
      <c r="M13" s="38">
        <v>1.2800000000000001E-2</v>
      </c>
      <c r="N13" s="88">
        <v>1083870</v>
      </c>
      <c r="O13" s="80">
        <v>114.21</v>
      </c>
      <c r="P13" s="104">
        <v>0</v>
      </c>
      <c r="Q13" s="104">
        <v>1237.8879199999999</v>
      </c>
      <c r="R13" s="38">
        <v>9.3213142070048475E-4</v>
      </c>
      <c r="S13" s="38">
        <v>0.99999999951530349</v>
      </c>
      <c r="T13" s="38">
        <v>5.1730491977991532E-4</v>
      </c>
    </row>
    <row r="14" spans="1:20" s="138" customFormat="1" x14ac:dyDescent="0.2">
      <c r="A14" s="112" t="s">
        <v>142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5" t="s">
        <v>240</v>
      </c>
      <c r="G14" s="146" t="s">
        <v>240</v>
      </c>
      <c r="H14" s="146" t="s">
        <v>240</v>
      </c>
      <c r="I14" s="146" t="s">
        <v>240</v>
      </c>
      <c r="J14" s="146" t="s">
        <v>240</v>
      </c>
      <c r="K14" s="146" t="s">
        <v>240</v>
      </c>
      <c r="L14" s="145" t="s">
        <v>240</v>
      </c>
      <c r="M14" s="145" t="s">
        <v>240</v>
      </c>
      <c r="N14" s="156" t="s">
        <v>240</v>
      </c>
      <c r="O14" s="146" t="s">
        <v>240</v>
      </c>
      <c r="P14" s="147" t="s">
        <v>240</v>
      </c>
      <c r="Q14" s="147">
        <v>0</v>
      </c>
      <c r="R14" s="145" t="s">
        <v>240</v>
      </c>
      <c r="S14" s="145">
        <v>0</v>
      </c>
      <c r="T14" s="145">
        <v>0</v>
      </c>
    </row>
    <row r="15" spans="1:20" s="138" customFormat="1" x14ac:dyDescent="0.2">
      <c r="A15" s="112" t="s">
        <v>286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5" t="s">
        <v>240</v>
      </c>
      <c r="G15" s="146" t="s">
        <v>240</v>
      </c>
      <c r="H15" s="146" t="s">
        <v>240</v>
      </c>
      <c r="I15" s="146" t="s">
        <v>240</v>
      </c>
      <c r="J15" s="146" t="s">
        <v>240</v>
      </c>
      <c r="K15" s="146" t="s">
        <v>240</v>
      </c>
      <c r="L15" s="145" t="s">
        <v>240</v>
      </c>
      <c r="M15" s="145" t="s">
        <v>240</v>
      </c>
      <c r="N15" s="156" t="s">
        <v>240</v>
      </c>
      <c r="O15" s="146" t="s">
        <v>240</v>
      </c>
      <c r="P15" s="147" t="s">
        <v>240</v>
      </c>
      <c r="Q15" s="147">
        <v>0</v>
      </c>
      <c r="R15" s="145" t="s">
        <v>240</v>
      </c>
      <c r="S15" s="145">
        <v>0</v>
      </c>
      <c r="T15" s="145">
        <v>0</v>
      </c>
    </row>
    <row r="16" spans="1:20" s="138" customFormat="1" x14ac:dyDescent="0.2">
      <c r="A16" s="112" t="s">
        <v>295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5" t="s">
        <v>240</v>
      </c>
      <c r="G16" s="146" t="s">
        <v>240</v>
      </c>
      <c r="H16" s="146" t="s">
        <v>240</v>
      </c>
      <c r="I16" s="146" t="s">
        <v>240</v>
      </c>
      <c r="J16" s="146" t="s">
        <v>240</v>
      </c>
      <c r="K16" s="146" t="s">
        <v>240</v>
      </c>
      <c r="L16" s="145" t="s">
        <v>240</v>
      </c>
      <c r="M16" s="145" t="s">
        <v>240</v>
      </c>
      <c r="N16" s="156" t="s">
        <v>240</v>
      </c>
      <c r="O16" s="146" t="s">
        <v>240</v>
      </c>
      <c r="P16" s="147" t="s">
        <v>240</v>
      </c>
      <c r="Q16" s="147">
        <v>0</v>
      </c>
      <c r="R16" s="145" t="s">
        <v>240</v>
      </c>
      <c r="S16" s="145">
        <v>0</v>
      </c>
      <c r="T16" s="145">
        <v>0</v>
      </c>
    </row>
    <row r="17" spans="1:20" s="138" customFormat="1" x14ac:dyDescent="0.2">
      <c r="A17" s="112" t="s">
        <v>283</v>
      </c>
      <c r="B17" s="145" t="s">
        <v>240</v>
      </c>
      <c r="C17" s="145" t="s">
        <v>240</v>
      </c>
      <c r="D17" s="145" t="s">
        <v>240</v>
      </c>
      <c r="E17" s="145" t="s">
        <v>240</v>
      </c>
      <c r="F17" s="145" t="s">
        <v>240</v>
      </c>
      <c r="G17" s="146" t="s">
        <v>240</v>
      </c>
      <c r="H17" s="146" t="s">
        <v>240</v>
      </c>
      <c r="I17" s="146" t="s">
        <v>240</v>
      </c>
      <c r="J17" s="146" t="s">
        <v>240</v>
      </c>
      <c r="K17" s="146" t="s">
        <v>240</v>
      </c>
      <c r="L17" s="145" t="s">
        <v>240</v>
      </c>
      <c r="M17" s="145" t="s">
        <v>240</v>
      </c>
      <c r="N17" s="156" t="s">
        <v>240</v>
      </c>
      <c r="O17" s="146" t="s">
        <v>240</v>
      </c>
      <c r="P17" s="147" t="s">
        <v>240</v>
      </c>
      <c r="Q17" s="147">
        <v>0</v>
      </c>
      <c r="R17" s="145" t="s">
        <v>240</v>
      </c>
      <c r="S17" s="145">
        <v>0</v>
      </c>
      <c r="T17" s="145">
        <v>0</v>
      </c>
    </row>
    <row r="18" spans="1:20" s="138" customFormat="1" x14ac:dyDescent="0.2">
      <c r="A18" s="112" t="s">
        <v>146</v>
      </c>
      <c r="B18" s="145" t="s">
        <v>240</v>
      </c>
      <c r="C18" s="145" t="s">
        <v>240</v>
      </c>
      <c r="D18" s="145" t="s">
        <v>240</v>
      </c>
      <c r="E18" s="145" t="s">
        <v>240</v>
      </c>
      <c r="F18" s="145" t="s">
        <v>240</v>
      </c>
      <c r="G18" s="146" t="s">
        <v>240</v>
      </c>
      <c r="H18" s="146" t="s">
        <v>240</v>
      </c>
      <c r="I18" s="146" t="s">
        <v>240</v>
      </c>
      <c r="J18" s="146" t="s">
        <v>240</v>
      </c>
      <c r="K18" s="146" t="s">
        <v>240</v>
      </c>
      <c r="L18" s="145" t="s">
        <v>240</v>
      </c>
      <c r="M18" s="145" t="s">
        <v>240</v>
      </c>
      <c r="N18" s="156" t="s">
        <v>240</v>
      </c>
      <c r="O18" s="146" t="s">
        <v>240</v>
      </c>
      <c r="P18" s="147" t="s">
        <v>240</v>
      </c>
      <c r="Q18" s="147">
        <v>0</v>
      </c>
      <c r="R18" s="145" t="s">
        <v>240</v>
      </c>
      <c r="S18" s="145">
        <v>0</v>
      </c>
      <c r="T18" s="145">
        <v>0</v>
      </c>
    </row>
    <row r="19" spans="1:20" s="138" customFormat="1" x14ac:dyDescent="0.2">
      <c r="A19" s="226" t="s">
        <v>147</v>
      </c>
      <c r="B19" s="220" t="s">
        <v>240</v>
      </c>
      <c r="C19" s="220" t="s">
        <v>240</v>
      </c>
      <c r="D19" s="220" t="s">
        <v>240</v>
      </c>
      <c r="E19" s="220" t="s">
        <v>240</v>
      </c>
      <c r="F19" s="220" t="s">
        <v>240</v>
      </c>
      <c r="G19" s="222" t="s">
        <v>240</v>
      </c>
      <c r="H19" s="222" t="s">
        <v>240</v>
      </c>
      <c r="I19" s="222" t="s">
        <v>240</v>
      </c>
      <c r="J19" s="222" t="s">
        <v>240</v>
      </c>
      <c r="K19" s="222" t="s">
        <v>240</v>
      </c>
      <c r="L19" s="220" t="s">
        <v>240</v>
      </c>
      <c r="M19" s="220" t="s">
        <v>240</v>
      </c>
      <c r="N19" s="227" t="s">
        <v>240</v>
      </c>
      <c r="O19" s="222" t="s">
        <v>240</v>
      </c>
      <c r="P19" s="223" t="s">
        <v>240</v>
      </c>
      <c r="Q19" s="223">
        <v>0</v>
      </c>
      <c r="R19" s="220" t="s">
        <v>240</v>
      </c>
      <c r="S19" s="220">
        <v>0</v>
      </c>
      <c r="T19" s="220">
        <v>0</v>
      </c>
    </row>
    <row r="20" spans="1:20" s="138" customFormat="1" x14ac:dyDescent="0.2">
      <c r="A20" s="97" t="s">
        <v>231</v>
      </c>
      <c r="B20" s="148"/>
      <c r="C20" s="148"/>
      <c r="D20" s="148"/>
      <c r="E20" s="148"/>
      <c r="F20" s="148"/>
      <c r="G20" s="149"/>
      <c r="H20" s="149"/>
      <c r="I20" s="149"/>
      <c r="J20" s="150"/>
      <c r="K20" s="151"/>
      <c r="L20" s="152"/>
      <c r="M20" s="152"/>
      <c r="N20" s="152"/>
      <c r="O20" s="151"/>
      <c r="P20" s="151"/>
      <c r="Q20" s="151"/>
      <c r="R20" s="157"/>
      <c r="S20" s="157"/>
      <c r="T20" s="157"/>
    </row>
    <row r="21" spans="1:20" s="138" customFormat="1" x14ac:dyDescent="0.2">
      <c r="A21" s="97" t="s">
        <v>232</v>
      </c>
      <c r="B21" s="148"/>
      <c r="C21" s="148"/>
      <c r="D21" s="148"/>
      <c r="E21" s="148"/>
      <c r="F21" s="148"/>
      <c r="G21" s="149"/>
      <c r="H21" s="149"/>
      <c r="I21" s="149"/>
      <c r="J21" s="150"/>
      <c r="K21" s="151"/>
      <c r="L21" s="152"/>
      <c r="M21" s="152"/>
      <c r="N21" s="152"/>
      <c r="O21" s="151"/>
      <c r="P21" s="151"/>
      <c r="Q21" s="151"/>
      <c r="R21" s="157"/>
      <c r="S21" s="157"/>
      <c r="T21" s="157"/>
    </row>
    <row r="22" spans="1:20" s="138" customFormat="1" x14ac:dyDescent="0.2">
      <c r="A22" s="97" t="s">
        <v>233</v>
      </c>
      <c r="B22" s="148"/>
      <c r="C22" s="148"/>
      <c r="D22" s="148"/>
      <c r="E22" s="148"/>
      <c r="F22" s="148"/>
      <c r="G22" s="149"/>
      <c r="H22" s="149"/>
      <c r="I22" s="149"/>
      <c r="J22" s="150"/>
      <c r="K22" s="151"/>
      <c r="L22" s="152"/>
      <c r="M22" s="152"/>
      <c r="N22" s="152"/>
      <c r="O22" s="151"/>
      <c r="P22" s="151"/>
      <c r="Q22" s="151"/>
      <c r="R22" s="157"/>
      <c r="S22" s="157"/>
      <c r="T22" s="157"/>
    </row>
    <row r="23" spans="1:20" s="138" customFormat="1" x14ac:dyDescent="0.2">
      <c r="A23" s="97" t="s">
        <v>234</v>
      </c>
      <c r="B23" s="148"/>
      <c r="C23" s="148"/>
      <c r="D23" s="148"/>
      <c r="E23" s="148"/>
      <c r="F23" s="148"/>
      <c r="G23" s="149"/>
      <c r="H23" s="149"/>
      <c r="I23" s="149"/>
      <c r="J23" s="150"/>
      <c r="K23" s="151"/>
      <c r="L23" s="152"/>
      <c r="M23" s="152"/>
      <c r="N23" s="152"/>
      <c r="O23" s="151"/>
      <c r="P23" s="151"/>
      <c r="Q23" s="151"/>
      <c r="R23" s="157"/>
      <c r="S23" s="157"/>
      <c r="T23" s="157"/>
    </row>
    <row r="24" spans="1:20" s="138" customFormat="1" x14ac:dyDescent="0.2">
      <c r="A24" s="97" t="s">
        <v>235</v>
      </c>
      <c r="B24" s="148"/>
      <c r="C24" s="148"/>
      <c r="D24" s="148"/>
      <c r="E24" s="148"/>
      <c r="F24" s="148"/>
      <c r="G24" s="149"/>
      <c r="H24" s="149"/>
      <c r="I24" s="149"/>
      <c r="J24" s="150"/>
      <c r="K24" s="151"/>
      <c r="L24" s="152"/>
      <c r="M24" s="152"/>
      <c r="N24" s="152"/>
      <c r="O24" s="151"/>
      <c r="P24" s="151"/>
      <c r="Q24" s="151"/>
      <c r="R24" s="157"/>
      <c r="S24" s="157"/>
      <c r="T24" s="157"/>
    </row>
  </sheetData>
  <mergeCells count="2">
    <mergeCell ref="A6:T6"/>
    <mergeCell ref="A5:T5"/>
  </mergeCells>
  <conditionalFormatting sqref="B11:I19 K11:K19 S11:T19">
    <cfRule type="expression" dxfId="126" priority="101" stopIfTrue="1">
      <formula>OR(LEFT(#REF!,3)="TIR",LEFT(#REF!,2)="IR")</formula>
    </cfRule>
  </conditionalFormatting>
  <conditionalFormatting sqref="A11:A19 P11:Q19">
    <cfRule type="expression" dxfId="12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0C4E-6A64-42BC-9F3D-477143026837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9" customWidth="1"/>
    <col min="8" max="8" width="10.5703125" style="79" customWidth="1"/>
    <col min="9" max="9" width="8.85546875" style="79" bestFit="1" customWidth="1"/>
    <col min="10" max="10" width="16.5703125" style="79" customWidth="1"/>
    <col min="11" max="11" width="10.42578125" style="50" customWidth="1"/>
    <col min="12" max="12" width="22" style="81" customWidth="1"/>
    <col min="13" max="13" width="25.42578125" style="8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236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227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159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137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8" customFormat="1" ht="12.75" customHeight="1" thickBot="1" x14ac:dyDescent="0.25">
      <c r="A10" s="170" t="s">
        <v>59</v>
      </c>
      <c r="B10" s="89" t="s">
        <v>240</v>
      </c>
      <c r="C10" s="89" t="s">
        <v>240</v>
      </c>
      <c r="D10" s="89" t="s">
        <v>240</v>
      </c>
      <c r="E10" s="89" t="s">
        <v>240</v>
      </c>
      <c r="F10" s="89" t="s">
        <v>240</v>
      </c>
      <c r="G10" s="171" t="s">
        <v>240</v>
      </c>
      <c r="H10" s="172" t="s">
        <v>240</v>
      </c>
      <c r="I10" s="171" t="s">
        <v>240</v>
      </c>
      <c r="J10" s="171" t="s">
        <v>240</v>
      </c>
      <c r="K10" s="128">
        <v>6.9999999999999997E-7</v>
      </c>
      <c r="L10" s="89" t="s">
        <v>240</v>
      </c>
      <c r="M10" s="89">
        <v>1</v>
      </c>
      <c r="N10" s="102">
        <v>0</v>
      </c>
    </row>
    <row r="11" spans="1:19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2" t="s">
        <v>240</v>
      </c>
      <c r="H11" s="154" t="s">
        <v>240</v>
      </c>
      <c r="I11" s="142" t="s">
        <v>240</v>
      </c>
      <c r="J11" s="142" t="s">
        <v>240</v>
      </c>
      <c r="K11" s="155">
        <v>0</v>
      </c>
      <c r="L11" s="141" t="s">
        <v>240</v>
      </c>
      <c r="M11" s="141">
        <v>0</v>
      </c>
      <c r="N11" s="141">
        <v>0</v>
      </c>
    </row>
    <row r="12" spans="1:19" s="138" customFormat="1" x14ac:dyDescent="0.2">
      <c r="A12" s="112" t="s">
        <v>296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5" t="s">
        <v>240</v>
      </c>
      <c r="G12" s="146" t="s">
        <v>240</v>
      </c>
      <c r="H12" s="156" t="s">
        <v>240</v>
      </c>
      <c r="I12" s="142" t="s">
        <v>240</v>
      </c>
      <c r="J12" s="142" t="s">
        <v>240</v>
      </c>
      <c r="K12" s="173">
        <v>0</v>
      </c>
      <c r="L12" s="145" t="s">
        <v>240</v>
      </c>
      <c r="M12" s="141">
        <v>0</v>
      </c>
      <c r="N12" s="141">
        <v>0</v>
      </c>
    </row>
    <row r="13" spans="1:19" s="138" customFormat="1" x14ac:dyDescent="0.2">
      <c r="A13" s="112" t="s">
        <v>297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5" t="s">
        <v>240</v>
      </c>
      <c r="G13" s="146" t="s">
        <v>240</v>
      </c>
      <c r="H13" s="156" t="s">
        <v>240</v>
      </c>
      <c r="I13" s="142" t="s">
        <v>240</v>
      </c>
      <c r="J13" s="156" t="s">
        <v>240</v>
      </c>
      <c r="K13" s="173">
        <v>0</v>
      </c>
      <c r="L13" s="145" t="s">
        <v>240</v>
      </c>
      <c r="M13" s="141">
        <v>0</v>
      </c>
      <c r="N13" s="141">
        <v>0</v>
      </c>
    </row>
    <row r="14" spans="1:19" s="138" customFormat="1" x14ac:dyDescent="0.2">
      <c r="A14" s="112" t="s">
        <v>298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5" t="s">
        <v>240</v>
      </c>
      <c r="G14" s="146" t="s">
        <v>240</v>
      </c>
      <c r="H14" s="156" t="s">
        <v>240</v>
      </c>
      <c r="I14" s="142" t="s">
        <v>240</v>
      </c>
      <c r="J14" s="142" t="s">
        <v>240</v>
      </c>
      <c r="K14" s="173">
        <v>0</v>
      </c>
      <c r="L14" s="145" t="s">
        <v>240</v>
      </c>
      <c r="M14" s="141">
        <v>0</v>
      </c>
      <c r="N14" s="141">
        <v>0</v>
      </c>
    </row>
    <row r="15" spans="1:19" s="138" customFormat="1" x14ac:dyDescent="0.2">
      <c r="A15" s="112" t="s">
        <v>299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5" t="s">
        <v>240</v>
      </c>
      <c r="G15" s="146" t="s">
        <v>240</v>
      </c>
      <c r="H15" s="156" t="s">
        <v>240</v>
      </c>
      <c r="I15" s="142" t="s">
        <v>240</v>
      </c>
      <c r="J15" s="142" t="s">
        <v>240</v>
      </c>
      <c r="K15" s="173">
        <v>0</v>
      </c>
      <c r="L15" s="145" t="s">
        <v>240</v>
      </c>
      <c r="M15" s="141">
        <v>0</v>
      </c>
      <c r="N15" s="141">
        <v>0</v>
      </c>
    </row>
    <row r="16" spans="1:19" s="138" customFormat="1" x14ac:dyDescent="0.2">
      <c r="A16" s="112" t="s">
        <v>300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5" t="s">
        <v>240</v>
      </c>
      <c r="G16" s="146" t="s">
        <v>240</v>
      </c>
      <c r="H16" s="156" t="s">
        <v>240</v>
      </c>
      <c r="I16" s="142" t="s">
        <v>240</v>
      </c>
      <c r="J16" s="142" t="s">
        <v>240</v>
      </c>
      <c r="K16" s="173">
        <v>0</v>
      </c>
      <c r="L16" s="145" t="s">
        <v>240</v>
      </c>
      <c r="M16" s="141">
        <v>0</v>
      </c>
      <c r="N16" s="141">
        <v>0</v>
      </c>
    </row>
    <row r="17" spans="1:18" s="138" customFormat="1" x14ac:dyDescent="0.2">
      <c r="A17" s="112" t="s">
        <v>301</v>
      </c>
      <c r="B17" s="145" t="s">
        <v>240</v>
      </c>
      <c r="C17" s="145" t="s">
        <v>240</v>
      </c>
      <c r="D17" s="145" t="s">
        <v>240</v>
      </c>
      <c r="E17" s="145" t="s">
        <v>240</v>
      </c>
      <c r="F17" s="145" t="s">
        <v>240</v>
      </c>
      <c r="G17" s="146" t="s">
        <v>240</v>
      </c>
      <c r="H17" s="156" t="s">
        <v>240</v>
      </c>
      <c r="I17" s="142" t="s">
        <v>240</v>
      </c>
      <c r="J17" s="142" t="s">
        <v>240</v>
      </c>
      <c r="K17" s="173">
        <v>0</v>
      </c>
      <c r="L17" s="145" t="s">
        <v>240</v>
      </c>
      <c r="M17" s="141">
        <v>0</v>
      </c>
      <c r="N17" s="141">
        <v>0</v>
      </c>
    </row>
    <row r="18" spans="1:18" s="138" customFormat="1" x14ac:dyDescent="0.2">
      <c r="A18" s="112" t="s">
        <v>283</v>
      </c>
      <c r="B18" s="145" t="s">
        <v>240</v>
      </c>
      <c r="C18" s="145" t="s">
        <v>240</v>
      </c>
      <c r="D18" s="145" t="s">
        <v>240</v>
      </c>
      <c r="E18" s="145" t="s">
        <v>240</v>
      </c>
      <c r="F18" s="145" t="s">
        <v>240</v>
      </c>
      <c r="G18" s="146" t="s">
        <v>240</v>
      </c>
      <c r="H18" s="156" t="s">
        <v>240</v>
      </c>
      <c r="I18" s="142" t="s">
        <v>240</v>
      </c>
      <c r="J18" s="142" t="s">
        <v>240</v>
      </c>
      <c r="K18" s="173">
        <v>0</v>
      </c>
      <c r="L18" s="145" t="s">
        <v>240</v>
      </c>
      <c r="M18" s="141">
        <v>0</v>
      </c>
      <c r="N18" s="141">
        <v>0</v>
      </c>
    </row>
    <row r="19" spans="1:18" s="138" customFormat="1" x14ac:dyDescent="0.2">
      <c r="A19" s="112" t="s">
        <v>146</v>
      </c>
      <c r="B19" s="145" t="s">
        <v>240</v>
      </c>
      <c r="C19" s="145" t="s">
        <v>240</v>
      </c>
      <c r="D19" s="145" t="s">
        <v>240</v>
      </c>
      <c r="E19" s="145" t="s">
        <v>240</v>
      </c>
      <c r="F19" s="145" t="s">
        <v>240</v>
      </c>
      <c r="G19" s="146" t="s">
        <v>240</v>
      </c>
      <c r="H19" s="156" t="s">
        <v>240</v>
      </c>
      <c r="I19" s="142" t="s">
        <v>240</v>
      </c>
      <c r="J19" s="142" t="s">
        <v>240</v>
      </c>
      <c r="K19" s="173">
        <v>0</v>
      </c>
      <c r="L19" s="145" t="s">
        <v>240</v>
      </c>
      <c r="M19" s="141">
        <v>0</v>
      </c>
      <c r="N19" s="141">
        <v>0</v>
      </c>
    </row>
    <row r="20" spans="1:18" s="138" customFormat="1" x14ac:dyDescent="0.2">
      <c r="A20" s="226" t="s">
        <v>147</v>
      </c>
      <c r="B20" s="220" t="s">
        <v>240</v>
      </c>
      <c r="C20" s="220" t="s">
        <v>240</v>
      </c>
      <c r="D20" s="220" t="s">
        <v>240</v>
      </c>
      <c r="E20" s="220" t="s">
        <v>240</v>
      </c>
      <c r="F20" s="220" t="s">
        <v>240</v>
      </c>
      <c r="G20" s="222" t="s">
        <v>240</v>
      </c>
      <c r="H20" s="227" t="s">
        <v>240</v>
      </c>
      <c r="I20" s="221" t="s">
        <v>240</v>
      </c>
      <c r="J20" s="221" t="s">
        <v>240</v>
      </c>
      <c r="K20" s="232">
        <v>0</v>
      </c>
      <c r="L20" s="220" t="s">
        <v>240</v>
      </c>
      <c r="M20" s="224">
        <v>0</v>
      </c>
      <c r="N20" s="224">
        <v>0</v>
      </c>
    </row>
    <row r="21" spans="1:18" s="138" customFormat="1" x14ac:dyDescent="0.2">
      <c r="A21" s="97" t="s">
        <v>231</v>
      </c>
      <c r="B21" s="148"/>
      <c r="C21" s="148"/>
      <c r="D21" s="148"/>
      <c r="E21" s="148"/>
      <c r="F21" s="148"/>
      <c r="G21" s="149"/>
      <c r="H21" s="149"/>
      <c r="I21" s="149"/>
      <c r="J21" s="149"/>
      <c r="K21" s="150"/>
      <c r="L21" s="151"/>
      <c r="M21" s="151"/>
      <c r="N21" s="152"/>
      <c r="O21" s="169"/>
      <c r="P21" s="169"/>
      <c r="Q21" s="153"/>
      <c r="R21" s="153"/>
    </row>
    <row r="22" spans="1:18" s="138" customFormat="1" x14ac:dyDescent="0.2">
      <c r="A22" s="97" t="s">
        <v>232</v>
      </c>
      <c r="B22" s="148"/>
      <c r="C22" s="148"/>
      <c r="D22" s="148"/>
      <c r="E22" s="148"/>
      <c r="F22" s="148"/>
      <c r="G22" s="149"/>
      <c r="H22" s="149"/>
      <c r="I22" s="149"/>
      <c r="J22" s="149"/>
      <c r="K22" s="150"/>
      <c r="L22" s="151"/>
      <c r="M22" s="151"/>
      <c r="N22" s="152"/>
      <c r="O22" s="169"/>
      <c r="P22" s="169"/>
      <c r="Q22" s="153"/>
      <c r="R22" s="153"/>
    </row>
    <row r="23" spans="1:18" s="138" customFormat="1" x14ac:dyDescent="0.2">
      <c r="A23" s="97" t="s">
        <v>233</v>
      </c>
      <c r="B23" s="148"/>
      <c r="C23" s="148"/>
      <c r="D23" s="148"/>
      <c r="E23" s="148"/>
      <c r="F23" s="148"/>
      <c r="G23" s="149"/>
      <c r="H23" s="149"/>
      <c r="I23" s="149"/>
      <c r="J23" s="149"/>
      <c r="K23" s="150"/>
      <c r="L23" s="151"/>
      <c r="M23" s="151"/>
      <c r="N23" s="152"/>
      <c r="O23" s="169"/>
      <c r="P23" s="169"/>
      <c r="Q23" s="153"/>
      <c r="R23" s="153"/>
    </row>
    <row r="24" spans="1:18" s="138" customFormat="1" x14ac:dyDescent="0.2">
      <c r="A24" s="97" t="s">
        <v>234</v>
      </c>
      <c r="B24" s="148"/>
      <c r="C24" s="148"/>
      <c r="D24" s="148"/>
      <c r="E24" s="148"/>
      <c r="F24" s="148"/>
      <c r="G24" s="149"/>
      <c r="H24" s="149"/>
      <c r="I24" s="149"/>
      <c r="J24" s="149"/>
      <c r="K24" s="150"/>
      <c r="L24" s="151"/>
      <c r="M24" s="151"/>
      <c r="N24" s="152"/>
      <c r="O24" s="169"/>
      <c r="P24" s="169"/>
      <c r="Q24" s="153"/>
      <c r="R24" s="153"/>
    </row>
    <row r="25" spans="1:18" s="138" customFormat="1" x14ac:dyDescent="0.2">
      <c r="A25" s="97" t="s">
        <v>235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50"/>
      <c r="L25" s="151"/>
      <c r="M25" s="151"/>
      <c r="N25" s="152"/>
      <c r="O25" s="169"/>
      <c r="P25" s="169"/>
      <c r="Q25" s="153"/>
      <c r="R25" s="153"/>
    </row>
  </sheetData>
  <mergeCells count="2">
    <mergeCell ref="A6:N6"/>
    <mergeCell ref="A5:N5"/>
  </mergeCells>
  <conditionalFormatting sqref="B10:G20 M10:N20">
    <cfRule type="expression" dxfId="124" priority="112" stopIfTrue="1">
      <formula>LEFT(#REF!,3)="TIR"</formula>
    </cfRule>
  </conditionalFormatting>
  <conditionalFormatting sqref="L1:M4 H10:J20 L10:M55555">
    <cfRule type="expression" dxfId="123" priority="114" stopIfTrue="1">
      <formula>LEFT(#REF!,3)="TIR"</formula>
    </cfRule>
  </conditionalFormatting>
  <conditionalFormatting sqref="A10:A20 K10:K20">
    <cfRule type="expression" dxfId="122" priority="117" stopIfTrue="1">
      <formula>#REF!&gt;0</formula>
    </cfRule>
    <cfRule type="expression" dxfId="12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E634-1FF1-47A1-A0EA-BEA467F7BFDF}">
  <sheetPr codeName="גיליון7">
    <pageSetUpPr fitToPage="1"/>
  </sheetPr>
  <dimension ref="A1:S27"/>
  <sheetViews>
    <sheetView rightToLeft="1" zoomScale="80" zoomScaleNormal="80" workbookViewId="0">
      <selection activeCell="A7" sqref="A7:M22"/>
    </sheetView>
  </sheetViews>
  <sheetFormatPr defaultRowHeight="12.75" x14ac:dyDescent="0.2"/>
  <cols>
    <col min="1" max="1" width="36.570312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1.28515625" style="22" customWidth="1"/>
    <col min="7" max="7" width="10.5703125" style="79" customWidth="1"/>
    <col min="8" max="8" width="8.85546875" style="79" bestFit="1" customWidth="1"/>
    <col min="9" max="9" width="16.5703125" style="79" customWidth="1"/>
    <col min="10" max="10" width="10.42578125" style="79" customWidth="1"/>
    <col min="11" max="11" width="22" style="50" customWidth="1"/>
    <col min="12" max="12" width="25.42578125" style="50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236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227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159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137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8" customFormat="1" ht="12.75" customHeight="1" thickBot="1" x14ac:dyDescent="0.25">
      <c r="A10" s="170" t="s">
        <v>161</v>
      </c>
      <c r="B10" s="89"/>
      <c r="C10" s="89"/>
      <c r="D10" s="89"/>
      <c r="E10" s="89"/>
      <c r="F10" s="171"/>
      <c r="G10" s="172"/>
      <c r="H10" s="171"/>
      <c r="I10" s="174" t="s">
        <v>240</v>
      </c>
      <c r="J10" s="128">
        <v>9.9999999999999995E-7</v>
      </c>
      <c r="K10" s="89" t="s">
        <v>240</v>
      </c>
      <c r="L10" s="89">
        <v>1</v>
      </c>
      <c r="M10" s="102">
        <v>0</v>
      </c>
    </row>
    <row r="11" spans="1:19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54" t="s">
        <v>240</v>
      </c>
      <c r="H11" s="142" t="s">
        <v>240</v>
      </c>
      <c r="I11" s="143" t="s">
        <v>240</v>
      </c>
      <c r="J11" s="175">
        <v>0</v>
      </c>
      <c r="K11" s="141" t="s">
        <v>240</v>
      </c>
      <c r="L11" s="141">
        <v>0</v>
      </c>
      <c r="M11" s="141">
        <v>0</v>
      </c>
    </row>
    <row r="12" spans="1:19" s="138" customFormat="1" x14ac:dyDescent="0.2">
      <c r="A12" s="112" t="s">
        <v>302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6" t="s">
        <v>240</v>
      </c>
      <c r="G12" s="156" t="s">
        <v>240</v>
      </c>
      <c r="H12" s="142" t="s">
        <v>240</v>
      </c>
      <c r="I12" s="147" t="s">
        <v>240</v>
      </c>
      <c r="J12" s="147">
        <v>0</v>
      </c>
      <c r="K12" s="145" t="s">
        <v>240</v>
      </c>
      <c r="L12" s="141">
        <v>0</v>
      </c>
      <c r="M12" s="141">
        <v>0</v>
      </c>
    </row>
    <row r="13" spans="1:19" s="138" customFormat="1" x14ac:dyDescent="0.2">
      <c r="A13" s="112" t="s">
        <v>303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6" t="s">
        <v>240</v>
      </c>
      <c r="G13" s="156" t="s">
        <v>240</v>
      </c>
      <c r="H13" s="142" t="s">
        <v>240</v>
      </c>
      <c r="I13" s="147" t="s">
        <v>240</v>
      </c>
      <c r="J13" s="147">
        <v>0</v>
      </c>
      <c r="K13" s="145" t="s">
        <v>240</v>
      </c>
      <c r="L13" s="141">
        <v>0</v>
      </c>
      <c r="M13" s="141">
        <v>0</v>
      </c>
    </row>
    <row r="14" spans="1:19" s="138" customFormat="1" x14ac:dyDescent="0.2">
      <c r="A14" s="112" t="s">
        <v>304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6" t="s">
        <v>240</v>
      </c>
      <c r="G14" s="156" t="s">
        <v>240</v>
      </c>
      <c r="H14" s="142" t="s">
        <v>240</v>
      </c>
      <c r="I14" s="147" t="s">
        <v>240</v>
      </c>
      <c r="J14" s="147">
        <v>0</v>
      </c>
      <c r="K14" s="145" t="s">
        <v>240</v>
      </c>
      <c r="L14" s="141">
        <v>0</v>
      </c>
      <c r="M14" s="141">
        <v>0</v>
      </c>
    </row>
    <row r="15" spans="1:19" s="138" customFormat="1" x14ac:dyDescent="0.2">
      <c r="A15" s="112" t="s">
        <v>305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6" t="s">
        <v>240</v>
      </c>
      <c r="G15" s="156" t="s">
        <v>240</v>
      </c>
      <c r="H15" s="142" t="s">
        <v>240</v>
      </c>
      <c r="I15" s="147" t="s">
        <v>240</v>
      </c>
      <c r="J15" s="147">
        <v>0</v>
      </c>
      <c r="K15" s="145" t="s">
        <v>240</v>
      </c>
      <c r="L15" s="141">
        <v>0</v>
      </c>
      <c r="M15" s="141">
        <v>0</v>
      </c>
    </row>
    <row r="16" spans="1:19" s="138" customFormat="1" x14ac:dyDescent="0.2">
      <c r="A16" s="112" t="s">
        <v>306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6" t="s">
        <v>240</v>
      </c>
      <c r="G16" s="156" t="s">
        <v>240</v>
      </c>
      <c r="H16" s="142" t="s">
        <v>240</v>
      </c>
      <c r="I16" s="147" t="s">
        <v>240</v>
      </c>
      <c r="J16" s="147">
        <v>0</v>
      </c>
      <c r="K16" s="145" t="s">
        <v>240</v>
      </c>
      <c r="L16" s="141">
        <v>0</v>
      </c>
      <c r="M16" s="141">
        <v>0</v>
      </c>
    </row>
    <row r="17" spans="1:18" s="138" customFormat="1" x14ac:dyDescent="0.2">
      <c r="A17" s="112" t="s">
        <v>144</v>
      </c>
      <c r="B17" s="145" t="s">
        <v>240</v>
      </c>
      <c r="C17" s="145" t="s">
        <v>240</v>
      </c>
      <c r="D17" s="145" t="s">
        <v>240</v>
      </c>
      <c r="E17" s="145" t="s">
        <v>240</v>
      </c>
      <c r="F17" s="146" t="s">
        <v>240</v>
      </c>
      <c r="G17" s="156" t="s">
        <v>240</v>
      </c>
      <c r="H17" s="142" t="s">
        <v>240</v>
      </c>
      <c r="I17" s="147" t="s">
        <v>240</v>
      </c>
      <c r="J17" s="147">
        <v>0</v>
      </c>
      <c r="K17" s="145" t="s">
        <v>240</v>
      </c>
      <c r="L17" s="141">
        <v>0</v>
      </c>
      <c r="M17" s="141">
        <v>0</v>
      </c>
    </row>
    <row r="18" spans="1:18" s="138" customFormat="1" x14ac:dyDescent="0.2">
      <c r="A18" s="112" t="s">
        <v>283</v>
      </c>
      <c r="B18" s="145" t="s">
        <v>240</v>
      </c>
      <c r="C18" s="145" t="s">
        <v>240</v>
      </c>
      <c r="D18" s="145" t="s">
        <v>240</v>
      </c>
      <c r="E18" s="145" t="s">
        <v>240</v>
      </c>
      <c r="F18" s="146" t="s">
        <v>240</v>
      </c>
      <c r="G18" s="156" t="s">
        <v>240</v>
      </c>
      <c r="H18" s="142" t="s">
        <v>240</v>
      </c>
      <c r="I18" s="147" t="s">
        <v>240</v>
      </c>
      <c r="J18" s="147">
        <v>0</v>
      </c>
      <c r="K18" s="145" t="s">
        <v>240</v>
      </c>
      <c r="L18" s="141">
        <v>0</v>
      </c>
      <c r="M18" s="141">
        <v>0</v>
      </c>
    </row>
    <row r="19" spans="1:18" s="138" customFormat="1" x14ac:dyDescent="0.2">
      <c r="A19" s="112" t="s">
        <v>307</v>
      </c>
      <c r="B19" s="145" t="s">
        <v>240</v>
      </c>
      <c r="C19" s="145" t="s">
        <v>240</v>
      </c>
      <c r="D19" s="145" t="s">
        <v>240</v>
      </c>
      <c r="E19" s="145" t="s">
        <v>240</v>
      </c>
      <c r="F19" s="146" t="s">
        <v>240</v>
      </c>
      <c r="G19" s="156" t="s">
        <v>240</v>
      </c>
      <c r="H19" s="142" t="s">
        <v>240</v>
      </c>
      <c r="I19" s="147" t="s">
        <v>240</v>
      </c>
      <c r="J19" s="147">
        <v>0</v>
      </c>
      <c r="K19" s="145" t="s">
        <v>240</v>
      </c>
      <c r="L19" s="141">
        <v>0</v>
      </c>
      <c r="M19" s="141">
        <v>0</v>
      </c>
    </row>
    <row r="20" spans="1:18" s="138" customFormat="1" x14ac:dyDescent="0.2">
      <c r="A20" s="112" t="s">
        <v>308</v>
      </c>
      <c r="B20" s="145" t="s">
        <v>240</v>
      </c>
      <c r="C20" s="145" t="s">
        <v>240</v>
      </c>
      <c r="D20" s="145" t="s">
        <v>240</v>
      </c>
      <c r="E20" s="145" t="s">
        <v>240</v>
      </c>
      <c r="F20" s="146" t="s">
        <v>240</v>
      </c>
      <c r="G20" s="156" t="s">
        <v>240</v>
      </c>
      <c r="H20" s="142" t="s">
        <v>240</v>
      </c>
      <c r="I20" s="147" t="s">
        <v>240</v>
      </c>
      <c r="J20" s="147">
        <v>0</v>
      </c>
      <c r="K20" s="145" t="s">
        <v>240</v>
      </c>
      <c r="L20" s="141">
        <v>0</v>
      </c>
      <c r="M20" s="141">
        <v>0</v>
      </c>
    </row>
    <row r="21" spans="1:18" s="138" customFormat="1" x14ac:dyDescent="0.2">
      <c r="A21" s="112" t="s">
        <v>144</v>
      </c>
      <c r="B21" s="145" t="s">
        <v>240</v>
      </c>
      <c r="C21" s="145" t="s">
        <v>240</v>
      </c>
      <c r="D21" s="145" t="s">
        <v>240</v>
      </c>
      <c r="E21" s="145" t="s">
        <v>240</v>
      </c>
      <c r="F21" s="146" t="s">
        <v>240</v>
      </c>
      <c r="G21" s="156" t="s">
        <v>240</v>
      </c>
      <c r="H21" s="142" t="s">
        <v>240</v>
      </c>
      <c r="I21" s="147" t="s">
        <v>240</v>
      </c>
      <c r="J21" s="147">
        <v>0</v>
      </c>
      <c r="K21" s="145" t="s">
        <v>240</v>
      </c>
      <c r="L21" s="141">
        <v>0</v>
      </c>
      <c r="M21" s="141">
        <v>0</v>
      </c>
    </row>
    <row r="22" spans="1:18" s="138" customFormat="1" x14ac:dyDescent="0.2">
      <c r="A22" s="226" t="s">
        <v>306</v>
      </c>
      <c r="B22" s="220" t="s">
        <v>240</v>
      </c>
      <c r="C22" s="220" t="s">
        <v>240</v>
      </c>
      <c r="D22" s="220" t="s">
        <v>240</v>
      </c>
      <c r="E22" s="220" t="s">
        <v>240</v>
      </c>
      <c r="F22" s="222" t="s">
        <v>240</v>
      </c>
      <c r="G22" s="227" t="s">
        <v>240</v>
      </c>
      <c r="H22" s="221" t="s">
        <v>240</v>
      </c>
      <c r="I22" s="223" t="s">
        <v>240</v>
      </c>
      <c r="J22" s="223">
        <v>0</v>
      </c>
      <c r="K22" s="220" t="s">
        <v>240</v>
      </c>
      <c r="L22" s="224">
        <v>0</v>
      </c>
      <c r="M22" s="224">
        <v>0</v>
      </c>
    </row>
    <row r="23" spans="1:18" s="138" customFormat="1" x14ac:dyDescent="0.2">
      <c r="A23" s="97" t="s">
        <v>231</v>
      </c>
      <c r="B23" s="148"/>
      <c r="C23" s="148"/>
      <c r="D23" s="148"/>
      <c r="E23" s="148"/>
      <c r="F23" s="148"/>
      <c r="G23" s="149"/>
      <c r="H23" s="149"/>
      <c r="I23" s="149"/>
      <c r="J23" s="149"/>
      <c r="K23" s="150"/>
      <c r="L23" s="150"/>
      <c r="M23" s="151"/>
      <c r="N23" s="169"/>
      <c r="O23" s="169"/>
      <c r="P23" s="169"/>
      <c r="Q23" s="153"/>
      <c r="R23" s="153"/>
    </row>
    <row r="24" spans="1:18" s="138" customFormat="1" x14ac:dyDescent="0.2">
      <c r="A24" s="97" t="s">
        <v>232</v>
      </c>
      <c r="B24" s="148"/>
      <c r="C24" s="148"/>
      <c r="D24" s="148"/>
      <c r="E24" s="148"/>
      <c r="F24" s="148"/>
      <c r="G24" s="149"/>
      <c r="H24" s="149"/>
      <c r="I24" s="149"/>
      <c r="J24" s="149"/>
      <c r="K24" s="150"/>
      <c r="L24" s="150"/>
      <c r="M24" s="151"/>
      <c r="N24" s="169"/>
      <c r="O24" s="169"/>
      <c r="P24" s="169"/>
      <c r="Q24" s="153"/>
      <c r="R24" s="153"/>
    </row>
    <row r="25" spans="1:18" s="138" customFormat="1" x14ac:dyDescent="0.2">
      <c r="A25" s="97" t="s">
        <v>233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50"/>
      <c r="L25" s="150"/>
      <c r="M25" s="151"/>
      <c r="N25" s="169"/>
      <c r="O25" s="169"/>
      <c r="P25" s="169"/>
      <c r="Q25" s="153"/>
      <c r="R25" s="153"/>
    </row>
    <row r="26" spans="1:18" s="138" customFormat="1" x14ac:dyDescent="0.2">
      <c r="A26" s="97" t="s">
        <v>234</v>
      </c>
      <c r="B26" s="148"/>
      <c r="C26" s="148"/>
      <c r="D26" s="148"/>
      <c r="E26" s="148"/>
      <c r="F26" s="148"/>
      <c r="G26" s="149"/>
      <c r="H26" s="149"/>
      <c r="I26" s="149"/>
      <c r="J26" s="149"/>
      <c r="K26" s="150"/>
      <c r="L26" s="150"/>
      <c r="M26" s="151"/>
      <c r="N26" s="169"/>
      <c r="O26" s="169"/>
      <c r="P26" s="169"/>
      <c r="Q26" s="153"/>
      <c r="R26" s="153"/>
    </row>
    <row r="27" spans="1:18" s="138" customFormat="1" x14ac:dyDescent="0.2">
      <c r="A27" s="97" t="s">
        <v>235</v>
      </c>
      <c r="B27" s="148"/>
      <c r="C27" s="148"/>
      <c r="D27" s="148"/>
      <c r="E27" s="148"/>
      <c r="F27" s="148"/>
      <c r="G27" s="149"/>
      <c r="H27" s="149"/>
      <c r="I27" s="149"/>
      <c r="J27" s="149"/>
      <c r="K27" s="150"/>
      <c r="L27" s="150"/>
      <c r="M27" s="151"/>
      <c r="N27" s="169"/>
      <c r="O27" s="169"/>
      <c r="P27" s="169"/>
      <c r="Q27" s="153"/>
      <c r="R27" s="153"/>
    </row>
  </sheetData>
  <mergeCells count="2">
    <mergeCell ref="A6:M6"/>
    <mergeCell ref="A5:M5"/>
  </mergeCells>
  <conditionalFormatting sqref="C10:E22">
    <cfRule type="expression" dxfId="120" priority="11" stopIfTrue="1">
      <formula>LEFT($IC10,3)="TIR"</formula>
    </cfRule>
  </conditionalFormatting>
  <conditionalFormatting sqref="M1:M4 G10:H22 K10:K22 M23:M55557">
    <cfRule type="expression" dxfId="119" priority="130" stopIfTrue="1">
      <formula>LEFT(#REF!,3)="TIR"</formula>
    </cfRule>
  </conditionalFormatting>
  <conditionalFormatting sqref="B10:F22 L10:M22">
    <cfRule type="expression" dxfId="118" priority="134" stopIfTrue="1">
      <formula>OR(LEFT(#REF!,3)="TIR",LEFT(#REF!,2)="IR")</formula>
    </cfRule>
  </conditionalFormatting>
  <conditionalFormatting sqref="A10:A22 I10:J22">
    <cfRule type="expression" dxfId="117" priority="136" stopIfTrue="1">
      <formula>#REF!&gt;0</formula>
    </cfRule>
    <cfRule type="expression" dxfId="116" priority="137" stopIfTrue="1">
      <formula>LEFT(#REF!,3)="TIR"</formula>
    </cfRule>
  </conditionalFormatting>
  <conditionalFormatting sqref="C10:D22">
    <cfRule type="expression" dxfId="11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8179-6CDE-4305-96E2-7CFB5363FA7E}">
  <sheetPr codeName="גיליון8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33.8554687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1.28515625" style="79" customWidth="1"/>
    <col min="9" max="9" width="10.5703125" style="50" customWidth="1"/>
    <col min="10" max="10" width="8.8554687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236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227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159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8" customFormat="1" ht="12.75" customHeight="1" thickBot="1" x14ac:dyDescent="0.25">
      <c r="A10" s="120" t="s">
        <v>54</v>
      </c>
      <c r="B10" s="86"/>
      <c r="C10" s="86"/>
      <c r="D10" s="86"/>
      <c r="E10" s="86"/>
      <c r="F10" s="121"/>
      <c r="G10" s="121"/>
      <c r="H10" s="121"/>
      <c r="I10" s="124"/>
      <c r="J10" s="121"/>
      <c r="K10" s="123">
        <v>0</v>
      </c>
      <c r="L10" s="86"/>
      <c r="M10" s="86">
        <v>0</v>
      </c>
      <c r="N10" s="101">
        <v>0</v>
      </c>
    </row>
    <row r="11" spans="1:19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42" t="s">
        <v>240</v>
      </c>
      <c r="H11" s="142" t="s">
        <v>240</v>
      </c>
      <c r="I11" s="154" t="s">
        <v>240</v>
      </c>
      <c r="J11" s="142" t="s">
        <v>240</v>
      </c>
      <c r="K11" s="143">
        <v>0</v>
      </c>
      <c r="L11" s="141" t="s">
        <v>240</v>
      </c>
      <c r="M11" s="141">
        <v>0</v>
      </c>
      <c r="N11" s="141">
        <v>0</v>
      </c>
    </row>
    <row r="12" spans="1:19" s="138" customFormat="1" x14ac:dyDescent="0.2">
      <c r="A12" s="112" t="s">
        <v>58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6" t="s">
        <v>240</v>
      </c>
      <c r="H12" s="146" t="s">
        <v>240</v>
      </c>
      <c r="I12" s="156" t="s">
        <v>240</v>
      </c>
      <c r="J12" s="146" t="s">
        <v>240</v>
      </c>
      <c r="K12" s="147">
        <v>0</v>
      </c>
      <c r="L12" s="145" t="s">
        <v>240</v>
      </c>
      <c r="M12" s="145">
        <v>0</v>
      </c>
      <c r="N12" s="141">
        <v>0</v>
      </c>
    </row>
    <row r="13" spans="1:19" s="138" customFormat="1" x14ac:dyDescent="0.2">
      <c r="A13" s="112" t="s">
        <v>309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2" t="s">
        <v>240</v>
      </c>
      <c r="G13" s="146" t="s">
        <v>240</v>
      </c>
      <c r="H13" s="146" t="s">
        <v>240</v>
      </c>
      <c r="I13" s="156" t="s">
        <v>240</v>
      </c>
      <c r="J13" s="146" t="s">
        <v>240</v>
      </c>
      <c r="K13" s="147">
        <v>0</v>
      </c>
      <c r="L13" s="145" t="s">
        <v>240</v>
      </c>
      <c r="M13" s="145">
        <v>0</v>
      </c>
      <c r="N13" s="141">
        <v>0</v>
      </c>
    </row>
    <row r="14" spans="1:19" s="138" customFormat="1" x14ac:dyDescent="0.2">
      <c r="A14" s="112" t="s">
        <v>59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2" t="s">
        <v>240</v>
      </c>
      <c r="G14" s="146" t="s">
        <v>240</v>
      </c>
      <c r="H14" s="146" t="s">
        <v>240</v>
      </c>
      <c r="I14" s="156" t="s">
        <v>240</v>
      </c>
      <c r="J14" s="146" t="s">
        <v>240</v>
      </c>
      <c r="K14" s="147">
        <v>0</v>
      </c>
      <c r="L14" s="145" t="s">
        <v>240</v>
      </c>
      <c r="M14" s="145">
        <v>0</v>
      </c>
      <c r="N14" s="141">
        <v>0</v>
      </c>
    </row>
    <row r="15" spans="1:19" s="138" customFormat="1" x14ac:dyDescent="0.2">
      <c r="A15" s="112" t="s">
        <v>144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2" t="s">
        <v>240</v>
      </c>
      <c r="G15" s="146" t="s">
        <v>240</v>
      </c>
      <c r="H15" s="146" t="s">
        <v>240</v>
      </c>
      <c r="I15" s="156" t="s">
        <v>240</v>
      </c>
      <c r="J15" s="146" t="s">
        <v>240</v>
      </c>
      <c r="K15" s="147">
        <v>0</v>
      </c>
      <c r="L15" s="145" t="s">
        <v>240</v>
      </c>
      <c r="M15" s="145">
        <v>0</v>
      </c>
      <c r="N15" s="141">
        <v>0</v>
      </c>
    </row>
    <row r="16" spans="1:19" s="138" customFormat="1" x14ac:dyDescent="0.2">
      <c r="A16" s="112" t="s">
        <v>283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2" t="s">
        <v>240</v>
      </c>
      <c r="G16" s="146" t="s">
        <v>240</v>
      </c>
      <c r="H16" s="146" t="s">
        <v>240</v>
      </c>
      <c r="I16" s="156" t="s">
        <v>240</v>
      </c>
      <c r="J16" s="146" t="s">
        <v>240</v>
      </c>
      <c r="K16" s="147">
        <v>0</v>
      </c>
      <c r="L16" s="145" t="s">
        <v>240</v>
      </c>
      <c r="M16" s="145">
        <v>0</v>
      </c>
      <c r="N16" s="141">
        <v>0</v>
      </c>
    </row>
    <row r="17" spans="1:16" s="138" customFormat="1" x14ac:dyDescent="0.2">
      <c r="A17" s="112" t="s">
        <v>58</v>
      </c>
      <c r="B17" s="145" t="s">
        <v>240</v>
      </c>
      <c r="C17" s="145" t="s">
        <v>240</v>
      </c>
      <c r="D17" s="145" t="s">
        <v>240</v>
      </c>
      <c r="E17" s="145" t="s">
        <v>240</v>
      </c>
      <c r="F17" s="142" t="s">
        <v>240</v>
      </c>
      <c r="G17" s="146" t="s">
        <v>240</v>
      </c>
      <c r="H17" s="146" t="s">
        <v>240</v>
      </c>
      <c r="I17" s="156" t="s">
        <v>240</v>
      </c>
      <c r="J17" s="146" t="s">
        <v>240</v>
      </c>
      <c r="K17" s="147">
        <v>0</v>
      </c>
      <c r="L17" s="145" t="s">
        <v>240</v>
      </c>
      <c r="M17" s="145">
        <v>0</v>
      </c>
      <c r="N17" s="141">
        <v>0</v>
      </c>
    </row>
    <row r="18" spans="1:16" s="138" customFormat="1" x14ac:dyDescent="0.2">
      <c r="A18" s="112" t="s">
        <v>309</v>
      </c>
      <c r="B18" s="145" t="s">
        <v>240</v>
      </c>
      <c r="C18" s="145" t="s">
        <v>240</v>
      </c>
      <c r="D18" s="145" t="s">
        <v>240</v>
      </c>
      <c r="E18" s="145" t="s">
        <v>240</v>
      </c>
      <c r="F18" s="142" t="s">
        <v>240</v>
      </c>
      <c r="G18" s="146" t="s">
        <v>240</v>
      </c>
      <c r="H18" s="146" t="s">
        <v>240</v>
      </c>
      <c r="I18" s="156" t="s">
        <v>240</v>
      </c>
      <c r="J18" s="146" t="s">
        <v>240</v>
      </c>
      <c r="K18" s="147">
        <v>0</v>
      </c>
      <c r="L18" s="145" t="s">
        <v>240</v>
      </c>
      <c r="M18" s="145">
        <v>0</v>
      </c>
      <c r="N18" s="141">
        <v>0</v>
      </c>
    </row>
    <row r="19" spans="1:16" s="138" customFormat="1" x14ac:dyDescent="0.2">
      <c r="A19" s="112" t="s">
        <v>59</v>
      </c>
      <c r="B19" s="145" t="s">
        <v>240</v>
      </c>
      <c r="C19" s="145" t="s">
        <v>240</v>
      </c>
      <c r="D19" s="145" t="s">
        <v>240</v>
      </c>
      <c r="E19" s="145" t="s">
        <v>240</v>
      </c>
      <c r="F19" s="142" t="s">
        <v>240</v>
      </c>
      <c r="G19" s="146" t="s">
        <v>240</v>
      </c>
      <c r="H19" s="146" t="s">
        <v>240</v>
      </c>
      <c r="I19" s="156" t="s">
        <v>240</v>
      </c>
      <c r="J19" s="146" t="s">
        <v>240</v>
      </c>
      <c r="K19" s="147">
        <v>0</v>
      </c>
      <c r="L19" s="145" t="s">
        <v>240</v>
      </c>
      <c r="M19" s="145">
        <v>0</v>
      </c>
      <c r="N19" s="141">
        <v>0</v>
      </c>
    </row>
    <row r="20" spans="1:16" s="138" customFormat="1" x14ac:dyDescent="0.2">
      <c r="A20" s="226" t="s">
        <v>144</v>
      </c>
      <c r="B20" s="220" t="s">
        <v>240</v>
      </c>
      <c r="C20" s="220" t="s">
        <v>240</v>
      </c>
      <c r="D20" s="220" t="s">
        <v>240</v>
      </c>
      <c r="E20" s="220" t="s">
        <v>240</v>
      </c>
      <c r="F20" s="221" t="s">
        <v>240</v>
      </c>
      <c r="G20" s="222" t="s">
        <v>240</v>
      </c>
      <c r="H20" s="222" t="s">
        <v>240</v>
      </c>
      <c r="I20" s="227" t="s">
        <v>240</v>
      </c>
      <c r="J20" s="222" t="s">
        <v>240</v>
      </c>
      <c r="K20" s="223">
        <v>0</v>
      </c>
      <c r="L20" s="220" t="s">
        <v>240</v>
      </c>
      <c r="M20" s="220">
        <v>0</v>
      </c>
      <c r="N20" s="224">
        <v>0</v>
      </c>
    </row>
    <row r="21" spans="1:16" s="138" customFormat="1" x14ac:dyDescent="0.2">
      <c r="A21" s="97" t="s">
        <v>231</v>
      </c>
      <c r="B21" s="148"/>
      <c r="C21" s="148"/>
      <c r="D21" s="148"/>
      <c r="E21" s="148"/>
      <c r="F21" s="149"/>
      <c r="G21" s="149"/>
      <c r="H21" s="149"/>
      <c r="I21" s="150"/>
      <c r="J21" s="151"/>
      <c r="K21" s="152"/>
      <c r="L21" s="152"/>
      <c r="M21" s="152"/>
      <c r="N21" s="152"/>
      <c r="O21" s="153"/>
      <c r="P21" s="153"/>
    </row>
    <row r="22" spans="1:16" s="138" customFormat="1" x14ac:dyDescent="0.2">
      <c r="A22" s="97" t="s">
        <v>232</v>
      </c>
      <c r="B22" s="148"/>
      <c r="C22" s="148"/>
      <c r="D22" s="148"/>
      <c r="E22" s="148"/>
      <c r="F22" s="149"/>
      <c r="G22" s="149"/>
      <c r="H22" s="149"/>
      <c r="I22" s="150"/>
      <c r="J22" s="151"/>
      <c r="K22" s="152"/>
      <c r="L22" s="152"/>
      <c r="M22" s="152"/>
      <c r="N22" s="152"/>
      <c r="O22" s="153"/>
      <c r="P22" s="153"/>
    </row>
    <row r="23" spans="1:16" s="138" customFormat="1" x14ac:dyDescent="0.2">
      <c r="A23" s="97" t="s">
        <v>233</v>
      </c>
      <c r="B23" s="148"/>
      <c r="C23" s="148"/>
      <c r="D23" s="148"/>
      <c r="E23" s="148"/>
      <c r="F23" s="149"/>
      <c r="G23" s="149"/>
      <c r="H23" s="149"/>
      <c r="I23" s="150"/>
      <c r="J23" s="151"/>
      <c r="K23" s="152"/>
      <c r="L23" s="152"/>
      <c r="M23" s="152"/>
      <c r="N23" s="152"/>
      <c r="O23" s="153"/>
      <c r="P23" s="153"/>
    </row>
    <row r="24" spans="1:16" s="138" customFormat="1" x14ac:dyDescent="0.2">
      <c r="A24" s="97" t="s">
        <v>234</v>
      </c>
      <c r="B24" s="148"/>
      <c r="C24" s="148"/>
      <c r="D24" s="148"/>
      <c r="E24" s="148"/>
      <c r="F24" s="149"/>
      <c r="G24" s="149"/>
      <c r="H24" s="149"/>
      <c r="I24" s="150"/>
      <c r="J24" s="151"/>
      <c r="K24" s="152"/>
      <c r="L24" s="152"/>
      <c r="M24" s="152"/>
      <c r="N24" s="152"/>
      <c r="O24" s="153"/>
      <c r="P24" s="153"/>
    </row>
    <row r="25" spans="1:16" s="138" customFormat="1" x14ac:dyDescent="0.2">
      <c r="A25" s="97" t="s">
        <v>235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52"/>
      <c r="M25" s="152"/>
      <c r="N25" s="152"/>
      <c r="O25" s="153"/>
      <c r="P25" s="153"/>
    </row>
  </sheetData>
  <mergeCells count="2">
    <mergeCell ref="A6:N6"/>
    <mergeCell ref="A5:N5"/>
  </mergeCells>
  <conditionalFormatting sqref="C10:D20">
    <cfRule type="expression" dxfId="114" priority="9" stopIfTrue="1">
      <formula>LEFT($IB10,3)="TIR"</formula>
    </cfRule>
  </conditionalFormatting>
  <conditionalFormatting sqref="J1:J4 I10:J20 L10:L20 J21:J55555">
    <cfRule type="expression" dxfId="113" priority="152" stopIfTrue="1">
      <formula>LEFT(#REF!,3)="TIR"</formula>
    </cfRule>
  </conditionalFormatting>
  <conditionalFormatting sqref="B10:H20 M10:N20">
    <cfRule type="expression" dxfId="112" priority="156" stopIfTrue="1">
      <formula>OR(LEFT(#REF!,3)="TIR",LEFT(#REF!,2)="IR")</formula>
    </cfRule>
  </conditionalFormatting>
  <conditionalFormatting sqref="A10:A20 K10:K20">
    <cfRule type="expression" dxfId="111" priority="158" stopIfTrue="1">
      <formula>#REF!&gt;0</formula>
    </cfRule>
    <cfRule type="expression" dxfId="110" priority="159" stopIfTrue="1">
      <formula>LEFT(#REF!,3)="TIR"</formula>
    </cfRule>
  </conditionalFormatting>
  <conditionalFormatting sqref="C10:D20">
    <cfRule type="expression" dxfId="10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F96C-4322-491E-8357-3531335FF127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9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236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227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159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8" customFormat="1" ht="12.75" customHeight="1" thickBot="1" x14ac:dyDescent="0.25">
      <c r="A10" s="170" t="s">
        <v>55</v>
      </c>
      <c r="B10" s="89"/>
      <c r="C10" s="89"/>
      <c r="D10" s="89"/>
      <c r="E10" s="171"/>
      <c r="F10" s="176"/>
      <c r="G10" s="171"/>
      <c r="H10" s="174">
        <v>2.0000000000000002E-7</v>
      </c>
      <c r="I10" s="89"/>
      <c r="J10" s="103">
        <v>1</v>
      </c>
      <c r="K10" s="102">
        <v>0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2" t="s">
        <v>240</v>
      </c>
      <c r="F11" s="154" t="s">
        <v>240</v>
      </c>
      <c r="G11" s="142" t="s">
        <v>240</v>
      </c>
      <c r="H11" s="143">
        <v>0</v>
      </c>
      <c r="I11" s="141" t="s">
        <v>240</v>
      </c>
      <c r="J11" s="141">
        <v>0</v>
      </c>
      <c r="K11" s="141">
        <v>0</v>
      </c>
    </row>
    <row r="12" spans="1:16" s="138" customFormat="1" x14ac:dyDescent="0.2">
      <c r="A12" s="112" t="s">
        <v>310</v>
      </c>
      <c r="B12" s="141" t="s">
        <v>240</v>
      </c>
      <c r="C12" s="145" t="s">
        <v>240</v>
      </c>
      <c r="D12" s="145" t="s">
        <v>240</v>
      </c>
      <c r="E12" s="146" t="s">
        <v>240</v>
      </c>
      <c r="F12" s="156" t="s">
        <v>240</v>
      </c>
      <c r="G12" s="142" t="s">
        <v>240</v>
      </c>
      <c r="H12" s="147">
        <v>0</v>
      </c>
      <c r="I12" s="145" t="s">
        <v>240</v>
      </c>
      <c r="J12" s="141">
        <v>0</v>
      </c>
      <c r="K12" s="141">
        <v>0</v>
      </c>
    </row>
    <row r="13" spans="1:16" s="138" customFormat="1" x14ac:dyDescent="0.2">
      <c r="A13" s="112" t="s">
        <v>283</v>
      </c>
      <c r="B13" s="141" t="s">
        <v>240</v>
      </c>
      <c r="C13" s="145" t="s">
        <v>240</v>
      </c>
      <c r="D13" s="145" t="s">
        <v>240</v>
      </c>
      <c r="E13" s="146" t="s">
        <v>240</v>
      </c>
      <c r="F13" s="156" t="s">
        <v>240</v>
      </c>
      <c r="G13" s="142" t="s">
        <v>240</v>
      </c>
      <c r="H13" s="147">
        <v>0</v>
      </c>
      <c r="I13" s="145" t="s">
        <v>240</v>
      </c>
      <c r="J13" s="141">
        <v>0</v>
      </c>
      <c r="K13" s="141">
        <v>0</v>
      </c>
    </row>
    <row r="14" spans="1:16" s="138" customFormat="1" x14ac:dyDescent="0.2">
      <c r="A14" s="226" t="s">
        <v>311</v>
      </c>
      <c r="B14" s="224" t="s">
        <v>240</v>
      </c>
      <c r="C14" s="220" t="s">
        <v>240</v>
      </c>
      <c r="D14" s="220" t="s">
        <v>240</v>
      </c>
      <c r="E14" s="222" t="s">
        <v>240</v>
      </c>
      <c r="F14" s="227" t="s">
        <v>240</v>
      </c>
      <c r="G14" s="221" t="s">
        <v>240</v>
      </c>
      <c r="H14" s="223">
        <v>0</v>
      </c>
      <c r="I14" s="220" t="s">
        <v>240</v>
      </c>
      <c r="J14" s="224">
        <v>0</v>
      </c>
      <c r="K14" s="224">
        <v>0</v>
      </c>
    </row>
    <row r="15" spans="1:16" s="138" customFormat="1" x14ac:dyDescent="0.2">
      <c r="A15" s="97" t="s">
        <v>231</v>
      </c>
      <c r="B15" s="148"/>
      <c r="C15" s="148"/>
      <c r="D15" s="148"/>
      <c r="E15" s="149"/>
      <c r="F15" s="149"/>
      <c r="G15" s="149"/>
      <c r="H15" s="150"/>
      <c r="I15" s="151"/>
      <c r="J15" s="151"/>
      <c r="K15" s="152"/>
      <c r="L15" s="169"/>
      <c r="M15" s="169"/>
      <c r="N15" s="153"/>
      <c r="O15" s="153"/>
    </row>
    <row r="16" spans="1:16" s="138" customFormat="1" x14ac:dyDescent="0.2">
      <c r="A16" s="97" t="s">
        <v>232</v>
      </c>
      <c r="B16" s="148"/>
      <c r="C16" s="148"/>
      <c r="D16" s="148"/>
      <c r="E16" s="149"/>
      <c r="F16" s="149"/>
      <c r="G16" s="149"/>
      <c r="H16" s="150"/>
      <c r="I16" s="151"/>
      <c r="J16" s="151"/>
      <c r="K16" s="152"/>
      <c r="L16" s="169"/>
      <c r="M16" s="169"/>
      <c r="N16" s="153"/>
      <c r="O16" s="153"/>
    </row>
    <row r="17" spans="1:15" s="138" customFormat="1" x14ac:dyDescent="0.2">
      <c r="A17" s="97" t="s">
        <v>233</v>
      </c>
      <c r="B17" s="148"/>
      <c r="C17" s="148"/>
      <c r="D17" s="148"/>
      <c r="E17" s="149"/>
      <c r="F17" s="149"/>
      <c r="G17" s="149"/>
      <c r="H17" s="150"/>
      <c r="I17" s="151"/>
      <c r="J17" s="151"/>
      <c r="K17" s="152"/>
      <c r="L17" s="169"/>
      <c r="M17" s="169"/>
      <c r="N17" s="153"/>
      <c r="O17" s="153"/>
    </row>
    <row r="18" spans="1:15" s="138" customFormat="1" x14ac:dyDescent="0.2">
      <c r="A18" s="97" t="s">
        <v>234</v>
      </c>
      <c r="B18" s="148"/>
      <c r="C18" s="148"/>
      <c r="D18" s="148"/>
      <c r="E18" s="149"/>
      <c r="F18" s="149"/>
      <c r="G18" s="149"/>
      <c r="H18" s="150"/>
      <c r="I18" s="151"/>
      <c r="J18" s="151"/>
      <c r="K18" s="152"/>
      <c r="L18" s="169"/>
      <c r="M18" s="169"/>
      <c r="N18" s="153"/>
      <c r="O18" s="153"/>
    </row>
    <row r="19" spans="1:15" s="138" customFormat="1" x14ac:dyDescent="0.2">
      <c r="A19" s="97" t="s">
        <v>235</v>
      </c>
      <c r="B19" s="148"/>
      <c r="C19" s="148"/>
      <c r="D19" s="148"/>
      <c r="E19" s="149"/>
      <c r="F19" s="149"/>
      <c r="G19" s="149"/>
      <c r="H19" s="150"/>
      <c r="I19" s="151"/>
      <c r="J19" s="151"/>
      <c r="K19" s="152"/>
      <c r="L19" s="169"/>
      <c r="M19" s="169"/>
      <c r="N19" s="153"/>
      <c r="O19" s="153"/>
    </row>
  </sheetData>
  <mergeCells count="2">
    <mergeCell ref="A6:K6"/>
    <mergeCell ref="A5:K5"/>
  </mergeCells>
  <conditionalFormatting sqref="B11:E14 J11:K14">
    <cfRule type="expression" dxfId="108" priority="168" stopIfTrue="1">
      <formula>OR(LEFT(#REF!,3)="TIR",LEFT(#REF!,2)="IR")</formula>
    </cfRule>
  </conditionalFormatting>
  <conditionalFormatting sqref="A10:A14 H10:H14">
    <cfRule type="expression" dxfId="107" priority="170" stopIfTrue="1">
      <formula>#REF!&gt;0</formula>
    </cfRule>
  </conditionalFormatting>
  <conditionalFormatting sqref="G11:G14">
    <cfRule type="expression" dxfId="10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BB1D-8ED5-472E-9A39-75C974C39A53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9" customWidth="1"/>
    <col min="7" max="7" width="8.710937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236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227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159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8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6"/>
      <c r="H10" s="128">
        <v>9.0000000000000007E-7</v>
      </c>
      <c r="I10" s="89"/>
      <c r="J10" s="89">
        <v>1</v>
      </c>
      <c r="K10" s="102">
        <v>0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2" t="s">
        <v>240</v>
      </c>
      <c r="F11" s="154" t="s">
        <v>240</v>
      </c>
      <c r="G11" s="142" t="s">
        <v>240</v>
      </c>
      <c r="H11" s="143">
        <v>0</v>
      </c>
      <c r="I11" s="141" t="s">
        <v>240</v>
      </c>
      <c r="J11" s="141">
        <v>0</v>
      </c>
      <c r="K11" s="141">
        <v>0</v>
      </c>
    </row>
    <row r="12" spans="1:16" s="138" customFormat="1" x14ac:dyDescent="0.2">
      <c r="A12" s="112" t="s">
        <v>312</v>
      </c>
      <c r="B12" s="141" t="s">
        <v>240</v>
      </c>
      <c r="C12" s="141" t="s">
        <v>240</v>
      </c>
      <c r="D12" s="141" t="s">
        <v>240</v>
      </c>
      <c r="E12" s="142" t="s">
        <v>240</v>
      </c>
      <c r="F12" s="156" t="s">
        <v>240</v>
      </c>
      <c r="G12" s="142" t="s">
        <v>240</v>
      </c>
      <c r="H12" s="147">
        <v>0</v>
      </c>
      <c r="I12" s="145" t="s">
        <v>240</v>
      </c>
      <c r="J12" s="141">
        <v>0</v>
      </c>
      <c r="K12" s="145">
        <v>0</v>
      </c>
    </row>
    <row r="13" spans="1:16" s="138" customFormat="1" x14ac:dyDescent="0.2">
      <c r="A13" s="112" t="s">
        <v>313</v>
      </c>
      <c r="B13" s="141" t="s">
        <v>240</v>
      </c>
      <c r="C13" s="141" t="s">
        <v>240</v>
      </c>
      <c r="D13" s="141" t="s">
        <v>240</v>
      </c>
      <c r="E13" s="142" t="s">
        <v>240</v>
      </c>
      <c r="F13" s="156" t="s">
        <v>240</v>
      </c>
      <c r="G13" s="142" t="s">
        <v>240</v>
      </c>
      <c r="H13" s="147">
        <v>0</v>
      </c>
      <c r="I13" s="145" t="s">
        <v>240</v>
      </c>
      <c r="J13" s="141">
        <v>0</v>
      </c>
      <c r="K13" s="145">
        <v>0</v>
      </c>
    </row>
    <row r="14" spans="1:16" s="138" customFormat="1" x14ac:dyDescent="0.2">
      <c r="A14" s="112" t="s">
        <v>314</v>
      </c>
      <c r="B14" s="141" t="s">
        <v>240</v>
      </c>
      <c r="C14" s="141" t="s">
        <v>240</v>
      </c>
      <c r="D14" s="141" t="s">
        <v>240</v>
      </c>
      <c r="E14" s="142" t="s">
        <v>240</v>
      </c>
      <c r="F14" s="156" t="s">
        <v>240</v>
      </c>
      <c r="G14" s="142" t="s">
        <v>240</v>
      </c>
      <c r="H14" s="147">
        <v>0</v>
      </c>
      <c r="I14" s="145" t="s">
        <v>240</v>
      </c>
      <c r="J14" s="141">
        <v>0</v>
      </c>
      <c r="K14" s="145">
        <v>0</v>
      </c>
    </row>
    <row r="15" spans="1:16" s="138" customFormat="1" x14ac:dyDescent="0.2">
      <c r="A15" s="112" t="s">
        <v>144</v>
      </c>
      <c r="B15" s="141" t="s">
        <v>240</v>
      </c>
      <c r="C15" s="141" t="s">
        <v>240</v>
      </c>
      <c r="D15" s="141" t="s">
        <v>240</v>
      </c>
      <c r="E15" s="142" t="s">
        <v>240</v>
      </c>
      <c r="F15" s="156" t="s">
        <v>240</v>
      </c>
      <c r="G15" s="142" t="s">
        <v>240</v>
      </c>
      <c r="H15" s="147">
        <v>0</v>
      </c>
      <c r="I15" s="145" t="s">
        <v>240</v>
      </c>
      <c r="J15" s="141">
        <v>0</v>
      </c>
      <c r="K15" s="145">
        <v>0</v>
      </c>
    </row>
    <row r="16" spans="1:16" s="138" customFormat="1" x14ac:dyDescent="0.2">
      <c r="A16" s="112" t="s">
        <v>283</v>
      </c>
      <c r="B16" s="141" t="s">
        <v>240</v>
      </c>
      <c r="C16" s="141" t="s">
        <v>240</v>
      </c>
      <c r="D16" s="141" t="s">
        <v>240</v>
      </c>
      <c r="E16" s="142" t="s">
        <v>240</v>
      </c>
      <c r="F16" s="156" t="s">
        <v>240</v>
      </c>
      <c r="G16" s="142" t="s">
        <v>240</v>
      </c>
      <c r="H16" s="147">
        <v>0</v>
      </c>
      <c r="I16" s="145" t="s">
        <v>240</v>
      </c>
      <c r="J16" s="141">
        <v>0</v>
      </c>
      <c r="K16" s="145">
        <v>0</v>
      </c>
    </row>
    <row r="17" spans="1:15" s="138" customFormat="1" x14ac:dyDescent="0.2">
      <c r="A17" s="112" t="s">
        <v>312</v>
      </c>
      <c r="B17" s="141" t="s">
        <v>240</v>
      </c>
      <c r="C17" s="141" t="s">
        <v>240</v>
      </c>
      <c r="D17" s="141" t="s">
        <v>240</v>
      </c>
      <c r="E17" s="142" t="s">
        <v>240</v>
      </c>
      <c r="F17" s="156" t="s">
        <v>240</v>
      </c>
      <c r="G17" s="142" t="s">
        <v>240</v>
      </c>
      <c r="H17" s="147">
        <v>0</v>
      </c>
      <c r="I17" s="145" t="s">
        <v>240</v>
      </c>
      <c r="J17" s="141">
        <v>0</v>
      </c>
      <c r="K17" s="145">
        <v>0</v>
      </c>
    </row>
    <row r="18" spans="1:15" s="138" customFormat="1" x14ac:dyDescent="0.2">
      <c r="A18" s="112" t="s">
        <v>315</v>
      </c>
      <c r="B18" s="141" t="s">
        <v>240</v>
      </c>
      <c r="C18" s="141" t="s">
        <v>240</v>
      </c>
      <c r="D18" s="141" t="s">
        <v>240</v>
      </c>
      <c r="E18" s="142" t="s">
        <v>240</v>
      </c>
      <c r="F18" s="156" t="s">
        <v>240</v>
      </c>
      <c r="G18" s="142" t="s">
        <v>240</v>
      </c>
      <c r="H18" s="147">
        <v>0</v>
      </c>
      <c r="I18" s="145" t="s">
        <v>240</v>
      </c>
      <c r="J18" s="141">
        <v>0</v>
      </c>
      <c r="K18" s="145">
        <v>0</v>
      </c>
    </row>
    <row r="19" spans="1:15" s="138" customFormat="1" x14ac:dyDescent="0.2">
      <c r="A19" s="112" t="s">
        <v>314</v>
      </c>
      <c r="B19" s="141" t="s">
        <v>240</v>
      </c>
      <c r="C19" s="141" t="s">
        <v>240</v>
      </c>
      <c r="D19" s="141" t="s">
        <v>240</v>
      </c>
      <c r="E19" s="142" t="s">
        <v>240</v>
      </c>
      <c r="F19" s="156" t="s">
        <v>240</v>
      </c>
      <c r="G19" s="142" t="s">
        <v>240</v>
      </c>
      <c r="H19" s="147">
        <v>0</v>
      </c>
      <c r="I19" s="145" t="s">
        <v>240</v>
      </c>
      <c r="J19" s="141">
        <v>0</v>
      </c>
      <c r="K19" s="145">
        <v>0</v>
      </c>
    </row>
    <row r="20" spans="1:15" s="138" customFormat="1" x14ac:dyDescent="0.2">
      <c r="A20" s="112" t="s">
        <v>316</v>
      </c>
      <c r="B20" s="141" t="s">
        <v>240</v>
      </c>
      <c r="C20" s="141" t="s">
        <v>240</v>
      </c>
      <c r="D20" s="141" t="s">
        <v>240</v>
      </c>
      <c r="E20" s="142" t="s">
        <v>240</v>
      </c>
      <c r="F20" s="156" t="s">
        <v>240</v>
      </c>
      <c r="G20" s="142" t="s">
        <v>240</v>
      </c>
      <c r="H20" s="147">
        <v>0</v>
      </c>
      <c r="I20" s="145" t="s">
        <v>240</v>
      </c>
      <c r="J20" s="141">
        <v>0</v>
      </c>
      <c r="K20" s="145">
        <v>0</v>
      </c>
    </row>
    <row r="21" spans="1:15" s="138" customFormat="1" x14ac:dyDescent="0.2">
      <c r="A21" s="226" t="s">
        <v>144</v>
      </c>
      <c r="B21" s="224" t="s">
        <v>240</v>
      </c>
      <c r="C21" s="224" t="s">
        <v>240</v>
      </c>
      <c r="D21" s="224" t="s">
        <v>240</v>
      </c>
      <c r="E21" s="221" t="s">
        <v>240</v>
      </c>
      <c r="F21" s="227" t="s">
        <v>240</v>
      </c>
      <c r="G21" s="221" t="s">
        <v>240</v>
      </c>
      <c r="H21" s="223">
        <v>0</v>
      </c>
      <c r="I21" s="220" t="s">
        <v>240</v>
      </c>
      <c r="J21" s="224">
        <v>0</v>
      </c>
      <c r="K21" s="220">
        <v>0</v>
      </c>
    </row>
    <row r="22" spans="1:15" s="138" customFormat="1" x14ac:dyDescent="0.2">
      <c r="A22" s="97" t="s">
        <v>231</v>
      </c>
      <c r="B22" s="148"/>
      <c r="C22" s="148"/>
      <c r="D22" s="148"/>
      <c r="E22" s="148"/>
      <c r="F22" s="149"/>
      <c r="G22" s="149"/>
      <c r="H22" s="149"/>
      <c r="I22" s="150"/>
      <c r="J22" s="151"/>
      <c r="K22" s="152"/>
      <c r="L22" s="169"/>
      <c r="M22" s="169"/>
      <c r="N22" s="153"/>
      <c r="O22" s="153"/>
    </row>
    <row r="23" spans="1:15" s="138" customFormat="1" x14ac:dyDescent="0.2">
      <c r="A23" s="97" t="s">
        <v>232</v>
      </c>
      <c r="B23" s="148"/>
      <c r="C23" s="148"/>
      <c r="D23" s="148"/>
      <c r="E23" s="148"/>
      <c r="F23" s="149"/>
      <c r="G23" s="149"/>
      <c r="H23" s="149"/>
      <c r="I23" s="150"/>
      <c r="J23" s="151"/>
      <c r="K23" s="152"/>
      <c r="L23" s="169"/>
      <c r="M23" s="169"/>
      <c r="N23" s="153"/>
      <c r="O23" s="153"/>
    </row>
    <row r="24" spans="1:15" s="138" customFormat="1" x14ac:dyDescent="0.2">
      <c r="A24" s="97" t="s">
        <v>233</v>
      </c>
      <c r="B24" s="148"/>
      <c r="C24" s="148"/>
      <c r="D24" s="148"/>
      <c r="E24" s="148"/>
      <c r="F24" s="149"/>
      <c r="G24" s="149"/>
      <c r="H24" s="149"/>
      <c r="I24" s="150"/>
      <c r="J24" s="151"/>
      <c r="K24" s="152"/>
      <c r="L24" s="169"/>
      <c r="M24" s="169"/>
      <c r="N24" s="153"/>
      <c r="O24" s="153"/>
    </row>
    <row r="25" spans="1:15" s="138" customFormat="1" x14ac:dyDescent="0.2">
      <c r="A25" s="97" t="s">
        <v>234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69"/>
      <c r="M25" s="169"/>
      <c r="N25" s="153"/>
      <c r="O25" s="153"/>
    </row>
    <row r="26" spans="1:15" s="138" customFormat="1" x14ac:dyDescent="0.2">
      <c r="A26" s="97" t="s">
        <v>235</v>
      </c>
      <c r="B26" s="148"/>
      <c r="C26" s="148"/>
      <c r="D26" s="148"/>
      <c r="E26" s="148"/>
      <c r="F26" s="149"/>
      <c r="G26" s="149"/>
      <c r="H26" s="149"/>
      <c r="I26" s="150"/>
      <c r="J26" s="151"/>
      <c r="K26" s="152"/>
      <c r="L26" s="169"/>
      <c r="M26" s="169"/>
      <c r="N26" s="153"/>
      <c r="O26" s="153"/>
    </row>
  </sheetData>
  <mergeCells count="2">
    <mergeCell ref="A6:K6"/>
    <mergeCell ref="A5:K5"/>
  </mergeCells>
  <conditionalFormatting sqref="J1:J4 F10:I21 I22:I55556">
    <cfRule type="expression" dxfId="105" priority="183" stopIfTrue="1">
      <formula>LEFT(#REF!,3)="TIR"</formula>
    </cfRule>
  </conditionalFormatting>
  <conditionalFormatting sqref="B10:F21 J10:K21">
    <cfRule type="expression" dxfId="104" priority="186" stopIfTrue="1">
      <formula>LEFT(#REF!,3)="TIR"</formula>
    </cfRule>
  </conditionalFormatting>
  <conditionalFormatting sqref="A10:A21 I10:I21">
    <cfRule type="expression" dxfId="103" priority="188" stopIfTrue="1">
      <formula>#REF!&gt;0</formula>
    </cfRule>
    <cfRule type="expression" dxfId="102" priority="189" stopIfTrue="1">
      <formula>LEFT(#REF!,3)="TIR"</formula>
    </cfRule>
  </conditionalFormatting>
  <conditionalFormatting sqref="H11:H21 J11:K21">
    <cfRule type="expression" dxfId="10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A1C2-3844-4232-BD79-5878EB4A019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79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236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227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159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8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4">
        <v>2.0000000000000002E-7</v>
      </c>
      <c r="I10" s="89">
        <v>1</v>
      </c>
      <c r="J10" s="102">
        <v>0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1"/>
      <c r="E11" s="142" t="s">
        <v>240</v>
      </c>
      <c r="F11" s="154" t="s">
        <v>240</v>
      </c>
      <c r="G11" s="142" t="s">
        <v>240</v>
      </c>
      <c r="H11" s="143">
        <v>0</v>
      </c>
      <c r="I11" s="141">
        <v>0</v>
      </c>
      <c r="J11" s="141">
        <v>0</v>
      </c>
    </row>
    <row r="12" spans="1:16" s="138" customFormat="1" x14ac:dyDescent="0.2">
      <c r="A12" s="226" t="s">
        <v>283</v>
      </c>
      <c r="B12" s="224" t="s">
        <v>240</v>
      </c>
      <c r="C12" s="220" t="s">
        <v>240</v>
      </c>
      <c r="D12" s="220"/>
      <c r="E12" s="222" t="s">
        <v>240</v>
      </c>
      <c r="F12" s="227" t="s">
        <v>240</v>
      </c>
      <c r="G12" s="222" t="s">
        <v>240</v>
      </c>
      <c r="H12" s="223">
        <v>0</v>
      </c>
      <c r="I12" s="224">
        <v>0</v>
      </c>
      <c r="J12" s="224">
        <v>0</v>
      </c>
    </row>
    <row r="13" spans="1:16" s="138" customFormat="1" x14ac:dyDescent="0.2">
      <c r="A13" s="97" t="s">
        <v>231</v>
      </c>
      <c r="B13" s="148"/>
      <c r="C13" s="97"/>
      <c r="D13" s="97"/>
      <c r="E13" s="149"/>
      <c r="F13" s="167"/>
      <c r="G13" s="167"/>
      <c r="H13" s="168"/>
      <c r="I13" s="168"/>
      <c r="J13" s="153"/>
      <c r="K13" s="169"/>
      <c r="L13" s="169"/>
      <c r="M13" s="169"/>
      <c r="N13" s="153"/>
      <c r="O13" s="153"/>
    </row>
    <row r="14" spans="1:16" s="138" customFormat="1" x14ac:dyDescent="0.2">
      <c r="A14" s="97" t="s">
        <v>232</v>
      </c>
      <c r="B14" s="148"/>
      <c r="C14" s="97"/>
      <c r="D14" s="97"/>
      <c r="E14" s="149"/>
      <c r="F14" s="167"/>
      <c r="G14" s="167"/>
      <c r="H14" s="168"/>
      <c r="I14" s="168"/>
      <c r="J14" s="153"/>
      <c r="K14" s="169"/>
      <c r="L14" s="169"/>
      <c r="M14" s="169"/>
      <c r="N14" s="153"/>
      <c r="O14" s="153"/>
    </row>
    <row r="15" spans="1:16" s="138" customFormat="1" x14ac:dyDescent="0.2">
      <c r="A15" s="97" t="s">
        <v>233</v>
      </c>
      <c r="B15" s="148"/>
      <c r="C15" s="97"/>
      <c r="D15" s="97"/>
      <c r="E15" s="149"/>
      <c r="F15" s="167"/>
      <c r="G15" s="167"/>
      <c r="H15" s="168"/>
      <c r="I15" s="168"/>
      <c r="J15" s="153"/>
      <c r="K15" s="169"/>
      <c r="L15" s="169"/>
      <c r="M15" s="169"/>
      <c r="N15" s="153"/>
      <c r="O15" s="153"/>
    </row>
    <row r="16" spans="1:16" s="138" customFormat="1" x14ac:dyDescent="0.2">
      <c r="A16" s="97" t="s">
        <v>234</v>
      </c>
      <c r="B16" s="148"/>
      <c r="C16" s="97"/>
      <c r="D16" s="97"/>
      <c r="E16" s="149"/>
      <c r="F16" s="167"/>
      <c r="G16" s="167"/>
      <c r="H16" s="168"/>
      <c r="I16" s="168"/>
      <c r="J16" s="153"/>
      <c r="K16" s="169"/>
      <c r="L16" s="169"/>
      <c r="M16" s="169"/>
      <c r="N16" s="153"/>
      <c r="O16" s="153"/>
    </row>
    <row r="17" spans="1:15" s="138" customFormat="1" x14ac:dyDescent="0.2">
      <c r="A17" s="97" t="s">
        <v>235</v>
      </c>
      <c r="B17" s="148"/>
      <c r="C17" s="97"/>
      <c r="D17" s="97"/>
      <c r="E17" s="149"/>
      <c r="F17" s="167"/>
      <c r="G17" s="167"/>
      <c r="H17" s="168"/>
      <c r="I17" s="168"/>
      <c r="J17" s="153"/>
      <c r="K17" s="169"/>
      <c r="L17" s="169"/>
      <c r="M17" s="169"/>
      <c r="N17" s="153"/>
      <c r="O17" s="153"/>
    </row>
  </sheetData>
  <mergeCells count="2">
    <mergeCell ref="A6:J6"/>
    <mergeCell ref="A5:J5"/>
  </mergeCells>
  <conditionalFormatting sqref="J1:J4 F10:G12 J13:J55547">
    <cfRule type="expression" dxfId="100" priority="209" stopIfTrue="1">
      <formula>LEFT(#REF!,3)="TIR"</formula>
    </cfRule>
  </conditionalFormatting>
  <conditionalFormatting sqref="B10:E12 I10:J12">
    <cfRule type="expression" dxfId="99" priority="212" stopIfTrue="1">
      <formula>LEFT(#REF!,3)="TIR"</formula>
    </cfRule>
  </conditionalFormatting>
  <conditionalFormatting sqref="A10:A12 H10:I10 I11:I12">
    <cfRule type="expression" dxfId="98" priority="214" stopIfTrue="1">
      <formula>#REF!&gt;0</formula>
    </cfRule>
    <cfRule type="expression" dxfId="97" priority="215" stopIfTrue="1">
      <formula>LEFT(#REF!,3)="TIR"</formula>
    </cfRule>
  </conditionalFormatting>
  <conditionalFormatting sqref="J11:J12">
    <cfRule type="expression" dxfId="96" priority="220" stopIfTrue="1">
      <formula>OR(LEFT(#REF!,3)="TIR",LEFT(#REF!,2)="IR")</formula>
    </cfRule>
  </conditionalFormatting>
  <conditionalFormatting sqref="H11:I12">
    <cfRule type="expression" dxfId="95" priority="221" stopIfTrue="1">
      <formula>#REF!&gt;0</formula>
    </cfRule>
    <cfRule type="expression" dxfId="9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C314-E94D-4484-9E7D-8015922688C6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236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227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228</v>
      </c>
      <c r="B3" s="22" t="s">
        <v>229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230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159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8" customFormat="1" ht="12.75" customHeight="1" thickBot="1" x14ac:dyDescent="0.25">
      <c r="A10" s="120" t="s">
        <v>57</v>
      </c>
      <c r="B10" s="86"/>
      <c r="C10" s="86"/>
      <c r="D10" s="121"/>
      <c r="E10" s="121"/>
      <c r="F10" s="121"/>
      <c r="G10" s="121"/>
      <c r="H10" s="121"/>
      <c r="I10" s="86"/>
      <c r="J10" s="86"/>
      <c r="K10" s="122"/>
      <c r="L10" s="121"/>
      <c r="M10" s="125">
        <v>1.2000000000000002E-6</v>
      </c>
      <c r="N10" s="86"/>
      <c r="O10" s="86">
        <v>1</v>
      </c>
      <c r="P10" s="101">
        <v>0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1" t="s">
        <v>240</v>
      </c>
      <c r="J11" s="141" t="s">
        <v>240</v>
      </c>
      <c r="K11" s="154" t="s">
        <v>240</v>
      </c>
      <c r="L11" s="142" t="s">
        <v>240</v>
      </c>
      <c r="M11" s="143">
        <v>0</v>
      </c>
      <c r="N11" s="141" t="s">
        <v>240</v>
      </c>
      <c r="O11" s="141">
        <v>0</v>
      </c>
      <c r="P11" s="141">
        <v>0</v>
      </c>
    </row>
    <row r="12" spans="1:16" s="138" customFormat="1" x14ac:dyDescent="0.2">
      <c r="A12" s="112" t="s">
        <v>317</v>
      </c>
      <c r="B12" s="141" t="s">
        <v>240</v>
      </c>
      <c r="C12" s="145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45" t="s">
        <v>240</v>
      </c>
      <c r="J12" s="145" t="s">
        <v>240</v>
      </c>
      <c r="K12" s="156" t="s">
        <v>240</v>
      </c>
      <c r="L12" s="146" t="s">
        <v>240</v>
      </c>
      <c r="M12" s="147">
        <v>0</v>
      </c>
      <c r="N12" s="145" t="s">
        <v>240</v>
      </c>
      <c r="O12" s="145">
        <v>0</v>
      </c>
      <c r="P12" s="145">
        <v>0</v>
      </c>
    </row>
    <row r="13" spans="1:16" s="138" customFormat="1" x14ac:dyDescent="0.2">
      <c r="A13" s="112" t="s">
        <v>318</v>
      </c>
      <c r="B13" s="141" t="s">
        <v>240</v>
      </c>
      <c r="C13" s="145" t="s">
        <v>240</v>
      </c>
      <c r="D13" s="146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45" t="s">
        <v>240</v>
      </c>
      <c r="J13" s="145" t="s">
        <v>240</v>
      </c>
      <c r="K13" s="156" t="s">
        <v>240</v>
      </c>
      <c r="L13" s="146" t="s">
        <v>240</v>
      </c>
      <c r="M13" s="147">
        <v>0</v>
      </c>
      <c r="N13" s="145" t="s">
        <v>240</v>
      </c>
      <c r="O13" s="145">
        <v>0</v>
      </c>
      <c r="P13" s="145">
        <v>0</v>
      </c>
    </row>
    <row r="14" spans="1:16" s="138" customFormat="1" x14ac:dyDescent="0.2">
      <c r="A14" s="112" t="s">
        <v>319</v>
      </c>
      <c r="B14" s="141" t="s">
        <v>240</v>
      </c>
      <c r="C14" s="145" t="s">
        <v>240</v>
      </c>
      <c r="D14" s="146" t="s">
        <v>240</v>
      </c>
      <c r="E14" s="146" t="s">
        <v>240</v>
      </c>
      <c r="F14" s="146" t="s">
        <v>240</v>
      </c>
      <c r="G14" s="146" t="s">
        <v>240</v>
      </c>
      <c r="H14" s="146" t="s">
        <v>240</v>
      </c>
      <c r="I14" s="145" t="s">
        <v>240</v>
      </c>
      <c r="J14" s="145" t="s">
        <v>240</v>
      </c>
      <c r="K14" s="156" t="s">
        <v>240</v>
      </c>
      <c r="L14" s="146" t="s">
        <v>240</v>
      </c>
      <c r="M14" s="147">
        <v>0</v>
      </c>
      <c r="N14" s="145" t="s">
        <v>240</v>
      </c>
      <c r="O14" s="145">
        <v>0</v>
      </c>
      <c r="P14" s="145">
        <v>0</v>
      </c>
    </row>
    <row r="15" spans="1:16" s="138" customFormat="1" x14ac:dyDescent="0.2">
      <c r="A15" s="112" t="s">
        <v>320</v>
      </c>
      <c r="B15" s="141" t="s">
        <v>240</v>
      </c>
      <c r="C15" s="145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45" t="s">
        <v>240</v>
      </c>
      <c r="J15" s="145" t="s">
        <v>240</v>
      </c>
      <c r="K15" s="156" t="s">
        <v>240</v>
      </c>
      <c r="L15" s="146" t="s">
        <v>240</v>
      </c>
      <c r="M15" s="147">
        <v>0</v>
      </c>
      <c r="N15" s="145" t="s">
        <v>240</v>
      </c>
      <c r="O15" s="145">
        <v>0</v>
      </c>
      <c r="P15" s="145">
        <v>0</v>
      </c>
    </row>
    <row r="16" spans="1:16" s="138" customFormat="1" x14ac:dyDescent="0.2">
      <c r="A16" s="112" t="s">
        <v>321</v>
      </c>
      <c r="B16" s="141" t="s">
        <v>240</v>
      </c>
      <c r="C16" s="145" t="s">
        <v>240</v>
      </c>
      <c r="D16" s="146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45" t="s">
        <v>240</v>
      </c>
      <c r="J16" s="145" t="s">
        <v>240</v>
      </c>
      <c r="K16" s="156" t="s">
        <v>240</v>
      </c>
      <c r="L16" s="146" t="s">
        <v>240</v>
      </c>
      <c r="M16" s="147">
        <v>0</v>
      </c>
      <c r="N16" s="145" t="s">
        <v>240</v>
      </c>
      <c r="O16" s="145">
        <v>0</v>
      </c>
      <c r="P16" s="145">
        <v>0</v>
      </c>
    </row>
    <row r="17" spans="1:16" s="138" customFormat="1" x14ac:dyDescent="0.2">
      <c r="A17" s="112" t="s">
        <v>322</v>
      </c>
      <c r="B17" s="141" t="s">
        <v>240</v>
      </c>
      <c r="C17" s="145" t="s">
        <v>240</v>
      </c>
      <c r="D17" s="146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45" t="s">
        <v>240</v>
      </c>
      <c r="J17" s="145" t="s">
        <v>240</v>
      </c>
      <c r="K17" s="156" t="s">
        <v>240</v>
      </c>
      <c r="L17" s="146" t="s">
        <v>240</v>
      </c>
      <c r="M17" s="147">
        <v>0</v>
      </c>
      <c r="N17" s="145" t="s">
        <v>240</v>
      </c>
      <c r="O17" s="145">
        <v>0</v>
      </c>
      <c r="P17" s="145">
        <v>0</v>
      </c>
    </row>
    <row r="18" spans="1:16" s="138" customFormat="1" x14ac:dyDescent="0.2">
      <c r="A18" s="112" t="s">
        <v>323</v>
      </c>
      <c r="B18" s="141" t="s">
        <v>240</v>
      </c>
      <c r="C18" s="145" t="s">
        <v>240</v>
      </c>
      <c r="D18" s="146" t="s">
        <v>240</v>
      </c>
      <c r="E18" s="146" t="s">
        <v>240</v>
      </c>
      <c r="F18" s="146" t="s">
        <v>240</v>
      </c>
      <c r="G18" s="146" t="s">
        <v>240</v>
      </c>
      <c r="H18" s="146" t="s">
        <v>240</v>
      </c>
      <c r="I18" s="145" t="s">
        <v>240</v>
      </c>
      <c r="J18" s="145" t="s">
        <v>240</v>
      </c>
      <c r="K18" s="156" t="s">
        <v>240</v>
      </c>
      <c r="L18" s="146" t="s">
        <v>240</v>
      </c>
      <c r="M18" s="147">
        <v>0</v>
      </c>
      <c r="N18" s="145" t="s">
        <v>240</v>
      </c>
      <c r="O18" s="145">
        <v>0</v>
      </c>
      <c r="P18" s="145">
        <v>0</v>
      </c>
    </row>
    <row r="19" spans="1:16" s="138" customFormat="1" x14ac:dyDescent="0.2">
      <c r="A19" s="112" t="s">
        <v>283</v>
      </c>
      <c r="B19" s="141" t="s">
        <v>240</v>
      </c>
      <c r="C19" s="145" t="s">
        <v>240</v>
      </c>
      <c r="D19" s="146" t="s">
        <v>240</v>
      </c>
      <c r="E19" s="146" t="s">
        <v>240</v>
      </c>
      <c r="F19" s="146" t="s">
        <v>240</v>
      </c>
      <c r="G19" s="146" t="s">
        <v>240</v>
      </c>
      <c r="H19" s="146" t="s">
        <v>240</v>
      </c>
      <c r="I19" s="145" t="s">
        <v>240</v>
      </c>
      <c r="J19" s="145" t="s">
        <v>240</v>
      </c>
      <c r="K19" s="156" t="s">
        <v>240</v>
      </c>
      <c r="L19" s="146" t="s">
        <v>240</v>
      </c>
      <c r="M19" s="147">
        <v>0</v>
      </c>
      <c r="N19" s="145" t="s">
        <v>240</v>
      </c>
      <c r="O19" s="145">
        <v>0</v>
      </c>
      <c r="P19" s="145">
        <v>0</v>
      </c>
    </row>
    <row r="20" spans="1:16" s="138" customFormat="1" x14ac:dyDescent="0.2">
      <c r="A20" s="112" t="s">
        <v>324</v>
      </c>
      <c r="B20" s="141" t="s">
        <v>240</v>
      </c>
      <c r="C20" s="145" t="s">
        <v>240</v>
      </c>
      <c r="D20" s="146" t="s">
        <v>240</v>
      </c>
      <c r="E20" s="146" t="s">
        <v>240</v>
      </c>
      <c r="F20" s="146" t="s">
        <v>240</v>
      </c>
      <c r="G20" s="146" t="s">
        <v>240</v>
      </c>
      <c r="H20" s="146" t="s">
        <v>240</v>
      </c>
      <c r="I20" s="145" t="s">
        <v>240</v>
      </c>
      <c r="J20" s="145" t="s">
        <v>240</v>
      </c>
      <c r="K20" s="156" t="s">
        <v>240</v>
      </c>
      <c r="L20" s="146" t="s">
        <v>240</v>
      </c>
      <c r="M20" s="147">
        <v>0</v>
      </c>
      <c r="N20" s="145" t="s">
        <v>240</v>
      </c>
      <c r="O20" s="145">
        <v>0</v>
      </c>
      <c r="P20" s="145">
        <v>0</v>
      </c>
    </row>
    <row r="21" spans="1:16" s="138" customFormat="1" x14ac:dyDescent="0.2">
      <c r="A21" s="112" t="s">
        <v>325</v>
      </c>
      <c r="B21" s="141" t="s">
        <v>240</v>
      </c>
      <c r="C21" s="145" t="s">
        <v>240</v>
      </c>
      <c r="D21" s="146" t="s">
        <v>240</v>
      </c>
      <c r="E21" s="146" t="s">
        <v>240</v>
      </c>
      <c r="F21" s="146" t="s">
        <v>240</v>
      </c>
      <c r="G21" s="146" t="s">
        <v>240</v>
      </c>
      <c r="H21" s="146" t="s">
        <v>240</v>
      </c>
      <c r="I21" s="145" t="s">
        <v>240</v>
      </c>
      <c r="J21" s="145" t="s">
        <v>240</v>
      </c>
      <c r="K21" s="156" t="s">
        <v>240</v>
      </c>
      <c r="L21" s="146" t="s">
        <v>240</v>
      </c>
      <c r="M21" s="147">
        <v>0</v>
      </c>
      <c r="N21" s="145" t="s">
        <v>240</v>
      </c>
      <c r="O21" s="145">
        <v>0</v>
      </c>
      <c r="P21" s="145">
        <v>0</v>
      </c>
    </row>
    <row r="22" spans="1:16" s="138" customFormat="1" x14ac:dyDescent="0.2">
      <c r="A22" s="112" t="s">
        <v>326</v>
      </c>
      <c r="B22" s="141" t="s">
        <v>240</v>
      </c>
      <c r="C22" s="145" t="s">
        <v>240</v>
      </c>
      <c r="D22" s="146" t="s">
        <v>240</v>
      </c>
      <c r="E22" s="146" t="s">
        <v>240</v>
      </c>
      <c r="F22" s="146" t="s">
        <v>240</v>
      </c>
      <c r="G22" s="146" t="s">
        <v>240</v>
      </c>
      <c r="H22" s="146" t="s">
        <v>240</v>
      </c>
      <c r="I22" s="145" t="s">
        <v>240</v>
      </c>
      <c r="J22" s="145" t="s">
        <v>240</v>
      </c>
      <c r="K22" s="156" t="s">
        <v>240</v>
      </c>
      <c r="L22" s="146" t="s">
        <v>240</v>
      </c>
      <c r="M22" s="147">
        <v>0</v>
      </c>
      <c r="N22" s="145" t="s">
        <v>240</v>
      </c>
      <c r="O22" s="145">
        <v>0</v>
      </c>
      <c r="P22" s="145">
        <v>0</v>
      </c>
    </row>
    <row r="23" spans="1:16" s="138" customFormat="1" x14ac:dyDescent="0.2">
      <c r="A23" s="112" t="s">
        <v>320</v>
      </c>
      <c r="B23" s="141" t="s">
        <v>240</v>
      </c>
      <c r="C23" s="145" t="s">
        <v>240</v>
      </c>
      <c r="D23" s="146" t="s">
        <v>240</v>
      </c>
      <c r="E23" s="146" t="s">
        <v>240</v>
      </c>
      <c r="F23" s="146" t="s">
        <v>240</v>
      </c>
      <c r="G23" s="146" t="s">
        <v>240</v>
      </c>
      <c r="H23" s="146" t="s">
        <v>240</v>
      </c>
      <c r="I23" s="145" t="s">
        <v>240</v>
      </c>
      <c r="J23" s="145" t="s">
        <v>240</v>
      </c>
      <c r="K23" s="156" t="s">
        <v>240</v>
      </c>
      <c r="L23" s="146" t="s">
        <v>240</v>
      </c>
      <c r="M23" s="147">
        <v>0</v>
      </c>
      <c r="N23" s="145" t="s">
        <v>240</v>
      </c>
      <c r="O23" s="145">
        <v>0</v>
      </c>
      <c r="P23" s="145">
        <v>0</v>
      </c>
    </row>
    <row r="24" spans="1:16" s="138" customFormat="1" x14ac:dyDescent="0.2">
      <c r="A24" s="112" t="s">
        <v>321</v>
      </c>
      <c r="B24" s="141" t="s">
        <v>240</v>
      </c>
      <c r="C24" s="145" t="s">
        <v>240</v>
      </c>
      <c r="D24" s="146" t="s">
        <v>240</v>
      </c>
      <c r="E24" s="146" t="s">
        <v>240</v>
      </c>
      <c r="F24" s="146" t="s">
        <v>240</v>
      </c>
      <c r="G24" s="146" t="s">
        <v>240</v>
      </c>
      <c r="H24" s="146" t="s">
        <v>240</v>
      </c>
      <c r="I24" s="145" t="s">
        <v>240</v>
      </c>
      <c r="J24" s="145" t="s">
        <v>240</v>
      </c>
      <c r="K24" s="156" t="s">
        <v>240</v>
      </c>
      <c r="L24" s="146" t="s">
        <v>240</v>
      </c>
      <c r="M24" s="147">
        <v>0</v>
      </c>
      <c r="N24" s="145" t="s">
        <v>240</v>
      </c>
      <c r="O24" s="145">
        <v>0</v>
      </c>
      <c r="P24" s="145">
        <v>0</v>
      </c>
    </row>
    <row r="25" spans="1:16" s="138" customFormat="1" x14ac:dyDescent="0.2">
      <c r="A25" s="112" t="s">
        <v>322</v>
      </c>
      <c r="B25" s="141" t="s">
        <v>240</v>
      </c>
      <c r="C25" s="145" t="s">
        <v>240</v>
      </c>
      <c r="D25" s="146" t="s">
        <v>240</v>
      </c>
      <c r="E25" s="146" t="s">
        <v>240</v>
      </c>
      <c r="F25" s="146" t="s">
        <v>240</v>
      </c>
      <c r="G25" s="146" t="s">
        <v>240</v>
      </c>
      <c r="H25" s="146" t="s">
        <v>240</v>
      </c>
      <c r="I25" s="145" t="s">
        <v>240</v>
      </c>
      <c r="J25" s="145" t="s">
        <v>240</v>
      </c>
      <c r="K25" s="156" t="s">
        <v>240</v>
      </c>
      <c r="L25" s="146" t="s">
        <v>240</v>
      </c>
      <c r="M25" s="147">
        <v>0</v>
      </c>
      <c r="N25" s="145" t="s">
        <v>240</v>
      </c>
      <c r="O25" s="145">
        <v>0</v>
      </c>
      <c r="P25" s="145">
        <v>0</v>
      </c>
    </row>
    <row r="26" spans="1:16" s="138" customFormat="1" x14ac:dyDescent="0.2">
      <c r="A26" s="226" t="s">
        <v>323</v>
      </c>
      <c r="B26" s="224" t="s">
        <v>240</v>
      </c>
      <c r="C26" s="220" t="s">
        <v>240</v>
      </c>
      <c r="D26" s="222" t="s">
        <v>240</v>
      </c>
      <c r="E26" s="222" t="s">
        <v>240</v>
      </c>
      <c r="F26" s="222" t="s">
        <v>240</v>
      </c>
      <c r="G26" s="222" t="s">
        <v>240</v>
      </c>
      <c r="H26" s="222" t="s">
        <v>240</v>
      </c>
      <c r="I26" s="220" t="s">
        <v>240</v>
      </c>
      <c r="J26" s="220" t="s">
        <v>240</v>
      </c>
      <c r="K26" s="227" t="s">
        <v>240</v>
      </c>
      <c r="L26" s="222" t="s">
        <v>240</v>
      </c>
      <c r="M26" s="223">
        <v>0</v>
      </c>
      <c r="N26" s="220" t="s">
        <v>240</v>
      </c>
      <c r="O26" s="220">
        <v>0</v>
      </c>
      <c r="P26" s="220">
        <v>0</v>
      </c>
    </row>
    <row r="27" spans="1:16" s="138" customFormat="1" x14ac:dyDescent="0.2">
      <c r="A27" s="97" t="s">
        <v>231</v>
      </c>
      <c r="B27" s="148"/>
      <c r="C27" s="97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7" t="s">
        <v>232</v>
      </c>
      <c r="B28" s="148"/>
      <c r="C28" s="97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7" t="s">
        <v>233</v>
      </c>
      <c r="B29" s="148"/>
      <c r="C29" s="97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7" t="s">
        <v>234</v>
      </c>
      <c r="B30" s="148"/>
      <c r="C30" s="97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7" t="s">
        <v>235</v>
      </c>
      <c r="B31" s="148"/>
      <c r="C31" s="97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B11:F26 H11:H26 O11:P26">
    <cfRule type="expression" dxfId="93" priority="227" stopIfTrue="1">
      <formula>OR(LEFT(#REF!,3)="TIR",LEFT(#REF!,2)="IR")</formula>
    </cfRule>
  </conditionalFormatting>
  <conditionalFormatting sqref="A11:A26 M11:M26">
    <cfRule type="expression" dxfId="9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0671-4853-4855-B924-C45B95759771}">
  <sheetPr codeName="גיליון13">
    <pageSetUpPr fitToPage="1"/>
  </sheetPr>
  <dimension ref="A1:O194"/>
  <sheetViews>
    <sheetView rightToLeft="1" topLeftCell="A7" zoomScale="80" zoomScaleNormal="80" workbookViewId="0">
      <selection activeCell="A7" sqref="A7:O18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3.5703125" style="33" bestFit="1" customWidth="1"/>
    <col min="11" max="11" width="7.140625" style="33" bestFit="1" customWidth="1"/>
    <col min="12" max="12" width="13.5703125" style="26" bestFit="1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227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159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8" customFormat="1" ht="12.75" customHeight="1" thickBot="1" x14ac:dyDescent="0.25">
      <c r="A10" s="91" t="s">
        <v>52</v>
      </c>
      <c r="B10" s="139" t="s">
        <v>240</v>
      </c>
      <c r="C10" s="139"/>
      <c r="D10" s="139"/>
      <c r="E10" s="139" t="s">
        <v>240</v>
      </c>
      <c r="F10" s="139" t="s">
        <v>240</v>
      </c>
      <c r="G10" s="139" t="s">
        <v>240</v>
      </c>
      <c r="H10" s="139" t="s">
        <v>240</v>
      </c>
      <c r="I10" s="139" t="s">
        <v>240</v>
      </c>
      <c r="J10" s="177" t="s">
        <v>240</v>
      </c>
      <c r="K10" s="139" t="s">
        <v>240</v>
      </c>
      <c r="L10" s="127">
        <v>2128191.7296107006</v>
      </c>
      <c r="M10" s="139" t="s">
        <v>240</v>
      </c>
      <c r="N10" s="126">
        <v>1</v>
      </c>
      <c r="O10" s="78">
        <v>0.88935681023734592</v>
      </c>
    </row>
    <row r="11" spans="1:15" s="138" customFormat="1" x14ac:dyDescent="0.2">
      <c r="A11" s="111" t="s">
        <v>140</v>
      </c>
      <c r="B11" s="141" t="s">
        <v>240</v>
      </c>
      <c r="C11" s="161" t="s">
        <v>240</v>
      </c>
      <c r="D11" s="161" t="s">
        <v>240</v>
      </c>
      <c r="E11" s="161" t="s">
        <v>240</v>
      </c>
      <c r="F11" s="161" t="s">
        <v>240</v>
      </c>
      <c r="G11" s="161" t="s">
        <v>240</v>
      </c>
      <c r="H11" s="162" t="s">
        <v>240</v>
      </c>
      <c r="I11" s="162" t="s">
        <v>240</v>
      </c>
      <c r="J11" s="163" t="s">
        <v>240</v>
      </c>
      <c r="K11" s="161" t="s">
        <v>240</v>
      </c>
      <c r="L11" s="143">
        <v>2128191.7296105004</v>
      </c>
      <c r="M11" s="162" t="s">
        <v>240</v>
      </c>
      <c r="N11" s="141">
        <v>0.99999999999990585</v>
      </c>
      <c r="O11" s="141">
        <v>0.88935681023726232</v>
      </c>
    </row>
    <row r="12" spans="1:15" s="138" customFormat="1" x14ac:dyDescent="0.2">
      <c r="A12" s="112" t="s">
        <v>327</v>
      </c>
      <c r="B12" s="141" t="s">
        <v>240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5" t="s">
        <v>240</v>
      </c>
      <c r="I12" s="165" t="s">
        <v>240</v>
      </c>
      <c r="J12" s="166" t="s">
        <v>240</v>
      </c>
      <c r="K12" s="164" t="s">
        <v>240</v>
      </c>
      <c r="L12" s="147">
        <v>0</v>
      </c>
      <c r="M12" s="165" t="s">
        <v>240</v>
      </c>
      <c r="N12" s="145">
        <v>0</v>
      </c>
      <c r="O12" s="145">
        <v>0</v>
      </c>
    </row>
    <row r="13" spans="1:15" s="138" customFormat="1" x14ac:dyDescent="0.2">
      <c r="A13" s="112" t="s">
        <v>328</v>
      </c>
      <c r="B13" s="141" t="s">
        <v>240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5" t="s">
        <v>240</v>
      </c>
      <c r="I13" s="165" t="s">
        <v>240</v>
      </c>
      <c r="J13" s="166" t="s">
        <v>240</v>
      </c>
      <c r="K13" s="164" t="s">
        <v>240</v>
      </c>
      <c r="L13" s="147">
        <v>2128191.7296101004</v>
      </c>
      <c r="M13" s="165" t="s">
        <v>240</v>
      </c>
      <c r="N13" s="145">
        <v>0.99999999999971789</v>
      </c>
      <c r="O13" s="145">
        <v>0.88935681023709512</v>
      </c>
    </row>
    <row r="14" spans="1:15" x14ac:dyDescent="0.2">
      <c r="A14" s="30" t="s">
        <v>329</v>
      </c>
      <c r="B14" s="46" t="s">
        <v>330</v>
      </c>
      <c r="C14" s="39" t="s">
        <v>331</v>
      </c>
      <c r="D14" s="39" t="s">
        <v>332</v>
      </c>
      <c r="E14" s="39" t="s">
        <v>333</v>
      </c>
      <c r="F14" s="39">
        <v>0.08</v>
      </c>
      <c r="G14" s="39" t="s">
        <v>246</v>
      </c>
      <c r="H14" s="31">
        <v>5.9500000000000004E-2</v>
      </c>
      <c r="I14" s="31">
        <v>5.6399999999999999E-2</v>
      </c>
      <c r="J14" s="131">
        <v>606800</v>
      </c>
      <c r="K14" s="39">
        <v>128.80109999999999</v>
      </c>
      <c r="L14" s="104">
        <v>781.56515999999999</v>
      </c>
      <c r="M14" s="31" t="s">
        <v>240</v>
      </c>
      <c r="N14" s="38">
        <v>3.6724377278872701E-4</v>
      </c>
      <c r="O14" s="38">
        <v>3.2661075034691082E-4</v>
      </c>
    </row>
    <row r="15" spans="1:15" x14ac:dyDescent="0.2">
      <c r="A15" s="30" t="s">
        <v>334</v>
      </c>
      <c r="B15" s="46" t="s">
        <v>335</v>
      </c>
      <c r="C15" s="39" t="s">
        <v>331</v>
      </c>
      <c r="D15" s="39" t="s">
        <v>332</v>
      </c>
      <c r="E15" s="39" t="s">
        <v>333</v>
      </c>
      <c r="F15" s="39">
        <v>0.16</v>
      </c>
      <c r="G15" s="39" t="s">
        <v>246</v>
      </c>
      <c r="H15" s="31">
        <v>5.9500000000000004E-2</v>
      </c>
      <c r="I15" s="31">
        <v>5.7300000000000004E-2</v>
      </c>
      <c r="J15" s="131">
        <v>41800</v>
      </c>
      <c r="K15" s="39">
        <v>128.81720000000001</v>
      </c>
      <c r="L15" s="104">
        <v>53.845620000000004</v>
      </c>
      <c r="M15" s="31" t="s">
        <v>240</v>
      </c>
      <c r="N15" s="38">
        <v>2.5301113264757264E-5</v>
      </c>
      <c r="O15" s="38">
        <v>2.2501717388598325E-5</v>
      </c>
    </row>
    <row r="16" spans="1:15" x14ac:dyDescent="0.2">
      <c r="A16" s="30" t="s">
        <v>336</v>
      </c>
      <c r="B16" s="46" t="s">
        <v>337</v>
      </c>
      <c r="C16" s="39" t="s">
        <v>331</v>
      </c>
      <c r="D16" s="39" t="s">
        <v>332</v>
      </c>
      <c r="E16" s="39" t="s">
        <v>333</v>
      </c>
      <c r="F16" s="39">
        <v>0.24</v>
      </c>
      <c r="G16" s="39" t="s">
        <v>246</v>
      </c>
      <c r="H16" s="31">
        <v>5.9500000000000004E-2</v>
      </c>
      <c r="I16" s="31">
        <v>5.7699999999999994E-2</v>
      </c>
      <c r="J16" s="131">
        <v>1025400</v>
      </c>
      <c r="K16" s="39">
        <v>128.98179999999999</v>
      </c>
      <c r="L16" s="104">
        <v>1322.57945</v>
      </c>
      <c r="M16" s="31" t="s">
        <v>240</v>
      </c>
      <c r="N16" s="38">
        <v>6.2145690710015719E-4</v>
      </c>
      <c r="O16" s="38">
        <v>5.5269693259856238E-4</v>
      </c>
    </row>
    <row r="17" spans="1:15" x14ac:dyDescent="0.2">
      <c r="A17" s="30" t="s">
        <v>338</v>
      </c>
      <c r="B17" s="46" t="s">
        <v>339</v>
      </c>
      <c r="C17" s="39" t="s">
        <v>331</v>
      </c>
      <c r="D17" s="39" t="s">
        <v>332</v>
      </c>
      <c r="E17" s="39" t="s">
        <v>333</v>
      </c>
      <c r="F17" s="39">
        <v>0.33</v>
      </c>
      <c r="G17" s="39" t="s">
        <v>246</v>
      </c>
      <c r="H17" s="31">
        <v>5.9500000000000004E-2</v>
      </c>
      <c r="I17" s="31">
        <v>5.7999999999999996E-2</v>
      </c>
      <c r="J17" s="131">
        <v>857600</v>
      </c>
      <c r="K17" s="39">
        <v>129.2501</v>
      </c>
      <c r="L17" s="104">
        <v>1108.4490000000001</v>
      </c>
      <c r="M17" s="31" t="s">
        <v>240</v>
      </c>
      <c r="N17" s="38">
        <v>5.2084076099795905E-4</v>
      </c>
      <c r="O17" s="38">
        <v>4.6321327784273674E-4</v>
      </c>
    </row>
    <row r="18" spans="1:15" x14ac:dyDescent="0.2">
      <c r="A18" s="30" t="s">
        <v>340</v>
      </c>
      <c r="B18" s="46" t="s">
        <v>341</v>
      </c>
      <c r="C18" s="39" t="s">
        <v>331</v>
      </c>
      <c r="D18" s="39" t="s">
        <v>332</v>
      </c>
      <c r="E18" s="39" t="s">
        <v>333</v>
      </c>
      <c r="F18" s="39">
        <v>0.41</v>
      </c>
      <c r="G18" s="39" t="s">
        <v>246</v>
      </c>
      <c r="H18" s="31">
        <v>5.9500000000000004E-2</v>
      </c>
      <c r="I18" s="31">
        <v>5.8200000000000002E-2</v>
      </c>
      <c r="J18" s="131">
        <v>1061500</v>
      </c>
      <c r="K18" s="39">
        <v>128.36490000000001</v>
      </c>
      <c r="L18" s="104">
        <v>1362.5941</v>
      </c>
      <c r="M18" s="31" t="s">
        <v>240</v>
      </c>
      <c r="N18" s="38">
        <v>6.4025908993136282E-4</v>
      </c>
      <c r="O18" s="38">
        <v>5.6941878194682275E-4</v>
      </c>
    </row>
    <row r="19" spans="1:15" x14ac:dyDescent="0.2">
      <c r="A19" s="30" t="s">
        <v>342</v>
      </c>
      <c r="B19" s="46" t="s">
        <v>343</v>
      </c>
      <c r="C19" s="39" t="s">
        <v>331</v>
      </c>
      <c r="D19" s="39" t="s">
        <v>332</v>
      </c>
      <c r="E19" s="39" t="s">
        <v>333</v>
      </c>
      <c r="F19" s="39">
        <v>0.5</v>
      </c>
      <c r="G19" s="39" t="s">
        <v>246</v>
      </c>
      <c r="H19" s="31">
        <v>5.9500000000000004E-2</v>
      </c>
      <c r="I19" s="31">
        <v>5.8400000000000001E-2</v>
      </c>
      <c r="J19" s="131">
        <v>704300</v>
      </c>
      <c r="K19" s="39">
        <v>128.39949999999999</v>
      </c>
      <c r="L19" s="104">
        <v>904.31792000000007</v>
      </c>
      <c r="M19" s="31" t="s">
        <v>240</v>
      </c>
      <c r="N19" s="38">
        <v>4.2492314363303272E-4</v>
      </c>
      <c r="O19" s="38">
        <v>3.7790829161749956E-4</v>
      </c>
    </row>
    <row r="20" spans="1:15" x14ac:dyDescent="0.2">
      <c r="A20" s="30" t="s">
        <v>344</v>
      </c>
      <c r="B20" s="46" t="s">
        <v>345</v>
      </c>
      <c r="C20" s="39" t="s">
        <v>331</v>
      </c>
      <c r="D20" s="39" t="s">
        <v>332</v>
      </c>
      <c r="E20" s="39" t="s">
        <v>333</v>
      </c>
      <c r="F20" s="39">
        <v>0.57999999999999996</v>
      </c>
      <c r="G20" s="39" t="s">
        <v>246</v>
      </c>
      <c r="H20" s="31">
        <v>5.9500000000000004E-2</v>
      </c>
      <c r="I20" s="31">
        <v>5.8600000000000006E-2</v>
      </c>
      <c r="J20" s="131">
        <v>831400</v>
      </c>
      <c r="K20" s="39">
        <v>127.77090000000001</v>
      </c>
      <c r="L20" s="104">
        <v>1062.28765</v>
      </c>
      <c r="M20" s="31" t="s">
        <v>240</v>
      </c>
      <c r="N20" s="38">
        <v>4.9915035154953771E-4</v>
      </c>
      <c r="O20" s="38">
        <v>4.4392276448294675E-4</v>
      </c>
    </row>
    <row r="21" spans="1:15" x14ac:dyDescent="0.2">
      <c r="A21" s="30" t="s">
        <v>346</v>
      </c>
      <c r="B21" s="46" t="s">
        <v>347</v>
      </c>
      <c r="C21" s="39" t="s">
        <v>331</v>
      </c>
      <c r="D21" s="39" t="s">
        <v>332</v>
      </c>
      <c r="E21" s="39" t="s">
        <v>333</v>
      </c>
      <c r="F21" s="39">
        <v>0.66</v>
      </c>
      <c r="G21" s="39" t="s">
        <v>246</v>
      </c>
      <c r="H21" s="31">
        <v>5.9500000000000004E-2</v>
      </c>
      <c r="I21" s="31">
        <v>5.8700000000000002E-2</v>
      </c>
      <c r="J21" s="131">
        <v>1259800</v>
      </c>
      <c r="K21" s="39">
        <v>127.41370000000001</v>
      </c>
      <c r="L21" s="104">
        <v>1605.1589899999999</v>
      </c>
      <c r="M21" s="31" t="s">
        <v>240</v>
      </c>
      <c r="N21" s="38">
        <v>7.5423608111362388E-4</v>
      </c>
      <c r="O21" s="38">
        <v>6.7078499526512867E-4</v>
      </c>
    </row>
    <row r="22" spans="1:15" x14ac:dyDescent="0.2">
      <c r="A22" s="30" t="s">
        <v>348</v>
      </c>
      <c r="B22" s="46" t="s">
        <v>349</v>
      </c>
      <c r="C22" s="39" t="s">
        <v>331</v>
      </c>
      <c r="D22" s="39" t="s">
        <v>332</v>
      </c>
      <c r="E22" s="39" t="s">
        <v>333</v>
      </c>
      <c r="F22" s="39">
        <v>0.75</v>
      </c>
      <c r="G22" s="39" t="s">
        <v>246</v>
      </c>
      <c r="H22" s="31">
        <v>5.9500000000000004E-2</v>
      </c>
      <c r="I22" s="31">
        <v>5.8899999999999994E-2</v>
      </c>
      <c r="J22" s="131">
        <v>2308000</v>
      </c>
      <c r="K22" s="39">
        <v>127.03970000000001</v>
      </c>
      <c r="L22" s="104">
        <v>2932.0774500000002</v>
      </c>
      <c r="M22" s="31" t="s">
        <v>240</v>
      </c>
      <c r="N22" s="38">
        <v>1.3777318129773724E-3</v>
      </c>
      <c r="O22" s="38">
        <v>1.2252951705520715E-3</v>
      </c>
    </row>
    <row r="23" spans="1:15" x14ac:dyDescent="0.2">
      <c r="A23" s="30" t="s">
        <v>350</v>
      </c>
      <c r="B23" s="46" t="s">
        <v>351</v>
      </c>
      <c r="C23" s="39" t="s">
        <v>331</v>
      </c>
      <c r="D23" s="39" t="s">
        <v>332</v>
      </c>
      <c r="E23" s="39" t="s">
        <v>333</v>
      </c>
      <c r="F23" s="39">
        <v>0.83</v>
      </c>
      <c r="G23" s="39" t="s">
        <v>246</v>
      </c>
      <c r="H23" s="31">
        <v>5.9500000000000004E-2</v>
      </c>
      <c r="I23" s="31">
        <v>5.9000000000000004E-2</v>
      </c>
      <c r="J23" s="131">
        <v>1280500</v>
      </c>
      <c r="K23" s="39">
        <v>126.6845</v>
      </c>
      <c r="L23" s="104">
        <v>1622.19615</v>
      </c>
      <c r="M23" s="31" t="s">
        <v>240</v>
      </c>
      <c r="N23" s="38">
        <v>7.6224154404393825E-4</v>
      </c>
      <c r="O23" s="38">
        <v>6.7790470824130632E-4</v>
      </c>
    </row>
    <row r="24" spans="1:15" x14ac:dyDescent="0.2">
      <c r="A24" s="30" t="s">
        <v>352</v>
      </c>
      <c r="B24" s="46" t="s">
        <v>353</v>
      </c>
      <c r="C24" s="39" t="s">
        <v>331</v>
      </c>
      <c r="D24" s="39" t="s">
        <v>332</v>
      </c>
      <c r="E24" s="39" t="s">
        <v>333</v>
      </c>
      <c r="F24" s="39">
        <v>0.91</v>
      </c>
      <c r="G24" s="39" t="s">
        <v>246</v>
      </c>
      <c r="H24" s="31">
        <v>5.9500000000000004E-2</v>
      </c>
      <c r="I24" s="31">
        <v>5.9500000000000004E-2</v>
      </c>
      <c r="J24" s="131">
        <v>1908000</v>
      </c>
      <c r="K24" s="39">
        <v>125.80840000000001</v>
      </c>
      <c r="L24" s="104">
        <v>2400.4258199999999</v>
      </c>
      <c r="M24" s="31" t="s">
        <v>240</v>
      </c>
      <c r="N24" s="38">
        <v>1.127918028531714E-3</v>
      </c>
      <c r="O24" s="38">
        <v>1.0031215800641608E-3</v>
      </c>
    </row>
    <row r="25" spans="1:15" x14ac:dyDescent="0.2">
      <c r="A25" s="30" t="s">
        <v>354</v>
      </c>
      <c r="B25" s="46" t="s">
        <v>355</v>
      </c>
      <c r="C25" s="39" t="s">
        <v>331</v>
      </c>
      <c r="D25" s="39" t="s">
        <v>332</v>
      </c>
      <c r="E25" s="39" t="s">
        <v>333</v>
      </c>
      <c r="F25" s="39">
        <v>1</v>
      </c>
      <c r="G25" s="39" t="s">
        <v>246</v>
      </c>
      <c r="H25" s="31">
        <v>5.9500000000000004E-2</v>
      </c>
      <c r="I25" s="31">
        <v>5.9500000000000004E-2</v>
      </c>
      <c r="J25" s="131">
        <v>1079600</v>
      </c>
      <c r="K25" s="39">
        <v>125.3142</v>
      </c>
      <c r="L25" s="104">
        <v>1352.8929599999999</v>
      </c>
      <c r="M25" s="31" t="s">
        <v>240</v>
      </c>
      <c r="N25" s="38">
        <v>6.357006942450048E-4</v>
      </c>
      <c r="O25" s="38">
        <v>5.6536474169940377E-4</v>
      </c>
    </row>
    <row r="26" spans="1:15" x14ac:dyDescent="0.2">
      <c r="A26" s="30" t="s">
        <v>356</v>
      </c>
      <c r="B26" s="46" t="s">
        <v>357</v>
      </c>
      <c r="C26" s="39" t="s">
        <v>331</v>
      </c>
      <c r="D26" s="39" t="s">
        <v>332</v>
      </c>
      <c r="E26" s="39" t="s">
        <v>333</v>
      </c>
      <c r="F26" s="39">
        <v>0.55000000000000004</v>
      </c>
      <c r="G26" s="39" t="s">
        <v>246</v>
      </c>
      <c r="H26" s="31">
        <v>5.9500000000000004E-2</v>
      </c>
      <c r="I26" s="31">
        <v>5.9400000000000001E-2</v>
      </c>
      <c r="J26" s="131">
        <v>983400</v>
      </c>
      <c r="K26" s="39">
        <v>130.71879999999999</v>
      </c>
      <c r="L26" s="104">
        <v>1285.48883</v>
      </c>
      <c r="M26" s="31" t="s">
        <v>240</v>
      </c>
      <c r="N26" s="38">
        <v>6.0402867472619489E-4</v>
      </c>
      <c r="O26" s="38">
        <v>5.3719701544638007E-4</v>
      </c>
    </row>
    <row r="27" spans="1:15" x14ac:dyDescent="0.2">
      <c r="A27" s="30" t="s">
        <v>358</v>
      </c>
      <c r="B27" s="46" t="s">
        <v>359</v>
      </c>
      <c r="C27" s="39" t="s">
        <v>331</v>
      </c>
      <c r="D27" s="39" t="s">
        <v>332</v>
      </c>
      <c r="E27" s="39" t="s">
        <v>333</v>
      </c>
      <c r="F27" s="39">
        <v>0.63</v>
      </c>
      <c r="G27" s="39" t="s">
        <v>246</v>
      </c>
      <c r="H27" s="31">
        <v>5.9500000000000004E-2</v>
      </c>
      <c r="I27" s="31">
        <v>5.91E-2</v>
      </c>
      <c r="J27" s="131">
        <v>1290800</v>
      </c>
      <c r="K27" s="39">
        <v>129.5737</v>
      </c>
      <c r="L27" s="104">
        <v>1672.5383899999999</v>
      </c>
      <c r="M27" s="31" t="s">
        <v>240</v>
      </c>
      <c r="N27" s="38">
        <v>7.8589648043879434E-4</v>
      </c>
      <c r="O27" s="38">
        <v>6.9894238701980285E-4</v>
      </c>
    </row>
    <row r="28" spans="1:15" x14ac:dyDescent="0.2">
      <c r="A28" s="30" t="s">
        <v>360</v>
      </c>
      <c r="B28" s="46" t="s">
        <v>361</v>
      </c>
      <c r="C28" s="39" t="s">
        <v>331</v>
      </c>
      <c r="D28" s="39" t="s">
        <v>332</v>
      </c>
      <c r="E28" s="39" t="s">
        <v>333</v>
      </c>
      <c r="F28" s="39">
        <v>0.72</v>
      </c>
      <c r="G28" s="39" t="s">
        <v>246</v>
      </c>
      <c r="H28" s="31">
        <v>5.9500000000000004E-2</v>
      </c>
      <c r="I28" s="31">
        <v>5.91E-2</v>
      </c>
      <c r="J28" s="131">
        <v>764800</v>
      </c>
      <c r="K28" s="39">
        <v>128.9616</v>
      </c>
      <c r="L28" s="104">
        <v>986.29881</v>
      </c>
      <c r="M28" s="31" t="s">
        <v>240</v>
      </c>
      <c r="N28" s="38">
        <v>4.6344452723741142E-4</v>
      </c>
      <c r="O28" s="38">
        <v>4.1216754646581901E-4</v>
      </c>
    </row>
    <row r="29" spans="1:15" x14ac:dyDescent="0.2">
      <c r="A29" s="30" t="s">
        <v>362</v>
      </c>
      <c r="B29" s="46" t="s">
        <v>363</v>
      </c>
      <c r="C29" s="39" t="s">
        <v>331</v>
      </c>
      <c r="D29" s="39" t="s">
        <v>332</v>
      </c>
      <c r="E29" s="39" t="s">
        <v>333</v>
      </c>
      <c r="F29" s="39">
        <v>0.89</v>
      </c>
      <c r="G29" s="39" t="s">
        <v>246</v>
      </c>
      <c r="H29" s="31">
        <v>5.9500000000000004E-2</v>
      </c>
      <c r="I29" s="31">
        <v>5.8799999999999998E-2</v>
      </c>
      <c r="J29" s="131">
        <v>1827200</v>
      </c>
      <c r="K29" s="39">
        <v>127.73740000000001</v>
      </c>
      <c r="L29" s="104">
        <v>2334.0182500000001</v>
      </c>
      <c r="M29" s="31" t="s">
        <v>240</v>
      </c>
      <c r="N29" s="38">
        <v>1.0967142750935087E-3</v>
      </c>
      <c r="O29" s="38">
        <v>9.7537030943892601E-4</v>
      </c>
    </row>
    <row r="30" spans="1:15" x14ac:dyDescent="0.2">
      <c r="A30" s="30" t="s">
        <v>364</v>
      </c>
      <c r="B30" s="46" t="s">
        <v>365</v>
      </c>
      <c r="C30" s="39" t="s">
        <v>331</v>
      </c>
      <c r="D30" s="39" t="s">
        <v>332</v>
      </c>
      <c r="E30" s="39" t="s">
        <v>333</v>
      </c>
      <c r="F30" s="39">
        <v>0.97</v>
      </c>
      <c r="G30" s="39" t="s">
        <v>246</v>
      </c>
      <c r="H30" s="31">
        <v>5.9500000000000004E-2</v>
      </c>
      <c r="I30" s="31">
        <v>5.9000000000000004E-2</v>
      </c>
      <c r="J30" s="131">
        <v>344600</v>
      </c>
      <c r="K30" s="39">
        <v>127.39190000000001</v>
      </c>
      <c r="L30" s="104">
        <v>438.99257</v>
      </c>
      <c r="M30" s="31" t="s">
        <v>240</v>
      </c>
      <c r="N30" s="38">
        <v>2.0627491587907952E-4</v>
      </c>
      <c r="O30" s="38">
        <v>1.8345200121819502E-4</v>
      </c>
    </row>
    <row r="31" spans="1:15" x14ac:dyDescent="0.2">
      <c r="A31" s="30" t="s">
        <v>366</v>
      </c>
      <c r="B31" s="46" t="s">
        <v>367</v>
      </c>
      <c r="C31" s="39" t="s">
        <v>331</v>
      </c>
      <c r="D31" s="39" t="s">
        <v>332</v>
      </c>
      <c r="E31" s="39" t="s">
        <v>333</v>
      </c>
      <c r="F31" s="39">
        <v>1.05</v>
      </c>
      <c r="G31" s="39" t="s">
        <v>246</v>
      </c>
      <c r="H31" s="31">
        <v>5.9500000000000004E-2</v>
      </c>
      <c r="I31" s="31">
        <v>5.9000000000000004E-2</v>
      </c>
      <c r="J31" s="131">
        <v>2962400</v>
      </c>
      <c r="K31" s="39">
        <v>126.75479999999999</v>
      </c>
      <c r="L31" s="104">
        <v>3754.9855499999999</v>
      </c>
      <c r="M31" s="31" t="s">
        <v>240</v>
      </c>
      <c r="N31" s="38">
        <v>1.76440190879178E-3</v>
      </c>
      <c r="O31" s="38">
        <v>1.569182853579742E-3</v>
      </c>
    </row>
    <row r="32" spans="1:15" x14ac:dyDescent="0.2">
      <c r="A32" s="30" t="s">
        <v>368</v>
      </c>
      <c r="B32" s="46" t="s">
        <v>369</v>
      </c>
      <c r="C32" s="39" t="s">
        <v>331</v>
      </c>
      <c r="D32" s="39" t="s">
        <v>332</v>
      </c>
      <c r="E32" s="39" t="s">
        <v>333</v>
      </c>
      <c r="F32" s="39">
        <v>1.1399999999999999</v>
      </c>
      <c r="G32" s="39" t="s">
        <v>246</v>
      </c>
      <c r="H32" s="31">
        <v>5.9500000000000004E-2</v>
      </c>
      <c r="I32" s="31">
        <v>5.9000000000000004E-2</v>
      </c>
      <c r="J32" s="131">
        <v>2585600</v>
      </c>
      <c r="K32" s="39">
        <v>126.2754</v>
      </c>
      <c r="L32" s="104">
        <v>3264.9788399999998</v>
      </c>
      <c r="M32" s="31" t="s">
        <v>240</v>
      </c>
      <c r="N32" s="38">
        <v>1.5341563424820027E-3</v>
      </c>
      <c r="O32" s="38">
        <v>1.3644123911551872E-3</v>
      </c>
    </row>
    <row r="33" spans="1:15" x14ac:dyDescent="0.2">
      <c r="A33" s="30" t="s">
        <v>370</v>
      </c>
      <c r="B33" s="46" t="s">
        <v>371</v>
      </c>
      <c r="C33" s="39" t="s">
        <v>331</v>
      </c>
      <c r="D33" s="39" t="s">
        <v>332</v>
      </c>
      <c r="E33" s="39" t="s">
        <v>333</v>
      </c>
      <c r="F33" s="39">
        <v>1.22</v>
      </c>
      <c r="G33" s="39" t="s">
        <v>246</v>
      </c>
      <c r="H33" s="31">
        <v>5.9500000000000004E-2</v>
      </c>
      <c r="I33" s="31">
        <v>5.91E-2</v>
      </c>
      <c r="J33" s="131">
        <v>4996600</v>
      </c>
      <c r="K33" s="39">
        <v>125.53149999999999</v>
      </c>
      <c r="L33" s="104">
        <v>6272.3104199999998</v>
      </c>
      <c r="M33" s="31" t="s">
        <v>240</v>
      </c>
      <c r="N33" s="38">
        <v>2.947248752417322E-3</v>
      </c>
      <c r="O33" s="38">
        <v>2.6211557494258669E-3</v>
      </c>
    </row>
    <row r="34" spans="1:15" x14ac:dyDescent="0.2">
      <c r="A34" s="30" t="s">
        <v>372</v>
      </c>
      <c r="B34" s="46" t="s">
        <v>373</v>
      </c>
      <c r="C34" s="39" t="s">
        <v>331</v>
      </c>
      <c r="D34" s="39" t="s">
        <v>332</v>
      </c>
      <c r="E34" s="39" t="s">
        <v>333</v>
      </c>
      <c r="F34" s="39">
        <v>1.31</v>
      </c>
      <c r="G34" s="39" t="s">
        <v>246</v>
      </c>
      <c r="H34" s="31">
        <v>5.9500000000000004E-2</v>
      </c>
      <c r="I34" s="31">
        <v>5.91E-2</v>
      </c>
      <c r="J34" s="131">
        <v>5327400.01</v>
      </c>
      <c r="K34" s="39">
        <v>125.6691</v>
      </c>
      <c r="L34" s="104">
        <v>6694.9006200000003</v>
      </c>
      <c r="M34" s="31" t="s">
        <v>240</v>
      </c>
      <c r="N34" s="38">
        <v>3.1458164820632323E-3</v>
      </c>
      <c r="O34" s="38">
        <v>2.7977533120798256E-3</v>
      </c>
    </row>
    <row r="35" spans="1:15" x14ac:dyDescent="0.2">
      <c r="A35" s="30" t="s">
        <v>374</v>
      </c>
      <c r="B35" s="46" t="s">
        <v>375</v>
      </c>
      <c r="C35" s="39" t="s">
        <v>331</v>
      </c>
      <c r="D35" s="39" t="s">
        <v>332</v>
      </c>
      <c r="E35" s="39" t="s">
        <v>333</v>
      </c>
      <c r="F35" s="39">
        <v>1.38</v>
      </c>
      <c r="G35" s="39" t="s">
        <v>246</v>
      </c>
      <c r="H35" s="31">
        <v>5.9500000000000004E-2</v>
      </c>
      <c r="I35" s="31">
        <v>5.9500000000000004E-2</v>
      </c>
      <c r="J35" s="131">
        <v>4709000</v>
      </c>
      <c r="K35" s="39">
        <v>124.8021</v>
      </c>
      <c r="L35" s="104">
        <v>5876.9320900000002</v>
      </c>
      <c r="M35" s="31" t="s">
        <v>240</v>
      </c>
      <c r="N35" s="38">
        <v>2.7614674036323963E-3</v>
      </c>
      <c r="O35" s="38">
        <v>2.4559298416689133E-3</v>
      </c>
    </row>
    <row r="36" spans="1:15" x14ac:dyDescent="0.2">
      <c r="A36" s="30" t="s">
        <v>376</v>
      </c>
      <c r="B36" s="46" t="s">
        <v>377</v>
      </c>
      <c r="C36" s="39" t="s">
        <v>331</v>
      </c>
      <c r="D36" s="39" t="s">
        <v>332</v>
      </c>
      <c r="E36" s="39" t="s">
        <v>333</v>
      </c>
      <c r="F36" s="39">
        <v>1.47</v>
      </c>
      <c r="G36" s="39" t="s">
        <v>246</v>
      </c>
      <c r="H36" s="31">
        <v>5.9500000000000004E-2</v>
      </c>
      <c r="I36" s="31">
        <v>5.9500000000000004E-2</v>
      </c>
      <c r="J36" s="131">
        <v>2395400</v>
      </c>
      <c r="K36" s="39">
        <v>124.43519999999999</v>
      </c>
      <c r="L36" s="104">
        <v>2980.7210399999999</v>
      </c>
      <c r="M36" s="31" t="s">
        <v>240</v>
      </c>
      <c r="N36" s="38">
        <v>1.400588583503822E-3</v>
      </c>
      <c r="O36" s="38">
        <v>1.2456229950798016E-3</v>
      </c>
    </row>
    <row r="37" spans="1:15" x14ac:dyDescent="0.2">
      <c r="A37" s="30" t="s">
        <v>378</v>
      </c>
      <c r="B37" s="46" t="s">
        <v>379</v>
      </c>
      <c r="C37" s="39" t="s">
        <v>331</v>
      </c>
      <c r="D37" s="39" t="s">
        <v>332</v>
      </c>
      <c r="E37" s="39" t="s">
        <v>333</v>
      </c>
      <c r="F37" s="39">
        <v>1.1499999999999999</v>
      </c>
      <c r="G37" s="39" t="s">
        <v>246</v>
      </c>
      <c r="H37" s="31">
        <v>5.9500000000000004E-2</v>
      </c>
      <c r="I37" s="31">
        <v>5.9299999999999999E-2</v>
      </c>
      <c r="J37" s="131">
        <v>3374280</v>
      </c>
      <c r="K37" s="39">
        <v>129.3167</v>
      </c>
      <c r="L37" s="104">
        <v>4363.5077799999999</v>
      </c>
      <c r="M37" s="31" t="s">
        <v>240</v>
      </c>
      <c r="N37" s="38">
        <v>2.0503358411218873E-3</v>
      </c>
      <c r="O37" s="38">
        <v>1.8234801435754674E-3</v>
      </c>
    </row>
    <row r="38" spans="1:15" x14ac:dyDescent="0.2">
      <c r="A38" s="30" t="s">
        <v>380</v>
      </c>
      <c r="B38" s="46" t="s">
        <v>381</v>
      </c>
      <c r="C38" s="39" t="s">
        <v>331</v>
      </c>
      <c r="D38" s="39" t="s">
        <v>332</v>
      </c>
      <c r="E38" s="39" t="s">
        <v>333</v>
      </c>
      <c r="F38" s="39">
        <v>1.24</v>
      </c>
      <c r="G38" s="39" t="s">
        <v>246</v>
      </c>
      <c r="H38" s="31">
        <v>5.9500000000000004E-2</v>
      </c>
      <c r="I38" s="31">
        <v>5.9299999999999999E-2</v>
      </c>
      <c r="J38" s="131">
        <v>1050840</v>
      </c>
      <c r="K38" s="39">
        <v>128.57820000000001</v>
      </c>
      <c r="L38" s="104">
        <v>1351.1516899999999</v>
      </c>
      <c r="M38" s="31" t="s">
        <v>240</v>
      </c>
      <c r="N38" s="38">
        <v>6.3488250198545757E-4</v>
      </c>
      <c r="O38" s="38">
        <v>5.64637076841292E-4</v>
      </c>
    </row>
    <row r="39" spans="1:15" x14ac:dyDescent="0.2">
      <c r="A39" s="30" t="s">
        <v>382</v>
      </c>
      <c r="B39" s="46" t="s">
        <v>383</v>
      </c>
      <c r="C39" s="39" t="s">
        <v>331</v>
      </c>
      <c r="D39" s="39" t="s">
        <v>332</v>
      </c>
      <c r="E39" s="39" t="s">
        <v>333</v>
      </c>
      <c r="F39" s="39">
        <v>1.32</v>
      </c>
      <c r="G39" s="39" t="s">
        <v>246</v>
      </c>
      <c r="H39" s="31">
        <v>5.9500000000000004E-2</v>
      </c>
      <c r="I39" s="31">
        <v>5.91E-2</v>
      </c>
      <c r="J39" s="131">
        <v>2832200</v>
      </c>
      <c r="K39" s="39">
        <v>126.5964</v>
      </c>
      <c r="L39" s="104">
        <v>3585.4654100000002</v>
      </c>
      <c r="M39" s="31" t="s">
        <v>240</v>
      </c>
      <c r="N39" s="38">
        <v>1.6847473656219269E-3</v>
      </c>
      <c r="O39" s="38">
        <v>1.4983415431452885E-3</v>
      </c>
    </row>
    <row r="40" spans="1:15" x14ac:dyDescent="0.2">
      <c r="A40" s="30" t="s">
        <v>384</v>
      </c>
      <c r="B40" s="46" t="s">
        <v>385</v>
      </c>
      <c r="C40" s="39" t="s">
        <v>331</v>
      </c>
      <c r="D40" s="39" t="s">
        <v>332</v>
      </c>
      <c r="E40" s="39" t="s">
        <v>333</v>
      </c>
      <c r="F40" s="39">
        <v>1.41</v>
      </c>
      <c r="G40" s="39" t="s">
        <v>246</v>
      </c>
      <c r="H40" s="31">
        <v>5.9500000000000004E-2</v>
      </c>
      <c r="I40" s="31">
        <v>5.91E-2</v>
      </c>
      <c r="J40" s="131">
        <v>3099593.11</v>
      </c>
      <c r="K40" s="39">
        <v>125.7377</v>
      </c>
      <c r="L40" s="104">
        <v>3897.3580699999998</v>
      </c>
      <c r="M40" s="31" t="s">
        <v>240</v>
      </c>
      <c r="N40" s="38">
        <v>1.8313002610497522E-3</v>
      </c>
      <c r="O40" s="38">
        <v>1.6286793587540266E-3</v>
      </c>
    </row>
    <row r="41" spans="1:15" x14ac:dyDescent="0.2">
      <c r="A41" s="30" t="s">
        <v>386</v>
      </c>
      <c r="B41" s="46" t="s">
        <v>387</v>
      </c>
      <c r="C41" s="39" t="s">
        <v>331</v>
      </c>
      <c r="D41" s="39" t="s">
        <v>332</v>
      </c>
      <c r="E41" s="39" t="s">
        <v>333</v>
      </c>
      <c r="F41" s="39">
        <v>1.49</v>
      </c>
      <c r="G41" s="39" t="s">
        <v>246</v>
      </c>
      <c r="H41" s="31">
        <v>5.9500000000000004E-2</v>
      </c>
      <c r="I41" s="31">
        <v>5.91E-2</v>
      </c>
      <c r="J41" s="131">
        <v>2978640</v>
      </c>
      <c r="K41" s="39">
        <v>125.0329</v>
      </c>
      <c r="L41" s="104">
        <v>3724.2813099999998</v>
      </c>
      <c r="M41" s="31" t="s">
        <v>240</v>
      </c>
      <c r="N41" s="38">
        <v>1.7499745244669586E-3</v>
      </c>
      <c r="O41" s="38">
        <v>1.5563517610765506E-3</v>
      </c>
    </row>
    <row r="42" spans="1:15" x14ac:dyDescent="0.2">
      <c r="A42" s="30" t="s">
        <v>388</v>
      </c>
      <c r="B42" s="46" t="s">
        <v>389</v>
      </c>
      <c r="C42" s="39" t="s">
        <v>331</v>
      </c>
      <c r="D42" s="39" t="s">
        <v>332</v>
      </c>
      <c r="E42" s="39" t="s">
        <v>333</v>
      </c>
      <c r="F42" s="39">
        <v>1.57</v>
      </c>
      <c r="G42" s="39" t="s">
        <v>246</v>
      </c>
      <c r="H42" s="31">
        <v>5.9500000000000004E-2</v>
      </c>
      <c r="I42" s="31">
        <v>5.91E-2</v>
      </c>
      <c r="J42" s="131">
        <v>2400720</v>
      </c>
      <c r="K42" s="39">
        <v>123.4418</v>
      </c>
      <c r="L42" s="104">
        <v>2963.4926099999998</v>
      </c>
      <c r="M42" s="31" t="s">
        <v>240</v>
      </c>
      <c r="N42" s="38">
        <v>1.3924932461522612E-3</v>
      </c>
      <c r="O42" s="38">
        <v>1.2384233516750224E-3</v>
      </c>
    </row>
    <row r="43" spans="1:15" x14ac:dyDescent="0.2">
      <c r="A43" s="30" t="s">
        <v>390</v>
      </c>
      <c r="B43" s="46" t="s">
        <v>391</v>
      </c>
      <c r="C43" s="39" t="s">
        <v>331</v>
      </c>
      <c r="D43" s="39" t="s">
        <v>332</v>
      </c>
      <c r="E43" s="39" t="s">
        <v>333</v>
      </c>
      <c r="F43" s="39">
        <v>1.66</v>
      </c>
      <c r="G43" s="39" t="s">
        <v>246</v>
      </c>
      <c r="H43" s="31">
        <v>5.9500000000000004E-2</v>
      </c>
      <c r="I43" s="31">
        <v>5.9200000000000003E-2</v>
      </c>
      <c r="J43" s="131">
        <v>3711120</v>
      </c>
      <c r="K43" s="39">
        <v>122.9676</v>
      </c>
      <c r="L43" s="104">
        <v>4563.4755700000005</v>
      </c>
      <c r="M43" s="31" t="s">
        <v>240</v>
      </c>
      <c r="N43" s="38">
        <v>2.1442972014719622E-3</v>
      </c>
      <c r="O43" s="38">
        <v>1.907045319301972E-3</v>
      </c>
    </row>
    <row r="44" spans="1:15" x14ac:dyDescent="0.2">
      <c r="A44" s="30" t="s">
        <v>392</v>
      </c>
      <c r="B44" s="46" t="s">
        <v>393</v>
      </c>
      <c r="C44" s="39" t="s">
        <v>331</v>
      </c>
      <c r="D44" s="39" t="s">
        <v>332</v>
      </c>
      <c r="E44" s="39" t="s">
        <v>333</v>
      </c>
      <c r="F44" s="39">
        <v>1.74</v>
      </c>
      <c r="G44" s="39" t="s">
        <v>246</v>
      </c>
      <c r="H44" s="31">
        <v>5.9500000000000004E-2</v>
      </c>
      <c r="I44" s="31">
        <v>5.9299999999999999E-2</v>
      </c>
      <c r="J44" s="131">
        <v>8754200.0099999998</v>
      </c>
      <c r="K44" s="39">
        <v>122.62769999999999</v>
      </c>
      <c r="L44" s="104">
        <v>10735.08122</v>
      </c>
      <c r="M44" s="31" t="s">
        <v>240</v>
      </c>
      <c r="N44" s="38">
        <v>5.0442265471841276E-3</v>
      </c>
      <c r="O44" s="38">
        <v>4.4861172321182165E-3</v>
      </c>
    </row>
    <row r="45" spans="1:15" x14ac:dyDescent="0.2">
      <c r="A45" s="30" t="s">
        <v>394</v>
      </c>
      <c r="B45" s="46" t="s">
        <v>395</v>
      </c>
      <c r="C45" s="39" t="s">
        <v>331</v>
      </c>
      <c r="D45" s="39" t="s">
        <v>332</v>
      </c>
      <c r="E45" s="39" t="s">
        <v>333</v>
      </c>
      <c r="F45" s="39">
        <v>1.83</v>
      </c>
      <c r="G45" s="39" t="s">
        <v>246</v>
      </c>
      <c r="H45" s="31">
        <v>5.9500000000000004E-2</v>
      </c>
      <c r="I45" s="31">
        <v>5.9200000000000003E-2</v>
      </c>
      <c r="J45" s="131">
        <v>7282520.0099999998</v>
      </c>
      <c r="K45" s="39">
        <v>122.36580000000001</v>
      </c>
      <c r="L45" s="104">
        <v>8911.3192100000015</v>
      </c>
      <c r="M45" s="31" t="s">
        <v>240</v>
      </c>
      <c r="N45" s="38">
        <v>4.1872727377011768E-3</v>
      </c>
      <c r="O45" s="38">
        <v>3.7239795255957176E-3</v>
      </c>
    </row>
    <row r="46" spans="1:15" x14ac:dyDescent="0.2">
      <c r="A46" s="30" t="s">
        <v>396</v>
      </c>
      <c r="B46" s="46" t="s">
        <v>397</v>
      </c>
      <c r="C46" s="39" t="s">
        <v>331</v>
      </c>
      <c r="D46" s="39" t="s">
        <v>332</v>
      </c>
      <c r="E46" s="39" t="s">
        <v>333</v>
      </c>
      <c r="F46" s="39">
        <v>1.9</v>
      </c>
      <c r="G46" s="39" t="s">
        <v>246</v>
      </c>
      <c r="H46" s="31">
        <v>5.9500000000000004E-2</v>
      </c>
      <c r="I46" s="31">
        <v>5.9500000000000004E-2</v>
      </c>
      <c r="J46" s="131">
        <v>7157920.0099999998</v>
      </c>
      <c r="K46" s="39">
        <v>121.0565</v>
      </c>
      <c r="L46" s="104">
        <v>8665.1285200000002</v>
      </c>
      <c r="M46" s="31" t="s">
        <v>240</v>
      </c>
      <c r="N46" s="38">
        <v>4.0715920466362623E-3</v>
      </c>
      <c r="O46" s="38">
        <v>3.6210981151841735E-3</v>
      </c>
    </row>
    <row r="47" spans="1:15" x14ac:dyDescent="0.2">
      <c r="A47" s="30" t="s">
        <v>398</v>
      </c>
      <c r="B47" s="46" t="s">
        <v>399</v>
      </c>
      <c r="C47" s="39" t="s">
        <v>331</v>
      </c>
      <c r="D47" s="39" t="s">
        <v>332</v>
      </c>
      <c r="E47" s="39" t="s">
        <v>333</v>
      </c>
      <c r="F47" s="39">
        <v>1.99</v>
      </c>
      <c r="G47" s="39" t="s">
        <v>246</v>
      </c>
      <c r="H47" s="31">
        <v>5.9500000000000004E-2</v>
      </c>
      <c r="I47" s="31">
        <v>5.9500000000000004E-2</v>
      </c>
      <c r="J47" s="131">
        <v>3629080</v>
      </c>
      <c r="K47" s="39">
        <v>120.11620000000001</v>
      </c>
      <c r="L47" s="104">
        <v>4359.1135400000003</v>
      </c>
      <c r="M47" s="31" t="s">
        <v>240</v>
      </c>
      <c r="N47" s="38">
        <v>2.0482710647491287E-3</v>
      </c>
      <c r="O47" s="38">
        <v>1.8216438206467376E-3</v>
      </c>
    </row>
    <row r="48" spans="1:15" x14ac:dyDescent="0.2">
      <c r="A48" s="30" t="s">
        <v>400</v>
      </c>
      <c r="B48" s="46" t="s">
        <v>401</v>
      </c>
      <c r="C48" s="39" t="s">
        <v>331</v>
      </c>
      <c r="D48" s="39" t="s">
        <v>332</v>
      </c>
      <c r="E48" s="39" t="s">
        <v>333</v>
      </c>
      <c r="F48" s="39">
        <v>1.54</v>
      </c>
      <c r="G48" s="39" t="s">
        <v>246</v>
      </c>
      <c r="H48" s="31">
        <v>5.9500000000000004E-2</v>
      </c>
      <c r="I48" s="31">
        <v>5.9500000000000004E-2</v>
      </c>
      <c r="J48" s="131">
        <v>4098600</v>
      </c>
      <c r="K48" s="39">
        <v>125.5745</v>
      </c>
      <c r="L48" s="104">
        <v>5146.7983099999992</v>
      </c>
      <c r="M48" s="31" t="s">
        <v>240</v>
      </c>
      <c r="N48" s="38">
        <v>2.4183903350387878E-3</v>
      </c>
      <c r="O48" s="38">
        <v>2.1508119142789224E-3</v>
      </c>
    </row>
    <row r="49" spans="1:15" x14ac:dyDescent="0.2">
      <c r="A49" s="30" t="s">
        <v>402</v>
      </c>
      <c r="B49" s="46" t="s">
        <v>403</v>
      </c>
      <c r="C49" s="39" t="s">
        <v>331</v>
      </c>
      <c r="D49" s="39" t="s">
        <v>332</v>
      </c>
      <c r="E49" s="39" t="s">
        <v>333</v>
      </c>
      <c r="F49" s="39">
        <v>1.62</v>
      </c>
      <c r="G49" s="39" t="s">
        <v>246</v>
      </c>
      <c r="H49" s="31">
        <v>5.9500000000000004E-2</v>
      </c>
      <c r="I49" s="31">
        <v>5.9299999999999999E-2</v>
      </c>
      <c r="J49" s="131">
        <v>3544200</v>
      </c>
      <c r="K49" s="39">
        <v>124.9841</v>
      </c>
      <c r="L49" s="104">
        <v>4429.6867599999996</v>
      </c>
      <c r="M49" s="31" t="s">
        <v>240</v>
      </c>
      <c r="N49" s="38">
        <v>2.0814321841248298E-3</v>
      </c>
      <c r="O49" s="38">
        <v>1.8511358879986107E-3</v>
      </c>
    </row>
    <row r="50" spans="1:15" x14ac:dyDescent="0.2">
      <c r="A50" s="30" t="s">
        <v>404</v>
      </c>
      <c r="B50" s="46" t="s">
        <v>405</v>
      </c>
      <c r="C50" s="39" t="s">
        <v>331</v>
      </c>
      <c r="D50" s="39" t="s">
        <v>332</v>
      </c>
      <c r="E50" s="39" t="s">
        <v>333</v>
      </c>
      <c r="F50" s="39">
        <v>1.71</v>
      </c>
      <c r="G50" s="39" t="s">
        <v>246</v>
      </c>
      <c r="H50" s="31">
        <v>5.9500000000000004E-2</v>
      </c>
      <c r="I50" s="31">
        <v>5.9299999999999999E-2</v>
      </c>
      <c r="J50" s="131">
        <v>1944000</v>
      </c>
      <c r="K50" s="39">
        <v>124.27450000000002</v>
      </c>
      <c r="L50" s="104">
        <v>2415.8966700000001</v>
      </c>
      <c r="M50" s="31" t="s">
        <v>240</v>
      </c>
      <c r="N50" s="38">
        <v>1.1351875098405385E-3</v>
      </c>
      <c r="O50" s="38">
        <v>1.0095867427730571E-3</v>
      </c>
    </row>
    <row r="51" spans="1:15" x14ac:dyDescent="0.2">
      <c r="A51" s="30" t="s">
        <v>406</v>
      </c>
      <c r="B51" s="46" t="s">
        <v>407</v>
      </c>
      <c r="C51" s="39" t="s">
        <v>331</v>
      </c>
      <c r="D51" s="39" t="s">
        <v>332</v>
      </c>
      <c r="E51" s="39" t="s">
        <v>333</v>
      </c>
      <c r="F51" s="39">
        <v>1.79</v>
      </c>
      <c r="G51" s="39" t="s">
        <v>246</v>
      </c>
      <c r="H51" s="31">
        <v>5.9500000000000004E-2</v>
      </c>
      <c r="I51" s="31">
        <v>5.9299999999999999E-2</v>
      </c>
      <c r="J51" s="131">
        <v>1715400</v>
      </c>
      <c r="K51" s="39">
        <v>123.56619999999999</v>
      </c>
      <c r="L51" s="104">
        <v>2119.6561400000001</v>
      </c>
      <c r="M51" s="31" t="s">
        <v>240</v>
      </c>
      <c r="N51" s="38">
        <v>9.9598927601684552E-4</v>
      </c>
      <c r="O51" s="38">
        <v>8.8578984554894531E-4</v>
      </c>
    </row>
    <row r="52" spans="1:15" x14ac:dyDescent="0.2">
      <c r="A52" s="30" t="s">
        <v>408</v>
      </c>
      <c r="B52" s="46" t="s">
        <v>409</v>
      </c>
      <c r="C52" s="39" t="s">
        <v>331</v>
      </c>
      <c r="D52" s="39" t="s">
        <v>332</v>
      </c>
      <c r="E52" s="39" t="s">
        <v>333</v>
      </c>
      <c r="F52" s="39">
        <v>1.88</v>
      </c>
      <c r="G52" s="39" t="s">
        <v>246</v>
      </c>
      <c r="H52" s="31">
        <v>5.9500000000000004E-2</v>
      </c>
      <c r="I52" s="31">
        <v>5.9200000000000003E-2</v>
      </c>
      <c r="J52" s="131">
        <v>2696760</v>
      </c>
      <c r="K52" s="39">
        <v>122.9769</v>
      </c>
      <c r="L52" s="104">
        <v>3316.3940899999998</v>
      </c>
      <c r="M52" s="31" t="s">
        <v>240</v>
      </c>
      <c r="N52" s="38">
        <v>1.5583154674727784E-3</v>
      </c>
      <c r="O52" s="38">
        <v>1.3858984734951088E-3</v>
      </c>
    </row>
    <row r="53" spans="1:15" x14ac:dyDescent="0.2">
      <c r="A53" s="30" t="s">
        <v>410</v>
      </c>
      <c r="B53" s="46" t="s">
        <v>411</v>
      </c>
      <c r="C53" s="39" t="s">
        <v>331</v>
      </c>
      <c r="D53" s="39" t="s">
        <v>332</v>
      </c>
      <c r="E53" s="39" t="s">
        <v>333</v>
      </c>
      <c r="F53" s="39">
        <v>1.96</v>
      </c>
      <c r="G53" s="39" t="s">
        <v>246</v>
      </c>
      <c r="H53" s="31">
        <v>5.9500000000000004E-2</v>
      </c>
      <c r="I53" s="31">
        <v>5.9200000000000003E-2</v>
      </c>
      <c r="J53" s="131">
        <v>2511720</v>
      </c>
      <c r="K53" s="39">
        <v>123.45079999999999</v>
      </c>
      <c r="L53" s="104">
        <v>3100.7406800000003</v>
      </c>
      <c r="M53" s="31" t="s">
        <v>240</v>
      </c>
      <c r="N53" s="38">
        <v>1.4569837091544394E-3</v>
      </c>
      <c r="O53" s="38">
        <v>1.2957783841413691E-3</v>
      </c>
    </row>
    <row r="54" spans="1:15" x14ac:dyDescent="0.2">
      <c r="A54" s="30" t="s">
        <v>412</v>
      </c>
      <c r="B54" s="46" t="s">
        <v>413</v>
      </c>
      <c r="C54" s="39" t="s">
        <v>331</v>
      </c>
      <c r="D54" s="39" t="s">
        <v>332</v>
      </c>
      <c r="E54" s="39" t="s">
        <v>333</v>
      </c>
      <c r="F54" s="39">
        <v>2.04</v>
      </c>
      <c r="G54" s="39" t="s">
        <v>246</v>
      </c>
      <c r="H54" s="31">
        <v>5.9500000000000004E-2</v>
      </c>
      <c r="I54" s="31">
        <v>5.9200000000000003E-2</v>
      </c>
      <c r="J54" s="131">
        <v>4024800</v>
      </c>
      <c r="K54" s="39">
        <v>123.68120000000002</v>
      </c>
      <c r="L54" s="104">
        <v>4977.9240399999999</v>
      </c>
      <c r="M54" s="31" t="s">
        <v>240</v>
      </c>
      <c r="N54" s="38">
        <v>2.3390392748639179E-3</v>
      </c>
      <c r="O54" s="38">
        <v>2.0802405085128483E-3</v>
      </c>
    </row>
    <row r="55" spans="1:15" x14ac:dyDescent="0.2">
      <c r="A55" s="30" t="s">
        <v>414</v>
      </c>
      <c r="B55" s="46" t="s">
        <v>415</v>
      </c>
      <c r="C55" s="39" t="s">
        <v>331</v>
      </c>
      <c r="D55" s="39" t="s">
        <v>332</v>
      </c>
      <c r="E55" s="39" t="s">
        <v>333</v>
      </c>
      <c r="F55" s="39">
        <v>2.13</v>
      </c>
      <c r="G55" s="39" t="s">
        <v>246</v>
      </c>
      <c r="H55" s="31">
        <v>5.9500000000000004E-2</v>
      </c>
      <c r="I55" s="31">
        <v>5.9299999999999999E-2</v>
      </c>
      <c r="J55" s="131">
        <v>3760920</v>
      </c>
      <c r="K55" s="39">
        <v>123.32669999999999</v>
      </c>
      <c r="L55" s="104">
        <v>4638.2220900000002</v>
      </c>
      <c r="M55" s="31" t="s">
        <v>240</v>
      </c>
      <c r="N55" s="38">
        <v>2.1794192813861025E-3</v>
      </c>
      <c r="O55" s="38">
        <v>1.9382813802633131E-3</v>
      </c>
    </row>
    <row r="56" spans="1:15" x14ac:dyDescent="0.2">
      <c r="A56" s="30" t="s">
        <v>416</v>
      </c>
      <c r="B56" s="46" t="s">
        <v>417</v>
      </c>
      <c r="C56" s="39" t="s">
        <v>331</v>
      </c>
      <c r="D56" s="39" t="s">
        <v>332</v>
      </c>
      <c r="E56" s="39" t="s">
        <v>333</v>
      </c>
      <c r="F56" s="39">
        <v>2.21</v>
      </c>
      <c r="G56" s="39" t="s">
        <v>246</v>
      </c>
      <c r="H56" s="31">
        <v>5.9500000000000004E-2</v>
      </c>
      <c r="I56" s="31">
        <v>5.9299999999999999E-2</v>
      </c>
      <c r="J56" s="131">
        <v>9839880.0099999998</v>
      </c>
      <c r="K56" s="39">
        <v>122.72710000000001</v>
      </c>
      <c r="L56" s="104">
        <v>12076.208409999999</v>
      </c>
      <c r="M56" s="31" t="s">
        <v>240</v>
      </c>
      <c r="N56" s="38">
        <v>5.6743987122856833E-3</v>
      </c>
      <c r="O56" s="38">
        <v>5.0465651387732978E-3</v>
      </c>
    </row>
    <row r="57" spans="1:15" x14ac:dyDescent="0.2">
      <c r="A57" s="30" t="s">
        <v>418</v>
      </c>
      <c r="B57" s="46" t="s">
        <v>419</v>
      </c>
      <c r="C57" s="39" t="s">
        <v>331</v>
      </c>
      <c r="D57" s="39" t="s">
        <v>332</v>
      </c>
      <c r="E57" s="39" t="s">
        <v>333</v>
      </c>
      <c r="F57" s="39">
        <v>2.2999999999999998</v>
      </c>
      <c r="G57" s="39" t="s">
        <v>246</v>
      </c>
      <c r="H57" s="31">
        <v>5.9500000000000004E-2</v>
      </c>
      <c r="I57" s="31">
        <v>5.9299999999999999E-2</v>
      </c>
      <c r="J57" s="131">
        <v>9609840</v>
      </c>
      <c r="K57" s="39">
        <v>122.2929</v>
      </c>
      <c r="L57" s="104">
        <v>11752.158310000001</v>
      </c>
      <c r="M57" s="31" t="s">
        <v>240</v>
      </c>
      <c r="N57" s="38">
        <v>5.5221332488449076E-3</v>
      </c>
      <c r="O57" s="38">
        <v>4.9111468118982985E-3</v>
      </c>
    </row>
    <row r="58" spans="1:15" x14ac:dyDescent="0.2">
      <c r="A58" s="30" t="s">
        <v>420</v>
      </c>
      <c r="B58" s="46" t="s">
        <v>421</v>
      </c>
      <c r="C58" s="39" t="s">
        <v>331</v>
      </c>
      <c r="D58" s="39" t="s">
        <v>332</v>
      </c>
      <c r="E58" s="39" t="s">
        <v>333</v>
      </c>
      <c r="F58" s="39">
        <v>2.37</v>
      </c>
      <c r="G58" s="39" t="s">
        <v>246</v>
      </c>
      <c r="H58" s="31">
        <v>5.9500000000000004E-2</v>
      </c>
      <c r="I58" s="31">
        <v>5.9500000000000004E-2</v>
      </c>
      <c r="J58" s="131">
        <v>8156520</v>
      </c>
      <c r="K58" s="39">
        <v>122.06270000000001</v>
      </c>
      <c r="L58" s="104">
        <v>9956.0765500000016</v>
      </c>
      <c r="M58" s="31" t="s">
        <v>240</v>
      </c>
      <c r="N58" s="38">
        <v>4.6781859037772012E-3</v>
      </c>
      <c r="O58" s="38">
        <v>4.1605764930806076E-3</v>
      </c>
    </row>
    <row r="59" spans="1:15" x14ac:dyDescent="0.2">
      <c r="A59" s="30" t="s">
        <v>422</v>
      </c>
      <c r="B59" s="46" t="s">
        <v>423</v>
      </c>
      <c r="C59" s="39" t="s">
        <v>331</v>
      </c>
      <c r="D59" s="39" t="s">
        <v>332</v>
      </c>
      <c r="E59" s="39" t="s">
        <v>333</v>
      </c>
      <c r="F59" s="39">
        <v>2.4500000000000002</v>
      </c>
      <c r="G59" s="39" t="s">
        <v>246</v>
      </c>
      <c r="H59" s="31">
        <v>5.9500000000000004E-2</v>
      </c>
      <c r="I59" s="31">
        <v>5.9500000000000004E-2</v>
      </c>
      <c r="J59" s="131">
        <v>3101040</v>
      </c>
      <c r="K59" s="39">
        <v>121.23690000000001</v>
      </c>
      <c r="L59" s="104">
        <v>3759.6053500000003</v>
      </c>
      <c r="M59" s="31" t="s">
        <v>240</v>
      </c>
      <c r="N59" s="38">
        <v>1.7665726718558978E-3</v>
      </c>
      <c r="O59" s="38">
        <v>1.5711134364942271E-3</v>
      </c>
    </row>
    <row r="60" spans="1:15" x14ac:dyDescent="0.2">
      <c r="A60" s="30" t="s">
        <v>424</v>
      </c>
      <c r="B60" s="46" t="s">
        <v>425</v>
      </c>
      <c r="C60" s="39" t="s">
        <v>331</v>
      </c>
      <c r="D60" s="39" t="s">
        <v>332</v>
      </c>
      <c r="E60" s="39" t="s">
        <v>333</v>
      </c>
      <c r="F60" s="39">
        <v>1.98</v>
      </c>
      <c r="G60" s="39" t="s">
        <v>246</v>
      </c>
      <c r="H60" s="31">
        <v>5.9500000000000004E-2</v>
      </c>
      <c r="I60" s="31">
        <v>5.9500000000000004E-2</v>
      </c>
      <c r="J60" s="131">
        <v>4765640</v>
      </c>
      <c r="K60" s="39">
        <v>127.18</v>
      </c>
      <c r="L60" s="104">
        <v>6060.9431399999994</v>
      </c>
      <c r="M60" s="31" t="s">
        <v>240</v>
      </c>
      <c r="N60" s="38">
        <v>2.8479309714772257E-3</v>
      </c>
      <c r="O60" s="38">
        <v>2.5328268045691311E-3</v>
      </c>
    </row>
    <row r="61" spans="1:15" x14ac:dyDescent="0.2">
      <c r="A61" s="30" t="s">
        <v>426</v>
      </c>
      <c r="B61" s="46" t="s">
        <v>427</v>
      </c>
      <c r="C61" s="39" t="s">
        <v>331</v>
      </c>
      <c r="D61" s="39" t="s">
        <v>332</v>
      </c>
      <c r="E61" s="39" t="s">
        <v>333</v>
      </c>
      <c r="F61" s="39">
        <v>2.06</v>
      </c>
      <c r="G61" s="39" t="s">
        <v>246</v>
      </c>
      <c r="H61" s="31">
        <v>5.9500000000000004E-2</v>
      </c>
      <c r="I61" s="31">
        <v>5.9400000000000001E-2</v>
      </c>
      <c r="J61" s="131">
        <v>4205520</v>
      </c>
      <c r="K61" s="39">
        <v>126.58199999999999</v>
      </c>
      <c r="L61" s="104">
        <v>5323.4338499999994</v>
      </c>
      <c r="M61" s="31" t="s">
        <v>240</v>
      </c>
      <c r="N61" s="38">
        <v>2.5013882799806708E-3</v>
      </c>
      <c r="O61" s="38">
        <v>2.2246267018486907E-3</v>
      </c>
    </row>
    <row r="62" spans="1:15" x14ac:dyDescent="0.2">
      <c r="A62" s="30" t="s">
        <v>428</v>
      </c>
      <c r="B62" s="46" t="s">
        <v>429</v>
      </c>
      <c r="C62" s="39" t="s">
        <v>331</v>
      </c>
      <c r="D62" s="39" t="s">
        <v>332</v>
      </c>
      <c r="E62" s="39" t="s">
        <v>333</v>
      </c>
      <c r="F62" s="39">
        <v>2.14</v>
      </c>
      <c r="G62" s="39" t="s">
        <v>246</v>
      </c>
      <c r="H62" s="31">
        <v>5.9500000000000004E-2</v>
      </c>
      <c r="I62" s="31">
        <v>5.9400000000000001E-2</v>
      </c>
      <c r="J62" s="131">
        <v>1428240</v>
      </c>
      <c r="K62" s="39">
        <v>125.14619999999999</v>
      </c>
      <c r="L62" s="104">
        <v>1787.3893500000001</v>
      </c>
      <c r="M62" s="31" t="s">
        <v>240</v>
      </c>
      <c r="N62" s="38">
        <v>8.3986293393168961E-4</v>
      </c>
      <c r="O62" s="38">
        <v>7.4693781995806632E-4</v>
      </c>
    </row>
    <row r="63" spans="1:15" x14ac:dyDescent="0.2">
      <c r="A63" s="30" t="s">
        <v>430</v>
      </c>
      <c r="B63" s="46" t="s">
        <v>431</v>
      </c>
      <c r="C63" s="39" t="s">
        <v>331</v>
      </c>
      <c r="D63" s="39" t="s">
        <v>332</v>
      </c>
      <c r="E63" s="39" t="s">
        <v>333</v>
      </c>
      <c r="F63" s="39">
        <v>2.23</v>
      </c>
      <c r="G63" s="39" t="s">
        <v>246</v>
      </c>
      <c r="H63" s="31">
        <v>5.9500000000000004E-2</v>
      </c>
      <c r="I63" s="31">
        <v>5.9299999999999999E-2</v>
      </c>
      <c r="J63" s="131">
        <v>1589720</v>
      </c>
      <c r="K63" s="39">
        <v>123.16030000000001</v>
      </c>
      <c r="L63" s="104">
        <v>1957.90454</v>
      </c>
      <c r="M63" s="31" t="s">
        <v>240</v>
      </c>
      <c r="N63" s="38">
        <v>9.199850336596081E-4</v>
      </c>
      <c r="O63" s="38">
        <v>8.1819495500160639E-4</v>
      </c>
    </row>
    <row r="64" spans="1:15" x14ac:dyDescent="0.2">
      <c r="A64" s="30" t="s">
        <v>432</v>
      </c>
      <c r="B64" s="46" t="s">
        <v>433</v>
      </c>
      <c r="C64" s="39" t="s">
        <v>331</v>
      </c>
      <c r="D64" s="39" t="s">
        <v>332</v>
      </c>
      <c r="E64" s="39" t="s">
        <v>333</v>
      </c>
      <c r="F64" s="39">
        <v>2.31</v>
      </c>
      <c r="G64" s="39" t="s">
        <v>246</v>
      </c>
      <c r="H64" s="31">
        <v>5.9500000000000004E-2</v>
      </c>
      <c r="I64" s="31">
        <v>5.9299999999999999E-2</v>
      </c>
      <c r="J64" s="131">
        <v>1836120</v>
      </c>
      <c r="K64" s="39">
        <v>121.72790000000002</v>
      </c>
      <c r="L64" s="104">
        <v>2235.0720200000001</v>
      </c>
      <c r="M64" s="31" t="s">
        <v>240</v>
      </c>
      <c r="N64" s="38">
        <v>1.0502211755182651E-3</v>
      </c>
      <c r="O64" s="38">
        <v>9.3402135470264014E-4</v>
      </c>
    </row>
    <row r="65" spans="1:15" x14ac:dyDescent="0.2">
      <c r="A65" s="30" t="s">
        <v>434</v>
      </c>
      <c r="B65" s="46" t="s">
        <v>435</v>
      </c>
      <c r="C65" s="39" t="s">
        <v>331</v>
      </c>
      <c r="D65" s="39" t="s">
        <v>332</v>
      </c>
      <c r="E65" s="39" t="s">
        <v>333</v>
      </c>
      <c r="F65" s="39">
        <v>2.48</v>
      </c>
      <c r="G65" s="39" t="s">
        <v>246</v>
      </c>
      <c r="H65" s="31">
        <v>5.9500000000000004E-2</v>
      </c>
      <c r="I65" s="31">
        <v>5.9299999999999999E-2</v>
      </c>
      <c r="J65" s="131">
        <v>3369080</v>
      </c>
      <c r="K65" s="39">
        <v>121.0317</v>
      </c>
      <c r="L65" s="104">
        <v>4077.6549199999999</v>
      </c>
      <c r="M65" s="31" t="s">
        <v>240</v>
      </c>
      <c r="N65" s="38">
        <v>1.9160185914010224E-3</v>
      </c>
      <c r="O65" s="38">
        <v>1.704024182803866E-3</v>
      </c>
    </row>
    <row r="66" spans="1:15" x14ac:dyDescent="0.2">
      <c r="A66" s="30" t="s">
        <v>436</v>
      </c>
      <c r="B66" s="46" t="s">
        <v>437</v>
      </c>
      <c r="C66" s="39" t="s">
        <v>331</v>
      </c>
      <c r="D66" s="39" t="s">
        <v>332</v>
      </c>
      <c r="E66" s="39" t="s">
        <v>333</v>
      </c>
      <c r="F66" s="39">
        <v>2.56</v>
      </c>
      <c r="G66" s="39" t="s">
        <v>246</v>
      </c>
      <c r="H66" s="31">
        <v>5.9500000000000004E-2</v>
      </c>
      <c r="I66" s="31">
        <v>5.9299999999999999E-2</v>
      </c>
      <c r="J66" s="131">
        <v>1993200</v>
      </c>
      <c r="K66" s="39">
        <v>119.9974</v>
      </c>
      <c r="L66" s="104">
        <v>2391.7896000000001</v>
      </c>
      <c r="M66" s="31" t="s">
        <v>240</v>
      </c>
      <c r="N66" s="38">
        <v>1.1238600200920421E-3</v>
      </c>
      <c r="O66" s="38">
        <v>9.9951256262233818E-4</v>
      </c>
    </row>
    <row r="67" spans="1:15" x14ac:dyDescent="0.2">
      <c r="A67" s="30" t="s">
        <v>438</v>
      </c>
      <c r="B67" s="46" t="s">
        <v>439</v>
      </c>
      <c r="C67" s="39" t="s">
        <v>331</v>
      </c>
      <c r="D67" s="39" t="s">
        <v>332</v>
      </c>
      <c r="E67" s="39" t="s">
        <v>333</v>
      </c>
      <c r="F67" s="39">
        <v>2.65</v>
      </c>
      <c r="G67" s="39" t="s">
        <v>246</v>
      </c>
      <c r="H67" s="31">
        <v>5.9500000000000004E-2</v>
      </c>
      <c r="I67" s="31">
        <v>5.9299999999999999E-2</v>
      </c>
      <c r="J67" s="131">
        <v>13049520</v>
      </c>
      <c r="K67" s="39">
        <v>118.6951</v>
      </c>
      <c r="L67" s="104">
        <v>15489.145980000001</v>
      </c>
      <c r="M67" s="31" t="s">
        <v>240</v>
      </c>
      <c r="N67" s="38">
        <v>7.2780782692137194E-3</v>
      </c>
      <c r="O67" s="38">
        <v>6.4728084741656573E-3</v>
      </c>
    </row>
    <row r="68" spans="1:15" x14ac:dyDescent="0.2">
      <c r="A68" s="30" t="s">
        <v>440</v>
      </c>
      <c r="B68" s="46" t="s">
        <v>441</v>
      </c>
      <c r="C68" s="39" t="s">
        <v>331</v>
      </c>
      <c r="D68" s="39" t="s">
        <v>332</v>
      </c>
      <c r="E68" s="39" t="s">
        <v>442</v>
      </c>
      <c r="F68" s="39">
        <v>2.74</v>
      </c>
      <c r="G68" s="39" t="s">
        <v>246</v>
      </c>
      <c r="H68" s="31">
        <v>5.9500000000000004E-2</v>
      </c>
      <c r="I68" s="31">
        <v>5.9299999999999999E-2</v>
      </c>
      <c r="J68" s="131">
        <v>11990000</v>
      </c>
      <c r="K68" s="39">
        <v>118.0962</v>
      </c>
      <c r="L68" s="104">
        <v>14159.737060000001</v>
      </c>
      <c r="M68" s="31" t="s">
        <v>240</v>
      </c>
      <c r="N68" s="38">
        <v>6.6534123138379878E-3</v>
      </c>
      <c r="O68" s="38">
        <v>5.917257552628832E-3</v>
      </c>
    </row>
    <row r="69" spans="1:15" x14ac:dyDescent="0.2">
      <c r="A69" s="30" t="s">
        <v>443</v>
      </c>
      <c r="B69" s="46" t="s">
        <v>444</v>
      </c>
      <c r="C69" s="39" t="s">
        <v>331</v>
      </c>
      <c r="D69" s="39" t="s">
        <v>332</v>
      </c>
      <c r="E69" s="39" t="s">
        <v>445</v>
      </c>
      <c r="F69" s="39">
        <v>2.81</v>
      </c>
      <c r="G69" s="39" t="s">
        <v>246</v>
      </c>
      <c r="H69" s="31">
        <v>5.9500000000000004E-2</v>
      </c>
      <c r="I69" s="31">
        <v>5.9500000000000004E-2</v>
      </c>
      <c r="J69" s="131">
        <v>7946429.4800000004</v>
      </c>
      <c r="K69" s="39">
        <v>117.76939999999999</v>
      </c>
      <c r="L69" s="104">
        <v>9358.4665700000005</v>
      </c>
      <c r="M69" s="31" t="s">
        <v>240</v>
      </c>
      <c r="N69" s="38">
        <v>4.3973794464993513E-3</v>
      </c>
      <c r="O69" s="38">
        <v>3.9108393579419289E-3</v>
      </c>
    </row>
    <row r="70" spans="1:15" x14ac:dyDescent="0.2">
      <c r="A70" s="30" t="s">
        <v>446</v>
      </c>
      <c r="B70" s="46" t="s">
        <v>447</v>
      </c>
      <c r="C70" s="39" t="s">
        <v>331</v>
      </c>
      <c r="D70" s="39" t="s">
        <v>332</v>
      </c>
      <c r="E70" s="39" t="s">
        <v>448</v>
      </c>
      <c r="F70" s="39">
        <v>2.9</v>
      </c>
      <c r="G70" s="39" t="s">
        <v>246</v>
      </c>
      <c r="H70" s="31">
        <v>5.9500000000000004E-2</v>
      </c>
      <c r="I70" s="31">
        <v>5.9500000000000004E-2</v>
      </c>
      <c r="J70" s="131">
        <v>5928560</v>
      </c>
      <c r="K70" s="39">
        <v>116.84529999999999</v>
      </c>
      <c r="L70" s="104">
        <v>6927.2495199999994</v>
      </c>
      <c r="M70" s="31" t="s">
        <v>240</v>
      </c>
      <c r="N70" s="38">
        <v>3.2549931585662004E-3</v>
      </c>
      <c r="O70" s="38">
        <v>2.8948503328468196E-3</v>
      </c>
    </row>
    <row r="71" spans="1:15" x14ac:dyDescent="0.2">
      <c r="A71" s="30" t="s">
        <v>449</v>
      </c>
      <c r="B71" s="46" t="s">
        <v>450</v>
      </c>
      <c r="C71" s="39" t="s">
        <v>331</v>
      </c>
      <c r="D71" s="39" t="s">
        <v>332</v>
      </c>
      <c r="E71" s="39" t="s">
        <v>451</v>
      </c>
      <c r="F71" s="39">
        <v>2.4</v>
      </c>
      <c r="G71" s="39" t="s">
        <v>246</v>
      </c>
      <c r="H71" s="31">
        <v>5.9500000000000004E-2</v>
      </c>
      <c r="I71" s="31">
        <v>5.9400000000000001E-2</v>
      </c>
      <c r="J71" s="131">
        <v>3797040</v>
      </c>
      <c r="K71" s="39">
        <v>121.46299999999999</v>
      </c>
      <c r="L71" s="104">
        <v>4612.0002199999999</v>
      </c>
      <c r="M71" s="31" t="s">
        <v>240</v>
      </c>
      <c r="N71" s="38">
        <v>2.1670980841766779E-3</v>
      </c>
      <c r="O71" s="38">
        <v>1.9273234396148338E-3</v>
      </c>
    </row>
    <row r="72" spans="1:15" x14ac:dyDescent="0.2">
      <c r="A72" s="30" t="s">
        <v>452</v>
      </c>
      <c r="B72" s="46" t="s">
        <v>453</v>
      </c>
      <c r="C72" s="39" t="s">
        <v>331</v>
      </c>
      <c r="D72" s="39" t="s">
        <v>332</v>
      </c>
      <c r="E72" s="39" t="s">
        <v>454</v>
      </c>
      <c r="F72" s="39">
        <v>2.56</v>
      </c>
      <c r="G72" s="39" t="s">
        <v>246</v>
      </c>
      <c r="H72" s="31">
        <v>5.9500000000000004E-2</v>
      </c>
      <c r="I72" s="31">
        <v>5.9400000000000001E-2</v>
      </c>
      <c r="J72" s="131">
        <v>8320000</v>
      </c>
      <c r="K72" s="39">
        <v>119.3828</v>
      </c>
      <c r="L72" s="104">
        <v>9932.6508699999995</v>
      </c>
      <c r="M72" s="31" t="s">
        <v>240</v>
      </c>
      <c r="N72" s="38">
        <v>4.6671785872492459E-3</v>
      </c>
      <c r="O72" s="38">
        <v>4.1507870611640326E-3</v>
      </c>
    </row>
    <row r="73" spans="1:15" x14ac:dyDescent="0.2">
      <c r="A73" s="30" t="s">
        <v>455</v>
      </c>
      <c r="B73" s="46" t="s">
        <v>456</v>
      </c>
      <c r="C73" s="39" t="s">
        <v>331</v>
      </c>
      <c r="D73" s="39" t="s">
        <v>332</v>
      </c>
      <c r="E73" s="39" t="s">
        <v>457</v>
      </c>
      <c r="F73" s="39">
        <v>2.65</v>
      </c>
      <c r="G73" s="39" t="s">
        <v>246</v>
      </c>
      <c r="H73" s="31">
        <v>5.9500000000000004E-2</v>
      </c>
      <c r="I73" s="31">
        <v>5.9299999999999999E-2</v>
      </c>
      <c r="J73" s="131">
        <v>3759600</v>
      </c>
      <c r="K73" s="39">
        <v>117.4787</v>
      </c>
      <c r="L73" s="104">
        <v>4416.7302499999996</v>
      </c>
      <c r="M73" s="31" t="s">
        <v>240</v>
      </c>
      <c r="N73" s="38">
        <v>2.075344147121524E-3</v>
      </c>
      <c r="O73" s="38">
        <v>1.8457214508287435E-3</v>
      </c>
    </row>
    <row r="74" spans="1:15" x14ac:dyDescent="0.2">
      <c r="A74" s="30" t="s">
        <v>458</v>
      </c>
      <c r="B74" s="46" t="s">
        <v>459</v>
      </c>
      <c r="C74" s="39" t="s">
        <v>331</v>
      </c>
      <c r="D74" s="39" t="s">
        <v>332</v>
      </c>
      <c r="E74" s="39" t="s">
        <v>460</v>
      </c>
      <c r="F74" s="39">
        <v>2.73</v>
      </c>
      <c r="G74" s="39" t="s">
        <v>246</v>
      </c>
      <c r="H74" s="31">
        <v>5.9500000000000004E-2</v>
      </c>
      <c r="I74" s="31">
        <v>5.9299999999999999E-2</v>
      </c>
      <c r="J74" s="131">
        <v>5200000</v>
      </c>
      <c r="K74" s="39">
        <v>115.92339999999999</v>
      </c>
      <c r="L74" s="104">
        <v>6028.0197900000003</v>
      </c>
      <c r="M74" s="31" t="s">
        <v>240</v>
      </c>
      <c r="N74" s="38">
        <v>2.8324608662503707E-3</v>
      </c>
      <c r="O74" s="38">
        <v>2.5190683611305397E-3</v>
      </c>
    </row>
    <row r="75" spans="1:15" x14ac:dyDescent="0.2">
      <c r="A75" s="30" t="s">
        <v>461</v>
      </c>
      <c r="B75" s="46" t="s">
        <v>462</v>
      </c>
      <c r="C75" s="39" t="s">
        <v>331</v>
      </c>
      <c r="D75" s="39" t="s">
        <v>332</v>
      </c>
      <c r="E75" s="39" t="s">
        <v>463</v>
      </c>
      <c r="F75" s="39">
        <v>2.9</v>
      </c>
      <c r="G75" s="39" t="s">
        <v>246</v>
      </c>
      <c r="H75" s="31">
        <v>5.9500000000000004E-2</v>
      </c>
      <c r="I75" s="31">
        <v>5.9299999999999999E-2</v>
      </c>
      <c r="J75" s="131">
        <v>6939920</v>
      </c>
      <c r="K75" s="39">
        <v>114.72150000000002</v>
      </c>
      <c r="L75" s="104">
        <v>7961.5806900000007</v>
      </c>
      <c r="M75" s="31" t="s">
        <v>240</v>
      </c>
      <c r="N75" s="38">
        <v>3.7410072500640591E-3</v>
      </c>
      <c r="O75" s="38">
        <v>3.3270902749917568E-3</v>
      </c>
    </row>
    <row r="76" spans="1:15" x14ac:dyDescent="0.2">
      <c r="A76" s="30" t="s">
        <v>464</v>
      </c>
      <c r="B76" s="46" t="s">
        <v>465</v>
      </c>
      <c r="C76" s="39" t="s">
        <v>331</v>
      </c>
      <c r="D76" s="39" t="s">
        <v>332</v>
      </c>
      <c r="E76" s="39" t="s">
        <v>466</v>
      </c>
      <c r="F76" s="39">
        <v>2.98</v>
      </c>
      <c r="G76" s="39" t="s">
        <v>246</v>
      </c>
      <c r="H76" s="31">
        <v>5.9500000000000004E-2</v>
      </c>
      <c r="I76" s="31">
        <v>5.9299999999999999E-2</v>
      </c>
      <c r="J76" s="131">
        <v>4160000</v>
      </c>
      <c r="K76" s="39">
        <v>114.7949</v>
      </c>
      <c r="L76" s="104">
        <v>4775.46983</v>
      </c>
      <c r="M76" s="31" t="s">
        <v>240</v>
      </c>
      <c r="N76" s="38">
        <v>2.2439095893270634E-3</v>
      </c>
      <c r="O76" s="38">
        <v>1.9956362748249101E-3</v>
      </c>
    </row>
    <row r="77" spans="1:15" x14ac:dyDescent="0.2">
      <c r="A77" s="30" t="s">
        <v>467</v>
      </c>
      <c r="B77" s="46" t="s">
        <v>468</v>
      </c>
      <c r="C77" s="39" t="s">
        <v>331</v>
      </c>
      <c r="D77" s="39" t="s">
        <v>332</v>
      </c>
      <c r="E77" s="39" t="s">
        <v>469</v>
      </c>
      <c r="F77" s="39">
        <v>3.07</v>
      </c>
      <c r="G77" s="39" t="s">
        <v>246</v>
      </c>
      <c r="H77" s="31">
        <v>5.9500000000000004E-2</v>
      </c>
      <c r="I77" s="31">
        <v>5.9299999999999999E-2</v>
      </c>
      <c r="J77" s="131">
        <v>22880000</v>
      </c>
      <c r="K77" s="39">
        <v>114.337</v>
      </c>
      <c r="L77" s="104">
        <v>26160.31853</v>
      </c>
      <c r="M77" s="31" t="s">
        <v>240</v>
      </c>
      <c r="N77" s="38">
        <v>1.2292275252279727E-2</v>
      </c>
      <c r="O77" s="38">
        <v>1.0932218708926963E-2</v>
      </c>
    </row>
    <row r="78" spans="1:15" x14ac:dyDescent="0.2">
      <c r="A78" s="30" t="s">
        <v>470</v>
      </c>
      <c r="B78" s="46" t="s">
        <v>471</v>
      </c>
      <c r="C78" s="39" t="s">
        <v>331</v>
      </c>
      <c r="D78" s="39" t="s">
        <v>332</v>
      </c>
      <c r="E78" s="39" t="s">
        <v>472</v>
      </c>
      <c r="F78" s="39">
        <v>3.15</v>
      </c>
      <c r="G78" s="39" t="s">
        <v>246</v>
      </c>
      <c r="H78" s="31">
        <v>5.9500000000000004E-2</v>
      </c>
      <c r="I78" s="31">
        <v>5.9400000000000001E-2</v>
      </c>
      <c r="J78" s="131">
        <v>3068000</v>
      </c>
      <c r="K78" s="39">
        <v>114.39289999999998</v>
      </c>
      <c r="L78" s="104">
        <v>3509.5742599999999</v>
      </c>
      <c r="M78" s="31" t="s">
        <v>240</v>
      </c>
      <c r="N78" s="38">
        <v>1.6490874441289125E-3</v>
      </c>
      <c r="O78" s="38">
        <v>1.4666271491129471E-3</v>
      </c>
    </row>
    <row r="79" spans="1:15" x14ac:dyDescent="0.2">
      <c r="A79" s="30" t="s">
        <v>473</v>
      </c>
      <c r="B79" s="46" t="s">
        <v>474</v>
      </c>
      <c r="C79" s="39" t="s">
        <v>331</v>
      </c>
      <c r="D79" s="39" t="s">
        <v>332</v>
      </c>
      <c r="E79" s="39" t="s">
        <v>475</v>
      </c>
      <c r="F79" s="39">
        <v>3.23</v>
      </c>
      <c r="G79" s="39" t="s">
        <v>246</v>
      </c>
      <c r="H79" s="31">
        <v>5.9500000000000004E-2</v>
      </c>
      <c r="I79" s="31">
        <v>5.9400000000000001E-2</v>
      </c>
      <c r="J79" s="131">
        <v>24960000</v>
      </c>
      <c r="K79" s="39">
        <v>113.37350000000001</v>
      </c>
      <c r="L79" s="104">
        <v>28298.026089999999</v>
      </c>
      <c r="M79" s="31" t="s">
        <v>240</v>
      </c>
      <c r="N79" s="38">
        <v>1.329674657422732E-2</v>
      </c>
      <c r="O79" s="38">
        <v>1.1825552119789166E-2</v>
      </c>
    </row>
    <row r="80" spans="1:15" x14ac:dyDescent="0.2">
      <c r="A80" s="30" t="s">
        <v>476</v>
      </c>
      <c r="B80" s="46" t="s">
        <v>477</v>
      </c>
      <c r="C80" s="39" t="s">
        <v>331</v>
      </c>
      <c r="D80" s="39" t="s">
        <v>332</v>
      </c>
      <c r="E80" s="39" t="s">
        <v>478</v>
      </c>
      <c r="F80" s="39">
        <v>3.31</v>
      </c>
      <c r="G80" s="39" t="s">
        <v>246</v>
      </c>
      <c r="H80" s="31">
        <v>5.9500000000000004E-2</v>
      </c>
      <c r="I80" s="31">
        <v>5.9500000000000004E-2</v>
      </c>
      <c r="J80" s="131">
        <v>7072000</v>
      </c>
      <c r="K80" s="39">
        <v>112.8232</v>
      </c>
      <c r="L80" s="104">
        <v>7978.8607599999996</v>
      </c>
      <c r="M80" s="31" t="s">
        <v>240</v>
      </c>
      <c r="N80" s="38">
        <v>3.7491268521466967E-3</v>
      </c>
      <c r="O80" s="38">
        <v>3.3343114984003678E-3</v>
      </c>
    </row>
    <row r="81" spans="1:15" x14ac:dyDescent="0.2">
      <c r="A81" s="30" t="s">
        <v>479</v>
      </c>
      <c r="B81" s="46" t="s">
        <v>480</v>
      </c>
      <c r="C81" s="39" t="s">
        <v>331</v>
      </c>
      <c r="D81" s="39" t="s">
        <v>332</v>
      </c>
      <c r="E81" s="39" t="s">
        <v>481</v>
      </c>
      <c r="F81" s="39">
        <v>2.79</v>
      </c>
      <c r="G81" s="39" t="s">
        <v>246</v>
      </c>
      <c r="H81" s="31">
        <v>5.9500000000000004E-2</v>
      </c>
      <c r="I81" s="31">
        <v>5.9400000000000001E-2</v>
      </c>
      <c r="J81" s="131">
        <v>720000</v>
      </c>
      <c r="K81" s="39">
        <v>117.83280000000001</v>
      </c>
      <c r="L81" s="104">
        <v>848.3963</v>
      </c>
      <c r="M81" s="31" t="s">
        <v>240</v>
      </c>
      <c r="N81" s="38">
        <v>3.9864655434742853E-4</v>
      </c>
      <c r="O81" s="38">
        <v>3.545390279865378E-4</v>
      </c>
    </row>
    <row r="82" spans="1:15" x14ac:dyDescent="0.2">
      <c r="A82" s="30" t="s">
        <v>482</v>
      </c>
      <c r="B82" s="46" t="s">
        <v>483</v>
      </c>
      <c r="C82" s="39" t="s">
        <v>331</v>
      </c>
      <c r="D82" s="39" t="s">
        <v>332</v>
      </c>
      <c r="E82" s="39" t="s">
        <v>484</v>
      </c>
      <c r="F82" s="39">
        <v>2.88</v>
      </c>
      <c r="G82" s="39" t="s">
        <v>246</v>
      </c>
      <c r="H82" s="31">
        <v>5.9500000000000004E-2</v>
      </c>
      <c r="I82" s="31">
        <v>5.9400000000000001E-2</v>
      </c>
      <c r="J82" s="131">
        <v>5160000</v>
      </c>
      <c r="K82" s="39">
        <v>116.81059999999999</v>
      </c>
      <c r="L82" s="104">
        <v>6027.42785</v>
      </c>
      <c r="M82" s="31" t="s">
        <v>240</v>
      </c>
      <c r="N82" s="38">
        <v>2.832182724017336E-3</v>
      </c>
      <c r="O82" s="38">
        <v>2.5188209934413753E-3</v>
      </c>
    </row>
    <row r="83" spans="1:15" x14ac:dyDescent="0.2">
      <c r="A83" s="30" t="s">
        <v>485</v>
      </c>
      <c r="B83" s="46" t="s">
        <v>486</v>
      </c>
      <c r="C83" s="39" t="s">
        <v>331</v>
      </c>
      <c r="D83" s="39" t="s">
        <v>332</v>
      </c>
      <c r="E83" s="39" t="s">
        <v>487</v>
      </c>
      <c r="F83" s="39">
        <v>2.96</v>
      </c>
      <c r="G83" s="39" t="s">
        <v>246</v>
      </c>
      <c r="H83" s="31">
        <v>5.9500000000000004E-2</v>
      </c>
      <c r="I83" s="31">
        <v>5.9299999999999999E-2</v>
      </c>
      <c r="J83" s="131">
        <v>3942000</v>
      </c>
      <c r="K83" s="39">
        <v>115.2544</v>
      </c>
      <c r="L83" s="104">
        <v>4543.3301200000005</v>
      </c>
      <c r="M83" s="31" t="s">
        <v>240</v>
      </c>
      <c r="N83" s="38">
        <v>2.1348312075393171E-3</v>
      </c>
      <c r="O83" s="38">
        <v>1.8986266731323088E-3</v>
      </c>
    </row>
    <row r="84" spans="1:15" x14ac:dyDescent="0.2">
      <c r="A84" s="30" t="s">
        <v>488</v>
      </c>
      <c r="B84" s="46" t="s">
        <v>489</v>
      </c>
      <c r="C84" s="39" t="s">
        <v>331</v>
      </c>
      <c r="D84" s="39" t="s">
        <v>332</v>
      </c>
      <c r="E84" s="39" t="s">
        <v>490</v>
      </c>
      <c r="F84" s="39">
        <v>3.04</v>
      </c>
      <c r="G84" s="39" t="s">
        <v>246</v>
      </c>
      <c r="H84" s="31">
        <v>5.9500000000000004E-2</v>
      </c>
      <c r="I84" s="31">
        <v>5.9299999999999999E-2</v>
      </c>
      <c r="J84" s="131">
        <v>5580000</v>
      </c>
      <c r="K84" s="39">
        <v>113.48209999999999</v>
      </c>
      <c r="L84" s="104">
        <v>6332.3057900000003</v>
      </c>
      <c r="M84" s="31" t="s">
        <v>240</v>
      </c>
      <c r="N84" s="38">
        <v>2.9754395254408478E-3</v>
      </c>
      <c r="O84" s="38">
        <v>2.6462274054001949E-3</v>
      </c>
    </row>
    <row r="85" spans="1:15" x14ac:dyDescent="0.2">
      <c r="A85" s="30" t="s">
        <v>491</v>
      </c>
      <c r="B85" s="46" t="s">
        <v>492</v>
      </c>
      <c r="C85" s="39" t="s">
        <v>331</v>
      </c>
      <c r="D85" s="39" t="s">
        <v>332</v>
      </c>
      <c r="E85" s="39" t="s">
        <v>493</v>
      </c>
      <c r="F85" s="39">
        <v>3.13</v>
      </c>
      <c r="G85" s="39" t="s">
        <v>246</v>
      </c>
      <c r="H85" s="31">
        <v>5.9500000000000004E-2</v>
      </c>
      <c r="I85" s="31">
        <v>5.9299999999999999E-2</v>
      </c>
      <c r="J85" s="131">
        <v>10020000</v>
      </c>
      <c r="K85" s="39">
        <v>112.40309999999998</v>
      </c>
      <c r="L85" s="104">
        <v>11262.79466</v>
      </c>
      <c r="M85" s="31" t="s">
        <v>240</v>
      </c>
      <c r="N85" s="38">
        <v>5.2921898451603541E-3</v>
      </c>
      <c r="O85" s="38">
        <v>4.7066450798622858E-3</v>
      </c>
    </row>
    <row r="86" spans="1:15" x14ac:dyDescent="0.2">
      <c r="A86" s="30" t="s">
        <v>494</v>
      </c>
      <c r="B86" s="46" t="s">
        <v>495</v>
      </c>
      <c r="C86" s="39" t="s">
        <v>331</v>
      </c>
      <c r="D86" s="39" t="s">
        <v>332</v>
      </c>
      <c r="E86" s="39" t="s">
        <v>496</v>
      </c>
      <c r="F86" s="39">
        <v>3.21</v>
      </c>
      <c r="G86" s="39" t="s">
        <v>246</v>
      </c>
      <c r="H86" s="31">
        <v>5.9500000000000004E-2</v>
      </c>
      <c r="I86" s="31">
        <v>5.9299999999999999E-2</v>
      </c>
      <c r="J86" s="131">
        <v>115200</v>
      </c>
      <c r="K86" s="39">
        <v>112.185</v>
      </c>
      <c r="L86" s="104">
        <v>129.23716000000002</v>
      </c>
      <c r="M86" s="31" t="s">
        <v>240</v>
      </c>
      <c r="N86" s="38">
        <v>6.0726276773775794E-5</v>
      </c>
      <c r="O86" s="38">
        <v>5.4007327809115464E-5</v>
      </c>
    </row>
    <row r="87" spans="1:15" x14ac:dyDescent="0.2">
      <c r="A87" s="30" t="s">
        <v>497</v>
      </c>
      <c r="B87" s="46" t="s">
        <v>498</v>
      </c>
      <c r="C87" s="39" t="s">
        <v>331</v>
      </c>
      <c r="D87" s="39" t="s">
        <v>332</v>
      </c>
      <c r="E87" s="39" t="s">
        <v>499</v>
      </c>
      <c r="F87" s="39">
        <v>3.3</v>
      </c>
      <c r="G87" s="39" t="s">
        <v>246</v>
      </c>
      <c r="H87" s="31">
        <v>5.9500000000000004E-2</v>
      </c>
      <c r="I87" s="31">
        <v>5.9299999999999999E-2</v>
      </c>
      <c r="J87" s="131">
        <v>12240000</v>
      </c>
      <c r="K87" s="39">
        <v>111.44380000000001</v>
      </c>
      <c r="L87" s="104">
        <v>13640.724910000001</v>
      </c>
      <c r="M87" s="31" t="s">
        <v>240</v>
      </c>
      <c r="N87" s="38">
        <v>6.4095375995541666E-3</v>
      </c>
      <c r="O87" s="38">
        <v>5.7003659146358295E-3</v>
      </c>
    </row>
    <row r="88" spans="1:15" x14ac:dyDescent="0.2">
      <c r="A88" s="30" t="s">
        <v>500</v>
      </c>
      <c r="B88" s="46" t="s">
        <v>501</v>
      </c>
      <c r="C88" s="39" t="s">
        <v>331</v>
      </c>
      <c r="D88" s="39" t="s">
        <v>332</v>
      </c>
      <c r="E88" s="39" t="s">
        <v>502</v>
      </c>
      <c r="F88" s="39">
        <v>3.38</v>
      </c>
      <c r="G88" s="39" t="s">
        <v>246</v>
      </c>
      <c r="H88" s="31">
        <v>5.9500000000000004E-2</v>
      </c>
      <c r="I88" s="31">
        <v>5.9299999999999999E-2</v>
      </c>
      <c r="J88" s="131">
        <v>2520000</v>
      </c>
      <c r="K88" s="39">
        <v>110.57659999999998</v>
      </c>
      <c r="L88" s="104">
        <v>2786.5303599999997</v>
      </c>
      <c r="M88" s="31" t="s">
        <v>240</v>
      </c>
      <c r="N88" s="38">
        <v>1.3093417859065385E-3</v>
      </c>
      <c r="O88" s="38">
        <v>1.1644720342243089E-3</v>
      </c>
    </row>
    <row r="89" spans="1:15" x14ac:dyDescent="0.2">
      <c r="A89" s="30" t="s">
        <v>503</v>
      </c>
      <c r="B89" s="46" t="s">
        <v>504</v>
      </c>
      <c r="C89" s="39" t="s">
        <v>331</v>
      </c>
      <c r="D89" s="39" t="s">
        <v>332</v>
      </c>
      <c r="E89" s="39" t="s">
        <v>505</v>
      </c>
      <c r="F89" s="39">
        <v>3.46</v>
      </c>
      <c r="G89" s="39" t="s">
        <v>246</v>
      </c>
      <c r="H89" s="31">
        <v>5.9500000000000004E-2</v>
      </c>
      <c r="I89" s="31">
        <v>5.9299999999999999E-2</v>
      </c>
      <c r="J89" s="131">
        <v>20280000</v>
      </c>
      <c r="K89" s="39">
        <v>110.03890000000001</v>
      </c>
      <c r="L89" s="104">
        <v>22315.906899999998</v>
      </c>
      <c r="M89" s="31" t="s">
        <v>240</v>
      </c>
      <c r="N89" s="38">
        <v>1.048585359556967E-2</v>
      </c>
      <c r="O89" s="38">
        <v>9.3256653063716454E-3</v>
      </c>
    </row>
    <row r="90" spans="1:15" x14ac:dyDescent="0.2">
      <c r="A90" s="30" t="s">
        <v>506</v>
      </c>
      <c r="B90" s="46" t="s">
        <v>507</v>
      </c>
      <c r="C90" s="39" t="s">
        <v>331</v>
      </c>
      <c r="D90" s="39" t="s">
        <v>332</v>
      </c>
      <c r="E90" s="39" t="s">
        <v>508</v>
      </c>
      <c r="F90" s="39">
        <v>3.55</v>
      </c>
      <c r="G90" s="39" t="s">
        <v>246</v>
      </c>
      <c r="H90" s="31">
        <v>5.9500000000000004E-2</v>
      </c>
      <c r="I90" s="31">
        <v>5.9299999999999999E-2</v>
      </c>
      <c r="J90" s="131">
        <v>18719999.989999998</v>
      </c>
      <c r="K90" s="39">
        <v>110.23480000000001</v>
      </c>
      <c r="L90" s="104">
        <v>20635.97265</v>
      </c>
      <c r="M90" s="31" t="s">
        <v>240</v>
      </c>
      <c r="N90" s="38">
        <v>9.6964819301195351E-3</v>
      </c>
      <c r="O90" s="38">
        <v>8.623632239895174E-3</v>
      </c>
    </row>
    <row r="91" spans="1:15" x14ac:dyDescent="0.2">
      <c r="A91" s="30" t="s">
        <v>509</v>
      </c>
      <c r="B91" s="46" t="s">
        <v>510</v>
      </c>
      <c r="C91" s="39" t="s">
        <v>331</v>
      </c>
      <c r="D91" s="39" t="s">
        <v>332</v>
      </c>
      <c r="E91" s="39" t="s">
        <v>511</v>
      </c>
      <c r="F91" s="39">
        <v>3.63</v>
      </c>
      <c r="G91" s="39" t="s">
        <v>246</v>
      </c>
      <c r="H91" s="31">
        <v>5.9500000000000004E-2</v>
      </c>
      <c r="I91" s="31">
        <v>5.9400000000000001E-2</v>
      </c>
      <c r="J91" s="131">
        <v>18659999.989999998</v>
      </c>
      <c r="K91" s="39">
        <v>109.8951</v>
      </c>
      <c r="L91" s="104">
        <v>20506.43331</v>
      </c>
      <c r="M91" s="31" t="s">
        <v>240</v>
      </c>
      <c r="N91" s="38">
        <v>9.6356136642590639E-3</v>
      </c>
      <c r="O91" s="38">
        <v>8.5694986331248269E-3</v>
      </c>
    </row>
    <row r="92" spans="1:15" x14ac:dyDescent="0.2">
      <c r="A92" s="30" t="s">
        <v>512</v>
      </c>
      <c r="B92" s="46" t="s">
        <v>513</v>
      </c>
      <c r="C92" s="39" t="s">
        <v>331</v>
      </c>
      <c r="D92" s="39" t="s">
        <v>332</v>
      </c>
      <c r="E92" s="39" t="s">
        <v>514</v>
      </c>
      <c r="F92" s="39">
        <v>3.71</v>
      </c>
      <c r="G92" s="39" t="s">
        <v>246</v>
      </c>
      <c r="H92" s="31">
        <v>5.9500000000000004E-2</v>
      </c>
      <c r="I92" s="31">
        <v>5.9500000000000004E-2</v>
      </c>
      <c r="J92" s="131">
        <v>7440000</v>
      </c>
      <c r="K92" s="39">
        <v>109.3617</v>
      </c>
      <c r="L92" s="104">
        <v>8136.5163000000002</v>
      </c>
      <c r="M92" s="31" t="s">
        <v>240</v>
      </c>
      <c r="N92" s="38">
        <v>3.8232064276879658E-3</v>
      </c>
      <c r="O92" s="38">
        <v>3.4001946734074874E-3</v>
      </c>
    </row>
    <row r="93" spans="1:15" x14ac:dyDescent="0.2">
      <c r="A93" s="30" t="s">
        <v>515</v>
      </c>
      <c r="B93" s="46" t="s">
        <v>516</v>
      </c>
      <c r="C93" s="39" t="s">
        <v>331</v>
      </c>
      <c r="D93" s="39" t="s">
        <v>332</v>
      </c>
      <c r="E93" s="39" t="s">
        <v>517</v>
      </c>
      <c r="F93" s="39">
        <v>3.17</v>
      </c>
      <c r="G93" s="39" t="s">
        <v>246</v>
      </c>
      <c r="H93" s="31">
        <v>5.9500000000000004E-2</v>
      </c>
      <c r="I93" s="31">
        <v>5.9500000000000004E-2</v>
      </c>
      <c r="J93" s="131">
        <v>3808000</v>
      </c>
      <c r="K93" s="39">
        <v>114.3398</v>
      </c>
      <c r="L93" s="104">
        <v>4354.0631100000001</v>
      </c>
      <c r="M93" s="31" t="s">
        <v>240</v>
      </c>
      <c r="N93" s="38">
        <v>2.0458979561942324E-3</v>
      </c>
      <c r="O93" s="38">
        <v>1.8195332803920075E-3</v>
      </c>
    </row>
    <row r="94" spans="1:15" x14ac:dyDescent="0.2">
      <c r="A94" s="30" t="s">
        <v>518</v>
      </c>
      <c r="B94" s="46" t="s">
        <v>519</v>
      </c>
      <c r="C94" s="39" t="s">
        <v>331</v>
      </c>
      <c r="D94" s="39" t="s">
        <v>332</v>
      </c>
      <c r="E94" s="39" t="s">
        <v>520</v>
      </c>
      <c r="F94" s="39">
        <v>3.26</v>
      </c>
      <c r="G94" s="39" t="s">
        <v>246</v>
      </c>
      <c r="H94" s="31">
        <v>5.9500000000000004E-2</v>
      </c>
      <c r="I94" s="31">
        <v>5.9400000000000001E-2</v>
      </c>
      <c r="J94" s="131">
        <v>7616000</v>
      </c>
      <c r="K94" s="39">
        <v>113.3712</v>
      </c>
      <c r="L94" s="104">
        <v>8634.3547100000014</v>
      </c>
      <c r="M94" s="31" t="s">
        <v>240</v>
      </c>
      <c r="N94" s="38">
        <v>4.0571319725875637E-3</v>
      </c>
      <c r="O94" s="38">
        <v>3.608237949852427E-3</v>
      </c>
    </row>
    <row r="95" spans="1:15" x14ac:dyDescent="0.2">
      <c r="A95" s="30" t="s">
        <v>521</v>
      </c>
      <c r="B95" s="46" t="s">
        <v>522</v>
      </c>
      <c r="C95" s="39" t="s">
        <v>331</v>
      </c>
      <c r="D95" s="39" t="s">
        <v>332</v>
      </c>
      <c r="E95" s="39" t="s">
        <v>523</v>
      </c>
      <c r="F95" s="39">
        <v>3.34</v>
      </c>
      <c r="G95" s="39" t="s">
        <v>246</v>
      </c>
      <c r="H95" s="31">
        <v>5.9500000000000004E-2</v>
      </c>
      <c r="I95" s="31">
        <v>5.9400000000000001E-2</v>
      </c>
      <c r="J95" s="131">
        <v>5780000</v>
      </c>
      <c r="K95" s="39">
        <v>112.51600000000001</v>
      </c>
      <c r="L95" s="104">
        <v>6503.4260199999999</v>
      </c>
      <c r="M95" s="31" t="s">
        <v>240</v>
      </c>
      <c r="N95" s="38">
        <v>3.0558459228622408E-3</v>
      </c>
      <c r="O95" s="38">
        <v>2.7177373825335613E-3</v>
      </c>
    </row>
    <row r="96" spans="1:15" x14ac:dyDescent="0.2">
      <c r="A96" s="30" t="s">
        <v>524</v>
      </c>
      <c r="B96" s="46" t="s">
        <v>525</v>
      </c>
      <c r="C96" s="39" t="s">
        <v>331</v>
      </c>
      <c r="D96" s="39" t="s">
        <v>332</v>
      </c>
      <c r="E96" s="39" t="s">
        <v>526</v>
      </c>
      <c r="F96" s="39">
        <v>3.43</v>
      </c>
      <c r="G96" s="39" t="s">
        <v>246</v>
      </c>
      <c r="H96" s="31">
        <v>5.9500000000000004E-2</v>
      </c>
      <c r="I96" s="31">
        <v>5.9299999999999999E-2</v>
      </c>
      <c r="J96" s="131">
        <v>5372000</v>
      </c>
      <c r="K96" s="39">
        <v>110.9242</v>
      </c>
      <c r="L96" s="104">
        <v>5958.8515199999993</v>
      </c>
      <c r="M96" s="31" t="s">
        <v>240</v>
      </c>
      <c r="N96" s="38">
        <v>2.7999599082597798E-3</v>
      </c>
      <c r="O96" s="38">
        <v>2.4901634128023696E-3</v>
      </c>
    </row>
    <row r="97" spans="1:15" x14ac:dyDescent="0.2">
      <c r="A97" s="30" t="s">
        <v>527</v>
      </c>
      <c r="B97" s="46" t="s">
        <v>528</v>
      </c>
      <c r="C97" s="39" t="s">
        <v>331</v>
      </c>
      <c r="D97" s="39" t="s">
        <v>332</v>
      </c>
      <c r="E97" s="39" t="s">
        <v>529</v>
      </c>
      <c r="F97" s="39">
        <v>3.51</v>
      </c>
      <c r="G97" s="39" t="s">
        <v>246</v>
      </c>
      <c r="H97" s="31">
        <v>5.9500000000000004E-2</v>
      </c>
      <c r="I97" s="31">
        <v>5.9299999999999999E-2</v>
      </c>
      <c r="J97" s="131">
        <v>6868000</v>
      </c>
      <c r="K97" s="39">
        <v>110.4024</v>
      </c>
      <c r="L97" s="104">
        <v>7582.4402399999999</v>
      </c>
      <c r="M97" s="31" t="s">
        <v>240</v>
      </c>
      <c r="N97" s="38">
        <v>3.5628557965437717E-3</v>
      </c>
      <c r="O97" s="38">
        <v>3.1686500665498072E-3</v>
      </c>
    </row>
    <row r="98" spans="1:15" x14ac:dyDescent="0.2">
      <c r="A98" s="30" t="s">
        <v>530</v>
      </c>
      <c r="B98" s="46" t="s">
        <v>531</v>
      </c>
      <c r="C98" s="39" t="s">
        <v>331</v>
      </c>
      <c r="D98" s="39" t="s">
        <v>332</v>
      </c>
      <c r="E98" s="39" t="s">
        <v>532</v>
      </c>
      <c r="F98" s="39">
        <v>3.59</v>
      </c>
      <c r="G98" s="39" t="s">
        <v>246</v>
      </c>
      <c r="H98" s="31">
        <v>5.9500000000000004E-2</v>
      </c>
      <c r="I98" s="31">
        <v>5.9299999999999999E-2</v>
      </c>
      <c r="J98" s="131">
        <v>5100000</v>
      </c>
      <c r="K98" s="39">
        <v>109.58630000000001</v>
      </c>
      <c r="L98" s="104">
        <v>5588.9041999999999</v>
      </c>
      <c r="M98" s="31" t="s">
        <v>240</v>
      </c>
      <c r="N98" s="38">
        <v>2.6261281454290539E-3</v>
      </c>
      <c r="O98" s="38">
        <v>2.3355649506933006E-3</v>
      </c>
    </row>
    <row r="99" spans="1:15" x14ac:dyDescent="0.2">
      <c r="A99" s="30" t="s">
        <v>533</v>
      </c>
      <c r="B99" s="46" t="s">
        <v>534</v>
      </c>
      <c r="C99" s="39" t="s">
        <v>331</v>
      </c>
      <c r="D99" s="39" t="s">
        <v>332</v>
      </c>
      <c r="E99" s="39" t="s">
        <v>535</v>
      </c>
      <c r="F99" s="39">
        <v>3.68</v>
      </c>
      <c r="G99" s="39" t="s">
        <v>246</v>
      </c>
      <c r="H99" s="31">
        <v>5.9500000000000004E-2</v>
      </c>
      <c r="I99" s="31">
        <v>5.9299999999999999E-2</v>
      </c>
      <c r="J99" s="131">
        <v>11424000</v>
      </c>
      <c r="K99" s="39">
        <v>108.73109999999998</v>
      </c>
      <c r="L99" s="104">
        <v>12421.45046</v>
      </c>
      <c r="M99" s="31" t="s">
        <v>240</v>
      </c>
      <c r="N99" s="38">
        <v>5.8366219016705769E-3</v>
      </c>
      <c r="O99" s="38">
        <v>5.190839437031176E-3</v>
      </c>
    </row>
    <row r="100" spans="1:15" x14ac:dyDescent="0.2">
      <c r="A100" s="30" t="s">
        <v>536</v>
      </c>
      <c r="B100" s="46" t="s">
        <v>537</v>
      </c>
      <c r="C100" s="39" t="s">
        <v>331</v>
      </c>
      <c r="D100" s="39" t="s">
        <v>332</v>
      </c>
      <c r="E100" s="39" t="s">
        <v>538</v>
      </c>
      <c r="F100" s="39">
        <v>3.76</v>
      </c>
      <c r="G100" s="39" t="s">
        <v>246</v>
      </c>
      <c r="H100" s="31">
        <v>5.9500000000000004E-2</v>
      </c>
      <c r="I100" s="31">
        <v>5.9299999999999999E-2</v>
      </c>
      <c r="J100" s="131">
        <v>6120000</v>
      </c>
      <c r="K100" s="39">
        <v>108.11020000000001</v>
      </c>
      <c r="L100" s="104">
        <v>6616.3472699999993</v>
      </c>
      <c r="M100" s="31" t="s">
        <v>240</v>
      </c>
      <c r="N100" s="38">
        <v>3.1089056394417503E-3</v>
      </c>
      <c r="O100" s="38">
        <v>2.7649264028228111E-3</v>
      </c>
    </row>
    <row r="101" spans="1:15" x14ac:dyDescent="0.2">
      <c r="A101" s="30" t="s">
        <v>539</v>
      </c>
      <c r="B101" s="46" t="s">
        <v>540</v>
      </c>
      <c r="C101" s="39" t="s">
        <v>331</v>
      </c>
      <c r="D101" s="39" t="s">
        <v>332</v>
      </c>
      <c r="E101" s="39" t="s">
        <v>541</v>
      </c>
      <c r="F101" s="39">
        <v>3.84</v>
      </c>
      <c r="G101" s="39" t="s">
        <v>246</v>
      </c>
      <c r="H101" s="31">
        <v>5.9500000000000004E-2</v>
      </c>
      <c r="I101" s="31">
        <v>5.9400000000000001E-2</v>
      </c>
      <c r="J101" s="131">
        <v>17407999.989999998</v>
      </c>
      <c r="K101" s="39">
        <v>107.17749999999999</v>
      </c>
      <c r="L101" s="104">
        <v>18657.471550000002</v>
      </c>
      <c r="M101" s="31" t="s">
        <v>240</v>
      </c>
      <c r="N101" s="38">
        <v>8.7668189338433889E-3</v>
      </c>
      <c r="O101" s="38">
        <v>7.7968301229313268E-3</v>
      </c>
    </row>
    <row r="102" spans="1:15" x14ac:dyDescent="0.2">
      <c r="A102" s="30" t="s">
        <v>542</v>
      </c>
      <c r="B102" s="46" t="s">
        <v>543</v>
      </c>
      <c r="C102" s="39" t="s">
        <v>331</v>
      </c>
      <c r="D102" s="39" t="s">
        <v>332</v>
      </c>
      <c r="E102" s="39" t="s">
        <v>544</v>
      </c>
      <c r="F102" s="39">
        <v>3.93</v>
      </c>
      <c r="G102" s="39" t="s">
        <v>246</v>
      </c>
      <c r="H102" s="31">
        <v>5.9500000000000004E-2</v>
      </c>
      <c r="I102" s="31">
        <v>5.9299999999999999E-2</v>
      </c>
      <c r="J102" s="131">
        <v>24140000</v>
      </c>
      <c r="K102" s="39">
        <v>106.4436</v>
      </c>
      <c r="L102" s="104">
        <v>25695.505379999999</v>
      </c>
      <c r="M102" s="31" t="s">
        <v>240</v>
      </c>
      <c r="N102" s="38">
        <v>1.2073867698330144E-2</v>
      </c>
      <c r="O102" s="38">
        <v>1.0737976463414622E-2</v>
      </c>
    </row>
    <row r="103" spans="1:15" x14ac:dyDescent="0.2">
      <c r="A103" s="30" t="s">
        <v>545</v>
      </c>
      <c r="B103" s="46" t="s">
        <v>546</v>
      </c>
      <c r="C103" s="39" t="s">
        <v>331</v>
      </c>
      <c r="D103" s="39" t="s">
        <v>332</v>
      </c>
      <c r="E103" s="39" t="s">
        <v>547</v>
      </c>
      <c r="F103" s="39">
        <v>4</v>
      </c>
      <c r="G103" s="39" t="s">
        <v>246</v>
      </c>
      <c r="H103" s="31">
        <v>5.9500000000000004E-2</v>
      </c>
      <c r="I103" s="31">
        <v>5.9500000000000004E-2</v>
      </c>
      <c r="J103" s="131">
        <v>18428000</v>
      </c>
      <c r="K103" s="39">
        <v>105.6104</v>
      </c>
      <c r="L103" s="104">
        <v>19461.891970000001</v>
      </c>
      <c r="M103" s="31" t="s">
        <v>240</v>
      </c>
      <c r="N103" s="38">
        <v>9.1448019927979247E-3</v>
      </c>
      <c r="O103" s="38">
        <v>8.1329919305668883E-3</v>
      </c>
    </row>
    <row r="104" spans="1:15" x14ac:dyDescent="0.2">
      <c r="A104" s="30" t="s">
        <v>548</v>
      </c>
      <c r="B104" s="46" t="s">
        <v>549</v>
      </c>
      <c r="C104" s="39" t="s">
        <v>331</v>
      </c>
      <c r="D104" s="39" t="s">
        <v>332</v>
      </c>
      <c r="E104" s="39" t="s">
        <v>550</v>
      </c>
      <c r="F104" s="39">
        <v>4.09</v>
      </c>
      <c r="G104" s="39" t="s">
        <v>246</v>
      </c>
      <c r="H104" s="31">
        <v>5.9500000000000004E-2</v>
      </c>
      <c r="I104" s="31">
        <v>5.9500000000000004E-2</v>
      </c>
      <c r="J104" s="131">
        <v>7820000</v>
      </c>
      <c r="K104" s="39">
        <v>104.8843</v>
      </c>
      <c r="L104" s="104">
        <v>8201.9538599999996</v>
      </c>
      <c r="M104" s="31" t="s">
        <v>240</v>
      </c>
      <c r="N104" s="38">
        <v>3.8539543904253125E-3</v>
      </c>
      <c r="O104" s="38">
        <v>3.4275405834688711E-3</v>
      </c>
    </row>
    <row r="105" spans="1:15" x14ac:dyDescent="0.2">
      <c r="A105" s="30" t="s">
        <v>551</v>
      </c>
      <c r="B105" s="46" t="s">
        <v>552</v>
      </c>
      <c r="C105" s="39" t="s">
        <v>331</v>
      </c>
      <c r="D105" s="39" t="s">
        <v>332</v>
      </c>
      <c r="E105" s="39" t="s">
        <v>553</v>
      </c>
      <c r="F105" s="39">
        <v>3.53</v>
      </c>
      <c r="G105" s="39" t="s">
        <v>246</v>
      </c>
      <c r="H105" s="31">
        <v>5.9500000000000004E-2</v>
      </c>
      <c r="I105" s="31">
        <v>5.9500000000000004E-2</v>
      </c>
      <c r="J105" s="131">
        <v>1748000</v>
      </c>
      <c r="K105" s="39">
        <v>109.97839999999999</v>
      </c>
      <c r="L105" s="104">
        <v>1922.4232500000001</v>
      </c>
      <c r="M105" s="31" t="s">
        <v>240</v>
      </c>
      <c r="N105" s="38">
        <v>9.03312997251267E-4</v>
      </c>
      <c r="O105" s="38">
        <v>8.0336756588132328E-4</v>
      </c>
    </row>
    <row r="106" spans="1:15" x14ac:dyDescent="0.2">
      <c r="A106" s="30" t="s">
        <v>554</v>
      </c>
      <c r="B106" s="46" t="s">
        <v>555</v>
      </c>
      <c r="C106" s="39" t="s">
        <v>331</v>
      </c>
      <c r="D106" s="39" t="s">
        <v>332</v>
      </c>
      <c r="E106" s="39" t="s">
        <v>556</v>
      </c>
      <c r="F106" s="39">
        <v>3.62</v>
      </c>
      <c r="G106" s="39" t="s">
        <v>246</v>
      </c>
      <c r="H106" s="31">
        <v>5.9500000000000004E-2</v>
      </c>
      <c r="I106" s="31">
        <v>5.9400000000000001E-2</v>
      </c>
      <c r="J106" s="131">
        <v>456000</v>
      </c>
      <c r="K106" s="39">
        <v>108.916</v>
      </c>
      <c r="L106" s="104">
        <v>496.65699999999998</v>
      </c>
      <c r="M106" s="31" t="s">
        <v>240</v>
      </c>
      <c r="N106" s="38">
        <v>2.3337042104324451E-4</v>
      </c>
      <c r="O106" s="38">
        <v>2.0754957326276635E-4</v>
      </c>
    </row>
    <row r="107" spans="1:15" x14ac:dyDescent="0.2">
      <c r="A107" s="30" t="s">
        <v>557</v>
      </c>
      <c r="B107" s="46" t="s">
        <v>558</v>
      </c>
      <c r="C107" s="39" t="s">
        <v>331</v>
      </c>
      <c r="D107" s="39" t="s">
        <v>332</v>
      </c>
      <c r="E107" s="39" t="s">
        <v>559</v>
      </c>
      <c r="F107" s="39">
        <v>3.79</v>
      </c>
      <c r="G107" s="39" t="s">
        <v>246</v>
      </c>
      <c r="H107" s="31">
        <v>5.9500000000000004E-2</v>
      </c>
      <c r="I107" s="31">
        <v>5.9400000000000001E-2</v>
      </c>
      <c r="J107" s="131">
        <v>760000</v>
      </c>
      <c r="K107" s="39">
        <v>107.78279999999999</v>
      </c>
      <c r="L107" s="104">
        <v>819.1499399999999</v>
      </c>
      <c r="M107" s="31" t="s">
        <v>240</v>
      </c>
      <c r="N107" s="38">
        <v>3.849042022871891E-4</v>
      </c>
      <c r="O107" s="38">
        <v>3.4231717359308465E-4</v>
      </c>
    </row>
    <row r="108" spans="1:15" x14ac:dyDescent="0.2">
      <c r="A108" s="30" t="s">
        <v>560</v>
      </c>
      <c r="B108" s="46" t="s">
        <v>561</v>
      </c>
      <c r="C108" s="39" t="s">
        <v>331</v>
      </c>
      <c r="D108" s="39" t="s">
        <v>332</v>
      </c>
      <c r="E108" s="39" t="s">
        <v>562</v>
      </c>
      <c r="F108" s="39">
        <v>4.22</v>
      </c>
      <c r="G108" s="39" t="s">
        <v>246</v>
      </c>
      <c r="H108" s="31">
        <v>5.9500000000000004E-2</v>
      </c>
      <c r="I108" s="31">
        <v>7.4499999999999997E-2</v>
      </c>
      <c r="J108" s="131">
        <v>3040000</v>
      </c>
      <c r="K108" s="39">
        <v>105.92870000000001</v>
      </c>
      <c r="L108" s="104">
        <v>3220.2339900000002</v>
      </c>
      <c r="M108" s="31" t="s">
        <v>240</v>
      </c>
      <c r="N108" s="38">
        <v>1.5131315215612935E-3</v>
      </c>
      <c r="O108" s="38">
        <v>1.3457138234853339E-3</v>
      </c>
    </row>
    <row r="109" spans="1:15" x14ac:dyDescent="0.2">
      <c r="A109" s="30" t="s">
        <v>563</v>
      </c>
      <c r="B109" s="46" t="s">
        <v>564</v>
      </c>
      <c r="C109" s="39" t="s">
        <v>331</v>
      </c>
      <c r="D109" s="39" t="s">
        <v>332</v>
      </c>
      <c r="E109" s="39" t="s">
        <v>565</v>
      </c>
      <c r="F109" s="39">
        <v>4.12</v>
      </c>
      <c r="G109" s="39" t="s">
        <v>246</v>
      </c>
      <c r="H109" s="31">
        <v>5.9500000000000004E-2</v>
      </c>
      <c r="I109" s="31">
        <v>5.9400000000000001E-2</v>
      </c>
      <c r="J109" s="131">
        <v>9120000</v>
      </c>
      <c r="K109" s="39">
        <v>105.4217</v>
      </c>
      <c r="L109" s="104">
        <v>9614.4679399999986</v>
      </c>
      <c r="M109" s="31" t="s">
        <v>240</v>
      </c>
      <c r="N109" s="38">
        <v>4.5176700041770794E-3</v>
      </c>
      <c r="O109" s="38">
        <v>4.0178205846198639E-3</v>
      </c>
    </row>
    <row r="110" spans="1:15" x14ac:dyDescent="0.2">
      <c r="A110" s="30" t="s">
        <v>566</v>
      </c>
      <c r="B110" s="46" t="s">
        <v>567</v>
      </c>
      <c r="C110" s="39" t="s">
        <v>331</v>
      </c>
      <c r="D110" s="39" t="s">
        <v>332</v>
      </c>
      <c r="E110" s="39" t="s">
        <v>568</v>
      </c>
      <c r="F110" s="39">
        <v>4.21</v>
      </c>
      <c r="G110" s="39" t="s">
        <v>246</v>
      </c>
      <c r="H110" s="31">
        <v>5.9500000000000004E-2</v>
      </c>
      <c r="I110" s="31">
        <v>5.9299999999999999E-2</v>
      </c>
      <c r="J110" s="131">
        <v>24320000</v>
      </c>
      <c r="K110" s="39">
        <v>104.9092</v>
      </c>
      <c r="L110" s="104">
        <v>25513.928829999997</v>
      </c>
      <c r="M110" s="31" t="s">
        <v>240</v>
      </c>
      <c r="N110" s="38">
        <v>1.1988548059373924E-2</v>
      </c>
      <c r="O110" s="38">
        <v>1.0662096861461915E-2</v>
      </c>
    </row>
    <row r="111" spans="1:15" x14ac:dyDescent="0.2">
      <c r="A111" s="30" t="s">
        <v>569</v>
      </c>
      <c r="B111" s="46" t="s">
        <v>570</v>
      </c>
      <c r="C111" s="39" t="s">
        <v>331</v>
      </c>
      <c r="D111" s="39" t="s">
        <v>332</v>
      </c>
      <c r="E111" s="39" t="s">
        <v>571</v>
      </c>
      <c r="F111" s="39">
        <v>4.29</v>
      </c>
      <c r="G111" s="39" t="s">
        <v>246</v>
      </c>
      <c r="H111" s="31">
        <v>5.9500000000000004E-2</v>
      </c>
      <c r="I111" s="31">
        <v>5.9299999999999999E-2</v>
      </c>
      <c r="J111" s="131">
        <v>25080000</v>
      </c>
      <c r="K111" s="39">
        <v>104.39660000000001</v>
      </c>
      <c r="L111" s="104">
        <v>26182.691360000001</v>
      </c>
      <c r="M111" s="31" t="s">
        <v>240</v>
      </c>
      <c r="N111" s="38">
        <v>1.2302787853042483E-2</v>
      </c>
      <c r="O111" s="38">
        <v>1.0941568162008629E-2</v>
      </c>
    </row>
    <row r="112" spans="1:15" x14ac:dyDescent="0.2">
      <c r="A112" s="30" t="s">
        <v>572</v>
      </c>
      <c r="B112" s="46" t="s">
        <v>573</v>
      </c>
      <c r="C112" s="39" t="s">
        <v>331</v>
      </c>
      <c r="D112" s="39" t="s">
        <v>332</v>
      </c>
      <c r="E112" s="39" t="s">
        <v>574</v>
      </c>
      <c r="F112" s="39">
        <v>4.37</v>
      </c>
      <c r="G112" s="39" t="s">
        <v>246</v>
      </c>
      <c r="H112" s="31">
        <v>5.9500000000000004E-2</v>
      </c>
      <c r="I112" s="31">
        <v>5.9500000000000004E-2</v>
      </c>
      <c r="J112" s="131">
        <v>25840000</v>
      </c>
      <c r="K112" s="39">
        <v>103.8841</v>
      </c>
      <c r="L112" s="104">
        <v>26843.663120000001</v>
      </c>
      <c r="M112" s="31" t="s">
        <v>240</v>
      </c>
      <c r="N112" s="38">
        <v>1.2613366900410978E-2</v>
      </c>
      <c r="O112" s="38">
        <v>1.1217783752902827E-2</v>
      </c>
    </row>
    <row r="113" spans="1:15" x14ac:dyDescent="0.2">
      <c r="A113" s="30" t="s">
        <v>575</v>
      </c>
      <c r="B113" s="46" t="s">
        <v>576</v>
      </c>
      <c r="C113" s="39" t="s">
        <v>331</v>
      </c>
      <c r="D113" s="39" t="s">
        <v>332</v>
      </c>
      <c r="E113" s="39" t="s">
        <v>577</v>
      </c>
      <c r="F113" s="39">
        <v>4.45</v>
      </c>
      <c r="G113" s="39" t="s">
        <v>246</v>
      </c>
      <c r="H113" s="31">
        <v>5.9500000000000004E-2</v>
      </c>
      <c r="I113" s="31">
        <v>5.9500000000000004E-2</v>
      </c>
      <c r="J113" s="131">
        <v>10640000</v>
      </c>
      <c r="K113" s="39">
        <v>102.99250000000001</v>
      </c>
      <c r="L113" s="104">
        <v>10958.407880000001</v>
      </c>
      <c r="M113" s="31" t="s">
        <v>240</v>
      </c>
      <c r="N113" s="38">
        <v>5.1491638312139137E-3</v>
      </c>
      <c r="O113" s="38">
        <v>4.5794439203179181E-3</v>
      </c>
    </row>
    <row r="114" spans="1:15" x14ac:dyDescent="0.2">
      <c r="A114" s="30" t="s">
        <v>578</v>
      </c>
      <c r="B114" s="46" t="s">
        <v>579</v>
      </c>
      <c r="C114" s="39" t="s">
        <v>331</v>
      </c>
      <c r="D114" s="39" t="s">
        <v>332</v>
      </c>
      <c r="E114" s="39" t="s">
        <v>580</v>
      </c>
      <c r="F114" s="39">
        <v>3.88</v>
      </c>
      <c r="G114" s="39" t="s">
        <v>246</v>
      </c>
      <c r="H114" s="31">
        <v>5.9500000000000004E-2</v>
      </c>
      <c r="I114" s="31">
        <v>5.9500000000000004E-2</v>
      </c>
      <c r="J114" s="131">
        <v>5880000</v>
      </c>
      <c r="K114" s="39">
        <v>107.66379999999999</v>
      </c>
      <c r="L114" s="104">
        <v>6330.63346</v>
      </c>
      <c r="M114" s="31" t="s">
        <v>240</v>
      </c>
      <c r="N114" s="38">
        <v>2.9746537268792181E-3</v>
      </c>
      <c r="O114" s="38">
        <v>2.6455285500979349E-3</v>
      </c>
    </row>
    <row r="115" spans="1:15" x14ac:dyDescent="0.2">
      <c r="A115" s="30" t="s">
        <v>581</v>
      </c>
      <c r="B115" s="46" t="s">
        <v>582</v>
      </c>
      <c r="C115" s="39" t="s">
        <v>331</v>
      </c>
      <c r="D115" s="39" t="s">
        <v>332</v>
      </c>
      <c r="E115" s="39" t="s">
        <v>583</v>
      </c>
      <c r="F115" s="39">
        <v>3.97</v>
      </c>
      <c r="G115" s="39" t="s">
        <v>246</v>
      </c>
      <c r="H115" s="31">
        <v>5.9500000000000004E-2</v>
      </c>
      <c r="I115" s="31">
        <v>5.9400000000000001E-2</v>
      </c>
      <c r="J115" s="131">
        <v>3360000</v>
      </c>
      <c r="K115" s="39">
        <v>107.1576</v>
      </c>
      <c r="L115" s="104">
        <v>3600.4957400000003</v>
      </c>
      <c r="M115" s="31" t="s">
        <v>240</v>
      </c>
      <c r="N115" s="38">
        <v>1.6918098543022818E-3</v>
      </c>
      <c r="O115" s="38">
        <v>1.5046226155503862E-3</v>
      </c>
    </row>
    <row r="116" spans="1:15" x14ac:dyDescent="0.2">
      <c r="A116" s="30" t="s">
        <v>584</v>
      </c>
      <c r="B116" s="46" t="s">
        <v>585</v>
      </c>
      <c r="C116" s="39" t="s">
        <v>331</v>
      </c>
      <c r="D116" s="39" t="s">
        <v>332</v>
      </c>
      <c r="E116" s="39" t="s">
        <v>586</v>
      </c>
      <c r="F116" s="39">
        <v>4.05</v>
      </c>
      <c r="G116" s="39" t="s">
        <v>246</v>
      </c>
      <c r="H116" s="31">
        <v>5.9500000000000004E-2</v>
      </c>
      <c r="I116" s="31">
        <v>5.9400000000000001E-2</v>
      </c>
      <c r="J116" s="131">
        <v>3360000</v>
      </c>
      <c r="K116" s="39">
        <v>106.95610000000001</v>
      </c>
      <c r="L116" s="104">
        <v>3593.7259700000004</v>
      </c>
      <c r="M116" s="31" t="s">
        <v>240</v>
      </c>
      <c r="N116" s="38">
        <v>1.6886288580105432E-3</v>
      </c>
      <c r="O116" s="38">
        <v>1.501793574834989E-3</v>
      </c>
    </row>
    <row r="117" spans="1:15" x14ac:dyDescent="0.2">
      <c r="A117" s="30" t="s">
        <v>587</v>
      </c>
      <c r="B117" s="46" t="s">
        <v>588</v>
      </c>
      <c r="C117" s="39" t="s">
        <v>331</v>
      </c>
      <c r="D117" s="39" t="s">
        <v>332</v>
      </c>
      <c r="E117" s="39" t="s">
        <v>589</v>
      </c>
      <c r="F117" s="39">
        <v>4.22</v>
      </c>
      <c r="G117" s="39" t="s">
        <v>246</v>
      </c>
      <c r="H117" s="31">
        <v>5.9500000000000004E-2</v>
      </c>
      <c r="I117" s="31">
        <v>5.9299999999999999E-2</v>
      </c>
      <c r="J117" s="131">
        <v>8400000</v>
      </c>
      <c r="K117" s="39">
        <v>104.7574</v>
      </c>
      <c r="L117" s="104">
        <v>8799.6252800000002</v>
      </c>
      <c r="M117" s="31" t="s">
        <v>240</v>
      </c>
      <c r="N117" s="38">
        <v>4.1347897172825075E-3</v>
      </c>
      <c r="O117" s="38">
        <v>3.6773033939645487E-3</v>
      </c>
    </row>
    <row r="118" spans="1:15" x14ac:dyDescent="0.2">
      <c r="A118" s="30" t="s">
        <v>590</v>
      </c>
      <c r="B118" s="46" t="s">
        <v>591</v>
      </c>
      <c r="C118" s="39" t="s">
        <v>331</v>
      </c>
      <c r="D118" s="39" t="s">
        <v>332</v>
      </c>
      <c r="E118" s="39" t="s">
        <v>592</v>
      </c>
      <c r="F118" s="39">
        <v>4.3</v>
      </c>
      <c r="G118" s="39" t="s">
        <v>246</v>
      </c>
      <c r="H118" s="31">
        <v>5.9500000000000004E-2</v>
      </c>
      <c r="I118" s="31">
        <v>5.9299999999999999E-2</v>
      </c>
      <c r="J118" s="131">
        <v>7560000</v>
      </c>
      <c r="K118" s="39">
        <v>104.2953</v>
      </c>
      <c r="L118" s="104">
        <v>7884.7315899999994</v>
      </c>
      <c r="M118" s="31" t="s">
        <v>240</v>
      </c>
      <c r="N118" s="38">
        <v>3.7048972046528506E-3</v>
      </c>
      <c r="O118" s="38">
        <v>3.2949755601873183E-3</v>
      </c>
    </row>
    <row r="119" spans="1:15" x14ac:dyDescent="0.2">
      <c r="A119" s="30" t="s">
        <v>593</v>
      </c>
      <c r="B119" s="46" t="s">
        <v>594</v>
      </c>
      <c r="C119" s="39" t="s">
        <v>331</v>
      </c>
      <c r="D119" s="39" t="s">
        <v>332</v>
      </c>
      <c r="E119" s="39" t="s">
        <v>595</v>
      </c>
      <c r="F119" s="39">
        <v>4.3899999999999997</v>
      </c>
      <c r="G119" s="39" t="s">
        <v>246</v>
      </c>
      <c r="H119" s="31">
        <v>5.9500000000000004E-2</v>
      </c>
      <c r="I119" s="31">
        <v>5.9299999999999999E-2</v>
      </c>
      <c r="J119" s="131">
        <v>14280000</v>
      </c>
      <c r="K119" s="39">
        <v>103.93</v>
      </c>
      <c r="L119" s="104">
        <v>14841.21823</v>
      </c>
      <c r="M119" s="31" t="s">
        <v>240</v>
      </c>
      <c r="N119" s="38">
        <v>6.97362837356521E-3</v>
      </c>
      <c r="O119" s="38">
        <v>6.2020438860946056E-3</v>
      </c>
    </row>
    <row r="120" spans="1:15" x14ac:dyDescent="0.2">
      <c r="A120" s="30" t="s">
        <v>596</v>
      </c>
      <c r="B120" s="46" t="s">
        <v>597</v>
      </c>
      <c r="C120" s="39" t="s">
        <v>331</v>
      </c>
      <c r="D120" s="39" t="s">
        <v>332</v>
      </c>
      <c r="E120" s="39" t="s">
        <v>598</v>
      </c>
      <c r="F120" s="39">
        <v>4.5599999999999996</v>
      </c>
      <c r="G120" s="39" t="s">
        <v>246</v>
      </c>
      <c r="H120" s="31">
        <v>5.9500000000000004E-2</v>
      </c>
      <c r="I120" s="31">
        <v>5.9400000000000001E-2</v>
      </c>
      <c r="J120" s="131">
        <v>32760000</v>
      </c>
      <c r="K120" s="39">
        <v>103.22190000000001</v>
      </c>
      <c r="L120" s="104">
        <v>33815.509460000001</v>
      </c>
      <c r="M120" s="31" t="s">
        <v>240</v>
      </c>
      <c r="N120" s="38">
        <v>1.5889315323194916E-2</v>
      </c>
      <c r="O120" s="38">
        <v>1.4131270792692016E-2</v>
      </c>
    </row>
    <row r="121" spans="1:15" x14ac:dyDescent="0.2">
      <c r="A121" s="30" t="s">
        <v>599</v>
      </c>
      <c r="B121" s="46" t="s">
        <v>600</v>
      </c>
      <c r="C121" s="39" t="s">
        <v>331</v>
      </c>
      <c r="D121" s="39" t="s">
        <v>332</v>
      </c>
      <c r="E121" s="39" t="s">
        <v>601</v>
      </c>
      <c r="F121" s="39">
        <v>4.6399999999999997</v>
      </c>
      <c r="G121" s="39" t="s">
        <v>246</v>
      </c>
      <c r="H121" s="31">
        <v>5.9500000000000004E-2</v>
      </c>
      <c r="I121" s="31">
        <v>5.9400000000000001E-2</v>
      </c>
      <c r="J121" s="131">
        <v>37800000</v>
      </c>
      <c r="K121" s="39">
        <v>102.8806</v>
      </c>
      <c r="L121" s="104">
        <v>38888.868170000002</v>
      </c>
      <c r="M121" s="31" t="s">
        <v>240</v>
      </c>
      <c r="N121" s="38">
        <v>1.8273197677125524E-2</v>
      </c>
      <c r="O121" s="38">
        <v>1.6251392798964835E-2</v>
      </c>
    </row>
    <row r="122" spans="1:15" x14ac:dyDescent="0.2">
      <c r="A122" s="30" t="s">
        <v>602</v>
      </c>
      <c r="B122" s="46" t="s">
        <v>603</v>
      </c>
      <c r="C122" s="39" t="s">
        <v>331</v>
      </c>
      <c r="D122" s="39" t="s">
        <v>332</v>
      </c>
      <c r="E122" s="39" t="s">
        <v>604</v>
      </c>
      <c r="F122" s="39">
        <v>4.72</v>
      </c>
      <c r="G122" s="39" t="s">
        <v>246</v>
      </c>
      <c r="H122" s="31">
        <v>5.9500000000000004E-2</v>
      </c>
      <c r="I122" s="31">
        <v>5.9500000000000004E-2</v>
      </c>
      <c r="J122" s="131">
        <v>38640000</v>
      </c>
      <c r="K122" s="39">
        <v>102.39190000000001</v>
      </c>
      <c r="L122" s="104">
        <v>39564.260499999997</v>
      </c>
      <c r="M122" s="31" t="s">
        <v>240</v>
      </c>
      <c r="N122" s="38">
        <v>1.8590552697635609E-2</v>
      </c>
      <c r="O122" s="38">
        <v>1.6533634647718488E-2</v>
      </c>
    </row>
    <row r="123" spans="1:15" x14ac:dyDescent="0.2">
      <c r="A123" s="30" t="s">
        <v>605</v>
      </c>
      <c r="B123" s="46" t="s">
        <v>606</v>
      </c>
      <c r="C123" s="39" t="s">
        <v>331</v>
      </c>
      <c r="D123" s="39" t="s">
        <v>332</v>
      </c>
      <c r="E123" s="39" t="s">
        <v>607</v>
      </c>
      <c r="F123" s="39">
        <v>4.8</v>
      </c>
      <c r="G123" s="39" t="s">
        <v>246</v>
      </c>
      <c r="H123" s="31">
        <v>5.9500000000000004E-2</v>
      </c>
      <c r="I123" s="31">
        <v>5.9500000000000004E-2</v>
      </c>
      <c r="J123" s="131">
        <v>3396779.4</v>
      </c>
      <c r="K123" s="39">
        <v>101.684</v>
      </c>
      <c r="L123" s="104">
        <v>3453.9826200000002</v>
      </c>
      <c r="M123" s="31" t="s">
        <v>240</v>
      </c>
      <c r="N123" s="38">
        <v>1.6229659066628456E-3</v>
      </c>
      <c r="O123" s="38">
        <v>1.4433957818736304E-3</v>
      </c>
    </row>
    <row r="124" spans="1:15" x14ac:dyDescent="0.2">
      <c r="A124" s="30" t="s">
        <v>608</v>
      </c>
      <c r="B124" s="46" t="s">
        <v>609</v>
      </c>
      <c r="C124" s="39" t="s">
        <v>331</v>
      </c>
      <c r="D124" s="39" t="s">
        <v>332</v>
      </c>
      <c r="E124" s="39" t="s">
        <v>610</v>
      </c>
      <c r="F124" s="39">
        <v>4.3099999999999996</v>
      </c>
      <c r="G124" s="39" t="s">
        <v>246</v>
      </c>
      <c r="H124" s="31">
        <v>5.9500000000000004E-2</v>
      </c>
      <c r="I124" s="31">
        <v>5.9400000000000001E-2</v>
      </c>
      <c r="J124" s="131">
        <v>4600000</v>
      </c>
      <c r="K124" s="39">
        <v>106.2071</v>
      </c>
      <c r="L124" s="104">
        <v>4885.5279099999998</v>
      </c>
      <c r="M124" s="31" t="s">
        <v>240</v>
      </c>
      <c r="N124" s="38">
        <v>2.2956239524968389E-3</v>
      </c>
      <c r="O124" s="38">
        <v>2.0416287958970368E-3</v>
      </c>
    </row>
    <row r="125" spans="1:15" x14ac:dyDescent="0.2">
      <c r="A125" s="30" t="s">
        <v>611</v>
      </c>
      <c r="B125" s="46" t="s">
        <v>612</v>
      </c>
      <c r="C125" s="39" t="s">
        <v>331</v>
      </c>
      <c r="D125" s="39" t="s">
        <v>332</v>
      </c>
      <c r="E125" s="39" t="s">
        <v>613</v>
      </c>
      <c r="F125" s="39">
        <v>4.3899999999999997</v>
      </c>
      <c r="G125" s="39" t="s">
        <v>246</v>
      </c>
      <c r="H125" s="31">
        <v>5.9500000000000004E-2</v>
      </c>
      <c r="I125" s="31">
        <v>5.9400000000000001E-2</v>
      </c>
      <c r="J125" s="131">
        <v>10120000</v>
      </c>
      <c r="K125" s="39">
        <v>104.88150000000002</v>
      </c>
      <c r="L125" s="104">
        <v>10614.015369999999</v>
      </c>
      <c r="M125" s="31" t="s">
        <v>240</v>
      </c>
      <c r="N125" s="38">
        <v>4.9873398257879557E-3</v>
      </c>
      <c r="O125" s="38">
        <v>4.4355246390324569E-3</v>
      </c>
    </row>
    <row r="126" spans="1:15" x14ac:dyDescent="0.2">
      <c r="A126" s="30" t="s">
        <v>614</v>
      </c>
      <c r="B126" s="46" t="s">
        <v>615</v>
      </c>
      <c r="C126" s="39" t="s">
        <v>331</v>
      </c>
      <c r="D126" s="39" t="s">
        <v>332</v>
      </c>
      <c r="E126" s="39" t="s">
        <v>616</v>
      </c>
      <c r="F126" s="39">
        <v>4.47</v>
      </c>
      <c r="G126" s="39" t="s">
        <v>246</v>
      </c>
      <c r="H126" s="31">
        <v>5.9500000000000004E-2</v>
      </c>
      <c r="I126" s="31">
        <v>5.9400000000000001E-2</v>
      </c>
      <c r="J126" s="131">
        <v>4600000</v>
      </c>
      <c r="K126" s="39">
        <v>104.0675</v>
      </c>
      <c r="L126" s="104">
        <v>4787.1095300000006</v>
      </c>
      <c r="M126" s="31" t="s">
        <v>240</v>
      </c>
      <c r="N126" s="38">
        <v>2.2493788803867225E-3</v>
      </c>
      <c r="O126" s="38">
        <v>2.0005004260759884E-3</v>
      </c>
    </row>
    <row r="127" spans="1:15" x14ac:dyDescent="0.2">
      <c r="A127" s="30" t="s">
        <v>617</v>
      </c>
      <c r="B127" s="46" t="s">
        <v>618</v>
      </c>
      <c r="C127" s="39" t="s">
        <v>331</v>
      </c>
      <c r="D127" s="39" t="s">
        <v>332</v>
      </c>
      <c r="E127" s="39" t="s">
        <v>619</v>
      </c>
      <c r="F127" s="39">
        <v>4.5599999999999996</v>
      </c>
      <c r="G127" s="39" t="s">
        <v>246</v>
      </c>
      <c r="H127" s="31">
        <v>5.9500000000000004E-2</v>
      </c>
      <c r="I127" s="31">
        <v>5.9400000000000001E-2</v>
      </c>
      <c r="J127" s="131">
        <v>12880000</v>
      </c>
      <c r="K127" s="39">
        <v>103.46810000000001</v>
      </c>
      <c r="L127" s="104">
        <v>13326.69544</v>
      </c>
      <c r="M127" s="31" t="s">
        <v>240</v>
      </c>
      <c r="N127" s="38">
        <v>6.261980654552109E-3</v>
      </c>
      <c r="O127" s="38">
        <v>5.5691351407004307E-3</v>
      </c>
    </row>
    <row r="128" spans="1:15" x14ac:dyDescent="0.2">
      <c r="A128" s="30" t="s">
        <v>620</v>
      </c>
      <c r="B128" s="46" t="s">
        <v>621</v>
      </c>
      <c r="C128" s="39" t="s">
        <v>331</v>
      </c>
      <c r="D128" s="39" t="s">
        <v>332</v>
      </c>
      <c r="E128" s="39" t="s">
        <v>622</v>
      </c>
      <c r="F128" s="39">
        <v>4.7300000000000004</v>
      </c>
      <c r="G128" s="39" t="s">
        <v>246</v>
      </c>
      <c r="H128" s="31">
        <v>5.9500000000000004E-2</v>
      </c>
      <c r="I128" s="31">
        <v>5.9400000000000001E-2</v>
      </c>
      <c r="J128" s="131">
        <v>3496000</v>
      </c>
      <c r="K128" s="39">
        <v>102.47369999999999</v>
      </c>
      <c r="L128" s="104">
        <v>3582.4823199999996</v>
      </c>
      <c r="M128" s="31" t="s">
        <v>240</v>
      </c>
      <c r="N128" s="38">
        <v>1.6833456639056318E-3</v>
      </c>
      <c r="O128" s="38">
        <v>1.49709493017798E-3</v>
      </c>
    </row>
    <row r="129" spans="1:15" x14ac:dyDescent="0.2">
      <c r="A129" s="30" t="s">
        <v>623</v>
      </c>
      <c r="B129" s="46" t="s">
        <v>624</v>
      </c>
      <c r="C129" s="39" t="s">
        <v>331</v>
      </c>
      <c r="D129" s="39" t="s">
        <v>332</v>
      </c>
      <c r="E129" s="39" t="s">
        <v>625</v>
      </c>
      <c r="F129" s="39">
        <v>4.8099999999999996</v>
      </c>
      <c r="G129" s="39" t="s">
        <v>246</v>
      </c>
      <c r="H129" s="31">
        <v>5.9500000000000004E-2</v>
      </c>
      <c r="I129" s="31">
        <v>5.9400000000000001E-2</v>
      </c>
      <c r="J129" s="131">
        <v>1104000</v>
      </c>
      <c r="K129" s="39">
        <v>101.9847</v>
      </c>
      <c r="L129" s="104">
        <v>1125.91121</v>
      </c>
      <c r="M129" s="31" t="s">
        <v>240</v>
      </c>
      <c r="N129" s="38">
        <v>5.290459474748345E-4</v>
      </c>
      <c r="O129" s="38">
        <v>4.7051061631521332E-4</v>
      </c>
    </row>
    <row r="130" spans="1:15" x14ac:dyDescent="0.2">
      <c r="A130" s="30" t="s">
        <v>626</v>
      </c>
      <c r="B130" s="46" t="s">
        <v>627</v>
      </c>
      <c r="C130" s="39" t="s">
        <v>331</v>
      </c>
      <c r="D130" s="39" t="s">
        <v>332</v>
      </c>
      <c r="E130" s="39" t="s">
        <v>628</v>
      </c>
      <c r="F130" s="39">
        <v>4.8899999999999997</v>
      </c>
      <c r="G130" s="39" t="s">
        <v>246</v>
      </c>
      <c r="H130" s="31">
        <v>5.9500000000000004E-2</v>
      </c>
      <c r="I130" s="31">
        <v>5.9400000000000001E-2</v>
      </c>
      <c r="J130" s="131">
        <v>47288000</v>
      </c>
      <c r="K130" s="39">
        <v>101.4875</v>
      </c>
      <c r="L130" s="104">
        <v>47991.409</v>
      </c>
      <c r="M130" s="31" t="s">
        <v>240</v>
      </c>
      <c r="N130" s="38">
        <v>2.255032210315883E-2</v>
      </c>
      <c r="O130" s="38">
        <v>2.0055282535490056E-2</v>
      </c>
    </row>
    <row r="131" spans="1:15" x14ac:dyDescent="0.2">
      <c r="A131" s="30" t="s">
        <v>629</v>
      </c>
      <c r="B131" s="46" t="s">
        <v>630</v>
      </c>
      <c r="C131" s="39" t="s">
        <v>331</v>
      </c>
      <c r="D131" s="39" t="s">
        <v>332</v>
      </c>
      <c r="E131" s="39" t="s">
        <v>631</v>
      </c>
      <c r="F131" s="39">
        <v>4.9800000000000004</v>
      </c>
      <c r="G131" s="39" t="s">
        <v>246</v>
      </c>
      <c r="H131" s="31">
        <v>5.9500000000000004E-2</v>
      </c>
      <c r="I131" s="31">
        <v>5.9400000000000001E-2</v>
      </c>
      <c r="J131" s="131">
        <v>36156000</v>
      </c>
      <c r="K131" s="39">
        <v>101.46429999999999</v>
      </c>
      <c r="L131" s="104">
        <v>36685.450270000001</v>
      </c>
      <c r="M131" s="31" t="s">
        <v>240</v>
      </c>
      <c r="N131" s="38">
        <v>1.7237850217898688E-2</v>
      </c>
      <c r="O131" s="38">
        <v>1.5330599485139516E-2</v>
      </c>
    </row>
    <row r="132" spans="1:15" x14ac:dyDescent="0.2">
      <c r="A132" s="30" t="s">
        <v>632</v>
      </c>
      <c r="B132" s="46" t="s">
        <v>633</v>
      </c>
      <c r="C132" s="39" t="s">
        <v>331</v>
      </c>
      <c r="D132" s="39" t="s">
        <v>332</v>
      </c>
      <c r="E132" s="39" t="s">
        <v>634</v>
      </c>
      <c r="F132" s="39">
        <v>5.05</v>
      </c>
      <c r="G132" s="39" t="s">
        <v>246</v>
      </c>
      <c r="H132" s="31">
        <v>5.9500000000000004E-2</v>
      </c>
      <c r="I132" s="31">
        <v>5.9400000000000001E-2</v>
      </c>
      <c r="J132" s="131">
        <v>31464000</v>
      </c>
      <c r="K132" s="39">
        <v>101.1896</v>
      </c>
      <c r="L132" s="104">
        <v>31838.296469999997</v>
      </c>
      <c r="M132" s="31" t="s">
        <v>240</v>
      </c>
      <c r="N132" s="38">
        <v>1.4960257587235347E-2</v>
      </c>
      <c r="O132" s="38">
        <v>1.330500696811268E-2</v>
      </c>
    </row>
    <row r="133" spans="1:15" x14ac:dyDescent="0.2">
      <c r="A133" s="30" t="s">
        <v>635</v>
      </c>
      <c r="B133" s="46" t="s">
        <v>636</v>
      </c>
      <c r="C133" s="39" t="s">
        <v>331</v>
      </c>
      <c r="D133" s="39" t="s">
        <v>332</v>
      </c>
      <c r="E133" s="39" t="s">
        <v>637</v>
      </c>
      <c r="F133" s="39">
        <v>5.14</v>
      </c>
      <c r="G133" s="39" t="s">
        <v>246</v>
      </c>
      <c r="H133" s="31">
        <v>5.9500000000000004E-2</v>
      </c>
      <c r="I133" s="31">
        <v>5.9500000000000004E-2</v>
      </c>
      <c r="J133" s="131">
        <v>9752000</v>
      </c>
      <c r="K133" s="39">
        <v>100.3854</v>
      </c>
      <c r="L133" s="104">
        <v>9789.5932799999991</v>
      </c>
      <c r="M133" s="31" t="s">
        <v>240</v>
      </c>
      <c r="N133" s="38">
        <v>4.5999583326032187E-3</v>
      </c>
      <c r="O133" s="38">
        <v>4.0910042699086992E-3</v>
      </c>
    </row>
    <row r="134" spans="1:15" x14ac:dyDescent="0.2">
      <c r="A134" s="30" t="s">
        <v>638</v>
      </c>
      <c r="B134" s="46" t="s">
        <v>639</v>
      </c>
      <c r="C134" s="39" t="s">
        <v>331</v>
      </c>
      <c r="D134" s="39" t="s">
        <v>332</v>
      </c>
      <c r="E134" s="39" t="s">
        <v>640</v>
      </c>
      <c r="F134" s="39">
        <v>4.54</v>
      </c>
      <c r="G134" s="39" t="s">
        <v>246</v>
      </c>
      <c r="H134" s="31">
        <v>5.9500000000000004E-2</v>
      </c>
      <c r="I134" s="31">
        <v>5.9400000000000001E-2</v>
      </c>
      <c r="J134" s="131">
        <v>12000000</v>
      </c>
      <c r="K134" s="39">
        <v>105.7758</v>
      </c>
      <c r="L134" s="104">
        <v>12693.1042</v>
      </c>
      <c r="M134" s="31" t="s">
        <v>240</v>
      </c>
      <c r="N134" s="38">
        <v>5.9642672337242306E-3</v>
      </c>
      <c r="O134" s="38">
        <v>5.3043616823881014E-3</v>
      </c>
    </row>
    <row r="135" spans="1:15" x14ac:dyDescent="0.2">
      <c r="A135" s="30" t="s">
        <v>641</v>
      </c>
      <c r="B135" s="46" t="s">
        <v>642</v>
      </c>
      <c r="C135" s="39" t="s">
        <v>331</v>
      </c>
      <c r="D135" s="39" t="s">
        <v>332</v>
      </c>
      <c r="E135" s="39" t="s">
        <v>643</v>
      </c>
      <c r="F135" s="39">
        <v>4.63</v>
      </c>
      <c r="G135" s="39" t="s">
        <v>246</v>
      </c>
      <c r="H135" s="31">
        <v>5.9500000000000004E-2</v>
      </c>
      <c r="I135" s="31">
        <v>5.9400000000000001E-2</v>
      </c>
      <c r="J135" s="131">
        <v>5200000</v>
      </c>
      <c r="K135" s="39">
        <v>105.18220000000001</v>
      </c>
      <c r="L135" s="104">
        <v>5469.47613</v>
      </c>
      <c r="M135" s="31" t="s">
        <v>240</v>
      </c>
      <c r="N135" s="38">
        <v>2.5700109881549552E-3</v>
      </c>
      <c r="O135" s="38">
        <v>2.2856567747004206E-3</v>
      </c>
    </row>
    <row r="136" spans="1:15" x14ac:dyDescent="0.2">
      <c r="A136" s="30" t="s">
        <v>644</v>
      </c>
      <c r="B136" s="46" t="s">
        <v>645</v>
      </c>
      <c r="C136" s="39" t="s">
        <v>331</v>
      </c>
      <c r="D136" s="39" t="s">
        <v>332</v>
      </c>
      <c r="E136" s="39" t="s">
        <v>646</v>
      </c>
      <c r="F136" s="39">
        <v>4.71</v>
      </c>
      <c r="G136" s="39" t="s">
        <v>246</v>
      </c>
      <c r="H136" s="31">
        <v>5.9500000000000004E-2</v>
      </c>
      <c r="I136" s="31">
        <v>5.9400000000000001E-2</v>
      </c>
      <c r="J136" s="131">
        <v>7100000</v>
      </c>
      <c r="K136" s="39">
        <v>104.47880000000001</v>
      </c>
      <c r="L136" s="104">
        <v>7417.9959500000004</v>
      </c>
      <c r="M136" s="31" t="s">
        <v>240</v>
      </c>
      <c r="N136" s="38">
        <v>3.4855863063413639E-3</v>
      </c>
      <c r="O136" s="38">
        <v>3.0999299192147277E-3</v>
      </c>
    </row>
    <row r="137" spans="1:15" x14ac:dyDescent="0.2">
      <c r="A137" s="30" t="s">
        <v>647</v>
      </c>
      <c r="B137" s="46" t="s">
        <v>648</v>
      </c>
      <c r="C137" s="39" t="s">
        <v>331</v>
      </c>
      <c r="D137" s="39" t="s">
        <v>332</v>
      </c>
      <c r="E137" s="39" t="s">
        <v>649</v>
      </c>
      <c r="F137" s="39">
        <v>4.8</v>
      </c>
      <c r="G137" s="39" t="s">
        <v>246</v>
      </c>
      <c r="H137" s="31">
        <v>5.9500000000000004E-2</v>
      </c>
      <c r="I137" s="31">
        <v>5.9400000000000001E-2</v>
      </c>
      <c r="J137" s="131">
        <v>9300000</v>
      </c>
      <c r="K137" s="39">
        <v>103.9734</v>
      </c>
      <c r="L137" s="104">
        <v>9669.5330999999987</v>
      </c>
      <c r="M137" s="31" t="s">
        <v>240</v>
      </c>
      <c r="N137" s="38">
        <v>4.543544157917012E-3</v>
      </c>
      <c r="O137" s="38">
        <v>4.0408319394576011E-3</v>
      </c>
    </row>
    <row r="138" spans="1:15" x14ac:dyDescent="0.2">
      <c r="A138" s="30" t="s">
        <v>650</v>
      </c>
      <c r="B138" s="46" t="s">
        <v>651</v>
      </c>
      <c r="C138" s="39" t="s">
        <v>331</v>
      </c>
      <c r="D138" s="39" t="s">
        <v>332</v>
      </c>
      <c r="E138" s="39" t="s">
        <v>652</v>
      </c>
      <c r="F138" s="39">
        <v>4.88</v>
      </c>
      <c r="G138" s="39" t="s">
        <v>246</v>
      </c>
      <c r="H138" s="31">
        <v>5.9500000000000004E-2</v>
      </c>
      <c r="I138" s="31">
        <v>5.9400000000000001E-2</v>
      </c>
      <c r="J138" s="131">
        <v>6800000</v>
      </c>
      <c r="K138" s="39">
        <v>103.46810000000001</v>
      </c>
      <c r="L138" s="104">
        <v>7035.8329999999996</v>
      </c>
      <c r="M138" s="31" t="s">
        <v>240</v>
      </c>
      <c r="N138" s="38">
        <v>3.3060146330363897E-3</v>
      </c>
      <c r="O138" s="38">
        <v>2.9402266286352331E-3</v>
      </c>
    </row>
    <row r="139" spans="1:15" x14ac:dyDescent="0.2">
      <c r="A139" s="30" t="s">
        <v>653</v>
      </c>
      <c r="B139" s="46" t="s">
        <v>654</v>
      </c>
      <c r="C139" s="39" t="s">
        <v>331</v>
      </c>
      <c r="D139" s="39" t="s">
        <v>332</v>
      </c>
      <c r="E139" s="39" t="s">
        <v>655</v>
      </c>
      <c r="F139" s="39">
        <v>4.96</v>
      </c>
      <c r="G139" s="39" t="s">
        <v>246</v>
      </c>
      <c r="H139" s="31">
        <v>5.9500000000000004E-2</v>
      </c>
      <c r="I139" s="31">
        <v>5.9400000000000001E-2</v>
      </c>
      <c r="J139" s="131">
        <v>8800000</v>
      </c>
      <c r="K139" s="39">
        <v>103.1733</v>
      </c>
      <c r="L139" s="104">
        <v>9079.2578000000012</v>
      </c>
      <c r="M139" s="31" t="s">
        <v>240</v>
      </c>
      <c r="N139" s="38">
        <v>4.2661841382406005E-3</v>
      </c>
      <c r="O139" s="38">
        <v>3.7941599170708217E-3</v>
      </c>
    </row>
    <row r="140" spans="1:15" x14ac:dyDescent="0.2">
      <c r="A140" s="30" t="s">
        <v>656</v>
      </c>
      <c r="B140" s="46" t="s">
        <v>657</v>
      </c>
      <c r="C140" s="39" t="s">
        <v>331</v>
      </c>
      <c r="D140" s="39" t="s">
        <v>332</v>
      </c>
      <c r="E140" s="39" t="s">
        <v>658</v>
      </c>
      <c r="F140" s="39">
        <v>5.05</v>
      </c>
      <c r="G140" s="39" t="s">
        <v>246</v>
      </c>
      <c r="H140" s="31">
        <v>5.9500000000000004E-2</v>
      </c>
      <c r="I140" s="31">
        <v>5.9400000000000001E-2</v>
      </c>
      <c r="J140" s="131">
        <v>13300000</v>
      </c>
      <c r="K140" s="39">
        <v>102.47369999999999</v>
      </c>
      <c r="L140" s="104">
        <v>13629.00884</v>
      </c>
      <c r="M140" s="31" t="s">
        <v>240</v>
      </c>
      <c r="N140" s="38">
        <v>6.4040324235697908E-3</v>
      </c>
      <c r="O140" s="38">
        <v>5.6954698488825692E-3</v>
      </c>
    </row>
    <row r="141" spans="1:15" x14ac:dyDescent="0.2">
      <c r="A141" s="30" t="s">
        <v>659</v>
      </c>
      <c r="B141" s="46" t="s">
        <v>660</v>
      </c>
      <c r="C141" s="39" t="s">
        <v>331</v>
      </c>
      <c r="D141" s="39" t="s">
        <v>332</v>
      </c>
      <c r="E141" s="39" t="s">
        <v>661</v>
      </c>
      <c r="F141" s="39">
        <v>5.13</v>
      </c>
      <c r="G141" s="39" t="s">
        <v>246</v>
      </c>
      <c r="H141" s="31">
        <v>5.9500000000000004E-2</v>
      </c>
      <c r="I141" s="31">
        <v>5.9400000000000001E-2</v>
      </c>
      <c r="J141" s="131">
        <v>5500000</v>
      </c>
      <c r="K141" s="39">
        <v>102.077</v>
      </c>
      <c r="L141" s="104">
        <v>5614.23693</v>
      </c>
      <c r="M141" s="31" t="s">
        <v>240</v>
      </c>
      <c r="N141" s="38">
        <v>2.6380315513334805E-3</v>
      </c>
      <c r="O141" s="38">
        <v>2.3461513257994216E-3</v>
      </c>
    </row>
    <row r="142" spans="1:15" x14ac:dyDescent="0.2">
      <c r="A142" s="30" t="s">
        <v>662</v>
      </c>
      <c r="B142" s="46" t="s">
        <v>663</v>
      </c>
      <c r="C142" s="39" t="s">
        <v>331</v>
      </c>
      <c r="D142" s="39" t="s">
        <v>332</v>
      </c>
      <c r="E142" s="39" t="s">
        <v>664</v>
      </c>
      <c r="F142" s="39">
        <v>5.22</v>
      </c>
      <c r="G142" s="39" t="s">
        <v>246</v>
      </c>
      <c r="H142" s="31">
        <v>5.9500000000000004E-2</v>
      </c>
      <c r="I142" s="31">
        <v>5.9400000000000001E-2</v>
      </c>
      <c r="J142" s="131">
        <v>36600000</v>
      </c>
      <c r="K142" s="39">
        <v>101.5712</v>
      </c>
      <c r="L142" s="104">
        <v>37175.07314</v>
      </c>
      <c r="M142" s="31" t="s">
        <v>240</v>
      </c>
      <c r="N142" s="38">
        <v>1.7467915424518754E-2</v>
      </c>
      <c r="O142" s="38">
        <v>1.5535209543445732E-2</v>
      </c>
    </row>
    <row r="143" spans="1:15" x14ac:dyDescent="0.2">
      <c r="A143" s="30" t="s">
        <v>665</v>
      </c>
      <c r="B143" s="46" t="s">
        <v>666</v>
      </c>
      <c r="C143" s="39" t="s">
        <v>331</v>
      </c>
      <c r="D143" s="39" t="s">
        <v>332</v>
      </c>
      <c r="E143" s="39" t="s">
        <v>667</v>
      </c>
      <c r="F143" s="39">
        <v>5.3</v>
      </c>
      <c r="G143" s="39" t="s">
        <v>246</v>
      </c>
      <c r="H143" s="31">
        <v>5.9500000000000004E-2</v>
      </c>
      <c r="I143" s="31">
        <v>5.9400000000000001E-2</v>
      </c>
      <c r="J143" s="131">
        <v>42100000</v>
      </c>
      <c r="K143" s="39">
        <v>101.9817</v>
      </c>
      <c r="L143" s="104">
        <v>42934.324789999999</v>
      </c>
      <c r="M143" s="31" t="s">
        <v>240</v>
      </c>
      <c r="N143" s="38">
        <v>2.0174086851589147E-2</v>
      </c>
      <c r="O143" s="38">
        <v>1.7941961531780504E-2</v>
      </c>
    </row>
    <row r="144" spans="1:15" x14ac:dyDescent="0.2">
      <c r="A144" s="30" t="s">
        <v>668</v>
      </c>
      <c r="B144" s="46" t="s">
        <v>669</v>
      </c>
      <c r="C144" s="39" t="s">
        <v>331</v>
      </c>
      <c r="D144" s="39" t="s">
        <v>332</v>
      </c>
      <c r="E144" s="39" t="s">
        <v>670</v>
      </c>
      <c r="F144" s="39">
        <v>5.37</v>
      </c>
      <c r="G144" s="39" t="s">
        <v>246</v>
      </c>
      <c r="H144" s="31">
        <v>5.9500000000000004E-2</v>
      </c>
      <c r="I144" s="31">
        <v>5.9400000000000001E-2</v>
      </c>
      <c r="J144" s="131">
        <v>39900000</v>
      </c>
      <c r="K144" s="39">
        <v>102.26</v>
      </c>
      <c r="L144" s="104">
        <v>40801.765829999997</v>
      </c>
      <c r="M144" s="31" t="s">
        <v>240</v>
      </c>
      <c r="N144" s="38">
        <v>1.9172034766559147E-2</v>
      </c>
      <c r="O144" s="38">
        <v>1.7050779685746541E-2</v>
      </c>
    </row>
    <row r="145" spans="1:15" x14ac:dyDescent="0.2">
      <c r="A145" s="30" t="s">
        <v>671</v>
      </c>
      <c r="B145" s="46" t="s">
        <v>672</v>
      </c>
      <c r="C145" s="39" t="s">
        <v>331</v>
      </c>
      <c r="D145" s="39" t="s">
        <v>332</v>
      </c>
      <c r="E145" s="39" t="s">
        <v>673</v>
      </c>
      <c r="F145" s="39">
        <v>5.46</v>
      </c>
      <c r="G145" s="39" t="s">
        <v>246</v>
      </c>
      <c r="H145" s="31">
        <v>5.9500000000000004E-2</v>
      </c>
      <c r="I145" s="31">
        <v>5.9500000000000004E-2</v>
      </c>
      <c r="J145" s="131">
        <v>13600000</v>
      </c>
      <c r="K145" s="39">
        <v>101.4055</v>
      </c>
      <c r="L145" s="104">
        <v>13791.148660000001</v>
      </c>
      <c r="M145" s="31" t="s">
        <v>240</v>
      </c>
      <c r="N145" s="38">
        <v>6.4802190837019869E-3</v>
      </c>
      <c r="O145" s="38">
        <v>5.7632269739203755E-3</v>
      </c>
    </row>
    <row r="146" spans="1:15" x14ac:dyDescent="0.2">
      <c r="A146" s="30" t="s">
        <v>674</v>
      </c>
      <c r="B146" s="46" t="s">
        <v>675</v>
      </c>
      <c r="C146" s="39" t="s">
        <v>331</v>
      </c>
      <c r="D146" s="39" t="s">
        <v>332</v>
      </c>
      <c r="E146" s="39" t="s">
        <v>676</v>
      </c>
      <c r="F146" s="39">
        <v>5.24</v>
      </c>
      <c r="G146" s="39" t="s">
        <v>246</v>
      </c>
      <c r="H146" s="31">
        <v>5.9500000000000004E-2</v>
      </c>
      <c r="I146" s="31">
        <v>5.9400000000000001E-2</v>
      </c>
      <c r="J146" s="131">
        <v>6200000</v>
      </c>
      <c r="K146" s="39">
        <v>106.31</v>
      </c>
      <c r="L146" s="104">
        <v>6591.2224800000004</v>
      </c>
      <c r="M146" s="31" t="s">
        <v>240</v>
      </c>
      <c r="N146" s="38">
        <v>3.0970999408994507E-3</v>
      </c>
      <c r="O146" s="38">
        <v>2.754426924424608E-3</v>
      </c>
    </row>
    <row r="147" spans="1:15" x14ac:dyDescent="0.2">
      <c r="A147" s="30" t="s">
        <v>677</v>
      </c>
      <c r="B147" s="46" t="s">
        <v>678</v>
      </c>
      <c r="C147" s="39" t="s">
        <v>331</v>
      </c>
      <c r="D147" s="39" t="s">
        <v>332</v>
      </c>
      <c r="E147" s="39" t="s">
        <v>679</v>
      </c>
      <c r="F147" s="39">
        <v>5.32</v>
      </c>
      <c r="G147" s="39" t="s">
        <v>246</v>
      </c>
      <c r="H147" s="31">
        <v>5.9500000000000004E-2</v>
      </c>
      <c r="I147" s="31">
        <v>5.9400000000000001E-2</v>
      </c>
      <c r="J147" s="131">
        <v>2100000</v>
      </c>
      <c r="K147" s="39">
        <v>105.5882</v>
      </c>
      <c r="L147" s="104">
        <v>2217.3527599999998</v>
      </c>
      <c r="M147" s="31" t="s">
        <v>240</v>
      </c>
      <c r="N147" s="38">
        <v>1.0418952057508507E-3</v>
      </c>
      <c r="O147" s="38">
        <v>9.266165967881598E-4</v>
      </c>
    </row>
    <row r="148" spans="1:15" x14ac:dyDescent="0.2">
      <c r="A148" s="30" t="s">
        <v>680</v>
      </c>
      <c r="B148" s="46" t="s">
        <v>681</v>
      </c>
      <c r="C148" s="39" t="s">
        <v>331</v>
      </c>
      <c r="D148" s="39" t="s">
        <v>332</v>
      </c>
      <c r="E148" s="39" t="s">
        <v>682</v>
      </c>
      <c r="F148" s="39">
        <v>5.41</v>
      </c>
      <c r="G148" s="39" t="s">
        <v>246</v>
      </c>
      <c r="H148" s="31">
        <v>5.9500000000000004E-2</v>
      </c>
      <c r="I148" s="31">
        <v>5.9400000000000001E-2</v>
      </c>
      <c r="J148" s="131">
        <v>5600000</v>
      </c>
      <c r="K148" s="39">
        <v>104.7807</v>
      </c>
      <c r="L148" s="104">
        <v>5867.7192000000005</v>
      </c>
      <c r="M148" s="31" t="s">
        <v>240</v>
      </c>
      <c r="N148" s="38">
        <v>2.757138428065103E-3</v>
      </c>
      <c r="O148" s="38">
        <v>2.4520798377667902E-3</v>
      </c>
    </row>
    <row r="149" spans="1:15" x14ac:dyDescent="0.2">
      <c r="A149" s="30" t="s">
        <v>683</v>
      </c>
      <c r="B149" s="46" t="s">
        <v>684</v>
      </c>
      <c r="C149" s="39" t="s">
        <v>331</v>
      </c>
      <c r="D149" s="39" t="s">
        <v>332</v>
      </c>
      <c r="E149" s="39" t="s">
        <v>685</v>
      </c>
      <c r="F149" s="39">
        <v>5.49</v>
      </c>
      <c r="G149" s="39" t="s">
        <v>246</v>
      </c>
      <c r="H149" s="31">
        <v>5.9500000000000004E-2</v>
      </c>
      <c r="I149" s="31">
        <v>5.9400000000000001E-2</v>
      </c>
      <c r="J149" s="131">
        <v>4500000</v>
      </c>
      <c r="K149" s="39">
        <v>104.0818</v>
      </c>
      <c r="L149" s="104">
        <v>4683.6838899999993</v>
      </c>
      <c r="M149" s="31" t="s">
        <v>240</v>
      </c>
      <c r="N149" s="38">
        <v>2.2007809845482119E-3</v>
      </c>
      <c r="O149" s="38">
        <v>1.9572795564488034E-3</v>
      </c>
    </row>
    <row r="150" spans="1:15" x14ac:dyDescent="0.2">
      <c r="A150" s="30" t="s">
        <v>686</v>
      </c>
      <c r="B150" s="46" t="s">
        <v>687</v>
      </c>
      <c r="C150" s="39" t="s">
        <v>331</v>
      </c>
      <c r="D150" s="39" t="s">
        <v>332</v>
      </c>
      <c r="E150" s="39" t="s">
        <v>688</v>
      </c>
      <c r="F150" s="39">
        <v>5.58</v>
      </c>
      <c r="G150" s="39" t="s">
        <v>246</v>
      </c>
      <c r="H150" s="31">
        <v>5.9500000000000004E-2</v>
      </c>
      <c r="I150" s="31">
        <v>5.9400000000000001E-2</v>
      </c>
      <c r="J150" s="131">
        <v>13700000</v>
      </c>
      <c r="K150" s="39">
        <v>103.76700000000001</v>
      </c>
      <c r="L150" s="104">
        <v>14216.092140000001</v>
      </c>
      <c r="M150" s="31" t="s">
        <v>240</v>
      </c>
      <c r="N150" s="38">
        <v>6.6798925783817789E-3</v>
      </c>
      <c r="O150" s="38">
        <v>5.9408079562377394E-3</v>
      </c>
    </row>
    <row r="151" spans="1:15" x14ac:dyDescent="0.2">
      <c r="A151" s="30" t="s">
        <v>689</v>
      </c>
      <c r="B151" s="46" t="s">
        <v>690</v>
      </c>
      <c r="C151" s="39" t="s">
        <v>331</v>
      </c>
      <c r="D151" s="39" t="s">
        <v>332</v>
      </c>
      <c r="E151" s="39" t="s">
        <v>691</v>
      </c>
      <c r="F151" s="39">
        <v>5.66</v>
      </c>
      <c r="G151" s="39" t="s">
        <v>246</v>
      </c>
      <c r="H151" s="31">
        <v>5.9500000000000004E-2</v>
      </c>
      <c r="I151" s="31">
        <v>5.9400000000000001E-2</v>
      </c>
      <c r="J151" s="131">
        <v>1300000</v>
      </c>
      <c r="K151" s="39">
        <v>103.69179999999999</v>
      </c>
      <c r="L151" s="104">
        <v>1347.99398</v>
      </c>
      <c r="M151" s="31" t="s">
        <v>240</v>
      </c>
      <c r="N151" s="38">
        <v>6.3339874939114709E-4</v>
      </c>
      <c r="O151" s="38">
        <v>5.6331749136683462E-4</v>
      </c>
    </row>
    <row r="152" spans="1:15" x14ac:dyDescent="0.2">
      <c r="A152" s="30" t="s">
        <v>692</v>
      </c>
      <c r="B152" s="46" t="s">
        <v>693</v>
      </c>
      <c r="C152" s="39" t="s">
        <v>331</v>
      </c>
      <c r="D152" s="39" t="s">
        <v>332</v>
      </c>
      <c r="E152" s="39" t="s">
        <v>694</v>
      </c>
      <c r="F152" s="39">
        <v>5.82</v>
      </c>
      <c r="G152" s="39" t="s">
        <v>246</v>
      </c>
      <c r="H152" s="31">
        <v>5.9500000000000004E-2</v>
      </c>
      <c r="I152" s="31">
        <v>5.9400000000000001E-2</v>
      </c>
      <c r="J152" s="131">
        <v>7200000</v>
      </c>
      <c r="K152" s="39">
        <v>103.00109999999999</v>
      </c>
      <c r="L152" s="104">
        <v>7416.08133</v>
      </c>
      <c r="M152" s="31" t="s">
        <v>240</v>
      </c>
      <c r="N152" s="38">
        <v>3.4846866599545457E-3</v>
      </c>
      <c r="O152" s="38">
        <v>3.0991298125738059E-3</v>
      </c>
    </row>
    <row r="153" spans="1:15" x14ac:dyDescent="0.2">
      <c r="A153" s="30" t="s">
        <v>695</v>
      </c>
      <c r="B153" s="46" t="s">
        <v>696</v>
      </c>
      <c r="C153" s="39" t="s">
        <v>331</v>
      </c>
      <c r="D153" s="39" t="s">
        <v>332</v>
      </c>
      <c r="E153" s="39" t="s">
        <v>697</v>
      </c>
      <c r="F153" s="39">
        <v>5.91</v>
      </c>
      <c r="G153" s="39" t="s">
        <v>246</v>
      </c>
      <c r="H153" s="31">
        <v>5.9500000000000004E-2</v>
      </c>
      <c r="I153" s="31">
        <v>5.9400000000000001E-2</v>
      </c>
      <c r="J153" s="131">
        <v>53000000</v>
      </c>
      <c r="K153" s="39">
        <v>102.5941</v>
      </c>
      <c r="L153" s="104">
        <v>54374.903119999995</v>
      </c>
      <c r="M153" s="31" t="s">
        <v>240</v>
      </c>
      <c r="N153" s="38">
        <v>2.5549814127858925E-2</v>
      </c>
      <c r="O153" s="38">
        <v>2.2722901194909689E-2</v>
      </c>
    </row>
    <row r="154" spans="1:15" x14ac:dyDescent="0.2">
      <c r="A154" s="30" t="s">
        <v>698</v>
      </c>
      <c r="B154" s="46" t="s">
        <v>699</v>
      </c>
      <c r="C154" s="39" t="s">
        <v>331</v>
      </c>
      <c r="D154" s="39" t="s">
        <v>332</v>
      </c>
      <c r="E154" s="39" t="s">
        <v>700</v>
      </c>
      <c r="F154" s="39">
        <v>5.99</v>
      </c>
      <c r="G154" s="39" t="s">
        <v>246</v>
      </c>
      <c r="H154" s="31">
        <v>5.9500000000000004E-2</v>
      </c>
      <c r="I154" s="31">
        <v>5.9400000000000001E-2</v>
      </c>
      <c r="J154" s="131">
        <v>38500000</v>
      </c>
      <c r="K154" s="39">
        <v>102.6023</v>
      </c>
      <c r="L154" s="104">
        <v>39501.89746</v>
      </c>
      <c r="M154" s="31" t="s">
        <v>240</v>
      </c>
      <c r="N154" s="38">
        <v>1.8561249397969368E-2</v>
      </c>
      <c r="O154" s="38">
        <v>1.6507573558597891E-2</v>
      </c>
    </row>
    <row r="155" spans="1:15" x14ac:dyDescent="0.2">
      <c r="A155" s="30" t="s">
        <v>701</v>
      </c>
      <c r="B155" s="46" t="s">
        <v>702</v>
      </c>
      <c r="C155" s="39" t="s">
        <v>331</v>
      </c>
      <c r="D155" s="39" t="s">
        <v>332</v>
      </c>
      <c r="E155" s="39" t="s">
        <v>703</v>
      </c>
      <c r="F155" s="39">
        <v>6.07</v>
      </c>
      <c r="G155" s="39" t="s">
        <v>246</v>
      </c>
      <c r="H155" s="31">
        <v>5.9500000000000004E-2</v>
      </c>
      <c r="I155" s="31">
        <v>5.9400000000000001E-2</v>
      </c>
      <c r="J155" s="131">
        <v>45500000</v>
      </c>
      <c r="K155" s="39">
        <v>102.4349</v>
      </c>
      <c r="L155" s="104">
        <v>46607.90079</v>
      </c>
      <c r="M155" s="31" t="s">
        <v>240</v>
      </c>
      <c r="N155" s="38">
        <v>2.1900235839430571E-2</v>
      </c>
      <c r="O155" s="38">
        <v>1.9477123889601575E-2</v>
      </c>
    </row>
    <row r="156" spans="1:15" x14ac:dyDescent="0.2">
      <c r="A156" s="30" t="s">
        <v>704</v>
      </c>
      <c r="B156" s="46" t="s">
        <v>705</v>
      </c>
      <c r="C156" s="39" t="s">
        <v>331</v>
      </c>
      <c r="D156" s="39" t="s">
        <v>332</v>
      </c>
      <c r="E156" s="39" t="s">
        <v>706</v>
      </c>
      <c r="F156" s="39">
        <v>6.16</v>
      </c>
      <c r="G156" s="39" t="s">
        <v>246</v>
      </c>
      <c r="H156" s="31">
        <v>5.9500000000000004E-2</v>
      </c>
      <c r="I156" s="31">
        <v>5.9500000000000004E-2</v>
      </c>
      <c r="J156" s="131">
        <v>2800000</v>
      </c>
      <c r="K156" s="39">
        <v>102.12910000000001</v>
      </c>
      <c r="L156" s="104">
        <v>2859.6148800000001</v>
      </c>
      <c r="M156" s="31" t="s">
        <v>240</v>
      </c>
      <c r="N156" s="38">
        <v>1.34368292114503E-3</v>
      </c>
      <c r="O156" s="38">
        <v>1.1950135567199431E-3</v>
      </c>
    </row>
    <row r="157" spans="1:15" x14ac:dyDescent="0.2">
      <c r="A157" s="30" t="s">
        <v>707</v>
      </c>
      <c r="B157" s="46" t="s">
        <v>708</v>
      </c>
      <c r="C157" s="39" t="s">
        <v>331</v>
      </c>
      <c r="D157" s="39" t="s">
        <v>332</v>
      </c>
      <c r="E157" s="39" t="s">
        <v>709</v>
      </c>
      <c r="F157" s="39">
        <v>5.89</v>
      </c>
      <c r="G157" s="39" t="s">
        <v>246</v>
      </c>
      <c r="H157" s="31">
        <v>5.9500000000000004E-2</v>
      </c>
      <c r="I157" s="31">
        <v>5.9400000000000001E-2</v>
      </c>
      <c r="J157" s="131">
        <v>11700000</v>
      </c>
      <c r="K157" s="39">
        <v>107.2814</v>
      </c>
      <c r="L157" s="104">
        <v>12551.926519999999</v>
      </c>
      <c r="M157" s="31" t="s">
        <v>240</v>
      </c>
      <c r="N157" s="38">
        <v>5.8979303158442683E-3</v>
      </c>
      <c r="O157" s="38">
        <v>5.2453644927014003E-3</v>
      </c>
    </row>
    <row r="158" spans="1:15" x14ac:dyDescent="0.2">
      <c r="A158" s="30" t="s">
        <v>710</v>
      </c>
      <c r="B158" s="46" t="s">
        <v>711</v>
      </c>
      <c r="C158" s="39" t="s">
        <v>331</v>
      </c>
      <c r="D158" s="39" t="s">
        <v>332</v>
      </c>
      <c r="E158" s="39" t="s">
        <v>712</v>
      </c>
      <c r="F158" s="39">
        <v>6.56</v>
      </c>
      <c r="G158" s="39" t="s">
        <v>246</v>
      </c>
      <c r="H158" s="31">
        <v>5.9500000000000004E-2</v>
      </c>
      <c r="I158" s="31">
        <v>5.9400000000000001E-2</v>
      </c>
      <c r="J158" s="131">
        <v>39100000</v>
      </c>
      <c r="K158" s="39">
        <v>102.8181</v>
      </c>
      <c r="L158" s="104">
        <v>40201.896999999997</v>
      </c>
      <c r="M158" s="31" t="s">
        <v>240</v>
      </c>
      <c r="N158" s="38">
        <v>1.8890166915249657E-2</v>
      </c>
      <c r="O158" s="38">
        <v>1.6800098592597477E-2</v>
      </c>
    </row>
    <row r="159" spans="1:15" x14ac:dyDescent="0.2">
      <c r="A159" s="30" t="s">
        <v>713</v>
      </c>
      <c r="B159" s="46" t="s">
        <v>714</v>
      </c>
      <c r="C159" s="39" t="s">
        <v>331</v>
      </c>
      <c r="D159" s="39" t="s">
        <v>332</v>
      </c>
      <c r="E159" s="39" t="s">
        <v>715</v>
      </c>
      <c r="F159" s="39">
        <v>6.65</v>
      </c>
      <c r="G159" s="39" t="s">
        <v>246</v>
      </c>
      <c r="H159" s="31">
        <v>5.9500000000000004E-2</v>
      </c>
      <c r="I159" s="31">
        <v>5.9400000000000001E-2</v>
      </c>
      <c r="J159" s="131">
        <v>41900000</v>
      </c>
      <c r="K159" s="39">
        <v>102.49610000000001</v>
      </c>
      <c r="L159" s="104">
        <v>42945.872299999995</v>
      </c>
      <c r="M159" s="31" t="s">
        <v>240</v>
      </c>
      <c r="N159" s="38">
        <v>2.0179512824183312E-2</v>
      </c>
      <c r="O159" s="38">
        <v>1.7946787157459287E-2</v>
      </c>
    </row>
    <row r="160" spans="1:15" x14ac:dyDescent="0.2">
      <c r="A160" s="30" t="s">
        <v>716</v>
      </c>
      <c r="B160" s="46" t="s">
        <v>717</v>
      </c>
      <c r="C160" s="39" t="s">
        <v>331</v>
      </c>
      <c r="D160" s="39" t="s">
        <v>332</v>
      </c>
      <c r="E160" s="39" t="s">
        <v>718</v>
      </c>
      <c r="F160" s="39">
        <v>6.73</v>
      </c>
      <c r="G160" s="39" t="s">
        <v>246</v>
      </c>
      <c r="H160" s="31">
        <v>5.9500000000000004E-2</v>
      </c>
      <c r="I160" s="31">
        <v>5.9400000000000001E-2</v>
      </c>
      <c r="J160" s="131">
        <v>43900000</v>
      </c>
      <c r="K160" s="39">
        <v>102.0175</v>
      </c>
      <c r="L160" s="104">
        <v>44785.711960000001</v>
      </c>
      <c r="M160" s="31" t="s">
        <v>240</v>
      </c>
      <c r="N160" s="38">
        <v>2.1044021239661724E-2</v>
      </c>
      <c r="O160" s="38">
        <v>1.8715643604272508E-2</v>
      </c>
    </row>
    <row r="161" spans="1:15" x14ac:dyDescent="0.2">
      <c r="A161" s="30" t="s">
        <v>719</v>
      </c>
      <c r="B161" s="46" t="s">
        <v>720</v>
      </c>
      <c r="C161" s="39" t="s">
        <v>331</v>
      </c>
      <c r="D161" s="39" t="s">
        <v>332</v>
      </c>
      <c r="E161" s="39" t="s">
        <v>721</v>
      </c>
      <c r="F161" s="39">
        <v>6.81</v>
      </c>
      <c r="G161" s="39" t="s">
        <v>246</v>
      </c>
      <c r="H161" s="31">
        <v>5.9500000000000004E-2</v>
      </c>
      <c r="I161" s="31">
        <v>5.9500000000000004E-2</v>
      </c>
      <c r="J161" s="131">
        <v>6200000</v>
      </c>
      <c r="K161" s="39">
        <v>101.2017</v>
      </c>
      <c r="L161" s="104">
        <v>6274.5104099999999</v>
      </c>
      <c r="M161" s="31" t="s">
        <v>240</v>
      </c>
      <c r="N161" s="38">
        <v>2.9482824891664083E-3</v>
      </c>
      <c r="O161" s="38">
        <v>2.622075110243659E-3</v>
      </c>
    </row>
    <row r="162" spans="1:15" x14ac:dyDescent="0.2">
      <c r="A162" s="30" t="s">
        <v>722</v>
      </c>
      <c r="B162" s="46" t="s">
        <v>723</v>
      </c>
      <c r="C162" s="39" t="s">
        <v>331</v>
      </c>
      <c r="D162" s="39" t="s">
        <v>332</v>
      </c>
      <c r="E162" s="39" t="s">
        <v>724</v>
      </c>
      <c r="F162" s="39">
        <v>6.51</v>
      </c>
      <c r="G162" s="39" t="s">
        <v>246</v>
      </c>
      <c r="H162" s="31">
        <v>5.9500000000000004E-2</v>
      </c>
      <c r="I162" s="31">
        <v>5.9400000000000001E-2</v>
      </c>
      <c r="J162" s="131">
        <v>800000</v>
      </c>
      <c r="K162" s="39">
        <v>106.52790000000002</v>
      </c>
      <c r="L162" s="104">
        <v>852.22357</v>
      </c>
      <c r="M162" s="31" t="s">
        <v>240</v>
      </c>
      <c r="N162" s="38">
        <v>4.0044492145258591E-4</v>
      </c>
      <c r="O162" s="38">
        <v>3.5613841801881638E-4</v>
      </c>
    </row>
    <row r="163" spans="1:15" x14ac:dyDescent="0.2">
      <c r="A163" s="30" t="s">
        <v>725</v>
      </c>
      <c r="B163" s="46" t="s">
        <v>726</v>
      </c>
      <c r="C163" s="39" t="s">
        <v>331</v>
      </c>
      <c r="D163" s="39" t="s">
        <v>332</v>
      </c>
      <c r="E163" s="39" t="s">
        <v>727</v>
      </c>
      <c r="F163" s="39">
        <v>6.59</v>
      </c>
      <c r="G163" s="39" t="s">
        <v>246</v>
      </c>
      <c r="H163" s="31">
        <v>5.9500000000000004E-2</v>
      </c>
      <c r="I163" s="31">
        <v>5.9400000000000001E-2</v>
      </c>
      <c r="J163" s="131">
        <v>4400000</v>
      </c>
      <c r="K163" s="39">
        <v>105.6127</v>
      </c>
      <c r="L163" s="104">
        <v>4646.9631200000003</v>
      </c>
      <c r="M163" s="31" t="s">
        <v>240</v>
      </c>
      <c r="N163" s="38">
        <v>2.1835265382081181E-3</v>
      </c>
      <c r="O163" s="38">
        <v>1.9419341970893661E-3</v>
      </c>
    </row>
    <row r="164" spans="1:15" x14ac:dyDescent="0.2">
      <c r="A164" s="30" t="s">
        <v>728</v>
      </c>
      <c r="B164" s="46" t="s">
        <v>729</v>
      </c>
      <c r="C164" s="39" t="s">
        <v>331</v>
      </c>
      <c r="D164" s="39" t="s">
        <v>332</v>
      </c>
      <c r="E164" s="39" t="s">
        <v>730</v>
      </c>
      <c r="F164" s="39">
        <v>6.68</v>
      </c>
      <c r="G164" s="39" t="s">
        <v>246</v>
      </c>
      <c r="H164" s="31">
        <v>5.9500000000000004E-2</v>
      </c>
      <c r="I164" s="31">
        <v>5.9400000000000001E-2</v>
      </c>
      <c r="J164" s="131">
        <v>4000000</v>
      </c>
      <c r="K164" s="39">
        <v>105.84010000000001</v>
      </c>
      <c r="L164" s="104">
        <v>4233.6065699999999</v>
      </c>
      <c r="M164" s="31" t="s">
        <v>240</v>
      </c>
      <c r="N164" s="38">
        <v>1.9892975388897094E-3</v>
      </c>
      <c r="O164" s="38">
        <v>1.7691953137999542E-3</v>
      </c>
    </row>
    <row r="165" spans="1:15" x14ac:dyDescent="0.2">
      <c r="A165" s="30" t="s">
        <v>731</v>
      </c>
      <c r="B165" s="46" t="s">
        <v>732</v>
      </c>
      <c r="C165" s="39" t="s">
        <v>331</v>
      </c>
      <c r="D165" s="39" t="s">
        <v>332</v>
      </c>
      <c r="E165" s="39" t="s">
        <v>733</v>
      </c>
      <c r="F165" s="39">
        <v>7.01</v>
      </c>
      <c r="G165" s="39" t="s">
        <v>246</v>
      </c>
      <c r="H165" s="31">
        <v>5.9500000000000004E-2</v>
      </c>
      <c r="I165" s="31">
        <v>5.9400000000000001E-2</v>
      </c>
      <c r="J165" s="131">
        <v>5200000</v>
      </c>
      <c r="K165" s="39">
        <v>103.18980000000001</v>
      </c>
      <c r="L165" s="104">
        <v>5365.87158</v>
      </c>
      <c r="M165" s="31" t="s">
        <v>240</v>
      </c>
      <c r="N165" s="38">
        <v>2.5213290256426058E-3</v>
      </c>
      <c r="O165" s="38">
        <v>2.2423611398043435E-3</v>
      </c>
    </row>
    <row r="166" spans="1:15" x14ac:dyDescent="0.2">
      <c r="A166" s="30" t="s">
        <v>734</v>
      </c>
      <c r="B166" s="46" t="s">
        <v>735</v>
      </c>
      <c r="C166" s="39" t="s">
        <v>331</v>
      </c>
      <c r="D166" s="39" t="s">
        <v>332</v>
      </c>
      <c r="E166" s="39" t="s">
        <v>736</v>
      </c>
      <c r="F166" s="39">
        <v>7.18</v>
      </c>
      <c r="G166" s="39" t="s">
        <v>246</v>
      </c>
      <c r="H166" s="31">
        <v>5.9500000000000004E-2</v>
      </c>
      <c r="I166" s="31">
        <v>5.9400000000000001E-2</v>
      </c>
      <c r="J166" s="131">
        <v>52500000</v>
      </c>
      <c r="K166" s="39">
        <v>102.392</v>
      </c>
      <c r="L166" s="104">
        <v>53755.845710000001</v>
      </c>
      <c r="M166" s="31" t="s">
        <v>240</v>
      </c>
      <c r="N166" s="38">
        <v>2.5258929899061908E-2</v>
      </c>
      <c r="O166" s="38">
        <v>2.2464201325038426E-2</v>
      </c>
    </row>
    <row r="167" spans="1:15" x14ac:dyDescent="0.2">
      <c r="A167" s="30" t="s">
        <v>737</v>
      </c>
      <c r="B167" s="46" t="s">
        <v>738</v>
      </c>
      <c r="C167" s="39" t="s">
        <v>331</v>
      </c>
      <c r="D167" s="39" t="s">
        <v>332</v>
      </c>
      <c r="E167" s="39" t="s">
        <v>739</v>
      </c>
      <c r="F167" s="39">
        <v>7.27</v>
      </c>
      <c r="G167" s="39" t="s">
        <v>246</v>
      </c>
      <c r="H167" s="31">
        <v>5.9500000000000004E-2</v>
      </c>
      <c r="I167" s="31">
        <v>5.9400000000000001E-2</v>
      </c>
      <c r="J167" s="131">
        <v>56400000</v>
      </c>
      <c r="K167" s="39">
        <v>102.3935</v>
      </c>
      <c r="L167" s="104">
        <v>57749.939350000001</v>
      </c>
      <c r="M167" s="31" t="s">
        <v>240</v>
      </c>
      <c r="N167" s="38">
        <v>2.7135684509291796E-2</v>
      </c>
      <c r="O167" s="38">
        <v>2.413330581879071E-2</v>
      </c>
    </row>
    <row r="168" spans="1:15" x14ac:dyDescent="0.2">
      <c r="A168" s="30" t="s">
        <v>740</v>
      </c>
      <c r="B168" s="46" t="s">
        <v>741</v>
      </c>
      <c r="C168" s="39" t="s">
        <v>331</v>
      </c>
      <c r="D168" s="39" t="s">
        <v>332</v>
      </c>
      <c r="E168" s="39" t="s">
        <v>742</v>
      </c>
      <c r="F168" s="39">
        <v>7.34</v>
      </c>
      <c r="G168" s="39" t="s">
        <v>246</v>
      </c>
      <c r="H168" s="31">
        <v>5.9500000000000004E-2</v>
      </c>
      <c r="I168" s="31">
        <v>5.9400000000000001E-2</v>
      </c>
      <c r="J168" s="131">
        <v>52100000</v>
      </c>
      <c r="K168" s="39">
        <v>101.8135</v>
      </c>
      <c r="L168" s="104">
        <v>53044.842830000001</v>
      </c>
      <c r="M168" s="31" t="s">
        <v>240</v>
      </c>
      <c r="N168" s="38">
        <v>2.4924842105134591E-2</v>
      </c>
      <c r="O168" s="38">
        <v>2.2167078070291994E-2</v>
      </c>
    </row>
    <row r="169" spans="1:15" x14ac:dyDescent="0.2">
      <c r="A169" s="30" t="s">
        <v>743</v>
      </c>
      <c r="B169" s="46" t="s">
        <v>744</v>
      </c>
      <c r="C169" s="39" t="s">
        <v>331</v>
      </c>
      <c r="D169" s="39" t="s">
        <v>332</v>
      </c>
      <c r="E169" s="39" t="s">
        <v>745</v>
      </c>
      <c r="F169" s="39">
        <v>7.58</v>
      </c>
      <c r="G169" s="39" t="s">
        <v>246</v>
      </c>
      <c r="H169" s="31">
        <v>5.9500000000000004E-2</v>
      </c>
      <c r="I169" s="31">
        <v>5.9400000000000001E-2</v>
      </c>
      <c r="J169" s="131">
        <v>5400000</v>
      </c>
      <c r="K169" s="39">
        <v>101.98470000000002</v>
      </c>
      <c r="L169" s="104">
        <v>5507.1744000000008</v>
      </c>
      <c r="M169" s="31" t="s">
        <v>240</v>
      </c>
      <c r="N169" s="38">
        <v>2.5877247446156556E-3</v>
      </c>
      <c r="O169" s="38">
        <v>2.3014106246436301E-3</v>
      </c>
    </row>
    <row r="170" spans="1:15" x14ac:dyDescent="0.2">
      <c r="A170" s="30" t="s">
        <v>746</v>
      </c>
      <c r="B170" s="46" t="s">
        <v>747</v>
      </c>
      <c r="C170" s="39" t="s">
        <v>331</v>
      </c>
      <c r="D170" s="39" t="s">
        <v>332</v>
      </c>
      <c r="E170" s="39" t="s">
        <v>748</v>
      </c>
      <c r="F170" s="39">
        <v>7.76</v>
      </c>
      <c r="G170" s="39" t="s">
        <v>246</v>
      </c>
      <c r="H170" s="31">
        <v>5.9500000000000004E-2</v>
      </c>
      <c r="I170" s="31">
        <v>5.9400000000000001E-2</v>
      </c>
      <c r="J170" s="131">
        <v>57300000</v>
      </c>
      <c r="K170" s="39">
        <v>101.5826</v>
      </c>
      <c r="L170" s="104">
        <v>58206.86045</v>
      </c>
      <c r="M170" s="31" t="s">
        <v>240</v>
      </c>
      <c r="N170" s="38">
        <v>2.7350383727244111E-2</v>
      </c>
      <c r="O170" s="38">
        <v>2.4324250030429234E-2</v>
      </c>
    </row>
    <row r="171" spans="1:15" x14ac:dyDescent="0.2">
      <c r="A171" s="30" t="s">
        <v>737</v>
      </c>
      <c r="B171" s="46" t="s">
        <v>749</v>
      </c>
      <c r="C171" s="39" t="s">
        <v>331</v>
      </c>
      <c r="D171" s="39" t="s">
        <v>332</v>
      </c>
      <c r="E171" s="39" t="s">
        <v>750</v>
      </c>
      <c r="F171" s="39">
        <v>7.85</v>
      </c>
      <c r="G171" s="39" t="s">
        <v>246</v>
      </c>
      <c r="H171" s="31">
        <v>5.9500000000000004E-2</v>
      </c>
      <c r="I171" s="31">
        <v>5.9400000000000001E-2</v>
      </c>
      <c r="J171" s="131">
        <v>49600000</v>
      </c>
      <c r="K171" s="39">
        <v>101.1771</v>
      </c>
      <c r="L171" s="104">
        <v>50183.874579999996</v>
      </c>
      <c r="M171" s="31" t="s">
        <v>240</v>
      </c>
      <c r="N171" s="38">
        <v>2.3580523259142578E-2</v>
      </c>
      <c r="O171" s="38">
        <v>2.0971498949478588E-2</v>
      </c>
    </row>
    <row r="172" spans="1:15" x14ac:dyDescent="0.2">
      <c r="A172" s="30" t="s">
        <v>751</v>
      </c>
      <c r="B172" s="46" t="s">
        <v>752</v>
      </c>
      <c r="C172" s="39" t="s">
        <v>331</v>
      </c>
      <c r="D172" s="39" t="s">
        <v>332</v>
      </c>
      <c r="E172" s="39" t="s">
        <v>753</v>
      </c>
      <c r="F172" s="39">
        <v>7.93</v>
      </c>
      <c r="G172" s="39" t="s">
        <v>246</v>
      </c>
      <c r="H172" s="31">
        <v>5.9500000000000004E-2</v>
      </c>
      <c r="I172" s="31">
        <v>5.9400000000000001E-2</v>
      </c>
      <c r="J172" s="131">
        <v>34200000</v>
      </c>
      <c r="K172" s="39">
        <v>100.60420000000001</v>
      </c>
      <c r="L172" s="104">
        <v>34406.659950000001</v>
      </c>
      <c r="M172" s="31" t="s">
        <v>240</v>
      </c>
      <c r="N172" s="38">
        <v>1.6167086579315783E-2</v>
      </c>
      <c r="O172" s="38">
        <v>1.4378308551011288E-2</v>
      </c>
    </row>
    <row r="173" spans="1:15" x14ac:dyDescent="0.2">
      <c r="A173" s="30" t="s">
        <v>754</v>
      </c>
      <c r="B173" s="46" t="s">
        <v>755</v>
      </c>
      <c r="C173" s="39" t="s">
        <v>331</v>
      </c>
      <c r="D173" s="39" t="s">
        <v>332</v>
      </c>
      <c r="E173" s="39" t="s">
        <v>756</v>
      </c>
      <c r="F173" s="39">
        <v>8.01</v>
      </c>
      <c r="G173" s="39" t="s">
        <v>246</v>
      </c>
      <c r="H173" s="31">
        <v>5.9500000000000004E-2</v>
      </c>
      <c r="I173" s="31">
        <v>5.9500000000000004E-2</v>
      </c>
      <c r="J173" s="131">
        <v>28300000</v>
      </c>
      <c r="K173" s="39">
        <v>100</v>
      </c>
      <c r="L173" s="104">
        <v>28300</v>
      </c>
      <c r="M173" s="31" t="s">
        <v>240</v>
      </c>
      <c r="N173" s="38">
        <v>1.329767407994616E-2</v>
      </c>
      <c r="O173" s="38">
        <v>1.182637700331675E-2</v>
      </c>
    </row>
    <row r="174" spans="1:15" x14ac:dyDescent="0.2">
      <c r="A174" s="30" t="s">
        <v>757</v>
      </c>
      <c r="B174" s="46" t="s">
        <v>758</v>
      </c>
      <c r="C174" s="39" t="s">
        <v>331</v>
      </c>
      <c r="D174" s="39" t="s">
        <v>332</v>
      </c>
      <c r="E174" s="39" t="s">
        <v>759</v>
      </c>
      <c r="F174" s="39">
        <v>7.64</v>
      </c>
      <c r="G174" s="39" t="s">
        <v>246</v>
      </c>
      <c r="H174" s="31">
        <v>5.9500000000000004E-2</v>
      </c>
      <c r="I174" s="31">
        <v>5.9400000000000001E-2</v>
      </c>
      <c r="J174" s="131">
        <v>3500000</v>
      </c>
      <c r="K174" s="39">
        <v>105.4731</v>
      </c>
      <c r="L174" s="104">
        <v>3691.56196</v>
      </c>
      <c r="M174" s="31" t="s">
        <v>240</v>
      </c>
      <c r="N174" s="38">
        <v>1.7346002752652737E-3</v>
      </c>
      <c r="O174" s="38">
        <v>1.542678567846746E-3</v>
      </c>
    </row>
    <row r="175" spans="1:15" x14ac:dyDescent="0.2">
      <c r="A175" s="30" t="s">
        <v>760</v>
      </c>
      <c r="B175" s="46" t="s">
        <v>761</v>
      </c>
      <c r="C175" s="39" t="s">
        <v>331</v>
      </c>
      <c r="D175" s="39" t="s">
        <v>332</v>
      </c>
      <c r="E175" s="39" t="s">
        <v>762</v>
      </c>
      <c r="F175" s="39">
        <v>7.73</v>
      </c>
      <c r="G175" s="39" t="s">
        <v>246</v>
      </c>
      <c r="H175" s="31">
        <v>5.9500000000000004E-2</v>
      </c>
      <c r="I175" s="31">
        <v>5.9400000000000001E-2</v>
      </c>
      <c r="J175" s="131">
        <v>2500000</v>
      </c>
      <c r="K175" s="39">
        <v>104.9841</v>
      </c>
      <c r="L175" s="104">
        <v>2624.6039500000002</v>
      </c>
      <c r="M175" s="31" t="s">
        <v>240</v>
      </c>
      <c r="N175" s="38">
        <v>1.2332554033936151E-3</v>
      </c>
      <c r="O175" s="38">
        <v>1.0968040917701169E-3</v>
      </c>
    </row>
    <row r="176" spans="1:15" x14ac:dyDescent="0.2">
      <c r="A176" s="30" t="s">
        <v>763</v>
      </c>
      <c r="B176" s="46" t="s">
        <v>764</v>
      </c>
      <c r="C176" s="39" t="s">
        <v>331</v>
      </c>
      <c r="D176" s="39" t="s">
        <v>332</v>
      </c>
      <c r="E176" s="39" t="s">
        <v>765</v>
      </c>
      <c r="F176" s="39">
        <v>7.81</v>
      </c>
      <c r="G176" s="39" t="s">
        <v>246</v>
      </c>
      <c r="H176" s="31">
        <v>5.9500000000000004E-2</v>
      </c>
      <c r="I176" s="31">
        <v>5.9400000000000001E-2</v>
      </c>
      <c r="J176" s="131">
        <v>4900000</v>
      </c>
      <c r="K176" s="39">
        <v>104.47880000000001</v>
      </c>
      <c r="L176" s="104">
        <v>5119.4619899999998</v>
      </c>
      <c r="M176" s="31" t="s">
        <v>240</v>
      </c>
      <c r="N176" s="38">
        <v>2.4055454773036253E-3</v>
      </c>
      <c r="O176" s="38">
        <v>2.1393882525756257E-3</v>
      </c>
    </row>
    <row r="177" spans="1:15" x14ac:dyDescent="0.2">
      <c r="A177" s="30" t="s">
        <v>766</v>
      </c>
      <c r="B177" s="46" t="s">
        <v>767</v>
      </c>
      <c r="C177" s="39" t="s">
        <v>331</v>
      </c>
      <c r="D177" s="39" t="s">
        <v>332</v>
      </c>
      <c r="E177" s="39" t="s">
        <v>768</v>
      </c>
      <c r="F177" s="39">
        <v>7.98</v>
      </c>
      <c r="G177" s="39" t="s">
        <v>246</v>
      </c>
      <c r="H177" s="31">
        <v>5.9500000000000004E-2</v>
      </c>
      <c r="I177" s="31">
        <v>5.9400000000000001E-2</v>
      </c>
      <c r="J177" s="131">
        <v>8900000</v>
      </c>
      <c r="K177" s="39">
        <v>103.48439999999999</v>
      </c>
      <c r="L177" s="104">
        <v>9210.1145899999992</v>
      </c>
      <c r="M177" s="31" t="s">
        <v>240</v>
      </c>
      <c r="N177" s="38">
        <v>4.3276714507695033E-3</v>
      </c>
      <c r="O177" s="38">
        <v>3.8488440772115927E-3</v>
      </c>
    </row>
    <row r="178" spans="1:15" x14ac:dyDescent="0.2">
      <c r="A178" s="30" t="s">
        <v>769</v>
      </c>
      <c r="B178" s="46" t="s">
        <v>770</v>
      </c>
      <c r="C178" s="39" t="s">
        <v>331</v>
      </c>
      <c r="D178" s="39" t="s">
        <v>332</v>
      </c>
      <c r="E178" s="39" t="s">
        <v>771</v>
      </c>
      <c r="F178" s="39">
        <v>8.15</v>
      </c>
      <c r="G178" s="39" t="s">
        <v>246</v>
      </c>
      <c r="H178" s="31">
        <v>5.9500000000000004E-2</v>
      </c>
      <c r="I178" s="31">
        <v>5.9400000000000001E-2</v>
      </c>
      <c r="J178" s="131">
        <v>7200000</v>
      </c>
      <c r="K178" s="39">
        <v>102.47369999999999</v>
      </c>
      <c r="L178" s="104">
        <v>7378.1100500000002</v>
      </c>
      <c r="M178" s="31" t="s">
        <v>240</v>
      </c>
      <c r="N178" s="38">
        <v>3.4668446208789847E-3</v>
      </c>
      <c r="O178" s="38">
        <v>3.083261873613435E-3</v>
      </c>
    </row>
    <row r="179" spans="1:15" x14ac:dyDescent="0.2">
      <c r="A179" s="30" t="s">
        <v>772</v>
      </c>
      <c r="B179" s="46" t="s">
        <v>773</v>
      </c>
      <c r="C179" s="39" t="s">
        <v>331</v>
      </c>
      <c r="D179" s="39" t="s">
        <v>332</v>
      </c>
      <c r="E179" s="39" t="s">
        <v>774</v>
      </c>
      <c r="F179" s="39">
        <v>8.23</v>
      </c>
      <c r="G179" s="39" t="s">
        <v>246</v>
      </c>
      <c r="H179" s="31">
        <v>5.9500000000000004E-2</v>
      </c>
      <c r="I179" s="31">
        <v>5.9400000000000001E-2</v>
      </c>
      <c r="J179" s="131">
        <v>4000000</v>
      </c>
      <c r="K179" s="39">
        <v>102.001</v>
      </c>
      <c r="L179" s="104">
        <v>4080.0405000000001</v>
      </c>
      <c r="M179" s="31" t="s">
        <v>240</v>
      </c>
      <c r="N179" s="38">
        <v>1.9171395336388894E-3</v>
      </c>
      <c r="O179" s="38">
        <v>1.7050211004169956E-3</v>
      </c>
    </row>
    <row r="180" spans="1:15" x14ac:dyDescent="0.2">
      <c r="A180" s="30" t="s">
        <v>775</v>
      </c>
      <c r="B180" s="46" t="s">
        <v>776</v>
      </c>
      <c r="C180" s="39" t="s">
        <v>331</v>
      </c>
      <c r="D180" s="39" t="s">
        <v>332</v>
      </c>
      <c r="E180" s="39" t="s">
        <v>777</v>
      </c>
      <c r="F180" s="39">
        <v>8.32</v>
      </c>
      <c r="G180" s="39" t="s">
        <v>246</v>
      </c>
      <c r="H180" s="31">
        <v>5.9500000000000004E-2</v>
      </c>
      <c r="I180" s="31">
        <v>5.9400000000000001E-2</v>
      </c>
      <c r="J180" s="131">
        <v>57000000</v>
      </c>
      <c r="K180" s="39">
        <v>101.47929999999998</v>
      </c>
      <c r="L180" s="104">
        <v>57843.241799999996</v>
      </c>
      <c r="M180" s="31" t="s">
        <v>240</v>
      </c>
      <c r="N180" s="38">
        <v>2.7179525695544812E-2</v>
      </c>
      <c r="O180" s="38">
        <v>2.4172296276353717E-2</v>
      </c>
    </row>
    <row r="181" spans="1:15" x14ac:dyDescent="0.2">
      <c r="A181" s="30" t="s">
        <v>778</v>
      </c>
      <c r="B181" s="46" t="s">
        <v>779</v>
      </c>
      <c r="C181" s="39" t="s">
        <v>331</v>
      </c>
      <c r="D181" s="39" t="s">
        <v>332</v>
      </c>
      <c r="E181" s="39" t="s">
        <v>780</v>
      </c>
      <c r="F181" s="39">
        <v>8.4</v>
      </c>
      <c r="G181" s="39" t="s">
        <v>246</v>
      </c>
      <c r="H181" s="31">
        <v>5.9500000000000004E-2</v>
      </c>
      <c r="I181" s="31">
        <v>5.9400000000000001E-2</v>
      </c>
      <c r="J181" s="131">
        <v>53200000</v>
      </c>
      <c r="K181" s="39">
        <v>100.97539999999999</v>
      </c>
      <c r="L181" s="104">
        <v>53718.918030000001</v>
      </c>
      <c r="M181" s="31" t="s">
        <v>240</v>
      </c>
      <c r="N181" s="38">
        <v>2.5241578229338639E-2</v>
      </c>
      <c r="O181" s="38">
        <v>2.2448769499401045E-2</v>
      </c>
    </row>
    <row r="182" spans="1:15" x14ac:dyDescent="0.2">
      <c r="A182" s="30" t="s">
        <v>781</v>
      </c>
      <c r="B182" s="46" t="s">
        <v>782</v>
      </c>
      <c r="C182" s="39" t="s">
        <v>331</v>
      </c>
      <c r="D182" s="39" t="s">
        <v>332</v>
      </c>
      <c r="E182" s="39" t="s">
        <v>783</v>
      </c>
      <c r="F182" s="39">
        <v>8.48</v>
      </c>
      <c r="G182" s="39" t="s">
        <v>246</v>
      </c>
      <c r="H182" s="31">
        <v>5.9500000000000004E-2</v>
      </c>
      <c r="I182" s="31">
        <v>5.9400000000000001E-2</v>
      </c>
      <c r="J182" s="131">
        <v>54200000</v>
      </c>
      <c r="K182" s="39">
        <v>100.5202</v>
      </c>
      <c r="L182" s="104">
        <v>54481.958460000002</v>
      </c>
      <c r="M182" s="31" t="s">
        <v>240</v>
      </c>
      <c r="N182" s="38">
        <v>2.5600117556121744E-2</v>
      </c>
      <c r="O182" s="38">
        <v>2.2767638891413516E-2</v>
      </c>
    </row>
    <row r="183" spans="1:15" x14ac:dyDescent="0.2">
      <c r="A183" s="30" t="s">
        <v>784</v>
      </c>
      <c r="B183" s="46" t="s">
        <v>785</v>
      </c>
      <c r="C183" s="39" t="s">
        <v>331</v>
      </c>
      <c r="D183" s="39" t="s">
        <v>332</v>
      </c>
      <c r="E183" s="39" t="s">
        <v>236</v>
      </c>
      <c r="F183" s="39">
        <v>8.56</v>
      </c>
      <c r="G183" s="39" t="s">
        <v>246</v>
      </c>
      <c r="H183" s="31">
        <v>5.9500000000000004E-2</v>
      </c>
      <c r="I183" s="31">
        <v>5.9500000000000004E-2</v>
      </c>
      <c r="J183" s="131">
        <v>7900000</v>
      </c>
      <c r="K183" s="39">
        <v>100</v>
      </c>
      <c r="L183" s="104">
        <v>7900</v>
      </c>
      <c r="M183" s="31" t="s">
        <v>240</v>
      </c>
      <c r="N183" s="38">
        <v>3.7120715629531684E-3</v>
      </c>
      <c r="O183" s="38">
        <v>3.301356124600789E-3</v>
      </c>
    </row>
    <row r="184" spans="1:15" s="138" customFormat="1" x14ac:dyDescent="0.2">
      <c r="A184" s="112" t="s">
        <v>786</v>
      </c>
      <c r="B184" s="141" t="s">
        <v>240</v>
      </c>
      <c r="C184" s="164" t="s">
        <v>240</v>
      </c>
      <c r="D184" s="164" t="s">
        <v>240</v>
      </c>
      <c r="E184" s="164" t="s">
        <v>240</v>
      </c>
      <c r="F184" s="164" t="s">
        <v>240</v>
      </c>
      <c r="G184" s="164" t="s">
        <v>240</v>
      </c>
      <c r="H184" s="165" t="s">
        <v>240</v>
      </c>
      <c r="I184" s="165" t="s">
        <v>240</v>
      </c>
      <c r="J184" s="166" t="s">
        <v>240</v>
      </c>
      <c r="K184" s="164" t="s">
        <v>240</v>
      </c>
      <c r="L184" s="147">
        <v>0</v>
      </c>
      <c r="M184" s="165" t="s">
        <v>240</v>
      </c>
      <c r="N184" s="145">
        <v>0</v>
      </c>
      <c r="O184" s="145">
        <v>0</v>
      </c>
    </row>
    <row r="185" spans="1:15" s="138" customFormat="1" x14ac:dyDescent="0.2">
      <c r="A185" s="112" t="s">
        <v>787</v>
      </c>
      <c r="B185" s="141" t="s">
        <v>240</v>
      </c>
      <c r="C185" s="164" t="s">
        <v>240</v>
      </c>
      <c r="D185" s="164" t="s">
        <v>240</v>
      </c>
      <c r="E185" s="164" t="s">
        <v>240</v>
      </c>
      <c r="F185" s="164" t="s">
        <v>240</v>
      </c>
      <c r="G185" s="164" t="s">
        <v>240</v>
      </c>
      <c r="H185" s="165" t="s">
        <v>240</v>
      </c>
      <c r="I185" s="165" t="s">
        <v>240</v>
      </c>
      <c r="J185" s="166" t="s">
        <v>240</v>
      </c>
      <c r="K185" s="164" t="s">
        <v>240</v>
      </c>
      <c r="L185" s="147">
        <v>0</v>
      </c>
      <c r="M185" s="165" t="s">
        <v>240</v>
      </c>
      <c r="N185" s="145">
        <v>0</v>
      </c>
      <c r="O185" s="145">
        <v>0</v>
      </c>
    </row>
    <row r="186" spans="1:15" s="138" customFormat="1" x14ac:dyDescent="0.2">
      <c r="A186" s="112" t="s">
        <v>220</v>
      </c>
      <c r="B186" s="141" t="s">
        <v>240</v>
      </c>
      <c r="C186" s="164" t="s">
        <v>240</v>
      </c>
      <c r="D186" s="164" t="s">
        <v>240</v>
      </c>
      <c r="E186" s="164" t="s">
        <v>240</v>
      </c>
      <c r="F186" s="164" t="s">
        <v>240</v>
      </c>
      <c r="G186" s="164" t="s">
        <v>240</v>
      </c>
      <c r="H186" s="165" t="s">
        <v>240</v>
      </c>
      <c r="I186" s="165" t="s">
        <v>240</v>
      </c>
      <c r="J186" s="166" t="s">
        <v>240</v>
      </c>
      <c r="K186" s="164" t="s">
        <v>240</v>
      </c>
      <c r="L186" s="147">
        <v>0</v>
      </c>
      <c r="M186" s="165" t="s">
        <v>240</v>
      </c>
      <c r="N186" s="145">
        <v>0</v>
      </c>
      <c r="O186" s="145">
        <v>0</v>
      </c>
    </row>
    <row r="187" spans="1:15" s="138" customFormat="1" x14ac:dyDescent="0.2">
      <c r="A187" s="112" t="s">
        <v>283</v>
      </c>
      <c r="B187" s="141" t="s">
        <v>240</v>
      </c>
      <c r="C187" s="164" t="s">
        <v>240</v>
      </c>
      <c r="D187" s="164" t="s">
        <v>240</v>
      </c>
      <c r="E187" s="164" t="s">
        <v>240</v>
      </c>
      <c r="F187" s="164" t="s">
        <v>240</v>
      </c>
      <c r="G187" s="164" t="s">
        <v>240</v>
      </c>
      <c r="H187" s="165" t="s">
        <v>240</v>
      </c>
      <c r="I187" s="165" t="s">
        <v>240</v>
      </c>
      <c r="J187" s="166" t="s">
        <v>240</v>
      </c>
      <c r="K187" s="164" t="s">
        <v>240</v>
      </c>
      <c r="L187" s="147">
        <v>0</v>
      </c>
      <c r="M187" s="165" t="s">
        <v>240</v>
      </c>
      <c r="N187" s="145">
        <v>0</v>
      </c>
      <c r="O187" s="145">
        <v>0</v>
      </c>
    </row>
    <row r="188" spans="1:15" s="138" customFormat="1" x14ac:dyDescent="0.2">
      <c r="A188" s="112" t="s">
        <v>788</v>
      </c>
      <c r="B188" s="141" t="s">
        <v>240</v>
      </c>
      <c r="C188" s="164" t="s">
        <v>240</v>
      </c>
      <c r="D188" s="164" t="s">
        <v>240</v>
      </c>
      <c r="E188" s="164" t="s">
        <v>240</v>
      </c>
      <c r="F188" s="164" t="s">
        <v>240</v>
      </c>
      <c r="G188" s="164" t="s">
        <v>240</v>
      </c>
      <c r="H188" s="165" t="s">
        <v>240</v>
      </c>
      <c r="I188" s="165" t="s">
        <v>240</v>
      </c>
      <c r="J188" s="166" t="s">
        <v>240</v>
      </c>
      <c r="K188" s="164" t="s">
        <v>240</v>
      </c>
      <c r="L188" s="147">
        <v>0</v>
      </c>
      <c r="M188" s="165" t="s">
        <v>240</v>
      </c>
      <c r="N188" s="145">
        <v>0</v>
      </c>
      <c r="O188" s="145">
        <v>0</v>
      </c>
    </row>
    <row r="189" spans="1:15" s="138" customFormat="1" x14ac:dyDescent="0.2">
      <c r="A189" s="226" t="s">
        <v>789</v>
      </c>
      <c r="B189" s="224" t="s">
        <v>240</v>
      </c>
      <c r="C189" s="229" t="s">
        <v>240</v>
      </c>
      <c r="D189" s="229" t="s">
        <v>240</v>
      </c>
      <c r="E189" s="229" t="s">
        <v>240</v>
      </c>
      <c r="F189" s="229" t="s">
        <v>240</v>
      </c>
      <c r="G189" s="229" t="s">
        <v>240</v>
      </c>
      <c r="H189" s="230" t="s">
        <v>240</v>
      </c>
      <c r="I189" s="230" t="s">
        <v>240</v>
      </c>
      <c r="J189" s="231" t="s">
        <v>240</v>
      </c>
      <c r="K189" s="229" t="s">
        <v>240</v>
      </c>
      <c r="L189" s="223">
        <v>0</v>
      </c>
      <c r="M189" s="230" t="s">
        <v>240</v>
      </c>
      <c r="N189" s="220">
        <v>0</v>
      </c>
      <c r="O189" s="220">
        <v>0</v>
      </c>
    </row>
    <row r="190" spans="1:15" s="138" customFormat="1" x14ac:dyDescent="0.2">
      <c r="A190" s="97" t="s">
        <v>231</v>
      </c>
      <c r="B190" s="148"/>
      <c r="C190" s="97"/>
      <c r="D190" s="167"/>
      <c r="E190" s="167"/>
      <c r="F190" s="167"/>
      <c r="G190" s="168"/>
      <c r="H190" s="153"/>
      <c r="I190" s="169"/>
      <c r="J190" s="169"/>
      <c r="K190" s="169"/>
      <c r="L190" s="153"/>
      <c r="M190" s="153"/>
      <c r="N190" s="153"/>
    </row>
    <row r="191" spans="1:15" s="138" customFormat="1" x14ac:dyDescent="0.2">
      <c r="A191" s="97" t="s">
        <v>232</v>
      </c>
      <c r="B191" s="148"/>
      <c r="C191" s="97"/>
      <c r="D191" s="167"/>
      <c r="E191" s="167"/>
      <c r="F191" s="167"/>
      <c r="G191" s="168"/>
      <c r="H191" s="153"/>
      <c r="I191" s="169"/>
      <c r="J191" s="169"/>
      <c r="K191" s="169"/>
      <c r="L191" s="153"/>
      <c r="M191" s="153"/>
      <c r="N191" s="153"/>
    </row>
    <row r="192" spans="1:15" s="138" customFormat="1" x14ac:dyDescent="0.2">
      <c r="A192" s="97" t="s">
        <v>233</v>
      </c>
      <c r="B192" s="148"/>
      <c r="C192" s="97"/>
      <c r="D192" s="167"/>
      <c r="E192" s="167"/>
      <c r="F192" s="167"/>
      <c r="G192" s="168"/>
      <c r="H192" s="153"/>
      <c r="I192" s="169"/>
      <c r="J192" s="169"/>
      <c r="K192" s="169"/>
      <c r="L192" s="153"/>
      <c r="M192" s="153"/>
      <c r="N192" s="153"/>
    </row>
    <row r="193" spans="1:14" s="138" customFormat="1" x14ac:dyDescent="0.2">
      <c r="A193" s="97" t="s">
        <v>234</v>
      </c>
      <c r="B193" s="148"/>
      <c r="C193" s="97"/>
      <c r="D193" s="167"/>
      <c r="E193" s="167"/>
      <c r="F193" s="167"/>
      <c r="G193" s="168"/>
      <c r="H193" s="153"/>
      <c r="I193" s="169"/>
      <c r="J193" s="169"/>
      <c r="K193" s="169"/>
      <c r="L193" s="153"/>
      <c r="M193" s="153"/>
      <c r="N193" s="153"/>
    </row>
    <row r="194" spans="1:14" s="138" customFormat="1" x14ac:dyDescent="0.2">
      <c r="A194" s="97" t="s">
        <v>235</v>
      </c>
      <c r="B194" s="148"/>
      <c r="C194" s="97"/>
      <c r="D194" s="167"/>
      <c r="E194" s="167"/>
      <c r="F194" s="167"/>
      <c r="G194" s="168"/>
      <c r="H194" s="153"/>
      <c r="I194" s="169"/>
      <c r="J194" s="169"/>
      <c r="K194" s="169"/>
      <c r="L194" s="153"/>
      <c r="M194" s="153"/>
      <c r="N194" s="153"/>
    </row>
  </sheetData>
  <mergeCells count="2">
    <mergeCell ref="A6:O6"/>
    <mergeCell ref="A5:O5"/>
  </mergeCells>
  <conditionalFormatting sqref="H1:H4 F11:F189 H11:K189 M11:N189 H190:H55724">
    <cfRule type="expression" dxfId="91" priority="242" stopIfTrue="1">
      <formula>LEFT(#REF!,3)="TIR"</formula>
    </cfRule>
  </conditionalFormatting>
  <conditionalFormatting sqref="H7">
    <cfRule type="expression" dxfId="90" priority="247" stopIfTrue="1">
      <formula>LEFT(#REF!,3)="TIR"</formula>
    </cfRule>
  </conditionalFormatting>
  <conditionalFormatting sqref="B11:E189 G11:G189 N11:O189">
    <cfRule type="expression" dxfId="89" priority="248" stopIfTrue="1">
      <formula>OR(LEFT(#REF!,3)="TIR",LEFT(#REF!,2)="IR")</formula>
    </cfRule>
  </conditionalFormatting>
  <conditionalFormatting sqref="A11:A189 L11:L189">
    <cfRule type="expression" dxfId="88" priority="251" stopIfTrue="1">
      <formula>#REF!&gt;0</formula>
    </cfRule>
    <cfRule type="expression" dxfId="8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61BE-577E-417F-8482-FF1C989F700C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227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0" t="s">
        <v>28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2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159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8" customFormat="1" ht="12.75" customHeight="1" thickBot="1" x14ac:dyDescent="0.25">
      <c r="A10" s="120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121"/>
      <c r="G10" s="158" t="s">
        <v>240</v>
      </c>
      <c r="H10" s="158" t="s">
        <v>240</v>
      </c>
      <c r="I10" s="158" t="s">
        <v>240</v>
      </c>
      <c r="J10" s="158" t="s">
        <v>240</v>
      </c>
      <c r="K10" s="159" t="s">
        <v>240</v>
      </c>
      <c r="L10" s="159" t="s">
        <v>240</v>
      </c>
      <c r="M10" s="122" t="s">
        <v>240</v>
      </c>
      <c r="N10" s="158" t="s">
        <v>240</v>
      </c>
      <c r="O10" s="123">
        <v>6.0000000000000008E-7</v>
      </c>
      <c r="P10" s="139" t="s">
        <v>240</v>
      </c>
      <c r="Q10" s="126">
        <v>1</v>
      </c>
      <c r="R10" s="78">
        <v>0</v>
      </c>
    </row>
    <row r="11" spans="1:18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61" t="s">
        <v>240</v>
      </c>
      <c r="H11" s="161" t="s">
        <v>240</v>
      </c>
      <c r="I11" s="161" t="s">
        <v>240</v>
      </c>
      <c r="J11" s="161" t="s">
        <v>240</v>
      </c>
      <c r="K11" s="162" t="s">
        <v>240</v>
      </c>
      <c r="L11" s="162" t="s">
        <v>240</v>
      </c>
      <c r="M11" s="154" t="s">
        <v>240</v>
      </c>
      <c r="N11" s="161" t="s">
        <v>240</v>
      </c>
      <c r="O11" s="143">
        <v>0</v>
      </c>
      <c r="P11" s="162" t="s">
        <v>240</v>
      </c>
      <c r="Q11" s="141">
        <v>0</v>
      </c>
      <c r="R11" s="141">
        <v>0</v>
      </c>
    </row>
    <row r="12" spans="1:18" s="138" customFormat="1" x14ac:dyDescent="0.2">
      <c r="A12" s="112" t="s">
        <v>790</v>
      </c>
      <c r="B12" s="141" t="s">
        <v>240</v>
      </c>
      <c r="C12" s="145" t="s">
        <v>240</v>
      </c>
      <c r="D12" s="145" t="s">
        <v>240</v>
      </c>
      <c r="E12" s="145" t="s">
        <v>240</v>
      </c>
      <c r="F12" s="146" t="s">
        <v>240</v>
      </c>
      <c r="G12" s="164" t="s">
        <v>240</v>
      </c>
      <c r="H12" s="164" t="s">
        <v>240</v>
      </c>
      <c r="I12" s="164" t="s">
        <v>240</v>
      </c>
      <c r="J12" s="164" t="s">
        <v>240</v>
      </c>
      <c r="K12" s="165" t="s">
        <v>240</v>
      </c>
      <c r="L12" s="165" t="s">
        <v>240</v>
      </c>
      <c r="M12" s="156" t="s">
        <v>240</v>
      </c>
      <c r="N12" s="164" t="s">
        <v>240</v>
      </c>
      <c r="O12" s="147">
        <v>0</v>
      </c>
      <c r="P12" s="165" t="s">
        <v>240</v>
      </c>
      <c r="Q12" s="145">
        <v>0</v>
      </c>
      <c r="R12" s="145">
        <v>0</v>
      </c>
    </row>
    <row r="13" spans="1:18" s="138" customFormat="1" x14ac:dyDescent="0.2">
      <c r="A13" s="112" t="s">
        <v>791</v>
      </c>
      <c r="B13" s="141" t="s">
        <v>240</v>
      </c>
      <c r="C13" s="145" t="s">
        <v>240</v>
      </c>
      <c r="D13" s="145" t="s">
        <v>240</v>
      </c>
      <c r="E13" s="145" t="s">
        <v>240</v>
      </c>
      <c r="F13" s="146" t="s">
        <v>240</v>
      </c>
      <c r="G13" s="164" t="s">
        <v>240</v>
      </c>
      <c r="H13" s="164" t="s">
        <v>240</v>
      </c>
      <c r="I13" s="164" t="s">
        <v>240</v>
      </c>
      <c r="J13" s="164" t="s">
        <v>240</v>
      </c>
      <c r="K13" s="165" t="s">
        <v>240</v>
      </c>
      <c r="L13" s="165" t="s">
        <v>240</v>
      </c>
      <c r="M13" s="156" t="s">
        <v>240</v>
      </c>
      <c r="N13" s="164" t="s">
        <v>240</v>
      </c>
      <c r="O13" s="147">
        <v>0</v>
      </c>
      <c r="P13" s="165" t="s">
        <v>240</v>
      </c>
      <c r="Q13" s="145">
        <v>0</v>
      </c>
      <c r="R13" s="145">
        <v>0</v>
      </c>
    </row>
    <row r="14" spans="1:18" s="138" customFormat="1" x14ac:dyDescent="0.2">
      <c r="A14" s="112" t="s">
        <v>286</v>
      </c>
      <c r="B14" s="141" t="s">
        <v>240</v>
      </c>
      <c r="C14" s="145" t="s">
        <v>240</v>
      </c>
      <c r="D14" s="145" t="s">
        <v>240</v>
      </c>
      <c r="E14" s="145" t="s">
        <v>240</v>
      </c>
      <c r="F14" s="146" t="s">
        <v>240</v>
      </c>
      <c r="G14" s="164" t="s">
        <v>240</v>
      </c>
      <c r="H14" s="164" t="s">
        <v>240</v>
      </c>
      <c r="I14" s="164" t="s">
        <v>240</v>
      </c>
      <c r="J14" s="164" t="s">
        <v>240</v>
      </c>
      <c r="K14" s="165" t="s">
        <v>240</v>
      </c>
      <c r="L14" s="165" t="s">
        <v>240</v>
      </c>
      <c r="M14" s="156" t="s">
        <v>240</v>
      </c>
      <c r="N14" s="146" t="s">
        <v>240</v>
      </c>
      <c r="O14" s="147">
        <v>0</v>
      </c>
      <c r="P14" s="165" t="s">
        <v>240</v>
      </c>
      <c r="Q14" s="145">
        <v>0</v>
      </c>
      <c r="R14" s="145">
        <v>0</v>
      </c>
    </row>
    <row r="15" spans="1:18" s="138" customFormat="1" x14ac:dyDescent="0.2">
      <c r="A15" s="112" t="s">
        <v>144</v>
      </c>
      <c r="B15" s="141" t="s">
        <v>240</v>
      </c>
      <c r="C15" s="145" t="s">
        <v>240</v>
      </c>
      <c r="D15" s="145" t="s">
        <v>240</v>
      </c>
      <c r="E15" s="145" t="s">
        <v>240</v>
      </c>
      <c r="F15" s="146" t="s">
        <v>240</v>
      </c>
      <c r="G15" s="164" t="s">
        <v>240</v>
      </c>
      <c r="H15" s="164" t="s">
        <v>240</v>
      </c>
      <c r="I15" s="164" t="s">
        <v>240</v>
      </c>
      <c r="J15" s="164" t="s">
        <v>240</v>
      </c>
      <c r="K15" s="165" t="s">
        <v>240</v>
      </c>
      <c r="L15" s="165" t="s">
        <v>240</v>
      </c>
      <c r="M15" s="156" t="s">
        <v>240</v>
      </c>
      <c r="N15" s="164" t="s">
        <v>240</v>
      </c>
      <c r="O15" s="147">
        <v>0</v>
      </c>
      <c r="P15" s="165" t="s">
        <v>240</v>
      </c>
      <c r="Q15" s="145">
        <v>0</v>
      </c>
      <c r="R15" s="145">
        <v>0</v>
      </c>
    </row>
    <row r="16" spans="1:18" s="138" customFormat="1" x14ac:dyDescent="0.2">
      <c r="A16" s="112" t="s">
        <v>283</v>
      </c>
      <c r="B16" s="141" t="s">
        <v>240</v>
      </c>
      <c r="C16" s="145" t="s">
        <v>240</v>
      </c>
      <c r="D16" s="145" t="s">
        <v>240</v>
      </c>
      <c r="E16" s="145" t="s">
        <v>240</v>
      </c>
      <c r="F16" s="146" t="s">
        <v>240</v>
      </c>
      <c r="G16" s="164" t="s">
        <v>240</v>
      </c>
      <c r="H16" s="164" t="s">
        <v>240</v>
      </c>
      <c r="I16" s="164" t="s">
        <v>240</v>
      </c>
      <c r="J16" s="164" t="s">
        <v>240</v>
      </c>
      <c r="K16" s="165" t="s">
        <v>240</v>
      </c>
      <c r="L16" s="165" t="s">
        <v>240</v>
      </c>
      <c r="M16" s="156" t="s">
        <v>240</v>
      </c>
      <c r="N16" s="164" t="s">
        <v>240</v>
      </c>
      <c r="O16" s="147">
        <v>0</v>
      </c>
      <c r="P16" s="165" t="s">
        <v>240</v>
      </c>
      <c r="Q16" s="145">
        <v>0</v>
      </c>
      <c r="R16" s="145">
        <v>0</v>
      </c>
    </row>
    <row r="17" spans="1:18" s="138" customFormat="1" x14ac:dyDescent="0.2">
      <c r="A17" s="112" t="s">
        <v>792</v>
      </c>
      <c r="B17" s="141" t="s">
        <v>240</v>
      </c>
      <c r="C17" s="145" t="s">
        <v>240</v>
      </c>
      <c r="D17" s="145" t="s">
        <v>240</v>
      </c>
      <c r="E17" s="145" t="s">
        <v>240</v>
      </c>
      <c r="F17" s="146" t="s">
        <v>240</v>
      </c>
      <c r="G17" s="164" t="s">
        <v>240</v>
      </c>
      <c r="H17" s="164" t="s">
        <v>240</v>
      </c>
      <c r="I17" s="164" t="s">
        <v>240</v>
      </c>
      <c r="J17" s="164" t="s">
        <v>240</v>
      </c>
      <c r="K17" s="165" t="s">
        <v>240</v>
      </c>
      <c r="L17" s="165" t="s">
        <v>240</v>
      </c>
      <c r="M17" s="156" t="s">
        <v>240</v>
      </c>
      <c r="N17" s="164" t="s">
        <v>240</v>
      </c>
      <c r="O17" s="147">
        <v>0</v>
      </c>
      <c r="P17" s="165" t="s">
        <v>240</v>
      </c>
      <c r="Q17" s="145">
        <v>0</v>
      </c>
      <c r="R17" s="145">
        <v>0</v>
      </c>
    </row>
    <row r="18" spans="1:18" s="138" customFormat="1" x14ac:dyDescent="0.2">
      <c r="A18" s="226" t="s">
        <v>793</v>
      </c>
      <c r="B18" s="224" t="s">
        <v>240</v>
      </c>
      <c r="C18" s="220" t="s">
        <v>240</v>
      </c>
      <c r="D18" s="220" t="s">
        <v>240</v>
      </c>
      <c r="E18" s="220" t="s">
        <v>240</v>
      </c>
      <c r="F18" s="222" t="s">
        <v>240</v>
      </c>
      <c r="G18" s="229" t="s">
        <v>240</v>
      </c>
      <c r="H18" s="229" t="s">
        <v>240</v>
      </c>
      <c r="I18" s="229" t="s">
        <v>240</v>
      </c>
      <c r="J18" s="229" t="s">
        <v>240</v>
      </c>
      <c r="K18" s="230" t="s">
        <v>240</v>
      </c>
      <c r="L18" s="230" t="s">
        <v>240</v>
      </c>
      <c r="M18" s="227" t="s">
        <v>240</v>
      </c>
      <c r="N18" s="229" t="s">
        <v>240</v>
      </c>
      <c r="O18" s="223">
        <v>0</v>
      </c>
      <c r="P18" s="230" t="s">
        <v>240</v>
      </c>
      <c r="Q18" s="220">
        <v>0</v>
      </c>
      <c r="R18" s="220">
        <v>0</v>
      </c>
    </row>
    <row r="19" spans="1:18" s="138" customFormat="1" x14ac:dyDescent="0.2">
      <c r="A19" s="97" t="s">
        <v>231</v>
      </c>
      <c r="B19" s="148"/>
      <c r="C19" s="148"/>
      <c r="D19" s="148"/>
      <c r="E19" s="97"/>
      <c r="F19" s="167"/>
      <c r="G19" s="167"/>
      <c r="H19" s="167"/>
      <c r="I19" s="168"/>
      <c r="J19" s="153"/>
      <c r="K19" s="169"/>
      <c r="L19" s="169"/>
      <c r="M19" s="169"/>
      <c r="N19" s="153"/>
      <c r="O19" s="153"/>
    </row>
    <row r="20" spans="1:18" s="138" customFormat="1" x14ac:dyDescent="0.2">
      <c r="A20" s="97" t="s">
        <v>232</v>
      </c>
      <c r="B20" s="148"/>
      <c r="C20" s="148"/>
      <c r="D20" s="148"/>
      <c r="E20" s="97"/>
      <c r="F20" s="167"/>
      <c r="G20" s="167"/>
      <c r="H20" s="167"/>
      <c r="I20" s="168"/>
      <c r="J20" s="153"/>
      <c r="K20" s="169"/>
      <c r="L20" s="169"/>
      <c r="M20" s="169"/>
      <c r="N20" s="153"/>
      <c r="O20" s="153"/>
    </row>
    <row r="21" spans="1:18" s="138" customFormat="1" x14ac:dyDescent="0.2">
      <c r="A21" s="97" t="s">
        <v>233</v>
      </c>
      <c r="B21" s="148"/>
      <c r="C21" s="148"/>
      <c r="D21" s="148"/>
      <c r="E21" s="97"/>
      <c r="F21" s="167"/>
      <c r="G21" s="167"/>
      <c r="H21" s="167"/>
      <c r="I21" s="168"/>
      <c r="J21" s="153"/>
      <c r="K21" s="169"/>
      <c r="L21" s="169"/>
      <c r="M21" s="169"/>
      <c r="N21" s="153"/>
      <c r="O21" s="153"/>
    </row>
    <row r="22" spans="1:18" s="138" customFormat="1" x14ac:dyDescent="0.2">
      <c r="A22" s="97" t="s">
        <v>234</v>
      </c>
      <c r="B22" s="148"/>
      <c r="C22" s="148"/>
      <c r="D22" s="148"/>
      <c r="E22" s="97"/>
      <c r="F22" s="167"/>
      <c r="G22" s="167"/>
      <c r="H22" s="167"/>
      <c r="I22" s="168"/>
      <c r="J22" s="153"/>
      <c r="K22" s="169"/>
      <c r="L22" s="169"/>
      <c r="M22" s="169"/>
      <c r="N22" s="153"/>
      <c r="O22" s="153"/>
    </row>
    <row r="23" spans="1:18" s="138" customFormat="1" x14ac:dyDescent="0.2">
      <c r="A23" s="97" t="s">
        <v>235</v>
      </c>
      <c r="B23" s="148"/>
      <c r="C23" s="148"/>
      <c r="D23" s="148"/>
      <c r="E23" s="97"/>
      <c r="F23" s="167"/>
      <c r="G23" s="167"/>
      <c r="H23" s="167"/>
      <c r="I23" s="168"/>
      <c r="J23" s="153"/>
      <c r="K23" s="169"/>
      <c r="L23" s="169"/>
      <c r="M23" s="169"/>
      <c r="N23" s="153"/>
      <c r="O23" s="153"/>
    </row>
  </sheetData>
  <mergeCells count="2">
    <mergeCell ref="A6:R6"/>
    <mergeCell ref="A5:R5"/>
  </mergeCells>
  <conditionalFormatting sqref="J1:J4 I10:I18 K10:N18 P11:Q18 J19:J55553">
    <cfRule type="expression" dxfId="86" priority="266" stopIfTrue="1">
      <formula>LEFT(#REF!,3)="TIR"</formula>
    </cfRule>
  </conditionalFormatting>
  <conditionalFormatting sqref="K7">
    <cfRule type="expression" dxfId="85" priority="271" stopIfTrue="1">
      <formula>LEFT(#REF!,3)="TIR"</formula>
    </cfRule>
  </conditionalFormatting>
  <conditionalFormatting sqref="B10:H18 J10:J18">
    <cfRule type="expression" dxfId="84" priority="272" stopIfTrue="1">
      <formula>LEFT(#REF!,3)="TIR"</formula>
    </cfRule>
  </conditionalFormatting>
  <conditionalFormatting sqref="A10:A18 O11:O18">
    <cfRule type="expression" dxfId="83" priority="274" stopIfTrue="1">
      <formula>#REF!&gt;0</formula>
    </cfRule>
    <cfRule type="expression" dxfId="82" priority="275" stopIfTrue="1">
      <formula>LEFT(#REF!,3)="TIR"</formula>
    </cfRule>
  </conditionalFormatting>
  <conditionalFormatting sqref="Q11:R18">
    <cfRule type="expression" dxfId="8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FD30-FD79-4374-9C3C-3A5A335E6DC7}">
  <sheetPr codeName="גיליון15">
    <pageSetUpPr fitToPage="1"/>
  </sheetPr>
  <dimension ref="A1:R42"/>
  <sheetViews>
    <sheetView rightToLeft="1" zoomScale="80" zoomScaleNormal="80" workbookViewId="0">
      <selection activeCell="A7" sqref="A7:R37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1.28515625" style="8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2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236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227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230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0" t="s">
        <v>28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2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159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8" customFormat="1" ht="12.75" customHeight="1" thickBot="1" x14ac:dyDescent="0.25">
      <c r="A10" s="120" t="s">
        <v>58</v>
      </c>
      <c r="B10" s="86"/>
      <c r="C10" s="86"/>
      <c r="D10" s="86"/>
      <c r="E10" s="86"/>
      <c r="F10" s="121"/>
      <c r="G10" s="121"/>
      <c r="H10" s="121"/>
      <c r="I10" s="121"/>
      <c r="J10" s="121"/>
      <c r="K10" s="86"/>
      <c r="L10" s="86"/>
      <c r="M10" s="122"/>
      <c r="N10" s="121"/>
      <c r="O10" s="125">
        <v>139441.26342060001</v>
      </c>
      <c r="P10" s="86"/>
      <c r="Q10" s="86">
        <v>1</v>
      </c>
      <c r="R10" s="101">
        <v>5.82715530399582E-2</v>
      </c>
    </row>
    <row r="11" spans="1:18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42" t="s">
        <v>240</v>
      </c>
      <c r="H11" s="142" t="s">
        <v>240</v>
      </c>
      <c r="I11" s="154" t="s">
        <v>240</v>
      </c>
      <c r="J11" s="142" t="s">
        <v>240</v>
      </c>
      <c r="K11" s="141" t="s">
        <v>240</v>
      </c>
      <c r="L11" s="141" t="s">
        <v>240</v>
      </c>
      <c r="M11" s="154" t="s">
        <v>240</v>
      </c>
      <c r="N11" s="142" t="s">
        <v>240</v>
      </c>
      <c r="O11" s="155">
        <v>139441.26342040001</v>
      </c>
      <c r="P11" s="141" t="s">
        <v>240</v>
      </c>
      <c r="Q11" s="141">
        <v>0.9999999999985657</v>
      </c>
      <c r="R11" s="141">
        <v>5.8271553039874621E-2</v>
      </c>
    </row>
    <row r="12" spans="1:18" s="138" customFormat="1" x14ac:dyDescent="0.2">
      <c r="A12" s="112" t="s">
        <v>790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6" t="s">
        <v>240</v>
      </c>
      <c r="H12" s="146" t="s">
        <v>240</v>
      </c>
      <c r="I12" s="154" t="s">
        <v>240</v>
      </c>
      <c r="J12" s="146" t="s">
        <v>240</v>
      </c>
      <c r="K12" s="145" t="s">
        <v>240</v>
      </c>
      <c r="L12" s="145" t="s">
        <v>240</v>
      </c>
      <c r="M12" s="156" t="s">
        <v>240</v>
      </c>
      <c r="N12" s="142" t="s">
        <v>240</v>
      </c>
      <c r="O12" s="147">
        <v>137124.98688010001</v>
      </c>
      <c r="P12" s="145" t="s">
        <v>240</v>
      </c>
      <c r="Q12" s="141">
        <v>0.98338887296572075</v>
      </c>
      <c r="R12" s="141">
        <v>5.7303596869926712E-2</v>
      </c>
    </row>
    <row r="13" spans="1:18" x14ac:dyDescent="0.2">
      <c r="A13" s="30" t="s">
        <v>830</v>
      </c>
      <c r="B13" s="38" t="s">
        <v>831</v>
      </c>
      <c r="C13" s="38" t="s">
        <v>240</v>
      </c>
      <c r="D13" s="38" t="s">
        <v>832</v>
      </c>
      <c r="E13" s="38" t="s">
        <v>833</v>
      </c>
      <c r="F13" s="85" t="s">
        <v>244</v>
      </c>
      <c r="G13" s="80" t="s">
        <v>245</v>
      </c>
      <c r="H13" s="80" t="s">
        <v>834</v>
      </c>
      <c r="I13" s="119">
        <v>10.71</v>
      </c>
      <c r="J13" s="80" t="s">
        <v>246</v>
      </c>
      <c r="K13" s="38">
        <v>4.0999999999999995E-2</v>
      </c>
      <c r="L13" s="38">
        <v>2.8500000000000001E-2</v>
      </c>
      <c r="M13" s="88">
        <v>1450000</v>
      </c>
      <c r="N13" s="85">
        <v>121.02870000000001</v>
      </c>
      <c r="O13" s="104">
        <v>1754.91696</v>
      </c>
      <c r="P13" s="38">
        <v>3.4423101176069167E-4</v>
      </c>
      <c r="Q13" s="46">
        <v>1.2585348963072732E-2</v>
      </c>
      <c r="R13" s="46">
        <v>7.3336782962807572E-4</v>
      </c>
    </row>
    <row r="14" spans="1:18" x14ac:dyDescent="0.2">
      <c r="A14" s="30" t="s">
        <v>830</v>
      </c>
      <c r="B14" s="38" t="s">
        <v>835</v>
      </c>
      <c r="C14" s="38" t="s">
        <v>240</v>
      </c>
      <c r="D14" s="38" t="s">
        <v>832</v>
      </c>
      <c r="E14" s="38" t="s">
        <v>833</v>
      </c>
      <c r="F14" s="85" t="s">
        <v>244</v>
      </c>
      <c r="G14" s="80" t="s">
        <v>245</v>
      </c>
      <c r="H14" s="80" t="s">
        <v>836</v>
      </c>
      <c r="I14" s="119">
        <v>10.85</v>
      </c>
      <c r="J14" s="80" t="s">
        <v>246</v>
      </c>
      <c r="K14" s="38">
        <v>4.0999999999999995E-2</v>
      </c>
      <c r="L14" s="38">
        <v>2.6000000000000002E-2</v>
      </c>
      <c r="M14" s="88">
        <v>14499999.99</v>
      </c>
      <c r="N14" s="85">
        <v>124.16639999999998</v>
      </c>
      <c r="O14" s="104">
        <v>18004.132679999999</v>
      </c>
      <c r="P14" s="38">
        <v>3.4423101152329101E-3</v>
      </c>
      <c r="Q14" s="46">
        <v>0.12911624750339293</v>
      </c>
      <c r="R14" s="46">
        <v>7.5238042647143306E-3</v>
      </c>
    </row>
    <row r="15" spans="1:18" x14ac:dyDescent="0.2">
      <c r="A15" s="30" t="s">
        <v>830</v>
      </c>
      <c r="B15" s="38" t="s">
        <v>837</v>
      </c>
      <c r="C15" s="38" t="s">
        <v>240</v>
      </c>
      <c r="D15" s="38" t="s">
        <v>832</v>
      </c>
      <c r="E15" s="38" t="s">
        <v>833</v>
      </c>
      <c r="F15" s="85" t="s">
        <v>244</v>
      </c>
      <c r="G15" s="80" t="s">
        <v>245</v>
      </c>
      <c r="H15" s="80" t="s">
        <v>838</v>
      </c>
      <c r="I15" s="119">
        <v>10.85</v>
      </c>
      <c r="J15" s="80" t="s">
        <v>246</v>
      </c>
      <c r="K15" s="38">
        <v>4.0999999999999995E-2</v>
      </c>
      <c r="L15" s="38">
        <v>2.6099999999999998E-2</v>
      </c>
      <c r="M15" s="88">
        <v>5800000</v>
      </c>
      <c r="N15" s="85">
        <v>124.1045</v>
      </c>
      <c r="O15" s="104">
        <v>7198.0614800000003</v>
      </c>
      <c r="P15" s="38">
        <v>1.3769240470427667E-3</v>
      </c>
      <c r="Q15" s="46">
        <v>5.1620741977131381E-2</v>
      </c>
      <c r="R15" s="46">
        <v>3.0080208040824076E-3</v>
      </c>
    </row>
    <row r="16" spans="1:18" x14ac:dyDescent="0.2">
      <c r="A16" s="30" t="s">
        <v>830</v>
      </c>
      <c r="B16" s="38" t="s">
        <v>841</v>
      </c>
      <c r="C16" s="38" t="s">
        <v>240</v>
      </c>
      <c r="D16" s="38" t="s">
        <v>832</v>
      </c>
      <c r="E16" s="38" t="s">
        <v>833</v>
      </c>
      <c r="F16" s="85" t="s">
        <v>244</v>
      </c>
      <c r="G16" s="80" t="s">
        <v>245</v>
      </c>
      <c r="H16" s="80" t="s">
        <v>842</v>
      </c>
      <c r="I16" s="119">
        <v>11.18</v>
      </c>
      <c r="J16" s="80" t="s">
        <v>246</v>
      </c>
      <c r="K16" s="38">
        <v>4.0999999999999995E-2</v>
      </c>
      <c r="L16" s="38">
        <v>2.06E-2</v>
      </c>
      <c r="M16" s="88">
        <v>15466666.66</v>
      </c>
      <c r="N16" s="85">
        <v>131.60310000000001</v>
      </c>
      <c r="O16" s="104">
        <v>20354.624949999998</v>
      </c>
      <c r="P16" s="38">
        <v>3.6717974571980399E-3</v>
      </c>
      <c r="Q16" s="46">
        <v>0.14597275190058956</v>
      </c>
      <c r="R16" s="46">
        <v>8.5060589547638638E-3</v>
      </c>
    </row>
    <row r="17" spans="1:18" x14ac:dyDescent="0.2">
      <c r="A17" s="30" t="s">
        <v>830</v>
      </c>
      <c r="B17" s="38" t="s">
        <v>843</v>
      </c>
      <c r="C17" s="38" t="s">
        <v>240</v>
      </c>
      <c r="D17" s="38" t="s">
        <v>832</v>
      </c>
      <c r="E17" s="38" t="s">
        <v>833</v>
      </c>
      <c r="F17" s="85" t="s">
        <v>244</v>
      </c>
      <c r="G17" s="80" t="s">
        <v>245</v>
      </c>
      <c r="H17" s="80" t="s">
        <v>844</v>
      </c>
      <c r="I17" s="119">
        <v>11.24</v>
      </c>
      <c r="J17" s="80" t="s">
        <v>246</v>
      </c>
      <c r="K17" s="38">
        <v>4.0999999999999995E-2</v>
      </c>
      <c r="L17" s="38">
        <v>1.9799999999999998E-2</v>
      </c>
      <c r="M17" s="88">
        <v>9666666.6600000001</v>
      </c>
      <c r="N17" s="85">
        <v>132.8545</v>
      </c>
      <c r="O17" s="104">
        <v>12842.602140000001</v>
      </c>
      <c r="P17" s="38" t="s">
        <v>240</v>
      </c>
      <c r="Q17" s="46">
        <v>9.2100443046493022E-2</v>
      </c>
      <c r="R17" s="46">
        <v>5.3668358519873673E-3</v>
      </c>
    </row>
    <row r="18" spans="1:18" x14ac:dyDescent="0.2">
      <c r="A18" s="30" t="s">
        <v>802</v>
      </c>
      <c r="B18" s="38" t="s">
        <v>803</v>
      </c>
      <c r="C18" s="38" t="s">
        <v>240</v>
      </c>
      <c r="D18" s="38" t="s">
        <v>804</v>
      </c>
      <c r="E18" s="38" t="s">
        <v>202</v>
      </c>
      <c r="F18" s="85" t="s">
        <v>293</v>
      </c>
      <c r="G18" s="80" t="s">
        <v>263</v>
      </c>
      <c r="H18" s="80" t="s">
        <v>805</v>
      </c>
      <c r="I18" s="119">
        <v>5.41</v>
      </c>
      <c r="J18" s="80" t="s">
        <v>246</v>
      </c>
      <c r="K18" s="38">
        <v>4.1399999999999999E-2</v>
      </c>
      <c r="L18" s="38">
        <v>8.3000000000000001E-3</v>
      </c>
      <c r="M18" s="88">
        <v>15000000</v>
      </c>
      <c r="N18" s="85">
        <v>105.1618</v>
      </c>
      <c r="O18" s="104">
        <v>15774.2826</v>
      </c>
      <c r="P18" s="38" t="s">
        <v>240</v>
      </c>
      <c r="Q18" s="46">
        <v>0.11312492595839194</v>
      </c>
      <c r="R18" s="46">
        <v>6.5919651231257795E-3</v>
      </c>
    </row>
    <row r="19" spans="1:18" x14ac:dyDescent="0.2">
      <c r="A19" s="30" t="s">
        <v>799</v>
      </c>
      <c r="B19" s="38" t="s">
        <v>800</v>
      </c>
      <c r="C19" s="38" t="s">
        <v>240</v>
      </c>
      <c r="D19" s="38" t="s">
        <v>801</v>
      </c>
      <c r="E19" s="38" t="s">
        <v>202</v>
      </c>
      <c r="F19" s="85" t="s">
        <v>272</v>
      </c>
      <c r="G19" s="80" t="s">
        <v>245</v>
      </c>
      <c r="H19" s="80" t="s">
        <v>333</v>
      </c>
      <c r="I19" s="119">
        <v>3.36</v>
      </c>
      <c r="J19" s="80" t="s">
        <v>246</v>
      </c>
      <c r="K19" s="38">
        <v>6.6000000000000003E-2</v>
      </c>
      <c r="L19" s="38">
        <v>9.7999999999999997E-3</v>
      </c>
      <c r="M19" s="88">
        <v>2450000</v>
      </c>
      <c r="N19" s="85">
        <v>123.96720000000001</v>
      </c>
      <c r="O19" s="104">
        <v>3037.1981900000001</v>
      </c>
      <c r="P19" s="38" t="s">
        <v>240</v>
      </c>
      <c r="Q19" s="46">
        <v>2.1781201026835412E-2</v>
      </c>
      <c r="R19" s="46">
        <v>1.2692244109092318E-3</v>
      </c>
    </row>
    <row r="20" spans="1:18" x14ac:dyDescent="0.2">
      <c r="A20" s="30" t="s">
        <v>825</v>
      </c>
      <c r="B20" s="38" t="s">
        <v>826</v>
      </c>
      <c r="C20" s="38" t="s">
        <v>240</v>
      </c>
      <c r="D20" s="38" t="s">
        <v>827</v>
      </c>
      <c r="E20" s="38" t="s">
        <v>828</v>
      </c>
      <c r="F20" s="85" t="s">
        <v>819</v>
      </c>
      <c r="G20" s="80" t="s">
        <v>263</v>
      </c>
      <c r="H20" s="80" t="s">
        <v>829</v>
      </c>
      <c r="I20" s="119">
        <v>5.6</v>
      </c>
      <c r="J20" s="80" t="s">
        <v>246</v>
      </c>
      <c r="K20" s="38">
        <v>0.06</v>
      </c>
      <c r="L20" s="38">
        <v>1.55E-2</v>
      </c>
      <c r="M20" s="88">
        <v>9900000</v>
      </c>
      <c r="N20" s="85">
        <v>128.8229</v>
      </c>
      <c r="O20" s="104">
        <v>12753.47345</v>
      </c>
      <c r="P20" s="38">
        <v>1.291790735120267E-2</v>
      </c>
      <c r="Q20" s="46">
        <v>9.1461258576891941E-2</v>
      </c>
      <c r="R20" s="46">
        <v>5.3295895802646905E-3</v>
      </c>
    </row>
    <row r="21" spans="1:18" x14ac:dyDescent="0.2">
      <c r="A21" s="30" t="s">
        <v>825</v>
      </c>
      <c r="B21" s="38" t="s">
        <v>839</v>
      </c>
      <c r="C21" s="38" t="s">
        <v>240</v>
      </c>
      <c r="D21" s="38" t="s">
        <v>827</v>
      </c>
      <c r="E21" s="38" t="s">
        <v>828</v>
      </c>
      <c r="F21" s="85" t="s">
        <v>819</v>
      </c>
      <c r="G21" s="80" t="s">
        <v>263</v>
      </c>
      <c r="H21" s="80" t="s">
        <v>840</v>
      </c>
      <c r="I21" s="119">
        <v>5.62</v>
      </c>
      <c r="J21" s="80" t="s">
        <v>246</v>
      </c>
      <c r="K21" s="38">
        <v>0.06</v>
      </c>
      <c r="L21" s="38">
        <v>1.55E-2</v>
      </c>
      <c r="M21" s="88">
        <v>16950000</v>
      </c>
      <c r="N21" s="85">
        <v>130.46870000000001</v>
      </c>
      <c r="O21" s="104">
        <v>22114.451420000001</v>
      </c>
      <c r="P21" s="38">
        <v>2.2117023192210632E-2</v>
      </c>
      <c r="Q21" s="46">
        <v>0.15859330930827595</v>
      </c>
      <c r="R21" s="46">
        <v>9.2414784351396995E-3</v>
      </c>
    </row>
    <row r="22" spans="1:18" x14ac:dyDescent="0.2">
      <c r="A22" s="30" t="s">
        <v>821</v>
      </c>
      <c r="B22" s="38" t="s">
        <v>822</v>
      </c>
      <c r="C22" s="38" t="s">
        <v>240</v>
      </c>
      <c r="D22" s="38" t="s">
        <v>823</v>
      </c>
      <c r="E22" s="38" t="s">
        <v>204</v>
      </c>
      <c r="F22" s="85" t="s">
        <v>819</v>
      </c>
      <c r="G22" s="80" t="s">
        <v>263</v>
      </c>
      <c r="H22" s="80" t="s">
        <v>824</v>
      </c>
      <c r="I22" s="119">
        <v>2.04</v>
      </c>
      <c r="J22" s="80" t="s">
        <v>246</v>
      </c>
      <c r="K22" s="38">
        <v>2.1000000000000001E-2</v>
      </c>
      <c r="L22" s="38">
        <v>4.99E-2</v>
      </c>
      <c r="M22" s="88">
        <v>894086.14</v>
      </c>
      <c r="N22" s="85">
        <v>101.10600000000001</v>
      </c>
      <c r="O22" s="104">
        <v>903.97510999999997</v>
      </c>
      <c r="P22" s="38">
        <v>4.3304611451257429E-3</v>
      </c>
      <c r="Q22" s="46">
        <v>6.4828379191697247E-3</v>
      </c>
      <c r="R22" s="46">
        <v>3.7776503365635089E-4</v>
      </c>
    </row>
    <row r="23" spans="1:18" x14ac:dyDescent="0.2">
      <c r="A23" s="30" t="s">
        <v>816</v>
      </c>
      <c r="B23" s="38" t="s">
        <v>817</v>
      </c>
      <c r="C23" s="38" t="s">
        <v>240</v>
      </c>
      <c r="D23" s="38" t="s">
        <v>818</v>
      </c>
      <c r="E23" s="38" t="s">
        <v>203</v>
      </c>
      <c r="F23" s="85" t="s">
        <v>819</v>
      </c>
      <c r="G23" s="80" t="s">
        <v>263</v>
      </c>
      <c r="H23" s="80" t="s">
        <v>820</v>
      </c>
      <c r="I23" s="119">
        <v>1.19</v>
      </c>
      <c r="J23" s="80" t="s">
        <v>246</v>
      </c>
      <c r="K23" s="38">
        <v>4.4999999999999998E-2</v>
      </c>
      <c r="L23" s="38">
        <v>2.2099999999999998E-2</v>
      </c>
      <c r="M23" s="88">
        <v>2444400</v>
      </c>
      <c r="N23" s="85">
        <v>111.66100000000002</v>
      </c>
      <c r="O23" s="104">
        <v>2729.4417000000003</v>
      </c>
      <c r="P23" s="38">
        <v>1.6296000000000001E-2</v>
      </c>
      <c r="Q23" s="46">
        <v>1.9574132025519018E-2</v>
      </c>
      <c r="R23" s="46">
        <v>1.1406150725361761E-3</v>
      </c>
    </row>
    <row r="24" spans="1:18" x14ac:dyDescent="0.2">
      <c r="A24" s="30" t="s">
        <v>851</v>
      </c>
      <c r="B24" s="38" t="s">
        <v>852</v>
      </c>
      <c r="C24" s="38" t="s">
        <v>240</v>
      </c>
      <c r="D24" s="38" t="s">
        <v>853</v>
      </c>
      <c r="E24" s="38" t="s">
        <v>204</v>
      </c>
      <c r="F24" s="85" t="s">
        <v>262</v>
      </c>
      <c r="G24" s="80" t="s">
        <v>263</v>
      </c>
      <c r="H24" s="80" t="s">
        <v>854</v>
      </c>
      <c r="I24" s="119">
        <v>0.75</v>
      </c>
      <c r="J24" s="80" t="s">
        <v>246</v>
      </c>
      <c r="K24" s="38">
        <v>5.7000000000000002E-2</v>
      </c>
      <c r="L24" s="38">
        <v>1.38E-2</v>
      </c>
      <c r="M24" s="88">
        <v>2097.9899999999998</v>
      </c>
      <c r="N24" s="85">
        <v>120.45059999999998</v>
      </c>
      <c r="O24" s="104">
        <v>2.52704</v>
      </c>
      <c r="P24" s="38">
        <v>3.2348747682728503E-4</v>
      </c>
      <c r="Q24" s="46">
        <v>1.812261261845878E-5</v>
      </c>
      <c r="R24" s="46">
        <v>1.0560327824191365E-6</v>
      </c>
    </row>
    <row r="25" spans="1:18" x14ac:dyDescent="0.2">
      <c r="A25" s="30" t="s">
        <v>845</v>
      </c>
      <c r="B25" s="38" t="s">
        <v>846</v>
      </c>
      <c r="C25" s="38" t="s">
        <v>240</v>
      </c>
      <c r="D25" s="38" t="s">
        <v>847</v>
      </c>
      <c r="E25" s="38" t="s">
        <v>208</v>
      </c>
      <c r="F25" s="85" t="s">
        <v>809</v>
      </c>
      <c r="G25" s="80" t="s">
        <v>245</v>
      </c>
      <c r="H25" s="80" t="s">
        <v>848</v>
      </c>
      <c r="I25" s="119">
        <v>7.4800000000000013</v>
      </c>
      <c r="J25" s="80" t="s">
        <v>246</v>
      </c>
      <c r="K25" s="38">
        <v>2.1000000000000001E-2</v>
      </c>
      <c r="L25" s="38">
        <v>3.7200000000000004E-2</v>
      </c>
      <c r="M25" s="88">
        <v>6000000</v>
      </c>
      <c r="N25" s="85">
        <v>99.308000000000007</v>
      </c>
      <c r="O25" s="104">
        <v>5958.4803200000006</v>
      </c>
      <c r="P25" s="38">
        <v>7.5071317751864274E-3</v>
      </c>
      <c r="Q25" s="46">
        <v>4.2731112540391247E-2</v>
      </c>
      <c r="R25" s="46">
        <v>2.4900082908538316E-3</v>
      </c>
    </row>
    <row r="26" spans="1:18" x14ac:dyDescent="0.2">
      <c r="A26" s="30" t="s">
        <v>845</v>
      </c>
      <c r="B26" s="38" t="s">
        <v>849</v>
      </c>
      <c r="C26" s="38" t="s">
        <v>240</v>
      </c>
      <c r="D26" s="38" t="s">
        <v>847</v>
      </c>
      <c r="E26" s="38" t="s">
        <v>240</v>
      </c>
      <c r="F26" s="85" t="s">
        <v>809</v>
      </c>
      <c r="G26" s="80" t="s">
        <v>245</v>
      </c>
      <c r="H26" s="80" t="s">
        <v>850</v>
      </c>
      <c r="I26" s="119">
        <v>7.5099999999999989</v>
      </c>
      <c r="J26" s="80" t="s">
        <v>246</v>
      </c>
      <c r="K26" s="38">
        <v>2.1000000000000001E-2</v>
      </c>
      <c r="L26" s="38">
        <v>5.0599999999999999E-2</v>
      </c>
      <c r="M26" s="88">
        <v>9000000</v>
      </c>
      <c r="N26" s="85">
        <v>103.8305</v>
      </c>
      <c r="O26" s="104">
        <v>9344.7496199999987</v>
      </c>
      <c r="P26" s="38" t="s">
        <v>240</v>
      </c>
      <c r="Q26" s="46">
        <v>6.7015669470902664E-2</v>
      </c>
      <c r="R26" s="46">
        <v>3.9051071380820116E-3</v>
      </c>
    </row>
    <row r="27" spans="1:18" x14ac:dyDescent="0.2">
      <c r="A27" s="30" t="s">
        <v>806</v>
      </c>
      <c r="B27" s="38" t="s">
        <v>807</v>
      </c>
      <c r="C27" s="38" t="s">
        <v>240</v>
      </c>
      <c r="D27" s="38" t="s">
        <v>808</v>
      </c>
      <c r="E27" s="38" t="s">
        <v>204</v>
      </c>
      <c r="F27" s="85" t="s">
        <v>809</v>
      </c>
      <c r="G27" s="80" t="s">
        <v>245</v>
      </c>
      <c r="H27" s="80" t="s">
        <v>810</v>
      </c>
      <c r="I27" s="119">
        <v>2.4300000000000002</v>
      </c>
      <c r="J27" s="80" t="s">
        <v>246</v>
      </c>
      <c r="K27" s="38">
        <v>7.7499999999999999E-2</v>
      </c>
      <c r="L27" s="38">
        <v>1.0800000000000001E-2</v>
      </c>
      <c r="M27" s="88">
        <v>1573156.5</v>
      </c>
      <c r="N27" s="85">
        <v>125.46519999999998</v>
      </c>
      <c r="O27" s="104">
        <v>1973.76512</v>
      </c>
      <c r="P27" s="38">
        <v>6.7856467456374973E-3</v>
      </c>
      <c r="Q27" s="46">
        <v>1.4154813801754545E-2</v>
      </c>
      <c r="R27" s="46">
        <v>8.2482298321967236E-4</v>
      </c>
    </row>
    <row r="28" spans="1:18" x14ac:dyDescent="0.2">
      <c r="A28" s="30" t="s">
        <v>794</v>
      </c>
      <c r="B28" s="38" t="s">
        <v>795</v>
      </c>
      <c r="C28" s="38" t="s">
        <v>240</v>
      </c>
      <c r="D28" s="38" t="s">
        <v>796</v>
      </c>
      <c r="E28" s="38" t="s">
        <v>203</v>
      </c>
      <c r="F28" s="85" t="s">
        <v>797</v>
      </c>
      <c r="G28" s="80" t="s">
        <v>263</v>
      </c>
      <c r="H28" s="80" t="s">
        <v>798</v>
      </c>
      <c r="I28" s="119">
        <v>6.6</v>
      </c>
      <c r="J28" s="80" t="s">
        <v>246</v>
      </c>
      <c r="K28" s="38">
        <v>3.3000000000000002E-2</v>
      </c>
      <c r="L28" s="38">
        <v>8.1000000000000013E-3</v>
      </c>
      <c r="M28" s="88">
        <v>1875000</v>
      </c>
      <c r="N28" s="85">
        <v>102.3342</v>
      </c>
      <c r="O28" s="104">
        <v>1918.7668000000001</v>
      </c>
      <c r="P28" s="38">
        <v>9.2364532019704442E-3</v>
      </c>
      <c r="Q28" s="46">
        <v>1.376039454126558E-2</v>
      </c>
      <c r="R28" s="46">
        <v>8.0183956036210854E-4</v>
      </c>
    </row>
    <row r="29" spans="1:18" x14ac:dyDescent="0.2">
      <c r="A29" s="30" t="s">
        <v>855</v>
      </c>
      <c r="B29" s="38" t="s">
        <v>856</v>
      </c>
      <c r="C29" s="38" t="s">
        <v>240</v>
      </c>
      <c r="D29" s="38" t="s">
        <v>813</v>
      </c>
      <c r="E29" s="38" t="s">
        <v>209</v>
      </c>
      <c r="F29" s="85" t="s">
        <v>814</v>
      </c>
      <c r="G29" s="80" t="s">
        <v>245</v>
      </c>
      <c r="H29" s="80" t="s">
        <v>333</v>
      </c>
      <c r="I29" s="119">
        <v>0.43</v>
      </c>
      <c r="J29" s="80" t="s">
        <v>246</v>
      </c>
      <c r="K29" s="38">
        <v>6.7500000000000004E-2</v>
      </c>
      <c r="L29" s="38">
        <v>5.67E-2</v>
      </c>
      <c r="M29" s="88">
        <v>174504.27</v>
      </c>
      <c r="N29" s="85">
        <v>125.28230000000001</v>
      </c>
      <c r="O29" s="104">
        <v>218.62306000000001</v>
      </c>
      <c r="P29" s="38">
        <v>9.5730092509213032E-3</v>
      </c>
      <c r="Q29" s="46">
        <v>1.5678505389079994E-3</v>
      </c>
      <c r="R29" s="46">
        <v>9.1361085836704533E-5</v>
      </c>
    </row>
    <row r="30" spans="1:18" x14ac:dyDescent="0.2">
      <c r="A30" s="30" t="s">
        <v>811</v>
      </c>
      <c r="B30" s="38" t="s">
        <v>812</v>
      </c>
      <c r="C30" s="38" t="s">
        <v>240</v>
      </c>
      <c r="D30" s="38" t="s">
        <v>813</v>
      </c>
      <c r="E30" s="38" t="s">
        <v>209</v>
      </c>
      <c r="F30" s="85" t="s">
        <v>814</v>
      </c>
      <c r="G30" s="80" t="s">
        <v>245</v>
      </c>
      <c r="H30" s="80" t="s">
        <v>815</v>
      </c>
      <c r="I30" s="119">
        <v>0.49</v>
      </c>
      <c r="J30" s="80" t="s">
        <v>246</v>
      </c>
      <c r="K30" s="38">
        <v>6.7000000000000004E-2</v>
      </c>
      <c r="L30" s="38">
        <v>5.8400000000000001E-2</v>
      </c>
      <c r="M30" s="88">
        <v>190864.51</v>
      </c>
      <c r="N30" s="85">
        <v>126.2226</v>
      </c>
      <c r="O30" s="104">
        <v>240.91423999999998</v>
      </c>
      <c r="P30" s="38">
        <v>4.7458265387927967E-3</v>
      </c>
      <c r="Q30" s="46">
        <v>1.7277112533993946E-3</v>
      </c>
      <c r="R30" s="46">
        <v>1.0067641794019548E-4</v>
      </c>
    </row>
    <row r="31" spans="1:18" s="138" customFormat="1" x14ac:dyDescent="0.2">
      <c r="A31" s="112" t="s">
        <v>791</v>
      </c>
      <c r="B31" s="145" t="s">
        <v>240</v>
      </c>
      <c r="C31" s="145" t="s">
        <v>240</v>
      </c>
      <c r="D31" s="145" t="s">
        <v>240</v>
      </c>
      <c r="E31" s="145" t="s">
        <v>240</v>
      </c>
      <c r="F31" s="142" t="s">
        <v>240</v>
      </c>
      <c r="G31" s="146" t="s">
        <v>240</v>
      </c>
      <c r="H31" s="146" t="s">
        <v>240</v>
      </c>
      <c r="I31" s="154" t="s">
        <v>240</v>
      </c>
      <c r="J31" s="146" t="s">
        <v>240</v>
      </c>
      <c r="K31" s="145" t="s">
        <v>240</v>
      </c>
      <c r="L31" s="145" t="s">
        <v>240</v>
      </c>
      <c r="M31" s="156" t="s">
        <v>240</v>
      </c>
      <c r="N31" s="142" t="s">
        <v>240</v>
      </c>
      <c r="O31" s="147">
        <v>2316.2765400999997</v>
      </c>
      <c r="P31" s="145" t="s">
        <v>240</v>
      </c>
      <c r="Q31" s="141">
        <v>1.661112703141078E-2</v>
      </c>
      <c r="R31" s="141">
        <v>9.6795616986433664E-4</v>
      </c>
    </row>
    <row r="32" spans="1:18" x14ac:dyDescent="0.2">
      <c r="A32" s="30" t="s">
        <v>857</v>
      </c>
      <c r="B32" s="38" t="s">
        <v>858</v>
      </c>
      <c r="C32" s="38" t="s">
        <v>240</v>
      </c>
      <c r="D32" s="38" t="s">
        <v>859</v>
      </c>
      <c r="E32" s="38" t="s">
        <v>202</v>
      </c>
      <c r="F32" s="85" t="s">
        <v>797</v>
      </c>
      <c r="G32" s="80" t="s">
        <v>263</v>
      </c>
      <c r="H32" s="80" t="s">
        <v>860</v>
      </c>
      <c r="I32" s="119">
        <v>3.46</v>
      </c>
      <c r="J32" s="80" t="s">
        <v>246</v>
      </c>
      <c r="K32" s="38">
        <v>5.1799999999999999E-2</v>
      </c>
      <c r="L32" s="38">
        <v>3.7699999999999997E-2</v>
      </c>
      <c r="M32" s="88">
        <v>2286824</v>
      </c>
      <c r="N32" s="85">
        <v>101.28789999999998</v>
      </c>
      <c r="O32" s="104">
        <v>2316.2765399999998</v>
      </c>
      <c r="P32" s="38">
        <v>1.6460260562873391E-2</v>
      </c>
      <c r="Q32" s="46">
        <v>1.6611127030693635E-2</v>
      </c>
      <c r="R32" s="46">
        <v>9.6795616982254737E-4</v>
      </c>
    </row>
    <row r="33" spans="1:18" s="138" customFormat="1" x14ac:dyDescent="0.2">
      <c r="A33" s="112" t="s">
        <v>286</v>
      </c>
      <c r="B33" s="145" t="s">
        <v>240</v>
      </c>
      <c r="C33" s="145" t="s">
        <v>240</v>
      </c>
      <c r="D33" s="145" t="s">
        <v>240</v>
      </c>
      <c r="E33" s="145" t="s">
        <v>240</v>
      </c>
      <c r="F33" s="142" t="s">
        <v>240</v>
      </c>
      <c r="G33" s="146" t="s">
        <v>240</v>
      </c>
      <c r="H33" s="146" t="s">
        <v>240</v>
      </c>
      <c r="I33" s="154" t="s">
        <v>240</v>
      </c>
      <c r="J33" s="146" t="s">
        <v>240</v>
      </c>
      <c r="K33" s="145" t="s">
        <v>240</v>
      </c>
      <c r="L33" s="145" t="s">
        <v>240</v>
      </c>
      <c r="M33" s="156" t="s">
        <v>240</v>
      </c>
      <c r="N33" s="142" t="s">
        <v>240</v>
      </c>
      <c r="O33" s="147">
        <v>0</v>
      </c>
      <c r="P33" s="145" t="s">
        <v>240</v>
      </c>
      <c r="Q33" s="141">
        <v>0</v>
      </c>
      <c r="R33" s="141">
        <v>0</v>
      </c>
    </row>
    <row r="34" spans="1:18" s="138" customFormat="1" x14ac:dyDescent="0.2">
      <c r="A34" s="112" t="s">
        <v>144</v>
      </c>
      <c r="B34" s="145" t="s">
        <v>240</v>
      </c>
      <c r="C34" s="145" t="s">
        <v>240</v>
      </c>
      <c r="D34" s="145" t="s">
        <v>240</v>
      </c>
      <c r="E34" s="145" t="s">
        <v>240</v>
      </c>
      <c r="F34" s="142" t="s">
        <v>240</v>
      </c>
      <c r="G34" s="146" t="s">
        <v>240</v>
      </c>
      <c r="H34" s="146" t="s">
        <v>240</v>
      </c>
      <c r="I34" s="154" t="s">
        <v>240</v>
      </c>
      <c r="J34" s="146" t="s">
        <v>240</v>
      </c>
      <c r="K34" s="145" t="s">
        <v>240</v>
      </c>
      <c r="L34" s="145" t="s">
        <v>240</v>
      </c>
      <c r="M34" s="156" t="s">
        <v>240</v>
      </c>
      <c r="N34" s="142" t="s">
        <v>240</v>
      </c>
      <c r="O34" s="147">
        <v>0</v>
      </c>
      <c r="P34" s="145" t="s">
        <v>240</v>
      </c>
      <c r="Q34" s="141">
        <v>0</v>
      </c>
      <c r="R34" s="141">
        <v>0</v>
      </c>
    </row>
    <row r="35" spans="1:18" s="138" customFormat="1" x14ac:dyDescent="0.2">
      <c r="A35" s="112" t="s">
        <v>283</v>
      </c>
      <c r="B35" s="145" t="s">
        <v>240</v>
      </c>
      <c r="C35" s="145" t="s">
        <v>240</v>
      </c>
      <c r="D35" s="145" t="s">
        <v>240</v>
      </c>
      <c r="E35" s="145" t="s">
        <v>240</v>
      </c>
      <c r="F35" s="142" t="s">
        <v>240</v>
      </c>
      <c r="G35" s="146" t="s">
        <v>240</v>
      </c>
      <c r="H35" s="146" t="s">
        <v>240</v>
      </c>
      <c r="I35" s="154" t="s">
        <v>240</v>
      </c>
      <c r="J35" s="146" t="s">
        <v>240</v>
      </c>
      <c r="K35" s="145" t="s">
        <v>240</v>
      </c>
      <c r="L35" s="145" t="s">
        <v>240</v>
      </c>
      <c r="M35" s="156" t="s">
        <v>240</v>
      </c>
      <c r="N35" s="142" t="s">
        <v>240</v>
      </c>
      <c r="O35" s="147">
        <v>0</v>
      </c>
      <c r="P35" s="145" t="s">
        <v>240</v>
      </c>
      <c r="Q35" s="141">
        <v>0</v>
      </c>
      <c r="R35" s="141">
        <v>0</v>
      </c>
    </row>
    <row r="36" spans="1:18" s="138" customFormat="1" x14ac:dyDescent="0.2">
      <c r="A36" s="112" t="s">
        <v>861</v>
      </c>
      <c r="B36" s="145" t="s">
        <v>240</v>
      </c>
      <c r="C36" s="145" t="s">
        <v>240</v>
      </c>
      <c r="D36" s="145" t="s">
        <v>240</v>
      </c>
      <c r="E36" s="145" t="s">
        <v>240</v>
      </c>
      <c r="F36" s="142" t="s">
        <v>240</v>
      </c>
      <c r="G36" s="146" t="s">
        <v>240</v>
      </c>
      <c r="H36" s="146" t="s">
        <v>240</v>
      </c>
      <c r="I36" s="154" t="s">
        <v>240</v>
      </c>
      <c r="J36" s="146" t="s">
        <v>240</v>
      </c>
      <c r="K36" s="145" t="s">
        <v>240</v>
      </c>
      <c r="L36" s="145" t="s">
        <v>240</v>
      </c>
      <c r="M36" s="156" t="s">
        <v>240</v>
      </c>
      <c r="N36" s="142" t="s">
        <v>240</v>
      </c>
      <c r="O36" s="147">
        <v>0</v>
      </c>
      <c r="P36" s="145" t="s">
        <v>240</v>
      </c>
      <c r="Q36" s="141">
        <v>0</v>
      </c>
      <c r="R36" s="141">
        <v>0</v>
      </c>
    </row>
    <row r="37" spans="1:18" s="138" customFormat="1" x14ac:dyDescent="0.2">
      <c r="A37" s="226" t="s">
        <v>862</v>
      </c>
      <c r="B37" s="220" t="s">
        <v>240</v>
      </c>
      <c r="C37" s="220" t="s">
        <v>240</v>
      </c>
      <c r="D37" s="220" t="s">
        <v>240</v>
      </c>
      <c r="E37" s="220" t="s">
        <v>240</v>
      </c>
      <c r="F37" s="221" t="s">
        <v>240</v>
      </c>
      <c r="G37" s="222" t="s">
        <v>240</v>
      </c>
      <c r="H37" s="222" t="s">
        <v>240</v>
      </c>
      <c r="I37" s="233" t="s">
        <v>240</v>
      </c>
      <c r="J37" s="222" t="s">
        <v>240</v>
      </c>
      <c r="K37" s="220" t="s">
        <v>240</v>
      </c>
      <c r="L37" s="220" t="s">
        <v>240</v>
      </c>
      <c r="M37" s="227" t="s">
        <v>240</v>
      </c>
      <c r="N37" s="221" t="s">
        <v>240</v>
      </c>
      <c r="O37" s="223">
        <v>0</v>
      </c>
      <c r="P37" s="220" t="s">
        <v>240</v>
      </c>
      <c r="Q37" s="224">
        <v>0</v>
      </c>
      <c r="R37" s="224">
        <v>0</v>
      </c>
    </row>
    <row r="38" spans="1:18" s="138" customFormat="1" x14ac:dyDescent="0.2">
      <c r="A38" s="97" t="s">
        <v>231</v>
      </c>
      <c r="B38" s="148"/>
      <c r="C38" s="148"/>
      <c r="D38" s="148"/>
      <c r="E38" s="97"/>
      <c r="F38" s="149"/>
      <c r="G38" s="149"/>
      <c r="H38" s="149"/>
      <c r="I38" s="150"/>
      <c r="J38" s="151"/>
      <c r="K38" s="152"/>
      <c r="L38" s="152"/>
      <c r="M38" s="152"/>
      <c r="N38" s="151"/>
      <c r="O38" s="151"/>
      <c r="P38" s="157"/>
      <c r="Q38" s="157"/>
      <c r="R38" s="157"/>
    </row>
    <row r="39" spans="1:18" s="138" customFormat="1" x14ac:dyDescent="0.2">
      <c r="A39" s="97" t="s">
        <v>232</v>
      </c>
      <c r="B39" s="148"/>
      <c r="C39" s="148"/>
      <c r="D39" s="148"/>
      <c r="E39" s="97"/>
      <c r="F39" s="149"/>
      <c r="G39" s="149"/>
      <c r="H39" s="149"/>
      <c r="I39" s="150"/>
      <c r="J39" s="151"/>
      <c r="K39" s="152"/>
      <c r="L39" s="152"/>
      <c r="M39" s="152"/>
      <c r="N39" s="151"/>
      <c r="O39" s="151"/>
      <c r="P39" s="157"/>
      <c r="Q39" s="157"/>
      <c r="R39" s="157"/>
    </row>
    <row r="40" spans="1:18" s="138" customFormat="1" x14ac:dyDescent="0.2">
      <c r="A40" s="97" t="s">
        <v>233</v>
      </c>
      <c r="B40" s="148"/>
      <c r="C40" s="148"/>
      <c r="D40" s="148"/>
      <c r="E40" s="97"/>
      <c r="F40" s="149"/>
      <c r="G40" s="149"/>
      <c r="H40" s="149"/>
      <c r="I40" s="150"/>
      <c r="J40" s="151"/>
      <c r="K40" s="152"/>
      <c r="L40" s="152"/>
      <c r="M40" s="152"/>
      <c r="N40" s="151"/>
      <c r="O40" s="151"/>
      <c r="P40" s="157"/>
      <c r="Q40" s="157"/>
      <c r="R40" s="157"/>
    </row>
    <row r="41" spans="1:18" s="138" customFormat="1" x14ac:dyDescent="0.2">
      <c r="A41" s="97" t="s">
        <v>234</v>
      </c>
      <c r="B41" s="148"/>
      <c r="C41" s="148"/>
      <c r="D41" s="148"/>
      <c r="E41" s="97"/>
      <c r="F41" s="149"/>
      <c r="G41" s="149"/>
      <c r="H41" s="149"/>
      <c r="I41" s="150"/>
      <c r="J41" s="151"/>
      <c r="K41" s="152"/>
      <c r="L41" s="152"/>
      <c r="M41" s="152"/>
      <c r="N41" s="151"/>
      <c r="O41" s="151"/>
      <c r="P41" s="157"/>
      <c r="Q41" s="157"/>
      <c r="R41" s="157"/>
    </row>
    <row r="42" spans="1:18" s="138" customFormat="1" x14ac:dyDescent="0.2">
      <c r="A42" s="97" t="s">
        <v>235</v>
      </c>
      <c r="B42" s="148"/>
      <c r="C42" s="148"/>
      <c r="D42" s="148"/>
      <c r="E42" s="97"/>
      <c r="F42" s="149"/>
      <c r="G42" s="149"/>
      <c r="H42" s="149"/>
      <c r="I42" s="150"/>
      <c r="J42" s="151"/>
      <c r="K42" s="152"/>
      <c r="L42" s="152"/>
      <c r="M42" s="152"/>
      <c r="N42" s="151"/>
      <c r="O42" s="151"/>
      <c r="P42" s="157"/>
      <c r="Q42" s="157"/>
      <c r="R42" s="157"/>
    </row>
  </sheetData>
  <sortState ref="A13:AA30">
    <sortCondition ref="A13:A30" customList="א,ב,ג,ד,ה,ו,ז,ח,ט,י,כ,ל,מ,נ,ס,ע,פ,צ,ק,ר,ש,ת"/>
  </sortState>
  <mergeCells count="2">
    <mergeCell ref="A6:R6"/>
    <mergeCell ref="A5:R5"/>
  </mergeCells>
  <conditionalFormatting sqref="B10:H37 J10:J37 Q10:R37">
    <cfRule type="expression" dxfId="80" priority="290" stopIfTrue="1">
      <formula>OR(LEFT(#REF!,3)="TIR",LEFT(#REF!,2)="IR")</formula>
    </cfRule>
  </conditionalFormatting>
  <conditionalFormatting sqref="J1:J4 I10:I37 K10:N37 P10:Q37 J38:J55572">
    <cfRule type="expression" dxfId="79" priority="293" stopIfTrue="1">
      <formula>LEFT(#REF!,3)="TIR"</formula>
    </cfRule>
  </conditionalFormatting>
  <conditionalFormatting sqref="K7">
    <cfRule type="expression" dxfId="78" priority="298" stopIfTrue="1">
      <formula>LEFT(#REF!,3)="TIR"</formula>
    </cfRule>
  </conditionalFormatting>
  <conditionalFormatting sqref="A10:A37 O10:O37">
    <cfRule type="expression" dxfId="77" priority="299" stopIfTrue="1">
      <formula>#REF!&gt;0</formula>
    </cfRule>
    <cfRule type="expression" dxfId="7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6656-01C5-4CB8-A0A9-C5983519BC5D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9" customWidth="1"/>
    <col min="7" max="7" width="10.5703125" style="79" customWidth="1"/>
    <col min="8" max="8" width="8.8554687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236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227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159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8" customFormat="1" ht="12.75" customHeight="1" thickBot="1" x14ac:dyDescent="0.25">
      <c r="A10" s="120" t="s">
        <v>59</v>
      </c>
      <c r="B10" s="86"/>
      <c r="C10" s="86"/>
      <c r="D10" s="86"/>
      <c r="E10" s="86"/>
      <c r="F10" s="121"/>
      <c r="G10" s="122"/>
      <c r="H10" s="121"/>
      <c r="I10" s="125">
        <v>3.0000000000000004E-7</v>
      </c>
      <c r="J10" s="86"/>
      <c r="K10" s="86">
        <v>1</v>
      </c>
      <c r="L10" s="78">
        <v>0</v>
      </c>
    </row>
    <row r="11" spans="1:17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54" t="s">
        <v>240</v>
      </c>
      <c r="H11" s="142" t="s">
        <v>240</v>
      </c>
      <c r="I11" s="155">
        <v>0</v>
      </c>
      <c r="J11" s="141" t="s">
        <v>240</v>
      </c>
      <c r="K11" s="141">
        <v>0</v>
      </c>
      <c r="L11" s="141">
        <v>0</v>
      </c>
    </row>
    <row r="12" spans="1:17" s="138" customFormat="1" x14ac:dyDescent="0.2">
      <c r="A12" s="112" t="s">
        <v>283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6" t="s">
        <v>240</v>
      </c>
      <c r="G12" s="156" t="s">
        <v>240</v>
      </c>
      <c r="H12" s="142" t="s">
        <v>240</v>
      </c>
      <c r="I12" s="143">
        <v>0</v>
      </c>
      <c r="J12" s="141" t="s">
        <v>240</v>
      </c>
      <c r="K12" s="141">
        <v>0</v>
      </c>
      <c r="L12" s="141">
        <v>0</v>
      </c>
    </row>
    <row r="13" spans="1:17" s="138" customFormat="1" x14ac:dyDescent="0.2">
      <c r="A13" s="112" t="s">
        <v>146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6" t="s">
        <v>240</v>
      </c>
      <c r="G13" s="156" t="s">
        <v>240</v>
      </c>
      <c r="H13" s="142" t="s">
        <v>240</v>
      </c>
      <c r="I13" s="143">
        <v>0</v>
      </c>
      <c r="J13" s="141" t="s">
        <v>240</v>
      </c>
      <c r="K13" s="141">
        <v>0</v>
      </c>
      <c r="L13" s="141">
        <v>0</v>
      </c>
    </row>
    <row r="14" spans="1:17" s="138" customFormat="1" x14ac:dyDescent="0.2">
      <c r="A14" s="226" t="s">
        <v>147</v>
      </c>
      <c r="B14" s="220" t="s">
        <v>240</v>
      </c>
      <c r="C14" s="220" t="s">
        <v>240</v>
      </c>
      <c r="D14" s="220" t="s">
        <v>240</v>
      </c>
      <c r="E14" s="220" t="s">
        <v>240</v>
      </c>
      <c r="F14" s="222" t="s">
        <v>240</v>
      </c>
      <c r="G14" s="227" t="s">
        <v>240</v>
      </c>
      <c r="H14" s="221" t="s">
        <v>240</v>
      </c>
      <c r="I14" s="234">
        <v>0</v>
      </c>
      <c r="J14" s="224" t="s">
        <v>240</v>
      </c>
      <c r="K14" s="224">
        <v>0</v>
      </c>
      <c r="L14" s="224">
        <v>0</v>
      </c>
    </row>
    <row r="15" spans="1:17" s="138" customFormat="1" x14ac:dyDescent="0.2">
      <c r="A15" s="97" t="s">
        <v>231</v>
      </c>
      <c r="B15" s="148"/>
      <c r="C15" s="148"/>
      <c r="D15" s="148"/>
      <c r="E15" s="97"/>
      <c r="F15" s="149"/>
      <c r="G15" s="149"/>
      <c r="H15" s="149"/>
      <c r="I15" s="150"/>
      <c r="J15" s="151"/>
      <c r="K15" s="151"/>
      <c r="L15" s="152"/>
      <c r="M15" s="169"/>
      <c r="N15" s="169"/>
      <c r="O15" s="153"/>
      <c r="P15" s="153"/>
    </row>
    <row r="16" spans="1:17" s="138" customFormat="1" x14ac:dyDescent="0.2">
      <c r="A16" s="97" t="s">
        <v>232</v>
      </c>
      <c r="B16" s="148"/>
      <c r="C16" s="148"/>
      <c r="D16" s="148"/>
      <c r="E16" s="97"/>
      <c r="F16" s="149"/>
      <c r="G16" s="149"/>
      <c r="H16" s="149"/>
      <c r="I16" s="150"/>
      <c r="J16" s="151"/>
      <c r="K16" s="151"/>
      <c r="L16" s="152"/>
      <c r="M16" s="169"/>
      <c r="N16" s="169"/>
      <c r="O16" s="153"/>
      <c r="P16" s="153"/>
    </row>
    <row r="17" spans="1:16" s="138" customFormat="1" x14ac:dyDescent="0.2">
      <c r="A17" s="97" t="s">
        <v>233</v>
      </c>
      <c r="B17" s="148"/>
      <c r="C17" s="148"/>
      <c r="D17" s="148"/>
      <c r="E17" s="97"/>
      <c r="F17" s="149"/>
      <c r="G17" s="149"/>
      <c r="H17" s="149"/>
      <c r="I17" s="150"/>
      <c r="J17" s="151"/>
      <c r="K17" s="151"/>
      <c r="L17" s="152"/>
      <c r="M17" s="169"/>
      <c r="N17" s="169"/>
      <c r="O17" s="153"/>
      <c r="P17" s="153"/>
    </row>
    <row r="18" spans="1:16" s="138" customFormat="1" x14ac:dyDescent="0.2">
      <c r="A18" s="97" t="s">
        <v>234</v>
      </c>
      <c r="B18" s="148"/>
      <c r="C18" s="148"/>
      <c r="D18" s="148"/>
      <c r="E18" s="97"/>
      <c r="F18" s="149"/>
      <c r="G18" s="149"/>
      <c r="H18" s="149"/>
      <c r="I18" s="150"/>
      <c r="J18" s="151"/>
      <c r="K18" s="151"/>
      <c r="L18" s="152"/>
      <c r="M18" s="169"/>
      <c r="N18" s="169"/>
      <c r="O18" s="153"/>
      <c r="P18" s="153"/>
    </row>
    <row r="19" spans="1:16" s="138" customFormat="1" x14ac:dyDescent="0.2">
      <c r="A19" s="97" t="s">
        <v>235</v>
      </c>
      <c r="B19" s="148"/>
      <c r="C19" s="148"/>
      <c r="D19" s="148"/>
      <c r="E19" s="97"/>
      <c r="F19" s="149"/>
      <c r="G19" s="149"/>
      <c r="H19" s="149"/>
      <c r="I19" s="150"/>
      <c r="J19" s="151"/>
      <c r="K19" s="151"/>
      <c r="L19" s="152"/>
      <c r="M19" s="169"/>
      <c r="N19" s="169"/>
      <c r="O19" s="153"/>
      <c r="P19" s="153"/>
    </row>
  </sheetData>
  <mergeCells count="2">
    <mergeCell ref="A6:L6"/>
    <mergeCell ref="A5:L5"/>
  </mergeCells>
  <conditionalFormatting sqref="J1:K4 G10:H14 J10:J55549">
    <cfRule type="expression" dxfId="75" priority="312" stopIfTrue="1">
      <formula>LEFT(#REF!,3)="TIR"</formula>
    </cfRule>
  </conditionalFormatting>
  <conditionalFormatting sqref="B10:F14 K10:K14 L11:L14">
    <cfRule type="expression" dxfId="74" priority="315" stopIfTrue="1">
      <formula>OR(LEFT(#REF!,3)="TIR",LEFT(#REF!,2)="IR")</formula>
    </cfRule>
  </conditionalFormatting>
  <conditionalFormatting sqref="A10:A14 I10:I14">
    <cfRule type="expression" dxfId="73" priority="318" stopIfTrue="1">
      <formula>#REF!&gt;0</formula>
    </cfRule>
    <cfRule type="expression" dxfId="72" priority="319" stopIfTrue="1">
      <formula>LEFT(#REF!,3)="TIR"</formula>
    </cfRule>
  </conditionalFormatting>
  <conditionalFormatting sqref="C10:D14">
    <cfRule type="expression" dxfId="7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B3C6-D395-46E7-B4A0-CCD1D13C9DC5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9" customWidth="1"/>
    <col min="4" max="4" width="14.140625" style="79" customWidth="1"/>
    <col min="5" max="5" width="10.5703125" style="79" customWidth="1"/>
    <col min="6" max="6" width="7" style="50" customWidth="1"/>
    <col min="7" max="7" width="10.42578125" style="81" customWidth="1"/>
    <col min="8" max="8" width="22" style="83" customWidth="1"/>
    <col min="9" max="9" width="25.42578125" style="83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236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227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159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8" customFormat="1" ht="12.75" customHeight="1" thickBot="1" x14ac:dyDescent="0.25">
      <c r="A10" s="120" t="s">
        <v>60</v>
      </c>
      <c r="B10" s="86" t="s">
        <v>240</v>
      </c>
      <c r="C10" s="121" t="s">
        <v>240</v>
      </c>
      <c r="D10" s="121" t="s">
        <v>240</v>
      </c>
      <c r="E10" s="122" t="s">
        <v>240</v>
      </c>
      <c r="F10" s="121" t="s">
        <v>240</v>
      </c>
      <c r="G10" s="125">
        <v>8.0000000000000007E-7</v>
      </c>
      <c r="H10" s="86" t="s">
        <v>240</v>
      </c>
      <c r="I10" s="86">
        <v>1</v>
      </c>
      <c r="J10" s="101">
        <v>0</v>
      </c>
    </row>
    <row r="11" spans="1:17" s="138" customFormat="1" x14ac:dyDescent="0.2">
      <c r="A11" s="111" t="s">
        <v>863</v>
      </c>
      <c r="B11" s="141" t="s">
        <v>240</v>
      </c>
      <c r="C11" s="142" t="s">
        <v>240</v>
      </c>
      <c r="D11" s="142" t="s">
        <v>240</v>
      </c>
      <c r="E11" s="154" t="s">
        <v>240</v>
      </c>
      <c r="F11" s="142" t="s">
        <v>240</v>
      </c>
      <c r="G11" s="155">
        <v>0</v>
      </c>
      <c r="H11" s="141" t="s">
        <v>240</v>
      </c>
      <c r="I11" s="141">
        <v>0</v>
      </c>
      <c r="J11" s="141">
        <v>0</v>
      </c>
    </row>
    <row r="12" spans="1:17" s="138" customFormat="1" x14ac:dyDescent="0.2">
      <c r="A12" s="112" t="s">
        <v>864</v>
      </c>
      <c r="B12" s="145" t="s">
        <v>240</v>
      </c>
      <c r="C12" s="146" t="s">
        <v>240</v>
      </c>
      <c r="D12" s="146" t="s">
        <v>240</v>
      </c>
      <c r="E12" s="156" t="s">
        <v>240</v>
      </c>
      <c r="F12" s="146" t="s">
        <v>240</v>
      </c>
      <c r="G12" s="147">
        <v>0</v>
      </c>
      <c r="H12" s="145" t="s">
        <v>240</v>
      </c>
      <c r="I12" s="145">
        <v>0</v>
      </c>
      <c r="J12" s="145">
        <v>0</v>
      </c>
    </row>
    <row r="13" spans="1:17" s="138" customFormat="1" x14ac:dyDescent="0.2">
      <c r="A13" s="112" t="s">
        <v>865</v>
      </c>
      <c r="B13" s="145" t="s">
        <v>240</v>
      </c>
      <c r="C13" s="146" t="s">
        <v>240</v>
      </c>
      <c r="D13" s="146" t="s">
        <v>240</v>
      </c>
      <c r="E13" s="156" t="s">
        <v>240</v>
      </c>
      <c r="F13" s="146" t="s">
        <v>240</v>
      </c>
      <c r="G13" s="147">
        <v>0</v>
      </c>
      <c r="H13" s="145" t="s">
        <v>240</v>
      </c>
      <c r="I13" s="145">
        <v>0</v>
      </c>
      <c r="J13" s="145">
        <v>0</v>
      </c>
    </row>
    <row r="14" spans="1:17" s="138" customFormat="1" x14ac:dyDescent="0.2">
      <c r="A14" s="112" t="s">
        <v>866</v>
      </c>
      <c r="B14" s="145" t="s">
        <v>240</v>
      </c>
      <c r="C14" s="146" t="s">
        <v>240</v>
      </c>
      <c r="D14" s="146" t="s">
        <v>240</v>
      </c>
      <c r="E14" s="156" t="s">
        <v>240</v>
      </c>
      <c r="F14" s="146" t="s">
        <v>240</v>
      </c>
      <c r="G14" s="147">
        <v>0</v>
      </c>
      <c r="H14" s="145" t="s">
        <v>240</v>
      </c>
      <c r="I14" s="145">
        <v>0</v>
      </c>
      <c r="J14" s="145">
        <v>0</v>
      </c>
    </row>
    <row r="15" spans="1:17" s="138" customFormat="1" x14ac:dyDescent="0.2">
      <c r="A15" s="112" t="s">
        <v>867</v>
      </c>
      <c r="B15" s="145" t="s">
        <v>240</v>
      </c>
      <c r="C15" s="146" t="s">
        <v>240</v>
      </c>
      <c r="D15" s="146" t="s">
        <v>240</v>
      </c>
      <c r="E15" s="156" t="s">
        <v>240</v>
      </c>
      <c r="F15" s="146" t="s">
        <v>240</v>
      </c>
      <c r="G15" s="147">
        <v>0</v>
      </c>
      <c r="H15" s="145" t="s">
        <v>240</v>
      </c>
      <c r="I15" s="145">
        <v>0</v>
      </c>
      <c r="J15" s="145">
        <v>0</v>
      </c>
    </row>
    <row r="16" spans="1:17" s="138" customFormat="1" x14ac:dyDescent="0.2">
      <c r="A16" s="112" t="s">
        <v>868</v>
      </c>
      <c r="B16" s="145" t="s">
        <v>240</v>
      </c>
      <c r="C16" s="146" t="s">
        <v>240</v>
      </c>
      <c r="D16" s="146" t="s">
        <v>240</v>
      </c>
      <c r="E16" s="156" t="s">
        <v>240</v>
      </c>
      <c r="F16" s="146" t="s">
        <v>240</v>
      </c>
      <c r="G16" s="147">
        <v>0</v>
      </c>
      <c r="H16" s="145" t="s">
        <v>240</v>
      </c>
      <c r="I16" s="145">
        <v>0</v>
      </c>
      <c r="J16" s="145">
        <v>0</v>
      </c>
    </row>
    <row r="17" spans="1:13" s="138" customFormat="1" x14ac:dyDescent="0.2">
      <c r="A17" s="112" t="s">
        <v>864</v>
      </c>
      <c r="B17" s="145" t="s">
        <v>240</v>
      </c>
      <c r="C17" s="146" t="s">
        <v>240</v>
      </c>
      <c r="D17" s="146" t="s">
        <v>240</v>
      </c>
      <c r="E17" s="156" t="s">
        <v>240</v>
      </c>
      <c r="F17" s="146" t="s">
        <v>240</v>
      </c>
      <c r="G17" s="147">
        <v>0</v>
      </c>
      <c r="H17" s="145" t="s">
        <v>240</v>
      </c>
      <c r="I17" s="145">
        <v>0</v>
      </c>
      <c r="J17" s="145">
        <v>0</v>
      </c>
    </row>
    <row r="18" spans="1:13" s="138" customFormat="1" x14ac:dyDescent="0.2">
      <c r="A18" s="112" t="s">
        <v>865</v>
      </c>
      <c r="B18" s="145" t="s">
        <v>240</v>
      </c>
      <c r="C18" s="146" t="s">
        <v>240</v>
      </c>
      <c r="D18" s="146" t="s">
        <v>240</v>
      </c>
      <c r="E18" s="156" t="s">
        <v>240</v>
      </c>
      <c r="F18" s="146" t="s">
        <v>240</v>
      </c>
      <c r="G18" s="147">
        <v>0</v>
      </c>
      <c r="H18" s="145" t="s">
        <v>240</v>
      </c>
      <c r="I18" s="145">
        <v>0</v>
      </c>
      <c r="J18" s="145">
        <v>0</v>
      </c>
    </row>
    <row r="19" spans="1:13" s="138" customFormat="1" x14ac:dyDescent="0.2">
      <c r="A19" s="112" t="s">
        <v>866</v>
      </c>
      <c r="B19" s="145" t="s">
        <v>240</v>
      </c>
      <c r="C19" s="146" t="s">
        <v>240</v>
      </c>
      <c r="D19" s="146" t="s">
        <v>240</v>
      </c>
      <c r="E19" s="156" t="s">
        <v>240</v>
      </c>
      <c r="F19" s="146" t="s">
        <v>240</v>
      </c>
      <c r="G19" s="147">
        <v>0</v>
      </c>
      <c r="H19" s="145" t="s">
        <v>240</v>
      </c>
      <c r="I19" s="145">
        <v>0</v>
      </c>
      <c r="J19" s="145">
        <v>0</v>
      </c>
    </row>
    <row r="20" spans="1:13" s="138" customFormat="1" x14ac:dyDescent="0.2">
      <c r="A20" s="226" t="s">
        <v>867</v>
      </c>
      <c r="B20" s="220" t="s">
        <v>240</v>
      </c>
      <c r="C20" s="222" t="s">
        <v>240</v>
      </c>
      <c r="D20" s="222" t="s">
        <v>240</v>
      </c>
      <c r="E20" s="227" t="s">
        <v>240</v>
      </c>
      <c r="F20" s="222" t="s">
        <v>240</v>
      </c>
      <c r="G20" s="223">
        <v>0</v>
      </c>
      <c r="H20" s="220" t="s">
        <v>240</v>
      </c>
      <c r="I20" s="220">
        <v>0</v>
      </c>
      <c r="J20" s="220">
        <v>0</v>
      </c>
    </row>
    <row r="21" spans="1:13" s="138" customFormat="1" x14ac:dyDescent="0.2">
      <c r="A21" s="97" t="s">
        <v>231</v>
      </c>
      <c r="B21" s="148"/>
      <c r="C21" s="149"/>
      <c r="D21" s="149"/>
      <c r="E21" s="149"/>
      <c r="F21" s="150"/>
      <c r="G21" s="151"/>
      <c r="H21" s="152"/>
      <c r="I21" s="152"/>
      <c r="J21" s="152"/>
      <c r="K21" s="169"/>
      <c r="L21" s="153"/>
      <c r="M21" s="153"/>
    </row>
    <row r="22" spans="1:13" s="138" customFormat="1" x14ac:dyDescent="0.2">
      <c r="A22" s="97" t="s">
        <v>232</v>
      </c>
      <c r="B22" s="148"/>
      <c r="C22" s="149"/>
      <c r="D22" s="149"/>
      <c r="E22" s="149"/>
      <c r="F22" s="150"/>
      <c r="G22" s="151"/>
      <c r="H22" s="152"/>
      <c r="I22" s="152"/>
      <c r="J22" s="152"/>
      <c r="K22" s="169"/>
      <c r="L22" s="153"/>
      <c r="M22" s="153"/>
    </row>
    <row r="23" spans="1:13" s="138" customFormat="1" x14ac:dyDescent="0.2">
      <c r="A23" s="97" t="s">
        <v>233</v>
      </c>
      <c r="B23" s="148"/>
      <c r="C23" s="149"/>
      <c r="D23" s="149"/>
      <c r="E23" s="149"/>
      <c r="F23" s="150"/>
      <c r="G23" s="151"/>
      <c r="H23" s="152"/>
      <c r="I23" s="152"/>
      <c r="J23" s="152"/>
      <c r="K23" s="169"/>
      <c r="L23" s="153"/>
      <c r="M23" s="153"/>
    </row>
    <row r="24" spans="1:13" s="138" customFormat="1" x14ac:dyDescent="0.2">
      <c r="A24" s="97" t="s">
        <v>234</v>
      </c>
      <c r="B24" s="148"/>
      <c r="C24" s="149"/>
      <c r="D24" s="149"/>
      <c r="E24" s="149"/>
      <c r="F24" s="150"/>
      <c r="G24" s="151"/>
      <c r="H24" s="152"/>
      <c r="I24" s="152"/>
      <c r="J24" s="152"/>
      <c r="K24" s="169"/>
      <c r="L24" s="153"/>
      <c r="M24" s="153"/>
    </row>
    <row r="25" spans="1:13" s="138" customFormat="1" x14ac:dyDescent="0.2">
      <c r="A25" s="97" t="s">
        <v>235</v>
      </c>
      <c r="B25" s="148"/>
      <c r="C25" s="149"/>
      <c r="D25" s="149"/>
      <c r="E25" s="149"/>
      <c r="F25" s="150"/>
      <c r="G25" s="151"/>
      <c r="H25" s="152"/>
      <c r="I25" s="152"/>
      <c r="J25" s="152"/>
      <c r="K25" s="169"/>
      <c r="L25" s="153"/>
      <c r="M25" s="153"/>
    </row>
  </sheetData>
  <mergeCells count="2">
    <mergeCell ref="A6:J6"/>
    <mergeCell ref="A5:J5"/>
  </mergeCells>
  <conditionalFormatting sqref="B11:D20 I11:J20">
    <cfRule type="expression" dxfId="70" priority="326" stopIfTrue="1">
      <formula>OR(LEFT(#REF!,3)="TIR",LEFT(#REF!,2)="IR")</formula>
    </cfRule>
  </conditionalFormatting>
  <conditionalFormatting sqref="A11:A20 G11:G20">
    <cfRule type="expression" dxfId="6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237A-A1CA-459F-BC78-8A14EAF3C178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227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159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8" customFormat="1" ht="12.75" customHeight="1" thickBot="1" x14ac:dyDescent="0.25">
      <c r="A10" s="120" t="s">
        <v>55</v>
      </c>
      <c r="B10" s="86" t="s">
        <v>240</v>
      </c>
      <c r="C10" s="86" t="s">
        <v>240</v>
      </c>
      <c r="D10" s="158" t="s">
        <v>240</v>
      </c>
      <c r="E10" s="158" t="s">
        <v>240</v>
      </c>
      <c r="F10" s="160" t="s">
        <v>240</v>
      </c>
      <c r="G10" s="158" t="s">
        <v>240</v>
      </c>
      <c r="H10" s="174">
        <v>2.0000000000000002E-7</v>
      </c>
      <c r="I10" s="89"/>
      <c r="J10" s="103">
        <v>1</v>
      </c>
      <c r="K10" s="102">
        <v>0</v>
      </c>
    </row>
    <row r="11" spans="1:18" s="138" customFormat="1" x14ac:dyDescent="0.2">
      <c r="A11" s="111" t="s">
        <v>869</v>
      </c>
      <c r="B11" s="141" t="s">
        <v>240</v>
      </c>
      <c r="C11" s="141" t="s">
        <v>240</v>
      </c>
      <c r="D11" s="161" t="s">
        <v>240</v>
      </c>
      <c r="E11" s="161" t="s">
        <v>240</v>
      </c>
      <c r="F11" s="163" t="s">
        <v>240</v>
      </c>
      <c r="G11" s="161" t="s">
        <v>240</v>
      </c>
      <c r="H11" s="143">
        <v>0</v>
      </c>
      <c r="I11" s="141" t="s">
        <v>240</v>
      </c>
      <c r="J11" s="141">
        <v>0</v>
      </c>
      <c r="K11" s="141">
        <v>0</v>
      </c>
    </row>
    <row r="12" spans="1:18" s="138" customFormat="1" x14ac:dyDescent="0.2">
      <c r="A12" s="226" t="s">
        <v>870</v>
      </c>
      <c r="B12" s="220" t="s">
        <v>240</v>
      </c>
      <c r="C12" s="220" t="s">
        <v>240</v>
      </c>
      <c r="D12" s="229" t="s">
        <v>240</v>
      </c>
      <c r="E12" s="229" t="s">
        <v>240</v>
      </c>
      <c r="F12" s="231" t="s">
        <v>240</v>
      </c>
      <c r="G12" s="229" t="s">
        <v>240</v>
      </c>
      <c r="H12" s="223">
        <v>0</v>
      </c>
      <c r="I12" s="220" t="s">
        <v>240</v>
      </c>
      <c r="J12" s="224">
        <v>0</v>
      </c>
      <c r="K12" s="224">
        <v>0</v>
      </c>
    </row>
    <row r="13" spans="1:18" s="138" customFormat="1" x14ac:dyDescent="0.2">
      <c r="A13" s="97" t="s">
        <v>231</v>
      </c>
      <c r="B13" s="148"/>
      <c r="C13" s="97"/>
      <c r="D13" s="167"/>
      <c r="E13" s="167"/>
      <c r="F13" s="167"/>
      <c r="G13" s="168"/>
      <c r="H13" s="153"/>
      <c r="I13" s="169"/>
      <c r="J13" s="169"/>
      <c r="K13" s="169"/>
      <c r="L13" s="169"/>
      <c r="M13" s="153"/>
      <c r="N13" s="153"/>
    </row>
    <row r="14" spans="1:18" s="138" customFormat="1" x14ac:dyDescent="0.2">
      <c r="A14" s="97" t="s">
        <v>232</v>
      </c>
      <c r="B14" s="148"/>
      <c r="C14" s="97"/>
      <c r="D14" s="167"/>
      <c r="E14" s="167"/>
      <c r="F14" s="167"/>
      <c r="G14" s="168"/>
      <c r="H14" s="153"/>
      <c r="I14" s="169"/>
      <c r="J14" s="169"/>
      <c r="K14" s="169"/>
      <c r="L14" s="169"/>
      <c r="M14" s="153"/>
      <c r="N14" s="153"/>
    </row>
    <row r="15" spans="1:18" s="138" customFormat="1" x14ac:dyDescent="0.2">
      <c r="A15" s="97" t="s">
        <v>233</v>
      </c>
      <c r="B15" s="148"/>
      <c r="C15" s="97"/>
      <c r="D15" s="167"/>
      <c r="E15" s="167"/>
      <c r="F15" s="167"/>
      <c r="G15" s="168"/>
      <c r="H15" s="153"/>
      <c r="I15" s="169"/>
      <c r="J15" s="169"/>
      <c r="K15" s="169"/>
      <c r="L15" s="169"/>
      <c r="M15" s="153"/>
      <c r="N15" s="153"/>
    </row>
    <row r="16" spans="1:18" s="138" customFormat="1" x14ac:dyDescent="0.2">
      <c r="A16" s="97" t="s">
        <v>234</v>
      </c>
      <c r="B16" s="148"/>
      <c r="C16" s="97"/>
      <c r="D16" s="167"/>
      <c r="E16" s="167"/>
      <c r="F16" s="167"/>
      <c r="G16" s="168"/>
      <c r="H16" s="153"/>
      <c r="I16" s="169"/>
      <c r="J16" s="169"/>
      <c r="K16" s="169"/>
      <c r="L16" s="169"/>
      <c r="M16" s="153"/>
      <c r="N16" s="153"/>
    </row>
    <row r="17" spans="1:14" s="138" customFormat="1" x14ac:dyDescent="0.2">
      <c r="A17" s="97" t="s">
        <v>235</v>
      </c>
      <c r="B17" s="148"/>
      <c r="C17" s="97"/>
      <c r="D17" s="167"/>
      <c r="E17" s="167"/>
      <c r="F17" s="167"/>
      <c r="G17" s="168"/>
      <c r="H17" s="153"/>
      <c r="I17" s="169"/>
      <c r="J17" s="169"/>
      <c r="K17" s="169"/>
      <c r="L17" s="169"/>
      <c r="M17" s="153"/>
      <c r="N17" s="153"/>
    </row>
  </sheetData>
  <mergeCells count="2">
    <mergeCell ref="A6:K6"/>
    <mergeCell ref="A5:K5"/>
  </mergeCells>
  <conditionalFormatting sqref="A10:A12 H10:H12">
    <cfRule type="expression" dxfId="68" priority="332" stopIfTrue="1">
      <formula>#REF!&gt;0</formula>
    </cfRule>
  </conditionalFormatting>
  <conditionalFormatting sqref="J10:K12">
    <cfRule type="expression" dxfId="6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D846-4385-4AEB-9555-42C480E0A36A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236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227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159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8" customFormat="1" ht="12.75" customHeight="1" thickBot="1" x14ac:dyDescent="0.25">
      <c r="A10" s="120" t="s">
        <v>56</v>
      </c>
      <c r="B10" s="86" t="s">
        <v>240</v>
      </c>
      <c r="C10" s="86" t="s">
        <v>240</v>
      </c>
      <c r="D10" s="121" t="s">
        <v>240</v>
      </c>
      <c r="E10" s="121" t="s">
        <v>240</v>
      </c>
      <c r="F10" s="122" t="s">
        <v>240</v>
      </c>
      <c r="G10" s="121" t="s">
        <v>240</v>
      </c>
      <c r="H10" s="129">
        <v>9.9999999999999995E-7</v>
      </c>
      <c r="I10" s="86" t="s">
        <v>240</v>
      </c>
      <c r="J10" s="86">
        <v>1</v>
      </c>
      <c r="K10" s="101">
        <v>0</v>
      </c>
    </row>
    <row r="11" spans="1:18" s="138" customFormat="1" x14ac:dyDescent="0.2">
      <c r="A11" s="111" t="s">
        <v>871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54" t="s">
        <v>240</v>
      </c>
      <c r="G11" s="142" t="s">
        <v>240</v>
      </c>
      <c r="H11" s="143">
        <v>0</v>
      </c>
      <c r="I11" s="141" t="s">
        <v>240</v>
      </c>
      <c r="J11" s="141">
        <v>0</v>
      </c>
      <c r="K11" s="141">
        <v>0</v>
      </c>
    </row>
    <row r="12" spans="1:18" s="138" customFormat="1" x14ac:dyDescent="0.2">
      <c r="A12" s="112" t="s">
        <v>312</v>
      </c>
      <c r="B12" s="145" t="s">
        <v>240</v>
      </c>
      <c r="C12" s="145" t="s">
        <v>240</v>
      </c>
      <c r="D12" s="146" t="s">
        <v>240</v>
      </c>
      <c r="E12" s="146" t="s">
        <v>240</v>
      </c>
      <c r="F12" s="156" t="s">
        <v>240</v>
      </c>
      <c r="G12" s="146" t="s">
        <v>240</v>
      </c>
      <c r="H12" s="147">
        <v>0</v>
      </c>
      <c r="I12" s="145" t="s">
        <v>240</v>
      </c>
      <c r="J12" s="145">
        <v>0</v>
      </c>
      <c r="K12" s="145">
        <v>0</v>
      </c>
    </row>
    <row r="13" spans="1:18" s="138" customFormat="1" x14ac:dyDescent="0.2">
      <c r="A13" s="112" t="s">
        <v>872</v>
      </c>
      <c r="B13" s="145" t="s">
        <v>240</v>
      </c>
      <c r="C13" s="145" t="s">
        <v>240</v>
      </c>
      <c r="D13" s="146" t="s">
        <v>240</v>
      </c>
      <c r="E13" s="146" t="s">
        <v>240</v>
      </c>
      <c r="F13" s="156" t="s">
        <v>240</v>
      </c>
      <c r="G13" s="146" t="s">
        <v>240</v>
      </c>
      <c r="H13" s="147">
        <v>0</v>
      </c>
      <c r="I13" s="145" t="s">
        <v>240</v>
      </c>
      <c r="J13" s="145">
        <v>0</v>
      </c>
      <c r="K13" s="145">
        <v>0</v>
      </c>
    </row>
    <row r="14" spans="1:18" s="138" customFormat="1" x14ac:dyDescent="0.2">
      <c r="A14" s="112" t="s">
        <v>873</v>
      </c>
      <c r="B14" s="145" t="s">
        <v>240</v>
      </c>
      <c r="C14" s="145" t="s">
        <v>240</v>
      </c>
      <c r="D14" s="146" t="s">
        <v>240</v>
      </c>
      <c r="E14" s="146" t="s">
        <v>240</v>
      </c>
      <c r="F14" s="156" t="s">
        <v>240</v>
      </c>
      <c r="G14" s="146" t="s">
        <v>240</v>
      </c>
      <c r="H14" s="147">
        <v>0</v>
      </c>
      <c r="I14" s="145" t="s">
        <v>240</v>
      </c>
      <c r="J14" s="145">
        <v>0</v>
      </c>
      <c r="K14" s="145">
        <v>0</v>
      </c>
    </row>
    <row r="15" spans="1:18" s="138" customFormat="1" x14ac:dyDescent="0.2">
      <c r="A15" s="112" t="s">
        <v>314</v>
      </c>
      <c r="B15" s="145" t="s">
        <v>240</v>
      </c>
      <c r="C15" s="145" t="s">
        <v>240</v>
      </c>
      <c r="D15" s="146" t="s">
        <v>240</v>
      </c>
      <c r="E15" s="146" t="s">
        <v>240</v>
      </c>
      <c r="F15" s="156" t="s">
        <v>240</v>
      </c>
      <c r="G15" s="146" t="s">
        <v>240</v>
      </c>
      <c r="H15" s="147">
        <v>0</v>
      </c>
      <c r="I15" s="145" t="s">
        <v>240</v>
      </c>
      <c r="J15" s="145">
        <v>0</v>
      </c>
      <c r="K15" s="145">
        <v>0</v>
      </c>
    </row>
    <row r="16" spans="1:18" s="138" customFormat="1" x14ac:dyDescent="0.2">
      <c r="A16" s="112" t="s">
        <v>144</v>
      </c>
      <c r="B16" s="145" t="s">
        <v>240</v>
      </c>
      <c r="C16" s="145" t="s">
        <v>240</v>
      </c>
      <c r="D16" s="146" t="s">
        <v>240</v>
      </c>
      <c r="E16" s="146" t="s">
        <v>240</v>
      </c>
      <c r="F16" s="156" t="s">
        <v>240</v>
      </c>
      <c r="G16" s="146" t="s">
        <v>240</v>
      </c>
      <c r="H16" s="147">
        <v>0</v>
      </c>
      <c r="I16" s="145" t="s">
        <v>240</v>
      </c>
      <c r="J16" s="145">
        <v>0</v>
      </c>
      <c r="K16" s="145">
        <v>0</v>
      </c>
    </row>
    <row r="17" spans="1:14" s="138" customFormat="1" x14ac:dyDescent="0.2">
      <c r="A17" s="112" t="s">
        <v>874</v>
      </c>
      <c r="B17" s="145" t="s">
        <v>240</v>
      </c>
      <c r="C17" s="145" t="s">
        <v>240</v>
      </c>
      <c r="D17" s="146" t="s">
        <v>240</v>
      </c>
      <c r="E17" s="146" t="s">
        <v>240</v>
      </c>
      <c r="F17" s="156" t="s">
        <v>240</v>
      </c>
      <c r="G17" s="146" t="s">
        <v>240</v>
      </c>
      <c r="H17" s="147">
        <v>0</v>
      </c>
      <c r="I17" s="145" t="s">
        <v>240</v>
      </c>
      <c r="J17" s="145">
        <v>0</v>
      </c>
      <c r="K17" s="145">
        <v>0</v>
      </c>
    </row>
    <row r="18" spans="1:14" s="138" customFormat="1" x14ac:dyDescent="0.2">
      <c r="A18" s="112" t="s">
        <v>312</v>
      </c>
      <c r="B18" s="145" t="s">
        <v>240</v>
      </c>
      <c r="C18" s="145" t="s">
        <v>240</v>
      </c>
      <c r="D18" s="146" t="s">
        <v>240</v>
      </c>
      <c r="E18" s="146" t="s">
        <v>240</v>
      </c>
      <c r="F18" s="156" t="s">
        <v>240</v>
      </c>
      <c r="G18" s="146" t="s">
        <v>240</v>
      </c>
      <c r="H18" s="147">
        <v>0</v>
      </c>
      <c r="I18" s="145" t="s">
        <v>240</v>
      </c>
      <c r="J18" s="145">
        <v>0</v>
      </c>
      <c r="K18" s="145">
        <v>0</v>
      </c>
    </row>
    <row r="19" spans="1:14" s="138" customFormat="1" x14ac:dyDescent="0.2">
      <c r="A19" s="112" t="s">
        <v>315</v>
      </c>
      <c r="B19" s="145" t="s">
        <v>240</v>
      </c>
      <c r="C19" s="145" t="s">
        <v>240</v>
      </c>
      <c r="D19" s="146" t="s">
        <v>240</v>
      </c>
      <c r="E19" s="146" t="s">
        <v>240</v>
      </c>
      <c r="F19" s="156" t="s">
        <v>240</v>
      </c>
      <c r="G19" s="146" t="s">
        <v>240</v>
      </c>
      <c r="H19" s="147">
        <v>0</v>
      </c>
      <c r="I19" s="145" t="s">
        <v>240</v>
      </c>
      <c r="J19" s="145">
        <v>0</v>
      </c>
      <c r="K19" s="145">
        <v>0</v>
      </c>
    </row>
    <row r="20" spans="1:14" s="138" customFormat="1" x14ac:dyDescent="0.2">
      <c r="A20" s="112" t="s">
        <v>314</v>
      </c>
      <c r="B20" s="145" t="s">
        <v>240</v>
      </c>
      <c r="C20" s="145" t="s">
        <v>240</v>
      </c>
      <c r="D20" s="146" t="s">
        <v>240</v>
      </c>
      <c r="E20" s="146" t="s">
        <v>240</v>
      </c>
      <c r="F20" s="156" t="s">
        <v>240</v>
      </c>
      <c r="G20" s="146" t="s">
        <v>240</v>
      </c>
      <c r="H20" s="147">
        <v>0</v>
      </c>
      <c r="I20" s="145" t="s">
        <v>240</v>
      </c>
      <c r="J20" s="145">
        <v>0</v>
      </c>
      <c r="K20" s="145">
        <v>0</v>
      </c>
    </row>
    <row r="21" spans="1:14" s="138" customFormat="1" x14ac:dyDescent="0.2">
      <c r="A21" s="112" t="s">
        <v>316</v>
      </c>
      <c r="B21" s="145" t="s">
        <v>240</v>
      </c>
      <c r="C21" s="145" t="s">
        <v>240</v>
      </c>
      <c r="D21" s="146" t="s">
        <v>240</v>
      </c>
      <c r="E21" s="146" t="s">
        <v>240</v>
      </c>
      <c r="F21" s="156" t="s">
        <v>240</v>
      </c>
      <c r="G21" s="146" t="s">
        <v>240</v>
      </c>
      <c r="H21" s="147">
        <v>0</v>
      </c>
      <c r="I21" s="145" t="s">
        <v>240</v>
      </c>
      <c r="J21" s="145">
        <v>0</v>
      </c>
      <c r="K21" s="145">
        <v>0</v>
      </c>
    </row>
    <row r="22" spans="1:14" s="138" customFormat="1" x14ac:dyDescent="0.2">
      <c r="A22" s="226" t="s">
        <v>144</v>
      </c>
      <c r="B22" s="220" t="s">
        <v>240</v>
      </c>
      <c r="C22" s="220" t="s">
        <v>240</v>
      </c>
      <c r="D22" s="222" t="s">
        <v>240</v>
      </c>
      <c r="E22" s="222" t="s">
        <v>240</v>
      </c>
      <c r="F22" s="227" t="s">
        <v>240</v>
      </c>
      <c r="G22" s="222" t="s">
        <v>240</v>
      </c>
      <c r="H22" s="223">
        <v>0</v>
      </c>
      <c r="I22" s="220" t="s">
        <v>240</v>
      </c>
      <c r="J22" s="220">
        <v>0</v>
      </c>
      <c r="K22" s="220">
        <v>0</v>
      </c>
    </row>
    <row r="23" spans="1:14" s="138" customFormat="1" x14ac:dyDescent="0.2">
      <c r="A23" s="97" t="s">
        <v>231</v>
      </c>
      <c r="B23" s="148"/>
      <c r="C23" s="148"/>
      <c r="D23" s="149"/>
      <c r="E23" s="149"/>
      <c r="F23" s="149"/>
      <c r="G23" s="150"/>
      <c r="H23" s="151"/>
      <c r="I23" s="152"/>
      <c r="J23" s="152"/>
      <c r="K23" s="152"/>
      <c r="L23" s="169"/>
      <c r="M23" s="153"/>
      <c r="N23" s="153"/>
    </row>
    <row r="24" spans="1:14" s="138" customFormat="1" x14ac:dyDescent="0.2">
      <c r="A24" s="97" t="s">
        <v>232</v>
      </c>
      <c r="B24" s="148"/>
      <c r="C24" s="148"/>
      <c r="D24" s="149"/>
      <c r="E24" s="149"/>
      <c r="F24" s="149"/>
      <c r="G24" s="150"/>
      <c r="H24" s="151"/>
      <c r="I24" s="152"/>
      <c r="J24" s="152"/>
      <c r="K24" s="152"/>
      <c r="L24" s="169"/>
      <c r="M24" s="153"/>
      <c r="N24" s="153"/>
    </row>
    <row r="25" spans="1:14" s="138" customFormat="1" x14ac:dyDescent="0.2">
      <c r="A25" s="97" t="s">
        <v>233</v>
      </c>
      <c r="B25" s="148"/>
      <c r="C25" s="148"/>
      <c r="D25" s="149"/>
      <c r="E25" s="149"/>
      <c r="F25" s="149"/>
      <c r="G25" s="150"/>
      <c r="H25" s="151"/>
      <c r="I25" s="152"/>
      <c r="J25" s="152"/>
      <c r="K25" s="152"/>
      <c r="L25" s="169"/>
      <c r="M25" s="153"/>
      <c r="N25" s="153"/>
    </row>
    <row r="26" spans="1:14" s="138" customFormat="1" x14ac:dyDescent="0.2">
      <c r="A26" s="97" t="s">
        <v>234</v>
      </c>
      <c r="B26" s="148"/>
      <c r="C26" s="148"/>
      <c r="D26" s="149"/>
      <c r="E26" s="149"/>
      <c r="F26" s="149"/>
      <c r="G26" s="150"/>
      <c r="H26" s="151"/>
      <c r="I26" s="152"/>
      <c r="J26" s="152"/>
      <c r="K26" s="152"/>
      <c r="L26" s="169"/>
      <c r="M26" s="153"/>
      <c r="N26" s="153"/>
    </row>
    <row r="27" spans="1:14" s="138" customFormat="1" x14ac:dyDescent="0.2">
      <c r="A27" s="97" t="s">
        <v>235</v>
      </c>
      <c r="B27" s="148"/>
      <c r="C27" s="148"/>
      <c r="D27" s="149"/>
      <c r="E27" s="149"/>
      <c r="F27" s="149"/>
      <c r="G27" s="150"/>
      <c r="H27" s="151"/>
      <c r="I27" s="152"/>
      <c r="J27" s="152"/>
      <c r="K27" s="152"/>
      <c r="L27" s="169"/>
      <c r="M27" s="153"/>
      <c r="N27" s="153"/>
    </row>
  </sheetData>
  <mergeCells count="2">
    <mergeCell ref="A6:K6"/>
    <mergeCell ref="A5:K5"/>
  </mergeCells>
  <conditionalFormatting sqref="B11:E22 J11:K22">
    <cfRule type="expression" dxfId="66" priority="338" stopIfTrue="1">
      <formula>OR(LEFT(#REF!,3)="TIR",LEFT(#REF!,2)="IR")</formula>
    </cfRule>
  </conditionalFormatting>
  <conditionalFormatting sqref="A11:A22 H11:H22">
    <cfRule type="expression" dxfId="6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15EB-26E7-4E24-8FC9-A4BF74D8B17B}">
  <sheetPr codeName="גיליון20">
    <pageSetUpPr fitToPage="1"/>
  </sheetPr>
  <dimension ref="A1:O26"/>
  <sheetViews>
    <sheetView rightToLeft="1" zoomScale="85" zoomScaleNormal="85" workbookViewId="0">
      <selection activeCell="A7" sqref="A7:J21"/>
    </sheetView>
  </sheetViews>
  <sheetFormatPr defaultRowHeight="12.75" x14ac:dyDescent="0.2"/>
  <cols>
    <col min="1" max="1" width="23.42578125" style="23" bestFit="1" customWidth="1"/>
    <col min="2" max="2" width="12.7109375" style="22" bestFit="1" customWidth="1"/>
    <col min="3" max="3" width="11.140625" style="23" customWidth="1"/>
    <col min="4" max="4" width="10.7109375" style="79" customWidth="1"/>
    <col min="5" max="5" width="13.42578125" style="79" customWidth="1"/>
    <col min="6" max="6" width="10.140625" style="79" customWidth="1"/>
    <col min="7" max="7" width="6.7109375" style="50" customWidth="1"/>
    <col min="8" max="8" width="9.85546875" style="8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236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227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6" t="s">
        <v>159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8" customFormat="1" ht="12.75" customHeight="1" thickBot="1" x14ac:dyDescent="0.25">
      <c r="A10" s="120" t="s">
        <v>62</v>
      </c>
      <c r="B10" s="86"/>
      <c r="C10" s="86"/>
      <c r="D10" s="121"/>
      <c r="E10" s="121"/>
      <c r="F10" s="122"/>
      <c r="G10" s="121"/>
      <c r="H10" s="123">
        <v>9.0000000000000007E-7</v>
      </c>
      <c r="I10" s="86">
        <v>0</v>
      </c>
      <c r="J10" s="101">
        <v>0</v>
      </c>
    </row>
    <row r="11" spans="1:15" s="138" customFormat="1" x14ac:dyDescent="0.2">
      <c r="A11" s="111" t="s">
        <v>875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54" t="s">
        <v>240</v>
      </c>
      <c r="G11" s="142" t="s">
        <v>240</v>
      </c>
      <c r="H11" s="143">
        <v>0</v>
      </c>
      <c r="I11" s="141">
        <v>0</v>
      </c>
      <c r="J11" s="141">
        <v>0</v>
      </c>
    </row>
    <row r="12" spans="1:15" s="138" customFormat="1" x14ac:dyDescent="0.2">
      <c r="A12" s="112" t="s">
        <v>312</v>
      </c>
      <c r="B12" s="145" t="s">
        <v>240</v>
      </c>
      <c r="C12" s="145" t="s">
        <v>240</v>
      </c>
      <c r="D12" s="146" t="s">
        <v>240</v>
      </c>
      <c r="E12" s="146" t="s">
        <v>240</v>
      </c>
      <c r="F12" s="156" t="s">
        <v>240</v>
      </c>
      <c r="G12" s="146" t="s">
        <v>240</v>
      </c>
      <c r="H12" s="147">
        <v>0</v>
      </c>
      <c r="I12" s="145">
        <v>0</v>
      </c>
      <c r="J12" s="145">
        <v>0</v>
      </c>
    </row>
    <row r="13" spans="1:15" s="138" customFormat="1" x14ac:dyDescent="0.2">
      <c r="A13" s="112" t="s">
        <v>314</v>
      </c>
      <c r="B13" s="145" t="s">
        <v>240</v>
      </c>
      <c r="C13" s="145" t="s">
        <v>240</v>
      </c>
      <c r="D13" s="146" t="s">
        <v>240</v>
      </c>
      <c r="E13" s="146" t="s">
        <v>240</v>
      </c>
      <c r="F13" s="156" t="s">
        <v>240</v>
      </c>
      <c r="G13" s="146" t="s">
        <v>240</v>
      </c>
      <c r="H13" s="147">
        <v>0</v>
      </c>
      <c r="I13" s="145">
        <v>0</v>
      </c>
      <c r="J13" s="145">
        <v>0</v>
      </c>
    </row>
    <row r="14" spans="1:15" s="138" customFormat="1" x14ac:dyDescent="0.2">
      <c r="A14" s="112" t="s">
        <v>876</v>
      </c>
      <c r="B14" s="145" t="s">
        <v>240</v>
      </c>
      <c r="C14" s="145" t="s">
        <v>240</v>
      </c>
      <c r="D14" s="146" t="s">
        <v>240</v>
      </c>
      <c r="E14" s="146" t="s">
        <v>240</v>
      </c>
      <c r="F14" s="156" t="s">
        <v>240</v>
      </c>
      <c r="G14" s="146" t="s">
        <v>240</v>
      </c>
      <c r="H14" s="147">
        <v>0</v>
      </c>
      <c r="I14" s="145">
        <v>0</v>
      </c>
      <c r="J14" s="145">
        <v>0</v>
      </c>
    </row>
    <row r="15" spans="1:15" s="138" customFormat="1" x14ac:dyDescent="0.2">
      <c r="A15" s="112" t="s">
        <v>873</v>
      </c>
      <c r="B15" s="145" t="s">
        <v>240</v>
      </c>
      <c r="C15" s="145" t="s">
        <v>240</v>
      </c>
      <c r="D15" s="146" t="s">
        <v>240</v>
      </c>
      <c r="E15" s="146" t="s">
        <v>240</v>
      </c>
      <c r="F15" s="156" t="s">
        <v>240</v>
      </c>
      <c r="G15" s="146" t="s">
        <v>240</v>
      </c>
      <c r="H15" s="147">
        <v>0</v>
      </c>
      <c r="I15" s="145">
        <v>0</v>
      </c>
      <c r="J15" s="145">
        <v>0</v>
      </c>
    </row>
    <row r="16" spans="1:15" s="138" customFormat="1" x14ac:dyDescent="0.2">
      <c r="A16" s="112" t="s">
        <v>872</v>
      </c>
      <c r="B16" s="145" t="s">
        <v>240</v>
      </c>
      <c r="C16" s="145" t="s">
        <v>240</v>
      </c>
      <c r="D16" s="146" t="s">
        <v>240</v>
      </c>
      <c r="E16" s="146" t="s">
        <v>240</v>
      </c>
      <c r="F16" s="156" t="s">
        <v>240</v>
      </c>
      <c r="G16" s="146" t="s">
        <v>240</v>
      </c>
      <c r="H16" s="147">
        <v>0</v>
      </c>
      <c r="I16" s="145">
        <v>0</v>
      </c>
      <c r="J16" s="145">
        <v>0</v>
      </c>
    </row>
    <row r="17" spans="1:14" s="138" customFormat="1" x14ac:dyDescent="0.2">
      <c r="A17" s="112" t="s">
        <v>877</v>
      </c>
      <c r="B17" s="145" t="s">
        <v>240</v>
      </c>
      <c r="C17" s="145" t="s">
        <v>240</v>
      </c>
      <c r="D17" s="146" t="s">
        <v>240</v>
      </c>
      <c r="E17" s="146" t="s">
        <v>240</v>
      </c>
      <c r="F17" s="156" t="s">
        <v>240</v>
      </c>
      <c r="G17" s="146" t="s">
        <v>240</v>
      </c>
      <c r="H17" s="147">
        <v>0</v>
      </c>
      <c r="I17" s="145">
        <v>0</v>
      </c>
      <c r="J17" s="145">
        <v>0</v>
      </c>
    </row>
    <row r="18" spans="1:14" s="138" customFormat="1" x14ac:dyDescent="0.2">
      <c r="A18" s="112" t="s">
        <v>312</v>
      </c>
      <c r="B18" s="145" t="s">
        <v>240</v>
      </c>
      <c r="C18" s="145" t="s">
        <v>240</v>
      </c>
      <c r="D18" s="146" t="s">
        <v>240</v>
      </c>
      <c r="E18" s="146" t="s">
        <v>240</v>
      </c>
      <c r="F18" s="156" t="s">
        <v>240</v>
      </c>
      <c r="G18" s="146" t="s">
        <v>240</v>
      </c>
      <c r="H18" s="147">
        <v>0</v>
      </c>
      <c r="I18" s="145">
        <v>0</v>
      </c>
      <c r="J18" s="145">
        <v>0</v>
      </c>
    </row>
    <row r="19" spans="1:14" s="138" customFormat="1" x14ac:dyDescent="0.2">
      <c r="A19" s="112" t="s">
        <v>315</v>
      </c>
      <c r="B19" s="145" t="s">
        <v>240</v>
      </c>
      <c r="C19" s="145" t="s">
        <v>240</v>
      </c>
      <c r="D19" s="146" t="s">
        <v>240</v>
      </c>
      <c r="E19" s="146" t="s">
        <v>240</v>
      </c>
      <c r="F19" s="156" t="s">
        <v>240</v>
      </c>
      <c r="G19" s="146" t="s">
        <v>240</v>
      </c>
      <c r="H19" s="147">
        <v>0</v>
      </c>
      <c r="I19" s="145">
        <v>0</v>
      </c>
      <c r="J19" s="145">
        <v>0</v>
      </c>
    </row>
    <row r="20" spans="1:14" s="138" customFormat="1" x14ac:dyDescent="0.2">
      <c r="A20" s="112" t="s">
        <v>314</v>
      </c>
      <c r="B20" s="145" t="s">
        <v>240</v>
      </c>
      <c r="C20" s="145" t="s">
        <v>240</v>
      </c>
      <c r="D20" s="146" t="s">
        <v>240</v>
      </c>
      <c r="E20" s="146" t="s">
        <v>240</v>
      </c>
      <c r="F20" s="156" t="s">
        <v>240</v>
      </c>
      <c r="G20" s="146" t="s">
        <v>240</v>
      </c>
      <c r="H20" s="147">
        <v>0</v>
      </c>
      <c r="I20" s="145">
        <v>0</v>
      </c>
      <c r="J20" s="145">
        <v>0</v>
      </c>
    </row>
    <row r="21" spans="1:14" s="138" customFormat="1" x14ac:dyDescent="0.2">
      <c r="A21" s="226" t="s">
        <v>144</v>
      </c>
      <c r="B21" s="220" t="s">
        <v>240</v>
      </c>
      <c r="C21" s="220" t="s">
        <v>240</v>
      </c>
      <c r="D21" s="222" t="s">
        <v>240</v>
      </c>
      <c r="E21" s="222" t="s">
        <v>240</v>
      </c>
      <c r="F21" s="227" t="s">
        <v>240</v>
      </c>
      <c r="G21" s="222" t="s">
        <v>240</v>
      </c>
      <c r="H21" s="223">
        <v>0</v>
      </c>
      <c r="I21" s="220">
        <v>0</v>
      </c>
      <c r="J21" s="220">
        <v>0</v>
      </c>
    </row>
    <row r="22" spans="1:14" s="138" customFormat="1" x14ac:dyDescent="0.2">
      <c r="A22" s="97" t="s">
        <v>231</v>
      </c>
      <c r="B22" s="148"/>
      <c r="C22" s="97"/>
      <c r="D22" s="149"/>
      <c r="E22" s="149"/>
      <c r="F22" s="149"/>
      <c r="G22" s="150"/>
      <c r="H22" s="151"/>
      <c r="I22" s="151"/>
      <c r="J22" s="152"/>
      <c r="K22" s="169"/>
      <c r="L22" s="169"/>
      <c r="M22" s="153"/>
      <c r="N22" s="153"/>
    </row>
    <row r="23" spans="1:14" s="138" customFormat="1" x14ac:dyDescent="0.2">
      <c r="A23" s="97" t="s">
        <v>232</v>
      </c>
      <c r="B23" s="148"/>
      <c r="C23" s="97"/>
      <c r="D23" s="149"/>
      <c r="E23" s="149"/>
      <c r="F23" s="149"/>
      <c r="G23" s="150"/>
      <c r="H23" s="151"/>
      <c r="I23" s="151"/>
      <c r="J23" s="152"/>
      <c r="K23" s="169"/>
      <c r="L23" s="169"/>
      <c r="M23" s="153"/>
      <c r="N23" s="153"/>
    </row>
    <row r="24" spans="1:14" s="138" customFormat="1" x14ac:dyDescent="0.2">
      <c r="A24" s="97" t="s">
        <v>233</v>
      </c>
      <c r="B24" s="148"/>
      <c r="C24" s="97"/>
      <c r="D24" s="149"/>
      <c r="E24" s="149"/>
      <c r="F24" s="149"/>
      <c r="G24" s="150"/>
      <c r="H24" s="151"/>
      <c r="I24" s="151"/>
      <c r="J24" s="152"/>
      <c r="K24" s="169"/>
      <c r="L24" s="169"/>
      <c r="M24" s="153"/>
      <c r="N24" s="153"/>
    </row>
    <row r="25" spans="1:14" s="138" customFormat="1" x14ac:dyDescent="0.2">
      <c r="A25" s="97" t="s">
        <v>234</v>
      </c>
      <c r="B25" s="148"/>
      <c r="C25" s="97"/>
      <c r="D25" s="149"/>
      <c r="E25" s="149"/>
      <c r="F25" s="149"/>
      <c r="G25" s="150"/>
      <c r="H25" s="151"/>
      <c r="I25" s="151"/>
      <c r="J25" s="152"/>
      <c r="K25" s="169"/>
      <c r="L25" s="169"/>
      <c r="M25" s="153"/>
      <c r="N25" s="153"/>
    </row>
    <row r="26" spans="1:14" s="138" customFormat="1" x14ac:dyDescent="0.2">
      <c r="A26" s="97" t="s">
        <v>235</v>
      </c>
      <c r="B26" s="148"/>
      <c r="C26" s="97"/>
      <c r="D26" s="149"/>
      <c r="E26" s="149"/>
      <c r="F26" s="149"/>
      <c r="G26" s="150"/>
      <c r="H26" s="151"/>
      <c r="I26" s="151"/>
      <c r="J26" s="152"/>
      <c r="K26" s="169"/>
      <c r="L26" s="169"/>
      <c r="M26" s="153"/>
      <c r="N26" s="153"/>
    </row>
  </sheetData>
  <mergeCells count="2">
    <mergeCell ref="A6:J6"/>
    <mergeCell ref="A5:J5"/>
  </mergeCells>
  <conditionalFormatting sqref="B11:E21 I11:J21">
    <cfRule type="expression" dxfId="64" priority="344" stopIfTrue="1">
      <formula>OR(LEFT(#REF!,3)="TIR",LEFT(#REF!,2)="IR")</formula>
    </cfRule>
  </conditionalFormatting>
  <conditionalFormatting sqref="A11:A21 H11:I21">
    <cfRule type="expression" dxfId="6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714C-8F83-4626-B1F0-48D21E240BAC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236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227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228</v>
      </c>
      <c r="B3" s="22" t="s">
        <v>229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230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159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8" customFormat="1" ht="12.75" customHeight="1" thickBot="1" x14ac:dyDescent="0.25">
      <c r="A10" s="120" t="s">
        <v>57</v>
      </c>
      <c r="B10" s="86" t="s">
        <v>240</v>
      </c>
      <c r="C10" s="86" t="s">
        <v>240</v>
      </c>
      <c r="D10" s="121"/>
      <c r="E10" s="121" t="s">
        <v>240</v>
      </c>
      <c r="F10" s="121" t="s">
        <v>240</v>
      </c>
      <c r="G10" s="121" t="s">
        <v>240</v>
      </c>
      <c r="H10" s="121" t="s">
        <v>240</v>
      </c>
      <c r="I10" s="86" t="s">
        <v>240</v>
      </c>
      <c r="J10" s="86" t="s">
        <v>240</v>
      </c>
      <c r="K10" s="122" t="s">
        <v>240</v>
      </c>
      <c r="L10" s="121" t="s">
        <v>240</v>
      </c>
      <c r="M10" s="123">
        <v>1.2000000000000002E-6</v>
      </c>
      <c r="N10" s="86" t="s">
        <v>240</v>
      </c>
      <c r="O10" s="86">
        <v>0</v>
      </c>
      <c r="P10" s="101">
        <v>0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1" t="s">
        <v>240</v>
      </c>
      <c r="J11" s="141" t="s">
        <v>240</v>
      </c>
      <c r="K11" s="154" t="s">
        <v>240</v>
      </c>
      <c r="L11" s="142" t="s">
        <v>240</v>
      </c>
      <c r="M11" s="143">
        <v>0</v>
      </c>
      <c r="N11" s="141" t="s">
        <v>240</v>
      </c>
      <c r="O11" s="141">
        <v>0</v>
      </c>
      <c r="P11" s="141">
        <v>0</v>
      </c>
    </row>
    <row r="12" spans="1:16" s="138" customFormat="1" x14ac:dyDescent="0.2">
      <c r="A12" s="112" t="s">
        <v>317</v>
      </c>
      <c r="B12" s="145" t="s">
        <v>240</v>
      </c>
      <c r="C12" s="145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45" t="s">
        <v>240</v>
      </c>
      <c r="J12" s="145" t="s">
        <v>240</v>
      </c>
      <c r="K12" s="156" t="s">
        <v>240</v>
      </c>
      <c r="L12" s="142" t="s">
        <v>240</v>
      </c>
      <c r="M12" s="147">
        <v>0</v>
      </c>
      <c r="N12" s="145" t="s">
        <v>240</v>
      </c>
      <c r="O12" s="145">
        <v>0</v>
      </c>
      <c r="P12" s="145">
        <v>0</v>
      </c>
    </row>
    <row r="13" spans="1:16" s="138" customFormat="1" x14ac:dyDescent="0.2">
      <c r="A13" s="112" t="s">
        <v>318</v>
      </c>
      <c r="B13" s="145" t="s">
        <v>240</v>
      </c>
      <c r="C13" s="145" t="s">
        <v>240</v>
      </c>
      <c r="D13" s="146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45" t="s">
        <v>240</v>
      </c>
      <c r="J13" s="145" t="s">
        <v>240</v>
      </c>
      <c r="K13" s="156" t="s">
        <v>240</v>
      </c>
      <c r="L13" s="142" t="s">
        <v>240</v>
      </c>
      <c r="M13" s="147">
        <v>0</v>
      </c>
      <c r="N13" s="145" t="s">
        <v>240</v>
      </c>
      <c r="O13" s="145">
        <v>0</v>
      </c>
      <c r="P13" s="145">
        <v>0</v>
      </c>
    </row>
    <row r="14" spans="1:16" s="138" customFormat="1" x14ac:dyDescent="0.2">
      <c r="A14" s="112" t="s">
        <v>319</v>
      </c>
      <c r="B14" s="145" t="s">
        <v>240</v>
      </c>
      <c r="C14" s="145" t="s">
        <v>240</v>
      </c>
      <c r="D14" s="146" t="s">
        <v>240</v>
      </c>
      <c r="E14" s="146" t="s">
        <v>240</v>
      </c>
      <c r="F14" s="146" t="s">
        <v>240</v>
      </c>
      <c r="G14" s="146" t="s">
        <v>240</v>
      </c>
      <c r="H14" s="146" t="s">
        <v>240</v>
      </c>
      <c r="I14" s="145" t="s">
        <v>240</v>
      </c>
      <c r="J14" s="145" t="s">
        <v>240</v>
      </c>
      <c r="K14" s="156" t="s">
        <v>240</v>
      </c>
      <c r="L14" s="142" t="s">
        <v>240</v>
      </c>
      <c r="M14" s="147">
        <v>0</v>
      </c>
      <c r="N14" s="145" t="s">
        <v>240</v>
      </c>
      <c r="O14" s="145">
        <v>0</v>
      </c>
      <c r="P14" s="145">
        <v>0</v>
      </c>
    </row>
    <row r="15" spans="1:16" s="138" customFormat="1" x14ac:dyDescent="0.2">
      <c r="A15" s="112" t="s">
        <v>320</v>
      </c>
      <c r="B15" s="145" t="s">
        <v>240</v>
      </c>
      <c r="C15" s="145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45" t="s">
        <v>240</v>
      </c>
      <c r="J15" s="145" t="s">
        <v>240</v>
      </c>
      <c r="K15" s="156" t="s">
        <v>240</v>
      </c>
      <c r="L15" s="142" t="s">
        <v>240</v>
      </c>
      <c r="M15" s="147">
        <v>0</v>
      </c>
      <c r="N15" s="145" t="s">
        <v>240</v>
      </c>
      <c r="O15" s="145">
        <v>0</v>
      </c>
      <c r="P15" s="145">
        <v>0</v>
      </c>
    </row>
    <row r="16" spans="1:16" s="138" customFormat="1" x14ac:dyDescent="0.2">
      <c r="A16" s="112" t="s">
        <v>321</v>
      </c>
      <c r="B16" s="145" t="s">
        <v>240</v>
      </c>
      <c r="C16" s="145" t="s">
        <v>240</v>
      </c>
      <c r="D16" s="146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45" t="s">
        <v>240</v>
      </c>
      <c r="J16" s="145" t="s">
        <v>240</v>
      </c>
      <c r="K16" s="156" t="s">
        <v>240</v>
      </c>
      <c r="L16" s="142" t="s">
        <v>240</v>
      </c>
      <c r="M16" s="147">
        <v>0</v>
      </c>
      <c r="N16" s="145" t="s">
        <v>240</v>
      </c>
      <c r="O16" s="145">
        <v>0</v>
      </c>
      <c r="P16" s="145">
        <v>0</v>
      </c>
    </row>
    <row r="17" spans="1:16" s="138" customFormat="1" x14ac:dyDescent="0.2">
      <c r="A17" s="112" t="s">
        <v>322</v>
      </c>
      <c r="B17" s="145" t="s">
        <v>240</v>
      </c>
      <c r="C17" s="145" t="s">
        <v>240</v>
      </c>
      <c r="D17" s="146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45" t="s">
        <v>240</v>
      </c>
      <c r="J17" s="145" t="s">
        <v>240</v>
      </c>
      <c r="K17" s="156" t="s">
        <v>240</v>
      </c>
      <c r="L17" s="142" t="s">
        <v>240</v>
      </c>
      <c r="M17" s="147">
        <v>0</v>
      </c>
      <c r="N17" s="145" t="s">
        <v>240</v>
      </c>
      <c r="O17" s="145">
        <v>0</v>
      </c>
      <c r="P17" s="145">
        <v>0</v>
      </c>
    </row>
    <row r="18" spans="1:16" s="138" customFormat="1" x14ac:dyDescent="0.2">
      <c r="A18" s="112" t="s">
        <v>323</v>
      </c>
      <c r="B18" s="145" t="s">
        <v>240</v>
      </c>
      <c r="C18" s="145" t="s">
        <v>240</v>
      </c>
      <c r="D18" s="146" t="s">
        <v>240</v>
      </c>
      <c r="E18" s="146" t="s">
        <v>240</v>
      </c>
      <c r="F18" s="146" t="s">
        <v>240</v>
      </c>
      <c r="G18" s="146" t="s">
        <v>240</v>
      </c>
      <c r="H18" s="146" t="s">
        <v>240</v>
      </c>
      <c r="I18" s="145" t="s">
        <v>240</v>
      </c>
      <c r="J18" s="145" t="s">
        <v>240</v>
      </c>
      <c r="K18" s="156" t="s">
        <v>240</v>
      </c>
      <c r="L18" s="142" t="s">
        <v>240</v>
      </c>
      <c r="M18" s="147">
        <v>0</v>
      </c>
      <c r="N18" s="145" t="s">
        <v>240</v>
      </c>
      <c r="O18" s="145">
        <v>0</v>
      </c>
      <c r="P18" s="145">
        <v>0</v>
      </c>
    </row>
    <row r="19" spans="1:16" s="138" customFormat="1" x14ac:dyDescent="0.2">
      <c r="A19" s="112" t="s">
        <v>283</v>
      </c>
      <c r="B19" s="145" t="s">
        <v>240</v>
      </c>
      <c r="C19" s="145" t="s">
        <v>240</v>
      </c>
      <c r="D19" s="146" t="s">
        <v>240</v>
      </c>
      <c r="E19" s="146" t="s">
        <v>240</v>
      </c>
      <c r="F19" s="146" t="s">
        <v>240</v>
      </c>
      <c r="G19" s="146" t="s">
        <v>240</v>
      </c>
      <c r="H19" s="146" t="s">
        <v>240</v>
      </c>
      <c r="I19" s="145" t="s">
        <v>240</v>
      </c>
      <c r="J19" s="145" t="s">
        <v>240</v>
      </c>
      <c r="K19" s="156" t="s">
        <v>240</v>
      </c>
      <c r="L19" s="142" t="s">
        <v>240</v>
      </c>
      <c r="M19" s="147">
        <v>0</v>
      </c>
      <c r="N19" s="145" t="s">
        <v>240</v>
      </c>
      <c r="O19" s="145">
        <v>0</v>
      </c>
      <c r="P19" s="145">
        <v>0</v>
      </c>
    </row>
    <row r="20" spans="1:16" s="138" customFormat="1" x14ac:dyDescent="0.2">
      <c r="A20" s="112" t="s">
        <v>317</v>
      </c>
      <c r="B20" s="145" t="s">
        <v>240</v>
      </c>
      <c r="C20" s="145" t="s">
        <v>240</v>
      </c>
      <c r="D20" s="146" t="s">
        <v>240</v>
      </c>
      <c r="E20" s="146" t="s">
        <v>240</v>
      </c>
      <c r="F20" s="146" t="s">
        <v>240</v>
      </c>
      <c r="G20" s="146" t="s">
        <v>240</v>
      </c>
      <c r="H20" s="146" t="s">
        <v>240</v>
      </c>
      <c r="I20" s="145" t="s">
        <v>240</v>
      </c>
      <c r="J20" s="145" t="s">
        <v>240</v>
      </c>
      <c r="K20" s="156" t="s">
        <v>240</v>
      </c>
      <c r="L20" s="142" t="s">
        <v>240</v>
      </c>
      <c r="M20" s="147">
        <v>0</v>
      </c>
      <c r="N20" s="145" t="s">
        <v>240</v>
      </c>
      <c r="O20" s="145">
        <v>0</v>
      </c>
      <c r="P20" s="145">
        <v>0</v>
      </c>
    </row>
    <row r="21" spans="1:16" s="138" customFormat="1" x14ac:dyDescent="0.2">
      <c r="A21" s="112" t="s">
        <v>318</v>
      </c>
      <c r="B21" s="145" t="s">
        <v>240</v>
      </c>
      <c r="C21" s="145" t="s">
        <v>240</v>
      </c>
      <c r="D21" s="146" t="s">
        <v>240</v>
      </c>
      <c r="E21" s="146" t="s">
        <v>240</v>
      </c>
      <c r="F21" s="146" t="s">
        <v>240</v>
      </c>
      <c r="G21" s="146" t="s">
        <v>240</v>
      </c>
      <c r="H21" s="146" t="s">
        <v>240</v>
      </c>
      <c r="I21" s="145" t="s">
        <v>240</v>
      </c>
      <c r="J21" s="145" t="s">
        <v>240</v>
      </c>
      <c r="K21" s="156" t="s">
        <v>240</v>
      </c>
      <c r="L21" s="142" t="s">
        <v>240</v>
      </c>
      <c r="M21" s="147">
        <v>0</v>
      </c>
      <c r="N21" s="145" t="s">
        <v>240</v>
      </c>
      <c r="O21" s="145">
        <v>0</v>
      </c>
      <c r="P21" s="145">
        <v>0</v>
      </c>
    </row>
    <row r="22" spans="1:16" s="138" customFormat="1" x14ac:dyDescent="0.2">
      <c r="A22" s="112" t="s">
        <v>319</v>
      </c>
      <c r="B22" s="145" t="s">
        <v>240</v>
      </c>
      <c r="C22" s="145" t="s">
        <v>240</v>
      </c>
      <c r="D22" s="146" t="s">
        <v>240</v>
      </c>
      <c r="E22" s="146" t="s">
        <v>240</v>
      </c>
      <c r="F22" s="146" t="s">
        <v>240</v>
      </c>
      <c r="G22" s="146" t="s">
        <v>240</v>
      </c>
      <c r="H22" s="146" t="s">
        <v>240</v>
      </c>
      <c r="I22" s="145" t="s">
        <v>240</v>
      </c>
      <c r="J22" s="145" t="s">
        <v>240</v>
      </c>
      <c r="K22" s="156" t="s">
        <v>240</v>
      </c>
      <c r="L22" s="142" t="s">
        <v>240</v>
      </c>
      <c r="M22" s="147">
        <v>0</v>
      </c>
      <c r="N22" s="145" t="s">
        <v>240</v>
      </c>
      <c r="O22" s="145">
        <v>0</v>
      </c>
      <c r="P22" s="145">
        <v>0</v>
      </c>
    </row>
    <row r="23" spans="1:16" s="138" customFormat="1" x14ac:dyDescent="0.2">
      <c r="A23" s="112" t="s">
        <v>320</v>
      </c>
      <c r="B23" s="145" t="s">
        <v>240</v>
      </c>
      <c r="C23" s="145" t="s">
        <v>240</v>
      </c>
      <c r="D23" s="146" t="s">
        <v>240</v>
      </c>
      <c r="E23" s="146" t="s">
        <v>240</v>
      </c>
      <c r="F23" s="146" t="s">
        <v>240</v>
      </c>
      <c r="G23" s="146" t="s">
        <v>240</v>
      </c>
      <c r="H23" s="146" t="s">
        <v>240</v>
      </c>
      <c r="I23" s="145" t="s">
        <v>240</v>
      </c>
      <c r="J23" s="145" t="s">
        <v>240</v>
      </c>
      <c r="K23" s="156" t="s">
        <v>240</v>
      </c>
      <c r="L23" s="142" t="s">
        <v>240</v>
      </c>
      <c r="M23" s="147">
        <v>0</v>
      </c>
      <c r="N23" s="145" t="s">
        <v>240</v>
      </c>
      <c r="O23" s="145">
        <v>0</v>
      </c>
      <c r="P23" s="145">
        <v>0</v>
      </c>
    </row>
    <row r="24" spans="1:16" s="138" customFormat="1" x14ac:dyDescent="0.2">
      <c r="A24" s="112" t="s">
        <v>321</v>
      </c>
      <c r="B24" s="145" t="s">
        <v>240</v>
      </c>
      <c r="C24" s="145" t="s">
        <v>240</v>
      </c>
      <c r="D24" s="146" t="s">
        <v>240</v>
      </c>
      <c r="E24" s="146" t="s">
        <v>240</v>
      </c>
      <c r="F24" s="146" t="s">
        <v>240</v>
      </c>
      <c r="G24" s="146" t="s">
        <v>240</v>
      </c>
      <c r="H24" s="146" t="s">
        <v>240</v>
      </c>
      <c r="I24" s="145" t="s">
        <v>240</v>
      </c>
      <c r="J24" s="145" t="s">
        <v>240</v>
      </c>
      <c r="K24" s="156" t="s">
        <v>240</v>
      </c>
      <c r="L24" s="142" t="s">
        <v>240</v>
      </c>
      <c r="M24" s="147">
        <v>0</v>
      </c>
      <c r="N24" s="145" t="s">
        <v>240</v>
      </c>
      <c r="O24" s="145">
        <v>0</v>
      </c>
      <c r="P24" s="145">
        <v>0</v>
      </c>
    </row>
    <row r="25" spans="1:16" s="138" customFormat="1" x14ac:dyDescent="0.2">
      <c r="A25" s="112" t="s">
        <v>322</v>
      </c>
      <c r="B25" s="145" t="s">
        <v>240</v>
      </c>
      <c r="C25" s="145" t="s">
        <v>240</v>
      </c>
      <c r="D25" s="146" t="s">
        <v>240</v>
      </c>
      <c r="E25" s="146" t="s">
        <v>240</v>
      </c>
      <c r="F25" s="146" t="s">
        <v>240</v>
      </c>
      <c r="G25" s="146" t="s">
        <v>240</v>
      </c>
      <c r="H25" s="146" t="s">
        <v>240</v>
      </c>
      <c r="I25" s="145" t="s">
        <v>240</v>
      </c>
      <c r="J25" s="145" t="s">
        <v>240</v>
      </c>
      <c r="K25" s="156" t="s">
        <v>240</v>
      </c>
      <c r="L25" s="142" t="s">
        <v>240</v>
      </c>
      <c r="M25" s="147">
        <v>0</v>
      </c>
      <c r="N25" s="145" t="s">
        <v>240</v>
      </c>
      <c r="O25" s="145">
        <v>0</v>
      </c>
      <c r="P25" s="145">
        <v>0</v>
      </c>
    </row>
    <row r="26" spans="1:16" s="138" customFormat="1" x14ac:dyDescent="0.2">
      <c r="A26" s="226" t="s">
        <v>323</v>
      </c>
      <c r="B26" s="220" t="s">
        <v>240</v>
      </c>
      <c r="C26" s="220" t="s">
        <v>240</v>
      </c>
      <c r="D26" s="222" t="s">
        <v>240</v>
      </c>
      <c r="E26" s="222" t="s">
        <v>240</v>
      </c>
      <c r="F26" s="222" t="s">
        <v>240</v>
      </c>
      <c r="G26" s="222" t="s">
        <v>240</v>
      </c>
      <c r="H26" s="222" t="s">
        <v>240</v>
      </c>
      <c r="I26" s="220" t="s">
        <v>240</v>
      </c>
      <c r="J26" s="220" t="s">
        <v>240</v>
      </c>
      <c r="K26" s="227" t="s">
        <v>240</v>
      </c>
      <c r="L26" s="221" t="s">
        <v>240</v>
      </c>
      <c r="M26" s="223">
        <v>0</v>
      </c>
      <c r="N26" s="220" t="s">
        <v>240</v>
      </c>
      <c r="O26" s="220">
        <v>0</v>
      </c>
      <c r="P26" s="220">
        <v>0</v>
      </c>
    </row>
    <row r="27" spans="1:16" s="138" customFormat="1" x14ac:dyDescent="0.2">
      <c r="A27" s="97"/>
      <c r="B27" s="148"/>
      <c r="C27" s="97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7" t="s">
        <v>232</v>
      </c>
      <c r="B28" s="148"/>
      <c r="C28" s="97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7" t="s">
        <v>233</v>
      </c>
      <c r="B29" s="148"/>
      <c r="C29" s="97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7" t="s">
        <v>234</v>
      </c>
      <c r="B30" s="148"/>
      <c r="C30" s="97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7" t="s">
        <v>235</v>
      </c>
      <c r="B31" s="148"/>
      <c r="C31" s="97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B11:F26 H11:H26 O11:P26">
    <cfRule type="expression" dxfId="62" priority="351" stopIfTrue="1">
      <formula>OR(LEFT(#REF!,3)="TIR",LEFT(#REF!,2)="IR")</formula>
    </cfRule>
  </conditionalFormatting>
  <conditionalFormatting sqref="A11:A26 M11:M26">
    <cfRule type="expression" dxfId="6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D5B8-968E-4D74-9D5E-23E2CD066AED}">
  <sheetPr codeName="גיליון22">
    <pageSetUpPr fitToPage="1"/>
  </sheetPr>
  <dimension ref="A1:T44"/>
  <sheetViews>
    <sheetView rightToLeft="1" zoomScale="80" zoomScaleNormal="80" workbookViewId="0">
      <selection activeCell="A6" sqref="A6:Q39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1.28515625" style="79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7.1406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236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227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230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159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162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38" customFormat="1" ht="12.75" customHeight="1" thickBot="1" x14ac:dyDescent="0.25">
      <c r="A9" s="120" t="s">
        <v>123</v>
      </c>
      <c r="B9" s="86" t="s">
        <v>240</v>
      </c>
      <c r="C9" s="86" t="s">
        <v>240</v>
      </c>
      <c r="D9" s="86"/>
      <c r="E9" s="121" t="s">
        <v>240</v>
      </c>
      <c r="F9" s="121"/>
      <c r="G9" s="121" t="s">
        <v>240</v>
      </c>
      <c r="H9" s="122" t="s">
        <v>240</v>
      </c>
      <c r="I9" s="122"/>
      <c r="J9" s="121" t="s">
        <v>240</v>
      </c>
      <c r="K9" s="86" t="s">
        <v>240</v>
      </c>
      <c r="L9" s="86" t="s">
        <v>240</v>
      </c>
      <c r="M9" s="132" t="s">
        <v>240</v>
      </c>
      <c r="N9" s="121" t="s">
        <v>240</v>
      </c>
      <c r="O9" s="123">
        <v>20717.509691299998</v>
      </c>
      <c r="P9" s="86">
        <v>1</v>
      </c>
      <c r="Q9" s="101">
        <v>8.6577060133986652E-3</v>
      </c>
    </row>
    <row r="10" spans="1:20" s="138" customFormat="1" x14ac:dyDescent="0.2">
      <c r="A10" s="111" t="s">
        <v>140</v>
      </c>
      <c r="B10" s="141" t="s">
        <v>240</v>
      </c>
      <c r="C10" s="141" t="s">
        <v>240</v>
      </c>
      <c r="D10" s="141" t="s">
        <v>240</v>
      </c>
      <c r="E10" s="142" t="s">
        <v>240</v>
      </c>
      <c r="F10" s="142" t="s">
        <v>240</v>
      </c>
      <c r="G10" s="142" t="s">
        <v>240</v>
      </c>
      <c r="H10" s="154" t="s">
        <v>240</v>
      </c>
      <c r="I10" s="178"/>
      <c r="J10" s="142" t="s">
        <v>240</v>
      </c>
      <c r="K10" s="141" t="s">
        <v>240</v>
      </c>
      <c r="L10" s="141" t="s">
        <v>240</v>
      </c>
      <c r="M10" s="179" t="s">
        <v>240</v>
      </c>
      <c r="N10" s="142" t="s">
        <v>240</v>
      </c>
      <c r="O10" s="143">
        <v>20717.509690899999</v>
      </c>
      <c r="P10" s="141">
        <v>0.99999999998069267</v>
      </c>
      <c r="Q10" s="141">
        <v>8.6577060132315073E-3</v>
      </c>
    </row>
    <row r="11" spans="1:20" s="138" customFormat="1" x14ac:dyDescent="0.2">
      <c r="A11" s="112" t="s">
        <v>878</v>
      </c>
      <c r="B11" s="145" t="s">
        <v>240</v>
      </c>
      <c r="C11" s="145" t="s">
        <v>240</v>
      </c>
      <c r="D11" s="145" t="s">
        <v>240</v>
      </c>
      <c r="E11" s="146" t="s">
        <v>879</v>
      </c>
      <c r="F11" s="146" t="s">
        <v>240</v>
      </c>
      <c r="G11" s="146" t="s">
        <v>240</v>
      </c>
      <c r="H11" s="156">
        <v>0</v>
      </c>
      <c r="I11" s="146" t="s">
        <v>240</v>
      </c>
      <c r="J11" s="146" t="s">
        <v>246</v>
      </c>
      <c r="K11" s="145" t="s">
        <v>240</v>
      </c>
      <c r="L11" s="145" t="s">
        <v>240</v>
      </c>
      <c r="M11" s="180" t="s">
        <v>240</v>
      </c>
      <c r="N11" s="146" t="s">
        <v>240</v>
      </c>
      <c r="O11" s="147">
        <v>0</v>
      </c>
      <c r="P11" s="145">
        <v>0</v>
      </c>
      <c r="Q11" s="145">
        <v>0</v>
      </c>
    </row>
    <row r="12" spans="1:20" s="138" customFormat="1" x14ac:dyDescent="0.2">
      <c r="A12" s="112" t="s">
        <v>880</v>
      </c>
      <c r="B12" s="145" t="s">
        <v>240</v>
      </c>
      <c r="C12" s="145" t="s">
        <v>240</v>
      </c>
      <c r="D12" s="145" t="s">
        <v>240</v>
      </c>
      <c r="E12" s="146" t="s">
        <v>240</v>
      </c>
      <c r="F12" s="146" t="s">
        <v>240</v>
      </c>
      <c r="G12" s="146" t="s">
        <v>240</v>
      </c>
      <c r="H12" s="156" t="s">
        <v>240</v>
      </c>
      <c r="I12" s="146" t="s">
        <v>240</v>
      </c>
      <c r="J12" s="146" t="s">
        <v>240</v>
      </c>
      <c r="K12" s="145" t="s">
        <v>240</v>
      </c>
      <c r="L12" s="145" t="s">
        <v>240</v>
      </c>
      <c r="M12" s="180" t="s">
        <v>240</v>
      </c>
      <c r="N12" s="146" t="s">
        <v>240</v>
      </c>
      <c r="O12" s="147">
        <v>3356.9451801000005</v>
      </c>
      <c r="P12" s="145">
        <v>0.16203420344046943</v>
      </c>
      <c r="Q12" s="145">
        <v>1.4028444975028146E-3</v>
      </c>
    </row>
    <row r="13" spans="1:20" x14ac:dyDescent="0.2">
      <c r="A13" s="30" t="s">
        <v>881</v>
      </c>
      <c r="B13" s="38" t="s">
        <v>240</v>
      </c>
      <c r="C13" s="38" t="s">
        <v>882</v>
      </c>
      <c r="D13" s="38" t="s">
        <v>240</v>
      </c>
      <c r="E13" s="80" t="s">
        <v>879</v>
      </c>
      <c r="F13" s="80" t="s">
        <v>883</v>
      </c>
      <c r="G13" s="80" t="s">
        <v>240</v>
      </c>
      <c r="H13" s="88">
        <v>6.68</v>
      </c>
      <c r="I13" s="80" t="s">
        <v>220</v>
      </c>
      <c r="J13" s="80" t="s">
        <v>246</v>
      </c>
      <c r="K13" s="38">
        <v>5.2999999999999999E-2</v>
      </c>
      <c r="L13" s="38">
        <v>3.7999999999999999E-2</v>
      </c>
      <c r="M13" s="133">
        <v>392723.63</v>
      </c>
      <c r="N13" s="80">
        <v>108.03</v>
      </c>
      <c r="O13" s="104">
        <v>434.64097999999996</v>
      </c>
      <c r="P13" s="38">
        <v>2.0979402760097215E-2</v>
      </c>
      <c r="Q13" s="38">
        <v>1.816335014336062E-4</v>
      </c>
      <c r="R13" s="28"/>
    </row>
    <row r="14" spans="1:20" x14ac:dyDescent="0.2">
      <c r="A14" s="30" t="s">
        <v>884</v>
      </c>
      <c r="B14" s="38" t="s">
        <v>240</v>
      </c>
      <c r="C14" s="38" t="s">
        <v>885</v>
      </c>
      <c r="D14" s="38" t="s">
        <v>240</v>
      </c>
      <c r="E14" s="80" t="s">
        <v>879</v>
      </c>
      <c r="F14" s="80" t="s">
        <v>883</v>
      </c>
      <c r="G14" s="80" t="s">
        <v>240</v>
      </c>
      <c r="H14" s="88">
        <v>8.86</v>
      </c>
      <c r="I14" s="80" t="s">
        <v>220</v>
      </c>
      <c r="J14" s="80" t="s">
        <v>246</v>
      </c>
      <c r="K14" s="38">
        <v>0.05</v>
      </c>
      <c r="L14" s="38">
        <v>3.7400000000000003E-2</v>
      </c>
      <c r="M14" s="133">
        <v>317162.19</v>
      </c>
      <c r="N14" s="80">
        <v>111.42</v>
      </c>
      <c r="O14" s="104">
        <v>355.16079999999999</v>
      </c>
      <c r="P14" s="38">
        <v>1.7143025647968893E-2</v>
      </c>
      <c r="Q14" s="38">
        <v>1.4841927624026783E-4</v>
      </c>
      <c r="R14" s="28"/>
    </row>
    <row r="15" spans="1:20" x14ac:dyDescent="0.2">
      <c r="A15" s="30" t="s">
        <v>886</v>
      </c>
      <c r="B15" s="38" t="s">
        <v>240</v>
      </c>
      <c r="C15" s="38" t="s">
        <v>887</v>
      </c>
      <c r="D15" s="38" t="s">
        <v>240</v>
      </c>
      <c r="E15" s="80" t="s">
        <v>879</v>
      </c>
      <c r="F15" s="80" t="s">
        <v>883</v>
      </c>
      <c r="G15" s="80" t="s">
        <v>240</v>
      </c>
      <c r="H15" s="88">
        <v>8.1199999999999992</v>
      </c>
      <c r="I15" s="80" t="s">
        <v>220</v>
      </c>
      <c r="J15" s="80" t="s">
        <v>246</v>
      </c>
      <c r="K15" s="38">
        <v>3.56E-2</v>
      </c>
      <c r="L15" s="38">
        <v>1.9400000000000001E-2</v>
      </c>
      <c r="M15" s="133">
        <v>135410.72</v>
      </c>
      <c r="N15" s="80">
        <v>104.26</v>
      </c>
      <c r="O15" s="104">
        <v>140.63939999999999</v>
      </c>
      <c r="P15" s="38">
        <v>6.7884317225182407E-3</v>
      </c>
      <c r="Q15" s="38">
        <v>5.8772246145592433E-5</v>
      </c>
      <c r="R15" s="28"/>
    </row>
    <row r="16" spans="1:20" x14ac:dyDescent="0.2">
      <c r="A16" s="30" t="s">
        <v>888</v>
      </c>
      <c r="B16" s="38" t="s">
        <v>240</v>
      </c>
      <c r="C16" s="38" t="s">
        <v>889</v>
      </c>
      <c r="D16" s="38" t="s">
        <v>240</v>
      </c>
      <c r="E16" s="80" t="s">
        <v>879</v>
      </c>
      <c r="F16" s="80" t="s">
        <v>883</v>
      </c>
      <c r="G16" s="80" t="s">
        <v>240</v>
      </c>
      <c r="H16" s="88">
        <v>8.6300000000000008</v>
      </c>
      <c r="I16" s="80" t="s">
        <v>220</v>
      </c>
      <c r="J16" s="80" t="s">
        <v>246</v>
      </c>
      <c r="K16" s="38">
        <v>4.2000000000000003E-2</v>
      </c>
      <c r="L16" s="38">
        <v>1.9699999999999999E-2</v>
      </c>
      <c r="M16" s="133">
        <v>758566.59</v>
      </c>
      <c r="N16" s="80">
        <v>109.09</v>
      </c>
      <c r="O16" s="104">
        <v>824.28738999999996</v>
      </c>
      <c r="P16" s="38">
        <v>3.9786991886681583E-2</v>
      </c>
      <c r="Q16" s="38">
        <v>3.4446407891236698E-4</v>
      </c>
      <c r="R16" s="28"/>
    </row>
    <row r="17" spans="1:18" x14ac:dyDescent="0.2">
      <c r="A17" s="30" t="s">
        <v>890</v>
      </c>
      <c r="B17" s="38" t="s">
        <v>240</v>
      </c>
      <c r="C17" s="38" t="s">
        <v>891</v>
      </c>
      <c r="D17" s="38" t="s">
        <v>240</v>
      </c>
      <c r="E17" s="80" t="s">
        <v>879</v>
      </c>
      <c r="F17" s="80" t="s">
        <v>883</v>
      </c>
      <c r="G17" s="80" t="s">
        <v>240</v>
      </c>
      <c r="H17" s="88">
        <v>8.49</v>
      </c>
      <c r="I17" s="80" t="s">
        <v>220</v>
      </c>
      <c r="J17" s="80" t="s">
        <v>246</v>
      </c>
      <c r="K17" s="38">
        <v>5.1100000000000007E-2</v>
      </c>
      <c r="L17" s="38">
        <v>1.2699999999999999E-2</v>
      </c>
      <c r="M17" s="133">
        <v>799241.05</v>
      </c>
      <c r="N17" s="80">
        <v>117.39</v>
      </c>
      <c r="O17" s="104">
        <v>982.16216000000009</v>
      </c>
      <c r="P17" s="38">
        <v>4.7407346473328504E-2</v>
      </c>
      <c r="Q17" s="38">
        <v>4.1043886864141016E-4</v>
      </c>
      <c r="R17" s="28"/>
    </row>
    <row r="18" spans="1:18" x14ac:dyDescent="0.2">
      <c r="A18" s="30" t="s">
        <v>892</v>
      </c>
      <c r="B18" s="38" t="s">
        <v>240</v>
      </c>
      <c r="C18" s="38" t="s">
        <v>893</v>
      </c>
      <c r="D18" s="38" t="s">
        <v>240</v>
      </c>
      <c r="E18" s="80" t="s">
        <v>879</v>
      </c>
      <c r="F18" s="80" t="s">
        <v>883</v>
      </c>
      <c r="G18" s="80" t="s">
        <v>240</v>
      </c>
      <c r="H18" s="88">
        <v>9.2899999999999991</v>
      </c>
      <c r="I18" s="80" t="s">
        <v>220</v>
      </c>
      <c r="J18" s="80" t="s">
        <v>246</v>
      </c>
      <c r="K18" s="38">
        <v>5.1500000000000004E-2</v>
      </c>
      <c r="L18" s="38">
        <v>1.0700000000000001E-2</v>
      </c>
      <c r="M18" s="133">
        <v>486075.43</v>
      </c>
      <c r="N18" s="80">
        <v>125.65</v>
      </c>
      <c r="O18" s="104">
        <v>620.05444999999997</v>
      </c>
      <c r="P18" s="38">
        <v>2.9929004945048118E-2</v>
      </c>
      <c r="Q18" s="38">
        <v>2.5911652608778146E-4</v>
      </c>
      <c r="R18" s="28"/>
    </row>
    <row r="19" spans="1:18" s="138" customFormat="1" x14ac:dyDescent="0.2">
      <c r="A19" s="112" t="s">
        <v>894</v>
      </c>
      <c r="B19" s="145" t="s">
        <v>240</v>
      </c>
      <c r="C19" s="145" t="s">
        <v>240</v>
      </c>
      <c r="D19" s="145" t="s">
        <v>240</v>
      </c>
      <c r="E19" s="146" t="s">
        <v>240</v>
      </c>
      <c r="F19" s="146" t="s">
        <v>240</v>
      </c>
      <c r="G19" s="146" t="s">
        <v>240</v>
      </c>
      <c r="H19" s="156" t="s">
        <v>240</v>
      </c>
      <c r="I19" s="146" t="s">
        <v>240</v>
      </c>
      <c r="J19" s="146" t="s">
        <v>240</v>
      </c>
      <c r="K19" s="145" t="s">
        <v>240</v>
      </c>
      <c r="L19" s="145" t="s">
        <v>240</v>
      </c>
      <c r="M19" s="180" t="s">
        <v>240</v>
      </c>
      <c r="N19" s="146" t="s">
        <v>240</v>
      </c>
      <c r="O19" s="147">
        <v>0</v>
      </c>
      <c r="P19" s="145">
        <v>0</v>
      </c>
      <c r="Q19" s="145">
        <v>0</v>
      </c>
    </row>
    <row r="20" spans="1:18" s="138" customFormat="1" x14ac:dyDescent="0.2">
      <c r="A20" s="112" t="s">
        <v>895</v>
      </c>
      <c r="B20" s="145" t="s">
        <v>240</v>
      </c>
      <c r="C20" s="145" t="s">
        <v>240</v>
      </c>
      <c r="D20" s="145" t="s">
        <v>240</v>
      </c>
      <c r="E20" s="146" t="s">
        <v>240</v>
      </c>
      <c r="F20" s="146" t="s">
        <v>240</v>
      </c>
      <c r="G20" s="146" t="s">
        <v>240</v>
      </c>
      <c r="H20" s="156" t="s">
        <v>240</v>
      </c>
      <c r="I20" s="146" t="s">
        <v>240</v>
      </c>
      <c r="J20" s="146" t="s">
        <v>240</v>
      </c>
      <c r="K20" s="145" t="s">
        <v>240</v>
      </c>
      <c r="L20" s="145" t="s">
        <v>240</v>
      </c>
      <c r="M20" s="180" t="s">
        <v>240</v>
      </c>
      <c r="N20" s="146" t="s">
        <v>240</v>
      </c>
      <c r="O20" s="147">
        <v>17360.564510100001</v>
      </c>
      <c r="P20" s="145">
        <v>0.83796579650643555</v>
      </c>
      <c r="Q20" s="145">
        <v>7.254861515436169E-3</v>
      </c>
    </row>
    <row r="21" spans="1:18" x14ac:dyDescent="0.2">
      <c r="A21" s="30" t="s">
        <v>901</v>
      </c>
      <c r="B21" s="38" t="s">
        <v>897</v>
      </c>
      <c r="C21" s="38" t="s">
        <v>902</v>
      </c>
      <c r="D21" s="38" t="s">
        <v>903</v>
      </c>
      <c r="E21" s="80" t="s">
        <v>262</v>
      </c>
      <c r="F21" s="80" t="s">
        <v>904</v>
      </c>
      <c r="G21" s="80" t="s">
        <v>263</v>
      </c>
      <c r="H21" s="88">
        <v>4.05</v>
      </c>
      <c r="I21" s="80" t="s">
        <v>206</v>
      </c>
      <c r="J21" s="80" t="s">
        <v>246</v>
      </c>
      <c r="K21" s="38">
        <v>2.5600000000000001E-2</v>
      </c>
      <c r="L21" s="38">
        <v>2.5899999999999996E-2</v>
      </c>
      <c r="M21" s="133">
        <v>536979.03</v>
      </c>
      <c r="N21" s="80">
        <v>99.75</v>
      </c>
      <c r="O21" s="104">
        <v>539.73712</v>
      </c>
      <c r="P21" s="38">
        <v>2.6052219984077255E-2</v>
      </c>
      <c r="Q21" s="38">
        <v>2.2555246161853052E-4</v>
      </c>
      <c r="R21" s="28"/>
    </row>
    <row r="22" spans="1:18" x14ac:dyDescent="0.2">
      <c r="A22" s="30" t="s">
        <v>910</v>
      </c>
      <c r="B22" s="38" t="s">
        <v>897</v>
      </c>
      <c r="C22" s="38" t="s">
        <v>911</v>
      </c>
      <c r="D22" s="38" t="s">
        <v>912</v>
      </c>
      <c r="E22" s="80" t="s">
        <v>913</v>
      </c>
      <c r="F22" s="80" t="s">
        <v>909</v>
      </c>
      <c r="G22" s="80" t="s">
        <v>332</v>
      </c>
      <c r="H22" s="88">
        <v>3.29</v>
      </c>
      <c r="I22" s="80" t="s">
        <v>222</v>
      </c>
      <c r="J22" s="80" t="s">
        <v>246</v>
      </c>
      <c r="K22" s="38">
        <v>0.03</v>
      </c>
      <c r="L22" s="38">
        <v>3.0399999999999996E-2</v>
      </c>
      <c r="M22" s="133">
        <v>425762.19</v>
      </c>
      <c r="N22" s="80">
        <v>97.84</v>
      </c>
      <c r="O22" s="104">
        <v>432.76785999999998</v>
      </c>
      <c r="P22" s="38">
        <v>2.0888990349150614E-2</v>
      </c>
      <c r="Q22" s="38">
        <v>1.8085073735966796E-4</v>
      </c>
      <c r="R22" s="28"/>
    </row>
    <row r="23" spans="1:18" x14ac:dyDescent="0.2">
      <c r="A23" s="30" t="s">
        <v>922</v>
      </c>
      <c r="B23" s="38" t="s">
        <v>240</v>
      </c>
      <c r="C23" s="38" t="s">
        <v>923</v>
      </c>
      <c r="D23" s="38" t="s">
        <v>924</v>
      </c>
      <c r="E23" s="80" t="s">
        <v>925</v>
      </c>
      <c r="F23" s="80" t="s">
        <v>926</v>
      </c>
      <c r="G23" s="80" t="s">
        <v>332</v>
      </c>
      <c r="H23" s="88">
        <v>9.15</v>
      </c>
      <c r="I23" s="80" t="s">
        <v>223</v>
      </c>
      <c r="J23" s="80" t="s">
        <v>246</v>
      </c>
      <c r="K23" s="38">
        <v>1.24E-2</v>
      </c>
      <c r="L23" s="38">
        <v>1.2500000000000001E-2</v>
      </c>
      <c r="M23" s="133">
        <v>5243445</v>
      </c>
      <c r="N23" s="80">
        <v>79.72</v>
      </c>
      <c r="O23" s="104">
        <v>5260.6898799999999</v>
      </c>
      <c r="P23" s="38">
        <v>0.25392481810732043</v>
      </c>
      <c r="Q23" s="38">
        <v>2.1984064246789101E-3</v>
      </c>
      <c r="R23" s="28"/>
    </row>
    <row r="24" spans="1:18" x14ac:dyDescent="0.2">
      <c r="A24" s="30" t="s">
        <v>922</v>
      </c>
      <c r="B24" s="38" t="s">
        <v>240</v>
      </c>
      <c r="C24" s="38" t="s">
        <v>927</v>
      </c>
      <c r="D24" s="38" t="s">
        <v>924</v>
      </c>
      <c r="E24" s="80" t="s">
        <v>925</v>
      </c>
      <c r="F24" s="80" t="s">
        <v>928</v>
      </c>
      <c r="G24" s="80" t="s">
        <v>332</v>
      </c>
      <c r="H24" s="88">
        <v>8.1300000000000008</v>
      </c>
      <c r="I24" s="80" t="s">
        <v>223</v>
      </c>
      <c r="J24" s="80" t="s">
        <v>246</v>
      </c>
      <c r="K24" s="38">
        <v>9.4999999999999998E-3</v>
      </c>
      <c r="L24" s="38">
        <v>9.4999999999999998E-3</v>
      </c>
      <c r="M24" s="133">
        <v>6292134</v>
      </c>
      <c r="N24" s="80">
        <v>96.94</v>
      </c>
      <c r="O24" s="104">
        <v>6294.5796799999998</v>
      </c>
      <c r="P24" s="38">
        <v>0.30382897239060119</v>
      </c>
      <c r="Q24" s="38">
        <v>2.6304619213108451E-3</v>
      </c>
      <c r="R24" s="28"/>
    </row>
    <row r="25" spans="1:18" x14ac:dyDescent="0.2">
      <c r="A25" s="30" t="s">
        <v>918</v>
      </c>
      <c r="B25" s="38" t="s">
        <v>240</v>
      </c>
      <c r="C25" s="38" t="s">
        <v>919</v>
      </c>
      <c r="D25" s="38" t="s">
        <v>920</v>
      </c>
      <c r="E25" s="80" t="s">
        <v>814</v>
      </c>
      <c r="F25" s="80" t="s">
        <v>921</v>
      </c>
      <c r="G25" s="80" t="s">
        <v>245</v>
      </c>
      <c r="H25" s="88">
        <v>8.83</v>
      </c>
      <c r="I25" s="80" t="s">
        <v>206</v>
      </c>
      <c r="J25" s="80" t="s">
        <v>246</v>
      </c>
      <c r="K25" s="38">
        <v>4.4500000000000005E-2</v>
      </c>
      <c r="L25" s="38">
        <v>4.519999999999999E-2</v>
      </c>
      <c r="M25" s="133">
        <v>1905477.57</v>
      </c>
      <c r="N25" s="80">
        <v>85</v>
      </c>
      <c r="O25" s="104">
        <v>1912.89123</v>
      </c>
      <c r="P25" s="38">
        <v>9.2332102579070569E-2</v>
      </c>
      <c r="Q25" s="38">
        <v>7.9938419972856159E-4</v>
      </c>
      <c r="R25" s="28"/>
    </row>
    <row r="26" spans="1:18" x14ac:dyDescent="0.2">
      <c r="A26" s="30" t="s">
        <v>905</v>
      </c>
      <c r="B26" s="38" t="s">
        <v>897</v>
      </c>
      <c r="C26" s="38" t="s">
        <v>906</v>
      </c>
      <c r="D26" s="38" t="s">
        <v>907</v>
      </c>
      <c r="E26" s="80" t="s">
        <v>908</v>
      </c>
      <c r="F26" s="80" t="s">
        <v>909</v>
      </c>
      <c r="G26" s="80" t="s">
        <v>332</v>
      </c>
      <c r="H26" s="88">
        <v>3.29</v>
      </c>
      <c r="I26" s="80" t="s">
        <v>222</v>
      </c>
      <c r="J26" s="80" t="s">
        <v>246</v>
      </c>
      <c r="K26" s="38">
        <v>0.03</v>
      </c>
      <c r="L26" s="38">
        <v>3.0399999999999996E-2</v>
      </c>
      <c r="M26" s="133">
        <v>425762.19</v>
      </c>
      <c r="N26" s="80">
        <v>97.84</v>
      </c>
      <c r="O26" s="104">
        <v>432.76785999999998</v>
      </c>
      <c r="P26" s="38">
        <v>2.0888990349150614E-2</v>
      </c>
      <c r="Q26" s="38">
        <v>1.8085073735966796E-4</v>
      </c>
      <c r="R26" s="28"/>
    </row>
    <row r="27" spans="1:18" x14ac:dyDescent="0.2">
      <c r="A27" s="30" t="s">
        <v>914</v>
      </c>
      <c r="B27" s="38" t="s">
        <v>240</v>
      </c>
      <c r="C27" s="38" t="s">
        <v>915</v>
      </c>
      <c r="D27" s="38" t="s">
        <v>916</v>
      </c>
      <c r="E27" s="80" t="s">
        <v>879</v>
      </c>
      <c r="F27" s="80" t="s">
        <v>917</v>
      </c>
      <c r="G27" s="80" t="s">
        <v>240</v>
      </c>
      <c r="H27" s="88">
        <v>1.59</v>
      </c>
      <c r="I27" s="80" t="s">
        <v>204</v>
      </c>
      <c r="J27" s="80" t="s">
        <v>246</v>
      </c>
      <c r="K27" s="38">
        <v>3.5000000000000003E-2</v>
      </c>
      <c r="L27" s="38">
        <v>3.5499999999999997E-2</v>
      </c>
      <c r="M27" s="133">
        <v>2247469.61</v>
      </c>
      <c r="N27" s="80">
        <v>96.48</v>
      </c>
      <c r="O27" s="104">
        <v>2247.4696099999996</v>
      </c>
      <c r="P27" s="38">
        <v>0.10848164878348243</v>
      </c>
      <c r="Q27" s="38">
        <v>9.3920222301615772E-4</v>
      </c>
      <c r="R27" s="28"/>
    </row>
    <row r="28" spans="1:18" x14ac:dyDescent="0.2">
      <c r="A28" s="30" t="s">
        <v>896</v>
      </c>
      <c r="B28" s="38" t="s">
        <v>897</v>
      </c>
      <c r="C28" s="38" t="s">
        <v>898</v>
      </c>
      <c r="D28" s="38" t="s">
        <v>899</v>
      </c>
      <c r="E28" s="80" t="s">
        <v>879</v>
      </c>
      <c r="F28" s="80" t="s">
        <v>900</v>
      </c>
      <c r="G28" s="80" t="s">
        <v>240</v>
      </c>
      <c r="H28" s="88">
        <v>5.1100000000000003</v>
      </c>
      <c r="I28" s="80" t="s">
        <v>213</v>
      </c>
      <c r="J28" s="80" t="s">
        <v>246</v>
      </c>
      <c r="K28" s="38">
        <v>2.6999999880790711E-2</v>
      </c>
      <c r="L28" s="38">
        <v>2.7300000000000005E-2</v>
      </c>
      <c r="M28" s="133">
        <v>239555.24</v>
      </c>
      <c r="N28" s="80">
        <v>88.28</v>
      </c>
      <c r="O28" s="104">
        <v>239.66127</v>
      </c>
      <c r="P28" s="38">
        <v>1.1568053958755578E-2</v>
      </c>
      <c r="Q28" s="38">
        <v>1.001528103220384E-4</v>
      </c>
      <c r="R28" s="28"/>
    </row>
    <row r="29" spans="1:18" s="138" customFormat="1" x14ac:dyDescent="0.2">
      <c r="A29" s="112" t="s">
        <v>929</v>
      </c>
      <c r="B29" s="145" t="s">
        <v>240</v>
      </c>
      <c r="C29" s="145" t="s">
        <v>240</v>
      </c>
      <c r="D29" s="145" t="s">
        <v>240</v>
      </c>
      <c r="E29" s="146" t="s">
        <v>240</v>
      </c>
      <c r="F29" s="146" t="s">
        <v>240</v>
      </c>
      <c r="G29" s="146" t="s">
        <v>240</v>
      </c>
      <c r="H29" s="156" t="s">
        <v>240</v>
      </c>
      <c r="I29" s="146" t="s">
        <v>240</v>
      </c>
      <c r="J29" s="146" t="s">
        <v>240</v>
      </c>
      <c r="K29" s="145" t="s">
        <v>240</v>
      </c>
      <c r="L29" s="145" t="s">
        <v>240</v>
      </c>
      <c r="M29" s="180" t="s">
        <v>240</v>
      </c>
      <c r="N29" s="146" t="s">
        <v>240</v>
      </c>
      <c r="O29" s="147">
        <v>0</v>
      </c>
      <c r="P29" s="145">
        <v>0</v>
      </c>
      <c r="Q29" s="145">
        <v>0</v>
      </c>
    </row>
    <row r="30" spans="1:18" s="138" customFormat="1" x14ac:dyDescent="0.2">
      <c r="A30" s="112" t="s">
        <v>930</v>
      </c>
      <c r="B30" s="145" t="s">
        <v>240</v>
      </c>
      <c r="C30" s="145" t="s">
        <v>240</v>
      </c>
      <c r="D30" s="145" t="s">
        <v>240</v>
      </c>
      <c r="E30" s="146" t="s">
        <v>240</v>
      </c>
      <c r="F30" s="146" t="s">
        <v>240</v>
      </c>
      <c r="G30" s="146" t="s">
        <v>240</v>
      </c>
      <c r="H30" s="156">
        <v>0</v>
      </c>
      <c r="I30" s="146" t="s">
        <v>240</v>
      </c>
      <c r="J30" s="146" t="s">
        <v>240</v>
      </c>
      <c r="K30" s="145">
        <v>0</v>
      </c>
      <c r="L30" s="145">
        <v>0</v>
      </c>
      <c r="M30" s="180">
        <v>0</v>
      </c>
      <c r="N30" s="146" t="s">
        <v>240</v>
      </c>
      <c r="O30" s="147">
        <v>0</v>
      </c>
      <c r="P30" s="145">
        <v>0</v>
      </c>
      <c r="Q30" s="145">
        <v>0</v>
      </c>
    </row>
    <row r="31" spans="1:18" s="138" customFormat="1" x14ac:dyDescent="0.2">
      <c r="A31" s="112" t="s">
        <v>931</v>
      </c>
      <c r="B31" s="145" t="s">
        <v>240</v>
      </c>
      <c r="C31" s="145" t="s">
        <v>240</v>
      </c>
      <c r="D31" s="145" t="s">
        <v>240</v>
      </c>
      <c r="E31" s="146" t="s">
        <v>240</v>
      </c>
      <c r="F31" s="146" t="s">
        <v>240</v>
      </c>
      <c r="G31" s="146" t="s">
        <v>240</v>
      </c>
      <c r="H31" s="156" t="s">
        <v>240</v>
      </c>
      <c r="I31" s="146" t="s">
        <v>240</v>
      </c>
      <c r="J31" s="146" t="s">
        <v>240</v>
      </c>
      <c r="K31" s="145" t="s">
        <v>240</v>
      </c>
      <c r="L31" s="145" t="s">
        <v>240</v>
      </c>
      <c r="M31" s="180" t="s">
        <v>240</v>
      </c>
      <c r="N31" s="146" t="s">
        <v>240</v>
      </c>
      <c r="O31" s="147">
        <v>0</v>
      </c>
      <c r="P31" s="145">
        <v>0</v>
      </c>
      <c r="Q31" s="145">
        <v>0</v>
      </c>
    </row>
    <row r="32" spans="1:18" s="138" customFormat="1" x14ac:dyDescent="0.2">
      <c r="A32" s="112" t="s">
        <v>932</v>
      </c>
      <c r="B32" s="145" t="s">
        <v>240</v>
      </c>
      <c r="C32" s="145" t="s">
        <v>240</v>
      </c>
      <c r="D32" s="145" t="s">
        <v>240</v>
      </c>
      <c r="E32" s="146" t="s">
        <v>240</v>
      </c>
      <c r="F32" s="146" t="s">
        <v>240</v>
      </c>
      <c r="G32" s="146" t="s">
        <v>240</v>
      </c>
      <c r="H32" s="156" t="s">
        <v>240</v>
      </c>
      <c r="I32" s="146" t="s">
        <v>240</v>
      </c>
      <c r="J32" s="146" t="s">
        <v>240</v>
      </c>
      <c r="K32" s="145" t="s">
        <v>240</v>
      </c>
      <c r="L32" s="145" t="s">
        <v>240</v>
      </c>
      <c r="M32" s="180" t="s">
        <v>240</v>
      </c>
      <c r="N32" s="146" t="s">
        <v>240</v>
      </c>
      <c r="O32" s="147">
        <v>0</v>
      </c>
      <c r="P32" s="145">
        <v>0</v>
      </c>
      <c r="Q32" s="145">
        <v>0</v>
      </c>
    </row>
    <row r="33" spans="1:18" s="138" customFormat="1" x14ac:dyDescent="0.2">
      <c r="A33" s="112" t="s">
        <v>933</v>
      </c>
      <c r="B33" s="145" t="s">
        <v>240</v>
      </c>
      <c r="C33" s="145" t="s">
        <v>240</v>
      </c>
      <c r="D33" s="145" t="s">
        <v>240</v>
      </c>
      <c r="E33" s="146" t="s">
        <v>240</v>
      </c>
      <c r="F33" s="146" t="s">
        <v>240</v>
      </c>
      <c r="G33" s="146" t="s">
        <v>240</v>
      </c>
      <c r="H33" s="156">
        <v>0</v>
      </c>
      <c r="I33" s="146" t="s">
        <v>240</v>
      </c>
      <c r="J33" s="146" t="s">
        <v>240</v>
      </c>
      <c r="K33" s="145">
        <v>0</v>
      </c>
      <c r="L33" s="145">
        <v>0</v>
      </c>
      <c r="M33" s="180">
        <v>0</v>
      </c>
      <c r="N33" s="146" t="s">
        <v>240</v>
      </c>
      <c r="O33" s="147">
        <v>0</v>
      </c>
      <c r="P33" s="145">
        <v>0</v>
      </c>
      <c r="Q33" s="145">
        <v>0</v>
      </c>
    </row>
    <row r="34" spans="1:18" s="138" customFormat="1" x14ac:dyDescent="0.2">
      <c r="A34" s="112" t="s">
        <v>934</v>
      </c>
      <c r="B34" s="145" t="s">
        <v>240</v>
      </c>
      <c r="C34" s="145" t="s">
        <v>240</v>
      </c>
      <c r="D34" s="145" t="s">
        <v>240</v>
      </c>
      <c r="E34" s="146" t="s">
        <v>240</v>
      </c>
      <c r="F34" s="146" t="s">
        <v>240</v>
      </c>
      <c r="G34" s="146" t="s">
        <v>240</v>
      </c>
      <c r="H34" s="156" t="s">
        <v>240</v>
      </c>
      <c r="I34" s="146" t="s">
        <v>240</v>
      </c>
      <c r="J34" s="146" t="s">
        <v>240</v>
      </c>
      <c r="K34" s="145" t="s">
        <v>240</v>
      </c>
      <c r="L34" s="145" t="s">
        <v>240</v>
      </c>
      <c r="M34" s="180" t="s">
        <v>240</v>
      </c>
      <c r="N34" s="146" t="s">
        <v>240</v>
      </c>
      <c r="O34" s="147">
        <v>0</v>
      </c>
      <c r="P34" s="145">
        <v>0</v>
      </c>
      <c r="Q34" s="145">
        <v>0</v>
      </c>
    </row>
    <row r="35" spans="1:18" s="138" customFormat="1" x14ac:dyDescent="0.2">
      <c r="A35" s="112" t="s">
        <v>283</v>
      </c>
      <c r="B35" s="145" t="s">
        <v>90</v>
      </c>
      <c r="C35" s="145" t="s">
        <v>240</v>
      </c>
      <c r="D35" s="145" t="s">
        <v>240</v>
      </c>
      <c r="E35" s="146" t="s">
        <v>240</v>
      </c>
      <c r="F35" s="146" t="s">
        <v>240</v>
      </c>
      <c r="G35" s="146" t="s">
        <v>240</v>
      </c>
      <c r="H35" s="156" t="s">
        <v>240</v>
      </c>
      <c r="I35" s="146" t="s">
        <v>240</v>
      </c>
      <c r="J35" s="146" t="s">
        <v>240</v>
      </c>
      <c r="K35" s="145" t="s">
        <v>240</v>
      </c>
      <c r="L35" s="145" t="s">
        <v>240</v>
      </c>
      <c r="M35" s="180" t="s">
        <v>240</v>
      </c>
      <c r="N35" s="146" t="s">
        <v>240</v>
      </c>
      <c r="O35" s="147">
        <v>0</v>
      </c>
      <c r="P35" s="145">
        <v>0</v>
      </c>
      <c r="Q35" s="145">
        <v>0</v>
      </c>
    </row>
    <row r="36" spans="1:18" s="138" customFormat="1" x14ac:dyDescent="0.2">
      <c r="A36" s="112" t="s">
        <v>880</v>
      </c>
      <c r="B36" s="145" t="s">
        <v>240</v>
      </c>
      <c r="C36" s="145" t="s">
        <v>240</v>
      </c>
      <c r="D36" s="145" t="s">
        <v>240</v>
      </c>
      <c r="E36" s="146" t="s">
        <v>240</v>
      </c>
      <c r="F36" s="146" t="s">
        <v>240</v>
      </c>
      <c r="G36" s="146" t="s">
        <v>240</v>
      </c>
      <c r="H36" s="156" t="s">
        <v>240</v>
      </c>
      <c r="I36" s="146" t="s">
        <v>240</v>
      </c>
      <c r="J36" s="146" t="s">
        <v>240</v>
      </c>
      <c r="K36" s="145" t="s">
        <v>240</v>
      </c>
      <c r="L36" s="145" t="s">
        <v>240</v>
      </c>
      <c r="M36" s="180" t="s">
        <v>240</v>
      </c>
      <c r="N36" s="146" t="s">
        <v>240</v>
      </c>
      <c r="O36" s="147">
        <v>0</v>
      </c>
      <c r="P36" s="145">
        <v>0</v>
      </c>
      <c r="Q36" s="145">
        <v>0</v>
      </c>
    </row>
    <row r="37" spans="1:18" s="138" customFormat="1" x14ac:dyDescent="0.2">
      <c r="A37" s="112" t="s">
        <v>894</v>
      </c>
      <c r="B37" s="145" t="s">
        <v>240</v>
      </c>
      <c r="C37" s="145" t="s">
        <v>240</v>
      </c>
      <c r="D37" s="145" t="s">
        <v>240</v>
      </c>
      <c r="E37" s="146" t="s">
        <v>240</v>
      </c>
      <c r="F37" s="146" t="s">
        <v>240</v>
      </c>
      <c r="G37" s="146" t="s">
        <v>240</v>
      </c>
      <c r="H37" s="156" t="s">
        <v>240</v>
      </c>
      <c r="I37" s="146" t="s">
        <v>240</v>
      </c>
      <c r="J37" s="146" t="s">
        <v>240</v>
      </c>
      <c r="K37" s="145" t="s">
        <v>240</v>
      </c>
      <c r="L37" s="145" t="s">
        <v>240</v>
      </c>
      <c r="M37" s="180" t="s">
        <v>240</v>
      </c>
      <c r="N37" s="146" t="s">
        <v>240</v>
      </c>
      <c r="O37" s="147">
        <v>0</v>
      </c>
      <c r="P37" s="145">
        <v>0</v>
      </c>
      <c r="Q37" s="145">
        <v>0</v>
      </c>
    </row>
    <row r="38" spans="1:18" s="138" customFormat="1" x14ac:dyDescent="0.2">
      <c r="A38" s="112" t="s">
        <v>895</v>
      </c>
      <c r="B38" s="145" t="s">
        <v>240</v>
      </c>
      <c r="C38" s="145" t="s">
        <v>240</v>
      </c>
      <c r="D38" s="145" t="s">
        <v>240</v>
      </c>
      <c r="E38" s="146" t="s">
        <v>240</v>
      </c>
      <c r="F38" s="146" t="s">
        <v>240</v>
      </c>
      <c r="G38" s="146" t="s">
        <v>240</v>
      </c>
      <c r="H38" s="156" t="s">
        <v>240</v>
      </c>
      <c r="I38" s="146" t="s">
        <v>240</v>
      </c>
      <c r="J38" s="146" t="s">
        <v>240</v>
      </c>
      <c r="K38" s="145" t="s">
        <v>240</v>
      </c>
      <c r="L38" s="145" t="s">
        <v>240</v>
      </c>
      <c r="M38" s="180" t="s">
        <v>240</v>
      </c>
      <c r="N38" s="146" t="s">
        <v>240</v>
      </c>
      <c r="O38" s="147">
        <v>0</v>
      </c>
      <c r="P38" s="145">
        <v>0</v>
      </c>
      <c r="Q38" s="145">
        <v>0</v>
      </c>
    </row>
    <row r="39" spans="1:18" s="138" customFormat="1" x14ac:dyDescent="0.2">
      <c r="A39" s="226" t="s">
        <v>934</v>
      </c>
      <c r="B39" s="220" t="s">
        <v>240</v>
      </c>
      <c r="C39" s="220" t="s">
        <v>240</v>
      </c>
      <c r="D39" s="220" t="s">
        <v>240</v>
      </c>
      <c r="E39" s="222" t="s">
        <v>240</v>
      </c>
      <c r="F39" s="222" t="s">
        <v>240</v>
      </c>
      <c r="G39" s="222" t="s">
        <v>240</v>
      </c>
      <c r="H39" s="227" t="s">
        <v>240</v>
      </c>
      <c r="I39" s="222" t="s">
        <v>240</v>
      </c>
      <c r="J39" s="222" t="s">
        <v>240</v>
      </c>
      <c r="K39" s="220" t="s">
        <v>240</v>
      </c>
      <c r="L39" s="220" t="s">
        <v>240</v>
      </c>
      <c r="M39" s="235" t="s">
        <v>240</v>
      </c>
      <c r="N39" s="222" t="s">
        <v>240</v>
      </c>
      <c r="O39" s="223">
        <v>0</v>
      </c>
      <c r="P39" s="220">
        <v>0</v>
      </c>
      <c r="Q39" s="220">
        <v>0</v>
      </c>
    </row>
    <row r="40" spans="1:18" s="138" customFormat="1" x14ac:dyDescent="0.2">
      <c r="A40" s="97" t="s">
        <v>231</v>
      </c>
      <c r="B40" s="97"/>
      <c r="C40" s="148"/>
      <c r="D40" s="148"/>
      <c r="E40" s="148"/>
      <c r="F40" s="149"/>
      <c r="G40" s="149"/>
      <c r="H40" s="149"/>
      <c r="I40" s="149"/>
      <c r="J40" s="149"/>
      <c r="K40" s="150"/>
      <c r="L40" s="151"/>
      <c r="M40" s="152"/>
      <c r="N40" s="152"/>
      <c r="O40" s="152"/>
      <c r="P40" s="152"/>
      <c r="Q40" s="151"/>
      <c r="R40" s="153"/>
    </row>
    <row r="41" spans="1:18" s="138" customFormat="1" x14ac:dyDescent="0.2">
      <c r="A41" s="97" t="s">
        <v>232</v>
      </c>
      <c r="B41" s="97"/>
      <c r="C41" s="148"/>
      <c r="D41" s="148"/>
      <c r="E41" s="148"/>
      <c r="F41" s="149"/>
      <c r="G41" s="149"/>
      <c r="H41" s="149"/>
      <c r="I41" s="149"/>
      <c r="J41" s="149"/>
      <c r="K41" s="150"/>
      <c r="L41" s="151"/>
      <c r="M41" s="152"/>
      <c r="N41" s="152"/>
      <c r="O41" s="152"/>
      <c r="P41" s="152"/>
      <c r="Q41" s="151"/>
      <c r="R41" s="153"/>
    </row>
    <row r="42" spans="1:18" s="138" customFormat="1" x14ac:dyDescent="0.2">
      <c r="A42" s="97" t="s">
        <v>233</v>
      </c>
      <c r="B42" s="97"/>
      <c r="C42" s="148"/>
      <c r="D42" s="148"/>
      <c r="E42" s="148"/>
      <c r="F42" s="149"/>
      <c r="G42" s="149"/>
      <c r="H42" s="149"/>
      <c r="I42" s="149"/>
      <c r="J42" s="149"/>
      <c r="K42" s="150"/>
      <c r="L42" s="151"/>
      <c r="M42" s="152"/>
      <c r="N42" s="152"/>
      <c r="O42" s="152"/>
      <c r="P42" s="152"/>
      <c r="Q42" s="151"/>
      <c r="R42" s="153"/>
    </row>
    <row r="43" spans="1:18" s="138" customFormat="1" x14ac:dyDescent="0.2">
      <c r="A43" s="97" t="s">
        <v>234</v>
      </c>
      <c r="B43" s="97"/>
      <c r="C43" s="148"/>
      <c r="D43" s="148"/>
      <c r="E43" s="148"/>
      <c r="F43" s="149"/>
      <c r="G43" s="149"/>
      <c r="H43" s="149"/>
      <c r="I43" s="149"/>
      <c r="J43" s="149"/>
      <c r="K43" s="150"/>
      <c r="L43" s="151"/>
      <c r="M43" s="152"/>
      <c r="N43" s="152"/>
      <c r="O43" s="152"/>
      <c r="P43" s="152"/>
      <c r="Q43" s="151"/>
      <c r="R43" s="153"/>
    </row>
    <row r="44" spans="1:18" s="138" customFormat="1" x14ac:dyDescent="0.2">
      <c r="A44" s="97" t="s">
        <v>235</v>
      </c>
      <c r="B44" s="97"/>
      <c r="C44" s="148"/>
      <c r="D44" s="148"/>
      <c r="E44" s="148"/>
      <c r="F44" s="149"/>
      <c r="G44" s="149"/>
      <c r="H44" s="149"/>
      <c r="I44" s="149"/>
      <c r="J44" s="149"/>
      <c r="K44" s="150"/>
      <c r="L44" s="151"/>
      <c r="M44" s="152"/>
      <c r="N44" s="152"/>
      <c r="O44" s="152"/>
      <c r="P44" s="152"/>
      <c r="Q44" s="151"/>
      <c r="R44" s="153"/>
    </row>
  </sheetData>
  <sortState ref="A21:AA28">
    <sortCondition ref="A21:A28" customList="א,ב,ג,ד,ה,ו,ז,ח,ט,י,כ,ל,מ,נ,ס,ע,פ,צ,ק,ר,ש,ת"/>
  </sortState>
  <mergeCells count="1">
    <mergeCell ref="A5:Q5"/>
  </mergeCells>
  <conditionalFormatting sqref="B10:G39 J10:J39 P10:Q39 I11:I39">
    <cfRule type="expression" dxfId="60" priority="360" stopIfTrue="1">
      <formula>OR(LEFT(#REF!,3)="TIR",LEFT(#REF!,2)="IR")</formula>
    </cfRule>
  </conditionalFormatting>
  <conditionalFormatting sqref="A10:A39 O10:P39">
    <cfRule type="expression" dxfId="59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5 I18 I20 I23:I32 I34:I39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E50F-404B-44C6-B1B2-A5B7A6FEF689}">
  <sheetPr codeName="גיליון23">
    <pageSetUpPr fitToPage="1"/>
  </sheetPr>
  <dimension ref="A1:Q31"/>
  <sheetViews>
    <sheetView rightToLeft="1" zoomScale="80" zoomScaleNormal="80" workbookViewId="0">
      <selection activeCell="A6" sqref="A6:N2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3.5703125" style="83" bestFit="1" customWidth="1"/>
    <col min="11" max="11" width="7.140625" style="83" bestFit="1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236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227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230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159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8" customFormat="1" ht="12.75" customHeight="1" thickBot="1" x14ac:dyDescent="0.25">
      <c r="A9" s="120" t="s">
        <v>124</v>
      </c>
      <c r="B9" s="86" t="s">
        <v>240</v>
      </c>
      <c r="C9" s="121" t="s">
        <v>240</v>
      </c>
      <c r="D9" s="121"/>
      <c r="E9" s="121" t="s">
        <v>240</v>
      </c>
      <c r="F9" s="121" t="s">
        <v>240</v>
      </c>
      <c r="G9" s="121" t="s">
        <v>240</v>
      </c>
      <c r="H9" s="86" t="s">
        <v>240</v>
      </c>
      <c r="I9" s="86" t="s">
        <v>240</v>
      </c>
      <c r="J9" s="122" t="s">
        <v>240</v>
      </c>
      <c r="K9" s="121" t="s">
        <v>240</v>
      </c>
      <c r="L9" s="123">
        <v>75706.986700599999</v>
      </c>
      <c r="M9" s="86">
        <v>1</v>
      </c>
      <c r="N9" s="101">
        <v>3.1637433445455228E-2</v>
      </c>
    </row>
    <row r="10" spans="1:17" s="138" customFormat="1" x14ac:dyDescent="0.2">
      <c r="A10" s="111" t="s">
        <v>140</v>
      </c>
      <c r="B10" s="141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1" t="s">
        <v>240</v>
      </c>
      <c r="I10" s="141" t="s">
        <v>240</v>
      </c>
      <c r="J10" s="154" t="s">
        <v>240</v>
      </c>
      <c r="K10" s="142" t="s">
        <v>240</v>
      </c>
      <c r="L10" s="143">
        <v>75706.986700500012</v>
      </c>
      <c r="M10" s="141">
        <v>0.99999999999867928</v>
      </c>
      <c r="N10" s="141">
        <v>3.1637433445413442E-2</v>
      </c>
    </row>
    <row r="11" spans="1:17" s="138" customFormat="1" x14ac:dyDescent="0.2">
      <c r="A11" s="112" t="s">
        <v>935</v>
      </c>
      <c r="B11" s="145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5" t="s">
        <v>240</v>
      </c>
      <c r="I11" s="145" t="s">
        <v>240</v>
      </c>
      <c r="J11" s="156" t="s">
        <v>240</v>
      </c>
      <c r="K11" s="146" t="s">
        <v>240</v>
      </c>
      <c r="L11" s="147">
        <v>75706.986700100009</v>
      </c>
      <c r="M11" s="145">
        <v>0.99999999999339573</v>
      </c>
      <c r="N11" s="145">
        <v>3.1637433445246284E-2</v>
      </c>
    </row>
    <row r="12" spans="1:17" x14ac:dyDescent="0.2">
      <c r="A12" s="30" t="s">
        <v>936</v>
      </c>
      <c r="B12" s="38" t="s">
        <v>937</v>
      </c>
      <c r="C12" s="80" t="s">
        <v>250</v>
      </c>
      <c r="D12" s="80" t="s">
        <v>938</v>
      </c>
      <c r="E12" s="80" t="s">
        <v>263</v>
      </c>
      <c r="F12" s="80">
        <v>3.82</v>
      </c>
      <c r="G12" s="80" t="s">
        <v>246</v>
      </c>
      <c r="H12" s="38">
        <v>2.1000000000000001E-2</v>
      </c>
      <c r="I12" s="38">
        <v>-4.0000000000000002E-4</v>
      </c>
      <c r="J12" s="88">
        <v>5661877.1799999997</v>
      </c>
      <c r="K12" s="80">
        <v>100.6283</v>
      </c>
      <c r="L12" s="104">
        <v>5697.4538000000002</v>
      </c>
      <c r="M12" s="38">
        <v>7.5256644707467221E-2</v>
      </c>
      <c r="N12" s="38">
        <v>2.3809270882607647E-3</v>
      </c>
      <c r="O12" s="28"/>
    </row>
    <row r="13" spans="1:17" x14ac:dyDescent="0.2">
      <c r="A13" s="30" t="s">
        <v>939</v>
      </c>
      <c r="B13" s="38" t="s">
        <v>940</v>
      </c>
      <c r="C13" s="80" t="s">
        <v>250</v>
      </c>
      <c r="D13" s="80" t="s">
        <v>938</v>
      </c>
      <c r="E13" s="80" t="s">
        <v>263</v>
      </c>
      <c r="F13" s="80">
        <v>4.74</v>
      </c>
      <c r="G13" s="80" t="s">
        <v>246</v>
      </c>
      <c r="H13" s="38">
        <v>2.2000000000000002E-2</v>
      </c>
      <c r="I13" s="38">
        <v>-8.0000000000000004E-4</v>
      </c>
      <c r="J13" s="88">
        <v>5695012.9800000004</v>
      </c>
      <c r="K13" s="80">
        <v>100.6352</v>
      </c>
      <c r="L13" s="104">
        <v>5731.1887000000006</v>
      </c>
      <c r="M13" s="38">
        <v>7.5702242947077683E-2</v>
      </c>
      <c r="N13" s="38">
        <v>2.3950246729098528E-3</v>
      </c>
      <c r="O13" s="28"/>
    </row>
    <row r="14" spans="1:17" x14ac:dyDescent="0.2">
      <c r="A14" s="30" t="s">
        <v>941</v>
      </c>
      <c r="B14" s="38" t="s">
        <v>942</v>
      </c>
      <c r="C14" s="80" t="s">
        <v>250</v>
      </c>
      <c r="D14" s="80" t="s">
        <v>938</v>
      </c>
      <c r="E14" s="80" t="s">
        <v>263</v>
      </c>
      <c r="F14" s="80">
        <v>5.63</v>
      </c>
      <c r="G14" s="80" t="s">
        <v>246</v>
      </c>
      <c r="H14" s="38">
        <v>2.3E-2</v>
      </c>
      <c r="I14" s="38">
        <v>-8.9999999999999998E-4</v>
      </c>
      <c r="J14" s="88">
        <v>5728300.1299999999</v>
      </c>
      <c r="K14" s="80">
        <v>100.642</v>
      </c>
      <c r="L14" s="104">
        <v>5765.0804699999999</v>
      </c>
      <c r="M14" s="38">
        <v>7.6149913254364279E-2</v>
      </c>
      <c r="N14" s="38">
        <v>2.4091878124621385E-3</v>
      </c>
      <c r="O14" s="28"/>
    </row>
    <row r="15" spans="1:17" x14ac:dyDescent="0.2">
      <c r="A15" s="30" t="s">
        <v>943</v>
      </c>
      <c r="B15" s="38" t="s">
        <v>944</v>
      </c>
      <c r="C15" s="80" t="s">
        <v>250</v>
      </c>
      <c r="D15" s="80" t="s">
        <v>938</v>
      </c>
      <c r="E15" s="80" t="s">
        <v>263</v>
      </c>
      <c r="F15" s="80">
        <v>6.5</v>
      </c>
      <c r="G15" s="80" t="s">
        <v>246</v>
      </c>
      <c r="H15" s="38">
        <v>2.4199999999999999E-2</v>
      </c>
      <c r="I15" s="38">
        <v>-8.9999999999999998E-4</v>
      </c>
      <c r="J15" s="88">
        <v>5768444.2000000002</v>
      </c>
      <c r="K15" s="80">
        <v>100.6503</v>
      </c>
      <c r="L15" s="104">
        <v>5805.95741</v>
      </c>
      <c r="M15" s="38">
        <v>7.6689849418534392E-2</v>
      </c>
      <c r="N15" s="38">
        <v>2.4262700069208653E-3</v>
      </c>
      <c r="O15" s="28"/>
    </row>
    <row r="16" spans="1:17" x14ac:dyDescent="0.2">
      <c r="A16" s="30" t="s">
        <v>945</v>
      </c>
      <c r="B16" s="38" t="s">
        <v>946</v>
      </c>
      <c r="C16" s="80" t="s">
        <v>250</v>
      </c>
      <c r="D16" s="80" t="s">
        <v>938</v>
      </c>
      <c r="E16" s="80" t="s">
        <v>263</v>
      </c>
      <c r="F16" s="80">
        <v>7.35</v>
      </c>
      <c r="G16" s="80" t="s">
        <v>246</v>
      </c>
      <c r="H16" s="38">
        <v>2.53E-2</v>
      </c>
      <c r="I16" s="38">
        <v>-8.0000000000000004E-4</v>
      </c>
      <c r="J16" s="88">
        <v>5805435.4100000001</v>
      </c>
      <c r="K16" s="80">
        <v>100.65779999999999</v>
      </c>
      <c r="L16" s="104">
        <v>5843.6274899999999</v>
      </c>
      <c r="M16" s="38">
        <v>7.7187426744507959E-2</v>
      </c>
      <c r="N16" s="38">
        <v>2.4420120764553212E-3</v>
      </c>
      <c r="O16" s="28"/>
    </row>
    <row r="17" spans="1:15" x14ac:dyDescent="0.2">
      <c r="A17" s="30" t="s">
        <v>947</v>
      </c>
      <c r="B17" s="38" t="s">
        <v>948</v>
      </c>
      <c r="C17" s="80" t="s">
        <v>250</v>
      </c>
      <c r="D17" s="80" t="s">
        <v>938</v>
      </c>
      <c r="E17" s="80" t="s">
        <v>263</v>
      </c>
      <c r="F17" s="80">
        <v>8.17</v>
      </c>
      <c r="G17" s="80" t="s">
        <v>246</v>
      </c>
      <c r="H17" s="38">
        <v>2.6499999999999999E-2</v>
      </c>
      <c r="I17" s="38">
        <v>-5.9999999999999995E-4</v>
      </c>
      <c r="J17" s="88">
        <v>5845999.4299999997</v>
      </c>
      <c r="K17" s="80">
        <v>100.6661</v>
      </c>
      <c r="L17" s="104">
        <v>5884.9398700000002</v>
      </c>
      <c r="M17" s="38">
        <v>7.7733114557488533E-2</v>
      </c>
      <c r="N17" s="38">
        <v>2.4592762383204899E-3</v>
      </c>
      <c r="O17" s="28"/>
    </row>
    <row r="18" spans="1:15" x14ac:dyDescent="0.2">
      <c r="A18" s="30" t="s">
        <v>951</v>
      </c>
      <c r="B18" s="38" t="s">
        <v>952</v>
      </c>
      <c r="C18" s="80" t="s">
        <v>243</v>
      </c>
      <c r="D18" s="80" t="s">
        <v>244</v>
      </c>
      <c r="E18" s="80" t="s">
        <v>245</v>
      </c>
      <c r="F18" s="80">
        <v>4.38</v>
      </c>
      <c r="G18" s="80" t="s">
        <v>246</v>
      </c>
      <c r="H18" s="38">
        <v>4.4000000000000004E-2</v>
      </c>
      <c r="I18" s="38">
        <v>7.7000000000000002E-3</v>
      </c>
      <c r="J18" s="88">
        <v>16000000</v>
      </c>
      <c r="K18" s="80">
        <v>113.8099</v>
      </c>
      <c r="L18" s="104">
        <v>18209.58611</v>
      </c>
      <c r="M18" s="38">
        <v>0.24052715480559053</v>
      </c>
      <c r="N18" s="38">
        <v>7.609661851986577E-3</v>
      </c>
      <c r="O18" s="28"/>
    </row>
    <row r="19" spans="1:15" x14ac:dyDescent="0.2">
      <c r="A19" s="30" t="s">
        <v>949</v>
      </c>
      <c r="B19" s="38" t="s">
        <v>950</v>
      </c>
      <c r="C19" s="80" t="s">
        <v>248</v>
      </c>
      <c r="D19" s="80" t="s">
        <v>938</v>
      </c>
      <c r="E19" s="80" t="s">
        <v>263</v>
      </c>
      <c r="F19" s="80">
        <v>11.05</v>
      </c>
      <c r="G19" s="80" t="s">
        <v>246</v>
      </c>
      <c r="H19" s="38">
        <v>1.9400000000000001E-2</v>
      </c>
      <c r="I19" s="38">
        <v>1.3600000000000001E-2</v>
      </c>
      <c r="J19" s="88">
        <v>10391763.6</v>
      </c>
      <c r="K19" s="80">
        <v>102.6373</v>
      </c>
      <c r="L19" s="104">
        <v>10665.8259</v>
      </c>
      <c r="M19" s="38">
        <v>0.14088298008980815</v>
      </c>
      <c r="N19" s="38">
        <v>4.4571759061886995E-3</v>
      </c>
      <c r="O19" s="28"/>
    </row>
    <row r="20" spans="1:15" x14ac:dyDescent="0.2">
      <c r="A20" s="30" t="s">
        <v>955</v>
      </c>
      <c r="B20" s="38" t="s">
        <v>956</v>
      </c>
      <c r="C20" s="80" t="s">
        <v>248</v>
      </c>
      <c r="D20" s="80" t="s">
        <v>938</v>
      </c>
      <c r="E20" s="80" t="s">
        <v>263</v>
      </c>
      <c r="F20" s="80">
        <v>3.81</v>
      </c>
      <c r="G20" s="80" t="s">
        <v>246</v>
      </c>
      <c r="H20" s="38">
        <v>3.15E-2</v>
      </c>
      <c r="I20" s="38">
        <v>5.5899999999999998E-2</v>
      </c>
      <c r="J20" s="88">
        <v>5000000</v>
      </c>
      <c r="K20" s="80">
        <v>105.8228</v>
      </c>
      <c r="L20" s="104">
        <v>5291.1404599999996</v>
      </c>
      <c r="M20" s="38">
        <v>6.9889724721510629E-2</v>
      </c>
      <c r="N20" s="38">
        <v>2.2111315143979789E-3</v>
      </c>
      <c r="O20" s="28"/>
    </row>
    <row r="21" spans="1:15" x14ac:dyDescent="0.2">
      <c r="A21" s="30" t="s">
        <v>953</v>
      </c>
      <c r="B21" s="38" t="s">
        <v>954</v>
      </c>
      <c r="C21" s="80" t="s">
        <v>248</v>
      </c>
      <c r="D21" s="80" t="s">
        <v>938</v>
      </c>
      <c r="E21" s="80" t="s">
        <v>263</v>
      </c>
      <c r="F21" s="80">
        <v>3.75</v>
      </c>
      <c r="G21" s="80" t="s">
        <v>246</v>
      </c>
      <c r="H21" s="38">
        <v>4.0999999999999995E-2</v>
      </c>
      <c r="I21" s="38">
        <v>7.9000000000000008E-3</v>
      </c>
      <c r="J21" s="88">
        <v>6000000</v>
      </c>
      <c r="K21" s="80">
        <v>113.5364</v>
      </c>
      <c r="L21" s="104">
        <v>6812.18649</v>
      </c>
      <c r="M21" s="38">
        <v>8.9980948745725362E-2</v>
      </c>
      <c r="N21" s="38">
        <v>2.8467662773018041E-3</v>
      </c>
      <c r="O21" s="28"/>
    </row>
    <row r="22" spans="1:15" s="138" customFormat="1" x14ac:dyDescent="0.2">
      <c r="A22" s="112" t="s">
        <v>791</v>
      </c>
      <c r="B22" s="145" t="s">
        <v>240</v>
      </c>
      <c r="C22" s="146" t="s">
        <v>240</v>
      </c>
      <c r="D22" s="146" t="s">
        <v>240</v>
      </c>
      <c r="E22" s="146" t="s">
        <v>240</v>
      </c>
      <c r="F22" s="146" t="s">
        <v>240</v>
      </c>
      <c r="G22" s="146" t="s">
        <v>240</v>
      </c>
      <c r="H22" s="145" t="s">
        <v>240</v>
      </c>
      <c r="I22" s="145" t="s">
        <v>240</v>
      </c>
      <c r="J22" s="156" t="s">
        <v>240</v>
      </c>
      <c r="K22" s="146" t="s">
        <v>240</v>
      </c>
      <c r="L22" s="147">
        <v>0</v>
      </c>
      <c r="M22" s="145">
        <v>0</v>
      </c>
      <c r="N22" s="145">
        <v>0</v>
      </c>
    </row>
    <row r="23" spans="1:15" s="138" customFormat="1" x14ac:dyDescent="0.2">
      <c r="A23" s="112" t="s">
        <v>957</v>
      </c>
      <c r="B23" s="145" t="s">
        <v>240</v>
      </c>
      <c r="C23" s="146" t="s">
        <v>240</v>
      </c>
      <c r="D23" s="146" t="s">
        <v>240</v>
      </c>
      <c r="E23" s="146" t="s">
        <v>240</v>
      </c>
      <c r="F23" s="146" t="s">
        <v>240</v>
      </c>
      <c r="G23" s="146" t="s">
        <v>240</v>
      </c>
      <c r="H23" s="145" t="s">
        <v>240</v>
      </c>
      <c r="I23" s="145" t="s">
        <v>240</v>
      </c>
      <c r="J23" s="156" t="s">
        <v>240</v>
      </c>
      <c r="K23" s="146" t="s">
        <v>240</v>
      </c>
      <c r="L23" s="147">
        <v>0</v>
      </c>
      <c r="M23" s="145">
        <v>0</v>
      </c>
      <c r="N23" s="145">
        <v>0</v>
      </c>
    </row>
    <row r="24" spans="1:15" s="138" customFormat="1" x14ac:dyDescent="0.2">
      <c r="A24" s="112" t="s">
        <v>958</v>
      </c>
      <c r="B24" s="145" t="s">
        <v>240</v>
      </c>
      <c r="C24" s="146" t="s">
        <v>240</v>
      </c>
      <c r="D24" s="146" t="s">
        <v>240</v>
      </c>
      <c r="E24" s="146" t="s">
        <v>240</v>
      </c>
      <c r="F24" s="146" t="s">
        <v>240</v>
      </c>
      <c r="G24" s="146" t="s">
        <v>240</v>
      </c>
      <c r="H24" s="145" t="s">
        <v>240</v>
      </c>
      <c r="I24" s="145" t="s">
        <v>240</v>
      </c>
      <c r="J24" s="156" t="s">
        <v>240</v>
      </c>
      <c r="K24" s="146" t="s">
        <v>240</v>
      </c>
      <c r="L24" s="147">
        <v>0</v>
      </c>
      <c r="M24" s="145">
        <v>0</v>
      </c>
      <c r="N24" s="145">
        <v>0</v>
      </c>
    </row>
    <row r="25" spans="1:15" s="138" customFormat="1" x14ac:dyDescent="0.2">
      <c r="A25" s="112" t="s">
        <v>144</v>
      </c>
      <c r="B25" s="145" t="s">
        <v>240</v>
      </c>
      <c r="C25" s="146" t="s">
        <v>240</v>
      </c>
      <c r="D25" s="146" t="s">
        <v>240</v>
      </c>
      <c r="E25" s="146" t="s">
        <v>240</v>
      </c>
      <c r="F25" s="146" t="s">
        <v>240</v>
      </c>
      <c r="G25" s="146" t="s">
        <v>240</v>
      </c>
      <c r="H25" s="145" t="s">
        <v>240</v>
      </c>
      <c r="I25" s="145" t="s">
        <v>240</v>
      </c>
      <c r="J25" s="156" t="s">
        <v>240</v>
      </c>
      <c r="K25" s="146" t="s">
        <v>240</v>
      </c>
      <c r="L25" s="147">
        <v>0</v>
      </c>
      <c r="M25" s="145">
        <v>0</v>
      </c>
      <c r="N25" s="145">
        <v>0</v>
      </c>
    </row>
    <row r="26" spans="1:15" s="138" customFormat="1" x14ac:dyDescent="0.2">
      <c r="A26" s="226" t="s">
        <v>287</v>
      </c>
      <c r="B26" s="220" t="s">
        <v>240</v>
      </c>
      <c r="C26" s="222" t="s">
        <v>240</v>
      </c>
      <c r="D26" s="222" t="s">
        <v>240</v>
      </c>
      <c r="E26" s="222" t="s">
        <v>240</v>
      </c>
      <c r="F26" s="222" t="s">
        <v>240</v>
      </c>
      <c r="G26" s="222" t="s">
        <v>240</v>
      </c>
      <c r="H26" s="220" t="s">
        <v>240</v>
      </c>
      <c r="I26" s="220" t="s">
        <v>240</v>
      </c>
      <c r="J26" s="227" t="s">
        <v>240</v>
      </c>
      <c r="K26" s="222" t="s">
        <v>240</v>
      </c>
      <c r="L26" s="223">
        <v>0</v>
      </c>
      <c r="M26" s="220">
        <v>0</v>
      </c>
      <c r="N26" s="220">
        <v>0</v>
      </c>
    </row>
    <row r="27" spans="1:15" s="138" customFormat="1" x14ac:dyDescent="0.2">
      <c r="A27" s="97" t="s">
        <v>231</v>
      </c>
      <c r="B27" s="97"/>
      <c r="C27" s="148"/>
      <c r="D27" s="148"/>
      <c r="E27" s="149"/>
      <c r="F27" s="149"/>
      <c r="G27" s="149"/>
      <c r="H27" s="150"/>
      <c r="I27" s="151"/>
      <c r="J27" s="152"/>
      <c r="K27" s="152"/>
      <c r="L27" s="152"/>
      <c r="M27" s="152"/>
      <c r="N27" s="151"/>
      <c r="O27" s="153"/>
    </row>
    <row r="28" spans="1:15" s="138" customFormat="1" x14ac:dyDescent="0.2">
      <c r="A28" s="97" t="s">
        <v>232</v>
      </c>
      <c r="B28" s="97"/>
      <c r="C28" s="148"/>
      <c r="D28" s="148"/>
      <c r="E28" s="149"/>
      <c r="F28" s="149"/>
      <c r="G28" s="149"/>
      <c r="H28" s="150"/>
      <c r="I28" s="151"/>
      <c r="J28" s="152"/>
      <c r="K28" s="152"/>
      <c r="L28" s="152"/>
      <c r="M28" s="152"/>
      <c r="N28" s="151"/>
      <c r="O28" s="153"/>
    </row>
    <row r="29" spans="1:15" s="138" customFormat="1" x14ac:dyDescent="0.2">
      <c r="A29" s="97" t="s">
        <v>233</v>
      </c>
      <c r="B29" s="97"/>
      <c r="C29" s="148"/>
      <c r="D29" s="148"/>
      <c r="E29" s="149"/>
      <c r="F29" s="149"/>
      <c r="G29" s="149"/>
      <c r="H29" s="150"/>
      <c r="I29" s="151"/>
      <c r="J29" s="152"/>
      <c r="K29" s="152"/>
      <c r="L29" s="152"/>
      <c r="M29" s="152"/>
      <c r="N29" s="151"/>
      <c r="O29" s="153"/>
    </row>
    <row r="30" spans="1:15" s="138" customFormat="1" x14ac:dyDescent="0.2">
      <c r="A30" s="97" t="s">
        <v>234</v>
      </c>
      <c r="B30" s="97"/>
      <c r="C30" s="148"/>
      <c r="D30" s="148"/>
      <c r="E30" s="149"/>
      <c r="F30" s="149"/>
      <c r="G30" s="149"/>
      <c r="H30" s="150"/>
      <c r="I30" s="151"/>
      <c r="J30" s="152"/>
      <c r="K30" s="152"/>
      <c r="L30" s="152"/>
      <c r="M30" s="152"/>
      <c r="N30" s="151"/>
      <c r="O30" s="153"/>
    </row>
    <row r="31" spans="1:15" s="138" customFormat="1" x14ac:dyDescent="0.2">
      <c r="A31" s="97" t="s">
        <v>235</v>
      </c>
      <c r="B31" s="97"/>
      <c r="C31" s="148"/>
      <c r="D31" s="148"/>
      <c r="E31" s="149"/>
      <c r="F31" s="149"/>
      <c r="G31" s="149"/>
      <c r="H31" s="150"/>
      <c r="I31" s="151"/>
      <c r="J31" s="152"/>
      <c r="K31" s="152"/>
      <c r="L31" s="152"/>
      <c r="M31" s="152"/>
      <c r="N31" s="151"/>
      <c r="O31" s="153"/>
    </row>
  </sheetData>
  <sortState ref="A12:AA21">
    <sortCondition ref="A12:A21" customList="א,ב,ג,ד,ה,ו,ז,ח,ט,י,כ,ל,מ,נ,ס,ע,פ,צ,ק,ר,ש,ת"/>
  </sortState>
  <mergeCells count="1">
    <mergeCell ref="A5:N5"/>
  </mergeCells>
  <conditionalFormatting sqref="B10:E26 G10:G26 M10:N26">
    <cfRule type="expression" dxfId="58" priority="369" stopIfTrue="1">
      <formula>OR(LEFT(#REF!,3)="TIR",LEFT(#REF!,2)="IR")</formula>
    </cfRule>
  </conditionalFormatting>
  <conditionalFormatting sqref="A9:A26 L9:M2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0421-0DA6-4BEC-9157-1BC215CC8B0B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13.28515625" style="79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236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227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237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36" t="s">
        <v>38</v>
      </c>
      <c r="B5" s="237"/>
      <c r="C5" s="237"/>
      <c r="D5" s="237"/>
      <c r="E5" s="237"/>
      <c r="F5" s="237"/>
      <c r="G5" s="237"/>
      <c r="H5" s="237"/>
      <c r="I5" s="238"/>
      <c r="J5" s="25"/>
      <c r="K5" s="25"/>
      <c r="L5" s="25"/>
    </row>
    <row r="6" spans="1:17" s="20" customFormat="1" ht="33" customHeight="1" x14ac:dyDescent="0.2">
      <c r="A6" s="106" t="s">
        <v>159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8" customFormat="1" ht="12.75" customHeight="1" thickBot="1" x14ac:dyDescent="0.25">
      <c r="A9" s="170" t="s">
        <v>73</v>
      </c>
      <c r="B9" s="89"/>
      <c r="C9" s="89" t="s">
        <v>240</v>
      </c>
      <c r="D9" s="181"/>
      <c r="E9" s="171"/>
      <c r="F9" s="174">
        <v>4.0000000000000003E-7</v>
      </c>
      <c r="G9" s="89">
        <v>1</v>
      </c>
      <c r="H9" s="89">
        <v>0</v>
      </c>
      <c r="I9" s="102"/>
    </row>
    <row r="10" spans="1:17" s="138" customFormat="1" x14ac:dyDescent="0.2">
      <c r="A10" s="111" t="s">
        <v>959</v>
      </c>
      <c r="B10" s="141"/>
      <c r="C10" s="141" t="s">
        <v>240</v>
      </c>
      <c r="D10" s="161"/>
      <c r="E10" s="142" t="s">
        <v>240</v>
      </c>
      <c r="F10" s="143">
        <v>0</v>
      </c>
      <c r="G10" s="141">
        <v>0</v>
      </c>
      <c r="H10" s="141">
        <v>0</v>
      </c>
      <c r="I10" s="141" t="s">
        <v>240</v>
      </c>
    </row>
    <row r="11" spans="1:17" s="138" customFormat="1" x14ac:dyDescent="0.2">
      <c r="A11" s="112" t="s">
        <v>960</v>
      </c>
      <c r="B11" s="141"/>
      <c r="C11" s="141" t="s">
        <v>240</v>
      </c>
      <c r="D11" s="161"/>
      <c r="E11" s="142" t="s">
        <v>240</v>
      </c>
      <c r="F11" s="143">
        <v>0</v>
      </c>
      <c r="G11" s="141">
        <v>0</v>
      </c>
      <c r="H11" s="141">
        <v>0</v>
      </c>
      <c r="I11" s="141" t="s">
        <v>240</v>
      </c>
    </row>
    <row r="12" spans="1:17" s="138" customFormat="1" x14ac:dyDescent="0.2">
      <c r="A12" s="112" t="s">
        <v>961</v>
      </c>
      <c r="B12" s="141"/>
      <c r="C12" s="141" t="s">
        <v>240</v>
      </c>
      <c r="D12" s="161"/>
      <c r="E12" s="142" t="s">
        <v>240</v>
      </c>
      <c r="F12" s="143">
        <v>0</v>
      </c>
      <c r="G12" s="141">
        <v>0</v>
      </c>
      <c r="H12" s="141">
        <v>0</v>
      </c>
      <c r="I12" s="141" t="s">
        <v>240</v>
      </c>
    </row>
    <row r="13" spans="1:17" s="138" customFormat="1" x14ac:dyDescent="0.2">
      <c r="A13" s="112" t="s">
        <v>962</v>
      </c>
      <c r="B13" s="141"/>
      <c r="C13" s="141" t="s">
        <v>240</v>
      </c>
      <c r="D13" s="161"/>
      <c r="E13" s="142" t="s">
        <v>240</v>
      </c>
      <c r="F13" s="143">
        <v>0</v>
      </c>
      <c r="G13" s="141">
        <v>0</v>
      </c>
      <c r="H13" s="141">
        <v>0</v>
      </c>
      <c r="I13" s="141" t="s">
        <v>240</v>
      </c>
    </row>
    <row r="14" spans="1:17" s="138" customFormat="1" x14ac:dyDescent="0.2">
      <c r="A14" s="112" t="s">
        <v>960</v>
      </c>
      <c r="B14" s="141"/>
      <c r="C14" s="141" t="s">
        <v>240</v>
      </c>
      <c r="D14" s="161"/>
      <c r="E14" s="142" t="s">
        <v>240</v>
      </c>
      <c r="F14" s="143">
        <v>0</v>
      </c>
      <c r="G14" s="141">
        <v>0</v>
      </c>
      <c r="H14" s="141">
        <v>0</v>
      </c>
      <c r="I14" s="141" t="s">
        <v>240</v>
      </c>
    </row>
    <row r="15" spans="1:17" s="138" customFormat="1" x14ac:dyDescent="0.2">
      <c r="A15" s="226" t="s">
        <v>961</v>
      </c>
      <c r="B15" s="224"/>
      <c r="C15" s="224" t="s">
        <v>240</v>
      </c>
      <c r="D15" s="228"/>
      <c r="E15" s="221" t="s">
        <v>240</v>
      </c>
      <c r="F15" s="234">
        <v>0</v>
      </c>
      <c r="G15" s="224">
        <v>0</v>
      </c>
      <c r="H15" s="224">
        <v>0</v>
      </c>
      <c r="I15" s="224" t="s">
        <v>240</v>
      </c>
    </row>
    <row r="16" spans="1:17" s="138" customFormat="1" x14ac:dyDescent="0.2">
      <c r="A16" s="97" t="s">
        <v>231</v>
      </c>
      <c r="B16" s="148"/>
      <c r="C16" s="97"/>
      <c r="D16" s="167"/>
      <c r="E16" s="149"/>
      <c r="F16" s="149"/>
      <c r="G16" s="149"/>
      <c r="H16" s="149"/>
      <c r="I16" s="149"/>
      <c r="J16" s="168"/>
      <c r="K16" s="153"/>
      <c r="L16" s="169"/>
      <c r="M16" s="169"/>
      <c r="N16" s="169"/>
      <c r="O16" s="153"/>
      <c r="P16" s="153"/>
    </row>
    <row r="17" spans="1:16" s="138" customFormat="1" x14ac:dyDescent="0.2">
      <c r="A17" s="97" t="s">
        <v>232</v>
      </c>
      <c r="B17" s="148"/>
      <c r="C17" s="97"/>
      <c r="D17" s="167"/>
      <c r="E17" s="149"/>
      <c r="F17" s="149"/>
      <c r="G17" s="149"/>
      <c r="H17" s="149"/>
      <c r="I17" s="149"/>
      <c r="J17" s="168"/>
      <c r="K17" s="153"/>
      <c r="L17" s="169"/>
      <c r="M17" s="169"/>
      <c r="N17" s="169"/>
      <c r="O17" s="153"/>
      <c r="P17" s="153"/>
    </row>
    <row r="18" spans="1:16" s="138" customFormat="1" x14ac:dyDescent="0.2">
      <c r="A18" s="97" t="s">
        <v>233</v>
      </c>
      <c r="B18" s="148"/>
      <c r="C18" s="97"/>
      <c r="D18" s="167"/>
      <c r="E18" s="149"/>
      <c r="F18" s="149"/>
      <c r="G18" s="149"/>
      <c r="H18" s="149"/>
      <c r="I18" s="149"/>
      <c r="J18" s="168"/>
      <c r="K18" s="153"/>
      <c r="L18" s="169"/>
      <c r="M18" s="169"/>
      <c r="N18" s="169"/>
      <c r="O18" s="153"/>
      <c r="P18" s="153"/>
    </row>
    <row r="19" spans="1:16" s="138" customFormat="1" x14ac:dyDescent="0.2">
      <c r="A19" s="97" t="s">
        <v>234</v>
      </c>
      <c r="B19" s="148"/>
      <c r="C19" s="97"/>
      <c r="D19" s="167"/>
      <c r="E19" s="149"/>
      <c r="F19" s="149"/>
      <c r="G19" s="149"/>
      <c r="H19" s="149"/>
      <c r="I19" s="149"/>
      <c r="J19" s="168"/>
      <c r="K19" s="153"/>
      <c r="L19" s="169"/>
      <c r="M19" s="169"/>
      <c r="N19" s="169"/>
      <c r="O19" s="153"/>
      <c r="P19" s="153"/>
    </row>
    <row r="20" spans="1:16" s="138" customFormat="1" x14ac:dyDescent="0.2">
      <c r="A20" s="97" t="s">
        <v>235</v>
      </c>
      <c r="B20" s="148"/>
      <c r="C20" s="97"/>
      <c r="D20" s="167"/>
      <c r="E20" s="149"/>
      <c r="F20" s="149"/>
      <c r="G20" s="149"/>
      <c r="H20" s="149"/>
      <c r="I20" s="149"/>
      <c r="J20" s="168"/>
      <c r="K20" s="153"/>
      <c r="L20" s="169"/>
      <c r="M20" s="169"/>
      <c r="N20" s="169"/>
      <c r="O20" s="153"/>
      <c r="P20" s="153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BC33-D92B-464D-8091-F46C2866BC9F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236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227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159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8" customFormat="1" ht="12.75" customHeight="1" thickBot="1" x14ac:dyDescent="0.25">
      <c r="A9" s="120" t="s">
        <v>125</v>
      </c>
      <c r="B9" s="89"/>
      <c r="C9" s="89"/>
      <c r="D9" s="181"/>
      <c r="E9" s="171"/>
      <c r="F9" s="128"/>
      <c r="G9" s="128"/>
      <c r="H9" s="174">
        <v>2.0000000000000002E-7</v>
      </c>
      <c r="I9" s="89">
        <v>1</v>
      </c>
      <c r="J9" s="101">
        <v>8.3578636065842763E-14</v>
      </c>
    </row>
    <row r="10" spans="1:18" s="138" customFormat="1" x14ac:dyDescent="0.2">
      <c r="A10" s="111" t="s">
        <v>963</v>
      </c>
      <c r="B10" s="141" t="s">
        <v>240</v>
      </c>
      <c r="C10" s="141" t="s">
        <v>240</v>
      </c>
      <c r="D10" s="141" t="s">
        <v>240</v>
      </c>
      <c r="E10" s="141" t="s">
        <v>240</v>
      </c>
      <c r="F10" s="155" t="s">
        <v>240</v>
      </c>
      <c r="G10" s="182" t="s">
        <v>240</v>
      </c>
      <c r="H10" s="143">
        <v>0</v>
      </c>
      <c r="I10" s="141">
        <v>0</v>
      </c>
      <c r="J10" s="141">
        <v>0</v>
      </c>
    </row>
    <row r="11" spans="1:18" s="138" customFormat="1" x14ac:dyDescent="0.2">
      <c r="A11" s="239" t="s">
        <v>964</v>
      </c>
      <c r="B11" s="224" t="s">
        <v>240</v>
      </c>
      <c r="C11" s="224" t="s">
        <v>240</v>
      </c>
      <c r="D11" s="224" t="s">
        <v>240</v>
      </c>
      <c r="E11" s="224" t="s">
        <v>240</v>
      </c>
      <c r="F11" s="240" t="s">
        <v>240</v>
      </c>
      <c r="G11" s="241" t="s">
        <v>240</v>
      </c>
      <c r="H11" s="234">
        <v>0</v>
      </c>
      <c r="I11" s="224">
        <v>0</v>
      </c>
      <c r="J11" s="224">
        <v>0</v>
      </c>
    </row>
    <row r="12" spans="1:18" s="138" customFormat="1" x14ac:dyDescent="0.2">
      <c r="A12" s="97" t="s">
        <v>231</v>
      </c>
      <c r="B12" s="148"/>
      <c r="C12" s="97"/>
      <c r="D12" s="167"/>
      <c r="E12" s="149"/>
      <c r="F12" s="149"/>
      <c r="G12" s="149"/>
      <c r="H12" s="149"/>
      <c r="I12" s="149"/>
      <c r="J12" s="149"/>
      <c r="K12" s="168"/>
      <c r="L12" s="153"/>
      <c r="M12" s="169"/>
      <c r="N12" s="169"/>
      <c r="O12" s="169"/>
      <c r="P12" s="153"/>
      <c r="Q12" s="153"/>
    </row>
    <row r="13" spans="1:18" s="138" customFormat="1" x14ac:dyDescent="0.2">
      <c r="A13" s="97" t="s">
        <v>232</v>
      </c>
      <c r="B13" s="148"/>
      <c r="C13" s="97"/>
      <c r="D13" s="167"/>
      <c r="E13" s="149"/>
      <c r="F13" s="149"/>
      <c r="G13" s="149"/>
      <c r="H13" s="149"/>
      <c r="I13" s="149"/>
      <c r="J13" s="149"/>
      <c r="K13" s="168"/>
      <c r="L13" s="153"/>
      <c r="M13" s="169"/>
      <c r="N13" s="169"/>
      <c r="O13" s="169"/>
      <c r="P13" s="153"/>
      <c r="Q13" s="153"/>
    </row>
    <row r="14" spans="1:18" s="138" customFormat="1" x14ac:dyDescent="0.2">
      <c r="A14" s="97" t="s">
        <v>233</v>
      </c>
      <c r="B14" s="148"/>
      <c r="C14" s="97"/>
      <c r="D14" s="167"/>
      <c r="E14" s="149"/>
      <c r="F14" s="149"/>
      <c r="G14" s="149"/>
      <c r="H14" s="149"/>
      <c r="I14" s="149"/>
      <c r="J14" s="149"/>
      <c r="K14" s="168"/>
      <c r="L14" s="153"/>
      <c r="M14" s="169"/>
      <c r="N14" s="169"/>
      <c r="O14" s="169"/>
      <c r="P14" s="153"/>
      <c r="Q14" s="153"/>
    </row>
    <row r="15" spans="1:18" s="138" customFormat="1" x14ac:dyDescent="0.2">
      <c r="A15" s="97" t="s">
        <v>234</v>
      </c>
      <c r="B15" s="148"/>
      <c r="C15" s="97"/>
      <c r="D15" s="167"/>
      <c r="E15" s="149"/>
      <c r="F15" s="149"/>
      <c r="G15" s="149"/>
      <c r="H15" s="149"/>
      <c r="I15" s="149"/>
      <c r="J15" s="149"/>
      <c r="K15" s="168"/>
      <c r="L15" s="153"/>
      <c r="M15" s="169"/>
      <c r="N15" s="169"/>
      <c r="O15" s="169"/>
      <c r="P15" s="153"/>
      <c r="Q15" s="153"/>
    </row>
    <row r="16" spans="1:18" s="138" customFormat="1" x14ac:dyDescent="0.2">
      <c r="A16" s="97" t="s">
        <v>235</v>
      </c>
      <c r="B16" s="148"/>
      <c r="C16" s="97"/>
      <c r="D16" s="167"/>
      <c r="E16" s="149"/>
      <c r="F16" s="149"/>
      <c r="G16" s="149"/>
      <c r="H16" s="149"/>
      <c r="I16" s="149"/>
      <c r="J16" s="149"/>
      <c r="K16" s="168"/>
      <c r="L16" s="153"/>
      <c r="M16" s="169"/>
      <c r="N16" s="169"/>
      <c r="O16" s="169"/>
      <c r="P16" s="153"/>
      <c r="Q16" s="153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8319-1376-4D33-958F-48A4C1F94202}">
  <sheetPr codeName="גיליון25">
    <pageSetUpPr fitToPage="1"/>
  </sheetPr>
  <dimension ref="A1:T18"/>
  <sheetViews>
    <sheetView rightToLeft="1" zoomScale="85" zoomScaleNormal="85" workbookViewId="0">
      <selection activeCell="A6" sqref="A6:J13"/>
    </sheetView>
  </sheetViews>
  <sheetFormatPr defaultRowHeight="12.75" x14ac:dyDescent="0.2"/>
  <cols>
    <col min="1" max="1" width="26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227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159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8" customFormat="1" ht="12.75" customHeight="1" thickBot="1" x14ac:dyDescent="0.25">
      <c r="A9" s="91" t="s">
        <v>126</v>
      </c>
      <c r="B9" s="139"/>
      <c r="C9" s="139"/>
      <c r="D9" s="139" t="s">
        <v>240</v>
      </c>
      <c r="E9" s="139" t="s">
        <v>240</v>
      </c>
      <c r="F9" s="139" t="s">
        <v>240</v>
      </c>
      <c r="G9" s="139" t="s">
        <v>240</v>
      </c>
      <c r="H9" s="113">
        <v>-85.592279800000014</v>
      </c>
      <c r="I9" s="96">
        <v>1</v>
      </c>
      <c r="J9" s="78">
        <v>-3.5768430017249931E-5</v>
      </c>
    </row>
    <row r="10" spans="1:20" s="138" customFormat="1" x14ac:dyDescent="0.2">
      <c r="A10" s="111" t="s">
        <v>140</v>
      </c>
      <c r="B10" s="183"/>
      <c r="C10" s="142" t="s">
        <v>240</v>
      </c>
      <c r="D10" s="161" t="s">
        <v>240</v>
      </c>
      <c r="E10" s="162" t="s">
        <v>240</v>
      </c>
      <c r="F10" s="155" t="s">
        <v>240</v>
      </c>
      <c r="G10" s="162" t="s">
        <v>240</v>
      </c>
      <c r="H10" s="143">
        <v>-85.592279900000023</v>
      </c>
      <c r="I10" s="141">
        <v>1.0000000011683297</v>
      </c>
      <c r="J10" s="141">
        <v>-3.576843005903925E-5</v>
      </c>
    </row>
    <row r="11" spans="1:20" x14ac:dyDescent="0.2">
      <c r="A11" s="30" t="s">
        <v>967</v>
      </c>
      <c r="B11" s="37" t="s">
        <v>968</v>
      </c>
      <c r="C11" s="85" t="s">
        <v>879</v>
      </c>
      <c r="D11" s="39" t="s">
        <v>240</v>
      </c>
      <c r="E11" s="31">
        <v>0</v>
      </c>
      <c r="F11" s="87" t="s">
        <v>246</v>
      </c>
      <c r="G11" s="31">
        <v>0</v>
      </c>
      <c r="H11" s="105">
        <v>-557.24075000000005</v>
      </c>
      <c r="I11" s="95">
        <v>6.5104090147158331</v>
      </c>
      <c r="J11" s="46">
        <v>-2.3286710922653636E-4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965</v>
      </c>
      <c r="B12" s="37" t="s">
        <v>966</v>
      </c>
      <c r="C12" s="85" t="s">
        <v>879</v>
      </c>
      <c r="D12" s="39" t="s">
        <v>240</v>
      </c>
      <c r="E12" s="31">
        <v>1.0800000000000001E-2</v>
      </c>
      <c r="F12" s="87" t="s">
        <v>246</v>
      </c>
      <c r="G12" s="31">
        <v>0</v>
      </c>
      <c r="H12" s="105">
        <v>471.64846999999997</v>
      </c>
      <c r="I12" s="95">
        <v>-5.5104090123791734</v>
      </c>
      <c r="J12" s="46">
        <v>1.9709867912570778E-4</v>
      </c>
      <c r="K12" s="28"/>
      <c r="L12" s="28"/>
      <c r="M12" s="28"/>
      <c r="N12" s="28"/>
      <c r="O12" s="28"/>
      <c r="P12" s="28"/>
    </row>
    <row r="13" spans="1:20" s="138" customFormat="1" x14ac:dyDescent="0.2">
      <c r="A13" s="226" t="s">
        <v>283</v>
      </c>
      <c r="B13" s="242" t="s">
        <v>240</v>
      </c>
      <c r="C13" s="221" t="s">
        <v>240</v>
      </c>
      <c r="D13" s="229" t="s">
        <v>240</v>
      </c>
      <c r="E13" s="230" t="s">
        <v>240</v>
      </c>
      <c r="F13" s="240" t="s">
        <v>240</v>
      </c>
      <c r="G13" s="230" t="s">
        <v>240</v>
      </c>
      <c r="H13" s="234">
        <v>0</v>
      </c>
      <c r="I13" s="224">
        <v>0</v>
      </c>
      <c r="J13" s="224">
        <v>0</v>
      </c>
    </row>
    <row r="14" spans="1:20" s="138" customFormat="1" x14ac:dyDescent="0.2">
      <c r="A14" s="97" t="s">
        <v>231</v>
      </c>
      <c r="B14" s="97"/>
      <c r="C14" s="148"/>
      <c r="D14" s="97"/>
      <c r="E14" s="167"/>
      <c r="F14" s="167"/>
      <c r="G14" s="167"/>
      <c r="H14" s="167"/>
      <c r="I14" s="167"/>
      <c r="J14" s="150"/>
      <c r="K14" s="153"/>
      <c r="L14" s="169"/>
      <c r="M14" s="169"/>
      <c r="N14" s="169"/>
      <c r="O14" s="153"/>
      <c r="P14" s="153"/>
    </row>
    <row r="15" spans="1:20" s="138" customFormat="1" x14ac:dyDescent="0.2">
      <c r="A15" s="97" t="s">
        <v>232</v>
      </c>
      <c r="B15" s="97"/>
      <c r="C15" s="148"/>
      <c r="D15" s="97"/>
      <c r="E15" s="167"/>
      <c r="F15" s="167"/>
      <c r="G15" s="167"/>
      <c r="H15" s="167"/>
      <c r="I15" s="167"/>
      <c r="J15" s="150"/>
      <c r="K15" s="153"/>
      <c r="L15" s="169"/>
      <c r="M15" s="169"/>
      <c r="N15" s="169"/>
      <c r="O15" s="153"/>
      <c r="P15" s="153"/>
    </row>
    <row r="16" spans="1:20" s="138" customFormat="1" x14ac:dyDescent="0.2">
      <c r="A16" s="97" t="s">
        <v>233</v>
      </c>
      <c r="B16" s="97"/>
      <c r="C16" s="148"/>
      <c r="D16" s="97"/>
      <c r="E16" s="167"/>
      <c r="F16" s="167"/>
      <c r="G16" s="167"/>
      <c r="H16" s="167"/>
      <c r="I16" s="167"/>
      <c r="J16" s="150"/>
      <c r="K16" s="153"/>
      <c r="L16" s="169"/>
      <c r="M16" s="169"/>
      <c r="N16" s="169"/>
      <c r="O16" s="153"/>
      <c r="P16" s="153"/>
    </row>
    <row r="17" spans="1:16" s="138" customFormat="1" x14ac:dyDescent="0.2">
      <c r="A17" s="97" t="s">
        <v>234</v>
      </c>
      <c r="B17" s="97"/>
      <c r="C17" s="148"/>
      <c r="D17" s="97"/>
      <c r="E17" s="167"/>
      <c r="F17" s="167"/>
      <c r="G17" s="167"/>
      <c r="H17" s="167"/>
      <c r="I17" s="167"/>
      <c r="J17" s="150"/>
      <c r="K17" s="153"/>
      <c r="L17" s="169"/>
      <c r="M17" s="169"/>
      <c r="N17" s="169"/>
      <c r="O17" s="153"/>
      <c r="P17" s="153"/>
    </row>
    <row r="18" spans="1:16" s="138" customFormat="1" x14ac:dyDescent="0.2">
      <c r="A18" s="97" t="s">
        <v>235</v>
      </c>
      <c r="B18" s="97"/>
      <c r="C18" s="148"/>
      <c r="D18" s="97"/>
      <c r="E18" s="167"/>
      <c r="F18" s="167"/>
      <c r="G18" s="167"/>
      <c r="H18" s="167"/>
      <c r="I18" s="167"/>
      <c r="J18" s="150"/>
      <c r="K18" s="153"/>
      <c r="L18" s="169"/>
      <c r="M18" s="169"/>
      <c r="N18" s="169"/>
      <c r="O18" s="153"/>
      <c r="P18" s="153"/>
    </row>
  </sheetData>
  <mergeCells count="1">
    <mergeCell ref="A5:J5"/>
  </mergeCells>
  <conditionalFormatting sqref="L5:T5 E10:G13 K14:K55548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3 J10:J13">
    <cfRule type="expression" dxfId="46" priority="411" stopIfTrue="1">
      <formula>LEFT(#REF!,3)="TIR"</formula>
    </cfRule>
  </conditionalFormatting>
  <conditionalFormatting sqref="A10:A13 F10:F13 H10:J13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283A-C408-4A36-9F7D-600A86EE7CFD}">
  <sheetPr codeName="גיליון26">
    <pageSetUpPr fitToPage="1"/>
  </sheetPr>
  <dimension ref="A1:C17"/>
  <sheetViews>
    <sheetView showGridLines="0" rightToLeft="1" workbookViewId="0">
      <selection activeCell="R40" sqref="R40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236</v>
      </c>
    </row>
    <row r="2" spans="1:3" x14ac:dyDescent="0.2">
      <c r="A2" t="s">
        <v>226</v>
      </c>
      <c r="B2" t="s">
        <v>227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237</v>
      </c>
    </row>
    <row r="5" spans="1:3" x14ac:dyDescent="0.2">
      <c r="A5" s="10" t="s">
        <v>131</v>
      </c>
      <c r="B5" s="9"/>
      <c r="C5" s="8"/>
    </row>
    <row r="6" spans="1:3" ht="38.25" x14ac:dyDescent="0.2">
      <c r="A6" s="106" t="s">
        <v>159</v>
      </c>
      <c r="B6" s="107" t="s">
        <v>63</v>
      </c>
      <c r="C6" s="115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4" customFormat="1" x14ac:dyDescent="0.2">
      <c r="A8" s="184"/>
      <c r="B8" s="185">
        <v>1</v>
      </c>
      <c r="C8" s="186">
        <v>2</v>
      </c>
    </row>
    <row r="9" spans="1:3" s="134" customFormat="1" ht="13.5" thickBot="1" x14ac:dyDescent="0.25">
      <c r="A9" s="91" t="s">
        <v>984</v>
      </c>
      <c r="B9" s="187">
        <v>20835.747300200001</v>
      </c>
      <c r="C9" s="137" t="s">
        <v>240</v>
      </c>
    </row>
    <row r="10" spans="1:3" s="134" customFormat="1" x14ac:dyDescent="0.2">
      <c r="A10" s="136" t="s">
        <v>140</v>
      </c>
      <c r="B10" s="188">
        <v>20835.7473001</v>
      </c>
      <c r="C10" s="189" t="s">
        <v>240</v>
      </c>
    </row>
    <row r="11" spans="1:3" x14ac:dyDescent="0.2">
      <c r="A11" s="63" t="s">
        <v>985</v>
      </c>
      <c r="B11" s="135">
        <v>6232.0790499999994</v>
      </c>
      <c r="C11" s="54" t="s">
        <v>986</v>
      </c>
    </row>
    <row r="12" spans="1:3" x14ac:dyDescent="0.2">
      <c r="A12" s="63" t="s">
        <v>987</v>
      </c>
      <c r="B12" s="135">
        <v>1558.0197599999999</v>
      </c>
      <c r="C12" s="54" t="s">
        <v>988</v>
      </c>
    </row>
    <row r="13" spans="1:3" x14ac:dyDescent="0.2">
      <c r="A13" s="63" t="s">
        <v>989</v>
      </c>
      <c r="B13" s="135">
        <v>1440</v>
      </c>
      <c r="C13" s="54" t="s">
        <v>990</v>
      </c>
    </row>
    <row r="14" spans="1:3" x14ac:dyDescent="0.2">
      <c r="A14" s="63" t="s">
        <v>991</v>
      </c>
      <c r="B14" s="135">
        <v>11077.14849</v>
      </c>
      <c r="C14" s="54" t="s">
        <v>992</v>
      </c>
    </row>
    <row r="15" spans="1:3" x14ac:dyDescent="0.2">
      <c r="A15" s="63" t="s">
        <v>993</v>
      </c>
      <c r="B15" s="135">
        <v>528.5</v>
      </c>
      <c r="C15" s="54" t="s">
        <v>992</v>
      </c>
    </row>
    <row r="16" spans="1:3" s="134" customFormat="1" x14ac:dyDescent="0.2">
      <c r="A16" s="243" t="s">
        <v>283</v>
      </c>
      <c r="B16" s="244">
        <v>1.0000000000000001E-7</v>
      </c>
      <c r="C16" s="245" t="s">
        <v>240</v>
      </c>
    </row>
    <row r="17" spans="1:1" x14ac:dyDescent="0.2">
      <c r="A17" t="s">
        <v>983</v>
      </c>
    </row>
  </sheetData>
  <mergeCells count="1">
    <mergeCell ref="A5:C5"/>
  </mergeCells>
  <conditionalFormatting sqref="A9:C16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283D-9103-49C7-8C90-C689D10FF5EE}">
  <sheetPr codeName="גיליון28"/>
  <dimension ref="A1:Y751"/>
  <sheetViews>
    <sheetView rightToLeft="1" workbookViewId="0">
      <selection activeCell="N39" sqref="N3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227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6" t="s">
        <v>100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159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17" t="s">
        <v>118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6"/>
      <c r="B19" s="247"/>
      <c r="C19" s="247"/>
      <c r="D19" s="247"/>
      <c r="E19" s="247"/>
      <c r="F19" s="247"/>
      <c r="G19" s="247"/>
      <c r="H19" s="248"/>
      <c r="I19" s="249"/>
      <c r="J19" s="250"/>
      <c r="K19" s="251"/>
      <c r="L19" s="250"/>
      <c r="M19" s="252"/>
      <c r="N19" s="253"/>
      <c r="O19" s="254"/>
      <c r="P19" s="28"/>
      <c r="Q19" s="28"/>
      <c r="R19" s="28"/>
      <c r="S19" s="28"/>
      <c r="T19" s="28"/>
      <c r="U19" s="28"/>
    </row>
    <row r="20" spans="1:21" x14ac:dyDescent="0.2">
      <c r="A20" s="130" t="s">
        <v>148</v>
      </c>
      <c r="O20" s="51"/>
      <c r="Q20" s="32"/>
      <c r="R20" s="32"/>
      <c r="S20" s="32"/>
    </row>
    <row r="21" spans="1:21" x14ac:dyDescent="0.2">
      <c r="A21" s="130" t="s">
        <v>149</v>
      </c>
      <c r="O21" s="51"/>
      <c r="Q21" s="32"/>
      <c r="R21" s="32"/>
      <c r="S21" s="32"/>
    </row>
    <row r="22" spans="1:21" x14ac:dyDescent="0.2">
      <c r="A22" s="130" t="s">
        <v>150</v>
      </c>
      <c r="O22" s="51"/>
      <c r="Q22" s="32"/>
      <c r="R22" s="32"/>
      <c r="S22" s="32"/>
    </row>
    <row r="23" spans="1:21" x14ac:dyDescent="0.2">
      <c r="A23" s="130" t="s">
        <v>151</v>
      </c>
      <c r="O23" s="51"/>
      <c r="Q23" s="32"/>
      <c r="R23" s="32"/>
      <c r="S23" s="32"/>
    </row>
    <row r="24" spans="1:21" x14ac:dyDescent="0.2">
      <c r="A24" s="130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0740-7D5A-4D5C-9E66-5493FE3FD04C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227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6" t="s">
        <v>119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159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7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46"/>
      <c r="B18" s="247"/>
      <c r="C18" s="247"/>
      <c r="D18" s="247"/>
      <c r="E18" s="247"/>
      <c r="F18" s="247"/>
      <c r="G18" s="247"/>
      <c r="H18" s="248"/>
      <c r="I18" s="249"/>
      <c r="J18" s="250"/>
      <c r="K18" s="251"/>
      <c r="L18" s="250"/>
      <c r="M18" s="252"/>
      <c r="N18" s="253"/>
      <c r="O18" s="254"/>
      <c r="P18" s="28"/>
      <c r="Q18" s="28"/>
      <c r="R18" s="28"/>
      <c r="S18" s="28"/>
      <c r="T18" s="28"/>
      <c r="U18" s="28"/>
    </row>
    <row r="19" spans="1:21" x14ac:dyDescent="0.2">
      <c r="A19" s="130" t="s">
        <v>148</v>
      </c>
      <c r="O19" s="51"/>
      <c r="Q19" s="32"/>
      <c r="R19" s="32"/>
      <c r="S19" s="32"/>
    </row>
    <row r="20" spans="1:21" x14ac:dyDescent="0.2">
      <c r="A20" s="130" t="s">
        <v>149</v>
      </c>
      <c r="O20" s="51"/>
      <c r="Q20" s="32"/>
      <c r="R20" s="32"/>
      <c r="S20" s="32"/>
    </row>
    <row r="21" spans="1:21" x14ac:dyDescent="0.2">
      <c r="A21" s="130" t="s">
        <v>150</v>
      </c>
      <c r="O21" s="51"/>
      <c r="Q21" s="32"/>
      <c r="R21" s="32"/>
      <c r="S21" s="32"/>
    </row>
    <row r="22" spans="1:21" x14ac:dyDescent="0.2">
      <c r="A22" s="130" t="s">
        <v>151</v>
      </c>
      <c r="O22" s="51"/>
      <c r="Q22" s="32"/>
      <c r="R22" s="32"/>
      <c r="S22" s="32"/>
    </row>
    <row r="23" spans="1:21" x14ac:dyDescent="0.2">
      <c r="A23" s="130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EA9D-BFF3-4394-81BE-6A0C35020D74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227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6" t="s">
        <v>120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159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7" t="s">
        <v>122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6"/>
      <c r="B19" s="247"/>
      <c r="C19" s="247"/>
      <c r="D19" s="247"/>
      <c r="E19" s="247"/>
      <c r="F19" s="247"/>
      <c r="G19" s="247"/>
      <c r="H19" s="248"/>
      <c r="I19" s="249"/>
      <c r="J19" s="250"/>
      <c r="K19" s="251"/>
      <c r="L19" s="250"/>
      <c r="M19" s="252"/>
      <c r="N19" s="253"/>
      <c r="O19" s="254"/>
      <c r="P19" s="28"/>
      <c r="Q19" s="28"/>
      <c r="R19" s="28"/>
      <c r="S19" s="28"/>
      <c r="T19" s="28"/>
      <c r="U19" s="28"/>
    </row>
    <row r="20" spans="1:21" x14ac:dyDescent="0.2">
      <c r="A20" s="130" t="s">
        <v>148</v>
      </c>
      <c r="O20" s="51"/>
      <c r="Q20" s="32"/>
      <c r="R20" s="32"/>
      <c r="S20" s="32"/>
    </row>
    <row r="21" spans="1:21" x14ac:dyDescent="0.2">
      <c r="A21" s="130" t="s">
        <v>149</v>
      </c>
      <c r="O21" s="51"/>
      <c r="Q21" s="32"/>
      <c r="R21" s="32"/>
      <c r="S21" s="32"/>
    </row>
    <row r="22" spans="1:21" x14ac:dyDescent="0.2">
      <c r="A22" s="130" t="s">
        <v>150</v>
      </c>
      <c r="O22" s="51"/>
      <c r="Q22" s="32"/>
      <c r="R22" s="32"/>
      <c r="S22" s="32"/>
    </row>
    <row r="23" spans="1:21" x14ac:dyDescent="0.2">
      <c r="A23" s="130" t="s">
        <v>151</v>
      </c>
      <c r="O23" s="51"/>
      <c r="Q23" s="32"/>
      <c r="R23" s="32"/>
      <c r="S23" s="32"/>
    </row>
    <row r="24" spans="1:21" x14ac:dyDescent="0.2">
      <c r="A24" s="130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F41D-1B65-44A7-B5D0-18E50B12C95A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165</v>
      </c>
    </row>
    <row r="2" spans="1:1" x14ac:dyDescent="0.2">
      <c r="A2" t="s">
        <v>166</v>
      </c>
    </row>
    <row r="3" spans="1:1" x14ac:dyDescent="0.2">
      <c r="A3" t="s">
        <v>167</v>
      </c>
    </row>
    <row r="4" spans="1:1" x14ac:dyDescent="0.2">
      <c r="A4" t="s">
        <v>168</v>
      </c>
    </row>
    <row r="5" spans="1:1" x14ac:dyDescent="0.2">
      <c r="A5" t="s">
        <v>169</v>
      </c>
    </row>
    <row r="6" spans="1:1" x14ac:dyDescent="0.2">
      <c r="A6" t="s">
        <v>170</v>
      </c>
    </row>
    <row r="7" spans="1:1" x14ac:dyDescent="0.2">
      <c r="A7" t="s">
        <v>171</v>
      </c>
    </row>
    <row r="8" spans="1:1" x14ac:dyDescent="0.2">
      <c r="A8" t="s">
        <v>172</v>
      </c>
    </row>
    <row r="9" spans="1:1" x14ac:dyDescent="0.2">
      <c r="A9" t="s">
        <v>173</v>
      </c>
    </row>
    <row r="10" spans="1:1" x14ac:dyDescent="0.2">
      <c r="A10" t="s">
        <v>174</v>
      </c>
    </row>
    <row r="11" spans="1:1" x14ac:dyDescent="0.2">
      <c r="A11" t="s">
        <v>175</v>
      </c>
    </row>
    <row r="12" spans="1:1" x14ac:dyDescent="0.2">
      <c r="A12" t="s">
        <v>176</v>
      </c>
    </row>
    <row r="13" spans="1:1" x14ac:dyDescent="0.2">
      <c r="A13" t="s">
        <v>177</v>
      </c>
    </row>
    <row r="14" spans="1:1" x14ac:dyDescent="0.2">
      <c r="A14" t="s">
        <v>178</v>
      </c>
    </row>
    <row r="15" spans="1:1" x14ac:dyDescent="0.2">
      <c r="A15" t="s">
        <v>179</v>
      </c>
    </row>
    <row r="16" spans="1:1" x14ac:dyDescent="0.2">
      <c r="A16" t="s">
        <v>180</v>
      </c>
    </row>
    <row r="17" spans="1:1" x14ac:dyDescent="0.2">
      <c r="A17" t="s">
        <v>181</v>
      </c>
    </row>
    <row r="18" spans="1:1" x14ac:dyDescent="0.2">
      <c r="A18" t="s">
        <v>182</v>
      </c>
    </row>
    <row r="19" spans="1:1" x14ac:dyDescent="0.2">
      <c r="A19" t="s">
        <v>183</v>
      </c>
    </row>
    <row r="20" spans="1:1" x14ac:dyDescent="0.2">
      <c r="A20" t="s">
        <v>184</v>
      </c>
    </row>
    <row r="21" spans="1:1" x14ac:dyDescent="0.2">
      <c r="A21" t="s">
        <v>185</v>
      </c>
    </row>
    <row r="22" spans="1:1" x14ac:dyDescent="0.2">
      <c r="A22" t="s">
        <v>186</v>
      </c>
    </row>
    <row r="23" spans="1:1" x14ac:dyDescent="0.2">
      <c r="A23" t="s">
        <v>187</v>
      </c>
    </row>
    <row r="24" spans="1:1" x14ac:dyDescent="0.2">
      <c r="A24" t="s">
        <v>188</v>
      </c>
    </row>
    <row r="25" spans="1:1" x14ac:dyDescent="0.2">
      <c r="A25" t="s">
        <v>189</v>
      </c>
    </row>
    <row r="26" spans="1:1" x14ac:dyDescent="0.2">
      <c r="A26" t="s">
        <v>190</v>
      </c>
    </row>
    <row r="27" spans="1:1" x14ac:dyDescent="0.2">
      <c r="A27" t="s">
        <v>191</v>
      </c>
    </row>
    <row r="28" spans="1:1" x14ac:dyDescent="0.2">
      <c r="A28" t="s">
        <v>192</v>
      </c>
    </row>
    <row r="29" spans="1:1" x14ac:dyDescent="0.2">
      <c r="A29" t="s">
        <v>193</v>
      </c>
    </row>
    <row r="30" spans="1:1" x14ac:dyDescent="0.2">
      <c r="A30" t="s">
        <v>194</v>
      </c>
    </row>
    <row r="31" spans="1:1" x14ac:dyDescent="0.2">
      <c r="A31" t="s">
        <v>195</v>
      </c>
    </row>
    <row r="32" spans="1:1" x14ac:dyDescent="0.2">
      <c r="A32" t="s">
        <v>196</v>
      </c>
    </row>
    <row r="33" spans="1:1" x14ac:dyDescent="0.2">
      <c r="A33" t="s">
        <v>197</v>
      </c>
    </row>
    <row r="34" spans="1:1" x14ac:dyDescent="0.2">
      <c r="A34" t="s">
        <v>198</v>
      </c>
    </row>
    <row r="35" spans="1:1" x14ac:dyDescent="0.2">
      <c r="A35" t="s">
        <v>199</v>
      </c>
    </row>
    <row r="36" spans="1:1" x14ac:dyDescent="0.2">
      <c r="A36" t="s">
        <v>200</v>
      </c>
    </row>
    <row r="37" spans="1:1" x14ac:dyDescent="0.2">
      <c r="A37" t="s">
        <v>201</v>
      </c>
    </row>
    <row r="38" spans="1:1" x14ac:dyDescent="0.2">
      <c r="A38" t="s">
        <v>202</v>
      </c>
    </row>
    <row r="39" spans="1:1" x14ac:dyDescent="0.2">
      <c r="A39" t="s">
        <v>203</v>
      </c>
    </row>
    <row r="40" spans="1:1" x14ac:dyDescent="0.2">
      <c r="A40" t="s">
        <v>204</v>
      </c>
    </row>
    <row r="41" spans="1:1" x14ac:dyDescent="0.2">
      <c r="A41" t="s">
        <v>205</v>
      </c>
    </row>
    <row r="42" spans="1:1" x14ac:dyDescent="0.2">
      <c r="A42" t="s">
        <v>206</v>
      </c>
    </row>
    <row r="43" spans="1:1" x14ac:dyDescent="0.2">
      <c r="A43" t="s">
        <v>207</v>
      </c>
    </row>
    <row r="44" spans="1:1" x14ac:dyDescent="0.2">
      <c r="A44" t="s">
        <v>208</v>
      </c>
    </row>
    <row r="45" spans="1:1" x14ac:dyDescent="0.2">
      <c r="A45" t="s">
        <v>209</v>
      </c>
    </row>
    <row r="46" spans="1:1" x14ac:dyDescent="0.2">
      <c r="A46" t="s">
        <v>210</v>
      </c>
    </row>
    <row r="47" spans="1:1" x14ac:dyDescent="0.2">
      <c r="A47" t="s">
        <v>211</v>
      </c>
    </row>
    <row r="48" spans="1:1" x14ac:dyDescent="0.2">
      <c r="A48" t="s">
        <v>212</v>
      </c>
    </row>
    <row r="49" spans="1:1" x14ac:dyDescent="0.2">
      <c r="A49" t="s">
        <v>213</v>
      </c>
    </row>
    <row r="50" spans="1:1" x14ac:dyDescent="0.2">
      <c r="A50" t="s">
        <v>214</v>
      </c>
    </row>
    <row r="51" spans="1:1" x14ac:dyDescent="0.2">
      <c r="A51" t="s">
        <v>215</v>
      </c>
    </row>
    <row r="52" spans="1:1" x14ac:dyDescent="0.2">
      <c r="A52" t="s">
        <v>216</v>
      </c>
    </row>
    <row r="53" spans="1:1" x14ac:dyDescent="0.2">
      <c r="A53" t="s">
        <v>217</v>
      </c>
    </row>
    <row r="54" spans="1:1" x14ac:dyDescent="0.2">
      <c r="A54" t="s">
        <v>218</v>
      </c>
    </row>
    <row r="55" spans="1:1" x14ac:dyDescent="0.2">
      <c r="A55" t="s">
        <v>219</v>
      </c>
    </row>
    <row r="56" spans="1:1" x14ac:dyDescent="0.2">
      <c r="A56" t="s">
        <v>220</v>
      </c>
    </row>
    <row r="57" spans="1:1" x14ac:dyDescent="0.2">
      <c r="A57" t="s">
        <v>221</v>
      </c>
    </row>
    <row r="58" spans="1:1" x14ac:dyDescent="0.2">
      <c r="A58" t="s">
        <v>222</v>
      </c>
    </row>
    <row r="59" spans="1:1" x14ac:dyDescent="0.2">
      <c r="A59" t="s">
        <v>223</v>
      </c>
    </row>
    <row r="60" spans="1:1" x14ac:dyDescent="0.2">
      <c r="A60" t="s">
        <v>224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2023-05-29T12:32:45Z</dcterms:created>
  <dcterms:modified xsi:type="dcterms:W3CDTF">2023-05-29T12:32:46Z</dcterms:modified>
  <cp:category/>
</cp:coreProperties>
</file>