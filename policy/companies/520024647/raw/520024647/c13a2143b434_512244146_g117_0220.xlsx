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2020\כלל תמר אגח -דגש איתן\דוח נכסים\רבעון 2\"/>
    </mc:Choice>
  </mc:AlternateContent>
  <xr:revisionPtr revIDLastSave="0" documentId="8_{1C685F25-A8C7-46C4-9213-5FE57D008FF4}" xr6:coauthVersionLast="36" xr6:coauthVersionMax="36" xr10:uidLastSave="{00000000-0000-0000-0000-000000000000}"/>
  <bookViews>
    <workbookView xWindow="120" yWindow="165" windowWidth="15180" windowHeight="8010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</sheets>
  <definedNames>
    <definedName name="TM1REBUILDOPTION">1</definedName>
    <definedName name="_xlnm.Print_Area" localSheetId="4">'אג"ח קונצרני'!$A$5:$T$322</definedName>
    <definedName name="_xlnm.Print_Area" localSheetId="9">אופציות!$A$5:$K$21</definedName>
    <definedName name="_xlnm.Print_Area" localSheetId="21">הלוואות!$A$5:$Q$147</definedName>
    <definedName name="_xlnm.Print_Area" localSheetId="25">'השקעות אחרות'!$A$5:$J$25</definedName>
    <definedName name="_xlnm.Print_Area" localSheetId="23">'זכויות מקרקעין'!$A$5:$H$15</definedName>
    <definedName name="_xlnm.Print_Area" localSheetId="10">'חוזים עתידיים'!$A$5:$G$14</definedName>
    <definedName name="_xlnm.Print_Area" localSheetId="26">'יתרת התחייבות להשקעה'!$A$1:$B$20</definedName>
    <definedName name="_xlnm.Print_Area" localSheetId="8">'כתבי אופציה'!$A$5:$K$14</definedName>
    <definedName name="_xlnm.Print_Area" localSheetId="12">'לא סחיר- תעודות התחייבות ממשלתי'!$A$5:$O$19</definedName>
    <definedName name="_xlnm.Print_Area" localSheetId="14">'לא סחיר - אג"ח קונצרני'!$A$5:$R$41</definedName>
    <definedName name="_xlnm.Print_Area" localSheetId="18">'לא סחיר - אופציות'!$A$5:$K$36</definedName>
    <definedName name="_xlnm.Print_Area" localSheetId="19">'לא סחיר - חוזים עתידיים'!$A$5:$J$98</definedName>
    <definedName name="_xlnm.Print_Area" localSheetId="17">'לא סחיר - כתבי אופציה'!$A$5:$K$12</definedName>
    <definedName name="_xlnm.Print_Area" localSheetId="20">'לא סחיר - מוצרים מובנים'!$A$5:$P$26</definedName>
    <definedName name="_xlnm.Print_Area" localSheetId="15">'לא סחיר - מניות'!$A$5:$L$15</definedName>
    <definedName name="_xlnm.Print_Area" localSheetId="16">'לא סחיר - קרנות השקעה'!$A$5:$J$25</definedName>
    <definedName name="_xlnm.Print_Area" localSheetId="13">'לא סחיר - תעודות חוב מסחריות'!$A$5:$R$18</definedName>
    <definedName name="_xlnm.Print_Area" localSheetId="11">'מוצרים מובנים'!$A$5:$P$26</definedName>
    <definedName name="_xlnm.Print_Area" localSheetId="1">מזומנים!$A$5:$K$73</definedName>
    <definedName name="_xlnm.Print_Area" localSheetId="5">מניות!$A$5:$N$20</definedName>
    <definedName name="_xlnm.Print_Area" localSheetId="0">'סכום נכסי הקרן'!$A$5:$C$55</definedName>
    <definedName name="_xlnm.Print_Area" localSheetId="22">'פקדונות מעל 3 חודשים'!$A$5:$N$16</definedName>
    <definedName name="_xlnm.Print_Area" localSheetId="7">'קרנות נאמנות'!$A$5:$N$33</definedName>
    <definedName name="_xlnm.Print_Area" localSheetId="6">'קרנות סל'!$A$5:$M$47</definedName>
    <definedName name="_xlnm.Print_Area" localSheetId="2">'תעודות התחייבות ממשלתיות'!$A$5:$Q$57</definedName>
    <definedName name="_xlnm.Print_Area" localSheetId="3">'תעודות חוב מסחריות'!$A$5:$T$17</definedName>
    <definedName name="_xlnm.Print_Titles" localSheetId="1">מזומנים!$8:$8</definedName>
  </definedNames>
  <calcPr calcId="145621"/>
</workbook>
</file>

<file path=xl/sharedStrings.xml><?xml version="1.0" encoding="utf-8"?>
<sst xmlns="http://schemas.openxmlformats.org/spreadsheetml/2006/main" count="10295" uniqueCount="2311">
  <si>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</si>
  <si>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</si>
  <si>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</si>
  <si>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</si>
  <si>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</si>
  <si>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</si>
  <si>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</si>
  <si>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</si>
  <si>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</si>
  <si>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</si>
  <si>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</si>
  <si>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</si>
  <si>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</si>
  <si>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</si>
  <si>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</si>
  <si>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</si>
  <si>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</si>
  <si>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</si>
  <si>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</si>
  <si>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</si>
  <si>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</si>
  <si>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</si>
  <si>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</si>
  <si>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</si>
  <si>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</si>
  <si>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</si>
  <si>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</si>
  <si>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</si>
  <si>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</si>
  <si>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</si>
  <si>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</si>
  <si>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</si>
  <si>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</si>
  <si>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</si>
  <si>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</si>
  <si>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</si>
  <si>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</si>
  <si>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</si>
  <si>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</si>
  <si>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</si>
  <si>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</si>
  <si>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</si>
  <si>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</si>
  <si>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</si>
  <si>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</si>
  <si>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</si>
  <si>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</si>
  <si>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</si>
  <si>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</si>
  <si>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</si>
  <si>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</si>
  <si>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</si>
  <si>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</si>
  <si>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</si>
  <si>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</si>
  <si>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</si>
  <si>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</si>
  <si>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</si>
  <si>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</si>
  <si>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</si>
  <si>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</si>
  <si>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</si>
  <si>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</si>
  <si>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</si>
  <si>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</si>
  <si>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</si>
  <si>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</si>
  <si>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</si>
  <si>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</si>
  <si>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</si>
  <si>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</si>
  <si>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</si>
  <si>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</si>
  <si>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</si>
  <si>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</si>
  <si>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</si>
  <si>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</si>
  <si>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</si>
  <si>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</si>
  <si>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</si>
  <si>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</si>
  <si>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</si>
  <si>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</si>
  <si>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</si>
  <si>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</si>
  <si>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</si>
  <si>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</si>
  <si>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</si>
  <si>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</si>
  <si>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</si>
  <si>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 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</si>
  <si>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</si>
  <si>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</si>
  <si>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</si>
  <si>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</si>
  <si>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</si>
  <si>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</si>
  <si>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</si>
  <si>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</si>
  <si>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</si>
  <si>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</si>
  <si>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</si>
  <si>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</si>
  <si>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</si>
  <si>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</si>
  <si>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</si>
  <si>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</si>
  <si>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</si>
  <si>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</si>
  <si>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</si>
  <si>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</si>
  <si>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</si>
  <si>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</si>
  <si>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</si>
  <si>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</si>
  <si>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</si>
  <si>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</si>
  <si>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</si>
  <si>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</si>
  <si>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</si>
  <si>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</si>
  <si>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</si>
  <si>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</si>
  <si>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</si>
  <si>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</si>
  <si>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</si>
  <si>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</si>
  <si>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</si>
  <si>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</si>
  <si>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</si>
  <si>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</si>
  <si>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</si>
  <si>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</si>
  <si>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</si>
  <si>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</si>
  <si>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</si>
  <si>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</si>
  <si>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</si>
  <si>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</si>
  <si>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</si>
  <si>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</si>
  <si>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</si>
  <si>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</si>
  <si>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</si>
  <si>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</si>
  <si>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</si>
  <si>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</si>
  <si>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</si>
  <si>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</si>
  <si>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</si>
  <si>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</si>
  <si>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</si>
  <si>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</si>
  <si>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</si>
  <si>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</si>
  <si>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</si>
  <si>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</si>
  <si>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</si>
  <si>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</si>
  <si>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</si>
  <si>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</si>
  <si>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</si>
  <si>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</si>
  <si>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</si>
  <si>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</si>
  <si>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</si>
  <si>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תאריך הדיווח</t>
  </si>
  <si>
    <t>החברה המדווחת</t>
  </si>
  <si>
    <t>שם מסלול/קרן/קופה</t>
  </si>
  <si>
    <t>כלל תמר אגח דגש איתן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</si>
  <si>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</si>
  <si>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</si>
  <si>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</si>
  <si>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</si>
  <si>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</si>
  <si>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</si>
  <si>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30/06/2020</t>
  </si>
  <si>
    <t>2020</t>
  </si>
  <si>
    <t>117</t>
  </si>
  <si>
    <t xml:space="preserve">סה"כ בישראל: </t>
  </si>
  <si>
    <t/>
  </si>
  <si>
    <t xml:space="preserve">יתרות מזומנים ועו"ש בש"ח </t>
  </si>
  <si>
    <t>30005160</t>
  </si>
  <si>
    <t>11</t>
  </si>
  <si>
    <t>ilAAA</t>
  </si>
  <si>
    <t>S&amp;P מעלות</t>
  </si>
  <si>
    <t>שקל חדש</t>
  </si>
  <si>
    <t>30020900</t>
  </si>
  <si>
    <t>12</t>
  </si>
  <si>
    <t>30023680</t>
  </si>
  <si>
    <t>10</t>
  </si>
  <si>
    <t>29602998</t>
  </si>
  <si>
    <t>קרן לעסקים קטנים - מזומן בנק הפועלים בע"מ</t>
  </si>
  <si>
    <t>999999433</t>
  </si>
  <si>
    <t>30089270</t>
  </si>
  <si>
    <t>30091530</t>
  </si>
  <si>
    <t>30096090</t>
  </si>
  <si>
    <t>30098590</t>
  </si>
  <si>
    <t>30098610</t>
  </si>
  <si>
    <t>30098630</t>
  </si>
  <si>
    <t>30098950</t>
  </si>
  <si>
    <t>30029430</t>
  </si>
  <si>
    <t>27376994</t>
  </si>
  <si>
    <t>27387007</t>
  </si>
  <si>
    <t>27854250</t>
  </si>
  <si>
    <t>30030200</t>
  </si>
  <si>
    <t>30030210</t>
  </si>
  <si>
    <t>שקל - נייר הפרשים - עדכון ידני בנק הפועלים בע"מ</t>
  </si>
  <si>
    <t>27457978</t>
  </si>
  <si>
    <t>30030340</t>
  </si>
  <si>
    <t>31</t>
  </si>
  <si>
    <t>30030360</t>
  </si>
  <si>
    <t>30030370</t>
  </si>
  <si>
    <t>20</t>
  </si>
  <si>
    <t>30030380</t>
  </si>
  <si>
    <t>17</t>
  </si>
  <si>
    <t>30030400</t>
  </si>
  <si>
    <t>30030430</t>
  </si>
  <si>
    <t>30038310</t>
  </si>
  <si>
    <t xml:space="preserve">יתרות מזומנים ועו"ש נקובים במט"ח </t>
  </si>
  <si>
    <t>30005200</t>
  </si>
  <si>
    <t>30020920</t>
  </si>
  <si>
    <t>30023700</t>
  </si>
  <si>
    <t>30005080</t>
  </si>
  <si>
    <t>30098990</t>
  </si>
  <si>
    <t>30096110</t>
  </si>
  <si>
    <t>30098650</t>
  </si>
  <si>
    <t>30098970</t>
  </si>
  <si>
    <t>30029450</t>
  </si>
  <si>
    <t>29401417</t>
  </si>
  <si>
    <t>30006670</t>
  </si>
  <si>
    <t>30030410</t>
  </si>
  <si>
    <t>30030440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</si>
  <si>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</si>
  <si>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</si>
  <si>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</si>
  <si>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</si>
  <si>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בנק לאומי לישראל בע"מ</t>
  </si>
  <si>
    <t>68030200</t>
  </si>
  <si>
    <t>פק' סל נזילות יו בנק הבנק הבינלאומי הראשון לישראל בע"מ</t>
  </si>
  <si>
    <t>68030340</t>
  </si>
  <si>
    <t>פק' סל נזילות דיסקונט בנק דיסקונט לישראל בע"מ</t>
  </si>
  <si>
    <t>68030360</t>
  </si>
  <si>
    <t>פק' סל נזילות מרכנטיל דיסקונט בנק מרכנתיל דיסקונט בע"מ</t>
  </si>
  <si>
    <t>68030380</t>
  </si>
  <si>
    <t xml:space="preserve">פקדונות במט"ח עד שלושה חודשים </t>
  </si>
  <si>
    <t>30023800</t>
  </si>
  <si>
    <t xml:space="preserve">סה"כ בחו"ל: </t>
  </si>
  <si>
    <t>30096290</t>
  </si>
  <si>
    <t>88</t>
  </si>
  <si>
    <t>A1</t>
  </si>
  <si>
    <t>Moodys</t>
  </si>
  <si>
    <t>30096310</t>
  </si>
  <si>
    <t>24857050</t>
  </si>
  <si>
    <t>30096270</t>
  </si>
  <si>
    <t>29857050</t>
  </si>
  <si>
    <t>30180999</t>
  </si>
  <si>
    <t>30040270</t>
  </si>
  <si>
    <t>30008350</t>
  </si>
  <si>
    <t>98</t>
  </si>
  <si>
    <t>AA</t>
  </si>
  <si>
    <t>S&amp;P</t>
  </si>
  <si>
    <t>30099530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</si>
  <si>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</si>
  <si>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</si>
  <si>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</si>
  <si>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</si>
  <si>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</si>
  <si>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</si>
  <si>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</si>
  <si>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</si>
  <si>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</si>
  <si>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</si>
  <si>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</si>
  <si>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</si>
  <si>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</si>
  <si>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</si>
  <si>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</si>
  <si>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</si>
  <si>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</si>
  <si>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</si>
  <si>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</si>
  <si>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</si>
  <si>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</si>
  <si>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</si>
  <si>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</si>
  <si>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</si>
  <si>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1025</t>
  </si>
  <si>
    <t>1135912</t>
  </si>
  <si>
    <t>20/08/2015</t>
  </si>
  <si>
    <t>ממצ"מ 1020</t>
  </si>
  <si>
    <t>1137181</t>
  </si>
  <si>
    <t>15/02/2016</t>
  </si>
  <si>
    <t>ממצ"מ 0527</t>
  </si>
  <si>
    <t>1140847</t>
  </si>
  <si>
    <t>23/05/2017</t>
  </si>
  <si>
    <t>ממצמ 0529</t>
  </si>
  <si>
    <t>1157023</t>
  </si>
  <si>
    <t>21/05/2019</t>
  </si>
  <si>
    <t>מלווה קצר מועד (מק"מ)</t>
  </si>
  <si>
    <t>מקמ 0720</t>
  </si>
  <si>
    <t>8200727</t>
  </si>
  <si>
    <t>21/07/2019</t>
  </si>
  <si>
    <t>מקמ 910</t>
  </si>
  <si>
    <t>8200917</t>
  </si>
  <si>
    <t>03/09/2019</t>
  </si>
  <si>
    <t>שחר</t>
  </si>
  <si>
    <t>ממשק 1026</t>
  </si>
  <si>
    <t>1099456</t>
  </si>
  <si>
    <t>10/11/2006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</si>
  <si>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</si>
  <si>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</si>
  <si>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</si>
  <si>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</si>
  <si>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</si>
  <si>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</si>
  <si>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</si>
  <si>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</si>
  <si>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</si>
  <si>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ממש"ק 0324</t>
  </si>
  <si>
    <t>1130848</t>
  </si>
  <si>
    <t>10/02/2014</t>
  </si>
  <si>
    <t>ממשק 0327</t>
  </si>
  <si>
    <t>1139344</t>
  </si>
  <si>
    <t>11/01/2017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</si>
  <si>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</si>
  <si>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</si>
  <si>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</si>
  <si>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</si>
  <si>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</si>
  <si>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</si>
  <si>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</si>
  <si>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</si>
  <si>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</si>
  <si>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</si>
  <si>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</si>
  <si>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</si>
  <si>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</si>
  <si>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</si>
  <si>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</si>
  <si>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0722</t>
  </si>
  <si>
    <t>1158104</t>
  </si>
  <si>
    <t>26/06/2019</t>
  </si>
  <si>
    <t>ממקצ 0221</t>
  </si>
  <si>
    <t>1165877</t>
  </si>
  <si>
    <t>21/04/2020</t>
  </si>
  <si>
    <t>ממשק 0537</t>
  </si>
  <si>
    <t>1166180</t>
  </si>
  <si>
    <t>27/05/2020</t>
  </si>
  <si>
    <t>גילון</t>
  </si>
  <si>
    <t>ממש"מ 1121</t>
  </si>
  <si>
    <t>1127646</t>
  </si>
  <si>
    <t>21/05/2007</t>
  </si>
  <si>
    <t>ממשמ 0526</t>
  </si>
  <si>
    <t>1141795</t>
  </si>
  <si>
    <t>15/10/2019</t>
  </si>
  <si>
    <t>סה"כ צמודות לדולר</t>
  </si>
  <si>
    <t>סה"כ בחו"ל:</t>
  </si>
  <si>
    <t>אג"ח של ממשלת ישראל שהונפקו בחו"ל:</t>
  </si>
  <si>
    <t>ISRAEL 3.15% 30/06/2023</t>
  </si>
  <si>
    <t>US4651387M19</t>
  </si>
  <si>
    <t>אחר</t>
  </si>
  <si>
    <t>29/01/2013</t>
  </si>
  <si>
    <t>ISRAEL 4.125 01/17/48</t>
  </si>
  <si>
    <t>US46513YJJ82</t>
  </si>
  <si>
    <t>10/01/2018</t>
  </si>
  <si>
    <t>ISRAEL 4 06/30/22</t>
  </si>
  <si>
    <t>US46513AGA25</t>
  </si>
  <si>
    <t>23/06/2019</t>
  </si>
  <si>
    <t>ISRAEL 3.875 07/03/50</t>
  </si>
  <si>
    <t>US46513JB429</t>
  </si>
  <si>
    <t>01/04/2020</t>
  </si>
  <si>
    <t>ISRAEL 2.75 07/03/30</t>
  </si>
  <si>
    <t>US46513JB346</t>
  </si>
  <si>
    <t>ISRAEL 3.8 05/13/60</t>
  </si>
  <si>
    <t>XS2167193015</t>
  </si>
  <si>
    <t>27/04/2020</t>
  </si>
  <si>
    <t>ISRAEL 1.5 01/16/29</t>
  </si>
  <si>
    <t>XS1936100483</t>
  </si>
  <si>
    <t>09/01/2019</t>
  </si>
  <si>
    <t>סה"כ אג"ח שהנפיקו ממשלות זרות בחו"ל</t>
  </si>
  <si>
    <t>MBONO 8 07/12/23</t>
  </si>
  <si>
    <t>MX0MGO000003</t>
  </si>
  <si>
    <t>BBB-</t>
  </si>
  <si>
    <t>08/05/2014</t>
  </si>
  <si>
    <t>סה"כ צמודות למט"ח</t>
  </si>
  <si>
    <t>סה"כ בחו"ל</t>
  </si>
  <si>
    <t>דקסיה הנפקות אגח ב</t>
  </si>
  <si>
    <t>1095066</t>
  </si>
  <si>
    <t>513704304</t>
  </si>
  <si>
    <t>בנקים</t>
  </si>
  <si>
    <t>09/12/2005</t>
  </si>
  <si>
    <t>הראל הנפקות אגח א</t>
  </si>
  <si>
    <t>1099738</t>
  </si>
  <si>
    <t>513834200</t>
  </si>
  <si>
    <t>ביטוח</t>
  </si>
  <si>
    <t>ilAA</t>
  </si>
  <si>
    <t>28/11/2006</t>
  </si>
  <si>
    <t>מנורה הון אגח א</t>
  </si>
  <si>
    <t>1103670</t>
  </si>
  <si>
    <t>513937714</t>
  </si>
  <si>
    <t>Aa3.il</t>
  </si>
  <si>
    <t>מידרוג</t>
  </si>
  <si>
    <t>14/05/2007</t>
  </si>
  <si>
    <t>נכסים ובנ אגח ד - סחיר מ 6990147</t>
  </si>
  <si>
    <t>6990154</t>
  </si>
  <si>
    <t>520025438</t>
  </si>
  <si>
    <t>נדל"ן מניב בישראל</t>
  </si>
  <si>
    <t>ilA-</t>
  </si>
  <si>
    <t>27/05/2007</t>
  </si>
  <si>
    <t>גב ים אגח ו</t>
  </si>
  <si>
    <t>7590128</t>
  </si>
  <si>
    <t>520001736</t>
  </si>
  <si>
    <t>Aa2.il</t>
  </si>
  <si>
    <t>28/05/2007</t>
  </si>
  <si>
    <t>קרדן אן וי אגח א  - סחיר מ 1102680</t>
  </si>
  <si>
    <t>1105535</t>
  </si>
  <si>
    <t>1239114</t>
  </si>
  <si>
    <t>השקעה ואחזקות</t>
  </si>
  <si>
    <t>לא מדורג</t>
  </si>
  <si>
    <t>06/06/2007</t>
  </si>
  <si>
    <t>פטרוכימיים אגח ב</t>
  </si>
  <si>
    <t>7560048</t>
  </si>
  <si>
    <t>520029315</t>
  </si>
  <si>
    <t>אנרגיה</t>
  </si>
  <si>
    <t>06/09/2007</t>
  </si>
  <si>
    <t>חברה לישראל אגח 7</t>
  </si>
  <si>
    <t>5760160</t>
  </si>
  <si>
    <t>520028010</t>
  </si>
  <si>
    <t>ilA</t>
  </si>
  <si>
    <t>11/09/2007</t>
  </si>
  <si>
    <t>אדמה אגח ב - מכתשים לשעבר הוסחר 1100445</t>
  </si>
  <si>
    <t>1110915</t>
  </si>
  <si>
    <t>520043605</t>
  </si>
  <si>
    <t>כימיה, גומי ופלסטיק</t>
  </si>
  <si>
    <t>ilAA-</t>
  </si>
  <si>
    <t>27/12/2006</t>
  </si>
  <si>
    <t>קרדן אן וי אגח ב</t>
  </si>
  <si>
    <t>1113034</t>
  </si>
  <si>
    <t>16/12/2008</t>
  </si>
  <si>
    <t>אמות אגח ג</t>
  </si>
  <si>
    <t>1117357</t>
  </si>
  <si>
    <t>520026683</t>
  </si>
  <si>
    <t>30/12/2009</t>
  </si>
  <si>
    <t>דקסיה הנפקות אגח ז</t>
  </si>
  <si>
    <t>1119825</t>
  </si>
  <si>
    <t>27/06/2010</t>
  </si>
  <si>
    <t>מיטב דש אגח ג</t>
  </si>
  <si>
    <t>1121763</t>
  </si>
  <si>
    <t>520043795</t>
  </si>
  <si>
    <t>שרותים פיננסיים</t>
  </si>
  <si>
    <t>A1.il</t>
  </si>
  <si>
    <t>02/01/2011</t>
  </si>
  <si>
    <t>אשדר אגח ג</t>
  </si>
  <si>
    <t>1123884</t>
  </si>
  <si>
    <t>510609761</t>
  </si>
  <si>
    <t>בנייה</t>
  </si>
  <si>
    <t>09/06/2011</t>
  </si>
  <si>
    <t>בזק אגח 6</t>
  </si>
  <si>
    <t>2300143</t>
  </si>
  <si>
    <t>520031931</t>
  </si>
  <si>
    <t>תקשורת ומדיה</t>
  </si>
  <si>
    <t>03/07/2011</t>
  </si>
  <si>
    <t>פועלים הנפקות אגח 32</t>
  </si>
  <si>
    <t>1940535</t>
  </si>
  <si>
    <t>520032640</t>
  </si>
  <si>
    <t>Aaa.il</t>
  </si>
  <si>
    <t>08/08/2011</t>
  </si>
  <si>
    <t>מליסרון אגח ו</t>
  </si>
  <si>
    <t>3230125</t>
  </si>
  <si>
    <t>520037789</t>
  </si>
  <si>
    <t>09/10/2011</t>
  </si>
  <si>
    <t>אמות אגח ב</t>
  </si>
  <si>
    <t>1126630</t>
  </si>
  <si>
    <t>02/07/2012</t>
  </si>
  <si>
    <t>אלרוב נדלן אגח ב</t>
  </si>
  <si>
    <t>3870094</t>
  </si>
  <si>
    <t>520038894</t>
  </si>
  <si>
    <t>נדל"ן מניב בחו"ל</t>
  </si>
  <si>
    <t>A2.il</t>
  </si>
  <si>
    <t>01/08/2012</t>
  </si>
  <si>
    <t>הפניקס אגח 2</t>
  </si>
  <si>
    <t>7670177</t>
  </si>
  <si>
    <t>520017450</t>
  </si>
  <si>
    <t>19/02/2013</t>
  </si>
  <si>
    <t>נכסים ובנ אגח ו</t>
  </si>
  <si>
    <t>6990188</t>
  </si>
  <si>
    <t>26/12/2012</t>
  </si>
  <si>
    <t>בראק אן וי אגח ב</t>
  </si>
  <si>
    <t>1128347</t>
  </si>
  <si>
    <t>34250659</t>
  </si>
  <si>
    <t>21/05/2013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</si>
  <si>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</si>
  <si>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</si>
  <si>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</si>
  <si>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</si>
  <si>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</si>
  <si>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</si>
  <si>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</si>
  <si>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מסחר</t>
  </si>
  <si>
    <t>07/10/2013</t>
  </si>
  <si>
    <t>מליסרון אגח ח</t>
  </si>
  <si>
    <t>3230166</t>
  </si>
  <si>
    <t>19/11/2013</t>
  </si>
  <si>
    <t>רבוע נדלן אגח ה</t>
  </si>
  <si>
    <t>1130467</t>
  </si>
  <si>
    <t>513765859</t>
  </si>
  <si>
    <t>ilA+</t>
  </si>
  <si>
    <t>29/01/2014</t>
  </si>
  <si>
    <t>אפריקה נכסים אגח ו</t>
  </si>
  <si>
    <t>1129550</t>
  </si>
  <si>
    <t>510560188</t>
  </si>
  <si>
    <t>A3.il</t>
  </si>
  <si>
    <t>21/08/2013</t>
  </si>
  <si>
    <t>ריט 1 אגח ד</t>
  </si>
  <si>
    <t>1129899</t>
  </si>
  <si>
    <t>513821488</t>
  </si>
  <si>
    <t>06/03/2014</t>
  </si>
  <si>
    <t>אלקטרה אגח ג הוסחר מ 7390065</t>
  </si>
  <si>
    <t>7390131</t>
  </si>
  <si>
    <t>520028911</t>
  </si>
  <si>
    <t>01/06/2014</t>
  </si>
  <si>
    <t>אלרוב נדלן אגח ג</t>
  </si>
  <si>
    <t>3870102</t>
  </si>
  <si>
    <t>02/06/2014</t>
  </si>
  <si>
    <t>אשטרום קבוצה אגח א</t>
  </si>
  <si>
    <t>1132323</t>
  </si>
  <si>
    <t>510381601</t>
  </si>
  <si>
    <t>08/07/2014</t>
  </si>
  <si>
    <t>אמות אגח ד</t>
  </si>
  <si>
    <t>1133149</t>
  </si>
  <si>
    <t>30/07/2014</t>
  </si>
  <si>
    <t>פועלים הנפקות אגח 33</t>
  </si>
  <si>
    <t>1940568</t>
  </si>
  <si>
    <t>15/09/2014</t>
  </si>
  <si>
    <t>ארפורט אגח ה</t>
  </si>
  <si>
    <t>1133487</t>
  </si>
  <si>
    <t>511659401</t>
  </si>
  <si>
    <t>17/09/2014</t>
  </si>
  <si>
    <t>גזית גלוב אגח יב</t>
  </si>
  <si>
    <t>1260603</t>
  </si>
  <si>
    <t>520033234</t>
  </si>
  <si>
    <t>29/10/2013</t>
  </si>
  <si>
    <t>דקסיה הנפקות אגח  י</t>
  </si>
  <si>
    <t>1134147</t>
  </si>
  <si>
    <t>18/01/2015</t>
  </si>
  <si>
    <t>ביג אגח ה</t>
  </si>
  <si>
    <t>1129279</t>
  </si>
  <si>
    <t>513623314</t>
  </si>
  <si>
    <t>04/02/2015</t>
  </si>
  <si>
    <t>פועלים הנפקות אגח 34</t>
  </si>
  <si>
    <t>1940576</t>
  </si>
  <si>
    <t>26/03/2015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</si>
  <si>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</si>
  <si>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</si>
  <si>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</si>
  <si>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</si>
  <si>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</si>
  <si>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</si>
  <si>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</si>
  <si>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</si>
  <si>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</si>
  <si>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</si>
  <si>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</si>
  <si>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</si>
  <si>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</si>
  <si>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</si>
  <si>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</si>
  <si>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</si>
  <si>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</si>
  <si>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</si>
  <si>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אפריקה נכסים אגח ז</t>
  </si>
  <si>
    <t>1132232</t>
  </si>
  <si>
    <t>13/05/2014</t>
  </si>
  <si>
    <t>ביג אגח ז</t>
  </si>
  <si>
    <t>1136084</t>
  </si>
  <si>
    <t>24/09/2015</t>
  </si>
  <si>
    <t>בזק אגח 10</t>
  </si>
  <si>
    <t>2300184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</si>
  <si>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</si>
  <si>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</si>
  <si>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</si>
  <si>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</si>
  <si>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</si>
  <si>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</si>
  <si>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</si>
  <si>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23/02/2016</t>
  </si>
  <si>
    <t>סלע נדלן אגח ב</t>
  </si>
  <si>
    <t>1132927</t>
  </si>
  <si>
    <t>513992529</t>
  </si>
  <si>
    <t>13/08/2019</t>
  </si>
  <si>
    <t>מזרחי טפחות הנפקות 43</t>
  </si>
  <si>
    <t>2310191</t>
  </si>
  <si>
    <t>520032046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</si>
  <si>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</si>
  <si>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</si>
  <si>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</si>
  <si>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</si>
  <si>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</si>
  <si>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</si>
  <si>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</si>
  <si>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</si>
  <si>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</si>
  <si>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</si>
  <si>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</si>
  <si>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</si>
  <si>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</si>
  <si>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</si>
  <si>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</si>
  <si>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</si>
  <si>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</si>
  <si>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</si>
  <si>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</si>
  <si>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</si>
  <si>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</si>
  <si>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</si>
  <si>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</si>
  <si>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</si>
  <si>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</si>
  <si>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</si>
  <si>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</si>
  <si>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</si>
  <si>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אגח ו</t>
  </si>
  <si>
    <t>1138668</t>
  </si>
  <si>
    <t>513257873</t>
  </si>
  <si>
    <t>18/12/2016</t>
  </si>
  <si>
    <t>שלמה החזקות אגח טז</t>
  </si>
  <si>
    <t>1410281</t>
  </si>
  <si>
    <t>520034372</t>
  </si>
  <si>
    <t>שירותים</t>
  </si>
  <si>
    <t>27/12/2016</t>
  </si>
  <si>
    <t>מבני תעשיה אגח יז</t>
  </si>
  <si>
    <t>2260446</t>
  </si>
  <si>
    <t>13/07/2014</t>
  </si>
  <si>
    <t>חשמל אגח 29</t>
  </si>
  <si>
    <t>6000236</t>
  </si>
  <si>
    <t>28/03/2017</t>
  </si>
  <si>
    <t>אלדן תחבורה אגח ד</t>
  </si>
  <si>
    <t>1140821</t>
  </si>
  <si>
    <t>510454333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</si>
  <si>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</si>
  <si>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</si>
  <si>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</si>
  <si>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</si>
  <si>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</si>
  <si>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</si>
  <si>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</si>
  <si>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</si>
  <si>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</si>
  <si>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</si>
  <si>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</si>
  <si>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</si>
  <si>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</si>
  <si>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</si>
  <si>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</si>
  <si>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</si>
  <si>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</si>
  <si>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</si>
  <si>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</si>
  <si>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</si>
  <si>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</si>
  <si>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</si>
  <si>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45</t>
  </si>
  <si>
    <t>2310217</t>
  </si>
  <si>
    <t>28/09/2017</t>
  </si>
  <si>
    <t>מזרחי טפחות הנפקות 46</t>
  </si>
  <si>
    <t>2310225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</si>
  <si>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</si>
  <si>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</si>
  <si>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</si>
  <si>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</si>
  <si>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</si>
  <si>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</si>
  <si>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</si>
  <si>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מניבים ריט אגח א</t>
  </si>
  <si>
    <t>1140581</t>
  </si>
  <si>
    <t>515327120</t>
  </si>
  <si>
    <t>07/03/2018</t>
  </si>
  <si>
    <t>אדגר אגח י</t>
  </si>
  <si>
    <t>1820208</t>
  </si>
  <si>
    <t>520035171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</si>
  <si>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</si>
  <si>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</si>
  <si>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</si>
  <si>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</si>
  <si>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</si>
  <si>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</si>
  <si>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</si>
  <si>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</si>
  <si>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</si>
  <si>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</si>
  <si>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</si>
  <si>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</si>
  <si>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</si>
  <si>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</si>
  <si>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</si>
  <si>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</si>
  <si>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שרותים</t>
  </si>
  <si>
    <t>07/06/2018</t>
  </si>
  <si>
    <t>ביג אגח יא</t>
  </si>
  <si>
    <t>1151117</t>
  </si>
  <si>
    <t>29/07/2018</t>
  </si>
  <si>
    <t>אשטרום נכסים אגח 11</t>
  </si>
  <si>
    <t>2510238</t>
  </si>
  <si>
    <t>520036617</t>
  </si>
  <si>
    <t>05/09/2018</t>
  </si>
  <si>
    <t>אגוד הנפקות  אגח ט</t>
  </si>
  <si>
    <t>1139492</t>
  </si>
  <si>
    <t>513668277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</si>
  <si>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</si>
  <si>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</si>
  <si>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</si>
  <si>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</si>
  <si>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</si>
  <si>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</si>
  <si>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</si>
  <si>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</si>
  <si>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</si>
  <si>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</si>
  <si>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</si>
  <si>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</si>
  <si>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</si>
  <si>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</si>
  <si>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</si>
  <si>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</si>
  <si>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</si>
  <si>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</si>
  <si>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</si>
  <si>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</si>
  <si>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</si>
  <si>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</si>
  <si>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</si>
  <si>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</si>
  <si>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</si>
  <si>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</si>
  <si>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</si>
  <si>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</si>
  <si>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</si>
  <si>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</si>
  <si>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אלה פקדון אגח מובנה ב</t>
  </si>
  <si>
    <t>1142215</t>
  </si>
  <si>
    <t>515666881</t>
  </si>
  <si>
    <t>אג"ח מובנות</t>
  </si>
  <si>
    <t>17/02/2019</t>
  </si>
  <si>
    <t>רבוע נדלן אגח ח</t>
  </si>
  <si>
    <t>1157569</t>
  </si>
  <si>
    <t>17/04/2019</t>
  </si>
  <si>
    <t>מזרחי טפחות הנפקות 49</t>
  </si>
  <si>
    <t>2310282</t>
  </si>
  <si>
    <t>מקורות אגח 11</t>
  </si>
  <si>
    <t>1158476</t>
  </si>
  <si>
    <t>520010869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</si>
  <si>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</si>
  <si>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</si>
  <si>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</si>
  <si>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</si>
  <si>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</si>
  <si>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</si>
  <si>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</si>
  <si>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ארפורט אגח ט</t>
  </si>
  <si>
    <t>1160944</t>
  </si>
  <si>
    <t>28/10/2019</t>
  </si>
  <si>
    <t>מבני תעשיה אגח כא</t>
  </si>
  <si>
    <t>2260529</t>
  </si>
  <si>
    <t>06/11/2019</t>
  </si>
  <si>
    <t>מבני תעשיה אגח כג</t>
  </si>
  <si>
    <t>2260545</t>
  </si>
  <si>
    <t>מבני תעשיה אגח כד</t>
  </si>
  <si>
    <t>2260552</t>
  </si>
  <si>
    <t>מגה אור אגח ז חסום</t>
  </si>
  <si>
    <t>11416960</t>
  </si>
  <si>
    <t>09/12/2019</t>
  </si>
  <si>
    <t>הכשרת ישוב אגח 21 חסום</t>
  </si>
  <si>
    <t>61202240</t>
  </si>
  <si>
    <t>520020116</t>
  </si>
  <si>
    <t>18/02/2019</t>
  </si>
  <si>
    <t>מגה אור אגח ט</t>
  </si>
  <si>
    <t>1165141</t>
  </si>
  <si>
    <t>23/02/2020</t>
  </si>
  <si>
    <t>מליסרון  אגח יח</t>
  </si>
  <si>
    <t>3230372</t>
  </si>
  <si>
    <t>08/03/2020</t>
  </si>
  <si>
    <t>מגוריט אגח א</t>
  </si>
  <si>
    <t>1141712</t>
  </si>
  <si>
    <t>515434074</t>
  </si>
  <si>
    <t>09/03/2020</t>
  </si>
  <si>
    <t>מגוריט אגח א חסום</t>
  </si>
  <si>
    <t>11417120</t>
  </si>
  <si>
    <t>ירושלים אגח טו חסום</t>
  </si>
  <si>
    <t>11617690</t>
  </si>
  <si>
    <t>513682146</t>
  </si>
  <si>
    <t>22/04/2020</t>
  </si>
  <si>
    <t>או פי סי אגח ב</t>
  </si>
  <si>
    <t>1166057</t>
  </si>
  <si>
    <t>514401702</t>
  </si>
  <si>
    <t>26/04/2020</t>
  </si>
  <si>
    <t>בזק אגח 12</t>
  </si>
  <si>
    <t>2300242</t>
  </si>
  <si>
    <t>דיסקונט מנפיקים התחייבות ד</t>
  </si>
  <si>
    <t>7480049</t>
  </si>
  <si>
    <t>520029935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</si>
  <si>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</si>
  <si>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</si>
  <si>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</si>
  <si>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</si>
  <si>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</si>
  <si>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</si>
  <si>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513141879</t>
  </si>
  <si>
    <t>01/06/2007</t>
  </si>
  <si>
    <t>דיסקונט התחייבות נדחה י</t>
  </si>
  <si>
    <t>6910129</t>
  </si>
  <si>
    <t>520007030</t>
  </si>
  <si>
    <t>20/06/2010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</si>
  <si>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</si>
  <si>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</si>
  <si>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</si>
  <si>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</si>
  <si>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</si>
  <si>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</si>
  <si>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פועלים הנפקות התחייבות טו</t>
  </si>
  <si>
    <t>1940543</t>
  </si>
  <si>
    <t>12/07/2012</t>
  </si>
  <si>
    <t>ירושלים הנפקות אגח ט</t>
  </si>
  <si>
    <t>1127422</t>
  </si>
  <si>
    <t>27/12/2012</t>
  </si>
  <si>
    <t>דקסיה הנפקות נדחה יד</t>
  </si>
  <si>
    <t>1129907</t>
  </si>
  <si>
    <t>22/09/2013</t>
  </si>
  <si>
    <t>מזרחי טפחות הנפקות 38</t>
  </si>
  <si>
    <t>2310142</t>
  </si>
  <si>
    <t>14/09/2014</t>
  </si>
  <si>
    <t>לאומי מימון אגח יד</t>
  </si>
  <si>
    <t>6040299</t>
  </si>
  <si>
    <t>13/11/2011</t>
  </si>
  <si>
    <t>מזרחי טפחות הנפקות 42</t>
  </si>
  <si>
    <t>2310183</t>
  </si>
  <si>
    <t>08/06/2015</t>
  </si>
  <si>
    <t>הראל הנפקות אגח ט</t>
  </si>
  <si>
    <t>1134030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</si>
  <si>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</si>
  <si>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</si>
  <si>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</si>
  <si>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</si>
  <si>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</si>
  <si>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</si>
  <si>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</si>
  <si>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</si>
  <si>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</si>
  <si>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</si>
  <si>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פועלים הנפקות שה נדחה 1</t>
  </si>
  <si>
    <t>1940444</t>
  </si>
  <si>
    <t>30/06/2009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</si>
  <si>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</si>
  <si>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</si>
  <si>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</si>
  <si>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</si>
  <si>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</si>
  <si>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</si>
  <si>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</si>
  <si>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</si>
  <si>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ה</t>
  </si>
  <si>
    <t>1119221</t>
  </si>
  <si>
    <t>25/05/2010</t>
  </si>
  <si>
    <t>איי די איי אגח ג</t>
  </si>
  <si>
    <t>1127349</t>
  </si>
  <si>
    <t>514486042</t>
  </si>
  <si>
    <t>11/12/2012</t>
  </si>
  <si>
    <t>לאומי מימון שה נדחה 300</t>
  </si>
  <si>
    <t>6040257</t>
  </si>
  <si>
    <t>16/08/2009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</si>
  <si>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</si>
  <si>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</si>
  <si>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</si>
  <si>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</si>
  <si>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</si>
  <si>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</si>
  <si>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</si>
  <si>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</si>
  <si>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</si>
  <si>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</si>
  <si>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</si>
  <si>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</si>
  <si>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</si>
  <si>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</si>
  <si>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</si>
  <si>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</si>
  <si>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</si>
  <si>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</si>
  <si>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</si>
  <si>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</si>
  <si>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</si>
  <si>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</si>
  <si>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</si>
  <si>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</si>
  <si>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</si>
  <si>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</si>
  <si>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</si>
  <si>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</si>
  <si>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</si>
  <si>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הנפקות התחייבות ו</t>
  </si>
  <si>
    <t>7480197</t>
  </si>
  <si>
    <t>29/10/2019</t>
  </si>
  <si>
    <t>פועלים הנפקות התחייבות כא</t>
  </si>
  <si>
    <t>1940725</t>
  </si>
  <si>
    <t>21/05/2020</t>
  </si>
  <si>
    <t>דיסקונט כתבי התחייבות נדחים ז</t>
  </si>
  <si>
    <t>7480247</t>
  </si>
  <si>
    <t>22/06/2020</t>
  </si>
  <si>
    <t>פטרוכימיים אגח ג</t>
  </si>
  <si>
    <t>7560055</t>
  </si>
  <si>
    <t>29/01/2008</t>
  </si>
  <si>
    <t>דלתא אגח ה</t>
  </si>
  <si>
    <t>6270136</t>
  </si>
  <si>
    <t>520025602</t>
  </si>
  <si>
    <t>אופנה והלבשה</t>
  </si>
  <si>
    <t>08/04/2012</t>
  </si>
  <si>
    <t>תעשיה אווירית אגח ג</t>
  </si>
  <si>
    <t>1127547</t>
  </si>
  <si>
    <t>520027194</t>
  </si>
  <si>
    <t>ביטחוניות</t>
  </si>
  <si>
    <t>13/01/2013</t>
  </si>
  <si>
    <t>אלקטרה אגח ד</t>
  </si>
  <si>
    <t>7390149</t>
  </si>
  <si>
    <t>01/07/2014</t>
  </si>
  <si>
    <t>אבגול אגח ג</t>
  </si>
  <si>
    <t>1133289</t>
  </si>
  <si>
    <t>510119068</t>
  </si>
  <si>
    <t>עץ, נייר ודפוס</t>
  </si>
  <si>
    <t>14/08/2014</t>
  </si>
  <si>
    <t>פניקס הון אגח ד</t>
  </si>
  <si>
    <t>1133529</t>
  </si>
  <si>
    <t>28/09/2014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</si>
  <si>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</si>
  <si>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</si>
  <si>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</si>
  <si>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</si>
  <si>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</si>
  <si>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</si>
  <si>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</si>
  <si>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</si>
  <si>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</si>
  <si>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</si>
  <si>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</si>
  <si>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פטרוכימיים אגח 1</t>
  </si>
  <si>
    <t>7560154</t>
  </si>
  <si>
    <t>29/06/2015</t>
  </si>
  <si>
    <t>לאומי אגח 178</t>
  </si>
  <si>
    <t>6040323</t>
  </si>
  <si>
    <t>23/07/2015</t>
  </si>
  <si>
    <t>בזן אגח ה</t>
  </si>
  <si>
    <t>2590388</t>
  </si>
  <si>
    <t>520036658</t>
  </si>
  <si>
    <t>29/07/2015</t>
  </si>
  <si>
    <t>הראל הנפקות אגח יא</t>
  </si>
  <si>
    <t>1136316</t>
  </si>
  <si>
    <t>03/09/2015</t>
  </si>
  <si>
    <t>נכסים ובנ אגח ז</t>
  </si>
  <si>
    <t>6990196</t>
  </si>
  <si>
    <t>25/12/2012</t>
  </si>
  <si>
    <t>פניקס הון אגח ו</t>
  </si>
  <si>
    <t>1136696</t>
  </si>
  <si>
    <t>16/11/2015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</si>
  <si>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</si>
  <si>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</si>
  <si>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</si>
  <si>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</si>
  <si>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</si>
  <si>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</si>
  <si>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</si>
  <si>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</si>
  <si>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אפריקה מגורים אגח ג</t>
  </si>
  <si>
    <t>1135698</t>
  </si>
  <si>
    <t>520034760</t>
  </si>
  <si>
    <t>17/04/2016</t>
  </si>
  <si>
    <t>אלוני חץ אגח ט</t>
  </si>
  <si>
    <t>3900354</t>
  </si>
  <si>
    <t>520038506</t>
  </si>
  <si>
    <t>בזק אגח 9</t>
  </si>
  <si>
    <t>2300176</t>
  </si>
  <si>
    <t>09/06/2016</t>
  </si>
  <si>
    <t>כיל אגח ה</t>
  </si>
  <si>
    <t>2810299</t>
  </si>
  <si>
    <t>520027830</t>
  </si>
  <si>
    <t>03/07/2016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</si>
  <si>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</si>
  <si>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</si>
  <si>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</si>
  <si>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</si>
  <si>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</si>
  <si>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</si>
  <si>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</si>
  <si>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</si>
  <si>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</si>
  <si>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</si>
  <si>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</si>
  <si>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</si>
  <si>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</si>
  <si>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</si>
  <si>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</si>
  <si>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</si>
  <si>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</si>
  <si>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</si>
  <si>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</si>
  <si>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</si>
  <si>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</si>
  <si>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</si>
  <si>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</si>
  <si>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</si>
  <si>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</si>
  <si>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</si>
  <si>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</si>
  <si>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</si>
  <si>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</si>
  <si>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</si>
  <si>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</si>
  <si>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</si>
  <si>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</si>
  <si>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</si>
  <si>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</si>
  <si>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21/02/2017</t>
  </si>
  <si>
    <t>שפיר הנדסה אגח א</t>
  </si>
  <si>
    <t>1136134</t>
  </si>
  <si>
    <t>514892801</t>
  </si>
  <si>
    <t>מתכת ומוצרי בניה</t>
  </si>
  <si>
    <t>28/02/2017</t>
  </si>
  <si>
    <t>פז נפט אגח ה</t>
  </si>
  <si>
    <t>1139534</t>
  </si>
  <si>
    <t>01/03/2017</t>
  </si>
  <si>
    <t>חשמל אגח 26</t>
  </si>
  <si>
    <t>6000202</t>
  </si>
  <si>
    <t>02/04/2017</t>
  </si>
  <si>
    <t>דור אלון אגח ו</t>
  </si>
  <si>
    <t>1140656</t>
  </si>
  <si>
    <t>520043878</t>
  </si>
  <si>
    <t>13/07/2006</t>
  </si>
  <si>
    <t>חשמל אגח 28</t>
  </si>
  <si>
    <t>6000228</t>
  </si>
  <si>
    <t>24/04/2017</t>
  </si>
  <si>
    <t>שלמה החזקות אגח יז</t>
  </si>
  <si>
    <t>1410299</t>
  </si>
  <si>
    <t>אול יר אגח ד</t>
  </si>
  <si>
    <t>1141274</t>
  </si>
  <si>
    <t>30/07/2017</t>
  </si>
  <si>
    <t>או פי סי אגח א - סחיר מ-1140896</t>
  </si>
  <si>
    <t>1141589</t>
  </si>
  <si>
    <t>20/08/2017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</si>
  <si>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</si>
  <si>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</si>
  <si>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</si>
  <si>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</si>
  <si>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</si>
  <si>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</si>
  <si>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</si>
  <si>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</si>
  <si>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</si>
  <si>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הפניקס אגח 3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</si>
  <si>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</si>
  <si>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</si>
  <si>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</si>
  <si>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</si>
  <si>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</si>
  <si>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</si>
  <si>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</si>
  <si>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</si>
  <si>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</si>
  <si>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</si>
  <si>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</si>
  <si>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</si>
  <si>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</si>
  <si>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15/02/2018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</si>
  <si>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</si>
  <si>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</si>
  <si>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</si>
  <si>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</si>
  <si>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</si>
  <si>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</si>
  <si>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</si>
  <si>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</si>
  <si>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</si>
  <si>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</si>
  <si>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</si>
  <si>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</si>
  <si>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</si>
  <si>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</si>
  <si>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</si>
  <si>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</si>
  <si>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נכסים ובנ אגח ט</t>
  </si>
  <si>
    <t>6990212</t>
  </si>
  <si>
    <t>31/03/2020</t>
  </si>
  <si>
    <t>מגדל הון אגח ו</t>
  </si>
  <si>
    <t>1142785</t>
  </si>
  <si>
    <t>קרסו אגח א</t>
  </si>
  <si>
    <t>1136464</t>
  </si>
  <si>
    <t>514065283</t>
  </si>
  <si>
    <t>שטראוס אגח ה</t>
  </si>
  <si>
    <t>7460389</t>
  </si>
  <si>
    <t>520003781</t>
  </si>
  <si>
    <t>מזון</t>
  </si>
  <si>
    <t>11/03/2020</t>
  </si>
  <si>
    <t>פניקס הון אגח ט</t>
  </si>
  <si>
    <t>1155522</t>
  </si>
  <si>
    <t>04/11/2018</t>
  </si>
  <si>
    <t>אלקטרה אגח ה</t>
  </si>
  <si>
    <t>7390222</t>
  </si>
  <si>
    <t>12/12/2018</t>
  </si>
  <si>
    <t>קרסו אגח ג</t>
  </si>
  <si>
    <t>1141829</t>
  </si>
  <si>
    <t>24/12/2018</t>
  </si>
  <si>
    <t>דיסקונט אגח יג</t>
  </si>
  <si>
    <t>7480155</t>
  </si>
  <si>
    <t>דיסקונט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</si>
  <si>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</si>
  <si>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</si>
  <si>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</si>
  <si>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</si>
  <si>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</si>
  <si>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</si>
  <si>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</si>
  <si>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</si>
  <si>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</si>
  <si>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שופרסל אגח ז</t>
  </si>
  <si>
    <t>7770258</t>
  </si>
  <si>
    <t>25/03/2019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</si>
  <si>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</si>
  <si>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</si>
  <si>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</si>
  <si>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</si>
  <si>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</si>
  <si>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</si>
  <si>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</si>
  <si>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</si>
  <si>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</si>
  <si>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Baa1.il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</si>
  <si>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</si>
  <si>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</si>
  <si>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</si>
  <si>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</si>
  <si>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</si>
  <si>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</si>
  <si>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</si>
  <si>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דור אלון אגח ו חסום</t>
  </si>
  <si>
    <t>11406560</t>
  </si>
  <si>
    <t>12/04/2017</t>
  </si>
  <si>
    <t>כיל  אגח ז</t>
  </si>
  <si>
    <t>2810372</t>
  </si>
  <si>
    <t>02/01/2020</t>
  </si>
  <si>
    <t>פז נפט אגח ח</t>
  </si>
  <si>
    <t>1162817</t>
  </si>
  <si>
    <t>06/02/2020</t>
  </si>
  <si>
    <t>מיטב דש אגח ד</t>
  </si>
  <si>
    <t>1161371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</si>
  <si>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</si>
  <si>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</si>
  <si>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</si>
  <si>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</si>
  <si>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</si>
  <si>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</si>
  <si>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</si>
  <si>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פרטנר אגח ז חסום</t>
  </si>
  <si>
    <t>11563970</t>
  </si>
  <si>
    <t>07/06/2020</t>
  </si>
  <si>
    <t>איי די איי אגח ד</t>
  </si>
  <si>
    <t>1133099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</si>
  <si>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</si>
  <si>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</si>
  <si>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</si>
  <si>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</si>
  <si>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</si>
  <si>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</si>
  <si>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ירושלים הנפקות אגח יד</t>
  </si>
  <si>
    <t>1123587</t>
  </si>
  <si>
    <t>06/07/2011</t>
  </si>
  <si>
    <t>פרטנר אגח ד</t>
  </si>
  <si>
    <t>1118835</t>
  </si>
  <si>
    <t>27/04/2010</t>
  </si>
  <si>
    <t>פז נפט אגח ד</t>
  </si>
  <si>
    <t>1132505</t>
  </si>
  <si>
    <t>15/06/2014</t>
  </si>
  <si>
    <t>פניקס הון אגח י</t>
  </si>
  <si>
    <t>1155530</t>
  </si>
  <si>
    <t>אלוני חץ אגח י</t>
  </si>
  <si>
    <t>3900362</t>
  </si>
  <si>
    <t>24/02/2019</t>
  </si>
  <si>
    <t>הראל פקדון אגח א</t>
  </si>
  <si>
    <t>1159623</t>
  </si>
  <si>
    <t>515989440</t>
  </si>
  <si>
    <t>05/08/2019</t>
  </si>
  <si>
    <t>הראל הנפקות אגח יז</t>
  </si>
  <si>
    <t>1161454</t>
  </si>
  <si>
    <t>02/12/2019</t>
  </si>
  <si>
    <t>לאומי מימון שה נדחה 301</t>
  </si>
  <si>
    <t>6040265</t>
  </si>
  <si>
    <t>17/08/2009</t>
  </si>
  <si>
    <t>לאומי 400</t>
  </si>
  <si>
    <t>6040331</t>
  </si>
  <si>
    <t>דיסקונט התחייבות נדחה יב</t>
  </si>
  <si>
    <t>6910160</t>
  </si>
  <si>
    <t>בזן אגח ו</t>
  </si>
  <si>
    <t>2590396</t>
  </si>
  <si>
    <t>חברה לישראל אגח 11</t>
  </si>
  <si>
    <t>5760244</t>
  </si>
  <si>
    <t>29/05/2016</t>
  </si>
  <si>
    <t>ישראמקו אגח א</t>
  </si>
  <si>
    <t>2320174</t>
  </si>
  <si>
    <t>550010003</t>
  </si>
  <si>
    <t>חיפושי נפט וגז</t>
  </si>
  <si>
    <t>16/05/2017</t>
  </si>
  <si>
    <t>שמוס  אגח א (1147578 הוסחר )</t>
  </si>
  <si>
    <t>1155951</t>
  </si>
  <si>
    <t>1742</t>
  </si>
  <si>
    <t>09/12/2018</t>
  </si>
  <si>
    <t>סים מניות בכורה צוברות ניתנות לפדיון סדרה  L</t>
  </si>
  <si>
    <t>1142355</t>
  </si>
  <si>
    <t>908311</t>
  </si>
  <si>
    <t>ilBBB+</t>
  </si>
  <si>
    <t>20/11/2017</t>
  </si>
  <si>
    <t>סה"כ צמודות למדד אחר</t>
  </si>
  <si>
    <t>DEVTAM 4.435 12/30/20</t>
  </si>
  <si>
    <t>IL0011321663</t>
  </si>
  <si>
    <t>Bloomberg</t>
  </si>
  <si>
    <t>Energy</t>
  </si>
  <si>
    <t>Baa3</t>
  </si>
  <si>
    <t>04/08/2014</t>
  </si>
  <si>
    <t>DEVTAM 5.082 12/30/23</t>
  </si>
  <si>
    <t>IL0011321747</t>
  </si>
  <si>
    <t>12/02/2015</t>
  </si>
  <si>
    <t>LUMIIT 3.275 01/29/31</t>
  </si>
  <si>
    <t>IL0060404899</t>
  </si>
  <si>
    <t>Banks</t>
  </si>
  <si>
    <t>BBB</t>
  </si>
  <si>
    <t>CENSUD 5.15 02/12/25</t>
  </si>
  <si>
    <t>USP2205JAK62</t>
  </si>
  <si>
    <t>Food &amp; Staples Retailing</t>
  </si>
  <si>
    <t>13/12/2016</t>
  </si>
  <si>
    <t>AXASA 5.125 01/17/47</t>
  </si>
  <si>
    <t>XS1550938978</t>
  </si>
  <si>
    <t>Insurance</t>
  </si>
  <si>
    <t>10/01/2017</t>
  </si>
  <si>
    <t>UA 3.25 06/15/26</t>
  </si>
  <si>
    <t>US904311AA54</t>
  </si>
  <si>
    <t>Consumer Durables &amp; Apparel</t>
  </si>
  <si>
    <t>B1</t>
  </si>
  <si>
    <t>18/01/2017</t>
  </si>
  <si>
    <t>SIGMA 4.125 05/02/26</t>
  </si>
  <si>
    <t>USP8674JAE93</t>
  </si>
  <si>
    <t>Food, Beverage &amp; Tobacco</t>
  </si>
  <si>
    <t>07/03/2017</t>
  </si>
  <si>
    <t>SVC 4.95 02/15/27</t>
  </si>
  <si>
    <t>US44106MAW29</t>
  </si>
  <si>
    <t>Real Estate</t>
  </si>
  <si>
    <t>Ba1</t>
  </si>
  <si>
    <t>22/05/2017</t>
  </si>
  <si>
    <t>AEL 5 06/15/27</t>
  </si>
  <si>
    <t>US025676AM95</t>
  </si>
  <si>
    <t>15/06/2017</t>
  </si>
  <si>
    <t>PRXNA 4.85 07/06/27</t>
  </si>
  <si>
    <t>USN5946FAD98</t>
  </si>
  <si>
    <t>Telecommunication services</t>
  </si>
  <si>
    <t>29/06/2017</t>
  </si>
  <si>
    <t>VMW 3.9 08/21/27</t>
  </si>
  <si>
    <t>US928563AC98</t>
  </si>
  <si>
    <t>Software &amp; Services</t>
  </si>
  <si>
    <t>12/09/2017</t>
  </si>
  <si>
    <t>C Float 08/25/36</t>
  </si>
  <si>
    <t>US172967DS78</t>
  </si>
  <si>
    <t>560014706</t>
  </si>
  <si>
    <t>Baa2</t>
  </si>
  <si>
    <t>11/12/2017</t>
  </si>
  <si>
    <t>JEF 4.85 01/15/27</t>
  </si>
  <si>
    <t>US47233JAG31</t>
  </si>
  <si>
    <t>Diversified Financials</t>
  </si>
  <si>
    <t>18/12/2017</t>
  </si>
  <si>
    <t>PRGO 4.375 03/15/26</t>
  </si>
  <si>
    <t>US71429MAB19</t>
  </si>
  <si>
    <t>520037599</t>
  </si>
  <si>
    <t>Pharmaceuticals &amp; Biotechnology</t>
  </si>
  <si>
    <t>08/03/2016</t>
  </si>
  <si>
    <t>AHTLN 5.25 08/01/26</t>
  </si>
  <si>
    <t>US045054AH68</t>
  </si>
  <si>
    <t>Commercial &amp; Professional Services</t>
  </si>
  <si>
    <t>26/07/2018</t>
  </si>
  <si>
    <t>QVCN 4.45 02/15/25</t>
  </si>
  <si>
    <t>US747262AU78</t>
  </si>
  <si>
    <t>Capital Goods</t>
  </si>
  <si>
    <t>Ba2</t>
  </si>
  <si>
    <t>03/10/2018</t>
  </si>
  <si>
    <t>ARNDTN 5.375 03/21/29</t>
  </si>
  <si>
    <t>XS1964701822</t>
  </si>
  <si>
    <t>BBB+</t>
  </si>
  <si>
    <t>14/03/2019</t>
  </si>
  <si>
    <t>BBY 4.45 10/01/28</t>
  </si>
  <si>
    <t>US08652BAA70</t>
  </si>
  <si>
    <t>Retailing</t>
  </si>
  <si>
    <t>01/05/2019</t>
  </si>
  <si>
    <t>SQM 4.25% 05/07/29</t>
  </si>
  <si>
    <t>USP8718AAL00</t>
  </si>
  <si>
    <t>Materials</t>
  </si>
  <si>
    <t>Baa1</t>
  </si>
  <si>
    <t>22/05/2019</t>
  </si>
  <si>
    <t>VRSN 4.75 07/15/27</t>
  </si>
  <si>
    <t>US92343EAL65</t>
  </si>
  <si>
    <t>23/05/2019</t>
  </si>
  <si>
    <t>JNPR 3.75 08/15/29</t>
  </si>
  <si>
    <t>US48203RAM60</t>
  </si>
  <si>
    <t>Technology Hardware &amp; Equipment</t>
  </si>
  <si>
    <t>19/08/2019</t>
  </si>
  <si>
    <t>OC 3.95 08/15/29</t>
  </si>
  <si>
    <t>US690742AJ00</t>
  </si>
  <si>
    <t>29/08/2019</t>
  </si>
  <si>
    <t>CBAAU 3.61 09/12/34</t>
  </si>
  <si>
    <t>USQ2704MAA64</t>
  </si>
  <si>
    <t>05/09/2019</t>
  </si>
  <si>
    <t>CHTR 4.75 03/01/30</t>
  </si>
  <si>
    <t>US1248EPCD32</t>
  </si>
  <si>
    <t>Media</t>
  </si>
  <si>
    <t>18/09/2019</t>
  </si>
  <si>
    <t>FMEGR 3.75 06/15/29</t>
  </si>
  <si>
    <t>US35805BAA61</t>
  </si>
  <si>
    <t>Health Care Equipment &amp; Services</t>
  </si>
  <si>
    <t>02/10/2019</t>
  </si>
  <si>
    <t>NWG 3.754 11/01/29</t>
  </si>
  <si>
    <t>US780097BM20</t>
  </si>
  <si>
    <t>BB+</t>
  </si>
  <si>
    <t>13/11/2019</t>
  </si>
  <si>
    <t>HAS 3.9 11/19/29</t>
  </si>
  <si>
    <t>US418056AZ06</t>
  </si>
  <si>
    <t>06/01/2020</t>
  </si>
  <si>
    <t>AHTLN 4.25 11/01/29</t>
  </si>
  <si>
    <t>US045054AL70</t>
  </si>
  <si>
    <t>11/02/2020</t>
  </si>
  <si>
    <t>CTL 4 02/15/27</t>
  </si>
  <si>
    <t>US156700BC99</t>
  </si>
  <si>
    <t>Telecommunication Services</t>
  </si>
  <si>
    <t>Ba3</t>
  </si>
  <si>
    <t>13/02/2020</t>
  </si>
  <si>
    <t>BKNG 4.625 04/13/30</t>
  </si>
  <si>
    <t>US09857LAR96</t>
  </si>
  <si>
    <t>A3</t>
  </si>
  <si>
    <t>XIAOMI 3.375 04/29/30</t>
  </si>
  <si>
    <t>USY77108AA93</t>
  </si>
  <si>
    <t>PRU 5.7 09/15/48</t>
  </si>
  <si>
    <t>US744320BF81</t>
  </si>
  <si>
    <t>06/05/2020</t>
  </si>
  <si>
    <t>CNC 4.625 12/15/29</t>
  </si>
  <si>
    <t>US15135BAT89</t>
  </si>
  <si>
    <t>11/05/2020</t>
  </si>
  <si>
    <t>FLEX 3.75 02/01/26</t>
  </si>
  <si>
    <t>US33938XAC92</t>
  </si>
  <si>
    <t>CARR 2.722 02/15/30</t>
  </si>
  <si>
    <t>US14448CAA27</t>
  </si>
  <si>
    <t>MQGAU 3.624 06/03/30</t>
  </si>
  <si>
    <t>USQ568A9SQ14</t>
  </si>
  <si>
    <t>01/06/2020</t>
  </si>
  <si>
    <t>VMED 4.875 01/15/27</t>
  </si>
  <si>
    <t>XS1207459725</t>
  </si>
  <si>
    <t>02/08/2018</t>
  </si>
  <si>
    <t>VIVION 3.5 11/01/25</t>
  </si>
  <si>
    <t>XS2070311431</t>
  </si>
  <si>
    <t>25/10/2019</t>
  </si>
  <si>
    <t>SRENVX 5.75 08/15/50</t>
  </si>
  <si>
    <t>XS1261170515</t>
  </si>
  <si>
    <t>05/11/2015</t>
  </si>
  <si>
    <t>TRPCN 5.625 05/20/75</t>
  </si>
  <si>
    <t>US89356BAA61</t>
  </si>
  <si>
    <t>01/11/2016</t>
  </si>
  <si>
    <t>SSELN 4.75 09/16/77</t>
  </si>
  <si>
    <t>XS1572343744</t>
  </si>
  <si>
    <t>Utilities</t>
  </si>
  <si>
    <t>03/03/2017</t>
  </si>
  <si>
    <t>ENBCN 5.5 07/15/77</t>
  </si>
  <si>
    <t>US29250NAS45</t>
  </si>
  <si>
    <t>04/12/2017</t>
  </si>
  <si>
    <t>BIMBOA 5.95 PERP</t>
  </si>
  <si>
    <t>USP4949BAN49</t>
  </si>
  <si>
    <t>16/04/2018</t>
  </si>
  <si>
    <t>EPD 5.25 08/16/77</t>
  </si>
  <si>
    <t>US29379VBN29</t>
  </si>
  <si>
    <t> Energy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</si>
  <si>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</si>
  <si>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</si>
  <si>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</si>
  <si>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</si>
  <si>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</si>
  <si>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</si>
  <si>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</si>
  <si>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BPLN 4.375 PERP</t>
  </si>
  <si>
    <t>US05565QDU94</t>
  </si>
  <si>
    <t>17/06/2020</t>
  </si>
  <si>
    <t>CPIPGR 4.875 PERP</t>
  </si>
  <si>
    <t>XS1982704824</t>
  </si>
  <si>
    <t>AVLN 4.375 09/12/49</t>
  </si>
  <si>
    <t>XS1488459485</t>
  </si>
  <si>
    <t>06/09/2016</t>
  </si>
  <si>
    <t>CNALN 5.25 04/10/75</t>
  </si>
  <si>
    <t>XS1216019585</t>
  </si>
  <si>
    <t>20/02/2017</t>
  </si>
  <si>
    <t>SEB 5.125 Perp</t>
  </si>
  <si>
    <t>XS2076169668</t>
  </si>
  <si>
    <t>30/10/2019</t>
  </si>
  <si>
    <t>INTNED 6.75 PERP</t>
  </si>
  <si>
    <t>XS1956051145</t>
  </si>
  <si>
    <t>UBS 7 PERP</t>
  </si>
  <si>
    <t>US90352JAF03</t>
  </si>
  <si>
    <t>BB</t>
  </si>
  <si>
    <t>RABOBK 3.25 PERP</t>
  </si>
  <si>
    <t>XS2050933972</t>
  </si>
  <si>
    <t> Banks</t>
  </si>
  <si>
    <t>02/09/2019</t>
  </si>
  <si>
    <t>BBVASM 6 PERP Corp</t>
  </si>
  <si>
    <t>ES0813211010</t>
  </si>
  <si>
    <t>16/10/2019</t>
  </si>
  <si>
    <t>LBBW 4 Perp</t>
  </si>
  <si>
    <t>DE000LB2CPE5</t>
  </si>
  <si>
    <t>BACR 5.875 PERP</t>
  </si>
  <si>
    <t>XS1658012023</t>
  </si>
  <si>
    <t>B+</t>
  </si>
  <si>
    <t>03/08/2017</t>
  </si>
  <si>
    <t>NWIDE 5.75 PERP</t>
  </si>
  <si>
    <t>XS2113658202</t>
  </si>
  <si>
    <t>10/06/2020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</si>
  <si>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</si>
  <si>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</si>
  <si>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</si>
  <si>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</si>
  <si>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</si>
  <si>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</si>
  <si>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</si>
  <si>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</si>
  <si>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</si>
  <si>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</si>
  <si>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</si>
  <si>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513534974</t>
  </si>
  <si>
    <t>אג"ח</t>
  </si>
  <si>
    <t>תכלית קרן סל תלבונד 40</t>
  </si>
  <si>
    <t>1145093</t>
  </si>
  <si>
    <t>תכלית קרן סל תלבונד 60</t>
  </si>
  <si>
    <t>1145101</t>
  </si>
  <si>
    <t>קסם קרן סל תלבונד 20</t>
  </si>
  <si>
    <t>1145960</t>
  </si>
  <si>
    <t>510938608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</si>
  <si>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</si>
  <si>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</si>
  <si>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</si>
  <si>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</si>
  <si>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</si>
  <si>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</si>
  <si>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פסגות קרן סל תלבונד 20</t>
  </si>
  <si>
    <t>1147958</t>
  </si>
  <si>
    <t>513865626</t>
  </si>
  <si>
    <t>פסגות קרן סל תלבונד 40</t>
  </si>
  <si>
    <t>1147974</t>
  </si>
  <si>
    <t>פסגות קרן סל תלבונד 60</t>
  </si>
  <si>
    <t>1148006</t>
  </si>
  <si>
    <t>פסגות קרן סל תלבונד צמודות</t>
  </si>
  <si>
    <t>1148048</t>
  </si>
  <si>
    <t>הראל קרן סל תלבונד 20</t>
  </si>
  <si>
    <t>1150440</t>
  </si>
  <si>
    <t>513930768</t>
  </si>
  <si>
    <t>הראל קרן סל תלבונד 60</t>
  </si>
  <si>
    <t>1150473</t>
  </si>
  <si>
    <t>הראל קרן סל תלבונד צמודות</t>
  </si>
  <si>
    <t>1150606</t>
  </si>
  <si>
    <t>קסם ETF תל בונד צמודות-בנקים</t>
  </si>
  <si>
    <t>1146281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</si>
  <si>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</si>
  <si>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</si>
  <si>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</si>
  <si>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</si>
  <si>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</si>
  <si>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</si>
  <si>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</si>
  <si>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</si>
  <si>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</si>
  <si>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</si>
  <si>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סה"כ שעוקבות אחר מדדים אחרים בחו"ל</t>
  </si>
  <si>
    <t>סה"כ short</t>
  </si>
  <si>
    <t>סה"כ שעוקבות אחר מדדי מניות</t>
  </si>
  <si>
    <t>סה"כ שעוקבות אחר מדדים אחרים</t>
  </si>
  <si>
    <t>WIAU LN Equity</t>
  </si>
  <si>
    <t>IE00BDFJYP58</t>
  </si>
  <si>
    <t>LSE</t>
  </si>
  <si>
    <t>Bonds</t>
  </si>
  <si>
    <t>EMLB LN Equity</t>
  </si>
  <si>
    <t>IE00B4P11460</t>
  </si>
  <si>
    <t>EMDD LN Equity</t>
  </si>
  <si>
    <t>IE00B4613386</t>
  </si>
  <si>
    <t>IEML LN Equity</t>
  </si>
  <si>
    <t>IE00B5M4WH52</t>
  </si>
  <si>
    <t>IEMB LN Equity</t>
  </si>
  <si>
    <t>IE00B2NPKV68</t>
  </si>
  <si>
    <t>סה"כ אג"ח ממשלתי</t>
  </si>
  <si>
    <t>AVGHYIU LX Equity</t>
  </si>
  <si>
    <t>LU0367993663</t>
  </si>
  <si>
    <t>B-</t>
  </si>
  <si>
    <t>KKRGCOF KY Equity</t>
  </si>
  <si>
    <t>XD0445943018</t>
  </si>
  <si>
    <t>CGHYBMU LX Equity</t>
  </si>
  <si>
    <t>LU1189105080</t>
  </si>
  <si>
    <t>BBGHYIB LX Equity</t>
  </si>
  <si>
    <t>LU0549551462</t>
  </si>
  <si>
    <t>NIMEHYB LX Equity</t>
  </si>
  <si>
    <t>LU0141799097</t>
  </si>
  <si>
    <t>CSNGSMU LX Equity</t>
  </si>
  <si>
    <t>LU0635707705</t>
  </si>
  <si>
    <t>CIFCLF5 KY Equity</t>
  </si>
  <si>
    <t>KYG213931143</t>
  </si>
  <si>
    <t>ICESAEA ID Equity</t>
  </si>
  <si>
    <t>IE00BYXGJT42</t>
  </si>
  <si>
    <t>PIMEMBI ID Equity</t>
  </si>
  <si>
    <t>IE0030759645</t>
  </si>
  <si>
    <t>DEMDHCI LX Equity</t>
  </si>
  <si>
    <t>LU1204911488</t>
  </si>
  <si>
    <t>HSAHYXC LX Equity</t>
  </si>
  <si>
    <t>LU2065168523</t>
  </si>
  <si>
    <t>קרן כספית בחול דולר</t>
  </si>
  <si>
    <t>X9X9USD00D48</t>
  </si>
  <si>
    <t>2711006</t>
  </si>
  <si>
    <t>Aaa</t>
  </si>
  <si>
    <t>קרן כספית בחול שטרלינג</t>
  </si>
  <si>
    <t>X9X9GBP00L41</t>
  </si>
  <si>
    <t>AAA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</si>
  <si>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</si>
  <si>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</si>
  <si>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</si>
  <si>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</si>
  <si>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</si>
  <si>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</si>
  <si>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</si>
  <si>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09/2020 JPM WNU0 Comdty משתנה</t>
  </si>
  <si>
    <t>557000369</t>
  </si>
  <si>
    <t>Other</t>
  </si>
  <si>
    <t>09/2020 JPM WNU0 Comdty התחייבות</t>
  </si>
  <si>
    <t>557000370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</si>
  <si>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</si>
  <si>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</si>
  <si>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</si>
  <si>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</si>
  <si>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</si>
  <si>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</si>
  <si>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</si>
  <si>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</si>
  <si>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</si>
  <si>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</si>
  <si>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</si>
  <si>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</si>
  <si>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</si>
  <si>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</si>
  <si>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</si>
  <si>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</si>
  <si>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</si>
  <si>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</si>
  <si>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</si>
  <si>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</si>
  <si>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ב נשר</t>
  </si>
  <si>
    <t>1124759</t>
  </si>
  <si>
    <t>25/10/2011</t>
  </si>
  <si>
    <t>מנורה מבטחים אגח ג נשר</t>
  </si>
  <si>
    <t>1131911</t>
  </si>
  <si>
    <t>02/04/2014</t>
  </si>
  <si>
    <t>כ"ה מרכנתיל דיסקונט 25.01.2012</t>
  </si>
  <si>
    <t>999999527</t>
  </si>
  <si>
    <t>520029281</t>
  </si>
  <si>
    <t>25/01/2012</t>
  </si>
  <si>
    <t>עיריית רעננה אגח 1 רצף מוסדי</t>
  </si>
  <si>
    <t>1098698</t>
  </si>
  <si>
    <t>500287008</t>
  </si>
  <si>
    <t>20/07/2006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</si>
  <si>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</si>
  <si>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</si>
  <si>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</si>
  <si>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</si>
  <si>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</si>
  <si>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</si>
  <si>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סופרגז אגח א נשר</t>
  </si>
  <si>
    <t>1106822</t>
  </si>
  <si>
    <t>513938548</t>
  </si>
  <si>
    <t>02/07/2007</t>
  </si>
  <si>
    <t>חשמל צמוד 2022 רצף מוסדי</t>
  </si>
  <si>
    <t>6000129</t>
  </si>
  <si>
    <t>18/01/2011</t>
  </si>
  <si>
    <t>אגל"ס דרך ארץ נחות מזנין 2</t>
  </si>
  <si>
    <t>999999766</t>
  </si>
  <si>
    <t>512475203</t>
  </si>
  <si>
    <t>10/04/2011</t>
  </si>
  <si>
    <t>מקורות אגח 8 רצף מוסדי</t>
  </si>
  <si>
    <t>1124346</t>
  </si>
  <si>
    <t>19/07/2011</t>
  </si>
  <si>
    <t>אגל"ס דרך ארץ נחות מזנין 1</t>
  </si>
  <si>
    <t>90150100</t>
  </si>
  <si>
    <t>27/12/2011</t>
  </si>
  <si>
    <t>נתיבי גז אגח ג רצף מוסדי</t>
  </si>
  <si>
    <t>1125509</t>
  </si>
  <si>
    <t>03/01/2012</t>
  </si>
  <si>
    <t>מנורה מבטחים אגח ב רצף מוסדי</t>
  </si>
  <si>
    <t>5660055</t>
  </si>
  <si>
    <t>01/07/2010</t>
  </si>
  <si>
    <t>מימון ישיר אגח א רצף מוסדי</t>
  </si>
  <si>
    <t>1139740</t>
  </si>
  <si>
    <t>513893123</t>
  </si>
  <si>
    <t>שירותים פיננסיים</t>
  </si>
  <si>
    <t>25/02/2008</t>
  </si>
  <si>
    <t>מימון ישיר אגח 3 נשר</t>
  </si>
  <si>
    <t>1141381</t>
  </si>
  <si>
    <t>515630770</t>
  </si>
  <si>
    <t>06/07/2017</t>
  </si>
  <si>
    <t>עיריית רמלה נשר</t>
  </si>
  <si>
    <t>1094739</t>
  </si>
  <si>
    <t>513736512</t>
  </si>
  <si>
    <t>06/11/2005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</si>
  <si>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</si>
  <si>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</si>
  <si>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</si>
  <si>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</si>
  <si>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</si>
  <si>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</si>
  <si>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</si>
  <si>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חשמל</t>
  </si>
  <si>
    <t>02/03/2017</t>
  </si>
  <si>
    <t>רפאל אגח ה רצף מוסדי</t>
  </si>
  <si>
    <t>1140292</t>
  </si>
  <si>
    <t>נתיבים אגח א רצף מוסדי</t>
  </si>
  <si>
    <t>1090281</t>
  </si>
  <si>
    <t>513502229</t>
  </si>
  <si>
    <t>10/05/2004</t>
  </si>
  <si>
    <t>צים אגח ד רצף מוסדי</t>
  </si>
  <si>
    <t>6510069</t>
  </si>
  <si>
    <t>520015041</t>
  </si>
  <si>
    <t>17/07/2014</t>
  </si>
  <si>
    <t>אורמת אגח 2 רצף מוסדי</t>
  </si>
  <si>
    <t>1139161</t>
  </si>
  <si>
    <t>880326081</t>
  </si>
  <si>
    <t>קלינטק</t>
  </si>
  <si>
    <t>12/09/2016</t>
  </si>
  <si>
    <t>אורמת אגח 3 רצף מוסדי</t>
  </si>
  <si>
    <t>1139179</t>
  </si>
  <si>
    <t>סה"כ אג"ח קונצרני של חברות ישראליות</t>
  </si>
  <si>
    <t>סה"כ אג"ח קונצרני של חברות זרות</t>
  </si>
  <si>
    <t>צים הסדר 7.2014 מניה ל"ס</t>
  </si>
  <si>
    <t>207013519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</si>
  <si>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</si>
  <si>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</si>
  <si>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</si>
  <si>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</si>
  <si>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</si>
  <si>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</si>
  <si>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Blackstone Real Estate Partners IX</t>
  </si>
  <si>
    <t>89203</t>
  </si>
  <si>
    <t>25/09/2019</t>
  </si>
  <si>
    <t>Madison Realty Capital Debt Fund IV</t>
  </si>
  <si>
    <t>89185</t>
  </si>
  <si>
    <t>04/03/2019</t>
  </si>
  <si>
    <t>Torchlight Debt Opportunity Fund VI</t>
  </si>
  <si>
    <t>89195</t>
  </si>
  <si>
    <t>17/06/2019</t>
  </si>
  <si>
    <t>RevolverCap Partners Fund</t>
  </si>
  <si>
    <t>89210</t>
  </si>
  <si>
    <t>18/11/2019</t>
  </si>
  <si>
    <t>Madison Realty Capital Debt Fund V</t>
  </si>
  <si>
    <t>89227</t>
  </si>
  <si>
    <t>26/03/2020</t>
  </si>
  <si>
    <t>סה"כ כתבי אופציה בישראל:</t>
  </si>
  <si>
    <t>סה"כ כתבי אופציה בחו"ל</t>
  </si>
  <si>
    <t>סה"כ אופציות בישראל:</t>
  </si>
  <si>
    <t>₪ / מט"ח</t>
  </si>
  <si>
    <t>OPT Call USDILS 3.5 06/07/2020</t>
  </si>
  <si>
    <t>445113904</t>
  </si>
  <si>
    <t>08/01/2020</t>
  </si>
  <si>
    <t>OPT Put USDILS 3.4 06/07/2020</t>
  </si>
  <si>
    <t>445114352</t>
  </si>
  <si>
    <t>445114892</t>
  </si>
  <si>
    <t>09/01/2020</t>
  </si>
  <si>
    <t>445115116</t>
  </si>
  <si>
    <t>OPT Put USDILS 3.4 13/07/2020</t>
  </si>
  <si>
    <t>445117256</t>
  </si>
  <si>
    <t>14/01/2020</t>
  </si>
  <si>
    <t>OPT Call USDILS 3.5 13/07/2020</t>
  </si>
  <si>
    <t>445117356</t>
  </si>
  <si>
    <t>OPT Put USDILS 3.4 20/07/2020</t>
  </si>
  <si>
    <t>445118968</t>
  </si>
  <si>
    <t>20/01/2020</t>
  </si>
  <si>
    <t>OPT Call USDILS 3.5 20/07/2020</t>
  </si>
  <si>
    <t>445119018</t>
  </si>
  <si>
    <t>445119596</t>
  </si>
  <si>
    <t>22/01/2020</t>
  </si>
  <si>
    <t>OPT Put USDILS 3.3 20/07/2020</t>
  </si>
  <si>
    <t>445119710</t>
  </si>
  <si>
    <t>OPT Call USDILS 3.5 27/07/2020</t>
  </si>
  <si>
    <t>445120750</t>
  </si>
  <si>
    <t>27/01/2020</t>
  </si>
  <si>
    <t>OPT Put USDILS 3.4 27/07/2020</t>
  </si>
  <si>
    <t>445120896</t>
  </si>
  <si>
    <t>OPT Call USDILS 3.5 01/09/2020</t>
  </si>
  <si>
    <t>445125866</t>
  </si>
  <si>
    <t>04/03/2020</t>
  </si>
  <si>
    <t>OPT Put USDILS 3.4 01/09/2020</t>
  </si>
  <si>
    <t>445126090</t>
  </si>
  <si>
    <t>סה"כ מט"ח/ מט"ח</t>
  </si>
  <si>
    <t>סה"כ אופציות בחו"ל:</t>
  </si>
  <si>
    <t>סה"כ חוזים עתידיים בישראל</t>
  </si>
  <si>
    <t>סה"כ  אחר</t>
  </si>
  <si>
    <t>FW EURUSD 15/07/2020 - USD</t>
  </si>
  <si>
    <t>445125066</t>
  </si>
  <si>
    <t>FW EURUSD 15/07/2020 - EUR</t>
  </si>
  <si>
    <t>445125067</t>
  </si>
  <si>
    <t>445139522</t>
  </si>
  <si>
    <t>20/05/2020</t>
  </si>
  <si>
    <t>445139523</t>
  </si>
  <si>
    <t>445139550</t>
  </si>
  <si>
    <t>445139551</t>
  </si>
  <si>
    <t>445142818</t>
  </si>
  <si>
    <t>18/06/2020</t>
  </si>
  <si>
    <t>445142819</t>
  </si>
  <si>
    <t>FW USDILS 08/07/2020 - ILS</t>
  </si>
  <si>
    <t>445114016</t>
  </si>
  <si>
    <t>FW USDILS 08/07/2020 - USD</t>
  </si>
  <si>
    <t>445114017</t>
  </si>
  <si>
    <t>445115228</t>
  </si>
  <si>
    <t>445115229</t>
  </si>
  <si>
    <t>FW USDILS 15/07/2020 - ILS</t>
  </si>
  <si>
    <t>445117530</t>
  </si>
  <si>
    <t>FW USDILS 15/07/2020 - USD</t>
  </si>
  <si>
    <t>445117531</t>
  </si>
  <si>
    <t>FW USDILS 28/07/2020 - ILS</t>
  </si>
  <si>
    <t>445121770</t>
  </si>
  <si>
    <t>10/02/2020</t>
  </si>
  <si>
    <t>FW USDILS 28/07/2020 - USD</t>
  </si>
  <si>
    <t>445121771</t>
  </si>
  <si>
    <t>FW USDILS 04/11/2020 - ILS</t>
  </si>
  <si>
    <t>445135782</t>
  </si>
  <si>
    <t>20/04/2020</t>
  </si>
  <si>
    <t>FW USDILS 04/11/2020 - USD</t>
  </si>
  <si>
    <t>445135783</t>
  </si>
  <si>
    <t>445135956</t>
  </si>
  <si>
    <t>445135957</t>
  </si>
  <si>
    <t>445136236</t>
  </si>
  <si>
    <t>445136237</t>
  </si>
  <si>
    <t>FW USDILS 30/09/2020 - ILS</t>
  </si>
  <si>
    <t>445136296</t>
  </si>
  <si>
    <t>FW USDILS 30/09/2020 - USD</t>
  </si>
  <si>
    <t>445136297</t>
  </si>
  <si>
    <t>FW USDILS 20/10/2020 - ILS</t>
  </si>
  <si>
    <t>445136474</t>
  </si>
  <si>
    <t>23/04/2020</t>
  </si>
  <si>
    <t>FW USDILS 20/10/2020 - USD</t>
  </si>
  <si>
    <t>445136475</t>
  </si>
  <si>
    <t>445136816</t>
  </si>
  <si>
    <t>445136817</t>
  </si>
  <si>
    <t>FW USDILS 12/05/2021 - ILS</t>
  </si>
  <si>
    <t>445137902</t>
  </si>
  <si>
    <t>FW USDILS 12/05/2021 - USD</t>
  </si>
  <si>
    <t>445137903</t>
  </si>
  <si>
    <t>445138224</t>
  </si>
  <si>
    <t>07/05/2020</t>
  </si>
  <si>
    <t>445138225</t>
  </si>
  <si>
    <t>445143768</t>
  </si>
  <si>
    <t>445143769</t>
  </si>
  <si>
    <t>סה"כ חוזים עתידיים בחו"ל</t>
  </si>
  <si>
    <t>445116216</t>
  </si>
  <si>
    <t>13/01/2020</t>
  </si>
  <si>
    <t>445116217</t>
  </si>
  <si>
    <t>445119478</t>
  </si>
  <si>
    <t>445119479</t>
  </si>
  <si>
    <t>445121480</t>
  </si>
  <si>
    <t>04/02/2020</t>
  </si>
  <si>
    <t>445121481</t>
  </si>
  <si>
    <t>445123480</t>
  </si>
  <si>
    <t>24/02/2020</t>
  </si>
  <si>
    <t>445123481</t>
  </si>
  <si>
    <t>445124682</t>
  </si>
  <si>
    <t>03/03/2020</t>
  </si>
  <si>
    <t>445124683</t>
  </si>
  <si>
    <t>445126534</t>
  </si>
  <si>
    <t>05/03/2020</t>
  </si>
  <si>
    <t>445126535</t>
  </si>
  <si>
    <t>445126732</t>
  </si>
  <si>
    <t>06/03/2020</t>
  </si>
  <si>
    <t>445126733</t>
  </si>
  <si>
    <t>445127314</t>
  </si>
  <si>
    <t>445127315</t>
  </si>
  <si>
    <t>445127664</t>
  </si>
  <si>
    <t>445127665</t>
  </si>
  <si>
    <t>445128174</t>
  </si>
  <si>
    <t>12/03/2020</t>
  </si>
  <si>
    <t>445128175</t>
  </si>
  <si>
    <t>FW GBPUSD 02/09/2020 - USD</t>
  </si>
  <si>
    <t>445132718</t>
  </si>
  <si>
    <t>30/03/2020</t>
  </si>
  <si>
    <t>FW GBPUSD 02/09/2020 - GBP</t>
  </si>
  <si>
    <t>445132719</t>
  </si>
  <si>
    <t>445132754</t>
  </si>
  <si>
    <t>445132755</t>
  </si>
  <si>
    <t>445140234</t>
  </si>
  <si>
    <t>25/05/2020</t>
  </si>
  <si>
    <t>445140235</t>
  </si>
  <si>
    <t>445141918</t>
  </si>
  <si>
    <t>445141919</t>
  </si>
  <si>
    <t>445142068</t>
  </si>
  <si>
    <t>11/06/2020</t>
  </si>
  <si>
    <t>445142069</t>
  </si>
  <si>
    <t>445142616</t>
  </si>
  <si>
    <t>15/06/2020</t>
  </si>
  <si>
    <t>445142617</t>
  </si>
  <si>
    <t>445142826</t>
  </si>
  <si>
    <t>445142827</t>
  </si>
  <si>
    <t>445143478</t>
  </si>
  <si>
    <t>24/06/2020</t>
  </si>
  <si>
    <t>445143479</t>
  </si>
  <si>
    <t>445143604</t>
  </si>
  <si>
    <t>25/06/2020</t>
  </si>
  <si>
    <t>445143605</t>
  </si>
  <si>
    <t>445143672</t>
  </si>
  <si>
    <t>29/06/2020</t>
  </si>
  <si>
    <t>445143673</t>
  </si>
  <si>
    <t>Fixed Income Swap IBOXIG Index - Equity Leg</t>
  </si>
  <si>
    <t>444000124</t>
  </si>
  <si>
    <t>Fixed Income Swap IBOXIG Index - Libor Leg</t>
  </si>
  <si>
    <t>444000125</t>
  </si>
  <si>
    <t>444000128</t>
  </si>
  <si>
    <t>20/03/2020</t>
  </si>
  <si>
    <t>444000129</t>
  </si>
  <si>
    <t>Fixed Income Swap IBOXHY Index - Equity Leg</t>
  </si>
  <si>
    <t>444000130</t>
  </si>
  <si>
    <t>Fixed Income Swap IBOXHY Index - Libor Leg</t>
  </si>
  <si>
    <t>444000131</t>
  </si>
  <si>
    <t>444000146</t>
  </si>
  <si>
    <t>14/05/2020</t>
  </si>
  <si>
    <t>444000147</t>
  </si>
  <si>
    <t>סה"כ כנגד חסכון עמיתים/מבוטחים</t>
  </si>
  <si>
    <t>הלווואות לעמיתים - חוז תנועות - כללי</t>
  </si>
  <si>
    <t>333416112</t>
  </si>
  <si>
    <t>פנימי</t>
  </si>
  <si>
    <t>סה"כ מובטחות במשכנתא או תיקי משכנתאות</t>
  </si>
  <si>
    <t>סה"כ מובטחות בערבות בנקאית</t>
  </si>
  <si>
    <t>סה"כ מובטחות בבטחונות אחרים</t>
  </si>
  <si>
    <t>כן</t>
  </si>
  <si>
    <t>20701426</t>
  </si>
  <si>
    <t>514566009</t>
  </si>
  <si>
    <t>01/10/2015</t>
  </si>
  <si>
    <t>20701503</t>
  </si>
  <si>
    <t>18/11/2015</t>
  </si>
  <si>
    <t>2070208</t>
  </si>
  <si>
    <t>24/08/2016</t>
  </si>
  <si>
    <t>2070209</t>
  </si>
  <si>
    <t>2070218</t>
  </si>
  <si>
    <t>26/10/2016</t>
  </si>
  <si>
    <t>2070219</t>
  </si>
  <si>
    <t>2070243</t>
  </si>
  <si>
    <t>14/12/2016</t>
  </si>
  <si>
    <t>2070244</t>
  </si>
  <si>
    <t>2070278</t>
  </si>
  <si>
    <t>14/06/2017</t>
  </si>
  <si>
    <t>2070279</t>
  </si>
  <si>
    <t>2070287</t>
  </si>
  <si>
    <t>02/08/2017</t>
  </si>
  <si>
    <t>רשויות מקומיות</t>
  </si>
  <si>
    <t>2070288</t>
  </si>
  <si>
    <t>2080184</t>
  </si>
  <si>
    <t>515642528</t>
  </si>
  <si>
    <t>2080198</t>
  </si>
  <si>
    <t>500250006</t>
  </si>
  <si>
    <t>26/11/2017</t>
  </si>
  <si>
    <t>2080202</t>
  </si>
  <si>
    <t>06/12/2017</t>
  </si>
  <si>
    <t>2080203</t>
  </si>
  <si>
    <t>2080210</t>
  </si>
  <si>
    <t>20/12/2017</t>
  </si>
  <si>
    <t>2080218</t>
  </si>
  <si>
    <t>23/01/2018</t>
  </si>
  <si>
    <t>2080269</t>
  </si>
  <si>
    <t>18/03/2018</t>
  </si>
  <si>
    <t>2080272</t>
  </si>
  <si>
    <t>14/06/2018</t>
  </si>
  <si>
    <t>2080274</t>
  </si>
  <si>
    <t>11/07/2018</t>
  </si>
  <si>
    <t>2080273</t>
  </si>
  <si>
    <t>2080288</t>
  </si>
  <si>
    <t>21/08/2018</t>
  </si>
  <si>
    <t>2080303</t>
  </si>
  <si>
    <t>04/10/2018</t>
  </si>
  <si>
    <t>2080308</t>
  </si>
  <si>
    <t>2080326</t>
  </si>
  <si>
    <t>17/12/2018</t>
  </si>
  <si>
    <t>2080340</t>
  </si>
  <si>
    <t>20/01/2019</t>
  </si>
  <si>
    <t>2080349</t>
  </si>
  <si>
    <t>19/02/2019</t>
  </si>
  <si>
    <t>2080355</t>
  </si>
  <si>
    <t>20/03/2019</t>
  </si>
  <si>
    <t>2080356</t>
  </si>
  <si>
    <t>30/04/2019</t>
  </si>
  <si>
    <t>2080357</t>
  </si>
  <si>
    <t>2080358</t>
  </si>
  <si>
    <t>2080359</t>
  </si>
  <si>
    <t>28/07/2019</t>
  </si>
  <si>
    <t>2080360</t>
  </si>
  <si>
    <t>2080404</t>
  </si>
  <si>
    <t>26/09/2019</t>
  </si>
  <si>
    <t>2080405</t>
  </si>
  <si>
    <t>20/11/2019</t>
  </si>
  <si>
    <t>2080413</t>
  </si>
  <si>
    <t>23/12/2019</t>
  </si>
  <si>
    <t>2080415</t>
  </si>
  <si>
    <t>21/01/2020</t>
  </si>
  <si>
    <t>2080416</t>
  </si>
  <si>
    <t>22/03/2020</t>
  </si>
  <si>
    <t>2080419</t>
  </si>
  <si>
    <t>2080423</t>
  </si>
  <si>
    <t>999999813</t>
  </si>
  <si>
    <t>512194168</t>
  </si>
  <si>
    <t>A</t>
  </si>
  <si>
    <t>05/10/2011</t>
  </si>
  <si>
    <t>נדל"ן מניב</t>
  </si>
  <si>
    <t>999999869</t>
  </si>
  <si>
    <t>513184192</t>
  </si>
  <si>
    <t>30/09/2007</t>
  </si>
  <si>
    <t>207013300</t>
  </si>
  <si>
    <t>514389618</t>
  </si>
  <si>
    <t>11/02/2013</t>
  </si>
  <si>
    <t>207013301</t>
  </si>
  <si>
    <t>514389444</t>
  </si>
  <si>
    <t>207013302</t>
  </si>
  <si>
    <t>18/03/2013</t>
  </si>
  <si>
    <t>207013304</t>
  </si>
  <si>
    <t>24/04/2013</t>
  </si>
  <si>
    <t>207013305</t>
  </si>
  <si>
    <t>25/04/2013</t>
  </si>
  <si>
    <t>207013310</t>
  </si>
  <si>
    <t>03/06/2013</t>
  </si>
  <si>
    <t>207013303</t>
  </si>
  <si>
    <t>550242382</t>
  </si>
  <si>
    <t>17/06/2013</t>
  </si>
  <si>
    <t>207013318</t>
  </si>
  <si>
    <t>513245225</t>
  </si>
  <si>
    <t>17/04/2011</t>
  </si>
  <si>
    <t>207013319</t>
  </si>
  <si>
    <t>27/07/2011</t>
  </si>
  <si>
    <t>207013320</t>
  </si>
  <si>
    <t>15/01/2012</t>
  </si>
  <si>
    <t>207013321</t>
  </si>
  <si>
    <t>30/01/2012</t>
  </si>
  <si>
    <t>207013317</t>
  </si>
  <si>
    <t>02/02/2011</t>
  </si>
  <si>
    <t>207013323</t>
  </si>
  <si>
    <t>207013324</t>
  </si>
  <si>
    <t>25/06/2013</t>
  </si>
  <si>
    <t>207013322</t>
  </si>
  <si>
    <t>207013325</t>
  </si>
  <si>
    <t>03/07/2013</t>
  </si>
  <si>
    <t>207013327</t>
  </si>
  <si>
    <t>26/08/2013</t>
  </si>
  <si>
    <t>207013328</t>
  </si>
  <si>
    <t>514255678</t>
  </si>
  <si>
    <t>207013348</t>
  </si>
  <si>
    <t>08/10/2013</t>
  </si>
  <si>
    <t>207013391</t>
  </si>
  <si>
    <t>17/10/2013</t>
  </si>
  <si>
    <t>207013392</t>
  </si>
  <si>
    <t>207013393</t>
  </si>
  <si>
    <t>20/10/2013</t>
  </si>
  <si>
    <t>207013394</t>
  </si>
  <si>
    <t>207013398</t>
  </si>
  <si>
    <t>513326439</t>
  </si>
  <si>
    <t>24/10/2013</t>
  </si>
  <si>
    <t>207013401</t>
  </si>
  <si>
    <t>207013423</t>
  </si>
  <si>
    <t>27/01/2011</t>
  </si>
  <si>
    <t>207013424</t>
  </si>
  <si>
    <t>17/11/2013</t>
  </si>
  <si>
    <t>207013425</t>
  </si>
  <si>
    <t>207013426</t>
  </si>
  <si>
    <t>207013427</t>
  </si>
  <si>
    <t>207013428</t>
  </si>
  <si>
    <t>207013429</t>
  </si>
  <si>
    <t>207013430</t>
  </si>
  <si>
    <t>207013431</t>
  </si>
  <si>
    <t>207013432</t>
  </si>
  <si>
    <t>207013433</t>
  </si>
  <si>
    <t>207013434</t>
  </si>
  <si>
    <t>207013435</t>
  </si>
  <si>
    <t>207013436</t>
  </si>
  <si>
    <t>207013437</t>
  </si>
  <si>
    <t>207013438</t>
  </si>
  <si>
    <t>207013439</t>
  </si>
  <si>
    <t>207013440</t>
  </si>
  <si>
    <t>207013441</t>
  </si>
  <si>
    <t>207013442</t>
  </si>
  <si>
    <t>207013443</t>
  </si>
  <si>
    <t>207013445</t>
  </si>
  <si>
    <t>26/11/2013</t>
  </si>
  <si>
    <t>207013457</t>
  </si>
  <si>
    <t>22/12/2013</t>
  </si>
  <si>
    <t>207013351</t>
  </si>
  <si>
    <t>27/01/2014</t>
  </si>
  <si>
    <t>207013478</t>
  </si>
  <si>
    <t>26/02/2014</t>
  </si>
  <si>
    <t>207013492</t>
  </si>
  <si>
    <t>27/03/2014</t>
  </si>
  <si>
    <t>207013502</t>
  </si>
  <si>
    <t>520038902</t>
  </si>
  <si>
    <t>A-</t>
  </si>
  <si>
    <t>13/04/2014</t>
  </si>
  <si>
    <t>207013507</t>
  </si>
  <si>
    <t>28/05/2014</t>
  </si>
  <si>
    <t>207013511</t>
  </si>
  <si>
    <t>25/06/2014</t>
  </si>
  <si>
    <t>207013513</t>
  </si>
  <si>
    <t>513862649</t>
  </si>
  <si>
    <t>31/12/2016</t>
  </si>
  <si>
    <t>207013517</t>
  </si>
  <si>
    <t>16/07/2014</t>
  </si>
  <si>
    <t>207013518</t>
  </si>
  <si>
    <t>207013520</t>
  </si>
  <si>
    <t>207013526</t>
  </si>
  <si>
    <t>207013530</t>
  </si>
  <si>
    <t>29/09/2014</t>
  </si>
  <si>
    <t>207013546</t>
  </si>
  <si>
    <t>511590275</t>
  </si>
  <si>
    <t>17/12/2014</t>
  </si>
  <si>
    <t>20701375</t>
  </si>
  <si>
    <t>11/01/2015</t>
  </si>
  <si>
    <t>20701379</t>
  </si>
  <si>
    <t>29/01/2015</t>
  </si>
  <si>
    <t>20701381</t>
  </si>
  <si>
    <t>510791270</t>
  </si>
  <si>
    <t>01/02/2015</t>
  </si>
  <si>
    <t>20701382</t>
  </si>
  <si>
    <t>550225650</t>
  </si>
  <si>
    <t>20701383</t>
  </si>
  <si>
    <t>19/02/2015</t>
  </si>
  <si>
    <t>20701386</t>
  </si>
  <si>
    <t>513933598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</si>
  <si>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</si>
  <si>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</si>
  <si>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</si>
  <si>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</si>
  <si>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</si>
  <si>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</si>
  <si>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</si>
  <si>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</si>
  <si>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</si>
  <si>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</si>
  <si>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</si>
  <si>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</si>
  <si>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</si>
  <si>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20701407</t>
  </si>
  <si>
    <t>20701411</t>
  </si>
  <si>
    <t>20701409</t>
  </si>
  <si>
    <t>11/06/2015</t>
  </si>
  <si>
    <t>2070150</t>
  </si>
  <si>
    <t>514116359</t>
  </si>
  <si>
    <t>26/08/2015</t>
  </si>
  <si>
    <t>20701429</t>
  </si>
  <si>
    <t>20701430</t>
  </si>
  <si>
    <t>10/09/2015</t>
  </si>
  <si>
    <t>2070153</t>
  </si>
  <si>
    <t>17/09/2015</t>
  </si>
  <si>
    <t>2070162</t>
  </si>
  <si>
    <t>2070169</t>
  </si>
  <si>
    <t>23/12/2015</t>
  </si>
  <si>
    <t>2070170</t>
  </si>
  <si>
    <t>2070177</t>
  </si>
  <si>
    <t>514357060</t>
  </si>
  <si>
    <t>01/02/2016</t>
  </si>
  <si>
    <t>2070181</t>
  </si>
  <si>
    <t>2070198</t>
  </si>
  <si>
    <t>2070200</t>
  </si>
  <si>
    <t>12/07/2016</t>
  </si>
  <si>
    <t>2070207</t>
  </si>
  <si>
    <t>2070212</t>
  </si>
  <si>
    <t>8261018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</si>
  <si>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</si>
  <si>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</si>
  <si>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</si>
  <si>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</si>
  <si>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</si>
  <si>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</si>
  <si>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</si>
  <si>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</si>
  <si>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</si>
  <si>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</si>
  <si>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</si>
  <si>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</si>
  <si>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</si>
  <si>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</si>
  <si>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</si>
  <si>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</si>
  <si>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</si>
  <si>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</si>
  <si>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</si>
  <si>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</si>
  <si>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</si>
  <si>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</si>
  <si>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</si>
  <si>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</si>
  <si>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</si>
  <si>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</si>
  <si>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</si>
  <si>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</si>
  <si>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</si>
  <si>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</si>
  <si>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</si>
  <si>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</si>
  <si>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</si>
  <si>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</si>
  <si>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</si>
  <si>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</si>
  <si>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</si>
  <si>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</si>
  <si>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</si>
  <si>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2070239</t>
  </si>
  <si>
    <t>20702591</t>
  </si>
  <si>
    <t>513568139</t>
  </si>
  <si>
    <t>06/02/2017</t>
  </si>
  <si>
    <t>20702601</t>
  </si>
  <si>
    <t>550242051</t>
  </si>
  <si>
    <t>20702399</t>
  </si>
  <si>
    <t>09/03/2017</t>
  </si>
  <si>
    <t>20702400</t>
  </si>
  <si>
    <t>2070286</t>
  </si>
  <si>
    <t>2070290</t>
  </si>
  <si>
    <t>512732140</t>
  </si>
  <si>
    <t>16/08/2017</t>
  </si>
  <si>
    <t>2070291</t>
  </si>
  <si>
    <t>512728932</t>
  </si>
  <si>
    <t>השקעות ואחזקות</t>
  </si>
  <si>
    <t>2070295</t>
  </si>
  <si>
    <t>04/09/2017</t>
  </si>
  <si>
    <t>2070296</t>
  </si>
  <si>
    <t>20702401</t>
  </si>
  <si>
    <t>11/09/2017</t>
  </si>
  <si>
    <t>2080206</t>
  </si>
  <si>
    <t>2080232</t>
  </si>
  <si>
    <t>12/03/2018</t>
  </si>
  <si>
    <t>2080241</t>
  </si>
  <si>
    <t>08/06/2020</t>
  </si>
  <si>
    <t>2080240</t>
  </si>
  <si>
    <t>29/08/2018</t>
  </si>
  <si>
    <t>90113001</t>
  </si>
  <si>
    <t>514961853</t>
  </si>
  <si>
    <t>2080396</t>
  </si>
  <si>
    <t>512542721</t>
  </si>
  <si>
    <t>29/07/2019</t>
  </si>
  <si>
    <t>2080397</t>
  </si>
  <si>
    <t>20803912</t>
  </si>
  <si>
    <t>514652312</t>
  </si>
  <si>
    <t>17/12/2019</t>
  </si>
  <si>
    <t>20701413</t>
  </si>
  <si>
    <t>22/06/2015</t>
  </si>
  <si>
    <t>20701419</t>
  </si>
  <si>
    <t>513838326</t>
  </si>
  <si>
    <t>17/08/2015</t>
  </si>
  <si>
    <t>20701427</t>
  </si>
  <si>
    <t>25/10/2015</t>
  </si>
  <si>
    <t>2070210</t>
  </si>
  <si>
    <t>2070220</t>
  </si>
  <si>
    <t>2070245</t>
  </si>
  <si>
    <t>2070280</t>
  </si>
  <si>
    <t>2080204</t>
  </si>
  <si>
    <t>207013246</t>
  </si>
  <si>
    <t>20/02/2013</t>
  </si>
  <si>
    <t>2080279</t>
  </si>
  <si>
    <t>2080281</t>
  </si>
  <si>
    <t>514700608</t>
  </si>
  <si>
    <t>20/07/2018</t>
  </si>
  <si>
    <t>2080342</t>
  </si>
  <si>
    <t>2080392</t>
  </si>
  <si>
    <t>2080480</t>
  </si>
  <si>
    <t>2080481</t>
  </si>
  <si>
    <t>28/04/2020</t>
  </si>
  <si>
    <t>2080482</t>
  </si>
  <si>
    <t>99999844</t>
  </si>
  <si>
    <t>20/05/2012</t>
  </si>
  <si>
    <t>99999845</t>
  </si>
  <si>
    <t>2080277</t>
  </si>
  <si>
    <t>25/06/2018</t>
  </si>
  <si>
    <t>999999657</t>
  </si>
  <si>
    <t>30/06/2016</t>
  </si>
  <si>
    <t>999999659</t>
  </si>
  <si>
    <t>99999965</t>
  </si>
  <si>
    <t>13/09/2016</t>
  </si>
  <si>
    <t>999999663</t>
  </si>
  <si>
    <t>2080075</t>
  </si>
  <si>
    <t>18/05/2017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</si>
  <si>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</si>
  <si>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</si>
  <si>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</si>
  <si>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</si>
  <si>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</si>
  <si>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</si>
  <si>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999999529</t>
  </si>
  <si>
    <t>02/04/2012</t>
  </si>
  <si>
    <t>2060150</t>
  </si>
  <si>
    <t>512705153</t>
  </si>
  <si>
    <t>06/03/2013</t>
  </si>
  <si>
    <t>2070231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</si>
  <si>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</si>
  <si>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</si>
  <si>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</si>
  <si>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</si>
  <si>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</si>
  <si>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</si>
  <si>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</si>
  <si>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אמפל אמריקן אג"ח ב' חש 1/12</t>
  </si>
  <si>
    <t>1125624</t>
  </si>
  <si>
    <t>אמפל אמריקן אג"ח ב' חש 1/13</t>
  </si>
  <si>
    <t>1127679</t>
  </si>
  <si>
    <t>אמפל אמריקן אג"ח ב' חש 1/14</t>
  </si>
  <si>
    <t>1131184</t>
  </si>
  <si>
    <t>אמפל אמריקן אג"ח ב' חש 2/15</t>
  </si>
  <si>
    <t>1134394</t>
  </si>
  <si>
    <t>אמפל אגח א (הפך סחיר 11008330) - חש</t>
  </si>
  <si>
    <t>1100833</t>
  </si>
  <si>
    <t>אמפל אגח ב - חש</t>
  </si>
  <si>
    <t>1110378</t>
  </si>
  <si>
    <t>אגל"ס אלון חברה לדלק 22.01.07 עמיתים הפחתת שווי-חש</t>
  </si>
  <si>
    <t>20701423</t>
  </si>
  <si>
    <t>טאו אגח להמרה סד ב - חש</t>
  </si>
  <si>
    <t>6370068</t>
  </si>
  <si>
    <t>סקורפיו א לאחר הסדר חוב - חש</t>
  </si>
  <si>
    <t>11133988</t>
  </si>
  <si>
    <t>קרדן אן.וי אג"ח ב חש 02.2018</t>
  </si>
  <si>
    <t>1143270</t>
  </si>
  <si>
    <t>יורוקום הלוואה ב 12.2014</t>
  </si>
  <si>
    <t>20701371</t>
  </si>
  <si>
    <t>יורוקום הלוואה ג 12.2014</t>
  </si>
  <si>
    <t>20701372</t>
  </si>
  <si>
    <t>צים אגח A 1 רצף מוסדי - החל מ- 09.2016 - חש</t>
  </si>
  <si>
    <t>65100444</t>
  </si>
  <si>
    <t>חייבים זכאים תפעולי</t>
  </si>
  <si>
    <t>60101335</t>
  </si>
  <si>
    <t>שקל  דיסקונט בנק דיסקונט לישראל בע"מ</t>
  </si>
  <si>
    <t>שקל  הפועלים בנק הפועלים בע"מ</t>
  </si>
  <si>
    <t>אירו  הפועלים בנק הפועלים בע"מ</t>
  </si>
  <si>
    <t>דולר  הפועלים בנק הפועלים בע"מ</t>
  </si>
  <si>
    <t>דולר  הפועלים עדכון ידני בנק הפועלים בע"מ</t>
  </si>
  <si>
    <t>Margin Future  JPM USD JPM</t>
  </si>
  <si>
    <t>שקל  דיסקונט עדכון ידני בנק דיסקונט לישראל בע"מ</t>
  </si>
  <si>
    <t>שקל  הפועלים עדכון ידני בנק הפועלים בע"מ</t>
  </si>
  <si>
    <t>שקל  מזרחי בנק מזרחי טפחות בע"מ</t>
  </si>
  <si>
    <t>שקל  מרכנטיל דיסקונט בנק מרכנתיל דיסקונט בע"מ</t>
  </si>
  <si>
    <t>דולר  דיסקונט בנק דיסקונט לישראל בע"מ</t>
  </si>
  <si>
    <t>אירו  BNY Bny Mellon</t>
  </si>
  <si>
    <t>שטרלינג  BNY Bny Mellon</t>
  </si>
  <si>
    <t>שטרלינג  BNY עדכון ידני Bny Mellon</t>
  </si>
  <si>
    <t>דולר  BNY Bny Mellon</t>
  </si>
  <si>
    <t>דולר  BNY עדכון ידני Bny Mellon</t>
  </si>
  <si>
    <t>דולר עתידי  BNY Bny Mellon</t>
  </si>
  <si>
    <t>Margin FW  BNY USD Bny Mellon</t>
  </si>
  <si>
    <t>שקל  פועלים בנק הפועלים בע"מ</t>
  </si>
  <si>
    <t>שקל  לאומי בנק לאומי לישראל בע"מ</t>
  </si>
  <si>
    <t>שקל  לאומי עדכון ידני בנק לאומי לישראל בע"מ</t>
  </si>
  <si>
    <t>שקל  יו בנק הבנק הבינלאומי הראשון לישראל בע"מ</t>
  </si>
  <si>
    <t>אירו  דיסקונט בנק דיסקונט לישראל בע"מ</t>
  </si>
  <si>
    <t>דולר  דיסוקנט בנק דיסקונט לישראל בע"מ</t>
  </si>
  <si>
    <t>דולר  לאומי בנק לאומי לישראל בע"מ</t>
  </si>
  <si>
    <t>דולר  מזרחי בנק מזרחי טפחות בע"מ</t>
  </si>
  <si>
    <t>Margin FW  Leumi USD בנק לאומי לישראל בע"מ</t>
  </si>
  <si>
    <t>Margin FW  JPM USD JPM</t>
  </si>
  <si>
    <t>*בעל עניין/צד קשור</t>
  </si>
  <si>
    <t>סה"כ יתרות התחייבות להשקעה</t>
  </si>
  <si>
    <t>מסגרת אגירה שאובה PSP</t>
  </si>
  <si>
    <t>מסגרת לויתן</t>
  </si>
  <si>
    <t>מסגרת רד דיזיין</t>
  </si>
  <si>
    <t>מסגרת מתקן התפלה חדרה דולר 2012</t>
  </si>
  <si>
    <t>2036</t>
  </si>
  <si>
    <t>מסגרת מתקן התפלה חדרה יורו</t>
  </si>
  <si>
    <t>Commitment RevolverCap Partners Fund</t>
  </si>
  <si>
    <t>2026</t>
  </si>
  <si>
    <t>Mdison Realty Capital  Fund IV Commitment</t>
  </si>
  <si>
    <t>2025</t>
  </si>
  <si>
    <t>Commitment  Blackstone Real Estate Partners IX</t>
  </si>
  <si>
    <t>2029</t>
  </si>
  <si>
    <t>Commitment Madison Realty Capital Debt Fund V</t>
  </si>
  <si>
    <t>2030</t>
  </si>
  <si>
    <t>יין יפני</t>
  </si>
  <si>
    <t>הלוואה לגורם 125</t>
  </si>
  <si>
    <t>הלוואה לגורם 113</t>
  </si>
  <si>
    <t>הלוואה לגורם 150</t>
  </si>
  <si>
    <t>הלוואה לגורם 37</t>
  </si>
  <si>
    <t>הלוואה לגורם 77</t>
  </si>
  <si>
    <t>הלוואה לגורם 75</t>
  </si>
  <si>
    <t>הלוואה לגורם 96</t>
  </si>
  <si>
    <t>הלוואה לגורם 76</t>
  </si>
  <si>
    <t>הלוואה לגורם 36</t>
  </si>
  <si>
    <t>הלוואה לגורם 41</t>
  </si>
  <si>
    <t>הלוואה לגורם 45</t>
  </si>
  <si>
    <t>הלוואה לגורם 54</t>
  </si>
  <si>
    <t>הלוואה לגורם 92</t>
  </si>
  <si>
    <t>הלוואה לגורם 100</t>
  </si>
  <si>
    <t>הלוואה לגורם 83</t>
  </si>
  <si>
    <t>הלוואה לגורם 126</t>
  </si>
  <si>
    <t>הלוואה לגורם 116</t>
  </si>
  <si>
    <t>הלוואה לגורם 117</t>
  </si>
  <si>
    <t>הלוואה לגורם 81</t>
  </si>
  <si>
    <t>הלוואה לגורם 99</t>
  </si>
  <si>
    <t>הלוואה לגורם 91</t>
  </si>
  <si>
    <t>הלוואה לגורם 42</t>
  </si>
  <si>
    <t>הלוואה לגורם 94</t>
  </si>
  <si>
    <t>הלוואה לגורם 84</t>
  </si>
  <si>
    <t>הלוואה לגורם 119</t>
  </si>
  <si>
    <t>הלוואה לגורם 93</t>
  </si>
  <si>
    <t>הלוואה לגורם 101</t>
  </si>
  <si>
    <t>הלוואה לגורם 120</t>
  </si>
  <si>
    <t>הלוואה לגורם 97</t>
  </si>
  <si>
    <t>הלוואה לגורם 107</t>
  </si>
  <si>
    <t>הלוואה לגורם 123</t>
  </si>
  <si>
    <t>הלוואה לגורם 53</t>
  </si>
  <si>
    <t>הלוואה לגורם 46</t>
  </si>
  <si>
    <t>הלוואה לגורם 70</t>
  </si>
  <si>
    <t>הלוואה לגורם 112</t>
  </si>
  <si>
    <t>עמודה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</si>
</sst>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 * #,##0_ ;_ * \-#,##0_ ;_ * &quot;-&quot;??_ ;_ @_ "/>
    <numFmt numFmtId="166" formatCode="0.0"/>
    <numFmt numFmtId="167" formatCode="0.000"/>
    <numFmt numFmtId="168" formatCode="#,##0_ ;\-#,##0\ "/>
    <numFmt numFmtId="169" formatCode="#,##0.00_ ;\-#,##0.00\ "/>
  </numFmts>
  <fonts count="12" x14ac:knownFonts="1">
    <font>
      <sz val="10"/>
      <name val="Arial"/>
      <family val="2"/>
      <charset val="177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  <charset val="177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NumberFormat="0" applyFill="0" applyBorder="0">
      <protection locked="0"/>
    </xf>
  </cellStyleXfs>
  <cellXfs count="262">
    <xf numFmtId="0" fontId="0" fillId="0" borderId="0" xfId="0"/>
    <xf numFmtId="0" fontId="6" fillId="2" borderId="28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 readingOrder="2"/>
    </xf>
    <xf numFmtId="0" fontId="6" fillId="2" borderId="23" xfId="0" applyFont="1" applyFill="1" applyBorder="1" applyAlignment="1">
      <alignment horizontal="center" readingOrder="2"/>
    </xf>
    <xf numFmtId="0" fontId="6" fillId="2" borderId="22" xfId="0" applyFont="1" applyFill="1" applyBorder="1" applyAlignment="1">
      <alignment horizontal="center" readingOrder="2"/>
    </xf>
    <xf numFmtId="0" fontId="6" fillId="2" borderId="24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right"/>
    </xf>
    <xf numFmtId="10" fontId="0" fillId="3" borderId="0" xfId="1" applyNumberFormat="1" applyFill="1"/>
    <xf numFmtId="2" fontId="0" fillId="3" borderId="0" xfId="0" applyNumberFormat="1" applyFill="1"/>
    <xf numFmtId="164" fontId="0" fillId="3" borderId="0" xfId="1" applyNumberFormat="1" applyFill="1"/>
    <xf numFmtId="166" fontId="0" fillId="3" borderId="0" xfId="0" applyNumberFormat="1" applyFill="1"/>
    <xf numFmtId="165" fontId="0" fillId="3" borderId="0" xfId="2" applyNumberFormat="1" applyFill="1"/>
    <xf numFmtId="0" fontId="0" fillId="3" borderId="0" xfId="0" applyFill="1" applyAlignment="1">
      <alignment horizontal="center" vertical="center" wrapText="1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ill="1" applyBorder="1"/>
    <xf numFmtId="166" fontId="0" fillId="3" borderId="0" xfId="1" applyNumberFormat="1" applyFill="1"/>
    <xf numFmtId="166" fontId="0" fillId="3" borderId="0" xfId="2" applyNumberFormat="1" applyFill="1"/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10" fontId="0" fillId="3" borderId="1" xfId="1" applyNumberFormat="1" applyFill="1" applyBorder="1" applyAlignment="1">
      <alignment horizontal="right"/>
    </xf>
    <xf numFmtId="10" fontId="0" fillId="3" borderId="1" xfId="1" applyNumberFormat="1" applyFill="1" applyBorder="1" applyAlignment="1">
      <alignment horizontal="center"/>
    </xf>
    <xf numFmtId="2" fontId="0" fillId="3" borderId="1" xfId="1" applyNumberFormat="1" applyFill="1" applyBorder="1"/>
    <xf numFmtId="0" fontId="0" fillId="2" borderId="3" xfId="0" applyFont="1" applyFill="1" applyBorder="1" applyAlignment="1">
      <alignment horizontal="center"/>
    </xf>
    <xf numFmtId="10" fontId="0" fillId="2" borderId="1" xfId="1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right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/>
    <xf numFmtId="10" fontId="0" fillId="3" borderId="8" xfId="1" applyNumberFormat="1" applyFill="1" applyBorder="1"/>
    <xf numFmtId="0" fontId="0" fillId="2" borderId="2" xfId="1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1" applyNumberForma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2" applyNumberFormat="1" applyAlignment="1">
      <alignment horizontal="right"/>
    </xf>
    <xf numFmtId="0" fontId="0" fillId="0" borderId="1" xfId="0" applyBorder="1" applyAlignment="1">
      <alignment horizontal="center"/>
    </xf>
    <xf numFmtId="165" fontId="4" fillId="2" borderId="1" xfId="2" quotePrefix="1" applyNumberFormat="1" applyFont="1" applyFill="1" applyBorder="1" applyAlignment="1">
      <alignment horizontal="center" vertical="center" wrapText="1" readingOrder="2"/>
    </xf>
    <xf numFmtId="0" fontId="0" fillId="3" borderId="0" xfId="0" applyFill="1" applyAlignment="1">
      <alignment horizontal="right"/>
    </xf>
    <xf numFmtId="165" fontId="0" fillId="3" borderId="0" xfId="2" applyNumberFormat="1" applyFill="1" applyAlignment="1">
      <alignment horizontal="right"/>
    </xf>
    <xf numFmtId="0" fontId="0" fillId="3" borderId="0" xfId="0" applyFill="1" applyAlignment="1">
      <alignment horizontal="center"/>
    </xf>
    <xf numFmtId="0" fontId="8" fillId="3" borderId="0" xfId="0" applyFont="1" applyFill="1" applyAlignment="1">
      <alignment horizontal="right"/>
    </xf>
    <xf numFmtId="165" fontId="2" fillId="2" borderId="1" xfId="2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/>
    </xf>
    <xf numFmtId="0" fontId="0" fillId="0" borderId="1" xfId="0" applyBorder="1"/>
    <xf numFmtId="43" fontId="0" fillId="3" borderId="1" xfId="2" applyNumberFormat="1" applyFont="1" applyFill="1" applyBorder="1" applyAlignment="1">
      <alignment horizontal="right"/>
    </xf>
    <xf numFmtId="43" fontId="3" fillId="2" borderId="1" xfId="2" quotePrefix="1" applyNumberFormat="1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3" borderId="1" xfId="0" applyFont="1" applyFill="1" applyBorder="1" applyAlignment="1" applyProtection="1">
      <alignment horizontal="right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3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0" fontId="3" fillId="2" borderId="10" xfId="1" applyNumberFormat="1" applyFont="1" applyFill="1" applyBorder="1" applyAlignment="1">
      <alignment horizontal="center"/>
    </xf>
    <xf numFmtId="10" fontId="0" fillId="3" borderId="0" xfId="1" applyNumberFormat="1" applyFill="1" applyAlignment="1">
      <alignment horizontal="center"/>
    </xf>
    <xf numFmtId="2" fontId="0" fillId="3" borderId="1" xfId="1" applyNumberFormat="1" applyFill="1" applyBorder="1" applyAlignment="1">
      <alignment horizontal="center"/>
    </xf>
    <xf numFmtId="164" fontId="0" fillId="3" borderId="0" xfId="1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0" xfId="2" applyNumberFormat="1" applyFill="1" applyAlignment="1">
      <alignment horizontal="center"/>
    </xf>
    <xf numFmtId="165" fontId="0" fillId="3" borderId="0" xfId="2" applyNumberFormat="1" applyFill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3" fillId="5" borderId="11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center"/>
    </xf>
    <xf numFmtId="4" fontId="0" fillId="3" borderId="1" xfId="1" applyNumberFormat="1" applyFill="1" applyBorder="1" applyAlignment="1">
      <alignment horizontal="center"/>
    </xf>
    <xf numFmtId="10" fontId="3" fillId="5" borderId="12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0" fillId="2" borderId="11" xfId="0" applyFont="1" applyFill="1" applyBorder="1" applyAlignment="1">
      <alignment horizontal="center"/>
    </xf>
    <xf numFmtId="2" fontId="3" fillId="2" borderId="11" xfId="0" applyNumberFormat="1" applyFon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10" fontId="3" fillId="2" borderId="11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5" fontId="0" fillId="0" borderId="1" xfId="2" applyNumberFormat="1" applyBorder="1" applyAlignment="1">
      <alignment horizontal="center"/>
    </xf>
    <xf numFmtId="10" fontId="3" fillId="2" borderId="3" xfId="1" applyNumberFormat="1" applyFont="1" applyFill="1" applyBorder="1" applyAlignment="1">
      <alignment horizontal="right" vertical="center" wrapText="1" readingOrder="2"/>
    </xf>
    <xf numFmtId="43" fontId="3" fillId="2" borderId="11" xfId="2" applyFont="1" applyFill="1" applyBorder="1" applyAlignment="1">
      <alignment horizontal="center"/>
    </xf>
    <xf numFmtId="10" fontId="3" fillId="5" borderId="10" xfId="1" applyNumberFormat="1" applyFont="1" applyFill="1" applyBorder="1" applyAlignment="1">
      <alignment horizontal="center"/>
    </xf>
    <xf numFmtId="10" fontId="3" fillId="5" borderId="14" xfId="1" applyNumberFormat="1" applyFont="1" applyFill="1" applyBorder="1" applyAlignment="1">
      <alignment horizontal="center"/>
    </xf>
    <xf numFmtId="9" fontId="3" fillId="5" borderId="12" xfId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center" vertical="center" wrapText="1" readingOrder="2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64" fontId="3" fillId="2" borderId="16" xfId="1" applyNumberFormat="1" applyFont="1" applyFill="1" applyBorder="1" applyAlignment="1">
      <alignment horizontal="center" vertical="center" wrapText="1"/>
    </xf>
    <xf numFmtId="165" fontId="3" fillId="2" borderId="17" xfId="2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4" fontId="3" fillId="2" borderId="11" xfId="2" applyNumberFormat="1" applyFont="1" applyFill="1" applyBorder="1" applyAlignment="1">
      <alignment horizontal="center"/>
    </xf>
    <xf numFmtId="168" fontId="0" fillId="0" borderId="1" xfId="2" applyNumberFormat="1" applyBorder="1" applyAlignment="1">
      <alignment horizontal="center"/>
    </xf>
    <xf numFmtId="10" fontId="3" fillId="2" borderId="17" xfId="1" applyNumberFormat="1" applyFont="1" applyFill="1" applyBorder="1" applyAlignment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 readingOrder="2"/>
    </xf>
    <xf numFmtId="0" fontId="3" fillId="2" borderId="13" xfId="0" applyFont="1" applyFill="1" applyBorder="1" applyAlignment="1">
      <alignment horizontal="center"/>
    </xf>
    <xf numFmtId="2" fontId="0" fillId="2" borderId="11" xfId="0" applyNumberFormat="1" applyFont="1" applyFill="1" applyBorder="1" applyAlignment="1">
      <alignment horizontal="center"/>
    </xf>
    <xf numFmtId="4" fontId="0" fillId="3" borderId="8" xfId="1" applyNumberFormat="1" applyFill="1" applyBorder="1" applyAlignment="1">
      <alignment horizontal="center"/>
    </xf>
    <xf numFmtId="0" fontId="3" fillId="5" borderId="13" xfId="0" applyFont="1" applyFill="1" applyBorder="1" applyAlignment="1">
      <alignment horizontal="right"/>
    </xf>
    <xf numFmtId="2" fontId="3" fillId="5" borderId="11" xfId="1" applyNumberFormat="1" applyFont="1" applyFill="1" applyBorder="1" applyAlignment="1">
      <alignment horizontal="center"/>
    </xf>
    <xf numFmtId="4" fontId="3" fillId="5" borderId="11" xfId="1" applyNumberFormat="1" applyFont="1" applyFill="1" applyBorder="1" applyAlignment="1">
      <alignment horizontal="center"/>
    </xf>
    <xf numFmtId="4" fontId="3" fillId="5" borderId="11" xfId="2" applyNumberFormat="1" applyFont="1" applyFill="1" applyBorder="1" applyAlignment="1">
      <alignment horizontal="center"/>
    </xf>
    <xf numFmtId="3" fontId="3" fillId="5" borderId="11" xfId="1" applyNumberFormat="1" applyFont="1" applyFill="1" applyBorder="1" applyAlignment="1">
      <alignment horizontal="center"/>
    </xf>
    <xf numFmtId="43" fontId="3" fillId="5" borderId="11" xfId="2" applyNumberFormat="1" applyFont="1" applyFill="1" applyBorder="1" applyAlignment="1">
      <alignment horizontal="center"/>
    </xf>
    <xf numFmtId="9" fontId="3" fillId="2" borderId="11" xfId="1" applyFont="1" applyFill="1" applyBorder="1" applyAlignment="1">
      <alignment horizontal="center"/>
    </xf>
    <xf numFmtId="43" fontId="3" fillId="2" borderId="11" xfId="2" applyNumberFormat="1" applyFont="1" applyFill="1" applyBorder="1" applyAlignment="1">
      <alignment horizontal="center"/>
    </xf>
    <xf numFmtId="43" fontId="3" fillId="5" borderId="12" xfId="2" applyNumberFormat="1" applyFont="1" applyFill="1" applyBorder="1" applyAlignment="1">
      <alignment horizontal="center"/>
    </xf>
    <xf numFmtId="2" fontId="3" fillId="5" borderId="11" xfId="2" applyNumberFormat="1" applyFont="1" applyFill="1" applyBorder="1" applyAlignment="1">
      <alignment horizontal="center"/>
    </xf>
    <xf numFmtId="0" fontId="0" fillId="3" borderId="0" xfId="0" applyFont="1" applyFill="1" applyAlignment="1">
      <alignment horizontal="right"/>
    </xf>
    <xf numFmtId="169" fontId="3" fillId="5" borderId="11" xfId="2" applyNumberFormat="1" applyFont="1" applyFill="1" applyBorder="1" applyAlignment="1">
      <alignment horizontal="center"/>
    </xf>
    <xf numFmtId="169" fontId="0" fillId="3" borderId="1" xfId="2" applyNumberFormat="1" applyFill="1" applyBorder="1" applyAlignment="1">
      <alignment horizontal="center"/>
    </xf>
    <xf numFmtId="0" fontId="3" fillId="0" borderId="0" xfId="0" applyFont="1"/>
    <xf numFmtId="3" fontId="0" fillId="0" borderId="1" xfId="0" applyNumberFormat="1" applyBorder="1" applyAlignment="1">
      <alignment horizontal="center"/>
    </xf>
    <xf numFmtId="0" fontId="3" fillId="0" borderId="8" xfId="0" applyFont="1" applyBorder="1"/>
    <xf numFmtId="0" fontId="3" fillId="2" borderId="18" xfId="0" applyFont="1" applyFill="1" applyBorder="1" applyAlignment="1">
      <alignment horizontal="center"/>
    </xf>
    <xf numFmtId="165" fontId="3" fillId="3" borderId="0" xfId="2" applyNumberFormat="1" applyFont="1" applyFill="1"/>
    <xf numFmtId="0" fontId="3" fillId="2" borderId="11" xfId="0" applyFont="1" applyFill="1" applyBorder="1" applyAlignment="1">
      <alignment horizontal="center"/>
    </xf>
    <xf numFmtId="0" fontId="3" fillId="3" borderId="8" xfId="0" applyFont="1" applyFill="1" applyBorder="1" applyAlignment="1" applyProtection="1">
      <alignment horizontal="right"/>
    </xf>
    <xf numFmtId="10" fontId="3" fillId="3" borderId="8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3" fillId="3" borderId="1" xfId="0" applyFont="1" applyFill="1" applyBorder="1" applyAlignment="1" applyProtection="1">
      <alignment horizontal="right"/>
    </xf>
    <xf numFmtId="10" fontId="3" fillId="3" borderId="1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4" fontId="3" fillId="3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0" fontId="3" fillId="3" borderId="0" xfId="1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6" fontId="3" fillId="3" borderId="0" xfId="2" applyNumberFormat="1" applyFont="1" applyFill="1" applyAlignment="1">
      <alignment horizontal="center"/>
    </xf>
    <xf numFmtId="164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165" fontId="3" fillId="3" borderId="0" xfId="2" applyNumberFormat="1" applyFont="1" applyFill="1" applyAlignment="1">
      <alignment horizontal="center"/>
    </xf>
    <xf numFmtId="2" fontId="3" fillId="5" borderId="11" xfId="1" applyNumberFormat="1" applyFont="1" applyFill="1" applyBorder="1"/>
    <xf numFmtId="10" fontId="3" fillId="5" borderId="11" xfId="1" applyNumberFormat="1" applyFont="1" applyFill="1" applyBorder="1"/>
    <xf numFmtId="4" fontId="3" fillId="5" borderId="11" xfId="1" applyNumberFormat="1" applyFont="1" applyFill="1" applyBorder="1"/>
    <xf numFmtId="2" fontId="3" fillId="3" borderId="8" xfId="1" applyNumberFormat="1" applyFont="1" applyFill="1" applyBorder="1"/>
    <xf numFmtId="10" fontId="3" fillId="3" borderId="8" xfId="1" applyNumberFormat="1" applyFont="1" applyFill="1" applyBorder="1"/>
    <xf numFmtId="4" fontId="3" fillId="3" borderId="8" xfId="1" applyNumberFormat="1" applyFont="1" applyFill="1" applyBorder="1"/>
    <xf numFmtId="2" fontId="3" fillId="3" borderId="1" xfId="1" applyNumberFormat="1" applyFont="1" applyFill="1" applyBorder="1"/>
    <xf numFmtId="10" fontId="3" fillId="3" borderId="1" xfId="1" applyNumberFormat="1" applyFont="1" applyFill="1" applyBorder="1"/>
    <xf numFmtId="4" fontId="3" fillId="3" borderId="1" xfId="1" applyNumberFormat="1" applyFont="1" applyFill="1" applyBorder="1"/>
    <xf numFmtId="10" fontId="3" fillId="3" borderId="0" xfId="1" applyNumberFormat="1" applyFont="1" applyFill="1"/>
    <xf numFmtId="2" fontId="3" fillId="3" borderId="0" xfId="0" applyNumberFormat="1" applyFont="1" applyFill="1"/>
    <xf numFmtId="166" fontId="3" fillId="3" borderId="0" xfId="2" applyNumberFormat="1" applyFont="1" applyFill="1"/>
    <xf numFmtId="0" fontId="3" fillId="5" borderId="19" xfId="0" applyFont="1" applyFill="1" applyBorder="1" applyAlignment="1">
      <alignment horizontal="right"/>
    </xf>
    <xf numFmtId="2" fontId="3" fillId="5" borderId="12" xfId="1" applyNumberFormat="1" applyFont="1" applyFill="1" applyBorder="1" applyAlignment="1">
      <alignment horizontal="center"/>
    </xf>
    <xf numFmtId="4" fontId="3" fillId="5" borderId="12" xfId="1" applyNumberFormat="1" applyFont="1" applyFill="1" applyBorder="1" applyAlignment="1">
      <alignment horizontal="center"/>
    </xf>
    <xf numFmtId="43" fontId="3" fillId="3" borderId="1" xfId="2" applyNumberFormat="1" applyFont="1" applyFill="1" applyBorder="1" applyAlignment="1">
      <alignment horizontal="center"/>
    </xf>
    <xf numFmtId="4" fontId="3" fillId="5" borderId="12" xfId="2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/>
    <xf numFmtId="3" fontId="3" fillId="5" borderId="12" xfId="1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/>
    </xf>
    <xf numFmtId="166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169" fontId="3" fillId="3" borderId="8" xfId="2" applyNumberFormat="1" applyFont="1" applyFill="1" applyBorder="1" applyAlignment="1">
      <alignment horizontal="center"/>
    </xf>
    <xf numFmtId="169" fontId="3" fillId="3" borderId="1" xfId="2" applyNumberFormat="1" applyFont="1" applyFill="1" applyBorder="1" applyAlignment="1">
      <alignment horizontal="center"/>
    </xf>
    <xf numFmtId="2" fontId="3" fillId="5" borderId="12" xfId="1" applyNumberFormat="1" applyFont="1" applyFill="1" applyBorder="1"/>
    <xf numFmtId="10" fontId="3" fillId="3" borderId="8" xfId="2" applyNumberFormat="1" applyFont="1" applyFill="1" applyBorder="1" applyAlignment="1">
      <alignment horizontal="center"/>
    </xf>
    <xf numFmtId="10" fontId="3" fillId="3" borderId="8" xfId="1" applyNumberFormat="1" applyFont="1" applyFill="1" applyBorder="1" applyAlignment="1">
      <alignment horizontal="right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165" fontId="5" fillId="4" borderId="21" xfId="2" applyNumberFormat="1" applyFont="1" applyFill="1" applyBorder="1" applyAlignment="1">
      <alignment horizontal="center" vertical="center" wrapText="1"/>
    </xf>
    <xf numFmtId="165" fontId="5" fillId="4" borderId="32" xfId="2" applyNumberFormat="1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 readingOrder="2"/>
    </xf>
    <xf numFmtId="0" fontId="9" fillId="4" borderId="0" xfId="3" applyFont="1" applyFill="1" applyBorder="1" applyAlignment="1" applyProtection="1">
      <alignment horizontal="right"/>
    </xf>
    <xf numFmtId="0" fontId="3" fillId="4" borderId="0" xfId="0" applyFont="1" applyFill="1" applyBorder="1" applyAlignment="1">
      <alignment horizontal="right"/>
    </xf>
    <xf numFmtId="0" fontId="9" fillId="4" borderId="0" xfId="3" applyFont="1" applyFill="1" applyBorder="1" applyAlignment="1" applyProtection="1">
      <alignment horizontal="right" readingOrder="2"/>
    </xf>
    <xf numFmtId="0" fontId="3" fillId="4" borderId="33" xfId="0" applyFont="1" applyFill="1" applyBorder="1" applyAlignment="1">
      <alignment horizontal="right" readingOrder="2"/>
    </xf>
    <xf numFmtId="165" fontId="2" fillId="2" borderId="7" xfId="2" applyNumberFormat="1" applyFont="1" applyFill="1" applyBorder="1" applyAlignment="1">
      <alignment horizontal="center" vertical="center" wrapText="1"/>
    </xf>
    <xf numFmtId="165" fontId="4" fillId="2" borderId="7" xfId="2" quotePrefix="1" applyNumberFormat="1" applyFont="1" applyFill="1" applyBorder="1" applyAlignment="1">
      <alignment horizontal="center" vertical="center" wrapText="1" readingOrder="2"/>
    </xf>
    <xf numFmtId="164" fontId="0" fillId="0" borderId="7" xfId="1" applyNumberFormat="1" applyFont="1" applyBorder="1" applyAlignment="1">
      <alignment horizontal="center"/>
    </xf>
    <xf numFmtId="164" fontId="3" fillId="2" borderId="7" xfId="1" quotePrefix="1" applyNumberFormat="1" applyFont="1" applyFill="1" applyBorder="1" applyAlignment="1">
      <alignment horizontal="center"/>
    </xf>
    <xf numFmtId="165" fontId="4" fillId="2" borderId="8" xfId="2" applyNumberFormat="1" applyFont="1" applyFill="1" applyBorder="1" applyAlignment="1">
      <alignment horizontal="center" vertical="center" wrapText="1"/>
    </xf>
    <xf numFmtId="165" fontId="4" fillId="2" borderId="16" xfId="2" applyNumberFormat="1" applyFont="1" applyFill="1" applyBorder="1" applyAlignment="1">
      <alignment horizontal="center" vertical="center" wrapText="1"/>
    </xf>
    <xf numFmtId="0" fontId="9" fillId="4" borderId="32" xfId="3" applyFont="1" applyFill="1" applyBorder="1" applyAlignment="1" applyProtection="1">
      <alignment horizontal="right" readingOrder="2"/>
    </xf>
    <xf numFmtId="168" fontId="0" fillId="0" borderId="5" xfId="2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5" fontId="11" fillId="4" borderId="33" xfId="2" applyNumberFormat="1" applyFont="1" applyFill="1" applyBorder="1" applyAlignment="1">
      <alignment horizontal="center" vertical="center" wrapText="1"/>
    </xf>
    <xf numFmtId="165" fontId="4" fillId="2" borderId="21" xfId="2" quotePrefix="1" applyNumberFormat="1" applyFont="1" applyFill="1" applyBorder="1" applyAlignment="1">
      <alignment horizontal="center" vertical="center" wrapText="1" readingOrder="2"/>
    </xf>
    <xf numFmtId="0" fontId="0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0" borderId="32" xfId="0" applyFon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0" fontId="0" fillId="3" borderId="5" xfId="0" applyFont="1" applyFill="1" applyBorder="1" applyAlignment="1" applyProtection="1">
      <alignment horizontal="right"/>
    </xf>
    <xf numFmtId="10" fontId="0" fillId="3" borderId="5" xfId="1" applyNumberFormat="1" applyFont="1" applyFill="1" applyBorder="1" applyAlignment="1">
      <alignment horizontal="center"/>
    </xf>
    <xf numFmtId="2" fontId="0" fillId="3" borderId="34" xfId="1" applyNumberFormat="1" applyFont="1" applyFill="1" applyBorder="1" applyAlignment="1">
      <alignment horizontal="center"/>
    </xf>
    <xf numFmtId="2" fontId="0" fillId="3" borderId="5" xfId="1" applyNumberFormat="1" applyFont="1" applyFill="1" applyBorder="1" applyAlignment="1">
      <alignment horizontal="center"/>
    </xf>
    <xf numFmtId="4" fontId="0" fillId="3" borderId="5" xfId="2" applyNumberFormat="1" applyFont="1" applyFill="1" applyBorder="1" applyAlignment="1">
      <alignment horizontal="center"/>
    </xf>
    <xf numFmtId="10" fontId="0" fillId="3" borderId="34" xfId="1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right" vertical="center" wrapText="1" readingOrder="1"/>
    </xf>
    <xf numFmtId="0" fontId="0" fillId="3" borderId="5" xfId="0" applyFont="1" applyFill="1" applyBorder="1" applyAlignment="1">
      <alignment horizontal="right"/>
    </xf>
    <xf numFmtId="4" fontId="0" fillId="3" borderId="5" xfId="1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10" fontId="3" fillId="3" borderId="5" xfId="1" applyNumberFormat="1" applyFont="1" applyFill="1" applyBorder="1" applyAlignment="1">
      <alignment horizontal="center"/>
    </xf>
    <xf numFmtId="2" fontId="3" fillId="3" borderId="34" xfId="1" applyNumberFormat="1" applyFont="1" applyFill="1" applyBorder="1"/>
    <xf numFmtId="2" fontId="3" fillId="3" borderId="5" xfId="1" applyNumberFormat="1" applyFont="1" applyFill="1" applyBorder="1"/>
    <xf numFmtId="10" fontId="3" fillId="3" borderId="5" xfId="1" applyNumberFormat="1" applyFont="1" applyFill="1" applyBorder="1"/>
    <xf numFmtId="4" fontId="3" fillId="3" borderId="5" xfId="1" applyNumberFormat="1" applyFont="1" applyFill="1" applyBorder="1"/>
    <xf numFmtId="4" fontId="3" fillId="3" borderId="5" xfId="2" applyNumberFormat="1" applyFont="1" applyFill="1" applyBorder="1" applyAlignment="1">
      <alignment horizontal="center"/>
    </xf>
    <xf numFmtId="10" fontId="3" fillId="3" borderId="34" xfId="1" applyNumberFormat="1" applyFont="1" applyFill="1" applyBorder="1" applyAlignment="1">
      <alignment horizontal="center"/>
    </xf>
    <xf numFmtId="2" fontId="3" fillId="3" borderId="5" xfId="1" applyNumberFormat="1" applyFont="1" applyFill="1" applyBorder="1" applyAlignment="1">
      <alignment horizontal="center"/>
    </xf>
    <xf numFmtId="4" fontId="3" fillId="3" borderId="5" xfId="1" applyNumberFormat="1" applyFont="1" applyFill="1" applyBorder="1" applyAlignment="1">
      <alignment horizontal="center"/>
    </xf>
    <xf numFmtId="2" fontId="3" fillId="3" borderId="34" xfId="1" applyNumberFormat="1" applyFont="1" applyFill="1" applyBorder="1" applyAlignment="1">
      <alignment horizontal="center"/>
    </xf>
    <xf numFmtId="43" fontId="3" fillId="3" borderId="5" xfId="2" applyNumberFormat="1" applyFont="1" applyFill="1" applyBorder="1" applyAlignment="1">
      <alignment horizontal="center"/>
    </xf>
    <xf numFmtId="4" fontId="3" fillId="3" borderId="34" xfId="1" applyNumberFormat="1" applyFont="1" applyFill="1" applyBorder="1" applyAlignment="1">
      <alignment horizontal="center"/>
    </xf>
    <xf numFmtId="4" fontId="3" fillId="3" borderId="34" xfId="2" applyNumberFormat="1" applyFont="1" applyFill="1" applyBorder="1" applyAlignment="1">
      <alignment horizontal="center"/>
    </xf>
    <xf numFmtId="169" fontId="0" fillId="3" borderId="5" xfId="2" applyNumberFormat="1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0" fontId="3" fillId="3" borderId="34" xfId="0" applyFont="1" applyFill="1" applyBorder="1" applyAlignment="1">
      <alignment horizontal="right"/>
    </xf>
    <xf numFmtId="43" fontId="3" fillId="3" borderId="34" xfId="2" applyNumberFormat="1" applyFont="1" applyFill="1" applyBorder="1" applyAlignment="1">
      <alignment horizontal="center"/>
    </xf>
    <xf numFmtId="10" fontId="3" fillId="3" borderId="34" xfId="2" applyNumberFormat="1" applyFont="1" applyFill="1" applyBorder="1" applyAlignment="1">
      <alignment horizontal="center"/>
    </xf>
    <xf numFmtId="10" fontId="3" fillId="3" borderId="5" xfId="1" applyNumberFormat="1" applyFont="1" applyFill="1" applyBorder="1" applyAlignment="1">
      <alignment horizontal="right"/>
    </xf>
    <xf numFmtId="0" fontId="0" fillId="0" borderId="5" xfId="0" applyBorder="1"/>
    <xf numFmtId="3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0" fontId="0" fillId="3" borderId="5" xfId="1" applyNumberFormat="1" applyFont="1" applyFill="1" applyBorder="1" applyAlignment="1">
      <alignment horizontal="right"/>
    </xf>
    <xf numFmtId="2" fontId="0" fillId="3" borderId="5" xfId="1" applyNumberFormat="1" applyFont="1" applyFill="1" applyBorder="1"/>
    <xf numFmtId="10" fontId="0" fillId="3" borderId="5" xfId="1" applyNumberFormat="1" applyFont="1" applyFill="1" applyBorder="1"/>
    <xf numFmtId="43" fontId="0" fillId="3" borderId="34" xfId="2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right"/>
    </xf>
    <xf numFmtId="9" fontId="0" fillId="3" borderId="34" xfId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Percent" xfId="1" builtinId="5"/>
    <cellStyle name="היפר-קישור" xfId="3" builtinId="8"/>
  </cellStyles>
  <dxfs count="59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medium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9" formatCode="#,##0.00_ ;\-#,##0.00\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7" formatCode="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5" formatCode="_ * #,##0_ ;_ * \-#,##0_ ;_ * &quot;-&quot;??_ ;_ @_ 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indexed="12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right" vertical="bottom" textRotation="0" wrapText="0" indent="0" justifyLastLine="0" shrinkToFit="0" readingOrder="2"/>
      <protection locked="1" hidden="0"/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505A74-FA8F-4056-BE05-2AB4F8D5B3F4}" name="טבלה1" displayName="טבלה1" ref="A6:C42" totalsRowShown="0" headerRowBorderDxfId="594" tableBorderDxfId="595">
  <autoFilter ref="A6:C42" xr:uid="{A1DD63B6-9D1F-4DC7-8FC2-5E98D944BFBA}">
    <filterColumn colId="0" hiddenButton="1"/>
    <filterColumn colId="1" hiddenButton="1"/>
    <filterColumn colId="2" hiddenButton="1"/>
  </autoFilter>
  <tableColumns count="3">
    <tableColumn id="1" xr3:uid="{BCBB225E-233A-4C91-811E-DDD7365F1F13}" name="עמודה ריקה" dataDxfId="593" dataCellStyle="היפר-קישור"/>
    <tableColumn id="2" xr3:uid="{B6B8CF31-5C0F-44A7-8131-1CBF709DF186}" name="שווי הוגן" dataDxfId="592" dataCellStyle="Comma"/>
    <tableColumn id="3" xr3:uid="{4DF9FBAF-277A-4C76-8368-7A90195BF005}" name="שיעור מנכסי השקעה" dataDxfId="591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A8CA2E-D20D-4757-B71D-AC2D57A487F1}" name="טבלה2" displayName="טבלה2" ref="B44:C68" totalsRowShown="0" headerRowDxfId="585" headerRowBorderDxfId="589" tableBorderDxfId="590" totalsRowBorderDxfId="588">
  <autoFilter ref="B44:C68" xr:uid="{927DFBAA-2328-46DF-AEEB-654A3C4C9B65}">
    <filterColumn colId="0" hiddenButton="1"/>
    <filterColumn colId="1" hiddenButton="1"/>
  </autoFilter>
  <tableColumns count="2">
    <tableColumn id="1" xr3:uid="{FA833FD1-8D74-4FE6-B4EE-EE1FFCD260B0}" name="שם המטבע" dataDxfId="587"/>
    <tableColumn id="2" xr3:uid="{AD2E5DB3-75BC-47D9-998D-FDB69887E89B}" name="שע&quot;ח" dataDxfId="58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627F1F-7784-4FE8-8AEF-7553061C3EA0}" name="טבלה3" displayName="טבלה3" ref="A6:K73" totalsRowShown="0" headerRowDxfId="571" headerRowBorderDxfId="583" tableBorderDxfId="584" headerRowCellStyle="Percent">
  <autoFilter ref="A6:K73" xr:uid="{D1A49F17-F1B5-4485-B81E-C334478C326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142B145-637E-43F7-B1E9-33FFCA21515B}" name="שם המנפיק/שם נייר ערך" dataDxfId="582"/>
    <tableColumn id="2" xr3:uid="{E131DC5B-A8BF-4447-AB4C-32210500182C}" name="מספר נ&quot;ע" dataDxfId="581" dataCellStyle="Percent"/>
    <tableColumn id="3" xr3:uid="{DF29AF0D-5D68-4FE0-938D-4748DEBC8CE7}" name="מספר מנפיק" dataDxfId="580" dataCellStyle="Percent"/>
    <tableColumn id="4" xr3:uid="{7D592321-1DC7-4752-A396-DAADC0546232}" name="דירוג" dataDxfId="579" dataCellStyle="Percent"/>
    <tableColumn id="5" xr3:uid="{0711A1BB-723B-4858-A22F-4E0F50785FE5}" name="שם מדרג" dataDxfId="578" dataCellStyle="Percent"/>
    <tableColumn id="6" xr3:uid="{1FAEF5FE-AB39-4870-A613-7331BDB301D8}" name="סוג מטבע" dataDxfId="577" dataCellStyle="Percent"/>
    <tableColumn id="7" xr3:uid="{9EFBC71A-A424-47F6-871E-A5D71C0342B2}" name="שעור ריבית" dataDxfId="576" dataCellStyle="Percent"/>
    <tableColumn id="8" xr3:uid="{2668AB9C-0681-4ACA-89E5-A068CAF27637}" name="תשואה לפדיון" dataDxfId="575" dataCellStyle="Percent"/>
    <tableColumn id="9" xr3:uid="{27D50BFF-CA46-4BEB-AF51-E4708333D955}" name="שווי שוק" dataDxfId="574" dataCellStyle="Comma"/>
    <tableColumn id="10" xr3:uid="{5330A187-D167-47A5-8447-A742CA4CA119}" name="שעור מנכסי אפיק ההשקעה" dataDxfId="573" dataCellStyle="Percent"/>
    <tableColumn id="11" xr3:uid="{511FC6C2-F389-4789-B3FD-465BBBD3C79E}" name="שעור מנכסי השקעה" dataDxfId="572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A21B70A-8C7A-4185-93E1-8562E076CCCA}" name="טבלה4" displayName="טבלה4" ref="A7:Q57" totalsRowShown="0" headerRowDxfId="551" headerRowBorderDxfId="569" tableBorderDxfId="570" headerRowCellStyle="Percent">
  <autoFilter ref="A7:Q57" xr:uid="{C7A79266-3D67-43C8-B193-BF9518582BF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265FA24D-9FF2-401A-8149-AF2735DD7A3F}" name="שם המנפיק/שם נייר ערך" dataDxfId="568"/>
    <tableColumn id="2" xr3:uid="{22CB8AF0-6850-479C-B67C-7A177108ECCE}" name="מספר נ&quot;ע" dataDxfId="567" dataCellStyle="Percent"/>
    <tableColumn id="3" xr3:uid="{5960AEC3-CFCC-4F71-9DE7-1112CDD0A989}" name="זירת מסחר" dataDxfId="566" dataCellStyle="Percent"/>
    <tableColumn id="4" xr3:uid="{59F63D0A-6C1F-4E4E-8A1F-2B791E3EAE95}" name="דירוג" dataDxfId="565" dataCellStyle="Percent"/>
    <tableColumn id="5" xr3:uid="{CF1B7752-D808-43CD-94E9-A8F41887C3D4}" name="שם מדרג" dataDxfId="564" dataCellStyle="Percent"/>
    <tableColumn id="6" xr3:uid="{1F4C1257-77B7-4185-8D1C-1F110E0116AE}" name="תאריך רכישה" dataDxfId="563" dataCellStyle="Percent"/>
    <tableColumn id="7" xr3:uid="{6038C222-4571-4F4D-A929-53FF2263D474}" name="מח&quot;מ" dataDxfId="562" dataCellStyle="Percent"/>
    <tableColumn id="8" xr3:uid="{E58FD701-46D5-45E6-9181-FE283250DE8D}" name="סוג מטבע" dataDxfId="561" dataCellStyle="Percent"/>
    <tableColumn id="9" xr3:uid="{900E3145-E97E-4085-9306-04C73389A617}" name="שעור ריבית" dataDxfId="560" dataCellStyle="Percent"/>
    <tableColumn id="10" xr3:uid="{6651FA2E-FD35-4CC6-926D-E450C69A657C}" name="תשואה לפדיון" dataDxfId="559" dataCellStyle="Percent"/>
    <tableColumn id="11" xr3:uid="{58011E13-5D81-4192-A2BF-ECA9FDAD3686}" name="ערך נקוב" dataDxfId="558" dataCellStyle="Percent"/>
    <tableColumn id="12" xr3:uid="{C84E427F-2508-427C-929C-B06DAFDC15FD}" name="שער" dataDxfId="557" dataCellStyle="Percent"/>
    <tableColumn id="13" xr3:uid="{6BEA322B-3000-4A4B-8BAC-CFDFD4AA5D11}" name="פדיון/ריבית לקבל" dataDxfId="556" dataCellStyle="Percent"/>
    <tableColumn id="14" xr3:uid="{5BBE74EB-4399-457F-82BE-613D75637309}" name="שווי שוק" dataDxfId="555" dataCellStyle="Comma"/>
    <tableColumn id="15" xr3:uid="{786FEBEC-046E-448C-BA58-8801DF045C73}" name="שעור מערך נקוב מונפק" dataDxfId="554" dataCellStyle="Percent"/>
    <tableColumn id="16" xr3:uid="{D2B65315-15DB-4226-8191-140018E9D866}" name="שעור מנכסי אפיק ההשקעה" dataDxfId="553" dataCellStyle="Percent"/>
    <tableColumn id="17" xr3:uid="{B96F264F-CD83-4E6A-B8CA-94A559970BF1}" name="שעור מנכסי השקעה" dataDxfId="552" dataCellStyle="Percent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E49FB1A-96AA-4F2F-AFEB-571BC2AA6E05}" name="טבלה5" displayName="טבלה5" ref="A7:T17" totalsRowShown="0" headerRowDxfId="528" headerRowBorderDxfId="549" tableBorderDxfId="550" headerRowCellStyle="Percent">
  <autoFilter ref="A7:T17" xr:uid="{DD59F573-001B-4ABC-98DB-EDDF645BAE9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3079BF02-6224-4BF8-8E4D-028EC35F7264}" name="שם המנפיק/שם נייר ערך" dataDxfId="548"/>
    <tableColumn id="2" xr3:uid="{8E7B17D7-E923-45FC-8FBB-A7D5E4B632DC}" name="מספר נ&quot;ע" dataDxfId="547" dataCellStyle="Percent"/>
    <tableColumn id="3" xr3:uid="{8D0EC078-F461-46FD-82BE-963398EF471A}" name="זירת מסחר" dataDxfId="546" dataCellStyle="Percent"/>
    <tableColumn id="4" xr3:uid="{232687C0-EC73-453D-8C91-28BD50F9E54C}" name="ספק מידע" dataDxfId="545" dataCellStyle="Percent"/>
    <tableColumn id="5" xr3:uid="{5FDCC75D-9298-47EA-9F2B-C444D3065D1E}" name="מספר מנפיק" dataDxfId="544" dataCellStyle="Percent"/>
    <tableColumn id="6" xr3:uid="{9219326D-8BCB-4D8A-9263-F40384E3A7A7}" name="ענף מסחר" dataDxfId="543" dataCellStyle="Percent"/>
    <tableColumn id="7" xr3:uid="{434B86BC-30A2-4B7F-AFFC-BCF8E2FD88EF}" name="דירוג" dataDxfId="542" dataCellStyle="Percent"/>
    <tableColumn id="8" xr3:uid="{989013BD-DF17-4913-BAE1-037C904E90B4}" name="שם מדרג" dataDxfId="541" dataCellStyle="Percent"/>
    <tableColumn id="9" xr3:uid="{40B4137B-75F8-400A-9F3B-3277A0F8E54E}" name="תאריך רכישה" dataDxfId="540" dataCellStyle="Percent"/>
    <tableColumn id="10" xr3:uid="{4CD4630A-165B-40B4-A881-AAFFFE7D6177}" name="מח&quot;מ" dataDxfId="539" dataCellStyle="Percent"/>
    <tableColumn id="11" xr3:uid="{D981332D-280E-4039-A5F6-2B6FED22C8A6}" name="סוג מטבע" dataDxfId="538" dataCellStyle="Percent"/>
    <tableColumn id="12" xr3:uid="{6A7669FF-7893-45F0-8B03-856136B78910}" name="שעור ריבית" dataDxfId="537" dataCellStyle="Percent"/>
    <tableColumn id="13" xr3:uid="{83E92C9D-0B98-4EF5-8E33-302831B1C754}" name="תשואה לפדיון" dataDxfId="536" dataCellStyle="Percent"/>
    <tableColumn id="14" xr3:uid="{3E2AAFC6-EF20-4238-B314-77291A02192E}" name="ערך נקוב" dataDxfId="535" dataCellStyle="Percent"/>
    <tableColumn id="15" xr3:uid="{A058890B-9AB4-4E93-90A7-48422136DB2A}" name="שער" dataDxfId="534" dataCellStyle="Percent"/>
    <tableColumn id="16" xr3:uid="{18D321E5-F81F-4302-84A0-1B720272B227}" name="פדיון/ריבית לקבל" dataDxfId="533" dataCellStyle="Percent"/>
    <tableColumn id="17" xr3:uid="{F1A47978-AF1F-46EA-ABBD-78DCA20C18B6}" name="שווי שוק" dataDxfId="532" dataCellStyle="Comma"/>
    <tableColumn id="18" xr3:uid="{8C4CD619-68F4-41C8-85CA-E519A53AF3A5}" name="שעור מערך נקוב מונפק" dataDxfId="531" dataCellStyle="Percent"/>
    <tableColumn id="19" xr3:uid="{623009F9-D7A3-46E3-9DD7-400DA3401EC1}" name="שעור מנכסי אפיק ההשקעה" dataDxfId="530" dataCellStyle="Percent"/>
    <tableColumn id="20" xr3:uid="{730F4C79-A7CD-4322-A2B0-5DF7347E4BB0}" name="שעור מנכסי השקעה" dataDxfId="529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134EF97-D965-4750-B6DC-97E108ED0CE4}" name="טבלה6" displayName="טבלה6" ref="A7:T322" totalsRowShown="0" headerRowDxfId="504" dataDxfId="505" headerRowBorderDxfId="526" tableBorderDxfId="527" headerRowCellStyle="Percent" dataCellStyle="Percent">
  <autoFilter ref="A7:T322" xr:uid="{DAD5D033-A818-4AA6-9495-CDBBB4EA842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97E247C3-8F94-4744-9489-46785F13B91D}" name="שם המנפיק/שם נייר ערך" dataDxfId="525"/>
    <tableColumn id="2" xr3:uid="{D80C201B-AB5F-472F-919E-A5B1683DB9AF}" name="מספר נ&quot;ע" dataDxfId="524" dataCellStyle="Percent"/>
    <tableColumn id="3" xr3:uid="{3CDE6DBA-B332-40AA-8396-AD3692414161}" name="זירת מסחר" dataDxfId="523" dataCellStyle="Percent"/>
    <tableColumn id="4" xr3:uid="{781098EF-E2BF-4ACC-AD0A-8FF3C2063933}" name="ספק מידע" dataDxfId="522" dataCellStyle="Percent"/>
    <tableColumn id="5" xr3:uid="{E4DECA59-B0A6-4CB0-A327-3DB4E59E50ED}" name="מספר מנפיק" dataDxfId="521" dataCellStyle="Percent"/>
    <tableColumn id="6" xr3:uid="{8E812D05-CA67-4AE7-9CB8-D7C92DB6D03E}" name="ענף מסחר" dataDxfId="520" dataCellStyle="Percent"/>
    <tableColumn id="7" xr3:uid="{AE42A4B5-7491-4005-BD4B-63144629CAA4}" name="דירוג" dataDxfId="519" dataCellStyle="Percent"/>
    <tableColumn id="8" xr3:uid="{FE0B817E-E29C-428D-A401-FAED74CE021A}" name="שם מדרג" dataDxfId="518" dataCellStyle="Percent"/>
    <tableColumn id="9" xr3:uid="{469FE331-72C3-4BB6-9CEF-8219DEEC6EFE}" name="תאריך רכישה" dataDxfId="517" dataCellStyle="Percent"/>
    <tableColumn id="10" xr3:uid="{E8F1C016-9FCC-4E73-80F3-0DEC4ABD90F5}" name="מח&quot;מ" dataDxfId="516" dataCellStyle="Percent"/>
    <tableColumn id="11" xr3:uid="{F9EAC960-22CD-4B76-A259-F87C9AC5CDCC}" name="סוג מטבע" dataDxfId="515" dataCellStyle="Percent"/>
    <tableColumn id="12" xr3:uid="{A2061AC0-2F55-486E-A15D-3613A441A9AA}" name="שעור ריבית" dataDxfId="514" dataCellStyle="Percent"/>
    <tableColumn id="13" xr3:uid="{AC51F135-36D1-41A9-AA1E-4B5C94382C5B}" name="תשואה לפדיון" dataDxfId="513" dataCellStyle="Percent"/>
    <tableColumn id="14" xr3:uid="{C0AF7D23-9833-42F0-BCE9-3B29A481C223}" name="ערך נקוב" dataDxfId="512" dataCellStyle="Percent"/>
    <tableColumn id="15" xr3:uid="{8B783040-BB75-4B9E-B667-149C58CAE3D3}" name="שער" dataDxfId="511" dataCellStyle="Percent"/>
    <tableColumn id="16" xr3:uid="{7B8AA3F3-818A-43F9-BFE1-210F55FBEF11}" name="פדיון/ריבית לקבל" dataDxfId="510" dataCellStyle="Comma"/>
    <tableColumn id="17" xr3:uid="{3836D79A-4D25-47E8-AF22-24DC8DECF876}" name="שווי שוק" dataDxfId="509" dataCellStyle="Comma"/>
    <tableColumn id="18" xr3:uid="{BF44226F-693D-4D61-ADBD-0373F3932510}" name="שעור מערך נקוב מונפק" dataDxfId="508" dataCellStyle="Percent"/>
    <tableColumn id="19" xr3:uid="{3FC0BEDC-6CBC-4090-B371-A33EA018E520}" name="שעור מנכסי אפיק ההשקעה" dataDxfId="507" dataCellStyle="Percent"/>
    <tableColumn id="20" xr3:uid="{47687828-1740-4EA4-A7C2-1FD82D6A3E86}" name="שעור מנכסי השקעה" dataDxfId="506" dataCellStyle="Percen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6EF31D8-23F4-41EE-BDB2-C73F5392055A}" name="טבלה7" displayName="טבלה7" ref="A7:N20" totalsRowShown="0" headerRowDxfId="486" dataDxfId="487" headerRowBorderDxfId="502" tableBorderDxfId="503" headerRowCellStyle="Percent" dataCellStyle="Percent">
  <autoFilter ref="A7:N20" xr:uid="{3040DDF5-5678-4275-BE0D-9F27741AFF8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CFAC1D2B-F3DC-4926-B75E-758A0C827948}" name="שם המנפיק/שם נייר ערך" dataDxfId="501"/>
    <tableColumn id="2" xr3:uid="{7A3F9705-BC2C-4E77-AE6E-4D71F090D35A}" name="מספר נ&quot;ע" dataDxfId="500" dataCellStyle="Percent"/>
    <tableColumn id="3" xr3:uid="{73F13CAC-1EAF-40D5-A7A5-D883FC168A58}" name="זירת מסחר" dataDxfId="499" dataCellStyle="Percent"/>
    <tableColumn id="4" xr3:uid="{A97BBC2C-ECD5-4954-A61B-0920431EDFEB}" name="ספק מידע" dataDxfId="498" dataCellStyle="Percent"/>
    <tableColumn id="5" xr3:uid="{B5E1BBD8-AA54-4F0E-BCC5-C040DD9E72B0}" name="מספר מנפיק" dataDxfId="497" dataCellStyle="Percent"/>
    <tableColumn id="6" xr3:uid="{C94E820F-D945-44E0-81C6-6B6440637E1B}" name="ענף מסחר" dataDxfId="496" dataCellStyle="Percent"/>
    <tableColumn id="7" xr3:uid="{7BCE75DD-B91B-4D97-AF6B-711E60C883FE}" name="סוג מטבע" dataDxfId="495" dataCellStyle="Percent"/>
    <tableColumn id="8" xr3:uid="{8BFE6381-0F26-403C-8994-5075D5000AEE}" name="ערך נקוב" dataDxfId="494" dataCellStyle="Percent"/>
    <tableColumn id="9" xr3:uid="{2CDDB99A-5B12-420E-99C1-4BD7FBA02957}" name="שער" dataDxfId="493" dataCellStyle="Percent"/>
    <tableColumn id="10" xr3:uid="{36393BE9-8481-4BC8-80EF-22700F5740E9}" name="פדיון/ריבית לקבל" dataDxfId="492" dataCellStyle="Percent"/>
    <tableColumn id="11" xr3:uid="{AD6119F8-7C43-4D1D-86EC-01EC764115A2}" name="שווי שוק" dataDxfId="491" dataCellStyle="Comma"/>
    <tableColumn id="12" xr3:uid="{F95F1B29-6A75-47EF-88B9-7A352BC54E16}" name="שעור מערך נקוב מונפק" dataDxfId="490" dataCellStyle="Percent"/>
    <tableColumn id="13" xr3:uid="{B8BED2BE-6D7F-4326-8B37-3F7249E2F569}" name="שעור מנכסי אפיק ההשקעה" dataDxfId="489" dataCellStyle="Percent"/>
    <tableColumn id="14" xr3:uid="{324BAD10-AA6F-4300-A3A7-ACF3DCFAFFDF}" name="שעור מנכסי השקעה" dataDxfId="488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DAB5CCB-41E3-4224-B3EF-357789DB9048}" name="טבלה8" displayName="טבלה8" ref="A7:M47" totalsRowShown="0" headerRowDxfId="470" headerRowBorderDxfId="484" tableBorderDxfId="485" headerRowCellStyle="Percent">
  <autoFilter ref="A7:M47" xr:uid="{EFE2E333-93FE-4316-A189-EB97EFB65AF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027065FA-75AF-42D5-B15F-BC0F6FB2724C}" name="שם המנפיק/שם נייר ערך" dataDxfId="483"/>
    <tableColumn id="2" xr3:uid="{0603C131-13A0-4638-AE48-8EDC0265B37A}" name="מספר נ&quot;ע" dataDxfId="482" dataCellStyle="Percent"/>
    <tableColumn id="3" xr3:uid="{A7DA5F32-A1F3-468D-A543-39D20FE89324}" name="זירת מסחר" dataDxfId="481" dataCellStyle="Percent"/>
    <tableColumn id="4" xr3:uid="{3F48FFEB-3258-42EB-B758-7953FCFE2118}" name="מספר מנפיק" dataDxfId="480" dataCellStyle="Percent"/>
    <tableColumn id="5" xr3:uid="{C8CEE532-D244-471A-B5CA-991AD3163324}" name="ענף מסחר" dataDxfId="479" dataCellStyle="Percent"/>
    <tableColumn id="6" xr3:uid="{CB3EB25F-0181-4158-9F16-39E87514B8A3}" name="סוג מטבע" dataDxfId="478" dataCellStyle="Percent"/>
    <tableColumn id="7" xr3:uid="{BEA087EF-F8F4-41C7-AD49-9A5CBF13A5C5}" name="ערך נקוב" dataDxfId="477" dataCellStyle="Percent"/>
    <tableColumn id="8" xr3:uid="{F7EB60A4-3025-43FC-A3F2-D45D09C3319C}" name="שער" dataDxfId="476" dataCellStyle="Percent"/>
    <tableColumn id="9" xr3:uid="{85FCD175-9FEC-4ED3-B279-BE5E18C60F8E}" name="פדיון/ריבית לקבל" dataDxfId="475" dataCellStyle="Comma"/>
    <tableColumn id="10" xr3:uid="{382D82C6-603E-4F27-895B-25F2372D3865}" name="שווי שוק" dataDxfId="474" dataCellStyle="Comma"/>
    <tableColumn id="11" xr3:uid="{D21E856B-6E84-4452-BA58-10E0B9D9E463}" name="שעור מערך נקוב מונפק" dataDxfId="473" dataCellStyle="Percent"/>
    <tableColumn id="12" xr3:uid="{4A945B42-9FB6-4445-BEE4-E21FB9654AE4}" name="שעור מנכסי אפיק ההשקעה" dataDxfId="472" dataCellStyle="Percent"/>
    <tableColumn id="13" xr3:uid="{50259A6E-A251-4630-A938-66F4E6A3E767}" name="שעור מנכסי השקעה" dataDxfId="471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FF52CD7-FAB7-4DC7-A433-C4E24BAE57C7}" name="טבלה9" displayName="טבלה9" ref="A7:N33" totalsRowShown="0" headerRowDxfId="452" dataDxfId="453" headerRowBorderDxfId="468" tableBorderDxfId="469" headerRowCellStyle="Percent" dataCellStyle="Percent">
  <autoFilter ref="A7:N33" xr:uid="{CF919DD0-92CE-4AE9-8DE3-35B7D9F6A9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681CE7C9-A50C-48CF-AB70-23A93E4ED955}" name="שם המנפיק/שם נייר ערך" dataDxfId="467"/>
    <tableColumn id="2" xr3:uid="{D1DE9E84-243A-4D6F-A157-18E4523F9D77}" name="מספר נ&quot;ע" dataDxfId="466" dataCellStyle="Percent"/>
    <tableColumn id="3" xr3:uid="{E089E8FF-1EBE-4C3F-B5E6-57D07324B287}" name="זירת מסחר" dataDxfId="465" dataCellStyle="Percent"/>
    <tableColumn id="4" xr3:uid="{42632DCC-69F5-4973-B109-AF2B96BC263F}" name="מספר מנפיק" dataDxfId="464" dataCellStyle="Percent"/>
    <tableColumn id="5" xr3:uid="{0EC90B06-C62B-4447-BF51-33D3A57F4E9D}" name="ענף מסחר" dataDxfId="463" dataCellStyle="Percent"/>
    <tableColumn id="6" xr3:uid="{DA55920D-4D25-479F-ABAB-528D650809BE}" name="דירוג" dataDxfId="462" dataCellStyle="Percent"/>
    <tableColumn id="7" xr3:uid="{DDD84693-E140-4775-9E96-70A3AE9C50A8}" name="שם מדרג" dataDxfId="461" dataCellStyle="Percent"/>
    <tableColumn id="8" xr3:uid="{A649490E-CEB8-45E7-945A-B7051E2ECF04}" name="סוג מטבע" dataDxfId="460" dataCellStyle="Percent"/>
    <tableColumn id="9" xr3:uid="{9EC2D083-36C8-4F1E-AC6F-6E56DE2ABB08}" name="ערך נקוב" dataDxfId="459" dataCellStyle="Percent"/>
    <tableColumn id="10" xr3:uid="{F505D9A7-24A4-459B-8EEB-3AF9537A080A}" name="שער" dataDxfId="458" dataCellStyle="Percent"/>
    <tableColumn id="11" xr3:uid="{C92B24CB-3133-492A-8749-DBCF9FA9EA5F}" name="שווי שוק" dataDxfId="457" dataCellStyle="Comma"/>
    <tableColumn id="12" xr3:uid="{E90BF73E-6D4A-4E2F-A5AB-4AA1C220FD6C}" name="שעור מערך נקוב מונפק" dataDxfId="456" dataCellStyle="Percent"/>
    <tableColumn id="13" xr3:uid="{C9EB200C-3BA1-40CD-8615-999FFAE029BD}" name="שעור מנכסי אפיק ההשקעה" dataDxfId="455" dataCellStyle="Percent"/>
    <tableColumn id="14" xr3:uid="{15F8B9EC-B91D-4289-ACB5-C550DFF2D581}" name="שעור מנכסי השקעה" dataDxfId="454" dataCellStyle="Perce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DC12842-20D3-45BB-93AC-AAE6927CAA11}" name="טבלה10" displayName="טבלה10" ref="A7:K14" totalsRowShown="0" headerRowDxfId="437" dataDxfId="438" headerRowBorderDxfId="450" tableBorderDxfId="451" headerRowCellStyle="Percent" dataCellStyle="Percent">
  <autoFilter ref="A7:K14" xr:uid="{EF581FE1-36D4-424B-81D9-FF2CAF4946F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714C3BCF-C8EC-4359-BDA4-91F1DDBB8200}" name="שם המנפיק/שם נייר ערך" dataDxfId="449"/>
    <tableColumn id="2" xr3:uid="{6D56D567-6A2C-440A-876C-A46285CBF004}" name="מספר נ&quot;ע" dataDxfId="448" dataCellStyle="Percent"/>
    <tableColumn id="3" xr3:uid="{2089A311-8F96-4F84-BF0F-FF8E3EC8BF2F}" name="זירת מסחר" dataDxfId="447" dataCellStyle="Percent"/>
    <tableColumn id="4" xr3:uid="{B045D29C-DE5E-42FB-9F83-6DACAAB58E87}" name="ענף מסחר" dataDxfId="446" dataCellStyle="Percent"/>
    <tableColumn id="5" xr3:uid="{48738065-84B3-47FD-A8E6-4982E43A11C1}" name="סוג מטבע" dataDxfId="445" dataCellStyle="Percent"/>
    <tableColumn id="6" xr3:uid="{48C21B13-F08A-4503-877A-B17142CAA34A}" name="ערך נקוב" dataDxfId="444" dataCellStyle="Percent"/>
    <tableColumn id="7" xr3:uid="{9C9F4EC8-3881-44BF-BD0A-139D896313EB}" name="שער" dataDxfId="443" dataCellStyle="Percent"/>
    <tableColumn id="8" xr3:uid="{2AF03421-2DE2-461C-8A35-DEB66F3D012C}" name="שווי שוק" dataDxfId="442" dataCellStyle="Comma"/>
    <tableColumn id="9" xr3:uid="{F190E112-6628-4456-986D-A6DE47B06DE2}" name="שעור מערך נקוב מונפק" dataDxfId="441" dataCellStyle="Percent"/>
    <tableColumn id="10" xr3:uid="{454BCFF2-7F72-4F4F-9C5B-66BEDD472BDF}" name="שעור מנכסי אפיק ההשקעה" dataDxfId="440" dataCellStyle="Percent"/>
    <tableColumn id="11" xr3:uid="{A167078E-9FBB-4BED-9491-55606A305116}" name="שעור מנכסי השקעה" dataDxfId="439" dataCellStyle="Percent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C42847A-31CF-4178-A1D0-220A4AD27D0C}" name="טבלה11" displayName="טבלה11" ref="A7:K21" totalsRowShown="0" headerRowDxfId="423" headerRowBorderDxfId="435" tableBorderDxfId="436" headerRowCellStyle="Percent">
  <autoFilter ref="A7:K21" xr:uid="{E696212D-A72B-4D64-9DC7-CB4A24DFE97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8F34749E-A94B-40DC-85F6-F01456FD45C2}" name="שם המנפיק/שם נייר ערך" dataDxfId="434"/>
    <tableColumn id="2" xr3:uid="{9ED07101-0F61-437F-B671-B099D5BDA26B}" name="מספר נ&quot;ע" dataDxfId="433" dataCellStyle="Percent"/>
    <tableColumn id="3" xr3:uid="{BF8C6724-683C-4F44-9180-856BA289C8B8}" name="זירת מסחר" dataDxfId="432" dataCellStyle="Percent"/>
    <tableColumn id="4" xr3:uid="{F297A7B8-3D41-4AF2-83EF-5641FCE667AC}" name="ענף מסחר" dataDxfId="431" dataCellStyle="Percent"/>
    <tableColumn id="5" xr3:uid="{90742339-0C17-47AB-933E-E98CB1EA7208}" name="סוג מטבע" dataDxfId="430" dataCellStyle="Percent"/>
    <tableColumn id="6" xr3:uid="{2C372C63-DAFF-4279-8EFD-453835C865FB}" name="ערך נקוב" dataDxfId="429" dataCellStyle="Percent"/>
    <tableColumn id="7" xr3:uid="{63AA08FB-FBE5-455C-9D57-77156C8013C7}" name="שער" dataDxfId="428" dataCellStyle="Percent"/>
    <tableColumn id="8" xr3:uid="{BF6DB1A2-A3E9-4CBD-A0D7-8D7C72235561}" name="שווי שוק" dataDxfId="427" dataCellStyle="Comma"/>
    <tableColumn id="9" xr3:uid="{7684BFF0-C91E-40A3-916C-C56132B8F7B8}" name="שעור מערך נקוב מונפק" dataDxfId="426" dataCellStyle="Percent"/>
    <tableColumn id="10" xr3:uid="{D42DC1DD-C7AA-4605-97CD-52BD91D71EDF}" name="שעור מנכסי אפיק ההשקעה" dataDxfId="425" dataCellStyle="Percent"/>
    <tableColumn id="11" xr3:uid="{8779FF1A-2580-4ED1-9CD5-1270CCA8A1D4}" name="שעור מנכסי השקעה" dataDxfId="424" dataCellStyle="Percent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5293E4C-EBB4-4B0A-96FF-216C10A7BB40}" name="טבלה12" displayName="טבלה12" ref="A7:J14" totalsRowShown="0" headerRowDxfId="420" headerRowBorderDxfId="421" tableBorderDxfId="422" headerRowCellStyle="Percent">
  <autoFilter ref="A7:J14" xr:uid="{8ABC1388-12A9-4705-8C53-178AB6A6EC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D3B54204-B568-4030-A1CA-A9B377FD8090}" name="שם המנפיק/שם נייר ערך"/>
    <tableColumn id="2" xr3:uid="{7F852DC8-E9C9-46FF-B017-9B23F10C0089}" name="מספר נ&quot;ע"/>
    <tableColumn id="3" xr3:uid="{9129BA7D-F22B-4320-A2B0-2E2A3577B428}" name="זירת מסחר"/>
    <tableColumn id="4" xr3:uid="{6A018096-C269-4F10-AA66-47EA68481256}" name="ענף מסחר"/>
    <tableColumn id="5" xr3:uid="{20A282D2-64D7-4883-9227-E4DFC030467A}" name="סוג מטבע"/>
    <tableColumn id="6" xr3:uid="{184830D6-DBF0-4648-BD87-816B07450936}" name="ערך נקוב"/>
    <tableColumn id="7" xr3:uid="{2E09A5EA-7BB0-42F0-82B5-19A7BDC581A7}" name="שער"/>
    <tableColumn id="8" xr3:uid="{FB8BF076-44D5-4842-86A5-88D55AD643D3}" name="שווי שוק"/>
    <tableColumn id="9" xr3:uid="{FB4E91D6-AB4C-4BCC-AC74-18986352B93E}" name="שעור מנכסי אפיק ההשקעה"/>
    <tableColumn id="10" xr3:uid="{03809D93-E2A4-4B43-A140-85BB849306A6}" name="שעור מנכסי השקעה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C911F3B-8279-46C2-9E6B-DBE482F32281}" name="טבלה13" displayName="טבלה13" ref="A7:P26" totalsRowShown="0" headerRowDxfId="400" dataDxfId="401" headerRowBorderDxfId="418" tableBorderDxfId="419" headerRowCellStyle="Percent" dataCellStyle="Percent">
  <autoFilter ref="A7:P26" xr:uid="{EB3F432B-D677-46CE-9C2E-4D7C17732EC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9A1E1319-1C6A-4F3C-8BA2-EA705964B532}" name="שם המנפיק/שם נייר ערך" dataDxfId="417"/>
    <tableColumn id="2" xr3:uid="{8268D11C-75DF-49F6-9B6F-22DE83857537}" name="מספר נ&quot;ע" dataDxfId="416" dataCellStyle="Percent"/>
    <tableColumn id="3" xr3:uid="{175C9356-F7AE-4256-B5BA-2CCA4B6E6CE0}" name="נכס הבסיס" dataDxfId="415" dataCellStyle="Percent"/>
    <tableColumn id="4" xr3:uid="{FAEA821C-8196-4667-B9FC-66C065A5C193}" name="דירוג" dataDxfId="414" dataCellStyle="Percent"/>
    <tableColumn id="5" xr3:uid="{201E9896-91B2-4B96-9DA4-D52CB836D0C9}" name="שם מדרג" dataDxfId="413" dataCellStyle="Percent"/>
    <tableColumn id="6" xr3:uid="{0424C9E5-D5D6-4F21-A4E9-D566E23921FB}" name="תאריך רכישה" dataDxfId="412" dataCellStyle="Percent"/>
    <tableColumn id="7" xr3:uid="{B388ACDC-01F7-48D7-9559-1125512E0CC3}" name="מח&quot;מ" dataDxfId="411" dataCellStyle="Percent"/>
    <tableColumn id="8" xr3:uid="{E195B8E8-FD77-4E2B-A8B3-4239DFCFB1E1}" name="סוג מטבע" dataDxfId="410" dataCellStyle="Percent"/>
    <tableColumn id="9" xr3:uid="{AB894024-87FF-4BB7-95A4-30E748F37F16}" name="שעור ריבית" dataDxfId="409" dataCellStyle="Percent"/>
    <tableColumn id="10" xr3:uid="{18E91F69-6F3C-4280-90D0-6B76F92199E2}" name="תשואה לפדיון" dataDxfId="408" dataCellStyle="Percent"/>
    <tableColumn id="11" xr3:uid="{6655DCBB-FD5B-4992-A04E-58A78320C223}" name="ערך נקוב" dataDxfId="407" dataCellStyle="Percent"/>
    <tableColumn id="12" xr3:uid="{05C6EFD3-3819-4544-829B-A3822A7727A3}" name="שער" dataDxfId="406" dataCellStyle="Percent"/>
    <tableColumn id="13" xr3:uid="{C5DD1191-D4CB-48FD-97B1-A6296AF95C5F}" name="שווי שוק" dataDxfId="405" dataCellStyle="Comma"/>
    <tableColumn id="14" xr3:uid="{CDFDD6B2-4BC6-4884-92A4-9965FC075E32}" name="שעור מערך נקוב מונפק" dataDxfId="404" dataCellStyle="Percent"/>
    <tableColumn id="15" xr3:uid="{5BFD0A14-9075-42CA-B635-BD3BAAB5A2A5}" name="שעור מנכסי אפיק ההשקעה" dataDxfId="403" dataCellStyle="Percent"/>
    <tableColumn id="16" xr3:uid="{C0B5F193-B810-439F-838B-A589A5D4AFF9}" name="שעור מנכסי השקעה" dataDxfId="402" dataCellStyle="Percent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DA27FE5-A6F7-4B7F-821A-8141D02E6124}" name="טבלה14" displayName="טבלה14" ref="A7:O19" totalsRowShown="0" headerRowDxfId="382" headerRowBorderDxfId="398" tableBorderDxfId="399" headerRowCellStyle="Percent">
  <autoFilter ref="A7:O19" xr:uid="{1C17650A-D716-484C-A1CF-44347B23D16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F83B7201-F7E0-4CEC-8953-65837BFCF23E}" name="שם המנפיק/שם נייר ערך" dataDxfId="397"/>
    <tableColumn id="2" xr3:uid="{688332E3-D40A-42B7-8DC6-3A83F03AD455}" name="מספר נ&quot;ע" dataDxfId="396" dataCellStyle="Percent"/>
    <tableColumn id="3" xr3:uid="{8CF7B630-8AA3-4FD5-8E74-37C1666DAEF0}" name="דירוג" dataDxfId="395" dataCellStyle="Percent"/>
    <tableColumn id="4" xr3:uid="{42F8B7FD-BB39-4DE8-A7F0-B7ED4934B5AF}" name="שם מדרג" dataDxfId="394" dataCellStyle="Percent"/>
    <tableColumn id="5" xr3:uid="{511F2B01-AFA1-4ABA-8A15-34D67EBF868D}" name="תאריך רכישה" dataDxfId="393" dataCellStyle="Percent"/>
    <tableColumn id="6" xr3:uid="{6C7C857B-0C6C-48E4-B48F-86AD1209147C}" name="מח&quot;מ" dataDxfId="392" dataCellStyle="Percent"/>
    <tableColumn id="7" xr3:uid="{C6513D86-00C1-4CE5-A842-0BAC66513375}" name="סוג מטבע" dataDxfId="391" dataCellStyle="Percent"/>
    <tableColumn id="8" xr3:uid="{C08ABD30-ED9B-49E7-ACFE-762A8B15C8EA}" name="שעור ריבית" dataDxfId="390" dataCellStyle="Percent"/>
    <tableColumn id="9" xr3:uid="{02EA6674-14AB-4487-B009-7D0664BA31EE}" name="תשואה לפדיון" dataDxfId="389" dataCellStyle="Percent"/>
    <tableColumn id="10" xr3:uid="{878B044F-8796-4D64-BA52-8840E0D1C0D7}" name="ערך נקוב" dataDxfId="388" dataCellStyle="Percent"/>
    <tableColumn id="11" xr3:uid="{BE7DCC7E-5CC4-49D9-8E01-5362867BD2F8}" name="שער" dataDxfId="387" dataCellStyle="Percent"/>
    <tableColumn id="12" xr3:uid="{FBD01BDE-A569-412F-8450-B122EAE08B6E}" name="שווי הוגן" dataDxfId="386" dataCellStyle="Comma"/>
    <tableColumn id="13" xr3:uid="{4B75BF73-B42B-4688-A668-B9B91A836A9A}" name="שעור מערך נקוב מונפק" dataDxfId="385" dataCellStyle="Percent"/>
    <tableColumn id="14" xr3:uid="{2D9788EF-B63F-4077-8760-1450F3BE308A}" name="שעור מנכסי אפיק ההשקעה" dataDxfId="384" dataCellStyle="Percent"/>
    <tableColumn id="15" xr3:uid="{9741A823-8EBA-46A3-87A7-06EBA84783B7}" name="שעור מנכסי השקעה" dataDxfId="383" dataCellStyle="Percent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C394743-B44D-4836-9FC7-A6F0520B852A}" name="טבלה15" displayName="טבלה15" ref="A7:R18" totalsRowShown="0" headerRowDxfId="361" headerRowBorderDxfId="380" tableBorderDxfId="381" headerRowCellStyle="Percent">
  <autoFilter ref="A7:R18" xr:uid="{86ADE5CF-9B75-433C-9D79-5DC61C2D1F1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45B125AD-5308-4601-BD94-26D6FF5036C6}" name="שם המנפיק/שם נייר ערך" dataDxfId="379"/>
    <tableColumn id="2" xr3:uid="{5154D250-A1BE-4B40-B52F-9CA899BAB4C0}" name="מספר נ&quot;ע" dataDxfId="378" dataCellStyle="Percent"/>
    <tableColumn id="3" xr3:uid="{BE6D3FFA-E65F-4BA2-8692-D5CADC548EA9}" name="ספק המידע" dataDxfId="377" dataCellStyle="Percent"/>
    <tableColumn id="4" xr3:uid="{7DE514FB-A434-49AD-91DD-1CE3F6A4161E}" name="מספר מנפיק" dataDxfId="376" dataCellStyle="Percent"/>
    <tableColumn id="5" xr3:uid="{6ABF8B19-5FC7-4B5C-9D49-91E619CD9EF3}" name="ענף מסחר" dataDxfId="375" dataCellStyle="Percent"/>
    <tableColumn id="6" xr3:uid="{E99AE3F8-882D-43D5-9563-65D2024A2EF0}" name="דירוג" dataDxfId="374" dataCellStyle="Percent"/>
    <tableColumn id="7" xr3:uid="{89611294-F1A9-4BBB-8241-B36EDC432D4D}" name="שם מדרג" dataDxfId="373" dataCellStyle="Percent"/>
    <tableColumn id="8" xr3:uid="{DCC57F67-C070-4606-8E61-F1133AC64AC3}" name="תאריך רכישה" dataDxfId="372" dataCellStyle="Percent"/>
    <tableColumn id="9" xr3:uid="{810BAC10-AC3A-4F68-B923-1980DD3468DC}" name="מח&quot;מ" dataDxfId="371" dataCellStyle="Percent"/>
    <tableColumn id="10" xr3:uid="{674769F1-70CB-4950-94D2-4E0ED6E0633F}" name="סוג מטבע" dataDxfId="370" dataCellStyle="Percent"/>
    <tableColumn id="11" xr3:uid="{D3DB0724-2955-45CA-8B65-E65AC967F8AC}" name="שעור ריבית" dataDxfId="369" dataCellStyle="Percent"/>
    <tableColumn id="12" xr3:uid="{6B464B21-AFA3-43D6-AFDB-8112071E1E3F}" name="תשואה לפדיון" dataDxfId="368" dataCellStyle="Percent"/>
    <tableColumn id="13" xr3:uid="{D77248D5-BA31-4FDA-B076-7980A0B1E27A}" name="ערך נקוב" dataDxfId="367" dataCellStyle="Percent"/>
    <tableColumn id="14" xr3:uid="{B2ABD6BD-642D-4F0B-8D21-9387093C0795}" name="שער" dataDxfId="366" dataCellStyle="Percent"/>
    <tableColumn id="15" xr3:uid="{7403F8FF-BC98-4F10-85C4-F5EB042E8986}" name="שווי הוגן" dataDxfId="365" dataCellStyle="Comma"/>
    <tableColumn id="16" xr3:uid="{35D36353-80CC-4806-87EF-229372517AB3}" name="שעור מערך נקוב מונפק" dataDxfId="364" dataCellStyle="Percent"/>
    <tableColumn id="17" xr3:uid="{FC0B086B-8146-4E28-AA45-868B8420A5A1}" name="שעור מנכסי אפיק ההשקעה" dataDxfId="363" dataCellStyle="Percent"/>
    <tableColumn id="18" xr3:uid="{EA1EA66C-71AA-4C02-8B23-94CD8855612C}" name="שעור מנכסי השקעה" dataDxfId="362" dataCellStyle="Percent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58EBAE3-7C97-4534-8B0D-94FB9E74ABF7}" name="טבלה16" displayName="טבלה16" ref="A7:R41" totalsRowShown="0" headerRowDxfId="339" dataDxfId="340" headerRowBorderDxfId="359" tableBorderDxfId="360" headerRowCellStyle="Percent" dataCellStyle="Percent">
  <autoFilter ref="A7:R41" xr:uid="{D7C5B321-0258-47A7-A0C3-1A285CC78B1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E71513CB-C8CD-4916-BBEF-CF2AFC193F52}" name="שם המנפיק/שם נייר ערך" dataDxfId="358"/>
    <tableColumn id="2" xr3:uid="{DB8CE4D9-F3B7-4ABF-BABB-98BF77F8662F}" name="מספר נ&quot;ע" dataDxfId="357" dataCellStyle="Percent"/>
    <tableColumn id="3" xr3:uid="{8002C3A8-3F6B-4923-B190-23487084AE95}" name="ספק המידע" dataDxfId="356" dataCellStyle="Percent"/>
    <tableColumn id="4" xr3:uid="{E0C56666-583D-401F-8B3C-B06699707723}" name="מספר מנפיק" dataDxfId="355" dataCellStyle="Percent"/>
    <tableColumn id="5" xr3:uid="{06DD576A-41B6-4300-A93E-9799F7346C1D}" name="ענף מסחר" dataDxfId="354" dataCellStyle="Percent"/>
    <tableColumn id="6" xr3:uid="{A517517B-36A7-465F-BF5D-5DCC7BC912C4}" name="דירוג" dataDxfId="353" dataCellStyle="Percent"/>
    <tableColumn id="7" xr3:uid="{96E2354F-29C6-4CCB-B192-94CF46117565}" name="שם מדרג" dataDxfId="352" dataCellStyle="Percent"/>
    <tableColumn id="8" xr3:uid="{564CF2E1-4F54-453F-97F8-290F8F4087DD}" name="תאריך רכישה" dataDxfId="351" dataCellStyle="Percent"/>
    <tableColumn id="9" xr3:uid="{02717CCE-B610-49C2-B495-6B21217DBC87}" name="מח&quot;מ" dataDxfId="350" dataCellStyle="Percent"/>
    <tableColumn id="10" xr3:uid="{B625B143-CC75-48B9-A820-434150692522}" name="סוג מטבע" dataDxfId="349" dataCellStyle="Percent"/>
    <tableColumn id="11" xr3:uid="{0B60ECC0-FFD2-4F1B-8DB7-7B0D939080DB}" name="שעור ריבית" dataDxfId="348" dataCellStyle="Percent"/>
    <tableColumn id="12" xr3:uid="{46641075-8C2E-4625-A388-CBF48A3C456C}" name="תשואה לפדיון" dataDxfId="347" dataCellStyle="Percent"/>
    <tableColumn id="13" xr3:uid="{6072C5C4-1744-49B8-9F2A-45090066066A}" name="ערך נקוב" dataDxfId="346" dataCellStyle="Percent"/>
    <tableColumn id="14" xr3:uid="{EECFB3B7-4298-45BB-91C0-3BA2C3749F6A}" name="שער" dataDxfId="345" dataCellStyle="Percent"/>
    <tableColumn id="15" xr3:uid="{DCACDC31-AC90-4981-A74F-E9BFDAB8B905}" name="שווי הוגן" dataDxfId="344" dataCellStyle="Comma"/>
    <tableColumn id="16" xr3:uid="{560DAB51-90EC-441F-929C-5BFB5641EFF0}" name="שעור מערך נקוב מונפק" dataDxfId="343" dataCellStyle="Percent"/>
    <tableColumn id="17" xr3:uid="{66AFAABC-6194-4256-81D2-1B53E73CA570}" name="שעור מנכסי אפיק ההשקעה" dataDxfId="342" dataCellStyle="Percent"/>
    <tableColumn id="18" xr3:uid="{90317169-4A4B-48BE-96B1-256881ABA73B}" name="שעור מנכסי השקעה" dataDxfId="341" dataCellStyle="Percent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9C587F0-0992-4A65-844A-012C917116DB}" name="טבלה17" displayName="טבלה17" ref="A7:L15" totalsRowShown="0" headerRowDxfId="323" dataDxfId="324" headerRowBorderDxfId="337" tableBorderDxfId="338" headerRowCellStyle="Percent" dataCellStyle="Percent">
  <autoFilter ref="A7:L15" xr:uid="{EDB31FC6-44FC-4A74-894F-5EDE6271B6F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2A278202-1AE6-4551-9218-A0B9E40841D2}" name="שם המנפיק/שם נייר ערך" dataDxfId="336"/>
    <tableColumn id="2" xr3:uid="{7908DF9C-54C6-4F97-867B-4E90C57DFAAC}" name="מספר נ&quot;ע" dataDxfId="335" dataCellStyle="Percent"/>
    <tableColumn id="3" xr3:uid="{34F7449D-EEB3-40E1-B238-7F9C42D51A13}" name="ספק המידע" dataDxfId="334" dataCellStyle="Percent"/>
    <tableColumn id="4" xr3:uid="{75B884F2-AC50-49A2-B062-8902779D8803}" name="מספר מנפיק" dataDxfId="333" dataCellStyle="Percent"/>
    <tableColumn id="5" xr3:uid="{7E824B4F-69C9-4841-842D-3A1FDAF22C27}" name="ענף מסחר" dataDxfId="332" dataCellStyle="Percent"/>
    <tableColumn id="6" xr3:uid="{65AD2D8A-CC2A-47D3-B3F4-58D133B3241D}" name="סוג מטבע" dataDxfId="331" dataCellStyle="Percent"/>
    <tableColumn id="7" xr3:uid="{0D84F933-94CB-4771-9532-BA30CF99A16A}" name="ערך נקוב" dataDxfId="330" dataCellStyle="Percent"/>
    <tableColumn id="8" xr3:uid="{7CD4FDF6-2565-4F17-829C-212864FCAD35}" name="שער" dataDxfId="329" dataCellStyle="Percent"/>
    <tableColumn id="9" xr3:uid="{9BB2A6C3-9F34-4FCB-8961-E344981F0500}" name="שווי שוק" dataDxfId="328" dataCellStyle="Comma"/>
    <tableColumn id="10" xr3:uid="{9B2D0B84-3856-485C-8B5B-EE7D122620D4}" name="שעור מערך נקוב מונפק" dataDxfId="327" dataCellStyle="Percent"/>
    <tableColumn id="11" xr3:uid="{A530A51A-13D5-4352-844C-52804A9AD90C}" name="שעור מנכסי אפיק ההשקעה" dataDxfId="326" dataCellStyle="Percent"/>
    <tableColumn id="12" xr3:uid="{55BAB267-4E4F-4C75-A298-BC2E18DA3240}" name="שעור מנכסי השקעה" dataDxfId="325" dataCellStyle="Percent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D1DCA8F-638A-4970-B537-156C040D3312}" name="טבלה18" displayName="טבלה18" ref="A7:J25" totalsRowShown="0" headerRowDxfId="309" dataDxfId="310" headerRowBorderDxfId="321" tableBorderDxfId="322" headerRowCellStyle="Percent" dataCellStyle="Percent">
  <autoFilter ref="A7:J25" xr:uid="{98F35BA8-1DD7-4B4A-83DC-50BD6E4314D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19EC8ABC-9510-44AD-911F-4308F266BB3B}" name="שם המנפיק/שם נייר ערך" dataDxfId="320"/>
    <tableColumn id="2" xr3:uid="{05E5701F-928B-4C5B-96B3-3D77395E2E54}" name="מספר נ&quot;ע" dataDxfId="319" dataCellStyle="Percent"/>
    <tableColumn id="3" xr3:uid="{C59B4EDC-5D07-46C8-AB5C-9F23E4F54138}" name="סוג מטבע" dataDxfId="318" dataCellStyle="Percent"/>
    <tableColumn id="4" xr3:uid="{68002DFF-8BF0-4706-9C72-EAA039928884}" name="תאריך רכישה" dataDxfId="317" dataCellStyle="Percent"/>
    <tableColumn id="5" xr3:uid="{4CE9CC79-DFCE-4307-ACEF-E148D5EEB723}" name="ערך נקוב" dataDxfId="316" dataCellStyle="Percent"/>
    <tableColumn id="6" xr3:uid="{C2F71A91-C911-4397-BF1A-0882F4886469}" name="שער" dataDxfId="315" dataCellStyle="Percent"/>
    <tableColumn id="7" xr3:uid="{40D84223-6925-48C1-95CA-061E093065A7}" name="שווי הוגן" dataDxfId="314" dataCellStyle="Comma"/>
    <tableColumn id="8" xr3:uid="{DD9F37AE-E6FF-4075-A6D0-459110B8FFA0}" name="שעור מערך נקוב מונפק" dataDxfId="313" dataCellStyle="Percent"/>
    <tableColumn id="9" xr3:uid="{BF30EF76-C243-4EB2-82CD-11C251D85F94}" name="שעור מנכסי אפיק ההשקעה" dataDxfId="312" dataCellStyle="Percent"/>
    <tableColumn id="10" xr3:uid="{CADF3D00-D0A2-45E8-B5EB-DB79C4594ED1}" name="שעור מנכסי השקעה" dataDxfId="311" dataCellStyle="Percent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38A51C0-EA29-479D-853C-E1D0D4858D39}" name="טבלה19" displayName="טבלה19" ref="A7:K12" totalsRowShown="0" headerRowDxfId="306" headerRowBorderDxfId="307" tableBorderDxfId="308" headerRowCellStyle="Percent">
  <autoFilter ref="A7:K12" xr:uid="{523CDABB-0C55-4F80-A110-C67FE407A6C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B7C2AB0C-9E55-4409-9EF1-407F0A969A76}" name="שם המנפיק/שם נייר ערך"/>
    <tableColumn id="2" xr3:uid="{A5466B5E-4F1A-4D8E-8408-62CAFA1A7D90}" name="מספר נ&quot;ע"/>
    <tableColumn id="3" xr3:uid="{B724657E-EB66-4D63-BD08-7AF62AEC65A5}" name="ענף מסחר"/>
    <tableColumn id="4" xr3:uid="{5B25FC75-1C57-48B3-A3F4-CFE7B7BB66FD}" name="סוג מטבע"/>
    <tableColumn id="5" xr3:uid="{15F17DA4-9BC0-4B94-80BE-51AA7BF33346}" name="תאריך רכישה"/>
    <tableColumn id="6" xr3:uid="{A76ACA61-213F-4E44-A0FE-B35228981672}" name="ערך נקוב"/>
    <tableColumn id="7" xr3:uid="{E93B58FC-AFAD-4C19-BA9A-85672BA9C1CF}" name="שער"/>
    <tableColumn id="8" xr3:uid="{12D714A7-ED10-4697-ABEF-F0EA0D9FB3FF}" name="שווי הוגן"/>
    <tableColumn id="9" xr3:uid="{1269D6B3-11CC-4DD9-BF93-18B1D2BFCEDA}" name="שעור מערך נקוב מונפק"/>
    <tableColumn id="10" xr3:uid="{A615F95E-8630-480B-84C0-6F3BEEC2F1A5}" name="שעור מנכסי אפיק ההשקעה"/>
    <tableColumn id="11" xr3:uid="{386ECB3D-26AF-4A08-B14A-B49B90EAC7E3}" name="שעור מנכסי השקעה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460EC32-410C-474D-83D0-A9A269C2EA8D}" name="טבלה20" displayName="טבלה20" ref="A7:K36" totalsRowShown="0" headerRowDxfId="291" dataDxfId="292" headerRowBorderDxfId="304" tableBorderDxfId="305" headerRowCellStyle="Percent" dataCellStyle="Percent">
  <autoFilter ref="A7:K36" xr:uid="{6F614553-B53E-4E21-B67B-575542730C6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E3792C1-6E5B-4449-BB64-FAE8BE35593F}" name="שם המנפיק/שם נייר ערך" dataDxfId="303"/>
    <tableColumn id="2" xr3:uid="{E5A32A96-9DAA-4F5A-8B62-092FF9620341}" name="מספר נ&quot;ע" dataDxfId="302" dataCellStyle="Percent"/>
    <tableColumn id="3" xr3:uid="{905BD072-235F-4D2F-8D9C-DB357F0F1736}" name="ענף מסחר" dataDxfId="301" dataCellStyle="Percent"/>
    <tableColumn id="4" xr3:uid="{9B6EF4FC-680E-44FE-B65B-CCF2F08CC4FF}" name="סוג מטבע" dataDxfId="300" dataCellStyle="Percent"/>
    <tableColumn id="5" xr3:uid="{0E06F157-0E58-4183-ABAD-B149A4BCF4E9}" name="תאריך רכישה" dataDxfId="299" dataCellStyle="Percent"/>
    <tableColumn id="6" xr3:uid="{540B1454-8726-4AB3-BD51-9697DF92FE95}" name="ערך נקוב" dataDxfId="298" dataCellStyle="Percent"/>
    <tableColumn id="7" xr3:uid="{B98EAE20-7563-4E40-AED9-7362C5670B28}" name="שער" dataDxfId="297" dataCellStyle="Percent"/>
    <tableColumn id="8" xr3:uid="{35554C3D-3263-4F56-BC94-FD9B3295E46A}" name="שווי הוגן" dataDxfId="296" dataCellStyle="Comma"/>
    <tableColumn id="9" xr3:uid="{5E6D705F-7BF4-4E5C-995D-91BD407D33FE}" name="שעור מערך נקוב מונפק" dataDxfId="295" dataCellStyle="Percent"/>
    <tableColumn id="10" xr3:uid="{CB0AD120-0C98-4C6C-BB6F-51470739367A}" name="שעור מנכסי אפיק ההשקעה" dataDxfId="294" dataCellStyle="Percent"/>
    <tableColumn id="11" xr3:uid="{2FCA2877-5AD6-440D-9CF3-2F866620F595}" name="שעור מנכסי השקעה" dataDxfId="293" dataCellStyle="Percent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93BB3766-DC30-4CE5-9C65-C7DFE9D417C9}" name="טבלה21" displayName="טבלה21" ref="A7:J103" totalsRowShown="0" headerRowDxfId="277" dataDxfId="278" headerRowBorderDxfId="289" tableBorderDxfId="290" headerRowCellStyle="Percent" dataCellStyle="Percent">
  <autoFilter ref="A7:J103" xr:uid="{2D1B197F-406C-43A5-98CD-17FA19F3BAC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2F92C74C-70E8-4A75-85EC-7FCCA4D8A987}" name="שם המנפיק/שם נייר ערך" dataDxfId="288"/>
    <tableColumn id="2" xr3:uid="{269BE1C3-440C-4944-9A32-CD4450F68D5B}" name="מספר נ&quot;ע" dataDxfId="287" dataCellStyle="Percent"/>
    <tableColumn id="3" xr3:uid="{A57F2226-E446-4BBE-8D09-833576E30218}" name="ענף מסחר" dataDxfId="286" dataCellStyle="Percent"/>
    <tableColumn id="4" xr3:uid="{1ADE1744-02BB-4724-8F94-3CF7EC36E27B}" name="סוג מטבע" dataDxfId="285" dataCellStyle="Percent"/>
    <tableColumn id="5" xr3:uid="{D65D63D6-1030-4290-8FCD-C8EC01EE2142}" name="תאריך רכישה" dataDxfId="284" dataCellStyle="Percent"/>
    <tableColumn id="6" xr3:uid="{4D572D0D-A94C-4C82-8313-1BDA87AEC3CD}" name="ערך נקוב" dataDxfId="283" dataCellStyle="Percent"/>
    <tableColumn id="7" xr3:uid="{831CF96E-3336-42A8-B1D7-6E5D98F39C75}" name="שער" dataDxfId="282" dataCellStyle="Percent"/>
    <tableColumn id="8" xr3:uid="{B83E9215-23CB-46B7-9CA4-9EEFDAE6AF66}" name="שווי הוגן" dataDxfId="281" dataCellStyle="Comma"/>
    <tableColumn id="9" xr3:uid="{956153AA-A144-4976-83E8-66ADCE889067}" name="שעור מנכסי אפיק ההשקעה" dataDxfId="280" dataCellStyle="Percent"/>
    <tableColumn id="10" xr3:uid="{C3F4E91E-E317-46E3-8B4E-3221DBF703B4}" name="שעור מנכסי השקעה" dataDxfId="279" dataCellStyle="Percent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50681D68-2780-4487-BB75-6416B4685675}" name="טבלה22" displayName="טבלה22" ref="A7:P26" totalsRowShown="0" headerRowDxfId="257" dataDxfId="258" headerRowBorderDxfId="275" tableBorderDxfId="276" headerRowCellStyle="Percent" dataCellStyle="Percent">
  <autoFilter ref="A7:P26" xr:uid="{F5A105D3-90B1-4E4A-8BA2-686DC2A8322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D50BC07C-61B6-4785-954F-6A4B5DE73C0A}" name="שם המנפיק/שם נייר ערך" dataDxfId="274"/>
    <tableColumn id="2" xr3:uid="{3F40EE2E-BB25-4167-85A5-BF81DECF646D}" name="מספר נ&quot;ע" dataDxfId="273" dataCellStyle="Percent"/>
    <tableColumn id="3" xr3:uid="{C4332070-CF69-4CC6-85D5-2378048ABBEA}" name="נכס הבסיס" dataDxfId="272" dataCellStyle="Percent"/>
    <tableColumn id="4" xr3:uid="{6CF18F2E-A379-46F1-9CBD-4D56877F4816}" name="דירוג" dataDxfId="271" dataCellStyle="Percent"/>
    <tableColumn id="5" xr3:uid="{EBC654C3-0E8A-4388-8D0C-26ABA99E6FD9}" name="שם מדרג" dataDxfId="270" dataCellStyle="Percent"/>
    <tableColumn id="6" xr3:uid="{1980A670-D69B-4266-89E7-0414B04CB6AF}" name="תאריך רכישה" dataDxfId="269" dataCellStyle="Percent"/>
    <tableColumn id="7" xr3:uid="{AB6ED9DF-4756-49F9-BAB9-15A00FBCCB2D}" name="מח&quot;מ" dataDxfId="268" dataCellStyle="Percent"/>
    <tableColumn id="8" xr3:uid="{B482C238-4903-4C85-8128-71BE271C6754}" name="סוג מטבע" dataDxfId="267" dataCellStyle="Percent"/>
    <tableColumn id="9" xr3:uid="{16DAB870-A1D0-4F9D-A21F-999FC55FEB6C}" name="שעור ריבית" dataDxfId="266" dataCellStyle="Percent"/>
    <tableColumn id="10" xr3:uid="{5FEA9A5F-6961-4022-AC2D-DBB2B0513AD7}" name="תשואה לפדיון" dataDxfId="265" dataCellStyle="Percent"/>
    <tableColumn id="11" xr3:uid="{B1C82720-8AF2-424A-A2BB-2CCBBBBC39FD}" name="ערך נקוב" dataDxfId="264" dataCellStyle="Percent"/>
    <tableColumn id="12" xr3:uid="{97E12891-73B4-40B0-A7DC-E5C03F62B44C}" name="שער" dataDxfId="263" dataCellStyle="Percent"/>
    <tableColumn id="13" xr3:uid="{FF3D2D4A-608E-4172-B32B-3ED5D263F3C0}" name="שווי שוק" dataDxfId="262" dataCellStyle="Comma"/>
    <tableColumn id="14" xr3:uid="{5FDB0D8F-6EF9-4184-9CD3-34664424B4C1}" name="שעור מערך נקוב מונפק" dataDxfId="261" dataCellStyle="Percent"/>
    <tableColumn id="15" xr3:uid="{D1AC6506-C705-49A5-984F-0324FAFCC9B1}" name="שעור מנכסי אפיק ההשקעה" dataDxfId="260" dataCellStyle="Percent"/>
    <tableColumn id="16" xr3:uid="{13D17631-DB0F-45D0-BA51-09504803E5F7}" name="שעור מנכסי השקעה" dataDxfId="259" dataCellStyle="Percent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3F3D864B-46CB-4EAC-98A8-8DCBD6A040AF}" name="טבלה23" displayName="טבלה23" ref="A6:Q241" totalsRowShown="0" headerRowDxfId="236" dataDxfId="237" headerRowBorderDxfId="255" tableBorderDxfId="256" headerRowCellStyle="Percent" dataCellStyle="Percent">
  <autoFilter ref="A6:Q241" xr:uid="{D09A9287-4458-4B75-87B6-0A77C2C8E7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2826E818-66B8-49C4-9BB3-1D7EA85610EB}" name="שם המנפיק/שם נייר ערך" dataDxfId="254"/>
    <tableColumn id="2" xr3:uid="{FA8D10ED-55D9-43A3-9A0B-B9B009BD6FA7}" name="קונסורציום" dataDxfId="253" dataCellStyle="Percent"/>
    <tableColumn id="3" xr3:uid="{B77171D6-B16E-4755-ABDC-670A1F8758E9}" name="מספר נ&quot;ע" dataDxfId="252" dataCellStyle="Percent"/>
    <tableColumn id="4" xr3:uid="{00ACCECC-2E33-48D2-AE52-A694D6CB629C}" name="מספר מנפיק" dataDxfId="251" dataCellStyle="Percent"/>
    <tableColumn id="5" xr3:uid="{559811BA-E31A-4E69-943B-5904BA8A3051}" name="דירוג" dataDxfId="250" dataCellStyle="Percent"/>
    <tableColumn id="6" xr3:uid="{665DD316-0F3A-456F-A6BF-57B1ED24DF4C}" name="תאריך רכישה" dataDxfId="249" dataCellStyle="Percent"/>
    <tableColumn id="7" xr3:uid="{8900933F-567B-4AFA-842B-D775AF5AFC4F}" name="שם מדרג" dataDxfId="248" dataCellStyle="Percent"/>
    <tableColumn id="8" xr3:uid="{7A29FA49-CF9E-4035-93CC-FF592F85E891}" name="מח&quot;מ" dataDxfId="247" dataCellStyle="Percent"/>
    <tableColumn id="9" xr3:uid="{CDA2733B-16D5-4BD7-A1E5-0177AF924A7D}" name="ענף משק" dataDxfId="246" dataCellStyle="Percent"/>
    <tableColumn id="10" xr3:uid="{418D76AF-6742-4C86-9B0F-59AF2FC0D9EE}" name="סוג מטבע" dataDxfId="245" dataCellStyle="Percent"/>
    <tableColumn id="11" xr3:uid="{704E2640-E80D-42B6-A3D9-8C0FEF8BC390}" name="שעור ריבית ממוצע" dataDxfId="244" dataCellStyle="Percent"/>
    <tableColumn id="12" xr3:uid="{7D9737AE-53D8-4375-A723-231C827DAB11}" name="תשואה לפדיון" dataDxfId="243" dataCellStyle="Percent"/>
    <tableColumn id="13" xr3:uid="{AF786B5B-8CDC-40D6-A431-F821BFF14C50}" name="ערך נקוב" dataDxfId="242" dataCellStyle="Comma"/>
    <tableColumn id="14" xr3:uid="{949D0D95-D74C-47D9-A40A-2EEE51B5C91D}" name="שער" dataDxfId="241" dataCellStyle="Percent"/>
    <tableColumn id="15" xr3:uid="{FDB024B8-E3DB-44A0-9522-8318DAABDD5F}" name="שווי הוגן" dataDxfId="240" dataCellStyle="Comma"/>
    <tableColumn id="16" xr3:uid="{8DE85493-E0F7-4807-BEF2-4F4C2D83A21D}" name="שעור מנכסי אפיק ההשקעה" dataDxfId="239" dataCellStyle="Percent"/>
    <tableColumn id="17" xr3:uid="{01DD395C-07A4-4278-8D46-BDCFBBFAD22A}" name="שעור מנכסי השקעה" dataDxfId="238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DE43575C-D3E1-440E-A513-BA4FF9F748FF}" name="טבלה24" displayName="טבלה24" ref="A6:N16" totalsRowShown="0" headerRowDxfId="218" dataDxfId="219" headerRowBorderDxfId="234" tableBorderDxfId="235" headerRowCellStyle="Percent" dataCellStyle="Percent">
  <autoFilter ref="A6:N16" xr:uid="{30E81829-78C6-47B1-A429-208FCCEE58C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201CD847-D9BB-447D-97BF-416AA2E84D80}" name="שם המנפיק/שם נייר ערך" dataDxfId="233"/>
    <tableColumn id="2" xr3:uid="{C601D1E6-D3D1-47A0-96E5-9BA6D5F34FE7}" name="מספר נ&quot;ע" dataDxfId="232" dataCellStyle="Percent"/>
    <tableColumn id="3" xr3:uid="{09314450-F25A-4F6F-891B-6C69C5DF28BA}" name="מספר מנפיק" dataDxfId="231" dataCellStyle="Percent"/>
    <tableColumn id="4" xr3:uid="{42279DCD-750F-4791-BF62-311502D5CA34}" name="דירוג" dataDxfId="230" dataCellStyle="Percent"/>
    <tableColumn id="5" xr3:uid="{2A7278BC-55E6-44C3-9CBD-FB7DF88E9F4D}" name="שם מדרג" dataDxfId="229" dataCellStyle="Percent"/>
    <tableColumn id="6" xr3:uid="{F1E613FF-B9D2-47F0-ADB7-A7D1AC209339}" name="מח&quot;מ" dataDxfId="228" dataCellStyle="Percent"/>
    <tableColumn id="7" xr3:uid="{D9E3BAAA-CB12-440D-815A-40E210964753}" name="סוג מטבע" dataDxfId="227" dataCellStyle="Percent"/>
    <tableColumn id="8" xr3:uid="{9D992A71-CD5F-4CB3-B44B-292898DEEE92}" name="תנאי ושיעור ריבית" dataDxfId="226" dataCellStyle="Percent"/>
    <tableColumn id="9" xr3:uid="{5E717080-C495-423E-B66C-FA059E2EDB2C}" name="תשואה לפדיון" dataDxfId="225" dataCellStyle="Percent"/>
    <tableColumn id="10" xr3:uid="{5E1D3C87-4F44-448D-8F2A-4EBF02CCC899}" name="ערך נקוב" dataDxfId="224" dataCellStyle="Percent"/>
    <tableColumn id="11" xr3:uid="{3965417D-726D-4104-BFAB-DCA56503C1D1}" name="שער" dataDxfId="223" dataCellStyle="Percent"/>
    <tableColumn id="12" xr3:uid="{1CD8ED1E-C9F9-4868-97DC-7FAE8396D930}" name="שווי הוגן" dataDxfId="222" dataCellStyle="Comma"/>
    <tableColumn id="13" xr3:uid="{C9ED8B13-A17D-43C2-933C-C8B3D1A5896C}" name="שעור מנכסי אפיק ההשקעה" dataDxfId="221" dataCellStyle="Percent"/>
    <tableColumn id="14" xr3:uid="{EC7C2DD8-5843-4930-BB72-CD41259C9ABA}" name="שעור מנכסי השקעה" dataDxfId="220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422F72B7-325A-41F2-BA04-8B0953021151}" name="טבלה25" displayName="טבלה25" ref="A6:I15" totalsRowShown="0" headerRowDxfId="205" dataDxfId="206" headerRowBorderDxfId="216" tableBorderDxfId="217" headerRowCellStyle="Percent" dataCellStyle="Percent">
  <autoFilter ref="A6:I15" xr:uid="{2342958E-2CB9-4317-954D-97BA64A86AF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F8606780-F17F-4291-9218-BE491952BBF3}" name="שם המנפיק/שם נייר ערך" dataDxfId="215"/>
    <tableColumn id="2" xr3:uid="{B0BF9CFD-7D72-4D64-BE00-6807EDFC497F}" name="תאריך שערוך אחרון" dataDxfId="214" dataCellStyle="Percent"/>
    <tableColumn id="3" xr3:uid="{309F65BB-FBA0-424D-A6E0-C54D47DC7FE1}" name="אופי הנכס" dataDxfId="213" dataCellStyle="Percent"/>
    <tableColumn id="4" xr3:uid="{E3D3D7BC-B415-4E69-8D3A-8B3AEE9F98F0}" name="שעור תשואה במהלך התקופה" dataDxfId="212" dataCellStyle="Percent"/>
    <tableColumn id="5" xr3:uid="{EA4D1183-D7CF-49DE-961E-1DD4FFFE4242}" name="סוג מטבע" dataDxfId="211" dataCellStyle="Percent"/>
    <tableColumn id="6" xr3:uid="{AC363BA4-63B3-43AC-A008-A33960AA0451}" name="שווי משוערך" dataDxfId="210" dataCellStyle="Comma"/>
    <tableColumn id="7" xr3:uid="{811B1EBF-7DB7-419D-A1DD-B5DFF03DC633}" name="שעור מנכסי אפיק ההשקעה" dataDxfId="209" dataCellStyle="Percent"/>
    <tableColumn id="8" xr3:uid="{51CAD7ED-91EF-4F12-A71A-E52ADDD3B9D6}" name="שעור מנכסי השקעה" dataDxfId="208" dataCellStyle="Percent"/>
    <tableColumn id="9" xr3:uid="{F098DA92-A068-4050-A0E4-F030A119263E}" name="כתובת הנכס" dataDxfId="207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3285235-89E6-483D-A8E8-BF2266314062}" name="טבלה26" displayName="טבלה26" ref="A6:J11" totalsRowShown="0" headerRowDxfId="202" headerRowBorderDxfId="203" tableBorderDxfId="204" headerRowCellStyle="Percent">
  <autoFilter ref="A6:J11" xr:uid="{28CC6A89-4C17-4F87-8C09-764AEE5EE2A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5781EA18-0B42-4781-B9C5-8E93724FC05A}" name="שם המנפיק/שם נייר ערך"/>
    <tableColumn id="2" xr3:uid="{F7EEB232-A692-484F-B3AD-4AF9B75E598C}" name="מספר מנפיק"/>
    <tableColumn id="3" xr3:uid="{D69BBAD5-F103-4EB0-85E3-A531854519D8}" name="דירוג"/>
    <tableColumn id="4" xr3:uid="{55A2AE70-0F86-4996-8B9D-631A10E0A73E}" name="שם המדרג"/>
    <tableColumn id="5" xr3:uid="{00521BBC-DB0E-4037-AEEF-453336E16AF6}" name="שעור הריבית"/>
    <tableColumn id="6" xr3:uid="{AF35C5EE-94B0-4D19-B826-1F59BF79C0C7}" name="סוג מטבע"/>
    <tableColumn id="7" xr3:uid="{A99A1B7B-055E-41E7-9004-665BBBF436C6}" name="תשואה לפדיון"/>
    <tableColumn id="8" xr3:uid="{A00FD69A-266D-401F-87A4-134323734DDD}" name="שווי הוגן"/>
    <tableColumn id="9" xr3:uid="{4FFF653B-B440-44C2-85E5-E5A98D17D80A}" name="שעור מנכסי אפיק ההשקעה"/>
    <tableColumn id="10" xr3:uid="{86B4CD37-3A9D-4115-A587-C5D4438FCBA2}" name="שעור מסך נכסי השקעה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F4AB5690-004A-4D4A-9559-FA821EE59562}" name="טבלה27" displayName="טבלה27" ref="A6:J25" totalsRowShown="0" headerRowDxfId="189" headerRowBorderDxfId="200" tableBorderDxfId="201" headerRowCellStyle="Percent">
  <autoFilter ref="A6:J25" xr:uid="{FF71A1EF-9CDF-46B6-B4D9-26CBF8E764E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AA8FF7FF-7CA0-4AC8-9DF9-AEF6ADFA4026}" name="שם המנפיק/שם נייר ערך" dataDxfId="199"/>
    <tableColumn id="2" xr3:uid="{96D0B6E2-5A86-478B-9892-F37B3227630F}" name="מספר נייר" dataDxfId="198" dataCellStyle="Percent"/>
    <tableColumn id="3" xr3:uid="{8C5BBA30-A757-42F0-AA64-ACE34C22ABB9}" name="דירוג" dataDxfId="197" dataCellStyle="Percent"/>
    <tableColumn id="4" xr3:uid="{F3852106-4013-47C5-B96C-2D4D5CAA4D0A}" name="שם מדרג" dataDxfId="196" dataCellStyle="Percent"/>
    <tableColumn id="5" xr3:uid="{8C52FC3C-5DDE-4FFD-8F81-F559B1495FF7}" name="שעור ריבית" dataDxfId="195" dataCellStyle="Percent"/>
    <tableColumn id="6" xr3:uid="{0A91C281-1A7D-48BB-96EA-D288C0217EFE}" name="סוג מטבע" dataDxfId="194" dataCellStyle="Comma"/>
    <tableColumn id="7" xr3:uid="{C511C6A5-696D-43C7-81AC-80CFD7408B1F}" name="תשואה לפדיון" dataDxfId="193" dataCellStyle="Percent"/>
    <tableColumn id="8" xr3:uid="{0D65454E-89E1-4AE2-AB6F-9CD5D1D73B52}" name="שווי הוגן" dataDxfId="192" dataCellStyle="Comma"/>
    <tableColumn id="9" xr3:uid="{E023492C-662E-4FAD-9687-B8BD68275315}" name="שעור מנכסי אפיק ההשקעה" dataDxfId="191" dataCellStyle="Percent"/>
    <tableColumn id="10" xr3:uid="{2600BEB9-349F-4E51-BB96-0B597A30805C}" name="שעור מנכסי השקעה" dataDxfId="190" dataCellStyle="Percent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2133FDA8-9DCD-4A68-AEB5-004077D3CE40}" name="טבלה28" displayName="טבלה28" ref="A6:C20" totalsRowShown="0" headerRowBorderDxfId="187" tableBorderDxfId="188">
  <autoFilter ref="A6:C20" xr:uid="{0E0686D9-2C77-4743-9463-D969016C4FB3}">
    <filterColumn colId="0" hiddenButton="1"/>
    <filterColumn colId="1" hiddenButton="1"/>
    <filterColumn colId="2" hiddenButton="1"/>
  </autoFilter>
  <tableColumns count="3">
    <tableColumn id="1" xr3:uid="{DFFD4012-FABF-44FE-B3A9-5D7B93D8E28B}" name="שם המנפיק/שם נייר ערך" dataDxfId="186"/>
    <tableColumn id="2" xr3:uid="{55B5384C-4D3F-4A02-8677-45F93029338E}" name="סכום ההתחייבות" dataDxfId="185"/>
    <tableColumn id="3" xr3:uid="{FD0DA54B-2CA7-419D-9939-2CFD8474F0B1}" name="תאריך סיום ההתחייבות" dataDxfId="184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8E80CEBD-8A7B-424E-86C8-1BB50B28C19A}" name="טבלה29" displayName="טבלה29" ref="A6:O19" totalsRowShown="0" headerRowDxfId="166" headerRowBorderDxfId="182" tableBorderDxfId="183" headerRowCellStyle="Percent">
  <autoFilter ref="A6:O19" xr:uid="{D0706DA0-D129-4921-B987-5D1D39ACFBE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98E0A0A4-2303-43F7-AA72-7FC97C8897CD}" name="שם המנפיק/שם נייר ערך" dataDxfId="181"/>
    <tableColumn id="2" xr3:uid="{D62C19FF-E2DF-4AE5-B48E-E1518532CF4A}" name="מספר ני&quot;ע" dataDxfId="180" dataCellStyle="Percent"/>
    <tableColumn id="3" xr3:uid="{09E81E7C-E9E5-47BA-BA58-7CF3F1BC94C6}" name="ענף מסחר" dataDxfId="179" dataCellStyle="Percent"/>
    <tableColumn id="4" xr3:uid="{2C42CD4F-F17C-46D9-B9D5-F2DAA95C5E1A}" name="דירוג" dataDxfId="178" dataCellStyle="Percent"/>
    <tableColumn id="5" xr3:uid="{29FEAF09-D973-4419-8DE3-C4029917B915}" name="שם מדרג" dataDxfId="177" dataCellStyle="Percent"/>
    <tableColumn id="6" xr3:uid="{6972A25C-6788-407B-B2E8-8DFE7F8A3E0B}" name="תאריך רכישה" dataDxfId="176" dataCellStyle="Percent"/>
    <tableColumn id="7" xr3:uid="{2BBDA88C-2E9E-473F-B690-0A823E7DAD42}" name="מח&quot;מ" dataDxfId="175" dataCellStyle="Percent"/>
    <tableColumn id="8" xr3:uid="{5F5B9AA0-43F7-4C38-870A-C17D1C11FB29}" name="סוג מטבע" dataDxfId="174" dataCellStyle="Percent"/>
    <tableColumn id="9" xr3:uid="{03415D61-FFBE-4CA5-BE2E-039189433FCA}" name="שיעור ריבית" dataDxfId="173" dataCellStyle="Percent"/>
    <tableColumn id="10" xr3:uid="{365094F6-A145-4D21-A477-A9FAF10AE3CF}" name="ריבית אפקטיבית" dataDxfId="172" dataCellStyle="Percent"/>
    <tableColumn id="11" xr3:uid="{0F6F29F0-0908-42BD-B79A-417C3072DDB3}" name="ערך נקוב" dataDxfId="171" dataCellStyle="Comma"/>
    <tableColumn id="12" xr3:uid="{28B020F5-A09D-4AAB-8563-187540FB146F}" name="עלות מתואמת" dataDxfId="170" dataCellStyle="Percent"/>
    <tableColumn id="13" xr3:uid="{0F9D736E-F69E-46D6-95AC-BA93ECBF8B10}" name="שעור מערך נקוב מונפק" dataDxfId="169" dataCellStyle="Comma"/>
    <tableColumn id="14" xr3:uid="{A6CC550D-2242-4D8E-BF66-8470349D279C}" name="שעור מנכסי אפיק ההשקעה" dataDxfId="168" dataCellStyle="Percent"/>
    <tableColumn id="15" xr3:uid="{AA489BED-0551-40B2-A376-A6D6C7E17DCB}" name="שעור מסך נכסי השקעה**" dataDxfId="167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8C281E0-C45E-4BF6-BDBB-4C2A2E0D2988}" name="טבלה30" displayName="טבלה30" ref="A6:O18" totalsRowShown="0" headerRowDxfId="148" headerRowBorderDxfId="164" tableBorderDxfId="165" headerRowCellStyle="Percent">
  <autoFilter ref="A6:O18" xr:uid="{876D23F2-3387-4A3C-9C34-E8820082A00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AB257C70-078B-4460-BD4F-81A38EBB0595}" name="שם המנפיק/שם נייר ערך" dataDxfId="163"/>
    <tableColumn id="2" xr3:uid="{97396DAE-6D39-484D-83E3-1E7EE2FC69E3}" name="מספר ני&quot;ע" dataDxfId="162" dataCellStyle="Percent"/>
    <tableColumn id="3" xr3:uid="{8EA30B90-EB2F-42B0-996F-2D2C33A9917A}" name="ענף מסחר" dataDxfId="161" dataCellStyle="Percent"/>
    <tableColumn id="4" xr3:uid="{54925966-4318-4041-B007-4B1939F42006}" name="דירוג" dataDxfId="160" dataCellStyle="Percent"/>
    <tableColumn id="5" xr3:uid="{FD64BDAF-6FE4-439F-95C5-509837C0758C}" name="שם מדרג" dataDxfId="159" dataCellStyle="Percent"/>
    <tableColumn id="6" xr3:uid="{F798159D-1D04-44FB-B72A-EDC1C99DAAD1}" name="תאריך רכישה" dataDxfId="158" dataCellStyle="Percent"/>
    <tableColumn id="7" xr3:uid="{408E6563-68DC-4A9A-BC66-55491A2DB837}" name="מח&quot;מ" dataDxfId="157" dataCellStyle="Percent"/>
    <tableColumn id="8" xr3:uid="{7AD1411A-352F-4E3F-84E3-CE901C61A0CF}" name="סוג מטבע" dataDxfId="156" dataCellStyle="Percent"/>
    <tableColumn id="9" xr3:uid="{7766281C-92B7-4D63-A4B2-1A3875FCF615}" name="שיעור ריבית" dataDxfId="155" dataCellStyle="Percent"/>
    <tableColumn id="10" xr3:uid="{48DC19FC-EF7D-467D-A73F-A8C8CB42785E}" name="ריבית אפקטיבית" dataDxfId="154" dataCellStyle="Percent"/>
    <tableColumn id="11" xr3:uid="{94B8B67F-5B01-4057-BE75-F4099C34E310}" name="ערך נקוב" dataDxfId="153" dataCellStyle="Comma"/>
    <tableColumn id="12" xr3:uid="{4A0BB304-2F3A-4E46-812A-D77A3280A634}" name="עלות מתואמת" dataDxfId="152" dataCellStyle="Percent"/>
    <tableColumn id="13" xr3:uid="{D854D211-ED3A-4C05-B5E8-982E3CBF2EB8}" name="שעור מערך נקוב מונפק" dataDxfId="151" dataCellStyle="Comma"/>
    <tableColumn id="14" xr3:uid="{B3F64B3B-8B0F-4CD4-8F8B-ABB2EB1DB28C}" name="שעור מנכסי אפיק ההשקעה" dataDxfId="150" dataCellStyle="Percent"/>
    <tableColumn id="15" xr3:uid="{A542A249-3667-4BB8-95D1-D8767293ECBA}" name="שעור מסך נכסי השקעה**" dataDxfId="149" dataCellStyle="Percen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305AE673-D3AC-4F21-9860-D60323A9756D}" name="טבלה31" displayName="טבלה31" ref="A6:O19" totalsRowShown="0" headerRowDxfId="0" headerRowBorderDxfId="16" tableBorderDxfId="17" headerRowCellStyle="Percent">
  <autoFilter ref="A6:O19" xr:uid="{44A19B69-5FE5-4D21-8025-2E2DBA4E4AA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51903EC9-9FF8-459F-98AD-D557B6AD1292}" name="שם המנפיק/שם נייר ערך" dataDxfId="15"/>
    <tableColumn id="2" xr3:uid="{F3185FCB-B762-4695-913D-D8CA5C8D48B5}" name="מספר ני&quot;ע" dataDxfId="14" dataCellStyle="Percent"/>
    <tableColumn id="3" xr3:uid="{B1D80C21-A8A3-46BF-8B0E-48B0D4AA99FB}" name="ענף מסחר" dataDxfId="13" dataCellStyle="Percent"/>
    <tableColumn id="4" xr3:uid="{5F849A01-D87A-4520-8F67-D06A08570178}" name="דירוג" dataDxfId="12" dataCellStyle="Percent"/>
    <tableColumn id="5" xr3:uid="{8AB6DC53-F460-4ED4-BCA5-21899E06E205}" name="שם מדרג" dataDxfId="11" dataCellStyle="Percent"/>
    <tableColumn id="6" xr3:uid="{2DA06F92-FCEF-4009-ACBC-F07268949CA4}" name="תאריך רכישה" dataDxfId="10" dataCellStyle="Percent"/>
    <tableColumn id="7" xr3:uid="{D34B5FDD-E67F-4A64-ABD7-A2F33F11A0E4}" name="מח&quot;מ" dataDxfId="9" dataCellStyle="Percent"/>
    <tableColumn id="8" xr3:uid="{C57B49D4-DE64-4FD9-B9FF-4C15D7026005}" name="סוג מטבע" dataDxfId="8" dataCellStyle="Percent"/>
    <tableColumn id="9" xr3:uid="{CAD3AD44-5A5A-427A-88DF-338A6614D75F}" name="שיעור ריבית" dataDxfId="7" dataCellStyle="Percent"/>
    <tableColumn id="10" xr3:uid="{14435B1C-13E0-4A49-B4A1-4EC9522776EF}" name="ריבית אפקטיבית" dataDxfId="6" dataCellStyle="Percent"/>
    <tableColumn id="11" xr3:uid="{9A66B293-BCC2-46A9-A1E3-3EAD275C7629}" name="ערך נקוב" dataDxfId="5" dataCellStyle="Comma"/>
    <tableColumn id="12" xr3:uid="{BA114E44-B1C5-4670-A5D8-0486B6D5D6FD}" name="עלות מתואמת" dataDxfId="4" dataCellStyle="Percent"/>
    <tableColumn id="13" xr3:uid="{3509A62D-B4AD-4820-A833-72DD08545B9B}" name="שעור מערך נקוב מונפק" dataDxfId="3" dataCellStyle="Comma"/>
    <tableColumn id="14" xr3:uid="{27C908AB-A10A-476A-AC28-4CEA534AEBA4}" name="שעור מנכסי אפיק ההשקעה" dataDxfId="2" dataCellStyle="Percent"/>
    <tableColumn id="15" xr3:uid="{5964FFA1-2EA6-45B5-BB44-ED93C51BD798}" name="שעור מסך נכסי השקעה**" dataDxfId="1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B05DB-1F62-4AE5-A661-E667C75B4C8F}">
  <sheetPr codeName="גיליון1"/>
  <dimension ref="A1:BC690"/>
  <sheetViews>
    <sheetView rightToLeft="1" topLeftCell="A20" zoomScale="80" zoomScaleNormal="80" workbookViewId="0">
      <selection activeCell="B44" sqref="B44:C68"/>
    </sheetView>
  </sheetViews>
  <sheetFormatPr defaultColWidth="44.42578125" defaultRowHeight="12.75" x14ac:dyDescent="0.2"/>
  <cols>
    <col min="1" max="1" width="31.28515625" style="52" customWidth="1"/>
    <col min="2" max="2" width="14.85546875" style="53" bestFit="1" customWidth="1"/>
    <col min="3" max="3" width="21.42578125" style="52" customWidth="1"/>
    <col min="4" max="4" width="12.7109375" style="52" customWidth="1"/>
    <col min="5" max="5" width="9.140625" style="52" customWidth="1"/>
    <col min="6" max="49" width="11.7109375" style="52" customWidth="1"/>
    <col min="50" max="16384" width="44.42578125" style="52"/>
  </cols>
  <sheetData>
    <row r="1" spans="1:55" x14ac:dyDescent="0.2">
      <c r="A1" s="56" t="s">
        <v>166</v>
      </c>
      <c r="B1" s="56" t="s">
        <v>176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</row>
    <row r="2" spans="1:55" x14ac:dyDescent="0.2">
      <c r="A2" s="56" t="s">
        <v>167</v>
      </c>
      <c r="B2" s="56" t="s">
        <v>153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</row>
    <row r="3" spans="1:55" x14ac:dyDescent="0.2">
      <c r="A3" s="56" t="s">
        <v>168</v>
      </c>
      <c r="B3" s="56" t="s">
        <v>169</v>
      </c>
      <c r="C3" s="56"/>
      <c r="D3" s="59" t="s">
        <v>180</v>
      </c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</row>
    <row r="4" spans="1:55" x14ac:dyDescent="0.2">
      <c r="A4" s="56" t="s">
        <v>170</v>
      </c>
      <c r="B4" s="56" t="s">
        <v>178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</row>
    <row r="5" spans="1:55" ht="21.75" customHeight="1" x14ac:dyDescent="0.2">
      <c r="A5" s="13" t="s">
        <v>51</v>
      </c>
      <c r="B5" s="12"/>
      <c r="C5" s="11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</row>
    <row r="6" spans="1:55" ht="21.75" customHeight="1" x14ac:dyDescent="0.2">
      <c r="A6" s="212" t="s">
        <v>2310</v>
      </c>
      <c r="B6" s="207" t="s">
        <v>29</v>
      </c>
      <c r="C6" s="208" t="s">
        <v>72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</row>
    <row r="7" spans="1:55" ht="15.75" x14ac:dyDescent="0.2">
      <c r="A7" s="196"/>
      <c r="B7" s="60" t="s">
        <v>10</v>
      </c>
      <c r="C7" s="203" t="s">
        <v>9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</row>
    <row r="8" spans="1:55" ht="15.75" x14ac:dyDescent="0.2">
      <c r="A8" s="197"/>
      <c r="B8" s="55" t="s">
        <v>49</v>
      </c>
      <c r="C8" s="204" t="s">
        <v>50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</row>
    <row r="9" spans="1:55" x14ac:dyDescent="0.2">
      <c r="A9" s="198" t="s">
        <v>99</v>
      </c>
      <c r="B9" s="55"/>
      <c r="C9" s="204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</row>
    <row r="10" spans="1:55" x14ac:dyDescent="0.2">
      <c r="A10" s="199" t="s">
        <v>43</v>
      </c>
      <c r="B10" s="114">
        <v>59731.604922176244</v>
      </c>
      <c r="C10" s="205">
        <v>7.2360524793970232E-2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</row>
    <row r="11" spans="1:55" x14ac:dyDescent="0.2">
      <c r="A11" s="200" t="s">
        <v>45</v>
      </c>
      <c r="B11" s="114">
        <v>623587.77348369919</v>
      </c>
      <c r="C11" s="205">
        <v>0.75543154420803571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</row>
    <row r="12" spans="1:55" x14ac:dyDescent="0.2">
      <c r="A12" s="201" t="s">
        <v>12</v>
      </c>
      <c r="B12" s="114">
        <v>407028.40363654256</v>
      </c>
      <c r="C12" s="205">
        <v>0.4930855102849811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</row>
    <row r="13" spans="1:55" x14ac:dyDescent="0.2">
      <c r="A13" s="201" t="s">
        <v>18</v>
      </c>
      <c r="B13" s="114">
        <v>0</v>
      </c>
      <c r="C13" s="205">
        <v>0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</row>
    <row r="14" spans="1:55" x14ac:dyDescent="0.2">
      <c r="A14" s="201" t="s">
        <v>20</v>
      </c>
      <c r="B14" s="114">
        <v>161197.83552799083</v>
      </c>
      <c r="C14" s="205">
        <v>0.19527953400306092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</row>
    <row r="15" spans="1:55" x14ac:dyDescent="0.2">
      <c r="A15" s="201" t="s">
        <v>21</v>
      </c>
      <c r="B15" s="114">
        <v>6.9999999999999997E-7</v>
      </c>
      <c r="C15" s="205">
        <v>8.4799943717858682E-13</v>
      </c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</row>
    <row r="16" spans="1:55" x14ac:dyDescent="0.2">
      <c r="A16" s="201" t="s">
        <v>161</v>
      </c>
      <c r="B16" s="114">
        <v>17490.56948819293</v>
      </c>
      <c r="C16" s="205">
        <v>2.1188561545600813E-2</v>
      </c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</row>
    <row r="17" spans="1:55" x14ac:dyDescent="0.2">
      <c r="A17" s="201" t="s">
        <v>44</v>
      </c>
      <c r="B17" s="114">
        <v>37863.373301097155</v>
      </c>
      <c r="C17" s="205">
        <v>4.5868741784304459E-2</v>
      </c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</row>
    <row r="18" spans="1:55" x14ac:dyDescent="0.2">
      <c r="A18" s="201" t="s">
        <v>23</v>
      </c>
      <c r="B18" s="114">
        <v>2.0000000000000002E-7</v>
      </c>
      <c r="C18" s="205">
        <v>2.4228555347959626E-13</v>
      </c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</row>
    <row r="19" spans="1:55" x14ac:dyDescent="0.2">
      <c r="A19" s="201" t="s">
        <v>24</v>
      </c>
      <c r="B19" s="114">
        <v>9.0000000000000007E-7</v>
      </c>
      <c r="C19" s="205">
        <v>1.0902849906581832E-12</v>
      </c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</row>
    <row r="20" spans="1:55" x14ac:dyDescent="0.2">
      <c r="A20" s="201" t="s">
        <v>25</v>
      </c>
      <c r="B20" s="114">
        <v>7.5915268757576122</v>
      </c>
      <c r="C20" s="205">
        <v>9.1965864542408161E-6</v>
      </c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</row>
    <row r="21" spans="1:55" x14ac:dyDescent="0.2">
      <c r="A21" s="201" t="s">
        <v>26</v>
      </c>
      <c r="B21" s="114">
        <v>1.2000000000000002E-6</v>
      </c>
      <c r="C21" s="205">
        <v>1.4537133208775778E-12</v>
      </c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</row>
    <row r="22" spans="1:55" x14ac:dyDescent="0.2">
      <c r="A22" s="198" t="s">
        <v>46</v>
      </c>
      <c r="B22" s="114">
        <v>54612.625323134293</v>
      </c>
      <c r="C22" s="205">
        <v>6.6159250766947036E-2</v>
      </c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</row>
    <row r="23" spans="1:55" x14ac:dyDescent="0.2">
      <c r="A23" s="201" t="s">
        <v>12</v>
      </c>
      <c r="B23" s="114">
        <v>6.9999999999999997E-7</v>
      </c>
      <c r="C23" s="205">
        <v>8.4799943717858682E-13</v>
      </c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</row>
    <row r="24" spans="1:55" x14ac:dyDescent="0.2">
      <c r="A24" s="201" t="s">
        <v>18</v>
      </c>
      <c r="B24" s="114">
        <v>6.0000000000000008E-7</v>
      </c>
      <c r="C24" s="205">
        <v>7.2685666043878889E-13</v>
      </c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</row>
    <row r="25" spans="1:55" x14ac:dyDescent="0.2">
      <c r="A25" s="201" t="s">
        <v>20</v>
      </c>
      <c r="B25" s="114">
        <v>50006.570170599996</v>
      </c>
      <c r="C25" s="205">
        <v>6.0579347657000439E-2</v>
      </c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</row>
    <row r="26" spans="1:55" x14ac:dyDescent="0.2">
      <c r="A26" s="201" t="s">
        <v>21</v>
      </c>
      <c r="B26" s="114">
        <v>18.0789103</v>
      </c>
      <c r="C26" s="205">
        <v>2.1901293941717367E-5</v>
      </c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</row>
    <row r="27" spans="1:55" x14ac:dyDescent="0.2">
      <c r="A27" s="201" t="s">
        <v>30</v>
      </c>
      <c r="B27" s="114">
        <v>3649.4992508</v>
      </c>
      <c r="C27" s="205">
        <v>4.421104729517249E-3</v>
      </c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</row>
    <row r="28" spans="1:55" x14ac:dyDescent="0.2">
      <c r="A28" s="201" t="s">
        <v>31</v>
      </c>
      <c r="B28" s="114">
        <v>2.0000000000000002E-7</v>
      </c>
      <c r="C28" s="205">
        <v>2.4228555347959626E-13</v>
      </c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</row>
    <row r="29" spans="1:55" x14ac:dyDescent="0.2">
      <c r="A29" s="201" t="s">
        <v>32</v>
      </c>
      <c r="B29" s="114">
        <v>29.507521000000004</v>
      </c>
      <c r="C29" s="205">
        <v>3.5746230286479054E-5</v>
      </c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</row>
    <row r="30" spans="1:55" x14ac:dyDescent="0.2">
      <c r="A30" s="201" t="s">
        <v>33</v>
      </c>
      <c r="B30" s="114">
        <v>908.96946773429011</v>
      </c>
      <c r="C30" s="205">
        <v>1.1011508529302824E-3</v>
      </c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</row>
    <row r="31" spans="1:55" x14ac:dyDescent="0.2">
      <c r="A31" s="201" t="s">
        <v>34</v>
      </c>
      <c r="B31" s="114">
        <v>1.2000000000000002E-6</v>
      </c>
      <c r="C31" s="205">
        <v>1.4537133208775778E-12</v>
      </c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</row>
    <row r="32" spans="1:55" x14ac:dyDescent="0.2">
      <c r="A32" s="201" t="s">
        <v>35</v>
      </c>
      <c r="B32" s="114">
        <v>87608.216251299993</v>
      </c>
      <c r="C32" s="205">
        <v>0.10613102581903189</v>
      </c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</row>
    <row r="33" spans="1:55" x14ac:dyDescent="0.2">
      <c r="A33" s="201" t="s">
        <v>37</v>
      </c>
      <c r="B33" s="114">
        <v>6.0000000000000008E-7</v>
      </c>
      <c r="C33" s="205">
        <v>7.2685666043878889E-13</v>
      </c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</row>
    <row r="34" spans="1:55" x14ac:dyDescent="0.2">
      <c r="A34" s="201" t="s">
        <v>47</v>
      </c>
      <c r="B34" s="114">
        <v>4.0000000000000003E-7</v>
      </c>
      <c r="C34" s="205">
        <v>4.8457110695919252E-13</v>
      </c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</row>
    <row r="35" spans="1:55" x14ac:dyDescent="0.2">
      <c r="A35" s="201" t="s">
        <v>86</v>
      </c>
      <c r="B35" s="114">
        <v>2.0000000000000002E-7</v>
      </c>
      <c r="C35" s="205">
        <v>2.4228555347959626E-13</v>
      </c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</row>
    <row r="36" spans="1:55" x14ac:dyDescent="0.2">
      <c r="A36" s="201" t="s">
        <v>87</v>
      </c>
      <c r="B36" s="114">
        <v>-67.973998660532587</v>
      </c>
      <c r="C36" s="205">
        <v>-8.2345589438442363E-5</v>
      </c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</row>
    <row r="37" spans="1:55" x14ac:dyDescent="0.2">
      <c r="A37" s="198" t="s">
        <v>95</v>
      </c>
      <c r="B37" s="98"/>
      <c r="C37" s="205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</row>
    <row r="38" spans="1:55" x14ac:dyDescent="0.2">
      <c r="A38" s="201" t="s">
        <v>96</v>
      </c>
      <c r="B38" s="98">
        <v>0</v>
      </c>
      <c r="C38" s="205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</row>
    <row r="39" spans="1:55" x14ac:dyDescent="0.2">
      <c r="A39" s="201" t="s">
        <v>97</v>
      </c>
      <c r="B39" s="98">
        <v>0</v>
      </c>
      <c r="C39" s="205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</row>
    <row r="40" spans="1:55" x14ac:dyDescent="0.2">
      <c r="A40" s="201" t="s">
        <v>98</v>
      </c>
      <c r="B40" s="98">
        <v>0</v>
      </c>
      <c r="C40" s="205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</row>
    <row r="41" spans="1:55" x14ac:dyDescent="0.2">
      <c r="A41" s="202" t="s">
        <v>48</v>
      </c>
      <c r="B41" s="64">
        <v>825472.24598284904</v>
      </c>
      <c r="C41" s="206">
        <v>0.99999999999999989</v>
      </c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</row>
    <row r="42" spans="1:55" x14ac:dyDescent="0.2">
      <c r="A42" s="209" t="s">
        <v>94</v>
      </c>
      <c r="B42" s="210">
        <v>8614.2118802000005</v>
      </c>
      <c r="C42" s="211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</row>
    <row r="43" spans="1:55" x14ac:dyDescent="0.2">
      <c r="A43" s="56"/>
      <c r="B43" s="57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</row>
    <row r="44" spans="1:55" x14ac:dyDescent="0.2">
      <c r="A44" s="56"/>
      <c r="B44" s="218" t="s">
        <v>0</v>
      </c>
      <c r="C44" s="219" t="s">
        <v>1</v>
      </c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</row>
    <row r="45" spans="1:55" x14ac:dyDescent="0.2">
      <c r="A45" s="56"/>
      <c r="B45" s="213" t="s">
        <v>49</v>
      </c>
      <c r="C45" s="204" t="s">
        <v>50</v>
      </c>
      <c r="D45" s="56"/>
      <c r="E45" s="130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</row>
    <row r="46" spans="1:55" x14ac:dyDescent="0.2">
      <c r="A46" s="56"/>
      <c r="B46" s="214" t="s">
        <v>127</v>
      </c>
      <c r="C46" s="216">
        <v>3.4660000000000002</v>
      </c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</row>
    <row r="47" spans="1:55" x14ac:dyDescent="0.2">
      <c r="A47" s="56"/>
      <c r="B47" s="214" t="s">
        <v>128</v>
      </c>
      <c r="C47" s="216">
        <v>3.8828</v>
      </c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</row>
    <row r="48" spans="1:55" x14ac:dyDescent="0.2">
      <c r="A48" s="56"/>
      <c r="B48" s="215" t="s">
        <v>2</v>
      </c>
      <c r="C48" s="216">
        <v>4.2541000000000002</v>
      </c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</row>
    <row r="49" spans="1:55" x14ac:dyDescent="0.2">
      <c r="A49" s="56"/>
      <c r="B49" s="214" t="s">
        <v>134</v>
      </c>
      <c r="C49" s="216">
        <v>2.5308000000000002</v>
      </c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</row>
    <row r="50" spans="1:55" x14ac:dyDescent="0.2">
      <c r="A50" s="56"/>
      <c r="B50" s="215" t="s">
        <v>3</v>
      </c>
      <c r="C50" s="216">
        <v>2.3723000000000001</v>
      </c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</row>
    <row r="51" spans="1:55" x14ac:dyDescent="0.2">
      <c r="A51" s="56"/>
      <c r="B51" s="215" t="s">
        <v>65</v>
      </c>
      <c r="C51" s="216">
        <v>0.44800000000000001</v>
      </c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</row>
    <row r="52" spans="1:55" x14ac:dyDescent="0.2">
      <c r="A52" s="56"/>
      <c r="B52" s="214" t="s">
        <v>129</v>
      </c>
      <c r="C52" s="216">
        <v>2.2145000000000001</v>
      </c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</row>
    <row r="53" spans="1:55" x14ac:dyDescent="0.2">
      <c r="A53" s="56"/>
      <c r="B53" s="215" t="s">
        <v>92</v>
      </c>
      <c r="C53" s="217">
        <v>0.52090000000000003</v>
      </c>
      <c r="D53" s="57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</row>
    <row r="54" spans="1:55" x14ac:dyDescent="0.2">
      <c r="A54" s="56"/>
      <c r="B54" s="214" t="s">
        <v>135</v>
      </c>
      <c r="C54" s="217">
        <v>0.36959999999999998</v>
      </c>
      <c r="D54" s="57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</row>
    <row r="55" spans="1:55" x14ac:dyDescent="0.2">
      <c r="A55" s="56"/>
      <c r="B55" s="214" t="s">
        <v>2274</v>
      </c>
      <c r="C55" s="216">
        <v>3.2172999999999998</v>
      </c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</row>
    <row r="56" spans="1:55" ht="12" customHeight="1" x14ac:dyDescent="0.2">
      <c r="A56" s="56"/>
      <c r="B56" s="214" t="s">
        <v>133</v>
      </c>
      <c r="C56" s="217">
        <v>0.14960000000000001</v>
      </c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</row>
    <row r="57" spans="1:55" x14ac:dyDescent="0.2">
      <c r="A57" s="56"/>
      <c r="B57" s="215" t="s">
        <v>91</v>
      </c>
      <c r="C57" s="217">
        <v>3.6429</v>
      </c>
      <c r="D57" s="57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</row>
    <row r="58" spans="1:55" x14ac:dyDescent="0.2">
      <c r="A58" s="56"/>
      <c r="B58" s="215" t="s">
        <v>93</v>
      </c>
      <c r="C58" s="217">
        <v>0.48970000000000002</v>
      </c>
      <c r="D58" s="57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</row>
    <row r="59" spans="1:55" x14ac:dyDescent="0.2">
      <c r="A59" s="56"/>
      <c r="B59" s="215" t="s">
        <v>130</v>
      </c>
      <c r="C59" s="217">
        <v>0.64170000000000005</v>
      </c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</row>
    <row r="60" spans="1:55" x14ac:dyDescent="0.2">
      <c r="A60" s="56"/>
      <c r="B60" s="214" t="s">
        <v>132</v>
      </c>
      <c r="C60" s="217">
        <v>0.14499999999999999</v>
      </c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</row>
    <row r="61" spans="1:55" x14ac:dyDescent="0.2">
      <c r="A61" s="56"/>
      <c r="B61" s="214" t="s">
        <v>154</v>
      </c>
      <c r="C61" s="217">
        <v>0.35580000000000001</v>
      </c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</row>
    <row r="62" spans="1:55" x14ac:dyDescent="0.2">
      <c r="A62" s="56"/>
      <c r="B62" s="214" t="s">
        <v>164</v>
      </c>
      <c r="C62" s="217">
        <v>0.42180000000000001</v>
      </c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</row>
    <row r="63" spans="1:55" x14ac:dyDescent="0.2">
      <c r="A63" s="56"/>
      <c r="B63" s="214" t="s">
        <v>155</v>
      </c>
      <c r="C63" s="217">
        <v>0.87580000000000002</v>
      </c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</row>
    <row r="64" spans="1:55" x14ac:dyDescent="0.2">
      <c r="A64" s="56"/>
      <c r="B64" s="214" t="s">
        <v>156</v>
      </c>
      <c r="C64" s="217">
        <v>4.5909999999999999E-2</v>
      </c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</row>
    <row r="65" spans="1:55" x14ac:dyDescent="0.2">
      <c r="A65" s="56"/>
      <c r="B65" s="214" t="s">
        <v>165</v>
      </c>
      <c r="C65" s="217">
        <v>2.4000000000000001E-4</v>
      </c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</row>
    <row r="66" spans="1:55" x14ac:dyDescent="0.2">
      <c r="A66" s="56"/>
      <c r="B66" s="214" t="s">
        <v>157</v>
      </c>
      <c r="C66" s="217">
        <v>4.8599999999999997E-2</v>
      </c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</row>
    <row r="67" spans="1:55" x14ac:dyDescent="0.2">
      <c r="A67" s="56"/>
      <c r="B67" s="214" t="s">
        <v>158</v>
      </c>
      <c r="C67" s="217">
        <v>2.8800000000000002E-3</v>
      </c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</row>
    <row r="68" spans="1:55" x14ac:dyDescent="0.2">
      <c r="A68" s="56"/>
      <c r="B68" s="220" t="s">
        <v>159</v>
      </c>
      <c r="C68" s="221">
        <v>6.9510000000000002E-2</v>
      </c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</row>
    <row r="69" spans="1:55" x14ac:dyDescent="0.2">
      <c r="A69" s="56"/>
      <c r="B69" s="57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</row>
    <row r="70" spans="1:55" x14ac:dyDescent="0.2">
      <c r="A70" s="56"/>
      <c r="B70" s="57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</row>
    <row r="71" spans="1:55" x14ac:dyDescent="0.2">
      <c r="A71" s="56"/>
      <c r="B71" s="57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</row>
    <row r="72" spans="1:55" x14ac:dyDescent="0.2">
      <c r="A72" s="56"/>
      <c r="B72" s="57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</row>
    <row r="73" spans="1:55" x14ac:dyDescent="0.2">
      <c r="A73" s="56"/>
      <c r="B73" s="57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</row>
    <row r="74" spans="1:55" x14ac:dyDescent="0.2">
      <c r="A74" s="56"/>
      <c r="B74" s="57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56"/>
    </row>
    <row r="75" spans="1:55" x14ac:dyDescent="0.2">
      <c r="A75" s="56"/>
      <c r="B75" s="57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6"/>
    </row>
    <row r="76" spans="1:55" x14ac:dyDescent="0.2">
      <c r="A76" s="56"/>
      <c r="B76" s="57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56"/>
    </row>
    <row r="77" spans="1:55" x14ac:dyDescent="0.2">
      <c r="A77" s="56"/>
      <c r="B77" s="57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</row>
    <row r="78" spans="1:55" x14ac:dyDescent="0.2">
      <c r="A78" s="56"/>
      <c r="B78" s="57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</row>
    <row r="79" spans="1:55" x14ac:dyDescent="0.2">
      <c r="A79" s="56"/>
      <c r="B79" s="57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</row>
    <row r="80" spans="1:55" x14ac:dyDescent="0.2">
      <c r="A80" s="56"/>
      <c r="B80" s="57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</row>
    <row r="81" spans="1:55" x14ac:dyDescent="0.2">
      <c r="A81" s="56"/>
      <c r="B81" s="57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</row>
    <row r="82" spans="1:55" x14ac:dyDescent="0.2">
      <c r="A82" s="56"/>
      <c r="B82" s="57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</row>
    <row r="83" spans="1:55" x14ac:dyDescent="0.2">
      <c r="A83" s="56"/>
      <c r="B83" s="57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</row>
    <row r="84" spans="1:55" x14ac:dyDescent="0.2">
      <c r="A84" s="56"/>
      <c r="B84" s="57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</row>
    <row r="85" spans="1:55" x14ac:dyDescent="0.2">
      <c r="A85" s="56"/>
      <c r="B85" s="57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</row>
    <row r="86" spans="1:55" x14ac:dyDescent="0.2">
      <c r="A86" s="56"/>
      <c r="B86" s="57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</row>
    <row r="87" spans="1:55" x14ac:dyDescent="0.2">
      <c r="A87" s="56"/>
      <c r="B87" s="57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</row>
    <row r="88" spans="1:55" x14ac:dyDescent="0.2">
      <c r="A88" s="56"/>
      <c r="B88" s="57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</row>
    <row r="89" spans="1:55" x14ac:dyDescent="0.2">
      <c r="A89" s="56"/>
      <c r="B89" s="57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</row>
    <row r="90" spans="1:55" x14ac:dyDescent="0.2">
      <c r="A90" s="56"/>
      <c r="B90" s="57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</row>
    <row r="91" spans="1:55" x14ac:dyDescent="0.2">
      <c r="A91" s="56"/>
      <c r="B91" s="57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</row>
    <row r="92" spans="1:55" x14ac:dyDescent="0.2">
      <c r="A92" s="56"/>
      <c r="B92" s="57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</row>
    <row r="93" spans="1:55" x14ac:dyDescent="0.2">
      <c r="A93" s="56"/>
      <c r="B93" s="57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</row>
    <row r="94" spans="1:55" x14ac:dyDescent="0.2">
      <c r="A94" s="56"/>
      <c r="B94" s="57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</row>
    <row r="95" spans="1:55" x14ac:dyDescent="0.2">
      <c r="A95" s="56"/>
      <c r="B95" s="57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</row>
    <row r="96" spans="1:55" x14ac:dyDescent="0.2">
      <c r="A96" s="56"/>
      <c r="B96" s="57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</row>
    <row r="97" spans="1:55" x14ac:dyDescent="0.2">
      <c r="A97" s="56"/>
      <c r="B97" s="57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</row>
    <row r="98" spans="1:55" x14ac:dyDescent="0.2">
      <c r="A98" s="56"/>
      <c r="B98" s="57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</row>
    <row r="99" spans="1:55" x14ac:dyDescent="0.2">
      <c r="A99" s="56"/>
      <c r="B99" s="57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</row>
    <row r="100" spans="1:55" x14ac:dyDescent="0.2">
      <c r="A100" s="56"/>
      <c r="B100" s="57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</row>
    <row r="101" spans="1:55" x14ac:dyDescent="0.2">
      <c r="A101" s="56"/>
      <c r="B101" s="57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</row>
    <row r="102" spans="1:55" x14ac:dyDescent="0.2">
      <c r="A102" s="56"/>
      <c r="B102" s="57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</row>
    <row r="103" spans="1:55" x14ac:dyDescent="0.2">
      <c r="A103" s="56"/>
      <c r="B103" s="57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56"/>
      <c r="BB103" s="56"/>
      <c r="BC103" s="56"/>
    </row>
    <row r="104" spans="1:55" x14ac:dyDescent="0.2">
      <c r="A104" s="56"/>
      <c r="B104" s="57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</row>
    <row r="105" spans="1:55" x14ac:dyDescent="0.2">
      <c r="A105" s="56"/>
      <c r="B105" s="57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</row>
    <row r="106" spans="1:55" x14ac:dyDescent="0.2">
      <c r="A106" s="56"/>
      <c r="B106" s="57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56"/>
      <c r="BB106" s="56"/>
      <c r="BC106" s="56"/>
    </row>
    <row r="107" spans="1:55" x14ac:dyDescent="0.2">
      <c r="A107" s="56"/>
      <c r="B107" s="57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56"/>
      <c r="BB107" s="56"/>
      <c r="BC107" s="56"/>
    </row>
    <row r="108" spans="1:55" x14ac:dyDescent="0.2">
      <c r="A108" s="56"/>
      <c r="B108" s="57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</row>
    <row r="109" spans="1:55" x14ac:dyDescent="0.2">
      <c r="A109" s="56"/>
      <c r="B109" s="57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56"/>
      <c r="BB109" s="56"/>
      <c r="BC109" s="56"/>
    </row>
    <row r="110" spans="1:55" x14ac:dyDescent="0.2">
      <c r="A110" s="56"/>
      <c r="B110" s="57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</row>
    <row r="111" spans="1:55" x14ac:dyDescent="0.2">
      <c r="A111" s="56"/>
      <c r="B111" s="57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56"/>
      <c r="BB111" s="56"/>
      <c r="BC111" s="56"/>
    </row>
    <row r="112" spans="1:55" x14ac:dyDescent="0.2">
      <c r="A112" s="56"/>
      <c r="B112" s="57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</row>
    <row r="113" spans="1:55" x14ac:dyDescent="0.2">
      <c r="A113" s="56"/>
      <c r="B113" s="57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56"/>
      <c r="BB113" s="56"/>
      <c r="BC113" s="56"/>
    </row>
    <row r="114" spans="1:55" x14ac:dyDescent="0.2">
      <c r="A114" s="56"/>
      <c r="B114" s="57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</row>
    <row r="115" spans="1:55" x14ac:dyDescent="0.2">
      <c r="A115" s="56"/>
      <c r="B115" s="57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</row>
    <row r="116" spans="1:55" x14ac:dyDescent="0.2">
      <c r="A116" s="56"/>
      <c r="B116" s="57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</row>
    <row r="117" spans="1:55" x14ac:dyDescent="0.2">
      <c r="A117" s="56"/>
      <c r="B117" s="57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</row>
    <row r="118" spans="1:55" x14ac:dyDescent="0.2">
      <c r="A118" s="56"/>
      <c r="B118" s="57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</row>
    <row r="119" spans="1:55" x14ac:dyDescent="0.2">
      <c r="A119" s="56"/>
      <c r="B119" s="57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</row>
    <row r="120" spans="1:55" x14ac:dyDescent="0.2">
      <c r="A120" s="56"/>
      <c r="B120" s="57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56"/>
      <c r="BB120" s="56"/>
      <c r="BC120" s="56"/>
    </row>
    <row r="121" spans="1:55" x14ac:dyDescent="0.2">
      <c r="A121" s="56"/>
      <c r="B121" s="57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6"/>
      <c r="AW121" s="56"/>
      <c r="AX121" s="56"/>
      <c r="AY121" s="56"/>
      <c r="AZ121" s="56"/>
      <c r="BA121" s="56"/>
      <c r="BB121" s="56"/>
      <c r="BC121" s="56"/>
    </row>
    <row r="122" spans="1:55" x14ac:dyDescent="0.2">
      <c r="A122" s="56"/>
      <c r="B122" s="57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56"/>
      <c r="BB122" s="56"/>
      <c r="BC122" s="56"/>
    </row>
    <row r="123" spans="1:55" x14ac:dyDescent="0.2">
      <c r="A123" s="56"/>
      <c r="B123" s="57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56"/>
      <c r="BB123" s="56"/>
      <c r="BC123" s="56"/>
    </row>
    <row r="124" spans="1:55" x14ac:dyDescent="0.2">
      <c r="A124" s="56"/>
      <c r="B124" s="57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56"/>
      <c r="BB124" s="56"/>
      <c r="BC124" s="56"/>
    </row>
    <row r="125" spans="1:55" x14ac:dyDescent="0.2">
      <c r="A125" s="56"/>
      <c r="B125" s="57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</row>
    <row r="126" spans="1:55" x14ac:dyDescent="0.2">
      <c r="A126" s="56"/>
      <c r="B126" s="57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</row>
    <row r="127" spans="1:55" x14ac:dyDescent="0.2">
      <c r="A127" s="56"/>
      <c r="B127" s="57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56"/>
      <c r="BB127" s="56"/>
      <c r="BC127" s="56"/>
    </row>
    <row r="128" spans="1:55" x14ac:dyDescent="0.2">
      <c r="A128" s="56"/>
      <c r="B128" s="57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</row>
    <row r="129" spans="1:55" x14ac:dyDescent="0.2">
      <c r="A129" s="56"/>
      <c r="B129" s="57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  <c r="AZ129" s="56"/>
      <c r="BA129" s="56"/>
      <c r="BB129" s="56"/>
      <c r="BC129" s="56"/>
    </row>
    <row r="130" spans="1:55" x14ac:dyDescent="0.2">
      <c r="A130" s="56"/>
      <c r="B130" s="57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56"/>
      <c r="BB130" s="56"/>
      <c r="BC130" s="56"/>
    </row>
    <row r="131" spans="1:55" x14ac:dyDescent="0.2">
      <c r="A131" s="56"/>
      <c r="B131" s="57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6"/>
      <c r="AW131" s="56"/>
      <c r="AX131" s="56"/>
      <c r="AY131" s="56"/>
      <c r="AZ131" s="56"/>
      <c r="BA131" s="56"/>
      <c r="BB131" s="56"/>
      <c r="BC131" s="56"/>
    </row>
    <row r="132" spans="1:55" x14ac:dyDescent="0.2">
      <c r="A132" s="56"/>
      <c r="B132" s="57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6"/>
      <c r="AW132" s="56"/>
      <c r="AX132" s="56"/>
      <c r="AY132" s="56"/>
      <c r="AZ132" s="56"/>
      <c r="BA132" s="56"/>
      <c r="BB132" s="56"/>
      <c r="BC132" s="56"/>
    </row>
    <row r="133" spans="1:55" x14ac:dyDescent="0.2">
      <c r="A133" s="56"/>
      <c r="B133" s="57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  <c r="AV133" s="56"/>
      <c r="AW133" s="56"/>
      <c r="AX133" s="56"/>
      <c r="AY133" s="56"/>
      <c r="AZ133" s="56"/>
      <c r="BA133" s="56"/>
      <c r="BB133" s="56"/>
      <c r="BC133" s="56"/>
    </row>
    <row r="134" spans="1:55" x14ac:dyDescent="0.2">
      <c r="A134" s="56"/>
      <c r="B134" s="57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</row>
    <row r="135" spans="1:55" x14ac:dyDescent="0.2">
      <c r="A135" s="56"/>
      <c r="B135" s="57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  <c r="AY135" s="56"/>
      <c r="AZ135" s="56"/>
      <c r="BA135" s="56"/>
      <c r="BB135" s="56"/>
      <c r="BC135" s="56"/>
    </row>
    <row r="136" spans="1:55" x14ac:dyDescent="0.2">
      <c r="A136" s="56"/>
      <c r="B136" s="57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</row>
    <row r="137" spans="1:55" x14ac:dyDescent="0.2">
      <c r="A137" s="56"/>
      <c r="B137" s="57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</row>
    <row r="138" spans="1:55" x14ac:dyDescent="0.2">
      <c r="A138" s="56"/>
      <c r="B138" s="57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</row>
    <row r="139" spans="1:55" x14ac:dyDescent="0.2">
      <c r="A139" s="56"/>
      <c r="B139" s="57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56"/>
      <c r="AV139" s="56"/>
      <c r="AW139" s="56"/>
      <c r="AX139" s="56"/>
      <c r="AY139" s="56"/>
      <c r="AZ139" s="56"/>
      <c r="BA139" s="56"/>
      <c r="BB139" s="56"/>
      <c r="BC139" s="56"/>
    </row>
    <row r="140" spans="1:55" x14ac:dyDescent="0.2">
      <c r="A140" s="56"/>
      <c r="B140" s="57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6"/>
      <c r="AV140" s="56"/>
      <c r="AW140" s="56"/>
      <c r="AX140" s="56"/>
      <c r="AY140" s="56"/>
      <c r="AZ140" s="56"/>
      <c r="BA140" s="56"/>
      <c r="BB140" s="56"/>
      <c r="BC140" s="56"/>
    </row>
    <row r="141" spans="1:55" x14ac:dyDescent="0.2">
      <c r="A141" s="56"/>
      <c r="B141" s="57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56"/>
      <c r="AW141" s="56"/>
      <c r="AX141" s="56"/>
      <c r="AY141" s="56"/>
      <c r="AZ141" s="56"/>
      <c r="BA141" s="56"/>
      <c r="BB141" s="56"/>
      <c r="BC141" s="56"/>
    </row>
    <row r="142" spans="1:55" x14ac:dyDescent="0.2">
      <c r="A142" s="56"/>
      <c r="B142" s="57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</row>
    <row r="143" spans="1:55" x14ac:dyDescent="0.2">
      <c r="A143" s="56"/>
      <c r="B143" s="57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6"/>
      <c r="AW143" s="56"/>
      <c r="AX143" s="56"/>
      <c r="AY143" s="56"/>
      <c r="AZ143" s="56"/>
      <c r="BA143" s="56"/>
      <c r="BB143" s="56"/>
      <c r="BC143" s="56"/>
    </row>
    <row r="144" spans="1:55" x14ac:dyDescent="0.2">
      <c r="A144" s="56"/>
      <c r="B144" s="57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6"/>
      <c r="AW144" s="56"/>
      <c r="AX144" s="56"/>
      <c r="AY144" s="56"/>
      <c r="AZ144" s="56"/>
      <c r="BA144" s="56"/>
      <c r="BB144" s="56"/>
      <c r="BC144" s="56"/>
    </row>
    <row r="145" spans="1:55" x14ac:dyDescent="0.2">
      <c r="A145" s="56"/>
      <c r="B145" s="57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  <c r="AT145" s="56"/>
      <c r="AU145" s="56"/>
      <c r="AV145" s="56"/>
      <c r="AW145" s="56"/>
      <c r="AX145" s="56"/>
      <c r="AY145" s="56"/>
      <c r="AZ145" s="56"/>
      <c r="BA145" s="56"/>
      <c r="BB145" s="56"/>
      <c r="BC145" s="56"/>
    </row>
    <row r="146" spans="1:55" x14ac:dyDescent="0.2">
      <c r="A146" s="56"/>
      <c r="B146" s="57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56"/>
      <c r="AW146" s="56"/>
      <c r="AX146" s="56"/>
      <c r="AY146" s="56"/>
      <c r="AZ146" s="56"/>
      <c r="BA146" s="56"/>
      <c r="BB146" s="56"/>
      <c r="BC146" s="56"/>
    </row>
    <row r="147" spans="1:55" x14ac:dyDescent="0.2">
      <c r="A147" s="56"/>
      <c r="B147" s="57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6"/>
      <c r="AQ147" s="56"/>
      <c r="AR147" s="56"/>
      <c r="AS147" s="56"/>
      <c r="AT147" s="56"/>
      <c r="AU147" s="56"/>
      <c r="AV147" s="56"/>
      <c r="AW147" s="56"/>
      <c r="AX147" s="56"/>
      <c r="AY147" s="56"/>
      <c r="AZ147" s="56"/>
      <c r="BA147" s="56"/>
      <c r="BB147" s="56"/>
      <c r="BC147" s="56"/>
    </row>
    <row r="148" spans="1:55" x14ac:dyDescent="0.2">
      <c r="A148" s="56"/>
      <c r="B148" s="57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56"/>
      <c r="AS148" s="56"/>
      <c r="AT148" s="56"/>
      <c r="AU148" s="56"/>
      <c r="AV148" s="56"/>
      <c r="AW148" s="56"/>
      <c r="AX148" s="56"/>
      <c r="AY148" s="56"/>
      <c r="AZ148" s="56"/>
      <c r="BA148" s="56"/>
      <c r="BB148" s="56"/>
      <c r="BC148" s="56"/>
    </row>
    <row r="149" spans="1:55" x14ac:dyDescent="0.2">
      <c r="A149" s="56"/>
      <c r="B149" s="57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56"/>
      <c r="AS149" s="56"/>
      <c r="AT149" s="56"/>
      <c r="AU149" s="56"/>
      <c r="AV149" s="56"/>
      <c r="AW149" s="56"/>
      <c r="AX149" s="56"/>
      <c r="AY149" s="56"/>
      <c r="AZ149" s="56"/>
      <c r="BA149" s="56"/>
      <c r="BB149" s="56"/>
      <c r="BC149" s="56"/>
    </row>
    <row r="150" spans="1:55" x14ac:dyDescent="0.2">
      <c r="A150" s="56"/>
      <c r="B150" s="57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/>
      <c r="BB150" s="56"/>
      <c r="BC150" s="56"/>
    </row>
    <row r="151" spans="1:55" x14ac:dyDescent="0.2">
      <c r="A151" s="56"/>
      <c r="B151" s="57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56"/>
      <c r="AS151" s="56"/>
      <c r="AT151" s="56"/>
      <c r="AU151" s="56"/>
      <c r="AV151" s="56"/>
      <c r="AW151" s="56"/>
      <c r="AX151" s="56"/>
      <c r="AY151" s="56"/>
      <c r="AZ151" s="56"/>
      <c r="BA151" s="56"/>
      <c r="BB151" s="56"/>
      <c r="BC151" s="56"/>
    </row>
    <row r="152" spans="1:55" x14ac:dyDescent="0.2">
      <c r="A152" s="56"/>
      <c r="B152" s="57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56"/>
      <c r="AS152" s="56"/>
      <c r="AT152" s="56"/>
      <c r="AU152" s="56"/>
      <c r="AV152" s="56"/>
      <c r="AW152" s="56"/>
      <c r="AX152" s="56"/>
      <c r="AY152" s="56"/>
      <c r="AZ152" s="56"/>
      <c r="BA152" s="56"/>
      <c r="BB152" s="56"/>
      <c r="BC152" s="56"/>
    </row>
    <row r="153" spans="1:55" x14ac:dyDescent="0.2">
      <c r="A153" s="56"/>
      <c r="B153" s="57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6"/>
      <c r="AQ153" s="56"/>
      <c r="AR153" s="56"/>
      <c r="AS153" s="56"/>
      <c r="AT153" s="56"/>
      <c r="AU153" s="56"/>
      <c r="AV153" s="56"/>
      <c r="AW153" s="56"/>
      <c r="AX153" s="56"/>
      <c r="AY153" s="56"/>
      <c r="AZ153" s="56"/>
      <c r="BA153" s="56"/>
      <c r="BB153" s="56"/>
      <c r="BC153" s="56"/>
    </row>
    <row r="154" spans="1:55" x14ac:dyDescent="0.2">
      <c r="A154" s="56"/>
      <c r="B154" s="57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56"/>
      <c r="AS154" s="56"/>
      <c r="AT154" s="56"/>
      <c r="AU154" s="56"/>
      <c r="AV154" s="56"/>
      <c r="AW154" s="56"/>
      <c r="AX154" s="56"/>
      <c r="AY154" s="56"/>
      <c r="AZ154" s="56"/>
      <c r="BA154" s="56"/>
      <c r="BB154" s="56"/>
      <c r="BC154" s="56"/>
    </row>
    <row r="155" spans="1:55" x14ac:dyDescent="0.2">
      <c r="A155" s="56"/>
      <c r="B155" s="57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</row>
    <row r="156" spans="1:55" x14ac:dyDescent="0.2">
      <c r="A156" s="56"/>
      <c r="B156" s="57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56"/>
      <c r="AW156" s="56"/>
      <c r="AX156" s="56"/>
      <c r="AY156" s="56"/>
      <c r="AZ156" s="56"/>
      <c r="BA156" s="56"/>
      <c r="BB156" s="56"/>
      <c r="BC156" s="56"/>
    </row>
    <row r="157" spans="1:55" x14ac:dyDescent="0.2">
      <c r="A157" s="56"/>
      <c r="B157" s="57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56"/>
      <c r="AS157" s="56"/>
      <c r="AT157" s="56"/>
      <c r="AU157" s="56"/>
      <c r="AV157" s="56"/>
      <c r="AW157" s="56"/>
      <c r="AX157" s="56"/>
      <c r="AY157" s="56"/>
      <c r="AZ157" s="56"/>
      <c r="BA157" s="56"/>
      <c r="BB157" s="56"/>
      <c r="BC157" s="56"/>
    </row>
    <row r="158" spans="1:55" x14ac:dyDescent="0.2">
      <c r="A158" s="56"/>
      <c r="B158" s="57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56"/>
      <c r="AV158" s="56"/>
      <c r="AW158" s="56"/>
      <c r="AX158" s="56"/>
      <c r="AY158" s="56"/>
      <c r="AZ158" s="56"/>
      <c r="BA158" s="56"/>
      <c r="BB158" s="56"/>
      <c r="BC158" s="56"/>
    </row>
    <row r="159" spans="1:55" x14ac:dyDescent="0.2">
      <c r="A159" s="56"/>
      <c r="B159" s="57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56"/>
      <c r="AW159" s="56"/>
      <c r="AX159" s="56"/>
      <c r="AY159" s="56"/>
      <c r="AZ159" s="56"/>
      <c r="BA159" s="56"/>
      <c r="BB159" s="56"/>
      <c r="BC159" s="56"/>
    </row>
    <row r="160" spans="1:55" x14ac:dyDescent="0.2">
      <c r="A160" s="56"/>
      <c r="B160" s="57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  <c r="AU160" s="56"/>
      <c r="AV160" s="56"/>
      <c r="AW160" s="56"/>
      <c r="AX160" s="56"/>
      <c r="AY160" s="56"/>
      <c r="AZ160" s="56"/>
      <c r="BA160" s="56"/>
      <c r="BB160" s="56"/>
      <c r="BC160" s="56"/>
    </row>
    <row r="161" spans="1:55" x14ac:dyDescent="0.2">
      <c r="A161" s="56"/>
      <c r="B161" s="57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  <c r="AV161" s="56"/>
      <c r="AW161" s="56"/>
      <c r="AX161" s="56"/>
      <c r="AY161" s="56"/>
      <c r="AZ161" s="56"/>
      <c r="BA161" s="56"/>
      <c r="BB161" s="56"/>
      <c r="BC161" s="56"/>
    </row>
    <row r="162" spans="1:55" x14ac:dyDescent="0.2">
      <c r="A162" s="56"/>
      <c r="B162" s="57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56"/>
      <c r="AV162" s="56"/>
      <c r="AW162" s="56"/>
      <c r="AX162" s="56"/>
      <c r="AY162" s="56"/>
      <c r="AZ162" s="56"/>
      <c r="BA162" s="56"/>
      <c r="BB162" s="56"/>
      <c r="BC162" s="56"/>
    </row>
    <row r="163" spans="1:55" x14ac:dyDescent="0.2">
      <c r="A163" s="56"/>
      <c r="B163" s="57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56"/>
      <c r="AS163" s="56"/>
      <c r="AT163" s="56"/>
      <c r="AU163" s="56"/>
      <c r="AV163" s="56"/>
      <c r="AW163" s="56"/>
      <c r="AX163" s="56"/>
      <c r="AY163" s="56"/>
      <c r="AZ163" s="56"/>
      <c r="BA163" s="56"/>
      <c r="BB163" s="56"/>
      <c r="BC163" s="56"/>
    </row>
    <row r="164" spans="1:55" x14ac:dyDescent="0.2">
      <c r="A164" s="56"/>
      <c r="B164" s="57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56"/>
      <c r="AV164" s="56"/>
      <c r="AW164" s="56"/>
      <c r="AX164" s="56"/>
      <c r="AY164" s="56"/>
      <c r="AZ164" s="56"/>
      <c r="BA164" s="56"/>
      <c r="BB164" s="56"/>
      <c r="BC164" s="56"/>
    </row>
    <row r="165" spans="1:55" x14ac:dyDescent="0.2">
      <c r="A165" s="56"/>
      <c r="B165" s="57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56"/>
      <c r="AW165" s="56"/>
      <c r="AX165" s="56"/>
      <c r="AY165" s="56"/>
      <c r="AZ165" s="56"/>
      <c r="BA165" s="56"/>
      <c r="BB165" s="56"/>
      <c r="BC165" s="56"/>
    </row>
    <row r="166" spans="1:55" x14ac:dyDescent="0.2">
      <c r="A166" s="56"/>
      <c r="B166" s="57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  <c r="AV166" s="56"/>
      <c r="AW166" s="56"/>
      <c r="AX166" s="56"/>
      <c r="AY166" s="56"/>
      <c r="AZ166" s="56"/>
      <c r="BA166" s="56"/>
      <c r="BB166" s="56"/>
      <c r="BC166" s="56"/>
    </row>
    <row r="167" spans="1:55" x14ac:dyDescent="0.2">
      <c r="A167" s="56"/>
      <c r="B167" s="57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</row>
    <row r="168" spans="1:55" x14ac:dyDescent="0.2">
      <c r="A168" s="56"/>
      <c r="B168" s="57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</row>
    <row r="169" spans="1:55" x14ac:dyDescent="0.2">
      <c r="A169" s="56"/>
      <c r="B169" s="57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</row>
    <row r="170" spans="1:55" x14ac:dyDescent="0.2">
      <c r="A170" s="56"/>
      <c r="B170" s="57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</row>
    <row r="171" spans="1:55" x14ac:dyDescent="0.2">
      <c r="A171" s="56"/>
      <c r="B171" s="57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  <c r="AV171" s="56"/>
      <c r="AW171" s="56"/>
      <c r="AX171" s="56"/>
      <c r="AY171" s="56"/>
      <c r="AZ171" s="56"/>
      <c r="BA171" s="56"/>
      <c r="BB171" s="56"/>
      <c r="BC171" s="56"/>
    </row>
    <row r="172" spans="1:55" x14ac:dyDescent="0.2">
      <c r="A172" s="56"/>
      <c r="B172" s="57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/>
      <c r="AQ172" s="56"/>
      <c r="AR172" s="56"/>
      <c r="AS172" s="56"/>
      <c r="AT172" s="56"/>
      <c r="AU172" s="56"/>
      <c r="AV172" s="56"/>
      <c r="AW172" s="56"/>
      <c r="AX172" s="56"/>
      <c r="AY172" s="56"/>
      <c r="AZ172" s="56"/>
      <c r="BA172" s="56"/>
      <c r="BB172" s="56"/>
      <c r="BC172" s="56"/>
    </row>
    <row r="173" spans="1:55" x14ac:dyDescent="0.2">
      <c r="A173" s="56"/>
      <c r="B173" s="57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  <c r="AT173" s="56"/>
      <c r="AU173" s="56"/>
      <c r="AV173" s="56"/>
      <c r="AW173" s="56"/>
      <c r="AX173" s="56"/>
      <c r="AY173" s="56"/>
      <c r="AZ173" s="56"/>
      <c r="BA173" s="56"/>
      <c r="BB173" s="56"/>
      <c r="BC173" s="56"/>
    </row>
    <row r="174" spans="1:55" x14ac:dyDescent="0.2">
      <c r="A174" s="56"/>
      <c r="B174" s="57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56"/>
      <c r="AW174" s="56"/>
      <c r="AX174" s="56"/>
      <c r="AY174" s="56"/>
      <c r="AZ174" s="56"/>
      <c r="BA174" s="56"/>
      <c r="BB174" s="56"/>
      <c r="BC174" s="56"/>
    </row>
    <row r="175" spans="1:55" x14ac:dyDescent="0.2">
      <c r="A175" s="56"/>
      <c r="B175" s="57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56"/>
      <c r="AV175" s="56"/>
      <c r="AW175" s="56"/>
      <c r="AX175" s="56"/>
      <c r="AY175" s="56"/>
      <c r="AZ175" s="56"/>
      <c r="BA175" s="56"/>
      <c r="BB175" s="56"/>
      <c r="BC175" s="56"/>
    </row>
    <row r="176" spans="1:55" x14ac:dyDescent="0.2">
      <c r="A176" s="56"/>
      <c r="B176" s="57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  <c r="AV176" s="56"/>
      <c r="AW176" s="56"/>
      <c r="AX176" s="56"/>
      <c r="AY176" s="56"/>
      <c r="AZ176" s="56"/>
      <c r="BA176" s="56"/>
      <c r="BB176" s="56"/>
      <c r="BC176" s="56"/>
    </row>
    <row r="177" spans="1:55" x14ac:dyDescent="0.2">
      <c r="A177" s="56"/>
      <c r="B177" s="57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  <c r="AV177" s="56"/>
      <c r="AW177" s="56"/>
      <c r="AX177" s="56"/>
      <c r="AY177" s="56"/>
      <c r="AZ177" s="56"/>
      <c r="BA177" s="56"/>
      <c r="BB177" s="56"/>
      <c r="BC177" s="56"/>
    </row>
    <row r="178" spans="1:55" x14ac:dyDescent="0.2">
      <c r="A178" s="56"/>
      <c r="B178" s="57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  <c r="AV178" s="56"/>
      <c r="AW178" s="56"/>
      <c r="AX178" s="56"/>
      <c r="AY178" s="56"/>
      <c r="AZ178" s="56"/>
      <c r="BA178" s="56"/>
      <c r="BB178" s="56"/>
      <c r="BC178" s="56"/>
    </row>
    <row r="179" spans="1:55" x14ac:dyDescent="0.2">
      <c r="A179" s="56"/>
      <c r="B179" s="57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6"/>
      <c r="AW179" s="56"/>
      <c r="AX179" s="56"/>
      <c r="AY179" s="56"/>
      <c r="AZ179" s="56"/>
      <c r="BA179" s="56"/>
      <c r="BB179" s="56"/>
      <c r="BC179" s="56"/>
    </row>
    <row r="180" spans="1:55" x14ac:dyDescent="0.2">
      <c r="A180" s="56"/>
      <c r="B180" s="57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56"/>
      <c r="AW180" s="56"/>
      <c r="AX180" s="56"/>
      <c r="AY180" s="56"/>
      <c r="AZ180" s="56"/>
      <c r="BA180" s="56"/>
      <c r="BB180" s="56"/>
      <c r="BC180" s="56"/>
    </row>
    <row r="181" spans="1:55" x14ac:dyDescent="0.2">
      <c r="A181" s="56"/>
      <c r="B181" s="57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</row>
    <row r="182" spans="1:55" x14ac:dyDescent="0.2">
      <c r="A182" s="56"/>
      <c r="B182" s="57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</row>
    <row r="183" spans="1:55" x14ac:dyDescent="0.2">
      <c r="A183" s="56"/>
      <c r="B183" s="57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56"/>
      <c r="AW183" s="56"/>
      <c r="AX183" s="56"/>
      <c r="AY183" s="56"/>
      <c r="AZ183" s="56"/>
      <c r="BA183" s="56"/>
      <c r="BB183" s="56"/>
      <c r="BC183" s="56"/>
    </row>
    <row r="184" spans="1:55" x14ac:dyDescent="0.2">
      <c r="A184" s="56"/>
      <c r="B184" s="57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56"/>
      <c r="AV184" s="56"/>
      <c r="AW184" s="56"/>
      <c r="AX184" s="56"/>
      <c r="AY184" s="56"/>
      <c r="AZ184" s="56"/>
      <c r="BA184" s="56"/>
      <c r="BB184" s="56"/>
      <c r="BC184" s="56"/>
    </row>
    <row r="185" spans="1:55" x14ac:dyDescent="0.2">
      <c r="A185" s="56"/>
      <c r="B185" s="57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  <c r="AT185" s="56"/>
      <c r="AU185" s="56"/>
      <c r="AV185" s="56"/>
      <c r="AW185" s="56"/>
      <c r="AX185" s="56"/>
      <c r="AY185" s="56"/>
      <c r="AZ185" s="56"/>
      <c r="BA185" s="56"/>
      <c r="BB185" s="56"/>
      <c r="BC185" s="56"/>
    </row>
    <row r="186" spans="1:55" x14ac:dyDescent="0.2">
      <c r="A186" s="56"/>
      <c r="B186" s="57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  <c r="AV186" s="56"/>
      <c r="AW186" s="56"/>
      <c r="AX186" s="56"/>
      <c r="AY186" s="56"/>
      <c r="AZ186" s="56"/>
      <c r="BA186" s="56"/>
      <c r="BB186" s="56"/>
      <c r="BC186" s="56"/>
    </row>
    <row r="187" spans="1:55" x14ac:dyDescent="0.2">
      <c r="A187" s="56"/>
      <c r="B187" s="57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56"/>
      <c r="AS187" s="56"/>
      <c r="AT187" s="56"/>
      <c r="AU187" s="56"/>
      <c r="AV187" s="56"/>
      <c r="AW187" s="56"/>
      <c r="AX187" s="56"/>
      <c r="AY187" s="56"/>
      <c r="AZ187" s="56"/>
      <c r="BA187" s="56"/>
      <c r="BB187" s="56"/>
      <c r="BC187" s="56"/>
    </row>
    <row r="188" spans="1:55" x14ac:dyDescent="0.2">
      <c r="A188" s="56"/>
      <c r="B188" s="57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56"/>
      <c r="AV188" s="56"/>
      <c r="AW188" s="56"/>
      <c r="AX188" s="56"/>
      <c r="AY188" s="56"/>
      <c r="AZ188" s="56"/>
      <c r="BA188" s="56"/>
      <c r="BB188" s="56"/>
      <c r="BC188" s="56"/>
    </row>
    <row r="189" spans="1:55" x14ac:dyDescent="0.2">
      <c r="A189" s="56"/>
      <c r="B189" s="57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56"/>
      <c r="AW189" s="56"/>
      <c r="AX189" s="56"/>
      <c r="AY189" s="56"/>
      <c r="AZ189" s="56"/>
      <c r="BA189" s="56"/>
      <c r="BB189" s="56"/>
      <c r="BC189" s="56"/>
    </row>
    <row r="190" spans="1:55" x14ac:dyDescent="0.2">
      <c r="A190" s="56"/>
      <c r="B190" s="57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/>
      <c r="BB190" s="56"/>
      <c r="BC190" s="56"/>
    </row>
    <row r="191" spans="1:55" x14ac:dyDescent="0.2">
      <c r="A191" s="56"/>
      <c r="B191" s="57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  <c r="AT191" s="56"/>
      <c r="AU191" s="56"/>
      <c r="AV191" s="56"/>
      <c r="AW191" s="56"/>
      <c r="AX191" s="56"/>
      <c r="AY191" s="56"/>
      <c r="AZ191" s="56"/>
      <c r="BA191" s="56"/>
      <c r="BB191" s="56"/>
      <c r="BC191" s="56"/>
    </row>
    <row r="192" spans="1:55" x14ac:dyDescent="0.2">
      <c r="A192" s="56"/>
      <c r="B192" s="57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  <c r="AT192" s="56"/>
      <c r="AU192" s="56"/>
      <c r="AV192" s="56"/>
      <c r="AW192" s="56"/>
      <c r="AX192" s="56"/>
      <c r="AY192" s="56"/>
      <c r="AZ192" s="56"/>
      <c r="BA192" s="56"/>
      <c r="BB192" s="56"/>
      <c r="BC192" s="56"/>
    </row>
    <row r="193" spans="1:55" x14ac:dyDescent="0.2">
      <c r="A193" s="56"/>
      <c r="B193" s="57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56"/>
      <c r="AR193" s="56"/>
      <c r="AS193" s="56"/>
      <c r="AT193" s="56"/>
      <c r="AU193" s="56"/>
      <c r="AV193" s="56"/>
      <c r="AW193" s="56"/>
      <c r="AX193" s="56"/>
      <c r="AY193" s="56"/>
      <c r="AZ193" s="56"/>
      <c r="BA193" s="56"/>
      <c r="BB193" s="56"/>
      <c r="BC193" s="56"/>
    </row>
    <row r="194" spans="1:55" x14ac:dyDescent="0.2">
      <c r="A194" s="56"/>
      <c r="B194" s="57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  <c r="AT194" s="56"/>
      <c r="AU194" s="56"/>
      <c r="AV194" s="56"/>
      <c r="AW194" s="56"/>
      <c r="AX194" s="56"/>
      <c r="AY194" s="56"/>
      <c r="AZ194" s="56"/>
      <c r="BA194" s="56"/>
      <c r="BB194" s="56"/>
      <c r="BC194" s="56"/>
    </row>
    <row r="195" spans="1:55" x14ac:dyDescent="0.2">
      <c r="A195" s="56"/>
      <c r="B195" s="57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6"/>
      <c r="AS195" s="56"/>
      <c r="AT195" s="56"/>
      <c r="AU195" s="56"/>
      <c r="AV195" s="56"/>
      <c r="AW195" s="56"/>
      <c r="AX195" s="56"/>
      <c r="AY195" s="56"/>
      <c r="AZ195" s="56"/>
      <c r="BA195" s="56"/>
      <c r="BB195" s="56"/>
      <c r="BC195" s="56"/>
    </row>
    <row r="196" spans="1:55" x14ac:dyDescent="0.2">
      <c r="A196" s="56"/>
      <c r="B196" s="57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56"/>
      <c r="AS196" s="56"/>
      <c r="AT196" s="56"/>
      <c r="AU196" s="56"/>
      <c r="AV196" s="56"/>
      <c r="AW196" s="56"/>
      <c r="AX196" s="56"/>
      <c r="AY196" s="56"/>
      <c r="AZ196" s="56"/>
      <c r="BA196" s="56"/>
      <c r="BB196" s="56"/>
      <c r="BC196" s="56"/>
    </row>
    <row r="197" spans="1:55" x14ac:dyDescent="0.2">
      <c r="A197" s="56"/>
      <c r="B197" s="57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6"/>
      <c r="AV197" s="56"/>
      <c r="AW197" s="56"/>
      <c r="AX197" s="56"/>
      <c r="AY197" s="56"/>
      <c r="AZ197" s="56"/>
      <c r="BA197" s="56"/>
      <c r="BB197" s="56"/>
      <c r="BC197" s="56"/>
    </row>
    <row r="198" spans="1:55" x14ac:dyDescent="0.2">
      <c r="A198" s="56"/>
      <c r="B198" s="57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56"/>
      <c r="AS198" s="56"/>
      <c r="AT198" s="56"/>
      <c r="AU198" s="56"/>
      <c r="AV198" s="56"/>
      <c r="AW198" s="56"/>
      <c r="AX198" s="56"/>
      <c r="AY198" s="56"/>
      <c r="AZ198" s="56"/>
      <c r="BA198" s="56"/>
      <c r="BB198" s="56"/>
      <c r="BC198" s="56"/>
    </row>
    <row r="199" spans="1:55" x14ac:dyDescent="0.2">
      <c r="A199" s="56"/>
      <c r="B199" s="57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  <c r="AT199" s="56"/>
      <c r="AU199" s="56"/>
      <c r="AV199" s="56"/>
      <c r="AW199" s="56"/>
      <c r="AX199" s="56"/>
      <c r="AY199" s="56"/>
      <c r="AZ199" s="56"/>
      <c r="BA199" s="56"/>
      <c r="BB199" s="56"/>
      <c r="BC199" s="56"/>
    </row>
    <row r="200" spans="1:55" x14ac:dyDescent="0.2">
      <c r="A200" s="56"/>
      <c r="B200" s="57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  <c r="AT200" s="56"/>
      <c r="AU200" s="56"/>
      <c r="AV200" s="56"/>
      <c r="AW200" s="56"/>
      <c r="AX200" s="56"/>
      <c r="AY200" s="56"/>
      <c r="AZ200" s="56"/>
      <c r="BA200" s="56"/>
      <c r="BB200" s="56"/>
      <c r="BC200" s="56"/>
    </row>
    <row r="201" spans="1:55" x14ac:dyDescent="0.2">
      <c r="A201" s="56"/>
      <c r="B201" s="57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6"/>
      <c r="AR201" s="56"/>
      <c r="AS201" s="56"/>
      <c r="AT201" s="56"/>
      <c r="AU201" s="56"/>
      <c r="AV201" s="56"/>
      <c r="AW201" s="56"/>
      <c r="AX201" s="56"/>
      <c r="AY201" s="56"/>
      <c r="AZ201" s="56"/>
      <c r="BA201" s="56"/>
      <c r="BB201" s="56"/>
      <c r="BC201" s="56"/>
    </row>
    <row r="202" spans="1:55" x14ac:dyDescent="0.2">
      <c r="A202" s="56"/>
      <c r="B202" s="57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56"/>
      <c r="AS202" s="56"/>
      <c r="AT202" s="56"/>
      <c r="AU202" s="56"/>
      <c r="AV202" s="56"/>
      <c r="AW202" s="56"/>
      <c r="AX202" s="56"/>
      <c r="AY202" s="56"/>
      <c r="AZ202" s="56"/>
      <c r="BA202" s="56"/>
      <c r="BB202" s="56"/>
      <c r="BC202" s="56"/>
    </row>
    <row r="203" spans="1:55" x14ac:dyDescent="0.2">
      <c r="A203" s="56"/>
      <c r="B203" s="57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  <c r="AV203" s="56"/>
      <c r="AW203" s="56"/>
      <c r="AX203" s="56"/>
      <c r="AY203" s="56"/>
      <c r="AZ203" s="56"/>
      <c r="BA203" s="56"/>
      <c r="BB203" s="56"/>
      <c r="BC203" s="56"/>
    </row>
    <row r="204" spans="1:55" x14ac:dyDescent="0.2">
      <c r="A204" s="56"/>
      <c r="B204" s="57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56"/>
      <c r="AV204" s="56"/>
      <c r="AW204" s="56"/>
      <c r="AX204" s="56"/>
      <c r="AY204" s="56"/>
      <c r="AZ204" s="56"/>
      <c r="BA204" s="56"/>
      <c r="BB204" s="56"/>
      <c r="BC204" s="56"/>
    </row>
    <row r="205" spans="1:55" x14ac:dyDescent="0.2">
      <c r="A205" s="56"/>
      <c r="B205" s="57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56"/>
      <c r="AV205" s="56"/>
      <c r="AW205" s="56"/>
      <c r="AX205" s="56"/>
      <c r="AY205" s="56"/>
      <c r="AZ205" s="56"/>
      <c r="BA205" s="56"/>
      <c r="BB205" s="56"/>
      <c r="BC205" s="56"/>
    </row>
    <row r="206" spans="1:55" x14ac:dyDescent="0.2">
      <c r="A206" s="56"/>
      <c r="B206" s="57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56"/>
      <c r="AS206" s="56"/>
      <c r="AT206" s="56"/>
      <c r="AU206" s="56"/>
      <c r="AV206" s="56"/>
      <c r="AW206" s="56"/>
      <c r="AX206" s="56"/>
      <c r="AY206" s="56"/>
      <c r="AZ206" s="56"/>
      <c r="BA206" s="56"/>
      <c r="BB206" s="56"/>
      <c r="BC206" s="56"/>
    </row>
    <row r="207" spans="1:55" x14ac:dyDescent="0.2">
      <c r="A207" s="56"/>
      <c r="B207" s="57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56"/>
      <c r="AS207" s="56"/>
      <c r="AT207" s="56"/>
      <c r="AU207" s="56"/>
      <c r="AV207" s="56"/>
      <c r="AW207" s="56"/>
      <c r="AX207" s="56"/>
      <c r="AY207" s="56"/>
      <c r="AZ207" s="56"/>
      <c r="BA207" s="56"/>
      <c r="BB207" s="56"/>
      <c r="BC207" s="56"/>
    </row>
    <row r="208" spans="1:55" x14ac:dyDescent="0.2">
      <c r="A208" s="56"/>
      <c r="B208" s="57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56"/>
      <c r="AR208" s="56"/>
      <c r="AS208" s="56"/>
      <c r="AT208" s="56"/>
      <c r="AU208" s="56"/>
      <c r="AV208" s="56"/>
      <c r="AW208" s="56"/>
      <c r="AX208" s="56"/>
      <c r="AY208" s="56"/>
      <c r="AZ208" s="56"/>
      <c r="BA208" s="56"/>
      <c r="BB208" s="56"/>
      <c r="BC208" s="56"/>
    </row>
    <row r="209" spans="1:55" x14ac:dyDescent="0.2">
      <c r="A209" s="56"/>
      <c r="B209" s="57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56"/>
      <c r="AS209" s="56"/>
      <c r="AT209" s="56"/>
      <c r="AU209" s="56"/>
      <c r="AV209" s="56"/>
      <c r="AW209" s="56"/>
      <c r="AX209" s="56"/>
      <c r="AY209" s="56"/>
      <c r="AZ209" s="56"/>
      <c r="BA209" s="56"/>
      <c r="BB209" s="56"/>
      <c r="BC209" s="56"/>
    </row>
    <row r="210" spans="1:55" x14ac:dyDescent="0.2">
      <c r="A210" s="56"/>
      <c r="B210" s="57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  <c r="AT210" s="56"/>
      <c r="AU210" s="56"/>
      <c r="AV210" s="56"/>
      <c r="AW210" s="56"/>
      <c r="AX210" s="56"/>
      <c r="AY210" s="56"/>
      <c r="AZ210" s="56"/>
      <c r="BA210" s="56"/>
      <c r="BB210" s="56"/>
      <c r="BC210" s="56"/>
    </row>
    <row r="211" spans="1:55" x14ac:dyDescent="0.2">
      <c r="A211" s="56"/>
      <c r="B211" s="57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56"/>
      <c r="AS211" s="56"/>
      <c r="AT211" s="56"/>
      <c r="AU211" s="56"/>
      <c r="AV211" s="56"/>
      <c r="AW211" s="56"/>
      <c r="AX211" s="56"/>
      <c r="AY211" s="56"/>
      <c r="AZ211" s="56"/>
      <c r="BA211" s="56"/>
      <c r="BB211" s="56"/>
      <c r="BC211" s="56"/>
    </row>
    <row r="212" spans="1:55" x14ac:dyDescent="0.2">
      <c r="A212" s="56"/>
      <c r="B212" s="57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  <c r="AV212" s="56"/>
      <c r="AW212" s="56"/>
      <c r="AX212" s="56"/>
      <c r="AY212" s="56"/>
      <c r="AZ212" s="56"/>
      <c r="BA212" s="56"/>
      <c r="BB212" s="56"/>
      <c r="BC212" s="56"/>
    </row>
    <row r="213" spans="1:55" x14ac:dyDescent="0.2">
      <c r="A213" s="56"/>
      <c r="B213" s="57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56"/>
      <c r="AS213" s="56"/>
      <c r="AT213" s="56"/>
      <c r="AU213" s="56"/>
      <c r="AV213" s="56"/>
      <c r="AW213" s="56"/>
      <c r="AX213" s="56"/>
      <c r="AY213" s="56"/>
      <c r="AZ213" s="56"/>
      <c r="BA213" s="56"/>
      <c r="BB213" s="56"/>
      <c r="BC213" s="56"/>
    </row>
    <row r="214" spans="1:55" x14ac:dyDescent="0.2">
      <c r="A214" s="56"/>
      <c r="B214" s="57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56"/>
      <c r="AV214" s="56"/>
      <c r="AW214" s="56"/>
      <c r="AX214" s="56"/>
      <c r="AY214" s="56"/>
      <c r="AZ214" s="56"/>
      <c r="BA214" s="56"/>
      <c r="BB214" s="56"/>
      <c r="BC214" s="56"/>
    </row>
    <row r="215" spans="1:55" x14ac:dyDescent="0.2">
      <c r="A215" s="56"/>
      <c r="B215" s="57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56"/>
      <c r="AS215" s="56"/>
      <c r="AT215" s="56"/>
      <c r="AU215" s="56"/>
      <c r="AV215" s="56"/>
      <c r="AW215" s="56"/>
      <c r="AX215" s="56"/>
      <c r="AY215" s="56"/>
      <c r="AZ215" s="56"/>
      <c r="BA215" s="56"/>
      <c r="BB215" s="56"/>
      <c r="BC215" s="56"/>
    </row>
    <row r="216" spans="1:55" x14ac:dyDescent="0.2">
      <c r="A216" s="56"/>
      <c r="B216" s="57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56"/>
      <c r="AV216" s="56"/>
      <c r="AW216" s="56"/>
      <c r="AX216" s="56"/>
      <c r="AY216" s="56"/>
      <c r="AZ216" s="56"/>
      <c r="BA216" s="56"/>
      <c r="BB216" s="56"/>
      <c r="BC216" s="56"/>
    </row>
    <row r="217" spans="1:55" x14ac:dyDescent="0.2">
      <c r="A217" s="56"/>
      <c r="B217" s="57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  <c r="AT217" s="56"/>
      <c r="AU217" s="56"/>
      <c r="AV217" s="56"/>
      <c r="AW217" s="56"/>
      <c r="AX217" s="56"/>
      <c r="AY217" s="56"/>
      <c r="AZ217" s="56"/>
      <c r="BA217" s="56"/>
      <c r="BB217" s="56"/>
      <c r="BC217" s="56"/>
    </row>
    <row r="218" spans="1:55" x14ac:dyDescent="0.2">
      <c r="A218" s="56"/>
      <c r="B218" s="57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  <c r="AV218" s="56"/>
      <c r="AW218" s="56"/>
      <c r="AX218" s="56"/>
      <c r="AY218" s="56"/>
      <c r="AZ218" s="56"/>
      <c r="BA218" s="56"/>
      <c r="BB218" s="56"/>
      <c r="BC218" s="56"/>
    </row>
    <row r="219" spans="1:55" x14ac:dyDescent="0.2">
      <c r="A219" s="56"/>
      <c r="B219" s="57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6"/>
      <c r="AV219" s="56"/>
      <c r="AW219" s="56"/>
      <c r="AX219" s="56"/>
      <c r="AY219" s="56"/>
      <c r="AZ219" s="56"/>
      <c r="BA219" s="56"/>
      <c r="BB219" s="56"/>
      <c r="BC219" s="56"/>
    </row>
    <row r="220" spans="1:55" x14ac:dyDescent="0.2">
      <c r="A220" s="56"/>
      <c r="B220" s="57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  <c r="AV220" s="56"/>
      <c r="AW220" s="56"/>
      <c r="AX220" s="56"/>
      <c r="AY220" s="56"/>
      <c r="AZ220" s="56"/>
      <c r="BA220" s="56"/>
      <c r="BB220" s="56"/>
      <c r="BC220" s="56"/>
    </row>
    <row r="221" spans="1:55" x14ac:dyDescent="0.2">
      <c r="A221" s="56"/>
      <c r="B221" s="57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6"/>
    </row>
    <row r="222" spans="1:55" x14ac:dyDescent="0.2">
      <c r="A222" s="56"/>
      <c r="B222" s="57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</row>
    <row r="223" spans="1:55" x14ac:dyDescent="0.2">
      <c r="A223" s="56"/>
      <c r="B223" s="57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</row>
    <row r="224" spans="1:55" x14ac:dyDescent="0.2">
      <c r="A224" s="56"/>
      <c r="B224" s="57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</row>
    <row r="225" spans="1:55" x14ac:dyDescent="0.2">
      <c r="A225" s="56"/>
      <c r="B225" s="57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</row>
    <row r="226" spans="1:55" x14ac:dyDescent="0.2">
      <c r="A226" s="56"/>
      <c r="B226" s="57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</row>
    <row r="227" spans="1:55" x14ac:dyDescent="0.2">
      <c r="A227" s="56"/>
      <c r="B227" s="57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  <c r="AW227" s="56"/>
      <c r="AX227" s="56"/>
      <c r="AY227" s="56"/>
      <c r="AZ227" s="56"/>
      <c r="BA227" s="56"/>
      <c r="BB227" s="56"/>
      <c r="BC227" s="56"/>
    </row>
    <row r="228" spans="1:55" x14ac:dyDescent="0.2">
      <c r="A228" s="56"/>
      <c r="B228" s="57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</row>
    <row r="229" spans="1:55" x14ac:dyDescent="0.2">
      <c r="A229" s="56"/>
      <c r="B229" s="57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</row>
    <row r="230" spans="1:55" x14ac:dyDescent="0.2">
      <c r="A230" s="56"/>
      <c r="B230" s="57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</row>
    <row r="231" spans="1:55" x14ac:dyDescent="0.2">
      <c r="A231" s="56"/>
      <c r="B231" s="57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</row>
    <row r="232" spans="1:55" x14ac:dyDescent="0.2">
      <c r="A232" s="56"/>
      <c r="B232" s="57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</row>
    <row r="233" spans="1:55" x14ac:dyDescent="0.2">
      <c r="A233" s="56"/>
      <c r="B233" s="57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</row>
    <row r="234" spans="1:55" x14ac:dyDescent="0.2">
      <c r="A234" s="56"/>
      <c r="B234" s="57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</row>
    <row r="235" spans="1:55" x14ac:dyDescent="0.2">
      <c r="A235" s="56"/>
      <c r="B235" s="57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  <c r="AW235" s="56"/>
      <c r="AX235" s="56"/>
      <c r="AY235" s="56"/>
      <c r="AZ235" s="56"/>
      <c r="BA235" s="56"/>
      <c r="BB235" s="56"/>
      <c r="BC235" s="56"/>
    </row>
    <row r="236" spans="1:55" x14ac:dyDescent="0.2">
      <c r="A236" s="56"/>
      <c r="B236" s="57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  <c r="AW236" s="56"/>
      <c r="AX236" s="56"/>
      <c r="AY236" s="56"/>
      <c r="AZ236" s="56"/>
      <c r="BA236" s="56"/>
      <c r="BB236" s="56"/>
      <c r="BC236" s="56"/>
    </row>
    <row r="237" spans="1:55" x14ac:dyDescent="0.2">
      <c r="A237" s="56"/>
      <c r="B237" s="57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  <c r="AW237" s="56"/>
      <c r="AX237" s="56"/>
      <c r="AY237" s="56"/>
      <c r="AZ237" s="56"/>
      <c r="BA237" s="56"/>
      <c r="BB237" s="56"/>
      <c r="BC237" s="56"/>
    </row>
    <row r="238" spans="1:55" x14ac:dyDescent="0.2">
      <c r="A238" s="56"/>
      <c r="B238" s="57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</row>
    <row r="239" spans="1:55" x14ac:dyDescent="0.2">
      <c r="A239" s="56"/>
      <c r="B239" s="57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</row>
    <row r="240" spans="1:55" x14ac:dyDescent="0.2">
      <c r="A240" s="56"/>
      <c r="B240" s="57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</row>
    <row r="241" spans="1:55" x14ac:dyDescent="0.2">
      <c r="A241" s="56"/>
      <c r="B241" s="57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  <c r="AW241" s="56"/>
      <c r="AX241" s="56"/>
      <c r="AY241" s="56"/>
      <c r="AZ241" s="56"/>
      <c r="BA241" s="56"/>
      <c r="BB241" s="56"/>
      <c r="BC241" s="56"/>
    </row>
    <row r="242" spans="1:55" x14ac:dyDescent="0.2">
      <c r="A242" s="56"/>
      <c r="B242" s="57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  <c r="AW242" s="56"/>
      <c r="AX242" s="56"/>
      <c r="AY242" s="56"/>
      <c r="AZ242" s="56"/>
      <c r="BA242" s="56"/>
      <c r="BB242" s="56"/>
      <c r="BC242" s="56"/>
    </row>
    <row r="243" spans="1:55" x14ac:dyDescent="0.2">
      <c r="A243" s="56"/>
      <c r="B243" s="57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  <c r="AW243" s="56"/>
      <c r="AX243" s="56"/>
      <c r="AY243" s="56"/>
      <c r="AZ243" s="56"/>
      <c r="BA243" s="56"/>
      <c r="BB243" s="56"/>
      <c r="BC243" s="56"/>
    </row>
    <row r="244" spans="1:55" x14ac:dyDescent="0.2">
      <c r="A244" s="56"/>
      <c r="B244" s="57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  <c r="AW244" s="56"/>
      <c r="AX244" s="56"/>
      <c r="AY244" s="56"/>
      <c r="AZ244" s="56"/>
      <c r="BA244" s="56"/>
      <c r="BB244" s="56"/>
      <c r="BC244" s="56"/>
    </row>
    <row r="245" spans="1:55" x14ac:dyDescent="0.2">
      <c r="A245" s="56"/>
      <c r="B245" s="57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  <c r="AW245" s="56"/>
      <c r="AX245" s="56"/>
      <c r="AY245" s="56"/>
      <c r="AZ245" s="56"/>
      <c r="BA245" s="56"/>
      <c r="BB245" s="56"/>
      <c r="BC245" s="56"/>
    </row>
    <row r="246" spans="1:55" x14ac:dyDescent="0.2">
      <c r="A246" s="56"/>
      <c r="B246" s="57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  <c r="AW246" s="56"/>
      <c r="AX246" s="56"/>
      <c r="AY246" s="56"/>
      <c r="AZ246" s="56"/>
      <c r="BA246" s="56"/>
      <c r="BB246" s="56"/>
      <c r="BC246" s="56"/>
    </row>
    <row r="247" spans="1:55" x14ac:dyDescent="0.2">
      <c r="A247" s="56"/>
      <c r="B247" s="57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6"/>
      <c r="AQ247" s="56"/>
      <c r="AR247" s="56"/>
      <c r="AS247" s="56"/>
      <c r="AT247" s="56"/>
      <c r="AU247" s="56"/>
      <c r="AV247" s="56"/>
      <c r="AW247" s="56"/>
      <c r="AX247" s="56"/>
      <c r="AY247" s="56"/>
      <c r="AZ247" s="56"/>
      <c r="BA247" s="56"/>
      <c r="BB247" s="56"/>
      <c r="BC247" s="56"/>
    </row>
    <row r="248" spans="1:55" x14ac:dyDescent="0.2">
      <c r="A248" s="56"/>
      <c r="B248" s="57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  <c r="AS248" s="56"/>
      <c r="AT248" s="56"/>
      <c r="AU248" s="56"/>
      <c r="AV248" s="56"/>
      <c r="AW248" s="56"/>
      <c r="AX248" s="56"/>
      <c r="AY248" s="56"/>
      <c r="AZ248" s="56"/>
      <c r="BA248" s="56"/>
      <c r="BB248" s="56"/>
      <c r="BC248" s="56"/>
    </row>
    <row r="249" spans="1:55" x14ac:dyDescent="0.2">
      <c r="A249" s="56"/>
      <c r="B249" s="57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  <c r="AT249" s="56"/>
      <c r="AU249" s="56"/>
      <c r="AV249" s="56"/>
      <c r="AW249" s="56"/>
      <c r="AX249" s="56"/>
      <c r="AY249" s="56"/>
      <c r="AZ249" s="56"/>
      <c r="BA249" s="56"/>
      <c r="BB249" s="56"/>
      <c r="BC249" s="56"/>
    </row>
    <row r="250" spans="1:55" x14ac:dyDescent="0.2">
      <c r="A250" s="56"/>
      <c r="B250" s="57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  <c r="AT250" s="56"/>
      <c r="AU250" s="56"/>
      <c r="AV250" s="56"/>
      <c r="AW250" s="56"/>
      <c r="AX250" s="56"/>
      <c r="AY250" s="56"/>
      <c r="AZ250" s="56"/>
      <c r="BA250" s="56"/>
      <c r="BB250" s="56"/>
      <c r="BC250" s="56"/>
    </row>
    <row r="251" spans="1:55" x14ac:dyDescent="0.2">
      <c r="A251" s="56"/>
      <c r="B251" s="57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56"/>
      <c r="AS251" s="56"/>
      <c r="AT251" s="56"/>
      <c r="AU251" s="56"/>
      <c r="AV251" s="56"/>
      <c r="AW251" s="56"/>
      <c r="AX251" s="56"/>
      <c r="AY251" s="56"/>
      <c r="AZ251" s="56"/>
      <c r="BA251" s="56"/>
      <c r="BB251" s="56"/>
      <c r="BC251" s="56"/>
    </row>
    <row r="252" spans="1:55" x14ac:dyDescent="0.2">
      <c r="A252" s="56"/>
      <c r="B252" s="57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  <c r="AT252" s="56"/>
      <c r="AU252" s="56"/>
      <c r="AV252" s="56"/>
      <c r="AW252" s="56"/>
      <c r="AX252" s="56"/>
      <c r="AY252" s="56"/>
      <c r="AZ252" s="56"/>
      <c r="BA252" s="56"/>
      <c r="BB252" s="56"/>
      <c r="BC252" s="56"/>
    </row>
    <row r="253" spans="1:55" x14ac:dyDescent="0.2">
      <c r="A253" s="56"/>
      <c r="B253" s="57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  <c r="AT253" s="56"/>
      <c r="AU253" s="56"/>
      <c r="AV253" s="56"/>
      <c r="AW253" s="56"/>
      <c r="AX253" s="56"/>
      <c r="AY253" s="56"/>
      <c r="AZ253" s="56"/>
      <c r="BA253" s="56"/>
      <c r="BB253" s="56"/>
      <c r="BC253" s="56"/>
    </row>
    <row r="254" spans="1:55" x14ac:dyDescent="0.2">
      <c r="A254" s="56"/>
      <c r="B254" s="57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  <c r="AS254" s="56"/>
      <c r="AT254" s="56"/>
      <c r="AU254" s="56"/>
      <c r="AV254" s="56"/>
      <c r="AW254" s="56"/>
      <c r="AX254" s="56"/>
      <c r="AY254" s="56"/>
      <c r="AZ254" s="56"/>
      <c r="BA254" s="56"/>
      <c r="BB254" s="56"/>
      <c r="BC254" s="56"/>
    </row>
    <row r="255" spans="1:55" x14ac:dyDescent="0.2">
      <c r="A255" s="56"/>
      <c r="B255" s="57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  <c r="AQ255" s="56"/>
      <c r="AR255" s="56"/>
      <c r="AS255" s="56"/>
      <c r="AT255" s="56"/>
      <c r="AU255" s="56"/>
      <c r="AV255" s="56"/>
      <c r="AW255" s="56"/>
      <c r="AX255" s="56"/>
      <c r="AY255" s="56"/>
      <c r="AZ255" s="56"/>
      <c r="BA255" s="56"/>
      <c r="BB255" s="56"/>
      <c r="BC255" s="56"/>
    </row>
    <row r="256" spans="1:55" x14ac:dyDescent="0.2">
      <c r="A256" s="56"/>
      <c r="B256" s="57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  <c r="AQ256" s="56"/>
      <c r="AR256" s="56"/>
      <c r="AS256" s="56"/>
      <c r="AT256" s="56"/>
      <c r="AU256" s="56"/>
      <c r="AV256" s="56"/>
      <c r="AW256" s="56"/>
      <c r="AX256" s="56"/>
      <c r="AY256" s="56"/>
      <c r="AZ256" s="56"/>
      <c r="BA256" s="56"/>
      <c r="BB256" s="56"/>
      <c r="BC256" s="56"/>
    </row>
    <row r="257" spans="1:55" x14ac:dyDescent="0.2">
      <c r="A257" s="56"/>
      <c r="B257" s="57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  <c r="AQ257" s="56"/>
      <c r="AR257" s="56"/>
      <c r="AS257" s="56"/>
      <c r="AT257" s="56"/>
      <c r="AU257" s="56"/>
      <c r="AV257" s="56"/>
      <c r="AW257" s="56"/>
      <c r="AX257" s="56"/>
      <c r="AY257" s="56"/>
      <c r="AZ257" s="56"/>
      <c r="BA257" s="56"/>
      <c r="BB257" s="56"/>
      <c r="BC257" s="56"/>
    </row>
    <row r="258" spans="1:55" x14ac:dyDescent="0.2">
      <c r="A258" s="56"/>
      <c r="B258" s="57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56"/>
      <c r="AS258" s="56"/>
      <c r="AT258" s="56"/>
      <c r="AU258" s="56"/>
      <c r="AV258" s="56"/>
      <c r="AW258" s="56"/>
      <c r="AX258" s="56"/>
      <c r="AY258" s="56"/>
      <c r="AZ258" s="56"/>
      <c r="BA258" s="56"/>
      <c r="BB258" s="56"/>
      <c r="BC258" s="56"/>
    </row>
    <row r="259" spans="1:55" x14ac:dyDescent="0.2">
      <c r="A259" s="56"/>
      <c r="B259" s="57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  <c r="AQ259" s="56"/>
      <c r="AR259" s="56"/>
      <c r="AS259" s="56"/>
      <c r="AT259" s="56"/>
      <c r="AU259" s="56"/>
      <c r="AV259" s="56"/>
      <c r="AW259" s="56"/>
      <c r="AX259" s="56"/>
      <c r="AY259" s="56"/>
      <c r="AZ259" s="56"/>
      <c r="BA259" s="56"/>
      <c r="BB259" s="56"/>
      <c r="BC259" s="56"/>
    </row>
    <row r="260" spans="1:55" x14ac:dyDescent="0.2">
      <c r="A260" s="56"/>
      <c r="B260" s="57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56"/>
      <c r="AS260" s="56"/>
      <c r="AT260" s="56"/>
      <c r="AU260" s="56"/>
      <c r="AV260" s="56"/>
      <c r="AW260" s="56"/>
      <c r="AX260" s="56"/>
      <c r="AY260" s="56"/>
      <c r="AZ260" s="56"/>
      <c r="BA260" s="56"/>
      <c r="BB260" s="56"/>
      <c r="BC260" s="56"/>
    </row>
    <row r="261" spans="1:55" x14ac:dyDescent="0.2">
      <c r="A261" s="56"/>
      <c r="B261" s="57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  <c r="AQ261" s="56"/>
      <c r="AR261" s="56"/>
      <c r="AS261" s="56"/>
      <c r="AT261" s="56"/>
      <c r="AU261" s="56"/>
      <c r="AV261" s="56"/>
      <c r="AW261" s="56"/>
      <c r="AX261" s="56"/>
      <c r="AY261" s="56"/>
      <c r="AZ261" s="56"/>
      <c r="BA261" s="56"/>
      <c r="BB261" s="56"/>
      <c r="BC261" s="56"/>
    </row>
    <row r="262" spans="1:55" x14ac:dyDescent="0.2">
      <c r="A262" s="56"/>
      <c r="B262" s="57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56"/>
      <c r="AS262" s="56"/>
      <c r="AT262" s="56"/>
      <c r="AU262" s="56"/>
      <c r="AV262" s="56"/>
      <c r="AW262" s="56"/>
      <c r="AX262" s="56"/>
      <c r="AY262" s="56"/>
      <c r="AZ262" s="56"/>
      <c r="BA262" s="56"/>
      <c r="BB262" s="56"/>
      <c r="BC262" s="56"/>
    </row>
    <row r="263" spans="1:55" x14ac:dyDescent="0.2">
      <c r="A263" s="56"/>
      <c r="B263" s="57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56"/>
      <c r="AS263" s="56"/>
      <c r="AT263" s="56"/>
      <c r="AU263" s="56"/>
      <c r="AV263" s="56"/>
      <c r="AW263" s="56"/>
      <c r="AX263" s="56"/>
      <c r="AY263" s="56"/>
      <c r="AZ263" s="56"/>
      <c r="BA263" s="56"/>
      <c r="BB263" s="56"/>
      <c r="BC263" s="56"/>
    </row>
    <row r="264" spans="1:55" x14ac:dyDescent="0.2">
      <c r="A264" s="56"/>
      <c r="B264" s="57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56"/>
      <c r="AS264" s="56"/>
      <c r="AT264" s="56"/>
      <c r="AU264" s="56"/>
      <c r="AV264" s="56"/>
      <c r="AW264" s="56"/>
      <c r="AX264" s="56"/>
      <c r="AY264" s="56"/>
      <c r="AZ264" s="56"/>
      <c r="BA264" s="56"/>
      <c r="BB264" s="56"/>
      <c r="BC264" s="56"/>
    </row>
    <row r="265" spans="1:55" x14ac:dyDescent="0.2">
      <c r="A265" s="56"/>
      <c r="B265" s="57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6"/>
      <c r="AR265" s="56"/>
      <c r="AS265" s="56"/>
      <c r="AT265" s="56"/>
      <c r="AU265" s="56"/>
      <c r="AV265" s="56"/>
      <c r="AW265" s="56"/>
      <c r="AX265" s="56"/>
      <c r="AY265" s="56"/>
      <c r="AZ265" s="56"/>
      <c r="BA265" s="56"/>
      <c r="BB265" s="56"/>
      <c r="BC265" s="56"/>
    </row>
    <row r="266" spans="1:55" x14ac:dyDescent="0.2">
      <c r="A266" s="56"/>
      <c r="B266" s="57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  <c r="AR266" s="56"/>
      <c r="AS266" s="56"/>
      <c r="AT266" s="56"/>
      <c r="AU266" s="56"/>
      <c r="AV266" s="56"/>
      <c r="AW266" s="56"/>
      <c r="AX266" s="56"/>
      <c r="AY266" s="56"/>
      <c r="AZ266" s="56"/>
      <c r="BA266" s="56"/>
      <c r="BB266" s="56"/>
      <c r="BC266" s="56"/>
    </row>
    <row r="267" spans="1:55" x14ac:dyDescent="0.2">
      <c r="A267" s="56"/>
      <c r="B267" s="57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  <c r="AR267" s="56"/>
      <c r="AS267" s="56"/>
      <c r="AT267" s="56"/>
      <c r="AU267" s="56"/>
      <c r="AV267" s="56"/>
      <c r="AW267" s="56"/>
      <c r="AX267" s="56"/>
      <c r="AY267" s="56"/>
      <c r="AZ267" s="56"/>
      <c r="BA267" s="56"/>
      <c r="BB267" s="56"/>
      <c r="BC267" s="56"/>
    </row>
    <row r="268" spans="1:55" x14ac:dyDescent="0.2">
      <c r="A268" s="56"/>
      <c r="B268" s="57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56"/>
      <c r="AR268" s="56"/>
      <c r="AS268" s="56"/>
      <c r="AT268" s="56"/>
      <c r="AU268" s="56"/>
      <c r="AV268" s="56"/>
      <c r="AW268" s="56"/>
      <c r="AX268" s="56"/>
      <c r="AY268" s="56"/>
      <c r="AZ268" s="56"/>
      <c r="BA268" s="56"/>
      <c r="BB268" s="56"/>
      <c r="BC268" s="56"/>
    </row>
    <row r="269" spans="1:55" x14ac:dyDescent="0.2">
      <c r="A269" s="56"/>
      <c r="B269" s="57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56"/>
      <c r="AS269" s="56"/>
      <c r="AT269" s="56"/>
      <c r="AU269" s="56"/>
      <c r="AV269" s="56"/>
      <c r="AW269" s="56"/>
      <c r="AX269" s="56"/>
      <c r="AY269" s="56"/>
      <c r="AZ269" s="56"/>
      <c r="BA269" s="56"/>
      <c r="BB269" s="56"/>
      <c r="BC269" s="56"/>
    </row>
    <row r="270" spans="1:55" x14ac:dyDescent="0.2">
      <c r="A270" s="56"/>
      <c r="B270" s="57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/>
      <c r="BB270" s="56"/>
      <c r="BC270" s="56"/>
    </row>
    <row r="271" spans="1:55" x14ac:dyDescent="0.2">
      <c r="A271" s="56"/>
      <c r="B271" s="57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  <c r="AQ271" s="56"/>
      <c r="AR271" s="56"/>
      <c r="AS271" s="56"/>
      <c r="AT271" s="56"/>
      <c r="AU271" s="56"/>
      <c r="AV271" s="56"/>
      <c r="AW271" s="56"/>
      <c r="AX271" s="56"/>
      <c r="AY271" s="56"/>
      <c r="AZ271" s="56"/>
      <c r="BA271" s="56"/>
      <c r="BB271" s="56"/>
      <c r="BC271" s="56"/>
    </row>
    <row r="272" spans="1:55" x14ac:dyDescent="0.2">
      <c r="A272" s="56"/>
      <c r="B272" s="57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  <c r="AS272" s="56"/>
      <c r="AT272" s="56"/>
      <c r="AU272" s="56"/>
      <c r="AV272" s="56"/>
      <c r="AW272" s="56"/>
      <c r="AX272" s="56"/>
      <c r="AY272" s="56"/>
      <c r="AZ272" s="56"/>
      <c r="BA272" s="56"/>
      <c r="BB272" s="56"/>
      <c r="BC272" s="56"/>
    </row>
    <row r="273" spans="1:55" x14ac:dyDescent="0.2">
      <c r="A273" s="56"/>
      <c r="B273" s="57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56"/>
      <c r="AS273" s="56"/>
      <c r="AT273" s="56"/>
      <c r="AU273" s="56"/>
      <c r="AV273" s="56"/>
      <c r="AW273" s="56"/>
      <c r="AX273" s="56"/>
      <c r="AY273" s="56"/>
      <c r="AZ273" s="56"/>
      <c r="BA273" s="56"/>
      <c r="BB273" s="56"/>
      <c r="BC273" s="56"/>
    </row>
    <row r="274" spans="1:55" x14ac:dyDescent="0.2">
      <c r="A274" s="56"/>
      <c r="B274" s="57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  <c r="AS274" s="56"/>
      <c r="AT274" s="56"/>
      <c r="AU274" s="56"/>
      <c r="AV274" s="56"/>
      <c r="AW274" s="56"/>
      <c r="AX274" s="56"/>
      <c r="AY274" s="56"/>
      <c r="AZ274" s="56"/>
      <c r="BA274" s="56"/>
      <c r="BB274" s="56"/>
      <c r="BC274" s="56"/>
    </row>
    <row r="275" spans="1:55" x14ac:dyDescent="0.2">
      <c r="A275" s="56"/>
      <c r="B275" s="57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  <c r="AR275" s="56"/>
      <c r="AS275" s="56"/>
      <c r="AT275" s="56"/>
      <c r="AU275" s="56"/>
      <c r="AV275" s="56"/>
      <c r="AW275" s="56"/>
      <c r="AX275" s="56"/>
      <c r="AY275" s="56"/>
      <c r="AZ275" s="56"/>
      <c r="BA275" s="56"/>
      <c r="BB275" s="56"/>
      <c r="BC275" s="56"/>
    </row>
    <row r="276" spans="1:55" x14ac:dyDescent="0.2">
      <c r="A276" s="56"/>
      <c r="B276" s="57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  <c r="AR276" s="56"/>
      <c r="AS276" s="56"/>
      <c r="AT276" s="56"/>
      <c r="AU276" s="56"/>
      <c r="AV276" s="56"/>
      <c r="AW276" s="56"/>
      <c r="AX276" s="56"/>
      <c r="AY276" s="56"/>
      <c r="AZ276" s="56"/>
      <c r="BA276" s="56"/>
      <c r="BB276" s="56"/>
      <c r="BC276" s="56"/>
    </row>
    <row r="277" spans="1:55" x14ac:dyDescent="0.2">
      <c r="A277" s="56"/>
      <c r="B277" s="57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  <c r="AQ277" s="56"/>
      <c r="AR277" s="56"/>
      <c r="AS277" s="56"/>
      <c r="AT277" s="56"/>
      <c r="AU277" s="56"/>
      <c r="AV277" s="56"/>
      <c r="AW277" s="56"/>
      <c r="AX277" s="56"/>
      <c r="AY277" s="56"/>
      <c r="AZ277" s="56"/>
      <c r="BA277" s="56"/>
      <c r="BB277" s="56"/>
      <c r="BC277" s="56"/>
    </row>
    <row r="278" spans="1:55" x14ac:dyDescent="0.2">
      <c r="A278" s="56"/>
      <c r="B278" s="57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56"/>
      <c r="AS278" s="56"/>
      <c r="AT278" s="56"/>
      <c r="AU278" s="56"/>
      <c r="AV278" s="56"/>
      <c r="AW278" s="56"/>
      <c r="AX278" s="56"/>
      <c r="AY278" s="56"/>
      <c r="AZ278" s="56"/>
      <c r="BA278" s="56"/>
      <c r="BB278" s="56"/>
      <c r="BC278" s="56"/>
    </row>
    <row r="279" spans="1:55" x14ac:dyDescent="0.2">
      <c r="A279" s="56"/>
      <c r="B279" s="57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  <c r="AU279" s="56"/>
      <c r="AV279" s="56"/>
      <c r="AW279" s="56"/>
      <c r="AX279" s="56"/>
      <c r="AY279" s="56"/>
      <c r="AZ279" s="56"/>
      <c r="BA279" s="56"/>
      <c r="BB279" s="56"/>
      <c r="BC279" s="56"/>
    </row>
    <row r="280" spans="1:55" x14ac:dyDescent="0.2">
      <c r="A280" s="56"/>
      <c r="B280" s="57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56"/>
      <c r="AS280" s="56"/>
      <c r="AT280" s="56"/>
      <c r="AU280" s="56"/>
      <c r="AV280" s="56"/>
      <c r="AW280" s="56"/>
      <c r="AX280" s="56"/>
      <c r="AY280" s="56"/>
      <c r="AZ280" s="56"/>
      <c r="BA280" s="56"/>
      <c r="BB280" s="56"/>
      <c r="BC280" s="56"/>
    </row>
    <row r="281" spans="1:55" x14ac:dyDescent="0.2">
      <c r="A281" s="56"/>
      <c r="B281" s="57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56"/>
      <c r="AS281" s="56"/>
      <c r="AT281" s="56"/>
      <c r="AU281" s="56"/>
      <c r="AV281" s="56"/>
      <c r="AW281" s="56"/>
      <c r="AX281" s="56"/>
      <c r="AY281" s="56"/>
      <c r="AZ281" s="56"/>
      <c r="BA281" s="56"/>
      <c r="BB281" s="56"/>
      <c r="BC281" s="56"/>
    </row>
    <row r="282" spans="1:55" x14ac:dyDescent="0.2">
      <c r="A282" s="56"/>
      <c r="B282" s="57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56"/>
      <c r="AS282" s="56"/>
      <c r="AT282" s="56"/>
      <c r="AU282" s="56"/>
      <c r="AV282" s="56"/>
      <c r="AW282" s="56"/>
      <c r="AX282" s="56"/>
      <c r="AY282" s="56"/>
      <c r="AZ282" s="56"/>
      <c r="BA282" s="56"/>
      <c r="BB282" s="56"/>
      <c r="BC282" s="56"/>
    </row>
    <row r="283" spans="1:55" x14ac:dyDescent="0.2">
      <c r="A283" s="56"/>
      <c r="B283" s="57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56"/>
      <c r="AS283" s="56"/>
      <c r="AT283" s="56"/>
      <c r="AU283" s="56"/>
      <c r="AV283" s="56"/>
      <c r="AW283" s="56"/>
      <c r="AX283" s="56"/>
      <c r="AY283" s="56"/>
      <c r="AZ283" s="56"/>
      <c r="BA283" s="56"/>
      <c r="BB283" s="56"/>
      <c r="BC283" s="56"/>
    </row>
    <row r="284" spans="1:55" x14ac:dyDescent="0.2">
      <c r="A284" s="56"/>
      <c r="B284" s="57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  <c r="AT284" s="56"/>
      <c r="AU284" s="56"/>
      <c r="AV284" s="56"/>
      <c r="AW284" s="56"/>
      <c r="AX284" s="56"/>
      <c r="AY284" s="56"/>
      <c r="AZ284" s="56"/>
      <c r="BA284" s="56"/>
      <c r="BB284" s="56"/>
      <c r="BC284" s="56"/>
    </row>
    <row r="285" spans="1:55" x14ac:dyDescent="0.2">
      <c r="A285" s="56"/>
      <c r="B285" s="57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  <c r="AQ285" s="56"/>
      <c r="AR285" s="56"/>
      <c r="AS285" s="56"/>
      <c r="AT285" s="56"/>
      <c r="AU285" s="56"/>
      <c r="AV285" s="56"/>
      <c r="AW285" s="56"/>
      <c r="AX285" s="56"/>
      <c r="AY285" s="56"/>
      <c r="AZ285" s="56"/>
      <c r="BA285" s="56"/>
      <c r="BB285" s="56"/>
      <c r="BC285" s="56"/>
    </row>
    <row r="286" spans="1:55" x14ac:dyDescent="0.2">
      <c r="A286" s="56"/>
      <c r="B286" s="57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56"/>
      <c r="AS286" s="56"/>
      <c r="AT286" s="56"/>
      <c r="AU286" s="56"/>
      <c r="AV286" s="56"/>
      <c r="AW286" s="56"/>
      <c r="AX286" s="56"/>
      <c r="AY286" s="56"/>
      <c r="AZ286" s="56"/>
      <c r="BA286" s="56"/>
      <c r="BB286" s="56"/>
      <c r="BC286" s="56"/>
    </row>
    <row r="287" spans="1:55" x14ac:dyDescent="0.2">
      <c r="A287" s="56"/>
      <c r="B287" s="57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56"/>
      <c r="AS287" s="56"/>
      <c r="AT287" s="56"/>
      <c r="AU287" s="56"/>
      <c r="AV287" s="56"/>
      <c r="AW287" s="56"/>
      <c r="AX287" s="56"/>
      <c r="AY287" s="56"/>
      <c r="AZ287" s="56"/>
      <c r="BA287" s="56"/>
      <c r="BB287" s="56"/>
      <c r="BC287" s="56"/>
    </row>
    <row r="288" spans="1:55" x14ac:dyDescent="0.2">
      <c r="A288" s="56"/>
      <c r="B288" s="57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  <c r="AR288" s="56"/>
      <c r="AS288" s="56"/>
      <c r="AT288" s="56"/>
      <c r="AU288" s="56"/>
      <c r="AV288" s="56"/>
      <c r="AW288" s="56"/>
      <c r="AX288" s="56"/>
      <c r="AY288" s="56"/>
      <c r="AZ288" s="56"/>
      <c r="BA288" s="56"/>
      <c r="BB288" s="56"/>
      <c r="BC288" s="56"/>
    </row>
    <row r="289" spans="1:55" x14ac:dyDescent="0.2">
      <c r="A289" s="56"/>
      <c r="B289" s="57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  <c r="AS289" s="56"/>
      <c r="AT289" s="56"/>
      <c r="AU289" s="56"/>
      <c r="AV289" s="56"/>
      <c r="AW289" s="56"/>
      <c r="AX289" s="56"/>
      <c r="AY289" s="56"/>
      <c r="AZ289" s="56"/>
      <c r="BA289" s="56"/>
      <c r="BB289" s="56"/>
      <c r="BC289" s="56"/>
    </row>
    <row r="290" spans="1:55" x14ac:dyDescent="0.2">
      <c r="A290" s="56"/>
      <c r="B290" s="57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  <c r="AQ290" s="56"/>
      <c r="AR290" s="56"/>
      <c r="AS290" s="56"/>
      <c r="AT290" s="56"/>
      <c r="AU290" s="56"/>
      <c r="AV290" s="56"/>
      <c r="AW290" s="56"/>
      <c r="AX290" s="56"/>
      <c r="AY290" s="56"/>
      <c r="AZ290" s="56"/>
      <c r="BA290" s="56"/>
      <c r="BB290" s="56"/>
      <c r="BC290" s="56"/>
    </row>
    <row r="291" spans="1:55" x14ac:dyDescent="0.2">
      <c r="A291" s="56"/>
      <c r="B291" s="57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6"/>
      <c r="AR291" s="56"/>
      <c r="AS291" s="56"/>
      <c r="AT291" s="56"/>
      <c r="AU291" s="56"/>
      <c r="AV291" s="56"/>
      <c r="AW291" s="56"/>
      <c r="AX291" s="56"/>
      <c r="AY291" s="56"/>
      <c r="AZ291" s="56"/>
      <c r="BA291" s="56"/>
      <c r="BB291" s="56"/>
      <c r="BC291" s="56"/>
    </row>
    <row r="292" spans="1:55" x14ac:dyDescent="0.2">
      <c r="A292" s="56"/>
      <c r="B292" s="57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  <c r="AQ292" s="56"/>
      <c r="AR292" s="56"/>
      <c r="AS292" s="56"/>
      <c r="AT292" s="56"/>
      <c r="AU292" s="56"/>
      <c r="AV292" s="56"/>
      <c r="AW292" s="56"/>
      <c r="AX292" s="56"/>
      <c r="AY292" s="56"/>
      <c r="AZ292" s="56"/>
      <c r="BA292" s="56"/>
      <c r="BB292" s="56"/>
      <c r="BC292" s="56"/>
    </row>
    <row r="293" spans="1:55" x14ac:dyDescent="0.2">
      <c r="A293" s="56"/>
      <c r="B293" s="57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6"/>
      <c r="AQ293" s="56"/>
      <c r="AR293" s="56"/>
      <c r="AS293" s="56"/>
      <c r="AT293" s="56"/>
      <c r="AU293" s="56"/>
      <c r="AV293" s="56"/>
      <c r="AW293" s="56"/>
      <c r="AX293" s="56"/>
      <c r="AY293" s="56"/>
      <c r="AZ293" s="56"/>
      <c r="BA293" s="56"/>
      <c r="BB293" s="56"/>
      <c r="BC293" s="56"/>
    </row>
    <row r="294" spans="1:55" x14ac:dyDescent="0.2">
      <c r="A294" s="56"/>
      <c r="B294" s="57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  <c r="AS294" s="56"/>
      <c r="AT294" s="56"/>
      <c r="AU294" s="56"/>
      <c r="AV294" s="56"/>
      <c r="AW294" s="56"/>
      <c r="AX294" s="56"/>
      <c r="AY294" s="56"/>
      <c r="AZ294" s="56"/>
      <c r="BA294" s="56"/>
      <c r="BB294" s="56"/>
      <c r="BC294" s="56"/>
    </row>
    <row r="295" spans="1:55" x14ac:dyDescent="0.2">
      <c r="A295" s="56"/>
      <c r="B295" s="57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56"/>
      <c r="AS295" s="56"/>
      <c r="AT295" s="56"/>
      <c r="AU295" s="56"/>
      <c r="AV295" s="56"/>
      <c r="AW295" s="56"/>
      <c r="AX295" s="56"/>
      <c r="AY295" s="56"/>
      <c r="AZ295" s="56"/>
      <c r="BA295" s="56"/>
      <c r="BB295" s="56"/>
      <c r="BC295" s="56"/>
    </row>
    <row r="296" spans="1:55" x14ac:dyDescent="0.2">
      <c r="A296" s="56"/>
      <c r="B296" s="57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6"/>
      <c r="AQ296" s="56"/>
      <c r="AR296" s="56"/>
      <c r="AS296" s="56"/>
      <c r="AT296" s="56"/>
      <c r="AU296" s="56"/>
      <c r="AV296" s="56"/>
      <c r="AW296" s="56"/>
      <c r="AX296" s="56"/>
      <c r="AY296" s="56"/>
      <c r="AZ296" s="56"/>
      <c r="BA296" s="56"/>
      <c r="BB296" s="56"/>
      <c r="BC296" s="56"/>
    </row>
    <row r="297" spans="1:55" x14ac:dyDescent="0.2">
      <c r="A297" s="56"/>
      <c r="B297" s="57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6"/>
      <c r="AQ297" s="56"/>
      <c r="AR297" s="56"/>
      <c r="AS297" s="56"/>
      <c r="AT297" s="56"/>
      <c r="AU297" s="56"/>
      <c r="AV297" s="56"/>
      <c r="AW297" s="56"/>
      <c r="AX297" s="56"/>
      <c r="AY297" s="56"/>
      <c r="AZ297" s="56"/>
      <c r="BA297" s="56"/>
      <c r="BB297" s="56"/>
      <c r="BC297" s="56"/>
    </row>
    <row r="298" spans="1:55" x14ac:dyDescent="0.2">
      <c r="A298" s="56"/>
      <c r="B298" s="57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  <c r="AQ298" s="56"/>
      <c r="AR298" s="56"/>
      <c r="AS298" s="56"/>
      <c r="AT298" s="56"/>
      <c r="AU298" s="56"/>
      <c r="AV298" s="56"/>
      <c r="AW298" s="56"/>
      <c r="AX298" s="56"/>
      <c r="AY298" s="56"/>
      <c r="AZ298" s="56"/>
      <c r="BA298" s="56"/>
      <c r="BB298" s="56"/>
      <c r="BC298" s="56"/>
    </row>
    <row r="299" spans="1:55" x14ac:dyDescent="0.2">
      <c r="A299" s="56"/>
      <c r="B299" s="57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56"/>
      <c r="AS299" s="56"/>
      <c r="AT299" s="56"/>
      <c r="AU299" s="56"/>
      <c r="AV299" s="56"/>
      <c r="AW299" s="56"/>
      <c r="AX299" s="56"/>
      <c r="AY299" s="56"/>
      <c r="AZ299" s="56"/>
      <c r="BA299" s="56"/>
      <c r="BB299" s="56"/>
      <c r="BC299" s="56"/>
    </row>
    <row r="300" spans="1:55" x14ac:dyDescent="0.2">
      <c r="A300" s="56"/>
      <c r="B300" s="57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56"/>
      <c r="AS300" s="56"/>
      <c r="AT300" s="56"/>
      <c r="AU300" s="56"/>
      <c r="AV300" s="56"/>
      <c r="AW300" s="56"/>
      <c r="AX300" s="56"/>
      <c r="AY300" s="56"/>
      <c r="AZ300" s="56"/>
      <c r="BA300" s="56"/>
      <c r="BB300" s="56"/>
      <c r="BC300" s="56"/>
    </row>
    <row r="301" spans="1:55" x14ac:dyDescent="0.2">
      <c r="A301" s="56"/>
      <c r="B301" s="57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6"/>
      <c r="AQ301" s="56"/>
      <c r="AR301" s="56"/>
      <c r="AS301" s="56"/>
      <c r="AT301" s="56"/>
      <c r="AU301" s="56"/>
      <c r="AV301" s="56"/>
      <c r="AW301" s="56"/>
      <c r="AX301" s="56"/>
      <c r="AY301" s="56"/>
      <c r="AZ301" s="56"/>
      <c r="BA301" s="56"/>
      <c r="BB301" s="56"/>
      <c r="BC301" s="56"/>
    </row>
    <row r="302" spans="1:55" x14ac:dyDescent="0.2">
      <c r="A302" s="56"/>
      <c r="B302" s="57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  <c r="AQ302" s="56"/>
      <c r="AR302" s="56"/>
      <c r="AS302" s="56"/>
      <c r="AT302" s="56"/>
      <c r="AU302" s="56"/>
      <c r="AV302" s="56"/>
      <c r="AW302" s="56"/>
      <c r="AX302" s="56"/>
      <c r="AY302" s="56"/>
      <c r="AZ302" s="56"/>
      <c r="BA302" s="56"/>
      <c r="BB302" s="56"/>
      <c r="BC302" s="56"/>
    </row>
    <row r="303" spans="1:55" x14ac:dyDescent="0.2">
      <c r="A303" s="56"/>
      <c r="B303" s="57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6"/>
      <c r="AR303" s="56"/>
      <c r="AS303" s="56"/>
      <c r="AT303" s="56"/>
      <c r="AU303" s="56"/>
      <c r="AV303" s="56"/>
      <c r="AW303" s="56"/>
      <c r="AX303" s="56"/>
      <c r="AY303" s="56"/>
      <c r="AZ303" s="56"/>
      <c r="BA303" s="56"/>
      <c r="BB303" s="56"/>
      <c r="BC303" s="56"/>
    </row>
    <row r="304" spans="1:55" x14ac:dyDescent="0.2">
      <c r="A304" s="56"/>
      <c r="B304" s="57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6"/>
      <c r="AQ304" s="56"/>
      <c r="AR304" s="56"/>
      <c r="AS304" s="56"/>
      <c r="AT304" s="56"/>
      <c r="AU304" s="56"/>
      <c r="AV304" s="56"/>
      <c r="AW304" s="56"/>
      <c r="AX304" s="56"/>
      <c r="AY304" s="56"/>
      <c r="AZ304" s="56"/>
      <c r="BA304" s="56"/>
      <c r="BB304" s="56"/>
      <c r="BC304" s="56"/>
    </row>
    <row r="305" spans="1:55" x14ac:dyDescent="0.2">
      <c r="A305" s="56"/>
      <c r="B305" s="57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56"/>
      <c r="AS305" s="56"/>
      <c r="AT305" s="56"/>
      <c r="AU305" s="56"/>
      <c r="AV305" s="56"/>
      <c r="AW305" s="56"/>
      <c r="AX305" s="56"/>
      <c r="AY305" s="56"/>
      <c r="AZ305" s="56"/>
      <c r="BA305" s="56"/>
      <c r="BB305" s="56"/>
      <c r="BC305" s="56"/>
    </row>
    <row r="306" spans="1:55" x14ac:dyDescent="0.2">
      <c r="A306" s="56"/>
      <c r="B306" s="57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  <c r="AQ306" s="56"/>
      <c r="AR306" s="56"/>
      <c r="AS306" s="56"/>
      <c r="AT306" s="56"/>
      <c r="AU306" s="56"/>
      <c r="AV306" s="56"/>
      <c r="AW306" s="56"/>
      <c r="AX306" s="56"/>
      <c r="AY306" s="56"/>
      <c r="AZ306" s="56"/>
      <c r="BA306" s="56"/>
      <c r="BB306" s="56"/>
      <c r="BC306" s="56"/>
    </row>
    <row r="307" spans="1:55" x14ac:dyDescent="0.2">
      <c r="A307" s="56"/>
      <c r="B307" s="57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6"/>
      <c r="AR307" s="56"/>
      <c r="AS307" s="56"/>
      <c r="AT307" s="56"/>
      <c r="AU307" s="56"/>
      <c r="AV307" s="56"/>
      <c r="AW307" s="56"/>
      <c r="AX307" s="56"/>
      <c r="AY307" s="56"/>
      <c r="AZ307" s="56"/>
      <c r="BA307" s="56"/>
      <c r="BB307" s="56"/>
      <c r="BC307" s="56"/>
    </row>
    <row r="308" spans="1:55" x14ac:dyDescent="0.2">
      <c r="A308" s="56"/>
      <c r="B308" s="57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6"/>
      <c r="AR308" s="56"/>
      <c r="AS308" s="56"/>
      <c r="AT308" s="56"/>
      <c r="AU308" s="56"/>
      <c r="AV308" s="56"/>
      <c r="AW308" s="56"/>
      <c r="AX308" s="56"/>
      <c r="AY308" s="56"/>
      <c r="AZ308" s="56"/>
      <c r="BA308" s="56"/>
      <c r="BB308" s="56"/>
      <c r="BC308" s="56"/>
    </row>
    <row r="309" spans="1:55" x14ac:dyDescent="0.2">
      <c r="A309" s="56"/>
      <c r="B309" s="57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56"/>
      <c r="AS309" s="56"/>
      <c r="AT309" s="56"/>
      <c r="AU309" s="56"/>
      <c r="AV309" s="56"/>
      <c r="AW309" s="56"/>
      <c r="AX309" s="56"/>
      <c r="AY309" s="56"/>
      <c r="AZ309" s="56"/>
      <c r="BA309" s="56"/>
      <c r="BB309" s="56"/>
      <c r="BC309" s="56"/>
    </row>
    <row r="310" spans="1:55" x14ac:dyDescent="0.2">
      <c r="A310" s="56"/>
      <c r="B310" s="57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/>
      <c r="BB310" s="56"/>
      <c r="BC310" s="56"/>
    </row>
    <row r="311" spans="1:55" x14ac:dyDescent="0.2">
      <c r="A311" s="56"/>
      <c r="B311" s="57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6"/>
      <c r="AQ311" s="56"/>
      <c r="AR311" s="56"/>
      <c r="AS311" s="56"/>
      <c r="AT311" s="56"/>
      <c r="AU311" s="56"/>
      <c r="AV311" s="56"/>
      <c r="AW311" s="56"/>
      <c r="AX311" s="56"/>
      <c r="AY311" s="56"/>
      <c r="AZ311" s="56"/>
      <c r="BA311" s="56"/>
      <c r="BB311" s="56"/>
      <c r="BC311" s="56"/>
    </row>
    <row r="312" spans="1:55" x14ac:dyDescent="0.2">
      <c r="A312" s="56"/>
      <c r="B312" s="57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56"/>
      <c r="AR312" s="56"/>
      <c r="AS312" s="56"/>
      <c r="AT312" s="56"/>
      <c r="AU312" s="56"/>
      <c r="AV312" s="56"/>
      <c r="AW312" s="56"/>
      <c r="AX312" s="56"/>
      <c r="AY312" s="56"/>
      <c r="AZ312" s="56"/>
      <c r="BA312" s="56"/>
      <c r="BB312" s="56"/>
      <c r="BC312" s="56"/>
    </row>
    <row r="313" spans="1:55" x14ac:dyDescent="0.2">
      <c r="A313" s="56"/>
      <c r="B313" s="57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6"/>
      <c r="AQ313" s="56"/>
      <c r="AR313" s="56"/>
      <c r="AS313" s="56"/>
      <c r="AT313" s="56"/>
      <c r="AU313" s="56"/>
      <c r="AV313" s="56"/>
      <c r="AW313" s="56"/>
      <c r="AX313" s="56"/>
      <c r="AY313" s="56"/>
      <c r="AZ313" s="56"/>
      <c r="BA313" s="56"/>
      <c r="BB313" s="56"/>
      <c r="BC313" s="56"/>
    </row>
    <row r="314" spans="1:55" x14ac:dyDescent="0.2">
      <c r="A314" s="56"/>
      <c r="B314" s="57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56"/>
      <c r="AR314" s="56"/>
      <c r="AS314" s="56"/>
      <c r="AT314" s="56"/>
      <c r="AU314" s="56"/>
      <c r="AV314" s="56"/>
      <c r="AW314" s="56"/>
      <c r="AX314" s="56"/>
      <c r="AY314" s="56"/>
      <c r="AZ314" s="56"/>
      <c r="BA314" s="56"/>
      <c r="BB314" s="56"/>
      <c r="BC314" s="56"/>
    </row>
    <row r="315" spans="1:55" x14ac:dyDescent="0.2">
      <c r="A315" s="56"/>
      <c r="B315" s="57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56"/>
      <c r="AS315" s="56"/>
      <c r="AT315" s="56"/>
      <c r="AU315" s="56"/>
      <c r="AV315" s="56"/>
      <c r="AW315" s="56"/>
      <c r="AX315" s="56"/>
      <c r="AY315" s="56"/>
      <c r="AZ315" s="56"/>
      <c r="BA315" s="56"/>
      <c r="BB315" s="56"/>
      <c r="BC315" s="56"/>
    </row>
    <row r="316" spans="1:55" x14ac:dyDescent="0.2">
      <c r="A316" s="56"/>
      <c r="B316" s="57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56"/>
      <c r="AS316" s="56"/>
      <c r="AT316" s="56"/>
      <c r="AU316" s="56"/>
      <c r="AV316" s="56"/>
      <c r="AW316" s="56"/>
      <c r="AX316" s="56"/>
      <c r="AY316" s="56"/>
      <c r="AZ316" s="56"/>
      <c r="BA316" s="56"/>
      <c r="BB316" s="56"/>
      <c r="BC316" s="56"/>
    </row>
    <row r="317" spans="1:55" x14ac:dyDescent="0.2">
      <c r="A317" s="56"/>
      <c r="B317" s="57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  <c r="AQ317" s="56"/>
      <c r="AR317" s="56"/>
      <c r="AS317" s="56"/>
      <c r="AT317" s="56"/>
      <c r="AU317" s="56"/>
      <c r="AV317" s="56"/>
      <c r="AW317" s="56"/>
      <c r="AX317" s="56"/>
      <c r="AY317" s="56"/>
      <c r="AZ317" s="56"/>
      <c r="BA317" s="56"/>
      <c r="BB317" s="56"/>
      <c r="BC317" s="56"/>
    </row>
    <row r="318" spans="1:55" x14ac:dyDescent="0.2">
      <c r="A318" s="56"/>
      <c r="B318" s="57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56"/>
      <c r="AS318" s="56"/>
      <c r="AT318" s="56"/>
      <c r="AU318" s="56"/>
      <c r="AV318" s="56"/>
      <c r="AW318" s="56"/>
      <c r="AX318" s="56"/>
      <c r="AY318" s="56"/>
      <c r="AZ318" s="56"/>
      <c r="BA318" s="56"/>
      <c r="BB318" s="56"/>
      <c r="BC318" s="56"/>
    </row>
    <row r="319" spans="1:55" x14ac:dyDescent="0.2">
      <c r="A319" s="56"/>
      <c r="B319" s="57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56"/>
      <c r="AS319" s="56"/>
      <c r="AT319" s="56"/>
      <c r="AU319" s="56"/>
      <c r="AV319" s="56"/>
      <c r="AW319" s="56"/>
      <c r="AX319" s="56"/>
      <c r="AY319" s="56"/>
      <c r="AZ319" s="56"/>
      <c r="BA319" s="56"/>
      <c r="BB319" s="56"/>
      <c r="BC319" s="56"/>
    </row>
    <row r="320" spans="1:55" x14ac:dyDescent="0.2">
      <c r="A320" s="56"/>
      <c r="B320" s="57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6"/>
      <c r="AR320" s="56"/>
      <c r="AS320" s="56"/>
      <c r="AT320" s="56"/>
      <c r="AU320" s="56"/>
      <c r="AV320" s="56"/>
      <c r="AW320" s="56"/>
      <c r="AX320" s="56"/>
      <c r="AY320" s="56"/>
      <c r="AZ320" s="56"/>
      <c r="BA320" s="56"/>
      <c r="BB320" s="56"/>
      <c r="BC320" s="56"/>
    </row>
    <row r="321" spans="1:55" x14ac:dyDescent="0.2">
      <c r="A321" s="56"/>
      <c r="B321" s="57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6"/>
      <c r="AR321" s="56"/>
      <c r="AS321" s="56"/>
      <c r="AT321" s="56"/>
      <c r="AU321" s="56"/>
      <c r="AV321" s="56"/>
      <c r="AW321" s="56"/>
      <c r="AX321" s="56"/>
      <c r="AY321" s="56"/>
      <c r="AZ321" s="56"/>
      <c r="BA321" s="56"/>
      <c r="BB321" s="56"/>
      <c r="BC321" s="56"/>
    </row>
    <row r="322" spans="1:55" x14ac:dyDescent="0.2">
      <c r="A322" s="56"/>
      <c r="B322" s="57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6"/>
      <c r="AR322" s="56"/>
      <c r="AS322" s="56"/>
      <c r="AT322" s="56"/>
      <c r="AU322" s="56"/>
      <c r="AV322" s="56"/>
      <c r="AW322" s="56"/>
      <c r="AX322" s="56"/>
      <c r="AY322" s="56"/>
      <c r="AZ322" s="56"/>
      <c r="BA322" s="56"/>
      <c r="BB322" s="56"/>
      <c r="BC322" s="56"/>
    </row>
    <row r="323" spans="1:55" x14ac:dyDescent="0.2">
      <c r="A323" s="56"/>
      <c r="B323" s="57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56"/>
      <c r="AR323" s="56"/>
      <c r="AS323" s="56"/>
      <c r="AT323" s="56"/>
      <c r="AU323" s="56"/>
      <c r="AV323" s="56"/>
      <c r="AW323" s="56"/>
      <c r="AX323" s="56"/>
      <c r="AY323" s="56"/>
      <c r="AZ323" s="56"/>
      <c r="BA323" s="56"/>
      <c r="BB323" s="56"/>
      <c r="BC323" s="56"/>
    </row>
    <row r="324" spans="1:55" x14ac:dyDescent="0.2">
      <c r="A324" s="56"/>
      <c r="B324" s="57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56"/>
      <c r="AS324" s="56"/>
      <c r="AT324" s="56"/>
      <c r="AU324" s="56"/>
      <c r="AV324" s="56"/>
      <c r="AW324" s="56"/>
      <c r="AX324" s="56"/>
      <c r="AY324" s="56"/>
      <c r="AZ324" s="56"/>
      <c r="BA324" s="56"/>
      <c r="BB324" s="56"/>
      <c r="BC324" s="56"/>
    </row>
    <row r="325" spans="1:55" x14ac:dyDescent="0.2">
      <c r="A325" s="56"/>
      <c r="B325" s="57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56"/>
      <c r="AS325" s="56"/>
      <c r="AT325" s="56"/>
      <c r="AU325" s="56"/>
      <c r="AV325" s="56"/>
      <c r="AW325" s="56"/>
      <c r="AX325" s="56"/>
      <c r="AY325" s="56"/>
      <c r="AZ325" s="56"/>
      <c r="BA325" s="56"/>
      <c r="BB325" s="56"/>
      <c r="BC325" s="56"/>
    </row>
    <row r="326" spans="1:55" x14ac:dyDescent="0.2">
      <c r="A326" s="56"/>
      <c r="B326" s="57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56"/>
      <c r="AS326" s="56"/>
      <c r="AT326" s="56"/>
      <c r="AU326" s="56"/>
      <c r="AV326" s="56"/>
      <c r="AW326" s="56"/>
      <c r="AX326" s="56"/>
      <c r="AY326" s="56"/>
      <c r="AZ326" s="56"/>
      <c r="BA326" s="56"/>
      <c r="BB326" s="56"/>
      <c r="BC326" s="56"/>
    </row>
    <row r="327" spans="1:55" x14ac:dyDescent="0.2">
      <c r="A327" s="56"/>
      <c r="B327" s="57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6"/>
      <c r="AR327" s="56"/>
      <c r="AS327" s="56"/>
      <c r="AT327" s="56"/>
      <c r="AU327" s="56"/>
      <c r="AV327" s="56"/>
      <c r="AW327" s="56"/>
      <c r="AX327" s="56"/>
      <c r="AY327" s="56"/>
      <c r="AZ327" s="56"/>
      <c r="BA327" s="56"/>
      <c r="BB327" s="56"/>
      <c r="BC327" s="56"/>
    </row>
    <row r="328" spans="1:55" x14ac:dyDescent="0.2">
      <c r="A328" s="56"/>
      <c r="B328" s="57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56"/>
      <c r="AS328" s="56"/>
      <c r="AT328" s="56"/>
      <c r="AU328" s="56"/>
      <c r="AV328" s="56"/>
      <c r="AW328" s="56"/>
      <c r="AX328" s="56"/>
      <c r="AY328" s="56"/>
      <c r="AZ328" s="56"/>
      <c r="BA328" s="56"/>
      <c r="BB328" s="56"/>
      <c r="BC328" s="56"/>
    </row>
    <row r="329" spans="1:55" x14ac:dyDescent="0.2">
      <c r="A329" s="56"/>
      <c r="B329" s="57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56"/>
      <c r="AS329" s="56"/>
      <c r="AT329" s="56"/>
      <c r="AU329" s="56"/>
      <c r="AV329" s="56"/>
      <c r="AW329" s="56"/>
      <c r="AX329" s="56"/>
      <c r="AY329" s="56"/>
      <c r="AZ329" s="56"/>
      <c r="BA329" s="56"/>
      <c r="BB329" s="56"/>
      <c r="BC329" s="56"/>
    </row>
    <row r="330" spans="1:55" x14ac:dyDescent="0.2">
      <c r="A330" s="56"/>
      <c r="B330" s="57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6"/>
      <c r="AQ330" s="56"/>
      <c r="AR330" s="56"/>
      <c r="AS330" s="56"/>
      <c r="AT330" s="56"/>
      <c r="AU330" s="56"/>
      <c r="AV330" s="56"/>
      <c r="AW330" s="56"/>
      <c r="AX330" s="56"/>
      <c r="AY330" s="56"/>
      <c r="AZ330" s="56"/>
      <c r="BA330" s="56"/>
      <c r="BB330" s="56"/>
      <c r="BC330" s="56"/>
    </row>
    <row r="331" spans="1:55" x14ac:dyDescent="0.2">
      <c r="A331" s="56"/>
      <c r="B331" s="57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56"/>
      <c r="AR331" s="56"/>
      <c r="AS331" s="56"/>
      <c r="AT331" s="56"/>
      <c r="AU331" s="56"/>
      <c r="AV331" s="56"/>
      <c r="AW331" s="56"/>
      <c r="AX331" s="56"/>
      <c r="AY331" s="56"/>
      <c r="AZ331" s="56"/>
      <c r="BA331" s="56"/>
      <c r="BB331" s="56"/>
      <c r="BC331" s="56"/>
    </row>
    <row r="332" spans="1:55" x14ac:dyDescent="0.2">
      <c r="A332" s="56"/>
      <c r="B332" s="57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56"/>
      <c r="AS332" s="56"/>
      <c r="AT332" s="56"/>
      <c r="AU332" s="56"/>
      <c r="AV332" s="56"/>
      <c r="AW332" s="56"/>
      <c r="AX332" s="56"/>
      <c r="AY332" s="56"/>
      <c r="AZ332" s="56"/>
      <c r="BA332" s="56"/>
      <c r="BB332" s="56"/>
      <c r="BC332" s="56"/>
    </row>
    <row r="333" spans="1:55" x14ac:dyDescent="0.2">
      <c r="A333" s="56"/>
      <c r="B333" s="57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56"/>
      <c r="AS333" s="56"/>
      <c r="AT333" s="56"/>
      <c r="AU333" s="56"/>
      <c r="AV333" s="56"/>
      <c r="AW333" s="56"/>
      <c r="AX333" s="56"/>
      <c r="AY333" s="56"/>
      <c r="AZ333" s="56"/>
      <c r="BA333" s="56"/>
      <c r="BB333" s="56"/>
      <c r="BC333" s="56"/>
    </row>
    <row r="334" spans="1:55" x14ac:dyDescent="0.2">
      <c r="A334" s="56"/>
      <c r="B334" s="57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56"/>
      <c r="AS334" s="56"/>
      <c r="AT334" s="56"/>
      <c r="AU334" s="56"/>
      <c r="AV334" s="56"/>
      <c r="AW334" s="56"/>
      <c r="AX334" s="56"/>
      <c r="AY334" s="56"/>
      <c r="AZ334" s="56"/>
      <c r="BA334" s="56"/>
      <c r="BB334" s="56"/>
      <c r="BC334" s="56"/>
    </row>
    <row r="335" spans="1:55" x14ac:dyDescent="0.2">
      <c r="A335" s="56"/>
      <c r="B335" s="57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  <c r="AS335" s="56"/>
      <c r="AT335" s="56"/>
      <c r="AU335" s="56"/>
      <c r="AV335" s="56"/>
      <c r="AW335" s="56"/>
      <c r="AX335" s="56"/>
      <c r="AY335" s="56"/>
      <c r="AZ335" s="56"/>
      <c r="BA335" s="56"/>
      <c r="BB335" s="56"/>
      <c r="BC335" s="56"/>
    </row>
    <row r="336" spans="1:55" x14ac:dyDescent="0.2">
      <c r="A336" s="56"/>
      <c r="B336" s="57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56"/>
      <c r="AS336" s="56"/>
      <c r="AT336" s="56"/>
      <c r="AU336" s="56"/>
      <c r="AV336" s="56"/>
      <c r="AW336" s="56"/>
      <c r="AX336" s="56"/>
      <c r="AY336" s="56"/>
      <c r="AZ336" s="56"/>
      <c r="BA336" s="56"/>
      <c r="BB336" s="56"/>
      <c r="BC336" s="56"/>
    </row>
    <row r="337" spans="1:55" x14ac:dyDescent="0.2">
      <c r="A337" s="56"/>
      <c r="B337" s="57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56"/>
      <c r="AS337" s="56"/>
      <c r="AT337" s="56"/>
      <c r="AU337" s="56"/>
      <c r="AV337" s="56"/>
      <c r="AW337" s="56"/>
      <c r="AX337" s="56"/>
      <c r="AY337" s="56"/>
      <c r="AZ337" s="56"/>
      <c r="BA337" s="56"/>
      <c r="BB337" s="56"/>
      <c r="BC337" s="56"/>
    </row>
    <row r="338" spans="1:55" x14ac:dyDescent="0.2">
      <c r="A338" s="56"/>
      <c r="B338" s="57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56"/>
      <c r="AS338" s="56"/>
      <c r="AT338" s="56"/>
      <c r="AU338" s="56"/>
      <c r="AV338" s="56"/>
      <c r="AW338" s="56"/>
      <c r="AX338" s="56"/>
      <c r="AY338" s="56"/>
      <c r="AZ338" s="56"/>
      <c r="BA338" s="56"/>
      <c r="BB338" s="56"/>
      <c r="BC338" s="56"/>
    </row>
    <row r="339" spans="1:55" x14ac:dyDescent="0.2">
      <c r="A339" s="56"/>
      <c r="B339" s="57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56"/>
      <c r="AS339" s="56"/>
      <c r="AT339" s="56"/>
      <c r="AU339" s="56"/>
      <c r="AV339" s="56"/>
      <c r="AW339" s="56"/>
      <c r="AX339" s="56"/>
      <c r="AY339" s="56"/>
      <c r="AZ339" s="56"/>
      <c r="BA339" s="56"/>
      <c r="BB339" s="56"/>
      <c r="BC339" s="56"/>
    </row>
    <row r="340" spans="1:55" x14ac:dyDescent="0.2">
      <c r="A340" s="56"/>
      <c r="B340" s="57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6"/>
      <c r="AR340" s="56"/>
      <c r="AS340" s="56"/>
      <c r="AT340" s="56"/>
      <c r="AU340" s="56"/>
      <c r="AV340" s="56"/>
      <c r="AW340" s="56"/>
      <c r="AX340" s="56"/>
      <c r="AY340" s="56"/>
      <c r="AZ340" s="56"/>
      <c r="BA340" s="56"/>
      <c r="BB340" s="56"/>
      <c r="BC340" s="56"/>
    </row>
    <row r="341" spans="1:55" x14ac:dyDescent="0.2">
      <c r="A341" s="56"/>
      <c r="B341" s="57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56"/>
      <c r="AS341" s="56"/>
      <c r="AT341" s="56"/>
      <c r="AU341" s="56"/>
      <c r="AV341" s="56"/>
      <c r="AW341" s="56"/>
      <c r="AX341" s="56"/>
      <c r="AY341" s="56"/>
      <c r="AZ341" s="56"/>
      <c r="BA341" s="56"/>
      <c r="BB341" s="56"/>
      <c r="BC341" s="56"/>
    </row>
    <row r="342" spans="1:55" x14ac:dyDescent="0.2">
      <c r="A342" s="56"/>
      <c r="B342" s="57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6"/>
      <c r="AQ342" s="56"/>
      <c r="AR342" s="56"/>
      <c r="AS342" s="56"/>
      <c r="AT342" s="56"/>
      <c r="AU342" s="56"/>
      <c r="AV342" s="56"/>
      <c r="AW342" s="56"/>
      <c r="AX342" s="56"/>
      <c r="AY342" s="56"/>
      <c r="AZ342" s="56"/>
      <c r="BA342" s="56"/>
      <c r="BB342" s="56"/>
      <c r="BC342" s="56"/>
    </row>
    <row r="343" spans="1:55" x14ac:dyDescent="0.2">
      <c r="A343" s="56"/>
      <c r="B343" s="57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  <c r="AS343" s="56"/>
      <c r="AT343" s="56"/>
      <c r="AU343" s="56"/>
      <c r="AV343" s="56"/>
      <c r="AW343" s="56"/>
      <c r="AX343" s="56"/>
      <c r="AY343" s="56"/>
      <c r="AZ343" s="56"/>
      <c r="BA343" s="56"/>
      <c r="BB343" s="56"/>
      <c r="BC343" s="56"/>
    </row>
    <row r="344" spans="1:55" x14ac:dyDescent="0.2">
      <c r="A344" s="56"/>
      <c r="B344" s="57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56"/>
      <c r="AS344" s="56"/>
      <c r="AT344" s="56"/>
      <c r="AU344" s="56"/>
      <c r="AV344" s="56"/>
      <c r="AW344" s="56"/>
      <c r="AX344" s="56"/>
      <c r="AY344" s="56"/>
      <c r="AZ344" s="56"/>
      <c r="BA344" s="56"/>
      <c r="BB344" s="56"/>
      <c r="BC344" s="56"/>
    </row>
    <row r="345" spans="1:55" x14ac:dyDescent="0.2">
      <c r="A345" s="56"/>
      <c r="B345" s="57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6"/>
      <c r="AQ345" s="56"/>
      <c r="AR345" s="56"/>
      <c r="AS345" s="56"/>
      <c r="AT345" s="56"/>
      <c r="AU345" s="56"/>
      <c r="AV345" s="56"/>
      <c r="AW345" s="56"/>
      <c r="AX345" s="56"/>
      <c r="AY345" s="56"/>
      <c r="AZ345" s="56"/>
      <c r="BA345" s="56"/>
      <c r="BB345" s="56"/>
      <c r="BC345" s="56"/>
    </row>
    <row r="346" spans="1:55" x14ac:dyDescent="0.2">
      <c r="A346" s="56"/>
      <c r="B346" s="57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56"/>
      <c r="AR346" s="56"/>
      <c r="AS346" s="56"/>
      <c r="AT346" s="56"/>
      <c r="AU346" s="56"/>
      <c r="AV346" s="56"/>
      <c r="AW346" s="56"/>
      <c r="AX346" s="56"/>
      <c r="AY346" s="56"/>
      <c r="AZ346" s="56"/>
      <c r="BA346" s="56"/>
      <c r="BB346" s="56"/>
      <c r="BC346" s="56"/>
    </row>
    <row r="347" spans="1:55" x14ac:dyDescent="0.2">
      <c r="A347" s="56"/>
      <c r="B347" s="57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/>
      <c r="AQ347" s="56"/>
      <c r="AR347" s="56"/>
      <c r="AS347" s="56"/>
      <c r="AT347" s="56"/>
      <c r="AU347" s="56"/>
      <c r="AV347" s="56"/>
      <c r="AW347" s="56"/>
      <c r="AX347" s="56"/>
      <c r="AY347" s="56"/>
      <c r="AZ347" s="56"/>
      <c r="BA347" s="56"/>
      <c r="BB347" s="56"/>
      <c r="BC347" s="56"/>
    </row>
    <row r="348" spans="1:55" x14ac:dyDescent="0.2">
      <c r="A348" s="56"/>
      <c r="B348" s="57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56"/>
      <c r="AS348" s="56"/>
      <c r="AT348" s="56"/>
      <c r="AU348" s="56"/>
      <c r="AV348" s="56"/>
      <c r="AW348" s="56"/>
      <c r="AX348" s="56"/>
      <c r="AY348" s="56"/>
      <c r="AZ348" s="56"/>
      <c r="BA348" s="56"/>
      <c r="BB348" s="56"/>
      <c r="BC348" s="56"/>
    </row>
    <row r="349" spans="1:55" x14ac:dyDescent="0.2">
      <c r="A349" s="56"/>
      <c r="B349" s="57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6"/>
      <c r="AQ349" s="56"/>
      <c r="AR349" s="56"/>
      <c r="AS349" s="56"/>
      <c r="AT349" s="56"/>
      <c r="AU349" s="56"/>
      <c r="AV349" s="56"/>
      <c r="AW349" s="56"/>
      <c r="AX349" s="56"/>
      <c r="AY349" s="56"/>
      <c r="AZ349" s="56"/>
      <c r="BA349" s="56"/>
      <c r="BB349" s="56"/>
      <c r="BC349" s="56"/>
    </row>
    <row r="350" spans="1:55" x14ac:dyDescent="0.2">
      <c r="A350" s="56"/>
      <c r="B350" s="57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/>
      <c r="BA350" s="56"/>
      <c r="BB350" s="56"/>
      <c r="BC350" s="56"/>
    </row>
    <row r="351" spans="1:55" x14ac:dyDescent="0.2">
      <c r="A351" s="56"/>
      <c r="B351" s="57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R351" s="56"/>
      <c r="AS351" s="56"/>
      <c r="AT351" s="56"/>
      <c r="AU351" s="56"/>
      <c r="AV351" s="56"/>
      <c r="AW351" s="56"/>
      <c r="AX351" s="56"/>
      <c r="AY351" s="56"/>
      <c r="AZ351" s="56"/>
      <c r="BA351" s="56"/>
      <c r="BB351" s="56"/>
      <c r="BC351" s="56"/>
    </row>
    <row r="352" spans="1:55" x14ac:dyDescent="0.2">
      <c r="A352" s="56"/>
      <c r="B352" s="57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56"/>
      <c r="AR352" s="56"/>
      <c r="AS352" s="56"/>
      <c r="AT352" s="56"/>
      <c r="AU352" s="56"/>
      <c r="AV352" s="56"/>
      <c r="AW352" s="56"/>
      <c r="AX352" s="56"/>
      <c r="AY352" s="56"/>
      <c r="AZ352" s="56"/>
      <c r="BA352" s="56"/>
      <c r="BB352" s="56"/>
      <c r="BC352" s="56"/>
    </row>
    <row r="353" spans="1:55" x14ac:dyDescent="0.2">
      <c r="A353" s="56"/>
      <c r="B353" s="57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56"/>
      <c r="AS353" s="56"/>
      <c r="AT353" s="56"/>
      <c r="AU353" s="56"/>
      <c r="AV353" s="56"/>
      <c r="AW353" s="56"/>
      <c r="AX353" s="56"/>
      <c r="AY353" s="56"/>
      <c r="AZ353" s="56"/>
      <c r="BA353" s="56"/>
      <c r="BB353" s="56"/>
      <c r="BC353" s="56"/>
    </row>
    <row r="354" spans="1:55" x14ac:dyDescent="0.2">
      <c r="A354" s="56"/>
      <c r="B354" s="57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56"/>
      <c r="AS354" s="56"/>
      <c r="AT354" s="56"/>
      <c r="AU354" s="56"/>
      <c r="AV354" s="56"/>
      <c r="AW354" s="56"/>
      <c r="AX354" s="56"/>
      <c r="AY354" s="56"/>
      <c r="AZ354" s="56"/>
      <c r="BA354" s="56"/>
      <c r="BB354" s="56"/>
      <c r="BC354" s="56"/>
    </row>
    <row r="355" spans="1:55" x14ac:dyDescent="0.2">
      <c r="A355" s="56"/>
      <c r="B355" s="57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6"/>
      <c r="AQ355" s="56"/>
      <c r="AR355" s="56"/>
      <c r="AS355" s="56"/>
      <c r="AT355" s="56"/>
      <c r="AU355" s="56"/>
      <c r="AV355" s="56"/>
      <c r="AW355" s="56"/>
      <c r="AX355" s="56"/>
      <c r="AY355" s="56"/>
      <c r="AZ355" s="56"/>
      <c r="BA355" s="56"/>
      <c r="BB355" s="56"/>
      <c r="BC355" s="56"/>
    </row>
    <row r="356" spans="1:55" x14ac:dyDescent="0.2">
      <c r="A356" s="56"/>
      <c r="B356" s="57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56"/>
      <c r="AS356" s="56"/>
      <c r="AT356" s="56"/>
      <c r="AU356" s="56"/>
      <c r="AV356" s="56"/>
      <c r="AW356" s="56"/>
      <c r="AX356" s="56"/>
      <c r="AY356" s="56"/>
      <c r="AZ356" s="56"/>
      <c r="BA356" s="56"/>
      <c r="BB356" s="56"/>
      <c r="BC356" s="56"/>
    </row>
    <row r="357" spans="1:55" x14ac:dyDescent="0.2">
      <c r="A357" s="56"/>
      <c r="B357" s="57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6"/>
      <c r="AQ357" s="56"/>
      <c r="AR357" s="56"/>
      <c r="AS357" s="56"/>
      <c r="AT357" s="56"/>
      <c r="AU357" s="56"/>
      <c r="AV357" s="56"/>
      <c r="AW357" s="56"/>
      <c r="AX357" s="56"/>
      <c r="AY357" s="56"/>
      <c r="AZ357" s="56"/>
      <c r="BA357" s="56"/>
      <c r="BB357" s="56"/>
      <c r="BC357" s="56"/>
    </row>
    <row r="358" spans="1:55" x14ac:dyDescent="0.2">
      <c r="A358" s="56"/>
      <c r="B358" s="57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6"/>
      <c r="AQ358" s="56"/>
      <c r="AR358" s="56"/>
      <c r="AS358" s="56"/>
      <c r="AT358" s="56"/>
      <c r="AU358" s="56"/>
      <c r="AV358" s="56"/>
      <c r="AW358" s="56"/>
      <c r="AX358" s="56"/>
      <c r="AY358" s="56"/>
      <c r="AZ358" s="56"/>
      <c r="BA358" s="56"/>
      <c r="BB358" s="56"/>
      <c r="BC358" s="56"/>
    </row>
    <row r="359" spans="1:55" x14ac:dyDescent="0.2">
      <c r="A359" s="56"/>
      <c r="B359" s="57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56"/>
      <c r="AS359" s="56"/>
      <c r="AT359" s="56"/>
      <c r="AU359" s="56"/>
      <c r="AV359" s="56"/>
      <c r="AW359" s="56"/>
      <c r="AX359" s="56"/>
      <c r="AY359" s="56"/>
      <c r="AZ359" s="56"/>
      <c r="BA359" s="56"/>
      <c r="BB359" s="56"/>
      <c r="BC359" s="56"/>
    </row>
    <row r="360" spans="1:55" x14ac:dyDescent="0.2">
      <c r="A360" s="56"/>
      <c r="B360" s="57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56"/>
      <c r="AS360" s="56"/>
      <c r="AT360" s="56"/>
      <c r="AU360" s="56"/>
      <c r="AV360" s="56"/>
      <c r="AW360" s="56"/>
      <c r="AX360" s="56"/>
      <c r="AY360" s="56"/>
      <c r="AZ360" s="56"/>
      <c r="BA360" s="56"/>
      <c r="BB360" s="56"/>
      <c r="BC360" s="56"/>
    </row>
    <row r="361" spans="1:55" x14ac:dyDescent="0.2">
      <c r="A361" s="56"/>
      <c r="B361" s="57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6"/>
      <c r="AQ361" s="56"/>
      <c r="AR361" s="56"/>
      <c r="AS361" s="56"/>
      <c r="AT361" s="56"/>
      <c r="AU361" s="56"/>
      <c r="AV361" s="56"/>
      <c r="AW361" s="56"/>
      <c r="AX361" s="56"/>
      <c r="AY361" s="56"/>
      <c r="AZ361" s="56"/>
      <c r="BA361" s="56"/>
      <c r="BB361" s="56"/>
      <c r="BC361" s="56"/>
    </row>
    <row r="362" spans="1:55" x14ac:dyDescent="0.2">
      <c r="A362" s="56"/>
      <c r="B362" s="57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6"/>
      <c r="AQ362" s="56"/>
      <c r="AR362" s="56"/>
      <c r="AS362" s="56"/>
      <c r="AT362" s="56"/>
      <c r="AU362" s="56"/>
      <c r="AV362" s="56"/>
      <c r="AW362" s="56"/>
      <c r="AX362" s="56"/>
      <c r="AY362" s="56"/>
      <c r="AZ362" s="56"/>
      <c r="BA362" s="56"/>
      <c r="BB362" s="56"/>
      <c r="BC362" s="56"/>
    </row>
    <row r="363" spans="1:55" x14ac:dyDescent="0.2">
      <c r="A363" s="56"/>
      <c r="B363" s="57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6"/>
      <c r="AQ363" s="56"/>
      <c r="AR363" s="56"/>
      <c r="AS363" s="56"/>
      <c r="AT363" s="56"/>
      <c r="AU363" s="56"/>
      <c r="AV363" s="56"/>
      <c r="AW363" s="56"/>
      <c r="AX363" s="56"/>
      <c r="AY363" s="56"/>
      <c r="AZ363" s="56"/>
      <c r="BA363" s="56"/>
      <c r="BB363" s="56"/>
      <c r="BC363" s="56"/>
    </row>
    <row r="364" spans="1:55" x14ac:dyDescent="0.2">
      <c r="A364" s="56"/>
      <c r="B364" s="57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56"/>
      <c r="AS364" s="56"/>
      <c r="AT364" s="56"/>
      <c r="AU364" s="56"/>
      <c r="AV364" s="56"/>
      <c r="AW364" s="56"/>
      <c r="AX364" s="56"/>
      <c r="AY364" s="56"/>
      <c r="AZ364" s="56"/>
      <c r="BA364" s="56"/>
      <c r="BB364" s="56"/>
      <c r="BC364" s="56"/>
    </row>
    <row r="365" spans="1:55" x14ac:dyDescent="0.2">
      <c r="A365" s="56"/>
      <c r="B365" s="57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56"/>
      <c r="AR365" s="56"/>
      <c r="AS365" s="56"/>
      <c r="AT365" s="56"/>
      <c r="AU365" s="56"/>
      <c r="AV365" s="56"/>
      <c r="AW365" s="56"/>
      <c r="AX365" s="56"/>
      <c r="AY365" s="56"/>
      <c r="AZ365" s="56"/>
      <c r="BA365" s="56"/>
      <c r="BB365" s="56"/>
      <c r="BC365" s="56"/>
    </row>
    <row r="366" spans="1:55" x14ac:dyDescent="0.2">
      <c r="A366" s="56"/>
      <c r="B366" s="57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  <c r="AR366" s="56"/>
      <c r="AS366" s="56"/>
      <c r="AT366" s="56"/>
      <c r="AU366" s="56"/>
      <c r="AV366" s="56"/>
      <c r="AW366" s="56"/>
      <c r="AX366" s="56"/>
      <c r="AY366" s="56"/>
      <c r="AZ366" s="56"/>
      <c r="BA366" s="56"/>
      <c r="BB366" s="56"/>
      <c r="BC366" s="56"/>
    </row>
    <row r="367" spans="1:55" x14ac:dyDescent="0.2">
      <c r="A367" s="56"/>
      <c r="B367" s="57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  <c r="AR367" s="56"/>
      <c r="AS367" s="56"/>
      <c r="AT367" s="56"/>
      <c r="AU367" s="56"/>
      <c r="AV367" s="56"/>
      <c r="AW367" s="56"/>
      <c r="AX367" s="56"/>
      <c r="AY367" s="56"/>
      <c r="AZ367" s="56"/>
      <c r="BA367" s="56"/>
      <c r="BB367" s="56"/>
      <c r="BC367" s="56"/>
    </row>
    <row r="368" spans="1:55" x14ac:dyDescent="0.2">
      <c r="A368" s="56"/>
      <c r="B368" s="57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56"/>
      <c r="AS368" s="56"/>
      <c r="AT368" s="56"/>
      <c r="AU368" s="56"/>
      <c r="AV368" s="56"/>
      <c r="AW368" s="56"/>
      <c r="AX368" s="56"/>
      <c r="AY368" s="56"/>
      <c r="AZ368" s="56"/>
      <c r="BA368" s="56"/>
      <c r="BB368" s="56"/>
      <c r="BC368" s="56"/>
    </row>
    <row r="369" spans="1:55" x14ac:dyDescent="0.2">
      <c r="A369" s="56"/>
      <c r="B369" s="57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  <c r="AR369" s="56"/>
      <c r="AS369" s="56"/>
      <c r="AT369" s="56"/>
      <c r="AU369" s="56"/>
      <c r="AV369" s="56"/>
      <c r="AW369" s="56"/>
      <c r="AX369" s="56"/>
      <c r="AY369" s="56"/>
      <c r="AZ369" s="56"/>
      <c r="BA369" s="56"/>
      <c r="BB369" s="56"/>
      <c r="BC369" s="56"/>
    </row>
    <row r="370" spans="1:55" x14ac:dyDescent="0.2">
      <c r="A370" s="56"/>
      <c r="B370" s="57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6"/>
      <c r="AQ370" s="56"/>
      <c r="AR370" s="56"/>
      <c r="AS370" s="56"/>
      <c r="AT370" s="56"/>
      <c r="AU370" s="56"/>
      <c r="AV370" s="56"/>
      <c r="AW370" s="56"/>
      <c r="AX370" s="56"/>
      <c r="AY370" s="56"/>
      <c r="AZ370" s="56"/>
      <c r="BA370" s="56"/>
      <c r="BB370" s="56"/>
      <c r="BC370" s="56"/>
    </row>
    <row r="371" spans="1:55" x14ac:dyDescent="0.2">
      <c r="A371" s="56"/>
      <c r="B371" s="57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6"/>
      <c r="AQ371" s="56"/>
      <c r="AR371" s="56"/>
      <c r="AS371" s="56"/>
      <c r="AT371" s="56"/>
      <c r="AU371" s="56"/>
      <c r="AV371" s="56"/>
      <c r="AW371" s="56"/>
      <c r="AX371" s="56"/>
      <c r="AY371" s="56"/>
      <c r="AZ371" s="56"/>
      <c r="BA371" s="56"/>
      <c r="BB371" s="56"/>
      <c r="BC371" s="56"/>
    </row>
    <row r="372" spans="1:55" x14ac:dyDescent="0.2">
      <c r="A372" s="56"/>
      <c r="B372" s="57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6"/>
      <c r="AQ372" s="56"/>
      <c r="AR372" s="56"/>
      <c r="AS372" s="56"/>
      <c r="AT372" s="56"/>
      <c r="AU372" s="56"/>
      <c r="AV372" s="56"/>
      <c r="AW372" s="56"/>
      <c r="AX372" s="56"/>
      <c r="AY372" s="56"/>
      <c r="AZ372" s="56"/>
      <c r="BA372" s="56"/>
      <c r="BB372" s="56"/>
      <c r="BC372" s="56"/>
    </row>
    <row r="373" spans="1:55" x14ac:dyDescent="0.2">
      <c r="A373" s="56"/>
      <c r="B373" s="57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6"/>
      <c r="AQ373" s="56"/>
      <c r="AR373" s="56"/>
      <c r="AS373" s="56"/>
      <c r="AT373" s="56"/>
      <c r="AU373" s="56"/>
      <c r="AV373" s="56"/>
      <c r="AW373" s="56"/>
      <c r="AX373" s="56"/>
      <c r="AY373" s="56"/>
      <c r="AZ373" s="56"/>
      <c r="BA373" s="56"/>
      <c r="BB373" s="56"/>
      <c r="BC373" s="56"/>
    </row>
    <row r="374" spans="1:55" x14ac:dyDescent="0.2">
      <c r="A374" s="56"/>
      <c r="B374" s="57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6"/>
      <c r="AQ374" s="56"/>
      <c r="AR374" s="56"/>
      <c r="AS374" s="56"/>
      <c r="AT374" s="56"/>
      <c r="AU374" s="56"/>
      <c r="AV374" s="56"/>
      <c r="AW374" s="56"/>
      <c r="AX374" s="56"/>
      <c r="AY374" s="56"/>
      <c r="AZ374" s="56"/>
      <c r="BA374" s="56"/>
      <c r="BB374" s="56"/>
      <c r="BC374" s="56"/>
    </row>
    <row r="375" spans="1:55" x14ac:dyDescent="0.2">
      <c r="A375" s="56"/>
      <c r="B375" s="57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6"/>
      <c r="AQ375" s="56"/>
      <c r="AR375" s="56"/>
      <c r="AS375" s="56"/>
      <c r="AT375" s="56"/>
      <c r="AU375" s="56"/>
      <c r="AV375" s="56"/>
      <c r="AW375" s="56"/>
      <c r="AX375" s="56"/>
      <c r="AY375" s="56"/>
      <c r="AZ375" s="56"/>
      <c r="BA375" s="56"/>
      <c r="BB375" s="56"/>
      <c r="BC375" s="56"/>
    </row>
    <row r="376" spans="1:55" x14ac:dyDescent="0.2">
      <c r="A376" s="56"/>
      <c r="B376" s="57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6"/>
      <c r="AQ376" s="56"/>
      <c r="AR376" s="56"/>
      <c r="AS376" s="56"/>
      <c r="AT376" s="56"/>
      <c r="AU376" s="56"/>
      <c r="AV376" s="56"/>
      <c r="AW376" s="56"/>
      <c r="AX376" s="56"/>
      <c r="AY376" s="56"/>
      <c r="AZ376" s="56"/>
      <c r="BA376" s="56"/>
      <c r="BB376" s="56"/>
      <c r="BC376" s="56"/>
    </row>
    <row r="377" spans="1:55" x14ac:dyDescent="0.2">
      <c r="A377" s="56"/>
      <c r="B377" s="57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56"/>
      <c r="AS377" s="56"/>
      <c r="AT377" s="56"/>
      <c r="AU377" s="56"/>
      <c r="AV377" s="56"/>
      <c r="AW377" s="56"/>
      <c r="AX377" s="56"/>
      <c r="AY377" s="56"/>
      <c r="AZ377" s="56"/>
      <c r="BA377" s="56"/>
      <c r="BB377" s="56"/>
      <c r="BC377" s="56"/>
    </row>
    <row r="378" spans="1:55" x14ac:dyDescent="0.2">
      <c r="A378" s="56"/>
      <c r="B378" s="57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56"/>
      <c r="AS378" s="56"/>
      <c r="AT378" s="56"/>
      <c r="AU378" s="56"/>
      <c r="AV378" s="56"/>
      <c r="AW378" s="56"/>
      <c r="AX378" s="56"/>
      <c r="AY378" s="56"/>
      <c r="AZ378" s="56"/>
      <c r="BA378" s="56"/>
      <c r="BB378" s="56"/>
      <c r="BC378" s="56"/>
    </row>
    <row r="379" spans="1:55" x14ac:dyDescent="0.2">
      <c r="A379" s="56"/>
      <c r="B379" s="57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56"/>
      <c r="AR379" s="56"/>
      <c r="AS379" s="56"/>
      <c r="AT379" s="56"/>
      <c r="AU379" s="56"/>
      <c r="AV379" s="56"/>
      <c r="AW379" s="56"/>
      <c r="AX379" s="56"/>
      <c r="AY379" s="56"/>
      <c r="AZ379" s="56"/>
      <c r="BA379" s="56"/>
      <c r="BB379" s="56"/>
      <c r="BC379" s="56"/>
    </row>
    <row r="380" spans="1:55" x14ac:dyDescent="0.2">
      <c r="A380" s="56"/>
      <c r="B380" s="57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6"/>
      <c r="AR380" s="56"/>
      <c r="AS380" s="56"/>
      <c r="AT380" s="56"/>
      <c r="AU380" s="56"/>
      <c r="AV380" s="56"/>
      <c r="AW380" s="56"/>
      <c r="AX380" s="56"/>
      <c r="AY380" s="56"/>
      <c r="AZ380" s="56"/>
      <c r="BA380" s="56"/>
      <c r="BB380" s="56"/>
      <c r="BC380" s="56"/>
    </row>
    <row r="381" spans="1:55" x14ac:dyDescent="0.2">
      <c r="A381" s="56"/>
      <c r="B381" s="57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6"/>
      <c r="AQ381" s="56"/>
      <c r="AR381" s="56"/>
      <c r="AS381" s="56"/>
      <c r="AT381" s="56"/>
      <c r="AU381" s="56"/>
      <c r="AV381" s="56"/>
      <c r="AW381" s="56"/>
      <c r="AX381" s="56"/>
      <c r="AY381" s="56"/>
      <c r="AZ381" s="56"/>
      <c r="BA381" s="56"/>
      <c r="BB381" s="56"/>
      <c r="BC381" s="56"/>
    </row>
    <row r="382" spans="1:55" x14ac:dyDescent="0.2">
      <c r="A382" s="56"/>
      <c r="B382" s="57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  <c r="AR382" s="56"/>
      <c r="AS382" s="56"/>
      <c r="AT382" s="56"/>
      <c r="AU382" s="56"/>
      <c r="AV382" s="56"/>
      <c r="AW382" s="56"/>
      <c r="AX382" s="56"/>
      <c r="AY382" s="56"/>
      <c r="AZ382" s="56"/>
      <c r="BA382" s="56"/>
      <c r="BB382" s="56"/>
      <c r="BC382" s="56"/>
    </row>
    <row r="383" spans="1:55" x14ac:dyDescent="0.2">
      <c r="A383" s="56"/>
      <c r="B383" s="57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6"/>
      <c r="AQ383" s="56"/>
      <c r="AR383" s="56"/>
      <c r="AS383" s="56"/>
      <c r="AT383" s="56"/>
      <c r="AU383" s="56"/>
      <c r="AV383" s="56"/>
      <c r="AW383" s="56"/>
      <c r="AX383" s="56"/>
      <c r="AY383" s="56"/>
      <c r="AZ383" s="56"/>
      <c r="BA383" s="56"/>
      <c r="BB383" s="56"/>
      <c r="BC383" s="56"/>
    </row>
    <row r="384" spans="1:55" x14ac:dyDescent="0.2">
      <c r="A384" s="56"/>
      <c r="B384" s="57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56"/>
      <c r="AS384" s="56"/>
      <c r="AT384" s="56"/>
      <c r="AU384" s="56"/>
      <c r="AV384" s="56"/>
      <c r="AW384" s="56"/>
      <c r="AX384" s="56"/>
      <c r="AY384" s="56"/>
      <c r="AZ384" s="56"/>
      <c r="BA384" s="56"/>
      <c r="BB384" s="56"/>
      <c r="BC384" s="56"/>
    </row>
    <row r="385" spans="1:55" x14ac:dyDescent="0.2">
      <c r="A385" s="56"/>
      <c r="B385" s="57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6"/>
      <c r="AR385" s="56"/>
      <c r="AS385" s="56"/>
      <c r="AT385" s="56"/>
      <c r="AU385" s="56"/>
      <c r="AV385" s="56"/>
      <c r="AW385" s="56"/>
      <c r="AX385" s="56"/>
      <c r="AY385" s="56"/>
      <c r="AZ385" s="56"/>
      <c r="BA385" s="56"/>
      <c r="BB385" s="56"/>
      <c r="BC385" s="56"/>
    </row>
    <row r="386" spans="1:55" x14ac:dyDescent="0.2">
      <c r="A386" s="56"/>
      <c r="B386" s="57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6"/>
      <c r="AQ386" s="56"/>
      <c r="AR386" s="56"/>
      <c r="AS386" s="56"/>
      <c r="AT386" s="56"/>
      <c r="AU386" s="56"/>
      <c r="AV386" s="56"/>
      <c r="AW386" s="56"/>
      <c r="AX386" s="56"/>
      <c r="AY386" s="56"/>
      <c r="AZ386" s="56"/>
      <c r="BA386" s="56"/>
      <c r="BB386" s="56"/>
      <c r="BC386" s="56"/>
    </row>
    <row r="387" spans="1:55" x14ac:dyDescent="0.2">
      <c r="A387" s="56"/>
      <c r="B387" s="57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56"/>
      <c r="AR387" s="56"/>
      <c r="AS387" s="56"/>
      <c r="AT387" s="56"/>
      <c r="AU387" s="56"/>
      <c r="AV387" s="56"/>
      <c r="AW387" s="56"/>
      <c r="AX387" s="56"/>
      <c r="AY387" s="56"/>
      <c r="AZ387" s="56"/>
      <c r="BA387" s="56"/>
      <c r="BB387" s="56"/>
      <c r="BC387" s="56"/>
    </row>
    <row r="388" spans="1:55" x14ac:dyDescent="0.2">
      <c r="A388" s="56"/>
      <c r="B388" s="57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6"/>
      <c r="AQ388" s="56"/>
      <c r="AR388" s="56"/>
      <c r="AS388" s="56"/>
      <c r="AT388" s="56"/>
      <c r="AU388" s="56"/>
      <c r="AV388" s="56"/>
      <c r="AW388" s="56"/>
      <c r="AX388" s="56"/>
      <c r="AY388" s="56"/>
      <c r="AZ388" s="56"/>
      <c r="BA388" s="56"/>
      <c r="BB388" s="56"/>
      <c r="BC388" s="56"/>
    </row>
    <row r="389" spans="1:55" x14ac:dyDescent="0.2">
      <c r="A389" s="56"/>
      <c r="B389" s="57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6"/>
      <c r="AQ389" s="56"/>
      <c r="AR389" s="56"/>
      <c r="AS389" s="56"/>
      <c r="AT389" s="56"/>
      <c r="AU389" s="56"/>
      <c r="AV389" s="56"/>
      <c r="AW389" s="56"/>
      <c r="AX389" s="56"/>
      <c r="AY389" s="56"/>
      <c r="AZ389" s="56"/>
      <c r="BA389" s="56"/>
      <c r="BB389" s="56"/>
      <c r="BC389" s="56"/>
    </row>
    <row r="390" spans="1:55" x14ac:dyDescent="0.2">
      <c r="A390" s="56"/>
      <c r="B390" s="57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/>
      <c r="BB390" s="56"/>
      <c r="BC390" s="56"/>
    </row>
    <row r="391" spans="1:55" x14ac:dyDescent="0.2">
      <c r="A391" s="56"/>
      <c r="B391" s="57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6"/>
      <c r="AQ391" s="56"/>
      <c r="AR391" s="56"/>
      <c r="AS391" s="56"/>
      <c r="AT391" s="56"/>
      <c r="AU391" s="56"/>
      <c r="AV391" s="56"/>
      <c r="AW391" s="56"/>
      <c r="AX391" s="56"/>
      <c r="AY391" s="56"/>
      <c r="AZ391" s="56"/>
      <c r="BA391" s="56"/>
      <c r="BB391" s="56"/>
      <c r="BC391" s="56"/>
    </row>
    <row r="392" spans="1:55" x14ac:dyDescent="0.2">
      <c r="A392" s="56"/>
      <c r="B392" s="57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6"/>
      <c r="AQ392" s="56"/>
      <c r="AR392" s="56"/>
      <c r="AS392" s="56"/>
      <c r="AT392" s="56"/>
      <c r="AU392" s="56"/>
      <c r="AV392" s="56"/>
      <c r="AW392" s="56"/>
      <c r="AX392" s="56"/>
      <c r="AY392" s="56"/>
      <c r="AZ392" s="56"/>
      <c r="BA392" s="56"/>
      <c r="BB392" s="56"/>
      <c r="BC392" s="56"/>
    </row>
    <row r="393" spans="1:55" x14ac:dyDescent="0.2">
      <c r="A393" s="56"/>
      <c r="B393" s="57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6"/>
      <c r="AQ393" s="56"/>
      <c r="AR393" s="56"/>
      <c r="AS393" s="56"/>
      <c r="AT393" s="56"/>
      <c r="AU393" s="56"/>
      <c r="AV393" s="56"/>
      <c r="AW393" s="56"/>
      <c r="AX393" s="56"/>
      <c r="AY393" s="56"/>
      <c r="AZ393" s="56"/>
      <c r="BA393" s="56"/>
      <c r="BB393" s="56"/>
      <c r="BC393" s="56"/>
    </row>
    <row r="394" spans="1:55" x14ac:dyDescent="0.2">
      <c r="A394" s="56"/>
      <c r="B394" s="57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6"/>
      <c r="AQ394" s="56"/>
      <c r="AR394" s="56"/>
      <c r="AS394" s="56"/>
      <c r="AT394" s="56"/>
      <c r="AU394" s="56"/>
      <c r="AV394" s="56"/>
      <c r="AW394" s="56"/>
      <c r="AX394" s="56"/>
      <c r="AY394" s="56"/>
      <c r="AZ394" s="56"/>
      <c r="BA394" s="56"/>
      <c r="BB394" s="56"/>
      <c r="BC394" s="56"/>
    </row>
    <row r="395" spans="1:55" x14ac:dyDescent="0.2">
      <c r="A395" s="56"/>
      <c r="B395" s="57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6"/>
      <c r="AQ395" s="56"/>
      <c r="AR395" s="56"/>
      <c r="AS395" s="56"/>
      <c r="AT395" s="56"/>
      <c r="AU395" s="56"/>
      <c r="AV395" s="56"/>
      <c r="AW395" s="56"/>
      <c r="AX395" s="56"/>
      <c r="AY395" s="56"/>
      <c r="AZ395" s="56"/>
      <c r="BA395" s="56"/>
      <c r="BB395" s="56"/>
      <c r="BC395" s="56"/>
    </row>
    <row r="396" spans="1:55" x14ac:dyDescent="0.2">
      <c r="A396" s="56"/>
      <c r="B396" s="57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6"/>
      <c r="AQ396" s="56"/>
      <c r="AR396" s="56"/>
      <c r="AS396" s="56"/>
      <c r="AT396" s="56"/>
      <c r="AU396" s="56"/>
      <c r="AV396" s="56"/>
      <c r="AW396" s="56"/>
      <c r="AX396" s="56"/>
      <c r="AY396" s="56"/>
      <c r="AZ396" s="56"/>
      <c r="BA396" s="56"/>
      <c r="BB396" s="56"/>
      <c r="BC396" s="56"/>
    </row>
    <row r="397" spans="1:55" x14ac:dyDescent="0.2">
      <c r="A397" s="56"/>
      <c r="B397" s="57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56"/>
      <c r="AS397" s="56"/>
      <c r="AT397" s="56"/>
      <c r="AU397" s="56"/>
      <c r="AV397" s="56"/>
      <c r="AW397" s="56"/>
      <c r="AX397" s="56"/>
      <c r="AY397" s="56"/>
      <c r="AZ397" s="56"/>
      <c r="BA397" s="56"/>
      <c r="BB397" s="56"/>
      <c r="BC397" s="56"/>
    </row>
    <row r="398" spans="1:55" x14ac:dyDescent="0.2">
      <c r="A398" s="56"/>
      <c r="B398" s="57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6"/>
      <c r="AQ398" s="56"/>
      <c r="AR398" s="56"/>
      <c r="AS398" s="56"/>
      <c r="AT398" s="56"/>
      <c r="AU398" s="56"/>
      <c r="AV398" s="56"/>
      <c r="AW398" s="56"/>
      <c r="AX398" s="56"/>
      <c r="AY398" s="56"/>
      <c r="AZ398" s="56"/>
      <c r="BA398" s="56"/>
      <c r="BB398" s="56"/>
      <c r="BC398" s="56"/>
    </row>
    <row r="399" spans="1:55" x14ac:dyDescent="0.2">
      <c r="A399" s="56"/>
      <c r="B399" s="57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6"/>
      <c r="AQ399" s="56"/>
      <c r="AR399" s="56"/>
      <c r="AS399" s="56"/>
      <c r="AT399" s="56"/>
      <c r="AU399" s="56"/>
      <c r="AV399" s="56"/>
      <c r="AW399" s="56"/>
      <c r="AX399" s="56"/>
      <c r="AY399" s="56"/>
      <c r="AZ399" s="56"/>
      <c r="BA399" s="56"/>
      <c r="BB399" s="56"/>
      <c r="BC399" s="56"/>
    </row>
    <row r="400" spans="1:55" x14ac:dyDescent="0.2">
      <c r="A400" s="56"/>
      <c r="B400" s="57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6"/>
      <c r="AR400" s="56"/>
      <c r="AS400" s="56"/>
      <c r="AT400" s="56"/>
      <c r="AU400" s="56"/>
      <c r="AV400" s="56"/>
      <c r="AW400" s="56"/>
      <c r="AX400" s="56"/>
      <c r="AY400" s="56"/>
      <c r="AZ400" s="56"/>
      <c r="BA400" s="56"/>
      <c r="BB400" s="56"/>
      <c r="BC400" s="56"/>
    </row>
    <row r="401" spans="1:55" x14ac:dyDescent="0.2">
      <c r="A401" s="56"/>
      <c r="B401" s="57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6"/>
      <c r="AQ401" s="56"/>
      <c r="AR401" s="56"/>
      <c r="AS401" s="56"/>
      <c r="AT401" s="56"/>
      <c r="AU401" s="56"/>
      <c r="AV401" s="56"/>
      <c r="AW401" s="56"/>
      <c r="AX401" s="56"/>
      <c r="AY401" s="56"/>
      <c r="AZ401" s="56"/>
      <c r="BA401" s="56"/>
      <c r="BB401" s="56"/>
      <c r="BC401" s="56"/>
    </row>
    <row r="402" spans="1:55" x14ac:dyDescent="0.2">
      <c r="A402" s="56"/>
      <c r="B402" s="57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6"/>
      <c r="AQ402" s="56"/>
      <c r="AR402" s="56"/>
      <c r="AS402" s="56"/>
      <c r="AT402" s="56"/>
      <c r="AU402" s="56"/>
      <c r="AV402" s="56"/>
      <c r="AW402" s="56"/>
      <c r="AX402" s="56"/>
      <c r="AY402" s="56"/>
      <c r="AZ402" s="56"/>
      <c r="BA402" s="56"/>
      <c r="BB402" s="56"/>
      <c r="BC402" s="56"/>
    </row>
    <row r="403" spans="1:55" x14ac:dyDescent="0.2">
      <c r="A403" s="56"/>
      <c r="B403" s="57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6"/>
      <c r="AQ403" s="56"/>
      <c r="AR403" s="56"/>
      <c r="AS403" s="56"/>
      <c r="AT403" s="56"/>
      <c r="AU403" s="56"/>
      <c r="AV403" s="56"/>
      <c r="AW403" s="56"/>
      <c r="AX403" s="56"/>
      <c r="AY403" s="56"/>
      <c r="AZ403" s="56"/>
      <c r="BA403" s="56"/>
      <c r="BB403" s="56"/>
      <c r="BC403" s="56"/>
    </row>
    <row r="404" spans="1:55" x14ac:dyDescent="0.2">
      <c r="A404" s="56"/>
      <c r="B404" s="57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6"/>
      <c r="AQ404" s="56"/>
      <c r="AR404" s="56"/>
      <c r="AS404" s="56"/>
      <c r="AT404" s="56"/>
      <c r="AU404" s="56"/>
      <c r="AV404" s="56"/>
      <c r="AW404" s="56"/>
      <c r="AX404" s="56"/>
      <c r="AY404" s="56"/>
      <c r="AZ404" s="56"/>
      <c r="BA404" s="56"/>
      <c r="BB404" s="56"/>
      <c r="BC404" s="56"/>
    </row>
    <row r="405" spans="1:55" x14ac:dyDescent="0.2">
      <c r="A405" s="56"/>
      <c r="B405" s="57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6"/>
      <c r="AQ405" s="56"/>
      <c r="AR405" s="56"/>
      <c r="AS405" s="56"/>
      <c r="AT405" s="56"/>
      <c r="AU405" s="56"/>
      <c r="AV405" s="56"/>
      <c r="AW405" s="56"/>
      <c r="AX405" s="56"/>
      <c r="AY405" s="56"/>
      <c r="AZ405" s="56"/>
      <c r="BA405" s="56"/>
      <c r="BB405" s="56"/>
      <c r="BC405" s="56"/>
    </row>
    <row r="406" spans="1:55" x14ac:dyDescent="0.2">
      <c r="A406" s="56"/>
      <c r="B406" s="57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6"/>
      <c r="AQ406" s="56"/>
      <c r="AR406" s="56"/>
      <c r="AS406" s="56"/>
      <c r="AT406" s="56"/>
      <c r="AU406" s="56"/>
      <c r="AV406" s="56"/>
      <c r="AW406" s="56"/>
      <c r="AX406" s="56"/>
      <c r="AY406" s="56"/>
      <c r="AZ406" s="56"/>
      <c r="BA406" s="56"/>
      <c r="BB406" s="56"/>
      <c r="BC406" s="56"/>
    </row>
    <row r="407" spans="1:55" x14ac:dyDescent="0.2">
      <c r="A407" s="56"/>
      <c r="B407" s="57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6"/>
      <c r="AQ407" s="56"/>
      <c r="AR407" s="56"/>
      <c r="AS407" s="56"/>
      <c r="AT407" s="56"/>
      <c r="AU407" s="56"/>
      <c r="AV407" s="56"/>
      <c r="AW407" s="56"/>
      <c r="AX407" s="56"/>
      <c r="AY407" s="56"/>
      <c r="AZ407" s="56"/>
      <c r="BA407" s="56"/>
      <c r="BB407" s="56"/>
      <c r="BC407" s="56"/>
    </row>
    <row r="408" spans="1:55" x14ac:dyDescent="0.2">
      <c r="A408" s="56"/>
      <c r="B408" s="57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6"/>
      <c r="AQ408" s="56"/>
      <c r="AR408" s="56"/>
      <c r="AS408" s="56"/>
      <c r="AT408" s="56"/>
      <c r="AU408" s="56"/>
      <c r="AV408" s="56"/>
      <c r="AW408" s="56"/>
      <c r="AX408" s="56"/>
      <c r="AY408" s="56"/>
      <c r="AZ408" s="56"/>
      <c r="BA408" s="56"/>
      <c r="BB408" s="56"/>
      <c r="BC408" s="56"/>
    </row>
    <row r="409" spans="1:55" x14ac:dyDescent="0.2">
      <c r="A409" s="56"/>
      <c r="B409" s="57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6"/>
      <c r="AQ409" s="56"/>
      <c r="AR409" s="56"/>
      <c r="AS409" s="56"/>
      <c r="AT409" s="56"/>
      <c r="AU409" s="56"/>
      <c r="AV409" s="56"/>
      <c r="AW409" s="56"/>
      <c r="AX409" s="56"/>
      <c r="AY409" s="56"/>
      <c r="AZ409" s="56"/>
      <c r="BA409" s="56"/>
      <c r="BB409" s="56"/>
      <c r="BC409" s="56"/>
    </row>
    <row r="410" spans="1:55" x14ac:dyDescent="0.2">
      <c r="A410" s="56"/>
      <c r="B410" s="57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6"/>
      <c r="AQ410" s="56"/>
      <c r="AR410" s="56"/>
      <c r="AS410" s="56"/>
      <c r="AT410" s="56"/>
      <c r="AU410" s="56"/>
      <c r="AV410" s="56"/>
      <c r="AW410" s="56"/>
      <c r="AX410" s="56"/>
      <c r="AY410" s="56"/>
      <c r="AZ410" s="56"/>
      <c r="BA410" s="56"/>
      <c r="BB410" s="56"/>
      <c r="BC410" s="56"/>
    </row>
    <row r="411" spans="1:55" x14ac:dyDescent="0.2">
      <c r="A411" s="56"/>
      <c r="B411" s="57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6"/>
      <c r="AQ411" s="56"/>
      <c r="AR411" s="56"/>
      <c r="AS411" s="56"/>
      <c r="AT411" s="56"/>
      <c r="AU411" s="56"/>
      <c r="AV411" s="56"/>
      <c r="AW411" s="56"/>
      <c r="AX411" s="56"/>
      <c r="AY411" s="56"/>
      <c r="AZ411" s="56"/>
      <c r="BA411" s="56"/>
      <c r="BB411" s="56"/>
      <c r="BC411" s="56"/>
    </row>
    <row r="412" spans="1:55" x14ac:dyDescent="0.2">
      <c r="A412" s="56"/>
      <c r="B412" s="57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6"/>
      <c r="AQ412" s="56"/>
      <c r="AR412" s="56"/>
      <c r="AS412" s="56"/>
      <c r="AT412" s="56"/>
      <c r="AU412" s="56"/>
      <c r="AV412" s="56"/>
      <c r="AW412" s="56"/>
      <c r="AX412" s="56"/>
      <c r="AY412" s="56"/>
      <c r="AZ412" s="56"/>
      <c r="BA412" s="56"/>
      <c r="BB412" s="56"/>
      <c r="BC412" s="56"/>
    </row>
    <row r="413" spans="1:55" x14ac:dyDescent="0.2">
      <c r="A413" s="56"/>
      <c r="B413" s="57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6"/>
      <c r="AQ413" s="56"/>
      <c r="AR413" s="56"/>
      <c r="AS413" s="56"/>
      <c r="AT413" s="56"/>
      <c r="AU413" s="56"/>
      <c r="AV413" s="56"/>
      <c r="AW413" s="56"/>
      <c r="AX413" s="56"/>
      <c r="AY413" s="56"/>
      <c r="AZ413" s="56"/>
      <c r="BA413" s="56"/>
      <c r="BB413" s="56"/>
      <c r="BC413" s="56"/>
    </row>
    <row r="414" spans="1:55" x14ac:dyDescent="0.2">
      <c r="A414" s="56"/>
      <c r="B414" s="57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6"/>
      <c r="AQ414" s="56"/>
      <c r="AR414" s="56"/>
      <c r="AS414" s="56"/>
      <c r="AT414" s="56"/>
      <c r="AU414" s="56"/>
      <c r="AV414" s="56"/>
      <c r="AW414" s="56"/>
      <c r="AX414" s="56"/>
      <c r="AY414" s="56"/>
      <c r="AZ414" s="56"/>
      <c r="BA414" s="56"/>
      <c r="BB414" s="56"/>
      <c r="BC414" s="56"/>
    </row>
    <row r="415" spans="1:55" x14ac:dyDescent="0.2">
      <c r="A415" s="56"/>
      <c r="B415" s="57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6"/>
      <c r="AQ415" s="56"/>
      <c r="AR415" s="56"/>
      <c r="AS415" s="56"/>
      <c r="AT415" s="56"/>
      <c r="AU415" s="56"/>
      <c r="AV415" s="56"/>
      <c r="AW415" s="56"/>
      <c r="AX415" s="56"/>
      <c r="AY415" s="56"/>
      <c r="AZ415" s="56"/>
      <c r="BA415" s="56"/>
      <c r="BB415" s="56"/>
      <c r="BC415" s="56"/>
    </row>
    <row r="416" spans="1:55" x14ac:dyDescent="0.2">
      <c r="A416" s="56"/>
      <c r="B416" s="57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6"/>
      <c r="AQ416" s="56"/>
      <c r="AR416" s="56"/>
      <c r="AS416" s="56"/>
      <c r="AT416" s="56"/>
      <c r="AU416" s="56"/>
      <c r="AV416" s="56"/>
      <c r="AW416" s="56"/>
      <c r="AX416" s="56"/>
      <c r="AY416" s="56"/>
      <c r="AZ416" s="56"/>
      <c r="BA416" s="56"/>
      <c r="BB416" s="56"/>
      <c r="BC416" s="56"/>
    </row>
    <row r="417" spans="1:55" x14ac:dyDescent="0.2">
      <c r="A417" s="56"/>
      <c r="B417" s="57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6"/>
      <c r="AQ417" s="56"/>
      <c r="AR417" s="56"/>
      <c r="AS417" s="56"/>
      <c r="AT417" s="56"/>
      <c r="AU417" s="56"/>
      <c r="AV417" s="56"/>
      <c r="AW417" s="56"/>
      <c r="AX417" s="56"/>
      <c r="AY417" s="56"/>
      <c r="AZ417" s="56"/>
      <c r="BA417" s="56"/>
      <c r="BB417" s="56"/>
      <c r="BC417" s="56"/>
    </row>
    <row r="418" spans="1:55" x14ac:dyDescent="0.2">
      <c r="A418" s="56"/>
      <c r="B418" s="57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6"/>
      <c r="AQ418" s="56"/>
      <c r="AR418" s="56"/>
      <c r="AS418" s="56"/>
      <c r="AT418" s="56"/>
      <c r="AU418" s="56"/>
      <c r="AV418" s="56"/>
      <c r="AW418" s="56"/>
      <c r="AX418" s="56"/>
      <c r="AY418" s="56"/>
      <c r="AZ418" s="56"/>
      <c r="BA418" s="56"/>
      <c r="BB418" s="56"/>
      <c r="BC418" s="56"/>
    </row>
    <row r="419" spans="1:55" x14ac:dyDescent="0.2">
      <c r="A419" s="56"/>
      <c r="B419" s="57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6"/>
      <c r="AQ419" s="56"/>
      <c r="AR419" s="56"/>
      <c r="AS419" s="56"/>
      <c r="AT419" s="56"/>
      <c r="AU419" s="56"/>
      <c r="AV419" s="56"/>
      <c r="AW419" s="56"/>
      <c r="AX419" s="56"/>
      <c r="AY419" s="56"/>
      <c r="AZ419" s="56"/>
      <c r="BA419" s="56"/>
      <c r="BB419" s="56"/>
      <c r="BC419" s="56"/>
    </row>
    <row r="420" spans="1:55" x14ac:dyDescent="0.2">
      <c r="A420" s="56"/>
      <c r="B420" s="57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6"/>
      <c r="AQ420" s="56"/>
      <c r="AR420" s="56"/>
      <c r="AS420" s="56"/>
      <c r="AT420" s="56"/>
      <c r="AU420" s="56"/>
      <c r="AV420" s="56"/>
      <c r="AW420" s="56"/>
      <c r="AX420" s="56"/>
      <c r="AY420" s="56"/>
      <c r="AZ420" s="56"/>
      <c r="BA420" s="56"/>
      <c r="BB420" s="56"/>
      <c r="BC420" s="56"/>
    </row>
    <row r="421" spans="1:55" x14ac:dyDescent="0.2">
      <c r="A421" s="56"/>
      <c r="B421" s="57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  <c r="AO421" s="56"/>
      <c r="AP421" s="56"/>
      <c r="AQ421" s="56"/>
      <c r="AR421" s="56"/>
      <c r="AS421" s="56"/>
      <c r="AT421" s="56"/>
      <c r="AU421" s="56"/>
      <c r="AV421" s="56"/>
      <c r="AW421" s="56"/>
      <c r="AX421" s="56"/>
      <c r="AY421" s="56"/>
      <c r="AZ421" s="56"/>
      <c r="BA421" s="56"/>
      <c r="BB421" s="56"/>
      <c r="BC421" s="56"/>
    </row>
    <row r="422" spans="1:55" x14ac:dyDescent="0.2">
      <c r="A422" s="56"/>
      <c r="B422" s="57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6"/>
      <c r="AQ422" s="56"/>
      <c r="AR422" s="56"/>
      <c r="AS422" s="56"/>
      <c r="AT422" s="56"/>
      <c r="AU422" s="56"/>
      <c r="AV422" s="56"/>
      <c r="AW422" s="56"/>
      <c r="AX422" s="56"/>
      <c r="AY422" s="56"/>
      <c r="AZ422" s="56"/>
      <c r="BA422" s="56"/>
      <c r="BB422" s="56"/>
      <c r="BC422" s="56"/>
    </row>
    <row r="423" spans="1:55" x14ac:dyDescent="0.2">
      <c r="A423" s="56"/>
      <c r="B423" s="57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6"/>
      <c r="AQ423" s="56"/>
      <c r="AR423" s="56"/>
      <c r="AS423" s="56"/>
      <c r="AT423" s="56"/>
      <c r="AU423" s="56"/>
      <c r="AV423" s="56"/>
      <c r="AW423" s="56"/>
      <c r="AX423" s="56"/>
      <c r="AY423" s="56"/>
      <c r="AZ423" s="56"/>
      <c r="BA423" s="56"/>
      <c r="BB423" s="56"/>
      <c r="BC423" s="56"/>
    </row>
    <row r="424" spans="1:55" x14ac:dyDescent="0.2">
      <c r="A424" s="56"/>
      <c r="B424" s="57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6"/>
      <c r="AQ424" s="56"/>
      <c r="AR424" s="56"/>
      <c r="AS424" s="56"/>
      <c r="AT424" s="56"/>
      <c r="AU424" s="56"/>
      <c r="AV424" s="56"/>
      <c r="AW424" s="56"/>
      <c r="AX424" s="56"/>
      <c r="AY424" s="56"/>
      <c r="AZ424" s="56"/>
      <c r="BA424" s="56"/>
      <c r="BB424" s="56"/>
      <c r="BC424" s="56"/>
    </row>
    <row r="425" spans="1:55" x14ac:dyDescent="0.2">
      <c r="A425" s="56"/>
      <c r="B425" s="57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6"/>
      <c r="AQ425" s="56"/>
      <c r="AR425" s="56"/>
      <c r="AS425" s="56"/>
      <c r="AT425" s="56"/>
      <c r="AU425" s="56"/>
      <c r="AV425" s="56"/>
      <c r="AW425" s="56"/>
      <c r="AX425" s="56"/>
      <c r="AY425" s="56"/>
      <c r="AZ425" s="56"/>
      <c r="BA425" s="56"/>
      <c r="BB425" s="56"/>
      <c r="BC425" s="56"/>
    </row>
    <row r="426" spans="1:55" x14ac:dyDescent="0.2">
      <c r="A426" s="56"/>
      <c r="B426" s="57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56"/>
      <c r="AR426" s="56"/>
      <c r="AS426" s="56"/>
      <c r="AT426" s="56"/>
      <c r="AU426" s="56"/>
      <c r="AV426" s="56"/>
      <c r="AW426" s="56"/>
      <c r="AX426" s="56"/>
      <c r="AY426" s="56"/>
      <c r="AZ426" s="56"/>
      <c r="BA426" s="56"/>
      <c r="BB426" s="56"/>
      <c r="BC426" s="56"/>
    </row>
    <row r="427" spans="1:55" x14ac:dyDescent="0.2">
      <c r="A427" s="56"/>
      <c r="B427" s="57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6"/>
      <c r="AQ427" s="56"/>
      <c r="AR427" s="56"/>
      <c r="AS427" s="56"/>
      <c r="AT427" s="56"/>
      <c r="AU427" s="56"/>
      <c r="AV427" s="56"/>
      <c r="AW427" s="56"/>
      <c r="AX427" s="56"/>
      <c r="AY427" s="56"/>
      <c r="AZ427" s="56"/>
      <c r="BA427" s="56"/>
      <c r="BB427" s="56"/>
      <c r="BC427" s="56"/>
    </row>
    <row r="428" spans="1:55" x14ac:dyDescent="0.2">
      <c r="A428" s="56"/>
      <c r="B428" s="57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6"/>
      <c r="AQ428" s="56"/>
      <c r="AR428" s="56"/>
      <c r="AS428" s="56"/>
      <c r="AT428" s="56"/>
      <c r="AU428" s="56"/>
      <c r="AV428" s="56"/>
      <c r="AW428" s="56"/>
      <c r="AX428" s="56"/>
      <c r="AY428" s="56"/>
      <c r="AZ428" s="56"/>
      <c r="BA428" s="56"/>
      <c r="BB428" s="56"/>
      <c r="BC428" s="56"/>
    </row>
    <row r="429" spans="1:55" x14ac:dyDescent="0.2">
      <c r="A429" s="56"/>
      <c r="B429" s="57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6"/>
      <c r="AQ429" s="56"/>
      <c r="AR429" s="56"/>
      <c r="AS429" s="56"/>
      <c r="AT429" s="56"/>
      <c r="AU429" s="56"/>
      <c r="AV429" s="56"/>
      <c r="AW429" s="56"/>
      <c r="AX429" s="56"/>
      <c r="AY429" s="56"/>
      <c r="AZ429" s="56"/>
      <c r="BA429" s="56"/>
      <c r="BB429" s="56"/>
      <c r="BC429" s="56"/>
    </row>
    <row r="430" spans="1:55" x14ac:dyDescent="0.2">
      <c r="A430" s="56"/>
      <c r="B430" s="57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/>
      <c r="BB430" s="56"/>
      <c r="BC430" s="56"/>
    </row>
    <row r="431" spans="1:55" x14ac:dyDescent="0.2">
      <c r="A431" s="56"/>
      <c r="B431" s="57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6"/>
      <c r="AQ431" s="56"/>
      <c r="AR431" s="56"/>
      <c r="AS431" s="56"/>
      <c r="AT431" s="56"/>
      <c r="AU431" s="56"/>
      <c r="AV431" s="56"/>
      <c r="AW431" s="56"/>
      <c r="AX431" s="56"/>
      <c r="AY431" s="56"/>
      <c r="AZ431" s="56"/>
      <c r="BA431" s="56"/>
      <c r="BB431" s="56"/>
      <c r="BC431" s="56"/>
    </row>
    <row r="432" spans="1:55" x14ac:dyDescent="0.2">
      <c r="A432" s="56"/>
      <c r="B432" s="57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6"/>
      <c r="AQ432" s="56"/>
      <c r="AR432" s="56"/>
      <c r="AS432" s="56"/>
      <c r="AT432" s="56"/>
      <c r="AU432" s="56"/>
      <c r="AV432" s="56"/>
      <c r="AW432" s="56"/>
      <c r="AX432" s="56"/>
      <c r="AY432" s="56"/>
      <c r="AZ432" s="56"/>
      <c r="BA432" s="56"/>
      <c r="BB432" s="56"/>
      <c r="BC432" s="56"/>
    </row>
    <row r="433" spans="1:55" x14ac:dyDescent="0.2">
      <c r="A433" s="56"/>
      <c r="B433" s="57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6"/>
      <c r="AQ433" s="56"/>
      <c r="AR433" s="56"/>
      <c r="AS433" s="56"/>
      <c r="AT433" s="56"/>
      <c r="AU433" s="56"/>
      <c r="AV433" s="56"/>
      <c r="AW433" s="56"/>
      <c r="AX433" s="56"/>
      <c r="AY433" s="56"/>
      <c r="AZ433" s="56"/>
      <c r="BA433" s="56"/>
      <c r="BB433" s="56"/>
      <c r="BC433" s="56"/>
    </row>
    <row r="434" spans="1:55" x14ac:dyDescent="0.2">
      <c r="A434" s="56"/>
      <c r="B434" s="57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6"/>
      <c r="AQ434" s="56"/>
      <c r="AR434" s="56"/>
      <c r="AS434" s="56"/>
      <c r="AT434" s="56"/>
      <c r="AU434" s="56"/>
      <c r="AV434" s="56"/>
      <c r="AW434" s="56"/>
      <c r="AX434" s="56"/>
      <c r="AY434" s="56"/>
      <c r="AZ434" s="56"/>
      <c r="BA434" s="56"/>
      <c r="BB434" s="56"/>
      <c r="BC434" s="56"/>
    </row>
    <row r="435" spans="1:55" x14ac:dyDescent="0.2">
      <c r="A435" s="56"/>
      <c r="B435" s="57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6"/>
      <c r="AQ435" s="56"/>
      <c r="AR435" s="56"/>
      <c r="AS435" s="56"/>
      <c r="AT435" s="56"/>
      <c r="AU435" s="56"/>
      <c r="AV435" s="56"/>
      <c r="AW435" s="56"/>
      <c r="AX435" s="56"/>
      <c r="AY435" s="56"/>
      <c r="AZ435" s="56"/>
      <c r="BA435" s="56"/>
      <c r="BB435" s="56"/>
      <c r="BC435" s="56"/>
    </row>
    <row r="436" spans="1:55" x14ac:dyDescent="0.2">
      <c r="A436" s="56"/>
      <c r="B436" s="57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6"/>
      <c r="AQ436" s="56"/>
      <c r="AR436" s="56"/>
      <c r="AS436" s="56"/>
      <c r="AT436" s="56"/>
      <c r="AU436" s="56"/>
      <c r="AV436" s="56"/>
      <c r="AW436" s="56"/>
      <c r="AX436" s="56"/>
      <c r="AY436" s="56"/>
      <c r="AZ436" s="56"/>
      <c r="BA436" s="56"/>
      <c r="BB436" s="56"/>
      <c r="BC436" s="56"/>
    </row>
    <row r="437" spans="1:55" x14ac:dyDescent="0.2">
      <c r="A437" s="56"/>
      <c r="B437" s="57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6"/>
      <c r="AQ437" s="56"/>
      <c r="AR437" s="56"/>
      <c r="AS437" s="56"/>
      <c r="AT437" s="56"/>
      <c r="AU437" s="56"/>
      <c r="AV437" s="56"/>
      <c r="AW437" s="56"/>
      <c r="AX437" s="56"/>
      <c r="AY437" s="56"/>
      <c r="AZ437" s="56"/>
      <c r="BA437" s="56"/>
      <c r="BB437" s="56"/>
      <c r="BC437" s="56"/>
    </row>
    <row r="438" spans="1:55" x14ac:dyDescent="0.2">
      <c r="A438" s="56"/>
      <c r="B438" s="57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6"/>
      <c r="AQ438" s="56"/>
      <c r="AR438" s="56"/>
      <c r="AS438" s="56"/>
      <c r="AT438" s="56"/>
      <c r="AU438" s="56"/>
      <c r="AV438" s="56"/>
      <c r="AW438" s="56"/>
      <c r="AX438" s="56"/>
      <c r="AY438" s="56"/>
      <c r="AZ438" s="56"/>
      <c r="BA438" s="56"/>
      <c r="BB438" s="56"/>
      <c r="BC438" s="56"/>
    </row>
    <row r="439" spans="1:55" x14ac:dyDescent="0.2">
      <c r="A439" s="56"/>
      <c r="B439" s="57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6"/>
      <c r="AQ439" s="56"/>
      <c r="AR439" s="56"/>
      <c r="AS439" s="56"/>
      <c r="AT439" s="56"/>
      <c r="AU439" s="56"/>
      <c r="AV439" s="56"/>
      <c r="AW439" s="56"/>
      <c r="AX439" s="56"/>
      <c r="AY439" s="56"/>
      <c r="AZ439" s="56"/>
      <c r="BA439" s="56"/>
      <c r="BB439" s="56"/>
      <c r="BC439" s="56"/>
    </row>
    <row r="440" spans="1:55" x14ac:dyDescent="0.2">
      <c r="A440" s="56"/>
      <c r="B440" s="57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56"/>
      <c r="AQ440" s="56"/>
      <c r="AR440" s="56"/>
      <c r="AS440" s="56"/>
      <c r="AT440" s="56"/>
      <c r="AU440" s="56"/>
      <c r="AV440" s="56"/>
      <c r="AW440" s="56"/>
      <c r="AX440" s="56"/>
      <c r="AY440" s="56"/>
      <c r="AZ440" s="56"/>
      <c r="BA440" s="56"/>
      <c r="BB440" s="56"/>
      <c r="BC440" s="56"/>
    </row>
    <row r="441" spans="1:55" x14ac:dyDescent="0.2">
      <c r="A441" s="56"/>
      <c r="B441" s="57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6"/>
      <c r="AQ441" s="56"/>
      <c r="AR441" s="56"/>
      <c r="AS441" s="56"/>
      <c r="AT441" s="56"/>
      <c r="AU441" s="56"/>
      <c r="AV441" s="56"/>
      <c r="AW441" s="56"/>
      <c r="AX441" s="56"/>
      <c r="AY441" s="56"/>
      <c r="AZ441" s="56"/>
      <c r="BA441" s="56"/>
      <c r="BB441" s="56"/>
      <c r="BC441" s="56"/>
    </row>
    <row r="442" spans="1:55" x14ac:dyDescent="0.2">
      <c r="A442" s="56"/>
      <c r="B442" s="57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6"/>
      <c r="AQ442" s="56"/>
      <c r="AR442" s="56"/>
      <c r="AS442" s="56"/>
      <c r="AT442" s="56"/>
      <c r="AU442" s="56"/>
      <c r="AV442" s="56"/>
      <c r="AW442" s="56"/>
      <c r="AX442" s="56"/>
      <c r="AY442" s="56"/>
      <c r="AZ442" s="56"/>
      <c r="BA442" s="56"/>
      <c r="BB442" s="56"/>
      <c r="BC442" s="56"/>
    </row>
    <row r="443" spans="1:55" x14ac:dyDescent="0.2">
      <c r="A443" s="56"/>
      <c r="B443" s="57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56"/>
      <c r="AR443" s="56"/>
      <c r="AS443" s="56"/>
      <c r="AT443" s="56"/>
      <c r="AU443" s="56"/>
      <c r="AV443" s="56"/>
      <c r="AW443" s="56"/>
      <c r="AX443" s="56"/>
      <c r="AY443" s="56"/>
      <c r="AZ443" s="56"/>
      <c r="BA443" s="56"/>
      <c r="BB443" s="56"/>
      <c r="BC443" s="56"/>
    </row>
    <row r="444" spans="1:55" x14ac:dyDescent="0.2">
      <c r="A444" s="56"/>
      <c r="B444" s="57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6"/>
      <c r="AQ444" s="56"/>
      <c r="AR444" s="56"/>
      <c r="AS444" s="56"/>
      <c r="AT444" s="56"/>
      <c r="AU444" s="56"/>
      <c r="AV444" s="56"/>
      <c r="AW444" s="56"/>
      <c r="AX444" s="56"/>
      <c r="AY444" s="56"/>
      <c r="AZ444" s="56"/>
      <c r="BA444" s="56"/>
      <c r="BB444" s="56"/>
      <c r="BC444" s="56"/>
    </row>
    <row r="445" spans="1:55" x14ac:dyDescent="0.2">
      <c r="A445" s="56"/>
      <c r="B445" s="57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6"/>
      <c r="AQ445" s="56"/>
      <c r="AR445" s="56"/>
      <c r="AS445" s="56"/>
      <c r="AT445" s="56"/>
      <c r="AU445" s="56"/>
      <c r="AV445" s="56"/>
      <c r="AW445" s="56"/>
      <c r="AX445" s="56"/>
      <c r="AY445" s="56"/>
      <c r="AZ445" s="56"/>
      <c r="BA445" s="56"/>
      <c r="BB445" s="56"/>
      <c r="BC445" s="56"/>
    </row>
    <row r="446" spans="1:55" x14ac:dyDescent="0.2">
      <c r="A446" s="56"/>
      <c r="B446" s="57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  <c r="AP446" s="56"/>
      <c r="AQ446" s="56"/>
      <c r="AR446" s="56"/>
      <c r="AS446" s="56"/>
      <c r="AT446" s="56"/>
      <c r="AU446" s="56"/>
      <c r="AV446" s="56"/>
      <c r="AW446" s="56"/>
      <c r="AX446" s="56"/>
      <c r="AY446" s="56"/>
      <c r="AZ446" s="56"/>
      <c r="BA446" s="56"/>
      <c r="BB446" s="56"/>
      <c r="BC446" s="56"/>
    </row>
    <row r="447" spans="1:55" x14ac:dyDescent="0.2">
      <c r="A447" s="56"/>
      <c r="B447" s="57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56"/>
      <c r="AS447" s="56"/>
      <c r="AT447" s="56"/>
      <c r="AU447" s="56"/>
      <c r="AV447" s="56"/>
      <c r="AW447" s="56"/>
      <c r="AX447" s="56"/>
      <c r="AY447" s="56"/>
      <c r="AZ447" s="56"/>
      <c r="BA447" s="56"/>
      <c r="BB447" s="56"/>
      <c r="BC447" s="56"/>
    </row>
    <row r="448" spans="1:55" x14ac:dyDescent="0.2">
      <c r="A448" s="56"/>
      <c r="B448" s="57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6"/>
      <c r="AQ448" s="56"/>
      <c r="AR448" s="56"/>
      <c r="AS448" s="56"/>
      <c r="AT448" s="56"/>
      <c r="AU448" s="56"/>
      <c r="AV448" s="56"/>
      <c r="AW448" s="56"/>
      <c r="AX448" s="56"/>
      <c r="AY448" s="56"/>
      <c r="AZ448" s="56"/>
      <c r="BA448" s="56"/>
      <c r="BB448" s="56"/>
      <c r="BC448" s="56"/>
    </row>
    <row r="449" spans="1:55" x14ac:dyDescent="0.2">
      <c r="A449" s="56"/>
      <c r="B449" s="57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6"/>
      <c r="AQ449" s="56"/>
      <c r="AR449" s="56"/>
      <c r="AS449" s="56"/>
      <c r="AT449" s="56"/>
      <c r="AU449" s="56"/>
      <c r="AV449" s="56"/>
      <c r="AW449" s="56"/>
      <c r="AX449" s="56"/>
      <c r="AY449" s="56"/>
      <c r="AZ449" s="56"/>
      <c r="BA449" s="56"/>
      <c r="BB449" s="56"/>
      <c r="BC449" s="56"/>
    </row>
    <row r="450" spans="1:55" x14ac:dyDescent="0.2">
      <c r="A450" s="56"/>
      <c r="B450" s="57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  <c r="AP450" s="56"/>
      <c r="AQ450" s="56"/>
      <c r="AR450" s="56"/>
      <c r="AS450" s="56"/>
      <c r="AT450" s="56"/>
      <c r="AU450" s="56"/>
      <c r="AV450" s="56"/>
      <c r="AW450" s="56"/>
      <c r="AX450" s="56"/>
      <c r="AY450" s="56"/>
      <c r="AZ450" s="56"/>
      <c r="BA450" s="56"/>
      <c r="BB450" s="56"/>
      <c r="BC450" s="56"/>
    </row>
    <row r="451" spans="1:55" x14ac:dyDescent="0.2">
      <c r="A451" s="56"/>
      <c r="B451" s="57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6"/>
      <c r="AQ451" s="56"/>
      <c r="AR451" s="56"/>
      <c r="AS451" s="56"/>
      <c r="AT451" s="56"/>
      <c r="AU451" s="56"/>
      <c r="AV451" s="56"/>
      <c r="AW451" s="56"/>
      <c r="AX451" s="56"/>
      <c r="AY451" s="56"/>
      <c r="AZ451" s="56"/>
      <c r="BA451" s="56"/>
      <c r="BB451" s="56"/>
      <c r="BC451" s="56"/>
    </row>
    <row r="452" spans="1:55" x14ac:dyDescent="0.2">
      <c r="A452" s="56"/>
      <c r="B452" s="57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6"/>
      <c r="AQ452" s="56"/>
      <c r="AR452" s="56"/>
      <c r="AS452" s="56"/>
      <c r="AT452" s="56"/>
      <c r="AU452" s="56"/>
      <c r="AV452" s="56"/>
      <c r="AW452" s="56"/>
      <c r="AX452" s="56"/>
      <c r="AY452" s="56"/>
      <c r="AZ452" s="56"/>
      <c r="BA452" s="56"/>
      <c r="BB452" s="56"/>
      <c r="BC452" s="56"/>
    </row>
    <row r="453" spans="1:55" x14ac:dyDescent="0.2">
      <c r="A453" s="56"/>
      <c r="B453" s="57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6"/>
      <c r="AQ453" s="56"/>
      <c r="AR453" s="56"/>
      <c r="AS453" s="56"/>
      <c r="AT453" s="56"/>
      <c r="AU453" s="56"/>
      <c r="AV453" s="56"/>
      <c r="AW453" s="56"/>
      <c r="AX453" s="56"/>
      <c r="AY453" s="56"/>
      <c r="AZ453" s="56"/>
      <c r="BA453" s="56"/>
      <c r="BB453" s="56"/>
      <c r="BC453" s="56"/>
    </row>
    <row r="454" spans="1:55" x14ac:dyDescent="0.2">
      <c r="A454" s="56"/>
      <c r="B454" s="57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6"/>
      <c r="AQ454" s="56"/>
      <c r="AR454" s="56"/>
      <c r="AS454" s="56"/>
      <c r="AT454" s="56"/>
      <c r="AU454" s="56"/>
      <c r="AV454" s="56"/>
      <c r="AW454" s="56"/>
      <c r="AX454" s="56"/>
      <c r="AY454" s="56"/>
      <c r="AZ454" s="56"/>
      <c r="BA454" s="56"/>
      <c r="BB454" s="56"/>
      <c r="BC454" s="56"/>
    </row>
    <row r="455" spans="1:55" x14ac:dyDescent="0.2">
      <c r="A455" s="56"/>
      <c r="B455" s="57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6"/>
      <c r="AQ455" s="56"/>
      <c r="AR455" s="56"/>
      <c r="AS455" s="56"/>
      <c r="AT455" s="56"/>
      <c r="AU455" s="56"/>
      <c r="AV455" s="56"/>
      <c r="AW455" s="56"/>
      <c r="AX455" s="56"/>
      <c r="AY455" s="56"/>
      <c r="AZ455" s="56"/>
      <c r="BA455" s="56"/>
      <c r="BB455" s="56"/>
      <c r="BC455" s="56"/>
    </row>
    <row r="456" spans="1:55" x14ac:dyDescent="0.2">
      <c r="A456" s="56"/>
      <c r="B456" s="57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6"/>
      <c r="AQ456" s="56"/>
      <c r="AR456" s="56"/>
      <c r="AS456" s="56"/>
      <c r="AT456" s="56"/>
      <c r="AU456" s="56"/>
      <c r="AV456" s="56"/>
      <c r="AW456" s="56"/>
      <c r="AX456" s="56"/>
      <c r="AY456" s="56"/>
      <c r="AZ456" s="56"/>
      <c r="BA456" s="56"/>
      <c r="BB456" s="56"/>
      <c r="BC456" s="56"/>
    </row>
    <row r="457" spans="1:55" x14ac:dyDescent="0.2">
      <c r="A457" s="56"/>
      <c r="B457" s="57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6"/>
      <c r="AR457" s="56"/>
      <c r="AS457" s="56"/>
      <c r="AT457" s="56"/>
      <c r="AU457" s="56"/>
      <c r="AV457" s="56"/>
      <c r="AW457" s="56"/>
      <c r="AX457" s="56"/>
      <c r="AY457" s="56"/>
      <c r="AZ457" s="56"/>
      <c r="BA457" s="56"/>
      <c r="BB457" s="56"/>
      <c r="BC457" s="56"/>
    </row>
    <row r="458" spans="1:55" x14ac:dyDescent="0.2">
      <c r="A458" s="56"/>
      <c r="B458" s="57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6"/>
      <c r="AQ458" s="56"/>
      <c r="AR458" s="56"/>
      <c r="AS458" s="56"/>
      <c r="AT458" s="56"/>
      <c r="AU458" s="56"/>
      <c r="AV458" s="56"/>
      <c r="AW458" s="56"/>
      <c r="AX458" s="56"/>
      <c r="AY458" s="56"/>
      <c r="AZ458" s="56"/>
      <c r="BA458" s="56"/>
      <c r="BB458" s="56"/>
      <c r="BC458" s="56"/>
    </row>
    <row r="459" spans="1:55" x14ac:dyDescent="0.2">
      <c r="A459" s="56"/>
      <c r="B459" s="57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6"/>
      <c r="AQ459" s="56"/>
      <c r="AR459" s="56"/>
      <c r="AS459" s="56"/>
      <c r="AT459" s="56"/>
      <c r="AU459" s="56"/>
      <c r="AV459" s="56"/>
      <c r="AW459" s="56"/>
      <c r="AX459" s="56"/>
      <c r="AY459" s="56"/>
      <c r="AZ459" s="56"/>
      <c r="BA459" s="56"/>
      <c r="BB459" s="56"/>
      <c r="BC459" s="56"/>
    </row>
    <row r="460" spans="1:55" x14ac:dyDescent="0.2">
      <c r="A460" s="56"/>
      <c r="B460" s="57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6"/>
      <c r="AQ460" s="56"/>
      <c r="AR460" s="56"/>
      <c r="AS460" s="56"/>
      <c r="AT460" s="56"/>
      <c r="AU460" s="56"/>
      <c r="AV460" s="56"/>
      <c r="AW460" s="56"/>
      <c r="AX460" s="56"/>
      <c r="AY460" s="56"/>
      <c r="AZ460" s="56"/>
      <c r="BA460" s="56"/>
      <c r="BB460" s="56"/>
      <c r="BC460" s="56"/>
    </row>
    <row r="461" spans="1:55" x14ac:dyDescent="0.2">
      <c r="A461" s="56"/>
      <c r="B461" s="57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56"/>
      <c r="AR461" s="56"/>
      <c r="AS461" s="56"/>
      <c r="AT461" s="56"/>
      <c r="AU461" s="56"/>
      <c r="AV461" s="56"/>
      <c r="AW461" s="56"/>
      <c r="AX461" s="56"/>
      <c r="AY461" s="56"/>
      <c r="AZ461" s="56"/>
      <c r="BA461" s="56"/>
      <c r="BB461" s="56"/>
      <c r="BC461" s="56"/>
    </row>
    <row r="462" spans="1:55" x14ac:dyDescent="0.2">
      <c r="A462" s="56"/>
      <c r="B462" s="57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6"/>
      <c r="AQ462" s="56"/>
      <c r="AR462" s="56"/>
      <c r="AS462" s="56"/>
      <c r="AT462" s="56"/>
      <c r="AU462" s="56"/>
      <c r="AV462" s="56"/>
      <c r="AW462" s="56"/>
      <c r="AX462" s="56"/>
      <c r="AY462" s="56"/>
      <c r="AZ462" s="56"/>
      <c r="BA462" s="56"/>
      <c r="BB462" s="56"/>
      <c r="BC462" s="56"/>
    </row>
    <row r="463" spans="1:55" x14ac:dyDescent="0.2">
      <c r="A463" s="56"/>
      <c r="B463" s="57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6"/>
      <c r="AR463" s="56"/>
      <c r="AS463" s="56"/>
      <c r="AT463" s="56"/>
      <c r="AU463" s="56"/>
      <c r="AV463" s="56"/>
      <c r="AW463" s="56"/>
      <c r="AX463" s="56"/>
      <c r="AY463" s="56"/>
      <c r="AZ463" s="56"/>
      <c r="BA463" s="56"/>
      <c r="BB463" s="56"/>
      <c r="BC463" s="56"/>
    </row>
    <row r="464" spans="1:55" x14ac:dyDescent="0.2">
      <c r="A464" s="56"/>
      <c r="B464" s="57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6"/>
      <c r="AR464" s="56"/>
      <c r="AS464" s="56"/>
      <c r="AT464" s="56"/>
      <c r="AU464" s="56"/>
      <c r="AV464" s="56"/>
      <c r="AW464" s="56"/>
      <c r="AX464" s="56"/>
      <c r="AY464" s="56"/>
      <c r="AZ464" s="56"/>
      <c r="BA464" s="56"/>
      <c r="BB464" s="56"/>
      <c r="BC464" s="56"/>
    </row>
    <row r="465" spans="1:55" x14ac:dyDescent="0.2">
      <c r="A465" s="56"/>
      <c r="B465" s="57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6"/>
      <c r="AR465" s="56"/>
      <c r="AS465" s="56"/>
      <c r="AT465" s="56"/>
      <c r="AU465" s="56"/>
      <c r="AV465" s="56"/>
      <c r="AW465" s="56"/>
      <c r="AX465" s="56"/>
      <c r="AY465" s="56"/>
      <c r="AZ465" s="56"/>
      <c r="BA465" s="56"/>
      <c r="BB465" s="56"/>
      <c r="BC465" s="56"/>
    </row>
    <row r="466" spans="1:55" x14ac:dyDescent="0.2">
      <c r="A466" s="56"/>
      <c r="B466" s="57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6"/>
      <c r="AQ466" s="56"/>
      <c r="AR466" s="56"/>
      <c r="AS466" s="56"/>
      <c r="AT466" s="56"/>
      <c r="AU466" s="56"/>
      <c r="AV466" s="56"/>
      <c r="AW466" s="56"/>
      <c r="AX466" s="56"/>
      <c r="AY466" s="56"/>
      <c r="AZ466" s="56"/>
      <c r="BA466" s="56"/>
      <c r="BB466" s="56"/>
      <c r="BC466" s="56"/>
    </row>
    <row r="467" spans="1:55" x14ac:dyDescent="0.2">
      <c r="A467" s="56"/>
      <c r="B467" s="57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56"/>
      <c r="AS467" s="56"/>
      <c r="AT467" s="56"/>
      <c r="AU467" s="56"/>
      <c r="AV467" s="56"/>
      <c r="AW467" s="56"/>
      <c r="AX467" s="56"/>
      <c r="AY467" s="56"/>
      <c r="AZ467" s="56"/>
      <c r="BA467" s="56"/>
      <c r="BB467" s="56"/>
      <c r="BC467" s="56"/>
    </row>
    <row r="468" spans="1:55" x14ac:dyDescent="0.2">
      <c r="A468" s="56"/>
      <c r="B468" s="57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  <c r="AP468" s="56"/>
      <c r="AQ468" s="56"/>
      <c r="AR468" s="56"/>
      <c r="AS468" s="56"/>
      <c r="AT468" s="56"/>
      <c r="AU468" s="56"/>
      <c r="AV468" s="56"/>
      <c r="AW468" s="56"/>
      <c r="AX468" s="56"/>
      <c r="AY468" s="56"/>
      <c r="AZ468" s="56"/>
      <c r="BA468" s="56"/>
      <c r="BB468" s="56"/>
      <c r="BC468" s="56"/>
    </row>
    <row r="469" spans="1:55" x14ac:dyDescent="0.2">
      <c r="A469" s="56"/>
      <c r="B469" s="57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56"/>
      <c r="AS469" s="56"/>
      <c r="AT469" s="56"/>
      <c r="AU469" s="56"/>
      <c r="AV469" s="56"/>
      <c r="AW469" s="56"/>
      <c r="AX469" s="56"/>
      <c r="AY469" s="56"/>
      <c r="AZ469" s="56"/>
      <c r="BA469" s="56"/>
      <c r="BB469" s="56"/>
      <c r="BC469" s="56"/>
    </row>
    <row r="470" spans="1:55" x14ac:dyDescent="0.2">
      <c r="A470" s="56"/>
      <c r="B470" s="57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  <c r="AZ470" s="56"/>
      <c r="BA470" s="56"/>
      <c r="BB470" s="56"/>
      <c r="BC470" s="56"/>
    </row>
    <row r="471" spans="1:55" x14ac:dyDescent="0.2">
      <c r="A471" s="56"/>
      <c r="B471" s="57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6"/>
      <c r="AR471" s="56"/>
      <c r="AS471" s="56"/>
      <c r="AT471" s="56"/>
      <c r="AU471" s="56"/>
      <c r="AV471" s="56"/>
      <c r="AW471" s="56"/>
      <c r="AX471" s="56"/>
      <c r="AY471" s="56"/>
      <c r="AZ471" s="56"/>
      <c r="BA471" s="56"/>
      <c r="BB471" s="56"/>
      <c r="BC471" s="56"/>
    </row>
    <row r="472" spans="1:55" x14ac:dyDescent="0.2">
      <c r="A472" s="56"/>
      <c r="B472" s="57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6"/>
      <c r="AQ472" s="56"/>
      <c r="AR472" s="56"/>
      <c r="AS472" s="56"/>
      <c r="AT472" s="56"/>
      <c r="AU472" s="56"/>
      <c r="AV472" s="56"/>
      <c r="AW472" s="56"/>
      <c r="AX472" s="56"/>
      <c r="AY472" s="56"/>
      <c r="AZ472" s="56"/>
      <c r="BA472" s="56"/>
      <c r="BB472" s="56"/>
      <c r="BC472" s="56"/>
    </row>
    <row r="473" spans="1:55" x14ac:dyDescent="0.2">
      <c r="A473" s="56"/>
      <c r="B473" s="57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56"/>
      <c r="AS473" s="56"/>
      <c r="AT473" s="56"/>
      <c r="AU473" s="56"/>
      <c r="AV473" s="56"/>
      <c r="AW473" s="56"/>
      <c r="AX473" s="56"/>
      <c r="AY473" s="56"/>
      <c r="AZ473" s="56"/>
      <c r="BA473" s="56"/>
      <c r="BB473" s="56"/>
      <c r="BC473" s="56"/>
    </row>
    <row r="474" spans="1:55" x14ac:dyDescent="0.2">
      <c r="A474" s="56"/>
      <c r="B474" s="57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6"/>
      <c r="AQ474" s="56"/>
      <c r="AR474" s="56"/>
      <c r="AS474" s="56"/>
      <c r="AT474" s="56"/>
      <c r="AU474" s="56"/>
      <c r="AV474" s="56"/>
      <c r="AW474" s="56"/>
      <c r="AX474" s="56"/>
      <c r="AY474" s="56"/>
      <c r="AZ474" s="56"/>
      <c r="BA474" s="56"/>
      <c r="BB474" s="56"/>
      <c r="BC474" s="56"/>
    </row>
    <row r="475" spans="1:55" x14ac:dyDescent="0.2">
      <c r="A475" s="56"/>
      <c r="B475" s="57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56"/>
      <c r="AS475" s="56"/>
      <c r="AT475" s="56"/>
      <c r="AU475" s="56"/>
      <c r="AV475" s="56"/>
      <c r="AW475" s="56"/>
      <c r="AX475" s="56"/>
      <c r="AY475" s="56"/>
      <c r="AZ475" s="56"/>
      <c r="BA475" s="56"/>
      <c r="BB475" s="56"/>
      <c r="BC475" s="56"/>
    </row>
    <row r="476" spans="1:55" x14ac:dyDescent="0.2">
      <c r="A476" s="56"/>
      <c r="B476" s="57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6"/>
      <c r="AQ476" s="56"/>
      <c r="AR476" s="56"/>
      <c r="AS476" s="56"/>
      <c r="AT476" s="56"/>
      <c r="AU476" s="56"/>
      <c r="AV476" s="56"/>
      <c r="AW476" s="56"/>
      <c r="AX476" s="56"/>
      <c r="AY476" s="56"/>
      <c r="AZ476" s="56"/>
      <c r="BA476" s="56"/>
      <c r="BB476" s="56"/>
      <c r="BC476" s="56"/>
    </row>
    <row r="477" spans="1:55" x14ac:dyDescent="0.2">
      <c r="A477" s="56"/>
      <c r="B477" s="57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  <c r="AP477" s="56"/>
      <c r="AQ477" s="56"/>
      <c r="AR477" s="56"/>
      <c r="AS477" s="56"/>
      <c r="AT477" s="56"/>
      <c r="AU477" s="56"/>
      <c r="AV477" s="56"/>
      <c r="AW477" s="56"/>
      <c r="AX477" s="56"/>
      <c r="AY477" s="56"/>
      <c r="AZ477" s="56"/>
      <c r="BA477" s="56"/>
      <c r="BB477" s="56"/>
      <c r="BC477" s="56"/>
    </row>
    <row r="478" spans="1:55" x14ac:dyDescent="0.2">
      <c r="A478" s="56"/>
      <c r="B478" s="57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6"/>
      <c r="AQ478" s="56"/>
      <c r="AR478" s="56"/>
      <c r="AS478" s="56"/>
      <c r="AT478" s="56"/>
      <c r="AU478" s="56"/>
      <c r="AV478" s="56"/>
      <c r="AW478" s="56"/>
      <c r="AX478" s="56"/>
      <c r="AY478" s="56"/>
      <c r="AZ478" s="56"/>
      <c r="BA478" s="56"/>
      <c r="BB478" s="56"/>
      <c r="BC478" s="56"/>
    </row>
    <row r="479" spans="1:55" x14ac:dyDescent="0.2">
      <c r="A479" s="56"/>
      <c r="B479" s="57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56"/>
      <c r="AQ479" s="56"/>
      <c r="AR479" s="56"/>
      <c r="AS479" s="56"/>
      <c r="AT479" s="56"/>
      <c r="AU479" s="56"/>
      <c r="AV479" s="56"/>
      <c r="AW479" s="56"/>
      <c r="AX479" s="56"/>
      <c r="AY479" s="56"/>
      <c r="AZ479" s="56"/>
      <c r="BA479" s="56"/>
      <c r="BB479" s="56"/>
      <c r="BC479" s="56"/>
    </row>
    <row r="480" spans="1:55" x14ac:dyDescent="0.2">
      <c r="A480" s="56"/>
      <c r="B480" s="57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56"/>
      <c r="AQ480" s="56"/>
      <c r="AR480" s="56"/>
      <c r="AS480" s="56"/>
      <c r="AT480" s="56"/>
      <c r="AU480" s="56"/>
      <c r="AV480" s="56"/>
      <c r="AW480" s="56"/>
      <c r="AX480" s="56"/>
      <c r="AY480" s="56"/>
      <c r="AZ480" s="56"/>
      <c r="BA480" s="56"/>
      <c r="BB480" s="56"/>
      <c r="BC480" s="56"/>
    </row>
    <row r="481" spans="1:55" x14ac:dyDescent="0.2">
      <c r="A481" s="56"/>
      <c r="B481" s="57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6"/>
      <c r="AQ481" s="56"/>
      <c r="AR481" s="56"/>
      <c r="AS481" s="56"/>
      <c r="AT481" s="56"/>
      <c r="AU481" s="56"/>
      <c r="AV481" s="56"/>
      <c r="AW481" s="56"/>
      <c r="AX481" s="56"/>
      <c r="AY481" s="56"/>
      <c r="AZ481" s="56"/>
      <c r="BA481" s="56"/>
      <c r="BB481" s="56"/>
      <c r="BC481" s="56"/>
    </row>
    <row r="482" spans="1:55" x14ac:dyDescent="0.2">
      <c r="A482" s="56"/>
      <c r="B482" s="57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6"/>
      <c r="AQ482" s="56"/>
      <c r="AR482" s="56"/>
      <c r="AS482" s="56"/>
      <c r="AT482" s="56"/>
      <c r="AU482" s="56"/>
      <c r="AV482" s="56"/>
      <c r="AW482" s="56"/>
      <c r="AX482" s="56"/>
      <c r="AY482" s="56"/>
      <c r="AZ482" s="56"/>
      <c r="BA482" s="56"/>
      <c r="BB482" s="56"/>
      <c r="BC482" s="56"/>
    </row>
    <row r="483" spans="1:55" x14ac:dyDescent="0.2">
      <c r="A483" s="56"/>
      <c r="B483" s="57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56"/>
      <c r="AR483" s="56"/>
      <c r="AS483" s="56"/>
      <c r="AT483" s="56"/>
      <c r="AU483" s="56"/>
      <c r="AV483" s="56"/>
      <c r="AW483" s="56"/>
      <c r="AX483" s="56"/>
      <c r="AY483" s="56"/>
      <c r="AZ483" s="56"/>
      <c r="BA483" s="56"/>
      <c r="BB483" s="56"/>
      <c r="BC483" s="56"/>
    </row>
    <row r="484" spans="1:55" x14ac:dyDescent="0.2">
      <c r="A484" s="56"/>
      <c r="B484" s="57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6"/>
      <c r="AQ484" s="56"/>
      <c r="AR484" s="56"/>
      <c r="AS484" s="56"/>
      <c r="AT484" s="56"/>
      <c r="AU484" s="56"/>
      <c r="AV484" s="56"/>
      <c r="AW484" s="56"/>
      <c r="AX484" s="56"/>
      <c r="AY484" s="56"/>
      <c r="AZ484" s="56"/>
      <c r="BA484" s="56"/>
      <c r="BB484" s="56"/>
      <c r="BC484" s="56"/>
    </row>
    <row r="485" spans="1:55" x14ac:dyDescent="0.2">
      <c r="A485" s="56"/>
      <c r="B485" s="57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6"/>
      <c r="AQ485" s="56"/>
      <c r="AR485" s="56"/>
      <c r="AS485" s="56"/>
      <c r="AT485" s="56"/>
      <c r="AU485" s="56"/>
      <c r="AV485" s="56"/>
      <c r="AW485" s="56"/>
      <c r="AX485" s="56"/>
      <c r="AY485" s="56"/>
      <c r="AZ485" s="56"/>
      <c r="BA485" s="56"/>
      <c r="BB485" s="56"/>
      <c r="BC485" s="56"/>
    </row>
    <row r="486" spans="1:55" x14ac:dyDescent="0.2">
      <c r="A486" s="56"/>
      <c r="B486" s="57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6"/>
      <c r="AQ486" s="56"/>
      <c r="AR486" s="56"/>
      <c r="AS486" s="56"/>
      <c r="AT486" s="56"/>
      <c r="AU486" s="56"/>
      <c r="AV486" s="56"/>
      <c r="AW486" s="56"/>
      <c r="AX486" s="56"/>
      <c r="AY486" s="56"/>
      <c r="AZ486" s="56"/>
      <c r="BA486" s="56"/>
      <c r="BB486" s="56"/>
      <c r="BC486" s="56"/>
    </row>
    <row r="487" spans="1:55" x14ac:dyDescent="0.2">
      <c r="A487" s="56"/>
      <c r="B487" s="57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6"/>
      <c r="AQ487" s="56"/>
      <c r="AR487" s="56"/>
      <c r="AS487" s="56"/>
      <c r="AT487" s="56"/>
      <c r="AU487" s="56"/>
      <c r="AV487" s="56"/>
      <c r="AW487" s="56"/>
      <c r="AX487" s="56"/>
      <c r="AY487" s="56"/>
      <c r="AZ487" s="56"/>
      <c r="BA487" s="56"/>
      <c r="BB487" s="56"/>
      <c r="BC487" s="56"/>
    </row>
    <row r="488" spans="1:55" x14ac:dyDescent="0.2">
      <c r="A488" s="56"/>
      <c r="B488" s="57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6"/>
      <c r="AQ488" s="56"/>
      <c r="AR488" s="56"/>
      <c r="AS488" s="56"/>
      <c r="AT488" s="56"/>
      <c r="AU488" s="56"/>
      <c r="AV488" s="56"/>
      <c r="AW488" s="56"/>
      <c r="AX488" s="56"/>
      <c r="AY488" s="56"/>
      <c r="AZ488" s="56"/>
      <c r="BA488" s="56"/>
      <c r="BB488" s="56"/>
      <c r="BC488" s="56"/>
    </row>
    <row r="489" spans="1:55" x14ac:dyDescent="0.2">
      <c r="A489" s="56"/>
      <c r="B489" s="57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56"/>
      <c r="AU489" s="56"/>
      <c r="AV489" s="56"/>
      <c r="AW489" s="56"/>
      <c r="AX489" s="56"/>
      <c r="AY489" s="56"/>
      <c r="AZ489" s="56"/>
      <c r="BA489" s="56"/>
      <c r="BB489" s="56"/>
      <c r="BC489" s="56"/>
    </row>
    <row r="490" spans="1:55" x14ac:dyDescent="0.2">
      <c r="A490" s="56"/>
      <c r="B490" s="57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6"/>
      <c r="AR490" s="56"/>
      <c r="AS490" s="56"/>
      <c r="AT490" s="56"/>
      <c r="AU490" s="56"/>
      <c r="AV490" s="56"/>
      <c r="AW490" s="56"/>
      <c r="AX490" s="56"/>
      <c r="AY490" s="56"/>
      <c r="AZ490" s="56"/>
      <c r="BA490" s="56"/>
      <c r="BB490" s="56"/>
      <c r="BC490" s="56"/>
    </row>
    <row r="491" spans="1:55" x14ac:dyDescent="0.2">
      <c r="A491" s="56"/>
      <c r="B491" s="57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56"/>
      <c r="AU491" s="56"/>
      <c r="AV491" s="56"/>
      <c r="AW491" s="56"/>
      <c r="AX491" s="56"/>
      <c r="AY491" s="56"/>
      <c r="AZ491" s="56"/>
      <c r="BA491" s="56"/>
      <c r="BB491" s="56"/>
      <c r="BC491" s="56"/>
    </row>
    <row r="492" spans="1:55" x14ac:dyDescent="0.2">
      <c r="A492" s="56"/>
      <c r="B492" s="57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56"/>
      <c r="AS492" s="56"/>
      <c r="AT492" s="56"/>
      <c r="AU492" s="56"/>
      <c r="AV492" s="56"/>
      <c r="AW492" s="56"/>
      <c r="AX492" s="56"/>
      <c r="AY492" s="56"/>
      <c r="AZ492" s="56"/>
      <c r="BA492" s="56"/>
      <c r="BB492" s="56"/>
      <c r="BC492" s="56"/>
    </row>
    <row r="493" spans="1:55" x14ac:dyDescent="0.2">
      <c r="A493" s="56"/>
      <c r="B493" s="57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  <c r="AV493" s="56"/>
      <c r="AW493" s="56"/>
      <c r="AX493" s="56"/>
      <c r="AY493" s="56"/>
      <c r="AZ493" s="56"/>
      <c r="BA493" s="56"/>
      <c r="BB493" s="56"/>
      <c r="BC493" s="56"/>
    </row>
    <row r="494" spans="1:55" x14ac:dyDescent="0.2">
      <c r="A494" s="56"/>
      <c r="B494" s="57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  <c r="AU494" s="56"/>
      <c r="AV494" s="56"/>
      <c r="AW494" s="56"/>
      <c r="AX494" s="56"/>
      <c r="AY494" s="56"/>
      <c r="AZ494" s="56"/>
      <c r="BA494" s="56"/>
      <c r="BB494" s="56"/>
      <c r="BC494" s="56"/>
    </row>
    <row r="495" spans="1:55" x14ac:dyDescent="0.2">
      <c r="A495" s="56"/>
      <c r="B495" s="57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56"/>
      <c r="AV495" s="56"/>
      <c r="AW495" s="56"/>
      <c r="AX495" s="56"/>
      <c r="AY495" s="56"/>
      <c r="AZ495" s="56"/>
      <c r="BA495" s="56"/>
      <c r="BB495" s="56"/>
      <c r="BC495" s="56"/>
    </row>
    <row r="496" spans="1:55" x14ac:dyDescent="0.2">
      <c r="A496" s="56"/>
      <c r="B496" s="57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  <c r="AS496" s="56"/>
      <c r="AT496" s="56"/>
      <c r="AU496" s="56"/>
      <c r="AV496" s="56"/>
      <c r="AW496" s="56"/>
      <c r="AX496" s="56"/>
      <c r="AY496" s="56"/>
      <c r="AZ496" s="56"/>
      <c r="BA496" s="56"/>
      <c r="BB496" s="56"/>
      <c r="BC496" s="56"/>
    </row>
    <row r="497" spans="1:55" x14ac:dyDescent="0.2">
      <c r="A497" s="56"/>
      <c r="B497" s="57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  <c r="AU497" s="56"/>
      <c r="AV497" s="56"/>
      <c r="AW497" s="56"/>
      <c r="AX497" s="56"/>
      <c r="AY497" s="56"/>
      <c r="AZ497" s="56"/>
      <c r="BA497" s="56"/>
      <c r="BB497" s="56"/>
      <c r="BC497" s="56"/>
    </row>
    <row r="498" spans="1:55" x14ac:dyDescent="0.2">
      <c r="A498" s="56"/>
      <c r="B498" s="57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6"/>
      <c r="AQ498" s="56"/>
      <c r="AR498" s="56"/>
      <c r="AS498" s="56"/>
      <c r="AT498" s="56"/>
      <c r="AU498" s="56"/>
      <c r="AV498" s="56"/>
      <c r="AW498" s="56"/>
      <c r="AX498" s="56"/>
      <c r="AY498" s="56"/>
      <c r="AZ498" s="56"/>
      <c r="BA498" s="56"/>
      <c r="BB498" s="56"/>
      <c r="BC498" s="56"/>
    </row>
    <row r="499" spans="1:55" x14ac:dyDescent="0.2">
      <c r="A499" s="56"/>
      <c r="B499" s="57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56"/>
      <c r="AS499" s="56"/>
      <c r="AT499" s="56"/>
      <c r="AU499" s="56"/>
      <c r="AV499" s="56"/>
      <c r="AW499" s="56"/>
      <c r="AX499" s="56"/>
      <c r="AY499" s="56"/>
      <c r="AZ499" s="56"/>
      <c r="BA499" s="56"/>
      <c r="BB499" s="56"/>
      <c r="BC499" s="56"/>
    </row>
    <row r="500" spans="1:55" x14ac:dyDescent="0.2">
      <c r="A500" s="56"/>
      <c r="B500" s="57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6"/>
      <c r="AR500" s="56"/>
      <c r="AS500" s="56"/>
      <c r="AT500" s="56"/>
      <c r="AU500" s="56"/>
      <c r="AV500" s="56"/>
      <c r="AW500" s="56"/>
      <c r="AX500" s="56"/>
      <c r="AY500" s="56"/>
      <c r="AZ500" s="56"/>
      <c r="BA500" s="56"/>
      <c r="BB500" s="56"/>
      <c r="BC500" s="56"/>
    </row>
    <row r="501" spans="1:55" x14ac:dyDescent="0.2">
      <c r="A501" s="56"/>
      <c r="B501" s="57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6"/>
      <c r="AQ501" s="56"/>
      <c r="AR501" s="56"/>
      <c r="AS501" s="56"/>
      <c r="AT501" s="56"/>
      <c r="AU501" s="56"/>
      <c r="AV501" s="56"/>
      <c r="AW501" s="56"/>
      <c r="AX501" s="56"/>
      <c r="AY501" s="56"/>
      <c r="AZ501" s="56"/>
      <c r="BA501" s="56"/>
      <c r="BB501" s="56"/>
      <c r="BC501" s="56"/>
    </row>
    <row r="502" spans="1:55" x14ac:dyDescent="0.2">
      <c r="A502" s="56"/>
      <c r="B502" s="57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6"/>
      <c r="AR502" s="56"/>
      <c r="AS502" s="56"/>
      <c r="AT502" s="56"/>
      <c r="AU502" s="56"/>
      <c r="AV502" s="56"/>
      <c r="AW502" s="56"/>
      <c r="AX502" s="56"/>
      <c r="AY502" s="56"/>
      <c r="AZ502" s="56"/>
      <c r="BA502" s="56"/>
      <c r="BB502" s="56"/>
      <c r="BC502" s="56"/>
    </row>
    <row r="503" spans="1:55" x14ac:dyDescent="0.2">
      <c r="A503" s="56"/>
      <c r="B503" s="57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6"/>
      <c r="AQ503" s="56"/>
      <c r="AR503" s="56"/>
      <c r="AS503" s="56"/>
      <c r="AT503" s="56"/>
      <c r="AU503" s="56"/>
      <c r="AV503" s="56"/>
      <c r="AW503" s="56"/>
      <c r="AX503" s="56"/>
      <c r="AY503" s="56"/>
      <c r="AZ503" s="56"/>
      <c r="BA503" s="56"/>
      <c r="BB503" s="56"/>
      <c r="BC503" s="56"/>
    </row>
    <row r="504" spans="1:55" x14ac:dyDescent="0.2">
      <c r="A504" s="56"/>
      <c r="B504" s="57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6"/>
      <c r="AQ504" s="56"/>
      <c r="AR504" s="56"/>
      <c r="AS504" s="56"/>
      <c r="AT504" s="56"/>
      <c r="AU504" s="56"/>
      <c r="AV504" s="56"/>
      <c r="AW504" s="56"/>
      <c r="AX504" s="56"/>
      <c r="AY504" s="56"/>
      <c r="AZ504" s="56"/>
      <c r="BA504" s="56"/>
      <c r="BB504" s="56"/>
      <c r="BC504" s="56"/>
    </row>
    <row r="505" spans="1:55" x14ac:dyDescent="0.2">
      <c r="A505" s="56"/>
      <c r="B505" s="57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6"/>
      <c r="AQ505" s="56"/>
      <c r="AR505" s="56"/>
      <c r="AS505" s="56"/>
      <c r="AT505" s="56"/>
      <c r="AU505" s="56"/>
      <c r="AV505" s="56"/>
      <c r="AW505" s="56"/>
      <c r="AX505" s="56"/>
      <c r="AY505" s="56"/>
      <c r="AZ505" s="56"/>
      <c r="BA505" s="56"/>
      <c r="BB505" s="56"/>
      <c r="BC505" s="56"/>
    </row>
    <row r="506" spans="1:55" x14ac:dyDescent="0.2">
      <c r="A506" s="56"/>
      <c r="B506" s="57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56"/>
      <c r="AQ506" s="56"/>
      <c r="AR506" s="56"/>
      <c r="AS506" s="56"/>
      <c r="AT506" s="56"/>
      <c r="AU506" s="56"/>
      <c r="AV506" s="56"/>
      <c r="AW506" s="56"/>
      <c r="AX506" s="56"/>
      <c r="AY506" s="56"/>
      <c r="AZ506" s="56"/>
      <c r="BA506" s="56"/>
      <c r="BB506" s="56"/>
      <c r="BC506" s="56"/>
    </row>
    <row r="507" spans="1:55" x14ac:dyDescent="0.2">
      <c r="A507" s="56"/>
      <c r="B507" s="57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6"/>
      <c r="AQ507" s="56"/>
      <c r="AR507" s="56"/>
      <c r="AS507" s="56"/>
      <c r="AT507" s="56"/>
      <c r="AU507" s="56"/>
      <c r="AV507" s="56"/>
      <c r="AW507" s="56"/>
      <c r="AX507" s="56"/>
      <c r="AY507" s="56"/>
      <c r="AZ507" s="56"/>
      <c r="BA507" s="56"/>
      <c r="BB507" s="56"/>
      <c r="BC507" s="56"/>
    </row>
    <row r="508" spans="1:55" x14ac:dyDescent="0.2">
      <c r="A508" s="56"/>
      <c r="B508" s="57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6"/>
      <c r="AQ508" s="56"/>
      <c r="AR508" s="56"/>
      <c r="AS508" s="56"/>
      <c r="AT508" s="56"/>
      <c r="AU508" s="56"/>
      <c r="AV508" s="56"/>
      <c r="AW508" s="56"/>
      <c r="AX508" s="56"/>
      <c r="AY508" s="56"/>
      <c r="AZ508" s="56"/>
      <c r="BA508" s="56"/>
      <c r="BB508" s="56"/>
      <c r="BC508" s="56"/>
    </row>
    <row r="509" spans="1:55" x14ac:dyDescent="0.2">
      <c r="A509" s="56"/>
      <c r="B509" s="57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6"/>
      <c r="AQ509" s="56"/>
      <c r="AR509" s="56"/>
      <c r="AS509" s="56"/>
      <c r="AT509" s="56"/>
      <c r="AU509" s="56"/>
      <c r="AV509" s="56"/>
      <c r="AW509" s="56"/>
      <c r="AX509" s="56"/>
      <c r="AY509" s="56"/>
      <c r="AZ509" s="56"/>
      <c r="BA509" s="56"/>
      <c r="BB509" s="56"/>
      <c r="BC509" s="56"/>
    </row>
    <row r="510" spans="1:55" x14ac:dyDescent="0.2">
      <c r="A510" s="56"/>
      <c r="B510" s="57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6"/>
      <c r="BB510" s="56"/>
      <c r="BC510" s="56"/>
    </row>
    <row r="511" spans="1:55" x14ac:dyDescent="0.2">
      <c r="A511" s="56"/>
      <c r="B511" s="57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6"/>
      <c r="AQ511" s="56"/>
      <c r="AR511" s="56"/>
      <c r="AS511" s="56"/>
      <c r="AT511" s="56"/>
      <c r="AU511" s="56"/>
      <c r="AV511" s="56"/>
      <c r="AW511" s="56"/>
      <c r="AX511" s="56"/>
      <c r="AY511" s="56"/>
      <c r="AZ511" s="56"/>
      <c r="BA511" s="56"/>
      <c r="BB511" s="56"/>
      <c r="BC511" s="56"/>
    </row>
    <row r="512" spans="1:55" x14ac:dyDescent="0.2">
      <c r="A512" s="56"/>
      <c r="B512" s="57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6"/>
      <c r="AQ512" s="56"/>
      <c r="AR512" s="56"/>
      <c r="AS512" s="56"/>
      <c r="AT512" s="56"/>
      <c r="AU512" s="56"/>
      <c r="AV512" s="56"/>
      <c r="AW512" s="56"/>
      <c r="AX512" s="56"/>
      <c r="AY512" s="56"/>
      <c r="AZ512" s="56"/>
      <c r="BA512" s="56"/>
      <c r="BB512" s="56"/>
      <c r="BC512" s="56"/>
    </row>
    <row r="513" spans="1:55" x14ac:dyDescent="0.2">
      <c r="A513" s="56"/>
      <c r="B513" s="57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6"/>
      <c r="AQ513" s="56"/>
      <c r="AR513" s="56"/>
      <c r="AS513" s="56"/>
      <c r="AT513" s="56"/>
      <c r="AU513" s="56"/>
      <c r="AV513" s="56"/>
      <c r="AW513" s="56"/>
      <c r="AX513" s="56"/>
      <c r="AY513" s="56"/>
      <c r="AZ513" s="56"/>
      <c r="BA513" s="56"/>
      <c r="BB513" s="56"/>
      <c r="BC513" s="56"/>
    </row>
    <row r="514" spans="1:55" x14ac:dyDescent="0.2">
      <c r="A514" s="56"/>
      <c r="B514" s="57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6"/>
      <c r="AQ514" s="56"/>
      <c r="AR514" s="56"/>
      <c r="AS514" s="56"/>
      <c r="AT514" s="56"/>
      <c r="AU514" s="56"/>
      <c r="AV514" s="56"/>
      <c r="AW514" s="56"/>
      <c r="AX514" s="56"/>
      <c r="AY514" s="56"/>
      <c r="AZ514" s="56"/>
      <c r="BA514" s="56"/>
      <c r="BB514" s="56"/>
      <c r="BC514" s="56"/>
    </row>
    <row r="515" spans="1:55" x14ac:dyDescent="0.2">
      <c r="A515" s="56"/>
      <c r="B515" s="57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56"/>
      <c r="AR515" s="56"/>
      <c r="AS515" s="56"/>
      <c r="AT515" s="56"/>
      <c r="AU515" s="56"/>
      <c r="AV515" s="56"/>
      <c r="AW515" s="56"/>
      <c r="AX515" s="56"/>
      <c r="AY515" s="56"/>
      <c r="AZ515" s="56"/>
      <c r="BA515" s="56"/>
      <c r="BB515" s="56"/>
      <c r="BC515" s="56"/>
    </row>
    <row r="516" spans="1:55" x14ac:dyDescent="0.2">
      <c r="A516" s="56"/>
      <c r="B516" s="57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6"/>
      <c r="AQ516" s="56"/>
      <c r="AR516" s="56"/>
      <c r="AS516" s="56"/>
      <c r="AT516" s="56"/>
      <c r="AU516" s="56"/>
      <c r="AV516" s="56"/>
      <c r="AW516" s="56"/>
      <c r="AX516" s="56"/>
      <c r="AY516" s="56"/>
      <c r="AZ516" s="56"/>
      <c r="BA516" s="56"/>
      <c r="BB516" s="56"/>
      <c r="BC516" s="56"/>
    </row>
    <row r="517" spans="1:55" x14ac:dyDescent="0.2">
      <c r="A517" s="56"/>
      <c r="B517" s="57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6"/>
      <c r="AR517" s="56"/>
      <c r="AS517" s="56"/>
      <c r="AT517" s="56"/>
      <c r="AU517" s="56"/>
      <c r="AV517" s="56"/>
      <c r="AW517" s="56"/>
      <c r="AX517" s="56"/>
      <c r="AY517" s="56"/>
      <c r="AZ517" s="56"/>
      <c r="BA517" s="56"/>
      <c r="BB517" s="56"/>
      <c r="BC517" s="56"/>
    </row>
    <row r="518" spans="1:55" x14ac:dyDescent="0.2">
      <c r="A518" s="56"/>
      <c r="B518" s="57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6"/>
      <c r="AQ518" s="56"/>
      <c r="AR518" s="56"/>
      <c r="AS518" s="56"/>
      <c r="AT518" s="56"/>
      <c r="AU518" s="56"/>
      <c r="AV518" s="56"/>
      <c r="AW518" s="56"/>
      <c r="AX518" s="56"/>
      <c r="AY518" s="56"/>
      <c r="AZ518" s="56"/>
      <c r="BA518" s="56"/>
      <c r="BB518" s="56"/>
      <c r="BC518" s="56"/>
    </row>
    <row r="519" spans="1:55" x14ac:dyDescent="0.2">
      <c r="A519" s="56"/>
      <c r="B519" s="57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6"/>
      <c r="AQ519" s="56"/>
      <c r="AR519" s="56"/>
      <c r="AS519" s="56"/>
      <c r="AT519" s="56"/>
      <c r="AU519" s="56"/>
      <c r="AV519" s="56"/>
      <c r="AW519" s="56"/>
      <c r="AX519" s="56"/>
      <c r="AY519" s="56"/>
      <c r="AZ519" s="56"/>
      <c r="BA519" s="56"/>
      <c r="BB519" s="56"/>
      <c r="BC519" s="56"/>
    </row>
    <row r="520" spans="1:55" x14ac:dyDescent="0.2">
      <c r="A520" s="56"/>
      <c r="B520" s="57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6"/>
      <c r="AR520" s="56"/>
      <c r="AS520" s="56"/>
      <c r="AT520" s="56"/>
      <c r="AU520" s="56"/>
      <c r="AV520" s="56"/>
      <c r="AW520" s="56"/>
      <c r="AX520" s="56"/>
      <c r="AY520" s="56"/>
      <c r="AZ520" s="56"/>
      <c r="BA520" s="56"/>
      <c r="BB520" s="56"/>
      <c r="BC520" s="56"/>
    </row>
    <row r="521" spans="1:55" x14ac:dyDescent="0.2">
      <c r="A521" s="56"/>
      <c r="B521" s="57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6"/>
      <c r="AQ521" s="56"/>
      <c r="AR521" s="56"/>
      <c r="AS521" s="56"/>
      <c r="AT521" s="56"/>
      <c r="AU521" s="56"/>
      <c r="AV521" s="56"/>
      <c r="AW521" s="56"/>
      <c r="AX521" s="56"/>
      <c r="AY521" s="56"/>
      <c r="AZ521" s="56"/>
      <c r="BA521" s="56"/>
      <c r="BB521" s="56"/>
      <c r="BC521" s="56"/>
    </row>
    <row r="522" spans="1:55" x14ac:dyDescent="0.2">
      <c r="A522" s="56"/>
      <c r="B522" s="57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56"/>
      <c r="AR522" s="56"/>
      <c r="AS522" s="56"/>
      <c r="AT522" s="56"/>
      <c r="AU522" s="56"/>
      <c r="AV522" s="56"/>
      <c r="AW522" s="56"/>
      <c r="AX522" s="56"/>
      <c r="AY522" s="56"/>
      <c r="AZ522" s="56"/>
      <c r="BA522" s="56"/>
      <c r="BB522" s="56"/>
      <c r="BC522" s="56"/>
    </row>
    <row r="523" spans="1:55" x14ac:dyDescent="0.2">
      <c r="A523" s="56"/>
      <c r="B523" s="57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6"/>
      <c r="AQ523" s="56"/>
      <c r="AR523" s="56"/>
      <c r="AS523" s="56"/>
      <c r="AT523" s="56"/>
      <c r="AU523" s="56"/>
      <c r="AV523" s="56"/>
      <c r="AW523" s="56"/>
      <c r="AX523" s="56"/>
      <c r="AY523" s="56"/>
      <c r="AZ523" s="56"/>
      <c r="BA523" s="56"/>
      <c r="BB523" s="56"/>
      <c r="BC523" s="56"/>
    </row>
    <row r="524" spans="1:55" x14ac:dyDescent="0.2">
      <c r="A524" s="56"/>
      <c r="B524" s="57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6"/>
      <c r="AQ524" s="56"/>
      <c r="AR524" s="56"/>
      <c r="AS524" s="56"/>
      <c r="AT524" s="56"/>
      <c r="AU524" s="56"/>
      <c r="AV524" s="56"/>
      <c r="AW524" s="56"/>
      <c r="AX524" s="56"/>
      <c r="AY524" s="56"/>
      <c r="AZ524" s="56"/>
      <c r="BA524" s="56"/>
      <c r="BB524" s="56"/>
      <c r="BC524" s="56"/>
    </row>
    <row r="525" spans="1:55" x14ac:dyDescent="0.2">
      <c r="A525" s="56"/>
      <c r="B525" s="57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6"/>
      <c r="AQ525" s="56"/>
      <c r="AR525" s="56"/>
      <c r="AS525" s="56"/>
      <c r="AT525" s="56"/>
      <c r="AU525" s="56"/>
      <c r="AV525" s="56"/>
      <c r="AW525" s="56"/>
      <c r="AX525" s="56"/>
      <c r="AY525" s="56"/>
      <c r="AZ525" s="56"/>
      <c r="BA525" s="56"/>
      <c r="BB525" s="56"/>
      <c r="BC525" s="56"/>
    </row>
    <row r="526" spans="1:55" x14ac:dyDescent="0.2">
      <c r="A526" s="56"/>
      <c r="B526" s="57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6"/>
      <c r="AQ526" s="56"/>
      <c r="AR526" s="56"/>
      <c r="AS526" s="56"/>
      <c r="AT526" s="56"/>
      <c r="AU526" s="56"/>
      <c r="AV526" s="56"/>
      <c r="AW526" s="56"/>
      <c r="AX526" s="56"/>
      <c r="AY526" s="56"/>
      <c r="AZ526" s="56"/>
      <c r="BA526" s="56"/>
      <c r="BB526" s="56"/>
      <c r="BC526" s="56"/>
    </row>
    <row r="527" spans="1:55" x14ac:dyDescent="0.2">
      <c r="A527" s="56"/>
      <c r="B527" s="57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6"/>
      <c r="AQ527" s="56"/>
      <c r="AR527" s="56"/>
      <c r="AS527" s="56"/>
      <c r="AT527" s="56"/>
      <c r="AU527" s="56"/>
      <c r="AV527" s="56"/>
      <c r="AW527" s="56"/>
      <c r="AX527" s="56"/>
      <c r="AY527" s="56"/>
      <c r="AZ527" s="56"/>
      <c r="BA527" s="56"/>
      <c r="BB527" s="56"/>
      <c r="BC527" s="56"/>
    </row>
    <row r="528" spans="1:55" x14ac:dyDescent="0.2">
      <c r="A528" s="56"/>
      <c r="B528" s="57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6"/>
      <c r="AQ528" s="56"/>
      <c r="AR528" s="56"/>
      <c r="AS528" s="56"/>
      <c r="AT528" s="56"/>
      <c r="AU528" s="56"/>
      <c r="AV528" s="56"/>
      <c r="AW528" s="56"/>
      <c r="AX528" s="56"/>
      <c r="AY528" s="56"/>
      <c r="AZ528" s="56"/>
      <c r="BA528" s="56"/>
      <c r="BB528" s="56"/>
      <c r="BC528" s="56"/>
    </row>
    <row r="529" spans="1:55" x14ac:dyDescent="0.2">
      <c r="A529" s="56"/>
      <c r="B529" s="57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56"/>
      <c r="AS529" s="56"/>
      <c r="AT529" s="56"/>
      <c r="AU529" s="56"/>
      <c r="AV529" s="56"/>
      <c r="AW529" s="56"/>
      <c r="AX529" s="56"/>
      <c r="AY529" s="56"/>
      <c r="AZ529" s="56"/>
      <c r="BA529" s="56"/>
      <c r="BB529" s="56"/>
      <c r="BC529" s="56"/>
    </row>
    <row r="530" spans="1:55" x14ac:dyDescent="0.2">
      <c r="A530" s="56"/>
      <c r="B530" s="57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6"/>
      <c r="AQ530" s="56"/>
      <c r="AR530" s="56"/>
      <c r="AS530" s="56"/>
      <c r="AT530" s="56"/>
      <c r="AU530" s="56"/>
      <c r="AV530" s="56"/>
      <c r="AW530" s="56"/>
      <c r="AX530" s="56"/>
      <c r="AY530" s="56"/>
      <c r="AZ530" s="56"/>
      <c r="BA530" s="56"/>
      <c r="BB530" s="56"/>
      <c r="BC530" s="56"/>
    </row>
    <row r="531" spans="1:55" x14ac:dyDescent="0.2">
      <c r="A531" s="56"/>
      <c r="B531" s="57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6"/>
      <c r="AQ531" s="56"/>
      <c r="AR531" s="56"/>
      <c r="AS531" s="56"/>
      <c r="AT531" s="56"/>
      <c r="AU531" s="56"/>
      <c r="AV531" s="56"/>
      <c r="AW531" s="56"/>
      <c r="AX531" s="56"/>
      <c r="AY531" s="56"/>
      <c r="AZ531" s="56"/>
      <c r="BA531" s="56"/>
      <c r="BB531" s="56"/>
      <c r="BC531" s="56"/>
    </row>
    <row r="532" spans="1:55" x14ac:dyDescent="0.2">
      <c r="A532" s="56"/>
      <c r="B532" s="57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6"/>
      <c r="AQ532" s="56"/>
      <c r="AR532" s="56"/>
      <c r="AS532" s="56"/>
      <c r="AT532" s="56"/>
      <c r="AU532" s="56"/>
      <c r="AV532" s="56"/>
      <c r="AW532" s="56"/>
      <c r="AX532" s="56"/>
      <c r="AY532" s="56"/>
      <c r="AZ532" s="56"/>
      <c r="BA532" s="56"/>
      <c r="BB532" s="56"/>
      <c r="BC532" s="56"/>
    </row>
    <row r="533" spans="1:55" x14ac:dyDescent="0.2">
      <c r="A533" s="56"/>
      <c r="B533" s="57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56"/>
      <c r="AR533" s="56"/>
      <c r="AS533" s="56"/>
      <c r="AT533" s="56"/>
      <c r="AU533" s="56"/>
      <c r="AV533" s="56"/>
      <c r="AW533" s="56"/>
      <c r="AX533" s="56"/>
      <c r="AY533" s="56"/>
      <c r="AZ533" s="56"/>
      <c r="BA533" s="56"/>
      <c r="BB533" s="56"/>
      <c r="BC533" s="56"/>
    </row>
    <row r="534" spans="1:55" x14ac:dyDescent="0.2">
      <c r="A534" s="56"/>
      <c r="B534" s="57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56"/>
      <c r="AR534" s="56"/>
      <c r="AS534" s="56"/>
      <c r="AT534" s="56"/>
      <c r="AU534" s="56"/>
      <c r="AV534" s="56"/>
      <c r="AW534" s="56"/>
      <c r="AX534" s="56"/>
      <c r="AY534" s="56"/>
      <c r="AZ534" s="56"/>
      <c r="BA534" s="56"/>
      <c r="BB534" s="56"/>
      <c r="BC534" s="56"/>
    </row>
    <row r="535" spans="1:55" x14ac:dyDescent="0.2">
      <c r="A535" s="56"/>
      <c r="B535" s="57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  <c r="AP535" s="56"/>
      <c r="AQ535" s="56"/>
      <c r="AR535" s="56"/>
      <c r="AS535" s="56"/>
      <c r="AT535" s="56"/>
      <c r="AU535" s="56"/>
      <c r="AV535" s="56"/>
      <c r="AW535" s="56"/>
      <c r="AX535" s="56"/>
      <c r="AY535" s="56"/>
      <c r="AZ535" s="56"/>
      <c r="BA535" s="56"/>
      <c r="BB535" s="56"/>
      <c r="BC535" s="56"/>
    </row>
    <row r="536" spans="1:55" x14ac:dyDescent="0.2">
      <c r="A536" s="56"/>
      <c r="B536" s="57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6"/>
      <c r="AQ536" s="56"/>
      <c r="AR536" s="56"/>
      <c r="AS536" s="56"/>
      <c r="AT536" s="56"/>
      <c r="AU536" s="56"/>
      <c r="AV536" s="56"/>
      <c r="AW536" s="56"/>
      <c r="AX536" s="56"/>
      <c r="AY536" s="56"/>
      <c r="AZ536" s="56"/>
      <c r="BA536" s="56"/>
      <c r="BB536" s="56"/>
      <c r="BC536" s="56"/>
    </row>
    <row r="537" spans="1:55" x14ac:dyDescent="0.2">
      <c r="A537" s="56"/>
      <c r="B537" s="57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56"/>
      <c r="AQ537" s="56"/>
      <c r="AR537" s="56"/>
      <c r="AS537" s="56"/>
      <c r="AT537" s="56"/>
      <c r="AU537" s="56"/>
      <c r="AV537" s="56"/>
      <c r="AW537" s="56"/>
      <c r="AX537" s="56"/>
      <c r="AY537" s="56"/>
      <c r="AZ537" s="56"/>
      <c r="BA537" s="56"/>
      <c r="BB537" s="56"/>
      <c r="BC537" s="56"/>
    </row>
    <row r="538" spans="1:55" x14ac:dyDescent="0.2">
      <c r="A538" s="56"/>
      <c r="B538" s="57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6"/>
      <c r="AP538" s="56"/>
      <c r="AQ538" s="56"/>
      <c r="AR538" s="56"/>
      <c r="AS538" s="56"/>
      <c r="AT538" s="56"/>
      <c r="AU538" s="56"/>
      <c r="AV538" s="56"/>
      <c r="AW538" s="56"/>
      <c r="AX538" s="56"/>
      <c r="AY538" s="56"/>
      <c r="AZ538" s="56"/>
      <c r="BA538" s="56"/>
      <c r="BB538" s="56"/>
      <c r="BC538" s="56"/>
    </row>
    <row r="539" spans="1:55" x14ac:dyDescent="0.2">
      <c r="A539" s="56"/>
      <c r="B539" s="57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6"/>
      <c r="AP539" s="56"/>
      <c r="AQ539" s="56"/>
      <c r="AR539" s="56"/>
      <c r="AS539" s="56"/>
      <c r="AT539" s="56"/>
      <c r="AU539" s="56"/>
      <c r="AV539" s="56"/>
      <c r="AW539" s="56"/>
      <c r="AX539" s="56"/>
      <c r="AY539" s="56"/>
      <c r="AZ539" s="56"/>
      <c r="BA539" s="56"/>
      <c r="BB539" s="56"/>
      <c r="BC539" s="56"/>
    </row>
    <row r="540" spans="1:55" x14ac:dyDescent="0.2">
      <c r="A540" s="56"/>
      <c r="B540" s="57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6"/>
      <c r="AQ540" s="56"/>
      <c r="AR540" s="56"/>
      <c r="AS540" s="56"/>
      <c r="AT540" s="56"/>
      <c r="AU540" s="56"/>
      <c r="AV540" s="56"/>
      <c r="AW540" s="56"/>
      <c r="AX540" s="56"/>
      <c r="AY540" s="56"/>
      <c r="AZ540" s="56"/>
      <c r="BA540" s="56"/>
      <c r="BB540" s="56"/>
      <c r="BC540" s="56"/>
    </row>
    <row r="541" spans="1:55" x14ac:dyDescent="0.2">
      <c r="A541" s="56"/>
      <c r="B541" s="57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6"/>
      <c r="AQ541" s="56"/>
      <c r="AR541" s="56"/>
      <c r="AS541" s="56"/>
      <c r="AT541" s="56"/>
      <c r="AU541" s="56"/>
      <c r="AV541" s="56"/>
      <c r="AW541" s="56"/>
      <c r="AX541" s="56"/>
      <c r="AY541" s="56"/>
      <c r="AZ541" s="56"/>
      <c r="BA541" s="56"/>
      <c r="BB541" s="56"/>
      <c r="BC541" s="56"/>
    </row>
    <row r="542" spans="1:55" x14ac:dyDescent="0.2">
      <c r="A542" s="56"/>
      <c r="B542" s="57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6"/>
      <c r="AQ542" s="56"/>
      <c r="AR542" s="56"/>
      <c r="AS542" s="56"/>
      <c r="AT542" s="56"/>
      <c r="AU542" s="56"/>
      <c r="AV542" s="56"/>
      <c r="AW542" s="56"/>
      <c r="AX542" s="56"/>
      <c r="AY542" s="56"/>
      <c r="AZ542" s="56"/>
      <c r="BA542" s="56"/>
      <c r="BB542" s="56"/>
      <c r="BC542" s="56"/>
    </row>
    <row r="543" spans="1:55" x14ac:dyDescent="0.2">
      <c r="A543" s="56"/>
      <c r="B543" s="57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6"/>
      <c r="AQ543" s="56"/>
      <c r="AR543" s="56"/>
      <c r="AS543" s="56"/>
      <c r="AT543" s="56"/>
      <c r="AU543" s="56"/>
      <c r="AV543" s="56"/>
      <c r="AW543" s="56"/>
      <c r="AX543" s="56"/>
      <c r="AY543" s="56"/>
      <c r="AZ543" s="56"/>
      <c r="BA543" s="56"/>
      <c r="BB543" s="56"/>
      <c r="BC543" s="56"/>
    </row>
    <row r="544" spans="1:55" x14ac:dyDescent="0.2">
      <c r="A544" s="56"/>
      <c r="B544" s="57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6"/>
      <c r="AQ544" s="56"/>
      <c r="AR544" s="56"/>
      <c r="AS544" s="56"/>
      <c r="AT544" s="56"/>
      <c r="AU544" s="56"/>
      <c r="AV544" s="56"/>
      <c r="AW544" s="56"/>
      <c r="AX544" s="56"/>
      <c r="AY544" s="56"/>
      <c r="AZ544" s="56"/>
      <c r="BA544" s="56"/>
      <c r="BB544" s="56"/>
      <c r="BC544" s="56"/>
    </row>
    <row r="545" spans="1:55" x14ac:dyDescent="0.2">
      <c r="A545" s="56"/>
      <c r="B545" s="57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56"/>
      <c r="AS545" s="56"/>
      <c r="AT545" s="56"/>
      <c r="AU545" s="56"/>
      <c r="AV545" s="56"/>
      <c r="AW545" s="56"/>
      <c r="AX545" s="56"/>
      <c r="AY545" s="56"/>
      <c r="AZ545" s="56"/>
      <c r="BA545" s="56"/>
      <c r="BB545" s="56"/>
      <c r="BC545" s="56"/>
    </row>
    <row r="546" spans="1:55" x14ac:dyDescent="0.2">
      <c r="A546" s="56"/>
      <c r="B546" s="57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6"/>
      <c r="AQ546" s="56"/>
      <c r="AR546" s="56"/>
      <c r="AS546" s="56"/>
      <c r="AT546" s="56"/>
      <c r="AU546" s="56"/>
      <c r="AV546" s="56"/>
      <c r="AW546" s="56"/>
      <c r="AX546" s="56"/>
      <c r="AY546" s="56"/>
      <c r="AZ546" s="56"/>
      <c r="BA546" s="56"/>
      <c r="BB546" s="56"/>
      <c r="BC546" s="56"/>
    </row>
    <row r="547" spans="1:55" x14ac:dyDescent="0.2">
      <c r="A547" s="56"/>
      <c r="B547" s="57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56"/>
      <c r="AS547" s="56"/>
      <c r="AT547" s="56"/>
      <c r="AU547" s="56"/>
      <c r="AV547" s="56"/>
      <c r="AW547" s="56"/>
      <c r="AX547" s="56"/>
      <c r="AY547" s="56"/>
      <c r="AZ547" s="56"/>
      <c r="BA547" s="56"/>
      <c r="BB547" s="56"/>
      <c r="BC547" s="56"/>
    </row>
    <row r="548" spans="1:55" x14ac:dyDescent="0.2">
      <c r="A548" s="56"/>
      <c r="B548" s="57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56"/>
      <c r="AR548" s="56"/>
      <c r="AS548" s="56"/>
      <c r="AT548" s="56"/>
      <c r="AU548" s="56"/>
      <c r="AV548" s="56"/>
      <c r="AW548" s="56"/>
      <c r="AX548" s="56"/>
      <c r="AY548" s="56"/>
      <c r="AZ548" s="56"/>
      <c r="BA548" s="56"/>
      <c r="BB548" s="56"/>
      <c r="BC548" s="56"/>
    </row>
    <row r="549" spans="1:55" x14ac:dyDescent="0.2">
      <c r="A549" s="56"/>
      <c r="B549" s="57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56"/>
      <c r="AS549" s="56"/>
      <c r="AT549" s="56"/>
      <c r="AU549" s="56"/>
      <c r="AV549" s="56"/>
      <c r="AW549" s="56"/>
      <c r="AX549" s="56"/>
      <c r="AY549" s="56"/>
      <c r="AZ549" s="56"/>
      <c r="BA549" s="56"/>
      <c r="BB549" s="56"/>
      <c r="BC549" s="56"/>
    </row>
    <row r="550" spans="1:55" x14ac:dyDescent="0.2">
      <c r="A550" s="56"/>
      <c r="B550" s="57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/>
      <c r="BB550" s="56"/>
      <c r="BC550" s="56"/>
    </row>
    <row r="551" spans="1:55" x14ac:dyDescent="0.2">
      <c r="A551" s="56"/>
      <c r="B551" s="57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56"/>
      <c r="AS551" s="56"/>
      <c r="AT551" s="56"/>
      <c r="AU551" s="56"/>
      <c r="AV551" s="56"/>
      <c r="AW551" s="56"/>
      <c r="AX551" s="56"/>
      <c r="AY551" s="56"/>
      <c r="AZ551" s="56"/>
      <c r="BA551" s="56"/>
      <c r="BB551" s="56"/>
      <c r="BC551" s="56"/>
    </row>
    <row r="552" spans="1:55" x14ac:dyDescent="0.2">
      <c r="A552" s="56"/>
      <c r="B552" s="57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6"/>
      <c r="AQ552" s="56"/>
      <c r="AR552" s="56"/>
      <c r="AS552" s="56"/>
      <c r="AT552" s="56"/>
      <c r="AU552" s="56"/>
      <c r="AV552" s="56"/>
      <c r="AW552" s="56"/>
      <c r="AX552" s="56"/>
      <c r="AY552" s="56"/>
      <c r="AZ552" s="56"/>
      <c r="BA552" s="56"/>
      <c r="BB552" s="56"/>
      <c r="BC552" s="56"/>
    </row>
    <row r="553" spans="1:55" x14ac:dyDescent="0.2">
      <c r="A553" s="56"/>
      <c r="B553" s="57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56"/>
      <c r="AS553" s="56"/>
      <c r="AT553" s="56"/>
      <c r="AU553" s="56"/>
      <c r="AV553" s="56"/>
      <c r="AW553" s="56"/>
      <c r="AX553" s="56"/>
      <c r="AY553" s="56"/>
      <c r="AZ553" s="56"/>
      <c r="BA553" s="56"/>
      <c r="BB553" s="56"/>
      <c r="BC553" s="56"/>
    </row>
    <row r="554" spans="1:55" x14ac:dyDescent="0.2">
      <c r="A554" s="56"/>
      <c r="B554" s="57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/>
      <c r="AQ554" s="56"/>
      <c r="AR554" s="56"/>
      <c r="AS554" s="56"/>
      <c r="AT554" s="56"/>
      <c r="AU554" s="56"/>
      <c r="AV554" s="56"/>
      <c r="AW554" s="56"/>
      <c r="AX554" s="56"/>
      <c r="AY554" s="56"/>
      <c r="AZ554" s="56"/>
      <c r="BA554" s="56"/>
      <c r="BB554" s="56"/>
      <c r="BC554" s="56"/>
    </row>
    <row r="555" spans="1:55" x14ac:dyDescent="0.2">
      <c r="A555" s="56"/>
      <c r="B555" s="57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56"/>
      <c r="AR555" s="56"/>
      <c r="AS555" s="56"/>
      <c r="AT555" s="56"/>
      <c r="AU555" s="56"/>
      <c r="AV555" s="56"/>
      <c r="AW555" s="56"/>
      <c r="AX555" s="56"/>
      <c r="AY555" s="56"/>
      <c r="AZ555" s="56"/>
      <c r="BA555" s="56"/>
      <c r="BB555" s="56"/>
      <c r="BC555" s="56"/>
    </row>
    <row r="556" spans="1:55" x14ac:dyDescent="0.2">
      <c r="A556" s="56"/>
      <c r="B556" s="57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6"/>
      <c r="AQ556" s="56"/>
      <c r="AR556" s="56"/>
      <c r="AS556" s="56"/>
      <c r="AT556" s="56"/>
      <c r="AU556" s="56"/>
      <c r="AV556" s="56"/>
      <c r="AW556" s="56"/>
      <c r="AX556" s="56"/>
      <c r="AY556" s="56"/>
      <c r="AZ556" s="56"/>
      <c r="BA556" s="56"/>
      <c r="BB556" s="56"/>
      <c r="BC556" s="56"/>
    </row>
    <row r="557" spans="1:55" x14ac:dyDescent="0.2">
      <c r="A557" s="56"/>
      <c r="B557" s="57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6"/>
      <c r="AQ557" s="56"/>
      <c r="AR557" s="56"/>
      <c r="AS557" s="56"/>
      <c r="AT557" s="56"/>
      <c r="AU557" s="56"/>
      <c r="AV557" s="56"/>
      <c r="AW557" s="56"/>
      <c r="AX557" s="56"/>
      <c r="AY557" s="56"/>
      <c r="AZ557" s="56"/>
      <c r="BA557" s="56"/>
      <c r="BB557" s="56"/>
      <c r="BC557" s="56"/>
    </row>
    <row r="558" spans="1:55" x14ac:dyDescent="0.2">
      <c r="A558" s="56"/>
      <c r="B558" s="57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6"/>
      <c r="AQ558" s="56"/>
      <c r="AR558" s="56"/>
      <c r="AS558" s="56"/>
      <c r="AT558" s="56"/>
      <c r="AU558" s="56"/>
      <c r="AV558" s="56"/>
      <c r="AW558" s="56"/>
      <c r="AX558" s="56"/>
      <c r="AY558" s="56"/>
      <c r="AZ558" s="56"/>
      <c r="BA558" s="56"/>
      <c r="BB558" s="56"/>
      <c r="BC558" s="56"/>
    </row>
    <row r="559" spans="1:55" x14ac:dyDescent="0.2">
      <c r="A559" s="56"/>
      <c r="B559" s="57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56"/>
      <c r="AR559" s="56"/>
      <c r="AS559" s="56"/>
      <c r="AT559" s="56"/>
      <c r="AU559" s="56"/>
      <c r="AV559" s="56"/>
      <c r="AW559" s="56"/>
      <c r="AX559" s="56"/>
      <c r="AY559" s="56"/>
      <c r="AZ559" s="56"/>
      <c r="BA559" s="56"/>
      <c r="BB559" s="56"/>
      <c r="BC559" s="56"/>
    </row>
    <row r="560" spans="1:55" x14ac:dyDescent="0.2">
      <c r="A560" s="56"/>
      <c r="B560" s="57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6"/>
      <c r="AQ560" s="56"/>
      <c r="AR560" s="56"/>
      <c r="AS560" s="56"/>
      <c r="AT560" s="56"/>
      <c r="AU560" s="56"/>
      <c r="AV560" s="56"/>
      <c r="AW560" s="56"/>
      <c r="AX560" s="56"/>
      <c r="AY560" s="56"/>
      <c r="AZ560" s="56"/>
      <c r="BA560" s="56"/>
      <c r="BB560" s="56"/>
      <c r="BC560" s="56"/>
    </row>
    <row r="561" spans="1:55" x14ac:dyDescent="0.2">
      <c r="A561" s="56"/>
      <c r="B561" s="57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56"/>
      <c r="AS561" s="56"/>
      <c r="AT561" s="56"/>
      <c r="AU561" s="56"/>
      <c r="AV561" s="56"/>
      <c r="AW561" s="56"/>
      <c r="AX561" s="56"/>
      <c r="AY561" s="56"/>
      <c r="AZ561" s="56"/>
      <c r="BA561" s="56"/>
      <c r="BB561" s="56"/>
      <c r="BC561" s="56"/>
    </row>
    <row r="562" spans="1:55" x14ac:dyDescent="0.2">
      <c r="A562" s="56"/>
      <c r="B562" s="57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6"/>
      <c r="AQ562" s="56"/>
      <c r="AR562" s="56"/>
      <c r="AS562" s="56"/>
      <c r="AT562" s="56"/>
      <c r="AU562" s="56"/>
      <c r="AV562" s="56"/>
      <c r="AW562" s="56"/>
      <c r="AX562" s="56"/>
      <c r="AY562" s="56"/>
      <c r="AZ562" s="56"/>
      <c r="BA562" s="56"/>
      <c r="BB562" s="56"/>
      <c r="BC562" s="56"/>
    </row>
    <row r="563" spans="1:55" x14ac:dyDescent="0.2">
      <c r="A563" s="56"/>
      <c r="B563" s="57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56"/>
      <c r="AS563" s="56"/>
      <c r="AT563" s="56"/>
      <c r="AU563" s="56"/>
      <c r="AV563" s="56"/>
      <c r="AW563" s="56"/>
      <c r="AX563" s="56"/>
      <c r="AY563" s="56"/>
      <c r="AZ563" s="56"/>
      <c r="BA563" s="56"/>
      <c r="BB563" s="56"/>
      <c r="BC563" s="56"/>
    </row>
    <row r="564" spans="1:55" x14ac:dyDescent="0.2">
      <c r="A564" s="56"/>
      <c r="B564" s="57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56"/>
      <c r="AR564" s="56"/>
      <c r="AS564" s="56"/>
      <c r="AT564" s="56"/>
      <c r="AU564" s="56"/>
      <c r="AV564" s="56"/>
      <c r="AW564" s="56"/>
      <c r="AX564" s="56"/>
      <c r="AY564" s="56"/>
      <c r="AZ564" s="56"/>
      <c r="BA564" s="56"/>
      <c r="BB564" s="56"/>
      <c r="BC564" s="56"/>
    </row>
    <row r="565" spans="1:55" x14ac:dyDescent="0.2">
      <c r="A565" s="56"/>
      <c r="B565" s="57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56"/>
      <c r="AS565" s="56"/>
      <c r="AT565" s="56"/>
      <c r="AU565" s="56"/>
      <c r="AV565" s="56"/>
      <c r="AW565" s="56"/>
      <c r="AX565" s="56"/>
      <c r="AY565" s="56"/>
      <c r="AZ565" s="56"/>
      <c r="BA565" s="56"/>
      <c r="BB565" s="56"/>
      <c r="BC565" s="56"/>
    </row>
    <row r="566" spans="1:55" x14ac:dyDescent="0.2">
      <c r="A566" s="56"/>
      <c r="B566" s="57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6"/>
      <c r="AQ566" s="56"/>
      <c r="AR566" s="56"/>
      <c r="AS566" s="56"/>
      <c r="AT566" s="56"/>
      <c r="AU566" s="56"/>
      <c r="AV566" s="56"/>
      <c r="AW566" s="56"/>
      <c r="AX566" s="56"/>
      <c r="AY566" s="56"/>
      <c r="AZ566" s="56"/>
      <c r="BA566" s="56"/>
      <c r="BB566" s="56"/>
      <c r="BC566" s="56"/>
    </row>
    <row r="567" spans="1:55" x14ac:dyDescent="0.2">
      <c r="A567" s="56"/>
      <c r="B567" s="57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56"/>
      <c r="AR567" s="56"/>
      <c r="AS567" s="56"/>
      <c r="AT567" s="56"/>
      <c r="AU567" s="56"/>
      <c r="AV567" s="56"/>
      <c r="AW567" s="56"/>
      <c r="AX567" s="56"/>
      <c r="AY567" s="56"/>
      <c r="AZ567" s="56"/>
      <c r="BA567" s="56"/>
      <c r="BB567" s="56"/>
      <c r="BC567" s="56"/>
    </row>
    <row r="568" spans="1:55" x14ac:dyDescent="0.2">
      <c r="A568" s="56"/>
      <c r="B568" s="57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56"/>
      <c r="AR568" s="56"/>
      <c r="AS568" s="56"/>
      <c r="AT568" s="56"/>
      <c r="AU568" s="56"/>
      <c r="AV568" s="56"/>
      <c r="AW568" s="56"/>
      <c r="AX568" s="56"/>
      <c r="AY568" s="56"/>
      <c r="AZ568" s="56"/>
      <c r="BA568" s="56"/>
      <c r="BB568" s="56"/>
      <c r="BC568" s="56"/>
    </row>
    <row r="569" spans="1:55" x14ac:dyDescent="0.2">
      <c r="A569" s="56"/>
      <c r="B569" s="57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56"/>
      <c r="AS569" s="56"/>
      <c r="AT569" s="56"/>
      <c r="AU569" s="56"/>
      <c r="AV569" s="56"/>
      <c r="AW569" s="56"/>
      <c r="AX569" s="56"/>
      <c r="AY569" s="56"/>
      <c r="AZ569" s="56"/>
      <c r="BA569" s="56"/>
      <c r="BB569" s="56"/>
      <c r="BC569" s="56"/>
    </row>
    <row r="570" spans="1:55" x14ac:dyDescent="0.2">
      <c r="A570" s="56"/>
      <c r="B570" s="57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56"/>
      <c r="AR570" s="56"/>
      <c r="AS570" s="56"/>
      <c r="AT570" s="56"/>
      <c r="AU570" s="56"/>
      <c r="AV570" s="56"/>
      <c r="AW570" s="56"/>
      <c r="AX570" s="56"/>
      <c r="AY570" s="56"/>
      <c r="AZ570" s="56"/>
      <c r="BA570" s="56"/>
      <c r="BB570" s="56"/>
      <c r="BC570" s="56"/>
    </row>
    <row r="571" spans="1:55" x14ac:dyDescent="0.2">
      <c r="A571" s="56"/>
      <c r="B571" s="57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56"/>
      <c r="AR571" s="56"/>
      <c r="AS571" s="56"/>
      <c r="AT571" s="56"/>
      <c r="AU571" s="56"/>
      <c r="AV571" s="56"/>
      <c r="AW571" s="56"/>
      <c r="AX571" s="56"/>
      <c r="AY571" s="56"/>
      <c r="AZ571" s="56"/>
      <c r="BA571" s="56"/>
      <c r="BB571" s="56"/>
      <c r="BC571" s="56"/>
    </row>
    <row r="572" spans="1:55" x14ac:dyDescent="0.2">
      <c r="A572" s="56"/>
      <c r="B572" s="57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56"/>
      <c r="AR572" s="56"/>
      <c r="AS572" s="56"/>
      <c r="AT572" s="56"/>
      <c r="AU572" s="56"/>
      <c r="AV572" s="56"/>
      <c r="AW572" s="56"/>
      <c r="AX572" s="56"/>
      <c r="AY572" s="56"/>
      <c r="AZ572" s="56"/>
      <c r="BA572" s="56"/>
      <c r="BB572" s="56"/>
      <c r="BC572" s="56"/>
    </row>
    <row r="573" spans="1:55" x14ac:dyDescent="0.2">
      <c r="A573" s="56"/>
      <c r="B573" s="57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6"/>
      <c r="AQ573" s="56"/>
      <c r="AR573" s="56"/>
      <c r="AS573" s="56"/>
      <c r="AT573" s="56"/>
      <c r="AU573" s="56"/>
      <c r="AV573" s="56"/>
      <c r="AW573" s="56"/>
      <c r="AX573" s="56"/>
      <c r="AY573" s="56"/>
      <c r="AZ573" s="56"/>
      <c r="BA573" s="56"/>
      <c r="BB573" s="56"/>
      <c r="BC573" s="56"/>
    </row>
    <row r="574" spans="1:55" x14ac:dyDescent="0.2">
      <c r="A574" s="56"/>
      <c r="B574" s="57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6"/>
      <c r="AQ574" s="56"/>
      <c r="AR574" s="56"/>
      <c r="AS574" s="56"/>
      <c r="AT574" s="56"/>
      <c r="AU574" s="56"/>
      <c r="AV574" s="56"/>
      <c r="AW574" s="56"/>
      <c r="AX574" s="56"/>
      <c r="AY574" s="56"/>
      <c r="AZ574" s="56"/>
      <c r="BA574" s="56"/>
      <c r="BB574" s="56"/>
      <c r="BC574" s="56"/>
    </row>
    <row r="575" spans="1:55" x14ac:dyDescent="0.2">
      <c r="A575" s="56"/>
      <c r="B575" s="57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56"/>
      <c r="AR575" s="56"/>
      <c r="AS575" s="56"/>
      <c r="AT575" s="56"/>
      <c r="AU575" s="56"/>
      <c r="AV575" s="56"/>
      <c r="AW575" s="56"/>
      <c r="AX575" s="56"/>
      <c r="AY575" s="56"/>
      <c r="AZ575" s="56"/>
      <c r="BA575" s="56"/>
      <c r="BB575" s="56"/>
      <c r="BC575" s="56"/>
    </row>
    <row r="576" spans="1:55" x14ac:dyDescent="0.2">
      <c r="A576" s="56"/>
      <c r="B576" s="57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6"/>
      <c r="AQ576" s="56"/>
      <c r="AR576" s="56"/>
      <c r="AS576" s="56"/>
      <c r="AT576" s="56"/>
      <c r="AU576" s="56"/>
      <c r="AV576" s="56"/>
      <c r="AW576" s="56"/>
      <c r="AX576" s="56"/>
      <c r="AY576" s="56"/>
      <c r="AZ576" s="56"/>
      <c r="BA576" s="56"/>
      <c r="BB576" s="56"/>
      <c r="BC576" s="56"/>
    </row>
    <row r="577" spans="1:55" x14ac:dyDescent="0.2">
      <c r="A577" s="56"/>
      <c r="B577" s="57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56"/>
      <c r="AR577" s="56"/>
      <c r="AS577" s="56"/>
      <c r="AT577" s="56"/>
      <c r="AU577" s="56"/>
      <c r="AV577" s="56"/>
      <c r="AW577" s="56"/>
      <c r="AX577" s="56"/>
      <c r="AY577" s="56"/>
      <c r="AZ577" s="56"/>
      <c r="BA577" s="56"/>
      <c r="BB577" s="56"/>
      <c r="BC577" s="56"/>
    </row>
    <row r="578" spans="1:55" x14ac:dyDescent="0.2">
      <c r="A578" s="56"/>
      <c r="B578" s="57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6"/>
      <c r="AQ578" s="56"/>
      <c r="AR578" s="56"/>
      <c r="AS578" s="56"/>
      <c r="AT578" s="56"/>
      <c r="AU578" s="56"/>
      <c r="AV578" s="56"/>
      <c r="AW578" s="56"/>
      <c r="AX578" s="56"/>
      <c r="AY578" s="56"/>
      <c r="AZ578" s="56"/>
      <c r="BA578" s="56"/>
      <c r="BB578" s="56"/>
      <c r="BC578" s="56"/>
    </row>
    <row r="579" spans="1:55" x14ac:dyDescent="0.2">
      <c r="A579" s="56"/>
      <c r="B579" s="57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56"/>
      <c r="AR579" s="56"/>
      <c r="AS579" s="56"/>
      <c r="AT579" s="56"/>
      <c r="AU579" s="56"/>
      <c r="AV579" s="56"/>
      <c r="AW579" s="56"/>
      <c r="AX579" s="56"/>
      <c r="AY579" s="56"/>
      <c r="AZ579" s="56"/>
      <c r="BA579" s="56"/>
      <c r="BB579" s="56"/>
      <c r="BC579" s="56"/>
    </row>
    <row r="580" spans="1:55" x14ac:dyDescent="0.2">
      <c r="A580" s="56"/>
      <c r="B580" s="57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56"/>
      <c r="AR580" s="56"/>
      <c r="AS580" s="56"/>
      <c r="AT580" s="56"/>
      <c r="AU580" s="56"/>
      <c r="AV580" s="56"/>
      <c r="AW580" s="56"/>
      <c r="AX580" s="56"/>
      <c r="AY580" s="56"/>
      <c r="AZ580" s="56"/>
      <c r="BA580" s="56"/>
      <c r="BB580" s="56"/>
      <c r="BC580" s="56"/>
    </row>
    <row r="581" spans="1:55" x14ac:dyDescent="0.2">
      <c r="A581" s="56"/>
      <c r="B581" s="57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56"/>
      <c r="AR581" s="56"/>
      <c r="AS581" s="56"/>
      <c r="AT581" s="56"/>
      <c r="AU581" s="56"/>
      <c r="AV581" s="56"/>
      <c r="AW581" s="56"/>
      <c r="AX581" s="56"/>
      <c r="AY581" s="56"/>
      <c r="AZ581" s="56"/>
      <c r="BA581" s="56"/>
      <c r="BB581" s="56"/>
      <c r="BC581" s="56"/>
    </row>
    <row r="582" spans="1:55" x14ac:dyDescent="0.2">
      <c r="A582" s="56"/>
      <c r="B582" s="57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56"/>
      <c r="AR582" s="56"/>
      <c r="AS582" s="56"/>
      <c r="AT582" s="56"/>
      <c r="AU582" s="56"/>
      <c r="AV582" s="56"/>
      <c r="AW582" s="56"/>
      <c r="AX582" s="56"/>
      <c r="AY582" s="56"/>
      <c r="AZ582" s="56"/>
      <c r="BA582" s="56"/>
      <c r="BB582" s="56"/>
      <c r="BC582" s="56"/>
    </row>
    <row r="583" spans="1:55" x14ac:dyDescent="0.2">
      <c r="A583" s="56"/>
      <c r="B583" s="57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6"/>
      <c r="AQ583" s="56"/>
      <c r="AR583" s="56"/>
      <c r="AS583" s="56"/>
      <c r="AT583" s="56"/>
      <c r="AU583" s="56"/>
      <c r="AV583" s="56"/>
      <c r="AW583" s="56"/>
      <c r="AX583" s="56"/>
      <c r="AY583" s="56"/>
      <c r="AZ583" s="56"/>
      <c r="BA583" s="56"/>
      <c r="BB583" s="56"/>
      <c r="BC583" s="56"/>
    </row>
    <row r="584" spans="1:55" x14ac:dyDescent="0.2">
      <c r="A584" s="56"/>
      <c r="B584" s="57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6"/>
      <c r="AQ584" s="56"/>
      <c r="AR584" s="56"/>
      <c r="AS584" s="56"/>
      <c r="AT584" s="56"/>
      <c r="AU584" s="56"/>
      <c r="AV584" s="56"/>
      <c r="AW584" s="56"/>
      <c r="AX584" s="56"/>
      <c r="AY584" s="56"/>
      <c r="AZ584" s="56"/>
      <c r="BA584" s="56"/>
      <c r="BB584" s="56"/>
      <c r="BC584" s="56"/>
    </row>
    <row r="585" spans="1:55" x14ac:dyDescent="0.2">
      <c r="A585" s="56"/>
      <c r="B585" s="57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6"/>
      <c r="AQ585" s="56"/>
      <c r="AR585" s="56"/>
      <c r="AS585" s="56"/>
      <c r="AT585" s="56"/>
      <c r="AU585" s="56"/>
      <c r="AV585" s="56"/>
      <c r="AW585" s="56"/>
      <c r="AX585" s="56"/>
      <c r="AY585" s="56"/>
      <c r="AZ585" s="56"/>
      <c r="BA585" s="56"/>
      <c r="BB585" s="56"/>
      <c r="BC585" s="56"/>
    </row>
    <row r="586" spans="1:55" x14ac:dyDescent="0.2">
      <c r="A586" s="56"/>
      <c r="B586" s="57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6"/>
      <c r="AQ586" s="56"/>
      <c r="AR586" s="56"/>
      <c r="AS586" s="56"/>
      <c r="AT586" s="56"/>
      <c r="AU586" s="56"/>
      <c r="AV586" s="56"/>
      <c r="AW586" s="56"/>
      <c r="AX586" s="56"/>
      <c r="AY586" s="56"/>
      <c r="AZ586" s="56"/>
      <c r="BA586" s="56"/>
      <c r="BB586" s="56"/>
      <c r="BC586" s="56"/>
    </row>
    <row r="587" spans="1:55" x14ac:dyDescent="0.2">
      <c r="A587" s="56"/>
      <c r="B587" s="57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6"/>
      <c r="AQ587" s="56"/>
      <c r="AR587" s="56"/>
      <c r="AS587" s="56"/>
      <c r="AT587" s="56"/>
      <c r="AU587" s="56"/>
      <c r="AV587" s="56"/>
      <c r="AW587" s="56"/>
      <c r="AX587" s="56"/>
      <c r="AY587" s="56"/>
      <c r="AZ587" s="56"/>
      <c r="BA587" s="56"/>
      <c r="BB587" s="56"/>
      <c r="BC587" s="56"/>
    </row>
    <row r="588" spans="1:55" x14ac:dyDescent="0.2">
      <c r="A588" s="56"/>
      <c r="B588" s="57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56"/>
      <c r="AR588" s="56"/>
      <c r="AS588" s="56"/>
      <c r="AT588" s="56"/>
      <c r="AU588" s="56"/>
      <c r="AV588" s="56"/>
      <c r="AW588" s="56"/>
      <c r="AX588" s="56"/>
      <c r="AY588" s="56"/>
      <c r="AZ588" s="56"/>
      <c r="BA588" s="56"/>
      <c r="BB588" s="56"/>
      <c r="BC588" s="56"/>
    </row>
    <row r="589" spans="1:55" x14ac:dyDescent="0.2">
      <c r="A589" s="56"/>
      <c r="B589" s="57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56"/>
      <c r="AR589" s="56"/>
      <c r="AS589" s="56"/>
      <c r="AT589" s="56"/>
      <c r="AU589" s="56"/>
      <c r="AV589" s="56"/>
      <c r="AW589" s="56"/>
      <c r="AX589" s="56"/>
      <c r="AY589" s="56"/>
      <c r="AZ589" s="56"/>
      <c r="BA589" s="56"/>
      <c r="BB589" s="56"/>
      <c r="BC589" s="56"/>
    </row>
    <row r="590" spans="1:55" x14ac:dyDescent="0.2">
      <c r="A590" s="56"/>
      <c r="B590" s="57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  <c r="AZ590" s="56"/>
      <c r="BA590" s="56"/>
      <c r="BB590" s="56"/>
      <c r="BC590" s="56"/>
    </row>
    <row r="591" spans="1:55" x14ac:dyDescent="0.2">
      <c r="A591" s="56"/>
      <c r="B591" s="57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6"/>
      <c r="AR591" s="56"/>
      <c r="AS591" s="56"/>
      <c r="AT591" s="56"/>
      <c r="AU591" s="56"/>
      <c r="AV591" s="56"/>
      <c r="AW591" s="56"/>
      <c r="AX591" s="56"/>
      <c r="AY591" s="56"/>
      <c r="AZ591" s="56"/>
      <c r="BA591" s="56"/>
      <c r="BB591" s="56"/>
      <c r="BC591" s="56"/>
    </row>
    <row r="592" spans="1:55" x14ac:dyDescent="0.2">
      <c r="A592" s="56"/>
      <c r="B592" s="57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6"/>
      <c r="AQ592" s="56"/>
      <c r="AR592" s="56"/>
      <c r="AS592" s="56"/>
      <c r="AT592" s="56"/>
      <c r="AU592" s="56"/>
      <c r="AV592" s="56"/>
      <c r="AW592" s="56"/>
      <c r="AX592" s="56"/>
      <c r="AY592" s="56"/>
      <c r="AZ592" s="56"/>
      <c r="BA592" s="56"/>
      <c r="BB592" s="56"/>
      <c r="BC592" s="56"/>
    </row>
    <row r="593" spans="1:55" x14ac:dyDescent="0.2">
      <c r="A593" s="56"/>
      <c r="B593" s="57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56"/>
      <c r="AR593" s="56"/>
      <c r="AS593" s="56"/>
      <c r="AT593" s="56"/>
      <c r="AU593" s="56"/>
      <c r="AV593" s="56"/>
      <c r="AW593" s="56"/>
      <c r="AX593" s="56"/>
      <c r="AY593" s="56"/>
      <c r="AZ593" s="56"/>
      <c r="BA593" s="56"/>
      <c r="BB593" s="56"/>
      <c r="BC593" s="56"/>
    </row>
    <row r="594" spans="1:55" x14ac:dyDescent="0.2">
      <c r="A594" s="56"/>
      <c r="B594" s="57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56"/>
      <c r="AR594" s="56"/>
      <c r="AS594" s="56"/>
      <c r="AT594" s="56"/>
      <c r="AU594" s="56"/>
      <c r="AV594" s="56"/>
      <c r="AW594" s="56"/>
      <c r="AX594" s="56"/>
      <c r="AY594" s="56"/>
      <c r="AZ594" s="56"/>
      <c r="BA594" s="56"/>
      <c r="BB594" s="56"/>
      <c r="BC594" s="56"/>
    </row>
    <row r="595" spans="1:55" x14ac:dyDescent="0.2">
      <c r="A595" s="56"/>
      <c r="B595" s="57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56"/>
      <c r="AR595" s="56"/>
      <c r="AS595" s="56"/>
      <c r="AT595" s="56"/>
      <c r="AU595" s="56"/>
      <c r="AV595" s="56"/>
      <c r="AW595" s="56"/>
      <c r="AX595" s="56"/>
      <c r="AY595" s="56"/>
      <c r="AZ595" s="56"/>
      <c r="BA595" s="56"/>
      <c r="BB595" s="56"/>
      <c r="BC595" s="56"/>
    </row>
    <row r="596" spans="1:55" x14ac:dyDescent="0.2">
      <c r="A596" s="56"/>
      <c r="B596" s="57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6"/>
      <c r="AQ596" s="56"/>
      <c r="AR596" s="56"/>
      <c r="AS596" s="56"/>
      <c r="AT596" s="56"/>
      <c r="AU596" s="56"/>
      <c r="AV596" s="56"/>
      <c r="AW596" s="56"/>
      <c r="AX596" s="56"/>
      <c r="AY596" s="56"/>
      <c r="AZ596" s="56"/>
      <c r="BA596" s="56"/>
      <c r="BB596" s="56"/>
      <c r="BC596" s="56"/>
    </row>
    <row r="597" spans="1:55" x14ac:dyDescent="0.2">
      <c r="A597" s="56"/>
      <c r="B597" s="57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6"/>
      <c r="AR597" s="56"/>
      <c r="AS597" s="56"/>
      <c r="AT597" s="56"/>
      <c r="AU597" s="56"/>
      <c r="AV597" s="56"/>
      <c r="AW597" s="56"/>
      <c r="AX597" s="56"/>
      <c r="AY597" s="56"/>
      <c r="AZ597" s="56"/>
      <c r="BA597" s="56"/>
      <c r="BB597" s="56"/>
      <c r="BC597" s="56"/>
    </row>
    <row r="598" spans="1:55" x14ac:dyDescent="0.2">
      <c r="A598" s="56"/>
      <c r="B598" s="57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56"/>
      <c r="AR598" s="56"/>
      <c r="AS598" s="56"/>
      <c r="AT598" s="56"/>
      <c r="AU598" s="56"/>
      <c r="AV598" s="56"/>
      <c r="AW598" s="56"/>
      <c r="AX598" s="56"/>
      <c r="AY598" s="56"/>
      <c r="AZ598" s="56"/>
      <c r="BA598" s="56"/>
      <c r="BB598" s="56"/>
      <c r="BC598" s="56"/>
    </row>
    <row r="599" spans="1:55" x14ac:dyDescent="0.2">
      <c r="A599" s="56"/>
      <c r="B599" s="57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56"/>
      <c r="AR599" s="56"/>
      <c r="AS599" s="56"/>
      <c r="AT599" s="56"/>
      <c r="AU599" s="56"/>
      <c r="AV599" s="56"/>
      <c r="AW599" s="56"/>
      <c r="AX599" s="56"/>
      <c r="AY599" s="56"/>
      <c r="AZ599" s="56"/>
      <c r="BA599" s="56"/>
      <c r="BB599" s="56"/>
      <c r="BC599" s="56"/>
    </row>
    <row r="600" spans="1:55" x14ac:dyDescent="0.2">
      <c r="A600" s="56"/>
      <c r="B600" s="57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  <c r="AO600" s="56"/>
      <c r="AP600" s="56"/>
      <c r="AQ600" s="56"/>
      <c r="AR600" s="56"/>
      <c r="AS600" s="56"/>
      <c r="AT600" s="56"/>
      <c r="AU600" s="56"/>
      <c r="AV600" s="56"/>
      <c r="AW600" s="56"/>
      <c r="AX600" s="56"/>
      <c r="AY600" s="56"/>
      <c r="AZ600" s="56"/>
      <c r="BA600" s="56"/>
      <c r="BB600" s="56"/>
      <c r="BC600" s="56"/>
    </row>
    <row r="601" spans="1:55" x14ac:dyDescent="0.2">
      <c r="A601" s="56"/>
      <c r="B601" s="57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6"/>
      <c r="AQ601" s="56"/>
      <c r="AR601" s="56"/>
      <c r="AS601" s="56"/>
      <c r="AT601" s="56"/>
      <c r="AU601" s="56"/>
      <c r="AV601" s="56"/>
      <c r="AW601" s="56"/>
      <c r="AX601" s="56"/>
      <c r="AY601" s="56"/>
      <c r="AZ601" s="56"/>
      <c r="BA601" s="56"/>
      <c r="BB601" s="56"/>
      <c r="BC601" s="56"/>
    </row>
    <row r="602" spans="1:55" x14ac:dyDescent="0.2">
      <c r="A602" s="56"/>
      <c r="B602" s="57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6"/>
      <c r="AQ602" s="56"/>
      <c r="AR602" s="56"/>
      <c r="AS602" s="56"/>
      <c r="AT602" s="56"/>
      <c r="AU602" s="56"/>
      <c r="AV602" s="56"/>
      <c r="AW602" s="56"/>
      <c r="AX602" s="56"/>
      <c r="AY602" s="56"/>
      <c r="AZ602" s="56"/>
      <c r="BA602" s="56"/>
      <c r="BB602" s="56"/>
      <c r="BC602" s="56"/>
    </row>
    <row r="603" spans="1:55" x14ac:dyDescent="0.2">
      <c r="A603" s="56"/>
      <c r="B603" s="57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56"/>
      <c r="AQ603" s="56"/>
      <c r="AR603" s="56"/>
      <c r="AS603" s="56"/>
      <c r="AT603" s="56"/>
      <c r="AU603" s="56"/>
      <c r="AV603" s="56"/>
      <c r="AW603" s="56"/>
      <c r="AX603" s="56"/>
      <c r="AY603" s="56"/>
      <c r="AZ603" s="56"/>
      <c r="BA603" s="56"/>
      <c r="BB603" s="56"/>
      <c r="BC603" s="56"/>
    </row>
    <row r="604" spans="1:55" x14ac:dyDescent="0.2">
      <c r="A604" s="56"/>
      <c r="B604" s="57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6"/>
      <c r="AQ604" s="56"/>
      <c r="AR604" s="56"/>
      <c r="AS604" s="56"/>
      <c r="AT604" s="56"/>
      <c r="AU604" s="56"/>
      <c r="AV604" s="56"/>
      <c r="AW604" s="56"/>
      <c r="AX604" s="56"/>
      <c r="AY604" s="56"/>
      <c r="AZ604" s="56"/>
      <c r="BA604" s="56"/>
      <c r="BB604" s="56"/>
      <c r="BC604" s="56"/>
    </row>
    <row r="605" spans="1:55" x14ac:dyDescent="0.2">
      <c r="A605" s="56"/>
      <c r="B605" s="57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6"/>
      <c r="AQ605" s="56"/>
      <c r="AR605" s="56"/>
      <c r="AS605" s="56"/>
      <c r="AT605" s="56"/>
      <c r="AU605" s="56"/>
      <c r="AV605" s="56"/>
      <c r="AW605" s="56"/>
      <c r="AX605" s="56"/>
      <c r="AY605" s="56"/>
      <c r="AZ605" s="56"/>
      <c r="BA605" s="56"/>
      <c r="BB605" s="56"/>
      <c r="BC605" s="56"/>
    </row>
    <row r="606" spans="1:55" x14ac:dyDescent="0.2">
      <c r="A606" s="56"/>
      <c r="B606" s="57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P606" s="56"/>
      <c r="AQ606" s="56"/>
      <c r="AR606" s="56"/>
      <c r="AS606" s="56"/>
      <c r="AT606" s="56"/>
      <c r="AU606" s="56"/>
      <c r="AV606" s="56"/>
      <c r="AW606" s="56"/>
      <c r="AX606" s="56"/>
      <c r="AY606" s="56"/>
      <c r="AZ606" s="56"/>
      <c r="BA606" s="56"/>
      <c r="BB606" s="56"/>
      <c r="BC606" s="56"/>
    </row>
    <row r="607" spans="1:55" x14ac:dyDescent="0.2">
      <c r="A607" s="56"/>
      <c r="B607" s="57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6"/>
      <c r="AQ607" s="56"/>
      <c r="AR607" s="56"/>
      <c r="AS607" s="56"/>
      <c r="AT607" s="56"/>
      <c r="AU607" s="56"/>
      <c r="AV607" s="56"/>
      <c r="AW607" s="56"/>
      <c r="AX607" s="56"/>
      <c r="AY607" s="56"/>
      <c r="AZ607" s="56"/>
      <c r="BA607" s="56"/>
      <c r="BB607" s="56"/>
      <c r="BC607" s="56"/>
    </row>
    <row r="608" spans="1:55" x14ac:dyDescent="0.2">
      <c r="A608" s="56"/>
      <c r="B608" s="57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6"/>
      <c r="AQ608" s="56"/>
      <c r="AR608" s="56"/>
      <c r="AS608" s="56"/>
      <c r="AT608" s="56"/>
      <c r="AU608" s="56"/>
      <c r="AV608" s="56"/>
      <c r="AW608" s="56"/>
      <c r="AX608" s="56"/>
      <c r="AY608" s="56"/>
      <c r="AZ608" s="56"/>
      <c r="BA608" s="56"/>
      <c r="BB608" s="56"/>
      <c r="BC608" s="56"/>
    </row>
    <row r="609" spans="1:55" x14ac:dyDescent="0.2">
      <c r="A609" s="56"/>
      <c r="B609" s="57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6"/>
      <c r="AQ609" s="56"/>
      <c r="AR609" s="56"/>
      <c r="AS609" s="56"/>
      <c r="AT609" s="56"/>
      <c r="AU609" s="56"/>
      <c r="AV609" s="56"/>
      <c r="AW609" s="56"/>
      <c r="AX609" s="56"/>
      <c r="AY609" s="56"/>
      <c r="AZ609" s="56"/>
      <c r="BA609" s="56"/>
      <c r="BB609" s="56"/>
      <c r="BC609" s="56"/>
    </row>
    <row r="610" spans="1:55" x14ac:dyDescent="0.2">
      <c r="A610" s="56"/>
      <c r="B610" s="57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6"/>
      <c r="AQ610" s="56"/>
      <c r="AR610" s="56"/>
      <c r="AS610" s="56"/>
      <c r="AT610" s="56"/>
      <c r="AU610" s="56"/>
      <c r="AV610" s="56"/>
      <c r="AW610" s="56"/>
      <c r="AX610" s="56"/>
      <c r="AY610" s="56"/>
      <c r="AZ610" s="56"/>
      <c r="BA610" s="56"/>
      <c r="BB610" s="56"/>
      <c r="BC610" s="56"/>
    </row>
    <row r="611" spans="1:55" x14ac:dyDescent="0.2">
      <c r="A611" s="56"/>
      <c r="B611" s="57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6"/>
      <c r="AQ611" s="56"/>
      <c r="AR611" s="56"/>
      <c r="AS611" s="56"/>
      <c r="AT611" s="56"/>
      <c r="AU611" s="56"/>
      <c r="AV611" s="56"/>
      <c r="AW611" s="56"/>
      <c r="AX611" s="56"/>
      <c r="AY611" s="56"/>
      <c r="AZ611" s="56"/>
      <c r="BA611" s="56"/>
      <c r="BB611" s="56"/>
      <c r="BC611" s="56"/>
    </row>
    <row r="612" spans="1:55" x14ac:dyDescent="0.2">
      <c r="A612" s="56"/>
      <c r="B612" s="57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6"/>
      <c r="AQ612" s="56"/>
      <c r="AR612" s="56"/>
      <c r="AS612" s="56"/>
      <c r="AT612" s="56"/>
      <c r="AU612" s="56"/>
      <c r="AV612" s="56"/>
      <c r="AW612" s="56"/>
      <c r="AX612" s="56"/>
      <c r="AY612" s="56"/>
      <c r="AZ612" s="56"/>
      <c r="BA612" s="56"/>
      <c r="BB612" s="56"/>
      <c r="BC612" s="56"/>
    </row>
    <row r="613" spans="1:55" x14ac:dyDescent="0.2">
      <c r="A613" s="56"/>
      <c r="B613" s="57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6"/>
      <c r="AQ613" s="56"/>
      <c r="AR613" s="56"/>
      <c r="AS613" s="56"/>
      <c r="AT613" s="56"/>
      <c r="AU613" s="56"/>
      <c r="AV613" s="56"/>
      <c r="AW613" s="56"/>
      <c r="AX613" s="56"/>
      <c r="AY613" s="56"/>
      <c r="AZ613" s="56"/>
      <c r="BA613" s="56"/>
      <c r="BB613" s="56"/>
      <c r="BC613" s="56"/>
    </row>
    <row r="614" spans="1:55" x14ac:dyDescent="0.2">
      <c r="A614" s="56"/>
      <c r="B614" s="57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6"/>
      <c r="AQ614" s="56"/>
      <c r="AR614" s="56"/>
      <c r="AS614" s="56"/>
      <c r="AT614" s="56"/>
      <c r="AU614" s="56"/>
      <c r="AV614" s="56"/>
      <c r="AW614" s="56"/>
      <c r="AX614" s="56"/>
      <c r="AY614" s="56"/>
      <c r="AZ614" s="56"/>
      <c r="BA614" s="56"/>
      <c r="BB614" s="56"/>
      <c r="BC614" s="56"/>
    </row>
    <row r="615" spans="1:55" x14ac:dyDescent="0.2">
      <c r="A615" s="56"/>
      <c r="B615" s="57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6"/>
      <c r="AQ615" s="56"/>
      <c r="AR615" s="56"/>
      <c r="AS615" s="56"/>
      <c r="AT615" s="56"/>
      <c r="AU615" s="56"/>
      <c r="AV615" s="56"/>
      <c r="AW615" s="56"/>
      <c r="AX615" s="56"/>
      <c r="AY615" s="56"/>
      <c r="AZ615" s="56"/>
      <c r="BA615" s="56"/>
      <c r="BB615" s="56"/>
      <c r="BC615" s="56"/>
    </row>
    <row r="616" spans="1:55" x14ac:dyDescent="0.2">
      <c r="A616" s="56"/>
      <c r="B616" s="57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6"/>
      <c r="AQ616" s="56"/>
      <c r="AR616" s="56"/>
      <c r="AS616" s="56"/>
      <c r="AT616" s="56"/>
      <c r="AU616" s="56"/>
      <c r="AV616" s="56"/>
      <c r="AW616" s="56"/>
      <c r="AX616" s="56"/>
      <c r="AY616" s="56"/>
      <c r="AZ616" s="56"/>
      <c r="BA616" s="56"/>
      <c r="BB616" s="56"/>
      <c r="BC616" s="56"/>
    </row>
    <row r="617" spans="1:55" x14ac:dyDescent="0.2">
      <c r="A617" s="56"/>
      <c r="B617" s="57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6"/>
      <c r="AQ617" s="56"/>
      <c r="AR617" s="56"/>
      <c r="AS617" s="56"/>
      <c r="AT617" s="56"/>
      <c r="AU617" s="56"/>
      <c r="AV617" s="56"/>
      <c r="AW617" s="56"/>
      <c r="AX617" s="56"/>
      <c r="AY617" s="56"/>
      <c r="AZ617" s="56"/>
      <c r="BA617" s="56"/>
      <c r="BB617" s="56"/>
      <c r="BC617" s="56"/>
    </row>
    <row r="618" spans="1:55" x14ac:dyDescent="0.2">
      <c r="A618" s="56"/>
      <c r="B618" s="57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6"/>
      <c r="AQ618" s="56"/>
      <c r="AR618" s="56"/>
      <c r="AS618" s="56"/>
      <c r="AT618" s="56"/>
      <c r="AU618" s="56"/>
      <c r="AV618" s="56"/>
      <c r="AW618" s="56"/>
      <c r="AX618" s="56"/>
      <c r="AY618" s="56"/>
      <c r="AZ618" s="56"/>
      <c r="BA618" s="56"/>
      <c r="BB618" s="56"/>
      <c r="BC618" s="56"/>
    </row>
    <row r="619" spans="1:55" x14ac:dyDescent="0.2">
      <c r="A619" s="56"/>
      <c r="B619" s="57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6"/>
      <c r="AQ619" s="56"/>
      <c r="AR619" s="56"/>
      <c r="AS619" s="56"/>
      <c r="AT619" s="56"/>
      <c r="AU619" s="56"/>
      <c r="AV619" s="56"/>
      <c r="AW619" s="56"/>
      <c r="AX619" s="56"/>
      <c r="AY619" s="56"/>
      <c r="AZ619" s="56"/>
      <c r="BA619" s="56"/>
      <c r="BB619" s="56"/>
      <c r="BC619" s="56"/>
    </row>
    <row r="620" spans="1:55" x14ac:dyDescent="0.2">
      <c r="A620" s="56"/>
      <c r="B620" s="57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56"/>
      <c r="AQ620" s="56"/>
      <c r="AR620" s="56"/>
      <c r="AS620" s="56"/>
      <c r="AT620" s="56"/>
      <c r="AU620" s="56"/>
      <c r="AV620" s="56"/>
      <c r="AW620" s="56"/>
      <c r="AX620" s="56"/>
      <c r="AY620" s="56"/>
      <c r="AZ620" s="56"/>
      <c r="BA620" s="56"/>
      <c r="BB620" s="56"/>
      <c r="BC620" s="56"/>
    </row>
    <row r="621" spans="1:55" x14ac:dyDescent="0.2">
      <c r="A621" s="56"/>
      <c r="B621" s="57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6"/>
      <c r="AQ621" s="56"/>
      <c r="AR621" s="56"/>
      <c r="AS621" s="56"/>
      <c r="AT621" s="56"/>
      <c r="AU621" s="56"/>
      <c r="AV621" s="56"/>
      <c r="AW621" s="56"/>
      <c r="AX621" s="56"/>
      <c r="AY621" s="56"/>
      <c r="AZ621" s="56"/>
      <c r="BA621" s="56"/>
      <c r="BB621" s="56"/>
      <c r="BC621" s="56"/>
    </row>
    <row r="622" spans="1:55" x14ac:dyDescent="0.2">
      <c r="A622" s="56"/>
      <c r="B622" s="57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6"/>
      <c r="AQ622" s="56"/>
      <c r="AR622" s="56"/>
      <c r="AS622" s="56"/>
      <c r="AT622" s="56"/>
      <c r="AU622" s="56"/>
      <c r="AV622" s="56"/>
      <c r="AW622" s="56"/>
      <c r="AX622" s="56"/>
      <c r="AY622" s="56"/>
      <c r="AZ622" s="56"/>
      <c r="BA622" s="56"/>
      <c r="BB622" s="56"/>
      <c r="BC622" s="56"/>
    </row>
    <row r="623" spans="1:55" x14ac:dyDescent="0.2">
      <c r="A623" s="56"/>
      <c r="B623" s="57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6"/>
      <c r="AQ623" s="56"/>
      <c r="AR623" s="56"/>
      <c r="AS623" s="56"/>
      <c r="AT623" s="56"/>
      <c r="AU623" s="56"/>
      <c r="AV623" s="56"/>
      <c r="AW623" s="56"/>
      <c r="AX623" s="56"/>
      <c r="AY623" s="56"/>
      <c r="AZ623" s="56"/>
      <c r="BA623" s="56"/>
      <c r="BB623" s="56"/>
      <c r="BC623" s="56"/>
    </row>
    <row r="624" spans="1:55" x14ac:dyDescent="0.2">
      <c r="A624" s="56"/>
      <c r="B624" s="57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6"/>
      <c r="AQ624" s="56"/>
      <c r="AR624" s="56"/>
      <c r="AS624" s="56"/>
      <c r="AT624" s="56"/>
      <c r="AU624" s="56"/>
      <c r="AV624" s="56"/>
      <c r="AW624" s="56"/>
      <c r="AX624" s="56"/>
      <c r="AY624" s="56"/>
      <c r="AZ624" s="56"/>
      <c r="BA624" s="56"/>
      <c r="BB624" s="56"/>
      <c r="BC624" s="56"/>
    </row>
    <row r="625" spans="1:55" x14ac:dyDescent="0.2">
      <c r="A625" s="56"/>
      <c r="B625" s="57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6"/>
      <c r="AQ625" s="56"/>
      <c r="AR625" s="56"/>
      <c r="AS625" s="56"/>
      <c r="AT625" s="56"/>
      <c r="AU625" s="56"/>
      <c r="AV625" s="56"/>
      <c r="AW625" s="56"/>
      <c r="AX625" s="56"/>
      <c r="AY625" s="56"/>
      <c r="AZ625" s="56"/>
      <c r="BA625" s="56"/>
      <c r="BB625" s="56"/>
      <c r="BC625" s="56"/>
    </row>
    <row r="626" spans="1:55" x14ac:dyDescent="0.2">
      <c r="A626" s="56"/>
      <c r="B626" s="57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6"/>
      <c r="AQ626" s="56"/>
      <c r="AR626" s="56"/>
      <c r="AS626" s="56"/>
      <c r="AT626" s="56"/>
      <c r="AU626" s="56"/>
      <c r="AV626" s="56"/>
      <c r="AW626" s="56"/>
      <c r="AX626" s="56"/>
      <c r="AY626" s="56"/>
      <c r="AZ626" s="56"/>
      <c r="BA626" s="56"/>
      <c r="BB626" s="56"/>
      <c r="BC626" s="56"/>
    </row>
    <row r="627" spans="1:55" x14ac:dyDescent="0.2">
      <c r="A627" s="56"/>
      <c r="B627" s="57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6"/>
      <c r="AQ627" s="56"/>
      <c r="AR627" s="56"/>
      <c r="AS627" s="56"/>
      <c r="AT627" s="56"/>
      <c r="AU627" s="56"/>
      <c r="AV627" s="56"/>
      <c r="AW627" s="56"/>
      <c r="AX627" s="56"/>
      <c r="AY627" s="56"/>
      <c r="AZ627" s="56"/>
      <c r="BA627" s="56"/>
      <c r="BB627" s="56"/>
      <c r="BC627" s="56"/>
    </row>
    <row r="628" spans="1:55" x14ac:dyDescent="0.2">
      <c r="A628" s="56"/>
      <c r="B628" s="57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  <c r="AP628" s="56"/>
      <c r="AQ628" s="56"/>
      <c r="AR628" s="56"/>
      <c r="AS628" s="56"/>
      <c r="AT628" s="56"/>
      <c r="AU628" s="56"/>
      <c r="AV628" s="56"/>
      <c r="AW628" s="56"/>
      <c r="AX628" s="56"/>
      <c r="AY628" s="56"/>
      <c r="AZ628" s="56"/>
      <c r="BA628" s="56"/>
      <c r="BB628" s="56"/>
      <c r="BC628" s="56"/>
    </row>
    <row r="629" spans="1:55" x14ac:dyDescent="0.2">
      <c r="A629" s="56"/>
      <c r="B629" s="57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6"/>
      <c r="AQ629" s="56"/>
      <c r="AR629" s="56"/>
      <c r="AS629" s="56"/>
      <c r="AT629" s="56"/>
      <c r="AU629" s="56"/>
      <c r="AV629" s="56"/>
      <c r="AW629" s="56"/>
      <c r="AX629" s="56"/>
      <c r="AY629" s="56"/>
      <c r="AZ629" s="56"/>
      <c r="BA629" s="56"/>
      <c r="BB629" s="56"/>
      <c r="BC629" s="56"/>
    </row>
    <row r="630" spans="1:55" x14ac:dyDescent="0.2">
      <c r="A630" s="56"/>
      <c r="B630" s="57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  <c r="AX630" s="56"/>
      <c r="AY630" s="56"/>
      <c r="AZ630" s="56"/>
      <c r="BA630" s="56"/>
      <c r="BB630" s="56"/>
      <c r="BC630" s="56"/>
    </row>
    <row r="631" spans="1:55" x14ac:dyDescent="0.2">
      <c r="A631" s="56"/>
      <c r="B631" s="57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  <c r="AP631" s="56"/>
      <c r="AQ631" s="56"/>
      <c r="AR631" s="56"/>
      <c r="AS631" s="56"/>
      <c r="AT631" s="56"/>
      <c r="AU631" s="56"/>
      <c r="AV631" s="56"/>
      <c r="AW631" s="56"/>
      <c r="AX631" s="56"/>
      <c r="AY631" s="56"/>
      <c r="AZ631" s="56"/>
      <c r="BA631" s="56"/>
      <c r="BB631" s="56"/>
      <c r="BC631" s="56"/>
    </row>
    <row r="632" spans="1:55" x14ac:dyDescent="0.2">
      <c r="A632" s="56"/>
      <c r="B632" s="57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6"/>
      <c r="AP632" s="56"/>
      <c r="AQ632" s="56"/>
      <c r="AR632" s="56"/>
      <c r="AS632" s="56"/>
      <c r="AT632" s="56"/>
      <c r="AU632" s="56"/>
      <c r="AV632" s="56"/>
      <c r="AW632" s="56"/>
      <c r="AX632" s="56"/>
      <c r="AY632" s="56"/>
      <c r="AZ632" s="56"/>
      <c r="BA632" s="56"/>
      <c r="BB632" s="56"/>
      <c r="BC632" s="56"/>
    </row>
    <row r="633" spans="1:55" x14ac:dyDescent="0.2">
      <c r="A633" s="56"/>
      <c r="B633" s="57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  <c r="AP633" s="56"/>
      <c r="AQ633" s="56"/>
      <c r="AR633" s="56"/>
      <c r="AS633" s="56"/>
      <c r="AT633" s="56"/>
      <c r="AU633" s="56"/>
      <c r="AV633" s="56"/>
      <c r="AW633" s="56"/>
      <c r="AX633" s="56"/>
      <c r="AY633" s="56"/>
      <c r="AZ633" s="56"/>
      <c r="BA633" s="56"/>
      <c r="BB633" s="56"/>
      <c r="BC633" s="56"/>
    </row>
    <row r="634" spans="1:55" x14ac:dyDescent="0.2">
      <c r="A634" s="56"/>
      <c r="B634" s="57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6"/>
      <c r="AP634" s="56"/>
      <c r="AQ634" s="56"/>
      <c r="AR634" s="56"/>
      <c r="AS634" s="56"/>
      <c r="AT634" s="56"/>
      <c r="AU634" s="56"/>
      <c r="AV634" s="56"/>
      <c r="AW634" s="56"/>
      <c r="AX634" s="56"/>
      <c r="AY634" s="56"/>
      <c r="AZ634" s="56"/>
      <c r="BA634" s="56"/>
      <c r="BB634" s="56"/>
      <c r="BC634" s="56"/>
    </row>
    <row r="635" spans="1:55" x14ac:dyDescent="0.2">
      <c r="A635" s="56"/>
      <c r="B635" s="57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  <c r="AP635" s="56"/>
      <c r="AQ635" s="56"/>
      <c r="AR635" s="56"/>
      <c r="AS635" s="56"/>
      <c r="AT635" s="56"/>
      <c r="AU635" s="56"/>
      <c r="AV635" s="56"/>
      <c r="AW635" s="56"/>
      <c r="AX635" s="56"/>
      <c r="AY635" s="56"/>
      <c r="AZ635" s="56"/>
      <c r="BA635" s="56"/>
      <c r="BB635" s="56"/>
      <c r="BC635" s="56"/>
    </row>
    <row r="636" spans="1:55" x14ac:dyDescent="0.2">
      <c r="A636" s="56"/>
      <c r="B636" s="57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  <c r="AP636" s="56"/>
      <c r="AQ636" s="56"/>
      <c r="AR636" s="56"/>
      <c r="AS636" s="56"/>
      <c r="AT636" s="56"/>
      <c r="AU636" s="56"/>
      <c r="AV636" s="56"/>
      <c r="AW636" s="56"/>
      <c r="AX636" s="56"/>
      <c r="AY636" s="56"/>
      <c r="AZ636" s="56"/>
      <c r="BA636" s="56"/>
      <c r="BB636" s="56"/>
      <c r="BC636" s="56"/>
    </row>
    <row r="637" spans="1:55" x14ac:dyDescent="0.2">
      <c r="A637" s="56"/>
      <c r="B637" s="57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56"/>
      <c r="AQ637" s="56"/>
      <c r="AR637" s="56"/>
      <c r="AS637" s="56"/>
      <c r="AT637" s="56"/>
      <c r="AU637" s="56"/>
      <c r="AV637" s="56"/>
      <c r="AW637" s="56"/>
      <c r="AX637" s="56"/>
      <c r="AY637" s="56"/>
      <c r="AZ637" s="56"/>
      <c r="BA637" s="56"/>
      <c r="BB637" s="56"/>
      <c r="BC637" s="56"/>
    </row>
    <row r="638" spans="1:55" x14ac:dyDescent="0.2">
      <c r="A638" s="56"/>
      <c r="B638" s="57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6"/>
      <c r="AQ638" s="56"/>
      <c r="AR638" s="56"/>
      <c r="AS638" s="56"/>
      <c r="AT638" s="56"/>
      <c r="AU638" s="56"/>
      <c r="AV638" s="56"/>
      <c r="AW638" s="56"/>
      <c r="AX638" s="56"/>
      <c r="AY638" s="56"/>
      <c r="AZ638" s="56"/>
      <c r="BA638" s="56"/>
      <c r="BB638" s="56"/>
      <c r="BC638" s="56"/>
    </row>
    <row r="639" spans="1:55" x14ac:dyDescent="0.2">
      <c r="A639" s="56"/>
      <c r="B639" s="57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6"/>
      <c r="AQ639" s="56"/>
      <c r="AR639" s="56"/>
      <c r="AS639" s="56"/>
      <c r="AT639" s="56"/>
      <c r="AU639" s="56"/>
      <c r="AV639" s="56"/>
      <c r="AW639" s="56"/>
      <c r="AX639" s="56"/>
      <c r="AY639" s="56"/>
      <c r="AZ639" s="56"/>
      <c r="BA639" s="56"/>
      <c r="BB639" s="56"/>
      <c r="BC639" s="56"/>
    </row>
    <row r="640" spans="1:55" x14ac:dyDescent="0.2">
      <c r="A640" s="56"/>
      <c r="B640" s="57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6"/>
      <c r="AQ640" s="56"/>
      <c r="AR640" s="56"/>
      <c r="AS640" s="56"/>
      <c r="AT640" s="56"/>
      <c r="AU640" s="56"/>
      <c r="AV640" s="56"/>
      <c r="AW640" s="56"/>
      <c r="AX640" s="56"/>
      <c r="AY640" s="56"/>
      <c r="AZ640" s="56"/>
      <c r="BA640" s="56"/>
      <c r="BB640" s="56"/>
      <c r="BC640" s="56"/>
    </row>
    <row r="641" spans="1:55" x14ac:dyDescent="0.2">
      <c r="A641" s="56"/>
      <c r="B641" s="57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6"/>
      <c r="AQ641" s="56"/>
      <c r="AR641" s="56"/>
      <c r="AS641" s="56"/>
      <c r="AT641" s="56"/>
      <c r="AU641" s="56"/>
      <c r="AV641" s="56"/>
      <c r="AW641" s="56"/>
      <c r="AX641" s="56"/>
      <c r="AY641" s="56"/>
      <c r="AZ641" s="56"/>
      <c r="BA641" s="56"/>
      <c r="BB641" s="56"/>
      <c r="BC641" s="56"/>
    </row>
    <row r="642" spans="1:55" x14ac:dyDescent="0.2">
      <c r="A642" s="56"/>
      <c r="B642" s="57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56"/>
      <c r="AQ642" s="56"/>
      <c r="AR642" s="56"/>
      <c r="AS642" s="56"/>
      <c r="AT642" s="56"/>
      <c r="AU642" s="56"/>
      <c r="AV642" s="56"/>
      <c r="AW642" s="56"/>
      <c r="AX642" s="56"/>
      <c r="AY642" s="56"/>
      <c r="AZ642" s="56"/>
      <c r="BA642" s="56"/>
      <c r="BB642" s="56"/>
      <c r="BC642" s="56"/>
    </row>
    <row r="643" spans="1:55" x14ac:dyDescent="0.2">
      <c r="A643" s="56"/>
      <c r="B643" s="57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  <c r="AP643" s="56"/>
      <c r="AQ643" s="56"/>
      <c r="AR643" s="56"/>
      <c r="AS643" s="56"/>
      <c r="AT643" s="56"/>
      <c r="AU643" s="56"/>
      <c r="AV643" s="56"/>
      <c r="AW643" s="56"/>
      <c r="AX643" s="56"/>
      <c r="AY643" s="56"/>
      <c r="AZ643" s="56"/>
      <c r="BA643" s="56"/>
      <c r="BB643" s="56"/>
      <c r="BC643" s="56"/>
    </row>
    <row r="644" spans="1:55" x14ac:dyDescent="0.2">
      <c r="A644" s="56"/>
      <c r="B644" s="57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6"/>
      <c r="AQ644" s="56"/>
      <c r="AR644" s="56"/>
      <c r="AS644" s="56"/>
      <c r="AT644" s="56"/>
      <c r="AU644" s="56"/>
      <c r="AV644" s="56"/>
      <c r="AW644" s="56"/>
      <c r="AX644" s="56"/>
      <c r="AY644" s="56"/>
      <c r="AZ644" s="56"/>
      <c r="BA644" s="56"/>
      <c r="BB644" s="56"/>
      <c r="BC644" s="56"/>
    </row>
    <row r="645" spans="1:55" x14ac:dyDescent="0.2">
      <c r="A645" s="56"/>
      <c r="B645" s="57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  <c r="AP645" s="56"/>
      <c r="AQ645" s="56"/>
      <c r="AR645" s="56"/>
      <c r="AS645" s="56"/>
      <c r="AT645" s="56"/>
      <c r="AU645" s="56"/>
      <c r="AV645" s="56"/>
      <c r="AW645" s="56"/>
      <c r="AX645" s="56"/>
      <c r="AY645" s="56"/>
      <c r="AZ645" s="56"/>
      <c r="BA645" s="56"/>
      <c r="BB645" s="56"/>
      <c r="BC645" s="56"/>
    </row>
    <row r="646" spans="1:55" x14ac:dyDescent="0.2">
      <c r="A646" s="56"/>
      <c r="B646" s="57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6"/>
      <c r="AQ646" s="56"/>
      <c r="AR646" s="56"/>
      <c r="AS646" s="56"/>
      <c r="AT646" s="56"/>
      <c r="AU646" s="56"/>
      <c r="AV646" s="56"/>
      <c r="AW646" s="56"/>
      <c r="AX646" s="56"/>
      <c r="AY646" s="56"/>
      <c r="AZ646" s="56"/>
      <c r="BA646" s="56"/>
      <c r="BB646" s="56"/>
      <c r="BC646" s="56"/>
    </row>
    <row r="647" spans="1:55" x14ac:dyDescent="0.2">
      <c r="A647" s="56"/>
      <c r="B647" s="57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6"/>
      <c r="AQ647" s="56"/>
      <c r="AR647" s="56"/>
      <c r="AS647" s="56"/>
      <c r="AT647" s="56"/>
      <c r="AU647" s="56"/>
      <c r="AV647" s="56"/>
      <c r="AW647" s="56"/>
      <c r="AX647" s="56"/>
      <c r="AY647" s="56"/>
      <c r="AZ647" s="56"/>
      <c r="BA647" s="56"/>
      <c r="BB647" s="56"/>
      <c r="BC647" s="56"/>
    </row>
    <row r="648" spans="1:55" x14ac:dyDescent="0.2">
      <c r="A648" s="56"/>
      <c r="B648" s="57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6"/>
      <c r="AQ648" s="56"/>
      <c r="AR648" s="56"/>
      <c r="AS648" s="56"/>
      <c r="AT648" s="56"/>
      <c r="AU648" s="56"/>
      <c r="AV648" s="56"/>
      <c r="AW648" s="56"/>
      <c r="AX648" s="56"/>
      <c r="AY648" s="56"/>
      <c r="AZ648" s="56"/>
      <c r="BA648" s="56"/>
      <c r="BB648" s="56"/>
      <c r="BC648" s="56"/>
    </row>
    <row r="649" spans="1:55" x14ac:dyDescent="0.2">
      <c r="A649" s="56"/>
      <c r="B649" s="57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6"/>
      <c r="AP649" s="56"/>
      <c r="AQ649" s="56"/>
      <c r="AR649" s="56"/>
      <c r="AS649" s="56"/>
      <c r="AT649" s="56"/>
      <c r="AU649" s="56"/>
      <c r="AV649" s="56"/>
      <c r="AW649" s="56"/>
      <c r="AX649" s="56"/>
      <c r="AY649" s="56"/>
      <c r="AZ649" s="56"/>
      <c r="BA649" s="56"/>
      <c r="BB649" s="56"/>
      <c r="BC649" s="56"/>
    </row>
    <row r="650" spans="1:55" x14ac:dyDescent="0.2">
      <c r="A650" s="56"/>
      <c r="B650" s="57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56"/>
      <c r="AQ650" s="56"/>
      <c r="AR650" s="56"/>
      <c r="AS650" s="56"/>
      <c r="AT650" s="56"/>
      <c r="AU650" s="56"/>
      <c r="AV650" s="56"/>
      <c r="AW650" s="56"/>
      <c r="AX650" s="56"/>
      <c r="AY650" s="56"/>
      <c r="AZ650" s="56"/>
      <c r="BA650" s="56"/>
      <c r="BB650" s="56"/>
      <c r="BC650" s="56"/>
    </row>
    <row r="651" spans="1:55" x14ac:dyDescent="0.2">
      <c r="A651" s="56"/>
      <c r="B651" s="57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6"/>
      <c r="AP651" s="56"/>
      <c r="AQ651" s="56"/>
      <c r="AR651" s="56"/>
      <c r="AS651" s="56"/>
      <c r="AT651" s="56"/>
      <c r="AU651" s="56"/>
      <c r="AV651" s="56"/>
      <c r="AW651" s="56"/>
      <c r="AX651" s="56"/>
      <c r="AY651" s="56"/>
      <c r="AZ651" s="56"/>
      <c r="BA651" s="56"/>
      <c r="BB651" s="56"/>
      <c r="BC651" s="56"/>
    </row>
    <row r="652" spans="1:55" x14ac:dyDescent="0.2">
      <c r="A652" s="56"/>
      <c r="B652" s="57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56"/>
      <c r="AR652" s="56"/>
      <c r="AS652" s="56"/>
      <c r="AT652" s="56"/>
      <c r="AU652" s="56"/>
      <c r="AV652" s="56"/>
      <c r="AW652" s="56"/>
      <c r="AX652" s="56"/>
      <c r="AY652" s="56"/>
      <c r="AZ652" s="56"/>
      <c r="BA652" s="56"/>
      <c r="BB652" s="56"/>
      <c r="BC652" s="56"/>
    </row>
    <row r="653" spans="1:55" x14ac:dyDescent="0.2">
      <c r="A653" s="56"/>
      <c r="B653" s="57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6"/>
      <c r="AP653" s="56"/>
      <c r="AQ653" s="56"/>
      <c r="AR653" s="56"/>
      <c r="AS653" s="56"/>
      <c r="AT653" s="56"/>
      <c r="AU653" s="56"/>
      <c r="AV653" s="56"/>
      <c r="AW653" s="56"/>
      <c r="AX653" s="56"/>
      <c r="AY653" s="56"/>
      <c r="AZ653" s="56"/>
      <c r="BA653" s="56"/>
      <c r="BB653" s="56"/>
      <c r="BC653" s="56"/>
    </row>
    <row r="654" spans="1:55" x14ac:dyDescent="0.2">
      <c r="A654" s="56"/>
      <c r="B654" s="57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  <c r="AO654" s="56"/>
      <c r="AP654" s="56"/>
      <c r="AQ654" s="56"/>
      <c r="AR654" s="56"/>
      <c r="AS654" s="56"/>
      <c r="AT654" s="56"/>
      <c r="AU654" s="56"/>
      <c r="AV654" s="56"/>
      <c r="AW654" s="56"/>
      <c r="AX654" s="56"/>
      <c r="AY654" s="56"/>
      <c r="AZ654" s="56"/>
      <c r="BA654" s="56"/>
      <c r="BB654" s="56"/>
      <c r="BC654" s="56"/>
    </row>
    <row r="655" spans="1:55" x14ac:dyDescent="0.2">
      <c r="A655" s="56"/>
      <c r="B655" s="57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6"/>
      <c r="AQ655" s="56"/>
      <c r="AR655" s="56"/>
      <c r="AS655" s="56"/>
      <c r="AT655" s="56"/>
      <c r="AU655" s="56"/>
      <c r="AV655" s="56"/>
      <c r="AW655" s="56"/>
      <c r="AX655" s="56"/>
      <c r="AY655" s="56"/>
      <c r="AZ655" s="56"/>
      <c r="BA655" s="56"/>
      <c r="BB655" s="56"/>
      <c r="BC655" s="56"/>
    </row>
    <row r="656" spans="1:55" x14ac:dyDescent="0.2">
      <c r="A656" s="56"/>
      <c r="B656" s="57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  <c r="AP656" s="56"/>
      <c r="AQ656" s="56"/>
      <c r="AR656" s="56"/>
      <c r="AS656" s="56"/>
      <c r="AT656" s="56"/>
      <c r="AU656" s="56"/>
      <c r="AV656" s="56"/>
      <c r="AW656" s="56"/>
      <c r="AX656" s="56"/>
      <c r="AY656" s="56"/>
      <c r="AZ656" s="56"/>
      <c r="BA656" s="56"/>
      <c r="BB656" s="56"/>
      <c r="BC656" s="56"/>
    </row>
    <row r="657" spans="1:55" x14ac:dyDescent="0.2">
      <c r="A657" s="56"/>
      <c r="B657" s="57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6"/>
      <c r="AQ657" s="56"/>
      <c r="AR657" s="56"/>
      <c r="AS657" s="56"/>
      <c r="AT657" s="56"/>
      <c r="AU657" s="56"/>
      <c r="AV657" s="56"/>
      <c r="AW657" s="56"/>
      <c r="AX657" s="56"/>
      <c r="AY657" s="56"/>
      <c r="AZ657" s="56"/>
      <c r="BA657" s="56"/>
      <c r="BB657" s="56"/>
      <c r="BC657" s="56"/>
    </row>
    <row r="658" spans="1:55" x14ac:dyDescent="0.2">
      <c r="A658" s="56"/>
      <c r="B658" s="57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56"/>
      <c r="AQ658" s="56"/>
      <c r="AR658" s="56"/>
      <c r="AS658" s="56"/>
      <c r="AT658" s="56"/>
      <c r="AU658" s="56"/>
      <c r="AV658" s="56"/>
      <c r="AW658" s="56"/>
      <c r="AX658" s="56"/>
      <c r="AY658" s="56"/>
      <c r="AZ658" s="56"/>
      <c r="BA658" s="56"/>
      <c r="BB658" s="56"/>
      <c r="BC658" s="56"/>
    </row>
    <row r="659" spans="1:55" x14ac:dyDescent="0.2">
      <c r="A659" s="56"/>
      <c r="B659" s="57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6"/>
      <c r="AQ659" s="56"/>
      <c r="AR659" s="56"/>
      <c r="AS659" s="56"/>
      <c r="AT659" s="56"/>
      <c r="AU659" s="56"/>
      <c r="AV659" s="56"/>
      <c r="AW659" s="56"/>
      <c r="AX659" s="56"/>
      <c r="AY659" s="56"/>
      <c r="AZ659" s="56"/>
      <c r="BA659" s="56"/>
      <c r="BB659" s="56"/>
      <c r="BC659" s="56"/>
    </row>
    <row r="660" spans="1:55" x14ac:dyDescent="0.2">
      <c r="A660" s="56"/>
      <c r="B660" s="57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6"/>
      <c r="AP660" s="56"/>
      <c r="AQ660" s="56"/>
      <c r="AR660" s="56"/>
      <c r="AS660" s="56"/>
      <c r="AT660" s="56"/>
      <c r="AU660" s="56"/>
      <c r="AV660" s="56"/>
      <c r="AW660" s="56"/>
      <c r="AX660" s="56"/>
      <c r="AY660" s="56"/>
      <c r="AZ660" s="56"/>
      <c r="BA660" s="56"/>
      <c r="BB660" s="56"/>
      <c r="BC660" s="56"/>
    </row>
    <row r="661" spans="1:55" x14ac:dyDescent="0.2">
      <c r="A661" s="56"/>
      <c r="B661" s="57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56"/>
      <c r="AQ661" s="56"/>
      <c r="AR661" s="56"/>
      <c r="AS661" s="56"/>
      <c r="AT661" s="56"/>
      <c r="AU661" s="56"/>
      <c r="AV661" s="56"/>
      <c r="AW661" s="56"/>
      <c r="AX661" s="56"/>
      <c r="AY661" s="56"/>
      <c r="AZ661" s="56"/>
      <c r="BA661" s="56"/>
      <c r="BB661" s="56"/>
      <c r="BC661" s="56"/>
    </row>
    <row r="662" spans="1:55" x14ac:dyDescent="0.2">
      <c r="A662" s="56"/>
      <c r="B662" s="57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  <c r="AP662" s="56"/>
      <c r="AQ662" s="56"/>
      <c r="AR662" s="56"/>
      <c r="AS662" s="56"/>
      <c r="AT662" s="56"/>
      <c r="AU662" s="56"/>
      <c r="AV662" s="56"/>
      <c r="AW662" s="56"/>
      <c r="AX662" s="56"/>
      <c r="AY662" s="56"/>
      <c r="AZ662" s="56"/>
      <c r="BA662" s="56"/>
      <c r="BB662" s="56"/>
      <c r="BC662" s="56"/>
    </row>
    <row r="663" spans="1:55" x14ac:dyDescent="0.2">
      <c r="A663" s="56"/>
      <c r="B663" s="57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56"/>
      <c r="AR663" s="56"/>
      <c r="AS663" s="56"/>
      <c r="AT663" s="56"/>
      <c r="AU663" s="56"/>
      <c r="AV663" s="56"/>
      <c r="AW663" s="56"/>
      <c r="AX663" s="56"/>
      <c r="AY663" s="56"/>
      <c r="AZ663" s="56"/>
      <c r="BA663" s="56"/>
      <c r="BB663" s="56"/>
      <c r="BC663" s="56"/>
    </row>
    <row r="664" spans="1:55" x14ac:dyDescent="0.2">
      <c r="A664" s="56"/>
      <c r="B664" s="57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6"/>
      <c r="AQ664" s="56"/>
      <c r="AR664" s="56"/>
      <c r="AS664" s="56"/>
      <c r="AT664" s="56"/>
      <c r="AU664" s="56"/>
      <c r="AV664" s="56"/>
      <c r="AW664" s="56"/>
      <c r="AX664" s="56"/>
      <c r="AY664" s="56"/>
      <c r="AZ664" s="56"/>
      <c r="BA664" s="56"/>
      <c r="BB664" s="56"/>
      <c r="BC664" s="56"/>
    </row>
    <row r="665" spans="1:55" x14ac:dyDescent="0.2">
      <c r="A665" s="56"/>
      <c r="B665" s="57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6"/>
      <c r="AQ665" s="56"/>
      <c r="AR665" s="56"/>
      <c r="AS665" s="56"/>
      <c r="AT665" s="56"/>
      <c r="AU665" s="56"/>
      <c r="AV665" s="56"/>
      <c r="AW665" s="56"/>
      <c r="AX665" s="56"/>
      <c r="AY665" s="56"/>
      <c r="AZ665" s="56"/>
      <c r="BA665" s="56"/>
      <c r="BB665" s="56"/>
      <c r="BC665" s="56"/>
    </row>
    <row r="666" spans="1:55" x14ac:dyDescent="0.2">
      <c r="A666" s="56"/>
      <c r="B666" s="57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6"/>
      <c r="AQ666" s="56"/>
      <c r="AR666" s="56"/>
      <c r="AS666" s="56"/>
      <c r="AT666" s="56"/>
      <c r="AU666" s="56"/>
      <c r="AV666" s="56"/>
      <c r="AW666" s="56"/>
      <c r="AX666" s="56"/>
      <c r="AY666" s="56"/>
      <c r="AZ666" s="56"/>
      <c r="BA666" s="56"/>
      <c r="BB666" s="56"/>
      <c r="BC666" s="56"/>
    </row>
    <row r="667" spans="1:55" x14ac:dyDescent="0.2">
      <c r="A667" s="56"/>
      <c r="B667" s="57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6"/>
      <c r="AP667" s="56"/>
      <c r="AQ667" s="56"/>
      <c r="AR667" s="56"/>
      <c r="AS667" s="56"/>
      <c r="AT667" s="56"/>
      <c r="AU667" s="56"/>
      <c r="AV667" s="56"/>
      <c r="AW667" s="56"/>
      <c r="AX667" s="56"/>
      <c r="AY667" s="56"/>
      <c r="AZ667" s="56"/>
      <c r="BA667" s="56"/>
      <c r="BB667" s="56"/>
      <c r="BC667" s="56"/>
    </row>
    <row r="668" spans="1:55" x14ac:dyDescent="0.2">
      <c r="A668" s="56"/>
      <c r="B668" s="57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6"/>
      <c r="AQ668" s="56"/>
      <c r="AR668" s="56"/>
      <c r="AS668" s="56"/>
      <c r="AT668" s="56"/>
      <c r="AU668" s="56"/>
      <c r="AV668" s="56"/>
      <c r="AW668" s="56"/>
      <c r="AX668" s="56"/>
      <c r="AY668" s="56"/>
      <c r="AZ668" s="56"/>
      <c r="BA668" s="56"/>
      <c r="BB668" s="56"/>
      <c r="BC668" s="56"/>
    </row>
    <row r="669" spans="1:55" x14ac:dyDescent="0.2">
      <c r="A669" s="56"/>
      <c r="B669" s="57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6"/>
      <c r="AQ669" s="56"/>
      <c r="AR669" s="56"/>
      <c r="AS669" s="56"/>
      <c r="AT669" s="56"/>
      <c r="AU669" s="56"/>
      <c r="AV669" s="56"/>
      <c r="AW669" s="56"/>
      <c r="AX669" s="56"/>
      <c r="AY669" s="56"/>
      <c r="AZ669" s="56"/>
      <c r="BA669" s="56"/>
      <c r="BB669" s="56"/>
      <c r="BC669" s="56"/>
    </row>
    <row r="670" spans="1:55" x14ac:dyDescent="0.2">
      <c r="A670" s="56"/>
      <c r="B670" s="57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6"/>
      <c r="AQ670" s="56"/>
      <c r="AR670" s="56"/>
      <c r="AS670" s="56"/>
      <c r="AT670" s="56"/>
      <c r="AU670" s="56"/>
      <c r="AV670" s="56"/>
      <c r="AW670" s="56"/>
      <c r="AX670" s="56"/>
      <c r="AY670" s="56"/>
      <c r="AZ670" s="56"/>
      <c r="BA670" s="56"/>
      <c r="BB670" s="56"/>
      <c r="BC670" s="56"/>
    </row>
    <row r="671" spans="1:55" x14ac:dyDescent="0.2">
      <c r="A671" s="56"/>
      <c r="B671" s="57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6"/>
      <c r="AQ671" s="56"/>
      <c r="AR671" s="56"/>
      <c r="AS671" s="56"/>
      <c r="AT671" s="56"/>
      <c r="AU671" s="56"/>
      <c r="AV671" s="56"/>
      <c r="AW671" s="56"/>
      <c r="AX671" s="56"/>
      <c r="AY671" s="56"/>
      <c r="AZ671" s="56"/>
      <c r="BA671" s="56"/>
      <c r="BB671" s="56"/>
      <c r="BC671" s="56"/>
    </row>
    <row r="672" spans="1:55" x14ac:dyDescent="0.2">
      <c r="A672" s="56"/>
      <c r="B672" s="57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  <c r="AP672" s="56"/>
      <c r="AQ672" s="56"/>
      <c r="AR672" s="56"/>
      <c r="AS672" s="56"/>
      <c r="AT672" s="56"/>
      <c r="AU672" s="56"/>
      <c r="AV672" s="56"/>
      <c r="AW672" s="56"/>
      <c r="AX672" s="56"/>
      <c r="AY672" s="56"/>
      <c r="AZ672" s="56"/>
      <c r="BA672" s="56"/>
      <c r="BB672" s="56"/>
      <c r="BC672" s="56"/>
    </row>
    <row r="673" spans="1:55" x14ac:dyDescent="0.2">
      <c r="A673" s="56"/>
      <c r="B673" s="57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  <c r="AO673" s="56"/>
      <c r="AP673" s="56"/>
      <c r="AQ673" s="56"/>
      <c r="AR673" s="56"/>
      <c r="AS673" s="56"/>
      <c r="AT673" s="56"/>
      <c r="AU673" s="56"/>
      <c r="AV673" s="56"/>
      <c r="AW673" s="56"/>
      <c r="AX673" s="56"/>
      <c r="AY673" s="56"/>
      <c r="AZ673" s="56"/>
      <c r="BA673" s="56"/>
      <c r="BB673" s="56"/>
      <c r="BC673" s="56"/>
    </row>
    <row r="674" spans="1:55" x14ac:dyDescent="0.2">
      <c r="A674" s="56"/>
      <c r="B674" s="57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6"/>
      <c r="AP674" s="56"/>
      <c r="AQ674" s="56"/>
      <c r="AR674" s="56"/>
      <c r="AS674" s="56"/>
      <c r="AT674" s="56"/>
      <c r="AU674" s="56"/>
      <c r="AV674" s="56"/>
      <c r="AW674" s="56"/>
      <c r="AX674" s="56"/>
      <c r="AY674" s="56"/>
      <c r="AZ674" s="56"/>
      <c r="BA674" s="56"/>
      <c r="BB674" s="56"/>
      <c r="BC674" s="56"/>
    </row>
    <row r="675" spans="1:55" x14ac:dyDescent="0.2">
      <c r="A675" s="56"/>
      <c r="B675" s="57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  <c r="AO675" s="56"/>
      <c r="AP675" s="56"/>
      <c r="AQ675" s="56"/>
      <c r="AR675" s="56"/>
      <c r="AS675" s="56"/>
      <c r="AT675" s="56"/>
      <c r="AU675" s="56"/>
      <c r="AV675" s="56"/>
      <c r="AW675" s="56"/>
      <c r="AX675" s="56"/>
      <c r="AY675" s="56"/>
      <c r="AZ675" s="56"/>
      <c r="BA675" s="56"/>
      <c r="BB675" s="56"/>
      <c r="BC675" s="56"/>
    </row>
    <row r="676" spans="1:55" x14ac:dyDescent="0.2">
      <c r="A676" s="56"/>
      <c r="B676" s="57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  <c r="AO676" s="56"/>
      <c r="AP676" s="56"/>
      <c r="AQ676" s="56"/>
      <c r="AR676" s="56"/>
      <c r="AS676" s="56"/>
      <c r="AT676" s="56"/>
      <c r="AU676" s="56"/>
      <c r="AV676" s="56"/>
      <c r="AW676" s="56"/>
      <c r="AX676" s="56"/>
      <c r="AY676" s="56"/>
      <c r="AZ676" s="56"/>
      <c r="BA676" s="56"/>
      <c r="BB676" s="56"/>
      <c r="BC676" s="56"/>
    </row>
    <row r="677" spans="1:55" x14ac:dyDescent="0.2">
      <c r="A677" s="56"/>
      <c r="B677" s="57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  <c r="AP677" s="56"/>
      <c r="AQ677" s="56"/>
      <c r="AR677" s="56"/>
      <c r="AS677" s="56"/>
      <c r="AT677" s="56"/>
      <c r="AU677" s="56"/>
      <c r="AV677" s="56"/>
      <c r="AW677" s="56"/>
      <c r="AX677" s="56"/>
      <c r="AY677" s="56"/>
      <c r="AZ677" s="56"/>
      <c r="BA677" s="56"/>
      <c r="BB677" s="56"/>
      <c r="BC677" s="56"/>
    </row>
    <row r="678" spans="1:55" x14ac:dyDescent="0.2">
      <c r="A678" s="56"/>
      <c r="B678" s="57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  <c r="AP678" s="56"/>
      <c r="AQ678" s="56"/>
      <c r="AR678" s="56"/>
      <c r="AS678" s="56"/>
      <c r="AT678" s="56"/>
      <c r="AU678" s="56"/>
      <c r="AV678" s="56"/>
      <c r="AW678" s="56"/>
      <c r="AX678" s="56"/>
      <c r="AY678" s="56"/>
      <c r="AZ678" s="56"/>
      <c r="BA678" s="56"/>
      <c r="BB678" s="56"/>
      <c r="BC678" s="56"/>
    </row>
    <row r="679" spans="1:55" x14ac:dyDescent="0.2">
      <c r="A679" s="56"/>
      <c r="B679" s="57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6"/>
      <c r="AP679" s="56"/>
      <c r="AQ679" s="56"/>
      <c r="AR679" s="56"/>
      <c r="AS679" s="56"/>
      <c r="AT679" s="56"/>
      <c r="AU679" s="56"/>
      <c r="AV679" s="56"/>
      <c r="AW679" s="56"/>
      <c r="AX679" s="56"/>
      <c r="AY679" s="56"/>
      <c r="AZ679" s="56"/>
      <c r="BA679" s="56"/>
      <c r="BB679" s="56"/>
      <c r="BC679" s="56"/>
    </row>
    <row r="680" spans="1:55" x14ac:dyDescent="0.2">
      <c r="A680" s="56"/>
      <c r="B680" s="57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6"/>
      <c r="AQ680" s="56"/>
      <c r="AR680" s="56"/>
      <c r="AS680" s="56"/>
      <c r="AT680" s="56"/>
      <c r="AU680" s="56"/>
      <c r="AV680" s="56"/>
      <c r="AW680" s="56"/>
      <c r="AX680" s="56"/>
      <c r="AY680" s="56"/>
      <c r="AZ680" s="56"/>
      <c r="BA680" s="56"/>
      <c r="BB680" s="56"/>
      <c r="BC680" s="56"/>
    </row>
    <row r="681" spans="1:55" x14ac:dyDescent="0.2">
      <c r="A681" s="56"/>
      <c r="B681" s="57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6"/>
      <c r="AQ681" s="56"/>
      <c r="AR681" s="56"/>
      <c r="AS681" s="56"/>
      <c r="AT681" s="56"/>
      <c r="AU681" s="56"/>
      <c r="AV681" s="56"/>
      <c r="AW681" s="56"/>
      <c r="AX681" s="56"/>
      <c r="AY681" s="56"/>
      <c r="AZ681" s="56"/>
      <c r="BA681" s="56"/>
      <c r="BB681" s="56"/>
      <c r="BC681" s="56"/>
    </row>
    <row r="682" spans="1:55" x14ac:dyDescent="0.2">
      <c r="A682" s="56"/>
      <c r="B682" s="57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  <c r="AP682" s="56"/>
      <c r="AQ682" s="56"/>
      <c r="AR682" s="56"/>
      <c r="AS682" s="56"/>
      <c r="AT682" s="56"/>
      <c r="AU682" s="56"/>
      <c r="AV682" s="56"/>
      <c r="AW682" s="56"/>
      <c r="AX682" s="56"/>
      <c r="AY682" s="56"/>
      <c r="AZ682" s="56"/>
      <c r="BA682" s="56"/>
      <c r="BB682" s="56"/>
      <c r="BC682" s="56"/>
    </row>
    <row r="683" spans="1:55" x14ac:dyDescent="0.2">
      <c r="A683" s="56"/>
      <c r="B683" s="57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  <c r="AP683" s="56"/>
      <c r="AQ683" s="56"/>
      <c r="AR683" s="56"/>
      <c r="AS683" s="56"/>
      <c r="AT683" s="56"/>
      <c r="AU683" s="56"/>
      <c r="AV683" s="56"/>
      <c r="AW683" s="56"/>
      <c r="AX683" s="56"/>
      <c r="AY683" s="56"/>
      <c r="AZ683" s="56"/>
      <c r="BA683" s="56"/>
      <c r="BB683" s="56"/>
      <c r="BC683" s="56"/>
    </row>
    <row r="684" spans="1:55" x14ac:dyDescent="0.2">
      <c r="A684" s="56"/>
      <c r="B684" s="57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  <c r="AP684" s="56"/>
      <c r="AQ684" s="56"/>
      <c r="AR684" s="56"/>
      <c r="AS684" s="56"/>
      <c r="AT684" s="56"/>
      <c r="AU684" s="56"/>
      <c r="AV684" s="56"/>
      <c r="AW684" s="56"/>
      <c r="AX684" s="56"/>
      <c r="AY684" s="56"/>
      <c r="AZ684" s="56"/>
      <c r="BA684" s="56"/>
      <c r="BB684" s="56"/>
      <c r="BC684" s="56"/>
    </row>
    <row r="685" spans="1:55" x14ac:dyDescent="0.2">
      <c r="A685" s="56"/>
      <c r="B685" s="57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6"/>
      <c r="AQ685" s="56"/>
      <c r="AR685" s="56"/>
      <c r="AS685" s="56"/>
      <c r="AT685" s="56"/>
      <c r="AU685" s="56"/>
      <c r="AV685" s="56"/>
      <c r="AW685" s="56"/>
      <c r="AX685" s="56"/>
      <c r="AY685" s="56"/>
      <c r="AZ685" s="56"/>
      <c r="BA685" s="56"/>
      <c r="BB685" s="56"/>
      <c r="BC685" s="56"/>
    </row>
    <row r="686" spans="1:55" x14ac:dyDescent="0.2">
      <c r="A686" s="56"/>
      <c r="B686" s="57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6"/>
      <c r="AP686" s="56"/>
      <c r="AQ686" s="56"/>
      <c r="AR686" s="56"/>
      <c r="AS686" s="56"/>
      <c r="AT686" s="56"/>
      <c r="AU686" s="56"/>
      <c r="AV686" s="56"/>
      <c r="AW686" s="56"/>
      <c r="AX686" s="56"/>
      <c r="AY686" s="56"/>
      <c r="AZ686" s="56"/>
      <c r="BA686" s="56"/>
      <c r="BB686" s="56"/>
      <c r="BC686" s="56"/>
    </row>
    <row r="687" spans="1:55" x14ac:dyDescent="0.2">
      <c r="A687" s="56"/>
      <c r="B687" s="57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  <c r="AP687" s="56"/>
      <c r="AQ687" s="56"/>
      <c r="AR687" s="56"/>
      <c r="AS687" s="56"/>
      <c r="AT687" s="56"/>
      <c r="AU687" s="56"/>
      <c r="AV687" s="56"/>
      <c r="AW687" s="56"/>
      <c r="AX687" s="56"/>
      <c r="AY687" s="56"/>
      <c r="AZ687" s="56"/>
      <c r="BA687" s="56"/>
      <c r="BB687" s="56"/>
      <c r="BC687" s="56"/>
    </row>
    <row r="688" spans="1:55" x14ac:dyDescent="0.2">
      <c r="A688" s="56"/>
      <c r="B688" s="57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6"/>
      <c r="AP688" s="56"/>
      <c r="AQ688" s="56"/>
      <c r="AR688" s="56"/>
      <c r="AS688" s="56"/>
      <c r="AT688" s="56"/>
      <c r="AU688" s="56"/>
      <c r="AV688" s="56"/>
      <c r="AW688" s="56"/>
      <c r="AX688" s="56"/>
      <c r="AY688" s="56"/>
      <c r="AZ688" s="56"/>
      <c r="BA688" s="56"/>
      <c r="BB688" s="56"/>
      <c r="BC688" s="56"/>
    </row>
    <row r="689" spans="1:55" x14ac:dyDescent="0.2">
      <c r="A689" s="56"/>
      <c r="B689" s="57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  <c r="AO689" s="56"/>
      <c r="AP689" s="56"/>
      <c r="AQ689" s="56"/>
      <c r="AR689" s="56"/>
      <c r="AS689" s="56"/>
      <c r="AT689" s="56"/>
      <c r="AU689" s="56"/>
      <c r="AV689" s="56"/>
      <c r="AW689" s="56"/>
      <c r="AX689" s="56"/>
      <c r="AY689" s="56"/>
      <c r="AZ689" s="56"/>
      <c r="BA689" s="56"/>
      <c r="BB689" s="56"/>
      <c r="BC689" s="56"/>
    </row>
    <row r="690" spans="1:55" x14ac:dyDescent="0.2">
      <c r="A690" s="56"/>
      <c r="B690" s="57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  <c r="AO690" s="56"/>
      <c r="AP690" s="56"/>
      <c r="AQ690" s="56"/>
      <c r="AR690" s="56"/>
      <c r="AS690" s="56"/>
      <c r="AT690" s="56"/>
      <c r="AU690" s="56"/>
      <c r="AV690" s="56"/>
      <c r="AW690" s="56"/>
      <c r="AX690" s="56"/>
      <c r="AY690" s="56"/>
      <c r="AZ690" s="56"/>
      <c r="BA690" s="56"/>
      <c r="BB690" s="56"/>
      <c r="BC690" s="56"/>
    </row>
  </sheetData>
  <mergeCells count="1">
    <mergeCell ref="A5:C5"/>
  </mergeCells>
  <conditionalFormatting sqref="A9:A42">
    <cfRule type="expression" dxfId="147" priority="21" stopIfTrue="1">
      <formula>$F9&gt;0</formula>
    </cfRule>
    <cfRule type="expression" dxfId="146" priority="22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8FD99-4405-4451-8201-559423535C2C}">
  <sheetPr codeName="גיליון4">
    <pageSetUpPr fitToPage="1"/>
  </sheetPr>
  <dimension ref="A1:K78"/>
  <sheetViews>
    <sheetView rightToLeft="1" topLeftCell="A3" zoomScale="90" zoomScaleNormal="90" workbookViewId="0">
      <selection activeCell="A6" sqref="A6:K73"/>
    </sheetView>
  </sheetViews>
  <sheetFormatPr defaultRowHeight="12.75" x14ac:dyDescent="0.2"/>
  <cols>
    <col min="1" max="1" width="47.7109375" style="23" bestFit="1" customWidth="1"/>
    <col min="2" max="2" width="12.7109375" style="22" bestFit="1" customWidth="1"/>
    <col min="3" max="3" width="12.85546875" style="22" customWidth="1"/>
    <col min="4" max="4" width="7.140625" style="22" customWidth="1"/>
    <col min="5" max="5" width="10.42578125" style="79" customWidth="1"/>
    <col min="6" max="6" width="11.28515625" style="50" bestFit="1" customWidth="1"/>
    <col min="7" max="7" width="11.85546875" style="81" customWidth="1"/>
    <col min="8" max="8" width="13.7109375" style="83" customWidth="1"/>
    <col min="9" max="9" width="10.7109375" style="81" bestFit="1" customWidth="1"/>
    <col min="10" max="10" width="24" style="26" customWidth="1"/>
    <col min="11" max="11" width="19.5703125" style="28" customWidth="1"/>
    <col min="12" max="12" width="15.42578125" style="28" customWidth="1"/>
    <col min="13" max="16384" width="9.140625" style="28"/>
  </cols>
  <sheetData>
    <row r="1" spans="1:11" s="20" customFormat="1" x14ac:dyDescent="0.2">
      <c r="A1" s="20" t="s">
        <v>166</v>
      </c>
      <c r="B1" s="22" t="s">
        <v>176</v>
      </c>
      <c r="C1" s="22"/>
      <c r="D1" s="22"/>
      <c r="E1" s="79"/>
      <c r="F1" s="50"/>
      <c r="G1" s="81"/>
      <c r="H1" s="82"/>
      <c r="I1" s="81"/>
      <c r="J1" s="26"/>
      <c r="K1" s="28"/>
    </row>
    <row r="2" spans="1:11" s="20" customFormat="1" ht="14.25" customHeight="1" x14ac:dyDescent="0.2">
      <c r="A2" s="23" t="s">
        <v>167</v>
      </c>
      <c r="B2" s="22" t="s">
        <v>153</v>
      </c>
      <c r="C2" s="22"/>
      <c r="D2" s="22"/>
      <c r="E2" s="79"/>
      <c r="F2" s="50"/>
      <c r="G2" s="81"/>
      <c r="H2" s="82"/>
      <c r="I2" s="81"/>
      <c r="J2" s="26"/>
      <c r="K2" s="28"/>
    </row>
    <row r="3" spans="1:11" s="20" customFormat="1" x14ac:dyDescent="0.2">
      <c r="A3" s="23" t="s">
        <v>168</v>
      </c>
      <c r="B3" s="22" t="s">
        <v>169</v>
      </c>
      <c r="C3" s="22"/>
      <c r="D3" s="22"/>
      <c r="E3" s="79"/>
      <c r="F3" s="50"/>
      <c r="G3" s="81"/>
      <c r="H3" s="82"/>
      <c r="I3" s="81"/>
      <c r="J3" s="26"/>
      <c r="K3" s="28"/>
    </row>
    <row r="4" spans="1:11" s="20" customFormat="1" ht="11.25" customHeight="1" thickBot="1" x14ac:dyDescent="0.25">
      <c r="A4" s="23" t="s">
        <v>170</v>
      </c>
      <c r="B4" s="22" t="s">
        <v>178</v>
      </c>
      <c r="C4" s="22"/>
      <c r="D4" s="22"/>
      <c r="E4" s="79"/>
      <c r="F4" s="50"/>
      <c r="G4" s="81"/>
      <c r="H4" s="82"/>
      <c r="I4" s="81"/>
      <c r="J4" s="26"/>
      <c r="K4" s="28"/>
    </row>
    <row r="5" spans="1:11" s="20" customFormat="1" x14ac:dyDescent="0.2">
      <c r="A5" s="10" t="s">
        <v>4</v>
      </c>
      <c r="B5" s="9"/>
      <c r="C5" s="9"/>
      <c r="D5" s="9"/>
      <c r="E5" s="9"/>
      <c r="F5" s="9"/>
      <c r="G5" s="9"/>
      <c r="H5" s="9"/>
      <c r="I5" s="9"/>
      <c r="J5" s="9"/>
      <c r="K5" s="8"/>
    </row>
    <row r="6" spans="1:11" s="20" customFormat="1" ht="25.5" x14ac:dyDescent="0.2">
      <c r="A6" s="106" t="s">
        <v>160</v>
      </c>
      <c r="B6" s="107" t="s">
        <v>69</v>
      </c>
      <c r="C6" s="107" t="s">
        <v>74</v>
      </c>
      <c r="D6" s="107" t="s">
        <v>70</v>
      </c>
      <c r="E6" s="107" t="s">
        <v>5</v>
      </c>
      <c r="F6" s="107" t="s">
        <v>6</v>
      </c>
      <c r="G6" s="108" t="s">
        <v>66</v>
      </c>
      <c r="H6" s="108" t="s">
        <v>71</v>
      </c>
      <c r="I6" s="108" t="s">
        <v>7</v>
      </c>
      <c r="J6" s="109" t="s">
        <v>75</v>
      </c>
      <c r="K6" s="110" t="s">
        <v>8</v>
      </c>
    </row>
    <row r="7" spans="1:11" s="20" customFormat="1" x14ac:dyDescent="0.2">
      <c r="A7" s="18"/>
      <c r="B7" s="16"/>
      <c r="C7" s="16"/>
      <c r="D7" s="16"/>
      <c r="E7" s="41"/>
      <c r="F7" s="43"/>
      <c r="G7" s="68" t="s">
        <v>9</v>
      </c>
      <c r="H7" s="68" t="s">
        <v>9</v>
      </c>
      <c r="I7" s="68" t="s">
        <v>10</v>
      </c>
      <c r="J7" s="67" t="s">
        <v>9</v>
      </c>
      <c r="K7" s="69" t="s">
        <v>9</v>
      </c>
    </row>
    <row r="8" spans="1:11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6">
        <v>10</v>
      </c>
    </row>
    <row r="9" spans="1:11" s="137" customFormat="1" ht="12.75" customHeight="1" thickBot="1" x14ac:dyDescent="0.25">
      <c r="A9" s="91" t="s">
        <v>78</v>
      </c>
      <c r="B9" s="138"/>
      <c r="C9" s="138"/>
      <c r="D9" s="138"/>
      <c r="E9" s="138"/>
      <c r="F9" s="138"/>
      <c r="G9" s="138"/>
      <c r="H9" s="138"/>
      <c r="I9" s="100">
        <v>59731.604922176244</v>
      </c>
      <c r="J9" s="96">
        <v>1</v>
      </c>
      <c r="K9" s="78">
        <v>7.2360524793970232E-2</v>
      </c>
    </row>
    <row r="10" spans="1:11" s="137" customFormat="1" x14ac:dyDescent="0.2">
      <c r="A10" s="139" t="s">
        <v>179</v>
      </c>
      <c r="B10" s="140" t="s">
        <v>180</v>
      </c>
      <c r="C10" s="140" t="s">
        <v>180</v>
      </c>
      <c r="D10" s="141" t="s">
        <v>180</v>
      </c>
      <c r="E10" s="141" t="s">
        <v>180</v>
      </c>
      <c r="F10" s="141" t="s">
        <v>180</v>
      </c>
      <c r="G10" s="140" t="s">
        <v>180</v>
      </c>
      <c r="H10" s="140" t="s">
        <v>180</v>
      </c>
      <c r="I10" s="142">
        <v>58193.973212445992</v>
      </c>
      <c r="J10" s="140">
        <v>0.97425765285005117</v>
      </c>
      <c r="K10" s="140">
        <v>7.0497795044771369E-2</v>
      </c>
    </row>
    <row r="11" spans="1:11" s="137" customFormat="1" x14ac:dyDescent="0.2">
      <c r="A11" s="143" t="s">
        <v>181</v>
      </c>
      <c r="B11" s="144" t="s">
        <v>180</v>
      </c>
      <c r="C11" s="144" t="s">
        <v>180</v>
      </c>
      <c r="D11" s="141" t="s">
        <v>180</v>
      </c>
      <c r="E11" s="145" t="s">
        <v>180</v>
      </c>
      <c r="F11" s="145" t="s">
        <v>180</v>
      </c>
      <c r="G11" s="144" t="s">
        <v>180</v>
      </c>
      <c r="H11" s="144" t="s">
        <v>180</v>
      </c>
      <c r="I11" s="146">
        <v>40392.12637746596</v>
      </c>
      <c r="J11" s="140">
        <v>0.67622703977387666</v>
      </c>
      <c r="K11" s="140">
        <v>4.8932143477910695E-2</v>
      </c>
    </row>
    <row r="12" spans="1:11" x14ac:dyDescent="0.2">
      <c r="A12" s="66" t="s">
        <v>2230</v>
      </c>
      <c r="B12" s="38" t="s">
        <v>182</v>
      </c>
      <c r="C12" s="38" t="s">
        <v>183</v>
      </c>
      <c r="D12" s="85" t="s">
        <v>184</v>
      </c>
      <c r="E12" s="80" t="s">
        <v>185</v>
      </c>
      <c r="F12" s="80" t="s">
        <v>186</v>
      </c>
      <c r="G12" s="38">
        <v>0</v>
      </c>
      <c r="H12" s="38">
        <v>0</v>
      </c>
      <c r="I12" s="104">
        <v>631.32017000000008</v>
      </c>
      <c r="J12" s="46">
        <v>1.056928188724447E-2</v>
      </c>
      <c r="K12" s="46">
        <v>7.647987840564141E-4</v>
      </c>
    </row>
    <row r="13" spans="1:11" x14ac:dyDescent="0.2">
      <c r="A13" s="66" t="s">
        <v>2230</v>
      </c>
      <c r="B13" s="38" t="s">
        <v>195</v>
      </c>
      <c r="C13" s="38" t="s">
        <v>183</v>
      </c>
      <c r="D13" s="85" t="s">
        <v>184</v>
      </c>
      <c r="E13" s="80" t="s">
        <v>185</v>
      </c>
      <c r="F13" s="80" t="s">
        <v>186</v>
      </c>
      <c r="G13" s="38">
        <v>0</v>
      </c>
      <c r="H13" s="38">
        <v>0</v>
      </c>
      <c r="I13" s="104">
        <v>11667.24812986591</v>
      </c>
      <c r="J13" s="46">
        <v>0.19532788621814295</v>
      </c>
      <c r="K13" s="46">
        <v>1.413402835364173E-2</v>
      </c>
    </row>
    <row r="14" spans="1:11" x14ac:dyDescent="0.2">
      <c r="A14" s="66" t="s">
        <v>2236</v>
      </c>
      <c r="B14" s="38" t="s">
        <v>204</v>
      </c>
      <c r="C14" s="38" t="s">
        <v>183</v>
      </c>
      <c r="D14" s="85" t="s">
        <v>184</v>
      </c>
      <c r="E14" s="80" t="s">
        <v>185</v>
      </c>
      <c r="F14" s="80" t="s">
        <v>186</v>
      </c>
      <c r="G14" s="38">
        <v>0</v>
      </c>
      <c r="H14" s="38">
        <v>0</v>
      </c>
      <c r="I14" s="104">
        <v>0</v>
      </c>
      <c r="J14" s="46">
        <v>0</v>
      </c>
      <c r="K14" s="46">
        <v>0</v>
      </c>
    </row>
    <row r="15" spans="1:11" x14ac:dyDescent="0.2">
      <c r="A15" s="66" t="s">
        <v>2230</v>
      </c>
      <c r="B15" s="38" t="s">
        <v>211</v>
      </c>
      <c r="C15" s="38" t="s">
        <v>183</v>
      </c>
      <c r="D15" s="85" t="s">
        <v>184</v>
      </c>
      <c r="E15" s="80" t="s">
        <v>185</v>
      </c>
      <c r="F15" s="80" t="s">
        <v>186</v>
      </c>
      <c r="G15" s="38">
        <v>0</v>
      </c>
      <c r="H15" s="38">
        <v>0</v>
      </c>
      <c r="I15" s="104">
        <v>6.3340888426427697E-3</v>
      </c>
      <c r="J15" s="46">
        <v>1.0604250213761032E-7</v>
      </c>
      <c r="K15" s="46">
        <v>7.6732911051431928E-9</v>
      </c>
    </row>
    <row r="16" spans="1:11" x14ac:dyDescent="0.2">
      <c r="A16" s="66" t="s">
        <v>2230</v>
      </c>
      <c r="B16" s="38" t="s">
        <v>217</v>
      </c>
      <c r="C16" s="38" t="s">
        <v>183</v>
      </c>
      <c r="D16" s="85" t="s">
        <v>184</v>
      </c>
      <c r="E16" s="80" t="s">
        <v>185</v>
      </c>
      <c r="F16" s="80" t="s">
        <v>186</v>
      </c>
      <c r="G16" s="38">
        <v>0</v>
      </c>
      <c r="H16" s="38">
        <v>0</v>
      </c>
      <c r="I16" s="104">
        <v>3.4554311812358702E-3</v>
      </c>
      <c r="J16" s="46">
        <v>5.7849294117208467E-8</v>
      </c>
      <c r="K16" s="46">
        <v>4.1860052812819395E-9</v>
      </c>
    </row>
    <row r="17" spans="1:11" x14ac:dyDescent="0.2">
      <c r="A17" s="66" t="s">
        <v>2230</v>
      </c>
      <c r="B17" s="38" t="s">
        <v>218</v>
      </c>
      <c r="C17" s="38" t="s">
        <v>183</v>
      </c>
      <c r="D17" s="85" t="s">
        <v>184</v>
      </c>
      <c r="E17" s="80" t="s">
        <v>185</v>
      </c>
      <c r="F17" s="80" t="s">
        <v>186</v>
      </c>
      <c r="G17" s="38">
        <v>0</v>
      </c>
      <c r="H17" s="38">
        <v>0</v>
      </c>
      <c r="I17" s="104">
        <v>0.12349041796816933</v>
      </c>
      <c r="J17" s="46">
        <v>2.0674217297369435E-6</v>
      </c>
      <c r="K17" s="46">
        <v>1.4959972133422291E-7</v>
      </c>
    </row>
    <row r="18" spans="1:11" x14ac:dyDescent="0.2">
      <c r="A18" s="66" t="s">
        <v>2231</v>
      </c>
      <c r="B18" s="38" t="s">
        <v>187</v>
      </c>
      <c r="C18" s="38" t="s">
        <v>188</v>
      </c>
      <c r="D18" s="85" t="s">
        <v>184</v>
      </c>
      <c r="E18" s="80" t="s">
        <v>185</v>
      </c>
      <c r="F18" s="80" t="s">
        <v>186</v>
      </c>
      <c r="G18" s="38">
        <v>0</v>
      </c>
      <c r="H18" s="38">
        <v>0</v>
      </c>
      <c r="I18" s="104">
        <v>43.367750000000001</v>
      </c>
      <c r="J18" s="46">
        <v>7.2604360884833817E-4</v>
      </c>
      <c r="K18" s="46">
        <v>5.2536896559573801E-5</v>
      </c>
    </row>
    <row r="19" spans="1:11" x14ac:dyDescent="0.2">
      <c r="A19" s="66" t="s">
        <v>192</v>
      </c>
      <c r="B19" s="38" t="s">
        <v>193</v>
      </c>
      <c r="C19" s="38" t="s">
        <v>188</v>
      </c>
      <c r="D19" s="85" t="s">
        <v>184</v>
      </c>
      <c r="E19" s="80" t="s">
        <v>185</v>
      </c>
      <c r="F19" s="80" t="s">
        <v>186</v>
      </c>
      <c r="G19" s="38">
        <v>0</v>
      </c>
      <c r="H19" s="38">
        <v>0</v>
      </c>
      <c r="I19" s="104">
        <v>142.95635000000001</v>
      </c>
      <c r="J19" s="46">
        <v>2.3933117180805121E-3</v>
      </c>
      <c r="K19" s="46">
        <v>1.731812919158644E-4</v>
      </c>
    </row>
    <row r="20" spans="1:11" x14ac:dyDescent="0.2">
      <c r="A20" s="66" t="s">
        <v>2231</v>
      </c>
      <c r="B20" s="38" t="s">
        <v>194</v>
      </c>
      <c r="C20" s="38" t="s">
        <v>188</v>
      </c>
      <c r="D20" s="85" t="s">
        <v>184</v>
      </c>
      <c r="E20" s="80" t="s">
        <v>185</v>
      </c>
      <c r="F20" s="80" t="s">
        <v>186</v>
      </c>
      <c r="G20" s="38">
        <v>0</v>
      </c>
      <c r="H20" s="38">
        <v>0</v>
      </c>
      <c r="I20" s="104">
        <v>5086.5484699795652</v>
      </c>
      <c r="J20" s="46">
        <v>8.5156735309670356E-2</v>
      </c>
      <c r="K20" s="46">
        <v>6.1619860567489618E-3</v>
      </c>
    </row>
    <row r="21" spans="1:11" x14ac:dyDescent="0.2">
      <c r="A21" s="66" t="s">
        <v>2231</v>
      </c>
      <c r="B21" s="38" t="s">
        <v>196</v>
      </c>
      <c r="C21" s="38" t="s">
        <v>188</v>
      </c>
      <c r="D21" s="85" t="s">
        <v>184</v>
      </c>
      <c r="E21" s="80" t="s">
        <v>185</v>
      </c>
      <c r="F21" s="80" t="s">
        <v>186</v>
      </c>
      <c r="G21" s="38">
        <v>0</v>
      </c>
      <c r="H21" s="38">
        <v>0</v>
      </c>
      <c r="I21" s="104">
        <v>7568.3341279876468</v>
      </c>
      <c r="J21" s="46">
        <v>0.12670568851863864</v>
      </c>
      <c r="K21" s="46">
        <v>9.1684901155900216E-3</v>
      </c>
    </row>
    <row r="22" spans="1:11" x14ac:dyDescent="0.2">
      <c r="A22" s="66" t="s">
        <v>2231</v>
      </c>
      <c r="B22" s="38" t="s">
        <v>200</v>
      </c>
      <c r="C22" s="38" t="s">
        <v>188</v>
      </c>
      <c r="D22" s="85" t="s">
        <v>184</v>
      </c>
      <c r="E22" s="80" t="s">
        <v>185</v>
      </c>
      <c r="F22" s="80" t="s">
        <v>186</v>
      </c>
      <c r="G22" s="38">
        <v>0</v>
      </c>
      <c r="H22" s="38">
        <v>0</v>
      </c>
      <c r="I22" s="104">
        <v>0.55696498593816601</v>
      </c>
      <c r="J22" s="46">
        <v>9.3244604203056419E-6</v>
      </c>
      <c r="K22" s="46">
        <v>6.7472284943392043E-7</v>
      </c>
    </row>
    <row r="23" spans="1:11" x14ac:dyDescent="0.2">
      <c r="A23" s="66" t="s">
        <v>2237</v>
      </c>
      <c r="B23" s="38" t="s">
        <v>202</v>
      </c>
      <c r="C23" s="38" t="s">
        <v>188</v>
      </c>
      <c r="D23" s="85" t="s">
        <v>184</v>
      </c>
      <c r="E23" s="80" t="s">
        <v>185</v>
      </c>
      <c r="F23" s="80" t="s">
        <v>186</v>
      </c>
      <c r="G23" s="38">
        <v>0</v>
      </c>
      <c r="H23" s="38">
        <v>0</v>
      </c>
      <c r="I23" s="104">
        <v>0</v>
      </c>
      <c r="J23" s="46">
        <v>0</v>
      </c>
      <c r="K23" s="46">
        <v>0</v>
      </c>
    </row>
    <row r="24" spans="1:11" x14ac:dyDescent="0.2">
      <c r="A24" s="66" t="s">
        <v>2237</v>
      </c>
      <c r="B24" s="38" t="s">
        <v>203</v>
      </c>
      <c r="C24" s="38" t="s">
        <v>188</v>
      </c>
      <c r="D24" s="85" t="s">
        <v>184</v>
      </c>
      <c r="E24" s="80" t="s">
        <v>185</v>
      </c>
      <c r="F24" s="80" t="s">
        <v>186</v>
      </c>
      <c r="G24" s="38">
        <v>0</v>
      </c>
      <c r="H24" s="38">
        <v>0</v>
      </c>
      <c r="I24" s="104">
        <v>-42.687754461953702</v>
      </c>
      <c r="J24" s="46">
        <v>-7.1465942556827634E-4</v>
      </c>
      <c r="K24" s="46">
        <v>-5.1713131083077787E-5</v>
      </c>
    </row>
    <row r="25" spans="1:11" x14ac:dyDescent="0.2">
      <c r="A25" s="66" t="s">
        <v>2248</v>
      </c>
      <c r="B25" s="38" t="s">
        <v>206</v>
      </c>
      <c r="C25" s="38" t="s">
        <v>188</v>
      </c>
      <c r="D25" s="85" t="s">
        <v>184</v>
      </c>
      <c r="E25" s="80" t="s">
        <v>185</v>
      </c>
      <c r="F25" s="80" t="s">
        <v>186</v>
      </c>
      <c r="G25" s="38">
        <v>0</v>
      </c>
      <c r="H25" s="38">
        <v>0</v>
      </c>
      <c r="I25" s="104">
        <v>5.0114010083537781E-3</v>
      </c>
      <c r="J25" s="46">
        <v>8.3898649883643445E-8</v>
      </c>
      <c r="K25" s="46">
        <v>6.0709503350860098E-9</v>
      </c>
    </row>
    <row r="26" spans="1:11" x14ac:dyDescent="0.2">
      <c r="A26" s="66" t="s">
        <v>207</v>
      </c>
      <c r="B26" s="38" t="s">
        <v>208</v>
      </c>
      <c r="C26" s="38" t="s">
        <v>188</v>
      </c>
      <c r="D26" s="85" t="s">
        <v>184</v>
      </c>
      <c r="E26" s="80" t="s">
        <v>185</v>
      </c>
      <c r="F26" s="80" t="s">
        <v>186</v>
      </c>
      <c r="G26" s="38">
        <v>0</v>
      </c>
      <c r="H26" s="38">
        <v>0</v>
      </c>
      <c r="I26" s="104">
        <v>7.4058071762888122</v>
      </c>
      <c r="J26" s="46">
        <v>1.2398473447913831E-4</v>
      </c>
      <c r="K26" s="46">
        <v>8.9716004533515039E-6</v>
      </c>
    </row>
    <row r="27" spans="1:11" x14ac:dyDescent="0.2">
      <c r="A27" s="66" t="s">
        <v>2249</v>
      </c>
      <c r="B27" s="38" t="s">
        <v>189</v>
      </c>
      <c r="C27" s="38" t="s">
        <v>190</v>
      </c>
      <c r="D27" s="85" t="s">
        <v>184</v>
      </c>
      <c r="E27" s="80" t="s">
        <v>185</v>
      </c>
      <c r="F27" s="80" t="s">
        <v>186</v>
      </c>
      <c r="G27" s="38">
        <v>0</v>
      </c>
      <c r="H27" s="38">
        <v>0</v>
      </c>
      <c r="I27" s="104">
        <v>13787.385390000001</v>
      </c>
      <c r="J27" s="46">
        <v>0.23082228257491921</v>
      </c>
      <c r="K27" s="46">
        <v>1.6702421501263245E-2</v>
      </c>
    </row>
    <row r="28" spans="1:11" x14ac:dyDescent="0.2">
      <c r="A28" s="66" t="s">
        <v>2250</v>
      </c>
      <c r="B28" s="38" t="s">
        <v>191</v>
      </c>
      <c r="C28" s="38" t="s">
        <v>190</v>
      </c>
      <c r="D28" s="85" t="s">
        <v>184</v>
      </c>
      <c r="E28" s="80" t="s">
        <v>185</v>
      </c>
      <c r="F28" s="80" t="s">
        <v>186</v>
      </c>
      <c r="G28" s="38">
        <v>0</v>
      </c>
      <c r="H28" s="38">
        <v>0</v>
      </c>
      <c r="I28" s="104">
        <v>603.32000000000005</v>
      </c>
      <c r="J28" s="46">
        <v>1.0100515477293136E-2</v>
      </c>
      <c r="K28" s="46">
        <v>7.3087860062655014E-4</v>
      </c>
    </row>
    <row r="29" spans="1:11" x14ac:dyDescent="0.2">
      <c r="A29" s="66" t="s">
        <v>2249</v>
      </c>
      <c r="B29" s="38" t="s">
        <v>197</v>
      </c>
      <c r="C29" s="38" t="s">
        <v>190</v>
      </c>
      <c r="D29" s="85" t="s">
        <v>184</v>
      </c>
      <c r="E29" s="80" t="s">
        <v>185</v>
      </c>
      <c r="F29" s="80" t="s">
        <v>186</v>
      </c>
      <c r="G29" s="38">
        <v>0</v>
      </c>
      <c r="H29" s="38">
        <v>0</v>
      </c>
      <c r="I29" s="104">
        <v>275.6803132</v>
      </c>
      <c r="J29" s="46">
        <v>4.6153173610382868E-3</v>
      </c>
      <c r="K29" s="46">
        <v>3.339667863354522E-4</v>
      </c>
    </row>
    <row r="30" spans="1:11" x14ac:dyDescent="0.2">
      <c r="A30" s="66" t="s">
        <v>2249</v>
      </c>
      <c r="B30" s="38" t="s">
        <v>198</v>
      </c>
      <c r="C30" s="38" t="s">
        <v>190</v>
      </c>
      <c r="D30" s="85" t="s">
        <v>184</v>
      </c>
      <c r="E30" s="80" t="s">
        <v>185</v>
      </c>
      <c r="F30" s="80" t="s">
        <v>186</v>
      </c>
      <c r="G30" s="38">
        <v>0</v>
      </c>
      <c r="H30" s="38">
        <v>0</v>
      </c>
      <c r="I30" s="104">
        <v>5.5954011830818473</v>
      </c>
      <c r="J30" s="46">
        <v>9.3675721427074397E-5</v>
      </c>
      <c r="K30" s="46">
        <v>6.7784243629168651E-6</v>
      </c>
    </row>
    <row r="31" spans="1:11" x14ac:dyDescent="0.2">
      <c r="A31" s="66" t="s">
        <v>2249</v>
      </c>
      <c r="B31" s="38" t="s">
        <v>199</v>
      </c>
      <c r="C31" s="38" t="s">
        <v>190</v>
      </c>
      <c r="D31" s="85" t="s">
        <v>184</v>
      </c>
      <c r="E31" s="80" t="s">
        <v>185</v>
      </c>
      <c r="F31" s="80" t="s">
        <v>186</v>
      </c>
      <c r="G31" s="38">
        <v>0</v>
      </c>
      <c r="H31" s="38">
        <v>0</v>
      </c>
      <c r="I31" s="104">
        <v>16.053093099073696</v>
      </c>
      <c r="J31" s="46">
        <v>2.6875375473317889E-4</v>
      </c>
      <c r="K31" s="46">
        <v>1.9447162732842787E-5</v>
      </c>
    </row>
    <row r="32" spans="1:11" x14ac:dyDescent="0.2">
      <c r="A32" s="66" t="s">
        <v>2249</v>
      </c>
      <c r="B32" s="38" t="s">
        <v>201</v>
      </c>
      <c r="C32" s="38" t="s">
        <v>190</v>
      </c>
      <c r="D32" s="85" t="s">
        <v>184</v>
      </c>
      <c r="E32" s="80" t="s">
        <v>185</v>
      </c>
      <c r="F32" s="80" t="s">
        <v>186</v>
      </c>
      <c r="G32" s="38">
        <v>0</v>
      </c>
      <c r="H32" s="38">
        <v>0</v>
      </c>
      <c r="I32" s="104">
        <v>2.4955261366669465E-2</v>
      </c>
      <c r="J32" s="46">
        <v>4.1778990199884041E-7</v>
      </c>
      <c r="K32" s="46">
        <v>3.0231496562257486E-8</v>
      </c>
    </row>
    <row r="33" spans="1:11" x14ac:dyDescent="0.2">
      <c r="A33" s="66" t="s">
        <v>2249</v>
      </c>
      <c r="B33" s="38" t="s">
        <v>205</v>
      </c>
      <c r="C33" s="38" t="s">
        <v>190</v>
      </c>
      <c r="D33" s="85" t="s">
        <v>184</v>
      </c>
      <c r="E33" s="80" t="s">
        <v>185</v>
      </c>
      <c r="F33" s="80" t="s">
        <v>186</v>
      </c>
      <c r="G33" s="38">
        <v>0</v>
      </c>
      <c r="H33" s="38">
        <v>0</v>
      </c>
      <c r="I33" s="104">
        <v>598.82946475123902</v>
      </c>
      <c r="J33" s="46">
        <v>1.0025336930615684E-2</v>
      </c>
      <c r="K33" s="46">
        <v>7.2543864153572159E-4</v>
      </c>
    </row>
    <row r="34" spans="1:11" x14ac:dyDescent="0.2">
      <c r="A34" s="66" t="s">
        <v>2238</v>
      </c>
      <c r="B34" s="38" t="s">
        <v>212</v>
      </c>
      <c r="C34" s="38" t="s">
        <v>213</v>
      </c>
      <c r="D34" s="85" t="s">
        <v>184</v>
      </c>
      <c r="E34" s="80" t="s">
        <v>185</v>
      </c>
      <c r="F34" s="80" t="s">
        <v>186</v>
      </c>
      <c r="G34" s="38">
        <v>0</v>
      </c>
      <c r="H34" s="38">
        <v>0</v>
      </c>
      <c r="I34" s="104">
        <v>4.4409154656506319E-3</v>
      </c>
      <c r="J34" s="46">
        <v>7.4347834307091866E-8</v>
      </c>
      <c r="K34" s="46">
        <v>5.379848307756311E-9</v>
      </c>
    </row>
    <row r="35" spans="1:11" x14ac:dyDescent="0.2">
      <c r="A35" s="66" t="s">
        <v>2238</v>
      </c>
      <c r="B35" s="38" t="s">
        <v>216</v>
      </c>
      <c r="C35" s="38" t="s">
        <v>213</v>
      </c>
      <c r="D35" s="85" t="s">
        <v>184</v>
      </c>
      <c r="E35" s="80" t="s">
        <v>185</v>
      </c>
      <c r="F35" s="80" t="s">
        <v>186</v>
      </c>
      <c r="G35" s="38">
        <v>0</v>
      </c>
      <c r="H35" s="38">
        <v>0</v>
      </c>
      <c r="I35" s="104">
        <v>4.0727257299624084E-3</v>
      </c>
      <c r="J35" s="46">
        <v>6.8183765282528824E-8</v>
      </c>
      <c r="K35" s="46">
        <v>4.9338130382726738E-9</v>
      </c>
    </row>
    <row r="36" spans="1:11" x14ac:dyDescent="0.2">
      <c r="A36" s="66" t="s">
        <v>2239</v>
      </c>
      <c r="B36" s="38" t="s">
        <v>214</v>
      </c>
      <c r="C36" s="38" t="s">
        <v>215</v>
      </c>
      <c r="D36" s="85" t="s">
        <v>184</v>
      </c>
      <c r="E36" s="80" t="s">
        <v>185</v>
      </c>
      <c r="F36" s="80" t="s">
        <v>186</v>
      </c>
      <c r="G36" s="38">
        <v>0</v>
      </c>
      <c r="H36" s="38">
        <v>0</v>
      </c>
      <c r="I36" s="104">
        <v>3.2006423783895184E-2</v>
      </c>
      <c r="J36" s="46">
        <v>5.3583733143611431E-7</v>
      </c>
      <c r="K36" s="46">
        <v>3.8773470506917789E-8</v>
      </c>
    </row>
    <row r="37" spans="1:11" x14ac:dyDescent="0.2">
      <c r="A37" s="66" t="s">
        <v>2251</v>
      </c>
      <c r="B37" s="38" t="s">
        <v>209</v>
      </c>
      <c r="C37" s="38" t="s">
        <v>210</v>
      </c>
      <c r="D37" s="85" t="s">
        <v>184</v>
      </c>
      <c r="E37" s="80" t="s">
        <v>185</v>
      </c>
      <c r="F37" s="80" t="s">
        <v>186</v>
      </c>
      <c r="G37" s="38">
        <v>0</v>
      </c>
      <c r="H37" s="38">
        <v>0</v>
      </c>
      <c r="I37" s="104">
        <v>8.2088566125705174E-3</v>
      </c>
      <c r="J37" s="46">
        <v>1.3742903146945008E-7</v>
      </c>
      <c r="K37" s="46">
        <v>9.9444368390564574E-9</v>
      </c>
    </row>
    <row r="38" spans="1:11" s="137" customFormat="1" x14ac:dyDescent="0.2">
      <c r="A38" s="143" t="s">
        <v>219</v>
      </c>
      <c r="B38" s="144" t="s">
        <v>180</v>
      </c>
      <c r="C38" s="144" t="s">
        <v>180</v>
      </c>
      <c r="D38" s="141" t="s">
        <v>180</v>
      </c>
      <c r="E38" s="145" t="s">
        <v>180</v>
      </c>
      <c r="F38" s="145" t="s">
        <v>180</v>
      </c>
      <c r="G38" s="144" t="s">
        <v>180</v>
      </c>
      <c r="H38" s="144" t="s">
        <v>180</v>
      </c>
      <c r="I38" s="146">
        <v>677.69424744795242</v>
      </c>
      <c r="J38" s="140">
        <v>1.1345656094975416E-2</v>
      </c>
      <c r="K38" s="140">
        <v>8.2097762916432803E-4</v>
      </c>
    </row>
    <row r="39" spans="1:11" x14ac:dyDescent="0.2">
      <c r="A39" s="66" t="s">
        <v>2240</v>
      </c>
      <c r="B39" s="38" t="s">
        <v>220</v>
      </c>
      <c r="C39" s="38" t="s">
        <v>183</v>
      </c>
      <c r="D39" s="85" t="s">
        <v>184</v>
      </c>
      <c r="E39" s="80" t="s">
        <v>185</v>
      </c>
      <c r="F39" s="80" t="s">
        <v>127</v>
      </c>
      <c r="G39" s="38">
        <v>0</v>
      </c>
      <c r="H39" s="38">
        <v>0</v>
      </c>
      <c r="I39" s="104">
        <v>2.7008100000000002</v>
      </c>
      <c r="J39" s="46">
        <v>4.5215761463614791E-5</v>
      </c>
      <c r="K39" s="46">
        <v>3.271836228466142E-6</v>
      </c>
    </row>
    <row r="40" spans="1:11" x14ac:dyDescent="0.2">
      <c r="A40" s="66" t="s">
        <v>2252</v>
      </c>
      <c r="B40" s="38" t="s">
        <v>223</v>
      </c>
      <c r="C40" s="38" t="s">
        <v>183</v>
      </c>
      <c r="D40" s="85" t="s">
        <v>184</v>
      </c>
      <c r="E40" s="80" t="s">
        <v>185</v>
      </c>
      <c r="F40" s="80" t="s">
        <v>128</v>
      </c>
      <c r="G40" s="38">
        <v>0</v>
      </c>
      <c r="H40" s="38">
        <v>0</v>
      </c>
      <c r="I40" s="104">
        <v>-1.98E-3</v>
      </c>
      <c r="J40" s="46">
        <v>-3.3148280589140773E-8</v>
      </c>
      <c r="K40" s="46">
        <v>-2.3986269794480027E-9</v>
      </c>
    </row>
    <row r="41" spans="1:11" x14ac:dyDescent="0.2">
      <c r="A41" s="66" t="s">
        <v>2240</v>
      </c>
      <c r="B41" s="38" t="s">
        <v>230</v>
      </c>
      <c r="C41" s="38" t="s">
        <v>183</v>
      </c>
      <c r="D41" s="85" t="s">
        <v>184</v>
      </c>
      <c r="E41" s="80" t="s">
        <v>185</v>
      </c>
      <c r="F41" s="80" t="s">
        <v>127</v>
      </c>
      <c r="G41" s="38">
        <v>0</v>
      </c>
      <c r="H41" s="38">
        <v>0</v>
      </c>
      <c r="I41" s="104">
        <v>2.8743130917976591</v>
      </c>
      <c r="J41" s="46">
        <v>4.812047316563108E-5</v>
      </c>
      <c r="K41" s="46">
        <v>3.4820226915992268E-6</v>
      </c>
    </row>
    <row r="42" spans="1:11" x14ac:dyDescent="0.2">
      <c r="A42" s="66" t="s">
        <v>2253</v>
      </c>
      <c r="B42" s="38" t="s">
        <v>232</v>
      </c>
      <c r="C42" s="38" t="s">
        <v>183</v>
      </c>
      <c r="D42" s="85" t="s">
        <v>184</v>
      </c>
      <c r="E42" s="80" t="s">
        <v>185</v>
      </c>
      <c r="F42" s="80" t="s">
        <v>127</v>
      </c>
      <c r="G42" s="38">
        <v>0</v>
      </c>
      <c r="H42" s="38">
        <v>0</v>
      </c>
      <c r="I42" s="104">
        <v>7.0260795795391866</v>
      </c>
      <c r="J42" s="46">
        <v>1.1762750370919049E-4</v>
      </c>
      <c r="K42" s="46">
        <v>8.5115878986017033E-6</v>
      </c>
    </row>
    <row r="43" spans="1:11" x14ac:dyDescent="0.2">
      <c r="A43" s="66" t="s">
        <v>2233</v>
      </c>
      <c r="B43" s="38" t="s">
        <v>221</v>
      </c>
      <c r="C43" s="38" t="s">
        <v>188</v>
      </c>
      <c r="D43" s="85" t="s">
        <v>184</v>
      </c>
      <c r="E43" s="80" t="s">
        <v>185</v>
      </c>
      <c r="F43" s="80" t="s">
        <v>127</v>
      </c>
      <c r="G43" s="38">
        <v>0</v>
      </c>
      <c r="H43" s="38">
        <v>0</v>
      </c>
      <c r="I43" s="104">
        <v>161.28178</v>
      </c>
      <c r="J43" s="46">
        <v>2.700107927957612E-3</v>
      </c>
      <c r="K43" s="46">
        <v>1.9538122666737238E-4</v>
      </c>
    </row>
    <row r="44" spans="1:11" x14ac:dyDescent="0.2">
      <c r="A44" s="66" t="s">
        <v>2232</v>
      </c>
      <c r="B44" s="38" t="s">
        <v>224</v>
      </c>
      <c r="C44" s="38" t="s">
        <v>188</v>
      </c>
      <c r="D44" s="85" t="s">
        <v>184</v>
      </c>
      <c r="E44" s="80" t="s">
        <v>185</v>
      </c>
      <c r="F44" s="80" t="s">
        <v>128</v>
      </c>
      <c r="G44" s="38">
        <v>0</v>
      </c>
      <c r="H44" s="38">
        <v>0</v>
      </c>
      <c r="I44" s="104">
        <v>2.1740102238840144</v>
      </c>
      <c r="J44" s="46">
        <v>3.6396313588367704E-5</v>
      </c>
      <c r="K44" s="46">
        <v>2.6336563518201969E-6</v>
      </c>
    </row>
    <row r="45" spans="1:11" x14ac:dyDescent="0.2">
      <c r="A45" s="66" t="s">
        <v>2233</v>
      </c>
      <c r="B45" s="38" t="s">
        <v>225</v>
      </c>
      <c r="C45" s="38" t="s">
        <v>188</v>
      </c>
      <c r="D45" s="85" t="s">
        <v>184</v>
      </c>
      <c r="E45" s="80" t="s">
        <v>185</v>
      </c>
      <c r="F45" s="80" t="s">
        <v>127</v>
      </c>
      <c r="G45" s="38">
        <v>0</v>
      </c>
      <c r="H45" s="38">
        <v>0</v>
      </c>
      <c r="I45" s="104">
        <v>12.24602372519138</v>
      </c>
      <c r="J45" s="46">
        <v>2.0501749017369636E-4</v>
      </c>
      <c r="K45" s="46">
        <v>1.4835173180911302E-5</v>
      </c>
    </row>
    <row r="46" spans="1:11" x14ac:dyDescent="0.2">
      <c r="A46" s="66" t="s">
        <v>2233</v>
      </c>
      <c r="B46" s="38" t="s">
        <v>227</v>
      </c>
      <c r="C46" s="38" t="s">
        <v>188</v>
      </c>
      <c r="D46" s="85" t="s">
        <v>184</v>
      </c>
      <c r="E46" s="80" t="s">
        <v>185</v>
      </c>
      <c r="F46" s="80" t="s">
        <v>127</v>
      </c>
      <c r="G46" s="38">
        <v>0</v>
      </c>
      <c r="H46" s="38">
        <v>0</v>
      </c>
      <c r="I46" s="104">
        <v>26.974380352806776</v>
      </c>
      <c r="J46" s="46">
        <v>4.5159309527931566E-4</v>
      </c>
      <c r="K46" s="46">
        <v>3.2677513367744683E-5</v>
      </c>
    </row>
    <row r="47" spans="1:11" x14ac:dyDescent="0.2">
      <c r="A47" s="66" t="s">
        <v>2234</v>
      </c>
      <c r="B47" s="38" t="s">
        <v>229</v>
      </c>
      <c r="C47" s="38" t="s">
        <v>188</v>
      </c>
      <c r="D47" s="85" t="s">
        <v>184</v>
      </c>
      <c r="E47" s="80" t="s">
        <v>185</v>
      </c>
      <c r="F47" s="80" t="s">
        <v>127</v>
      </c>
      <c r="G47" s="38">
        <v>0</v>
      </c>
      <c r="H47" s="38">
        <v>0</v>
      </c>
      <c r="I47" s="104">
        <v>-265.21290548779302</v>
      </c>
      <c r="J47" s="46">
        <v>-4.4400766701871899E-3</v>
      </c>
      <c r="K47" s="46">
        <v>-3.2128627798020889E-4</v>
      </c>
    </row>
    <row r="48" spans="1:11" x14ac:dyDescent="0.2">
      <c r="A48" s="66" t="s">
        <v>2254</v>
      </c>
      <c r="B48" s="38" t="s">
        <v>222</v>
      </c>
      <c r="C48" s="38" t="s">
        <v>190</v>
      </c>
      <c r="D48" s="85" t="s">
        <v>184</v>
      </c>
      <c r="E48" s="80" t="s">
        <v>185</v>
      </c>
      <c r="F48" s="80" t="s">
        <v>127</v>
      </c>
      <c r="G48" s="38">
        <v>0</v>
      </c>
      <c r="H48" s="38">
        <v>0</v>
      </c>
      <c r="I48" s="104">
        <v>724.92772000000002</v>
      </c>
      <c r="J48" s="46">
        <v>1.2136417913841452E-2</v>
      </c>
      <c r="K48" s="46">
        <v>8.7819756936450893E-4</v>
      </c>
    </row>
    <row r="49" spans="1:11" x14ac:dyDescent="0.2">
      <c r="A49" s="66" t="s">
        <v>2254</v>
      </c>
      <c r="B49" s="38" t="s">
        <v>226</v>
      </c>
      <c r="C49" s="38" t="s">
        <v>190</v>
      </c>
      <c r="D49" s="85" t="s">
        <v>184</v>
      </c>
      <c r="E49" s="80" t="s">
        <v>185</v>
      </c>
      <c r="F49" s="80" t="s">
        <v>127</v>
      </c>
      <c r="G49" s="38">
        <v>0</v>
      </c>
      <c r="H49" s="38">
        <v>0</v>
      </c>
      <c r="I49" s="104">
        <v>2.1081486829069629E-2</v>
      </c>
      <c r="J49" s="46">
        <v>3.5293688921529071E-7</v>
      </c>
      <c r="K49" s="46">
        <v>2.5538698522769767E-8</v>
      </c>
    </row>
    <row r="50" spans="1:11" x14ac:dyDescent="0.2">
      <c r="A50" s="66" t="s">
        <v>2254</v>
      </c>
      <c r="B50" s="38" t="s">
        <v>228</v>
      </c>
      <c r="C50" s="38" t="s">
        <v>190</v>
      </c>
      <c r="D50" s="85" t="s">
        <v>184</v>
      </c>
      <c r="E50" s="80" t="s">
        <v>185</v>
      </c>
      <c r="F50" s="80" t="s">
        <v>127</v>
      </c>
      <c r="G50" s="38">
        <v>0</v>
      </c>
      <c r="H50" s="38">
        <v>0</v>
      </c>
      <c r="I50" s="104">
        <v>2.6805935191263672</v>
      </c>
      <c r="J50" s="46">
        <v>4.4877306119915709E-5</v>
      </c>
      <c r="K50" s="46">
        <v>3.2473454221767529E-6</v>
      </c>
    </row>
    <row r="51" spans="1:11" x14ac:dyDescent="0.2">
      <c r="A51" s="66" t="s">
        <v>2255</v>
      </c>
      <c r="B51" s="38" t="s">
        <v>231</v>
      </c>
      <c r="C51" s="38" t="s">
        <v>213</v>
      </c>
      <c r="D51" s="85" t="s">
        <v>184</v>
      </c>
      <c r="E51" s="80" t="s">
        <v>185</v>
      </c>
      <c r="F51" s="80" t="s">
        <v>127</v>
      </c>
      <c r="G51" s="38">
        <v>0</v>
      </c>
      <c r="H51" s="38">
        <v>0</v>
      </c>
      <c r="I51" s="104">
        <v>2.3408565709914439E-3</v>
      </c>
      <c r="J51" s="46">
        <v>3.9189581027352677E-8</v>
      </c>
      <c r="K51" s="46">
        <v>2.835778649595059E-9</v>
      </c>
    </row>
    <row r="52" spans="1:11" s="137" customFormat="1" x14ac:dyDescent="0.2">
      <c r="A52" s="143" t="s">
        <v>233</v>
      </c>
      <c r="B52" s="144" t="s">
        <v>180</v>
      </c>
      <c r="C52" s="144" t="s">
        <v>180</v>
      </c>
      <c r="D52" s="141" t="s">
        <v>180</v>
      </c>
      <c r="E52" s="145" t="s">
        <v>180</v>
      </c>
      <c r="F52" s="145" t="s">
        <v>180</v>
      </c>
      <c r="G52" s="144" t="s">
        <v>180</v>
      </c>
      <c r="H52" s="144" t="s">
        <v>180</v>
      </c>
      <c r="I52" s="146">
        <v>0</v>
      </c>
      <c r="J52" s="140">
        <v>0</v>
      </c>
      <c r="K52" s="140">
        <v>0</v>
      </c>
    </row>
    <row r="53" spans="1:11" s="137" customFormat="1" x14ac:dyDescent="0.2">
      <c r="A53" s="143" t="s">
        <v>234</v>
      </c>
      <c r="B53" s="144" t="s">
        <v>180</v>
      </c>
      <c r="C53" s="144" t="s">
        <v>180</v>
      </c>
      <c r="D53" s="141" t="s">
        <v>180</v>
      </c>
      <c r="E53" s="145" t="s">
        <v>180</v>
      </c>
      <c r="F53" s="145" t="s">
        <v>180</v>
      </c>
      <c r="G53" s="144" t="s">
        <v>180</v>
      </c>
      <c r="H53" s="144" t="s">
        <v>180</v>
      </c>
      <c r="I53" s="146">
        <v>0</v>
      </c>
      <c r="J53" s="140">
        <v>0</v>
      </c>
      <c r="K53" s="140">
        <v>0</v>
      </c>
    </row>
    <row r="54" spans="1:11" s="137" customFormat="1" x14ac:dyDescent="0.2">
      <c r="A54" s="143" t="s">
        <v>235</v>
      </c>
      <c r="B54" s="144" t="s">
        <v>180</v>
      </c>
      <c r="C54" s="144" t="s">
        <v>180</v>
      </c>
      <c r="D54" s="141" t="s">
        <v>180</v>
      </c>
      <c r="E54" s="145" t="s">
        <v>180</v>
      </c>
      <c r="F54" s="145" t="s">
        <v>180</v>
      </c>
      <c r="G54" s="144" t="s">
        <v>180</v>
      </c>
      <c r="H54" s="144" t="s">
        <v>180</v>
      </c>
      <c r="I54" s="146">
        <v>0</v>
      </c>
      <c r="J54" s="140">
        <v>0</v>
      </c>
      <c r="K54" s="140">
        <v>0</v>
      </c>
    </row>
    <row r="55" spans="1:11" s="137" customFormat="1" x14ac:dyDescent="0.2">
      <c r="A55" s="143" t="s">
        <v>236</v>
      </c>
      <c r="B55" s="144" t="s">
        <v>180</v>
      </c>
      <c r="C55" s="144" t="s">
        <v>180</v>
      </c>
      <c r="D55" s="141" t="s">
        <v>180</v>
      </c>
      <c r="E55" s="145" t="s">
        <v>180</v>
      </c>
      <c r="F55" s="145" t="s">
        <v>180</v>
      </c>
      <c r="G55" s="144" t="s">
        <v>180</v>
      </c>
      <c r="H55" s="144" t="s">
        <v>180</v>
      </c>
      <c r="I55" s="146">
        <v>16569.592587132061</v>
      </c>
      <c r="J55" s="140">
        <v>0.2774007597606063</v>
      </c>
      <c r="K55" s="140">
        <v>2.0072864554523534E-2</v>
      </c>
    </row>
    <row r="56" spans="1:11" x14ac:dyDescent="0.2">
      <c r="A56" s="66" t="s">
        <v>241</v>
      </c>
      <c r="B56" s="38" t="s">
        <v>242</v>
      </c>
      <c r="C56" s="38" t="s">
        <v>183</v>
      </c>
      <c r="D56" s="85" t="s">
        <v>184</v>
      </c>
      <c r="E56" s="80" t="s">
        <v>185</v>
      </c>
      <c r="F56" s="80" t="s">
        <v>186</v>
      </c>
      <c r="G56" s="38">
        <v>8.0000000000000004E-4</v>
      </c>
      <c r="H56" s="38">
        <v>8.0000000000000004E-4</v>
      </c>
      <c r="I56" s="104">
        <v>110.345366093452</v>
      </c>
      <c r="J56" s="46">
        <v>1.847353109584448E-3</v>
      </c>
      <c r="K56" s="46">
        <v>1.3367544048930346E-4</v>
      </c>
    </row>
    <row r="57" spans="1:11" x14ac:dyDescent="0.2">
      <c r="A57" s="66" t="s">
        <v>237</v>
      </c>
      <c r="B57" s="38" t="s">
        <v>238</v>
      </c>
      <c r="C57" s="38" t="s">
        <v>190</v>
      </c>
      <c r="D57" s="85" t="s">
        <v>184</v>
      </c>
      <c r="E57" s="80" t="s">
        <v>185</v>
      </c>
      <c r="F57" s="80" t="s">
        <v>186</v>
      </c>
      <c r="G57" s="38">
        <v>8.0000000000000004E-4</v>
      </c>
      <c r="H57" s="38">
        <v>8.0000000000000004E-4</v>
      </c>
      <c r="I57" s="104">
        <v>10173.842753816274</v>
      </c>
      <c r="J57" s="46">
        <v>0.17032595670368611</v>
      </c>
      <c r="K57" s="46">
        <v>1.2324875613113778E-2</v>
      </c>
    </row>
    <row r="58" spans="1:11" x14ac:dyDescent="0.2">
      <c r="A58" s="66" t="s">
        <v>243</v>
      </c>
      <c r="B58" s="38" t="s">
        <v>244</v>
      </c>
      <c r="C58" s="38" t="s">
        <v>215</v>
      </c>
      <c r="D58" s="85" t="s">
        <v>184</v>
      </c>
      <c r="E58" s="80" t="s">
        <v>185</v>
      </c>
      <c r="F58" s="80" t="s">
        <v>186</v>
      </c>
      <c r="G58" s="38">
        <v>8.0000000000000004E-4</v>
      </c>
      <c r="H58" s="38">
        <v>8.0000000000000004E-4</v>
      </c>
      <c r="I58" s="104">
        <v>3310.4933972428721</v>
      </c>
      <c r="J58" s="46">
        <v>5.5422810111264938E-2</v>
      </c>
      <c r="K58" s="46">
        <v>4.0104236252076911E-3</v>
      </c>
    </row>
    <row r="59" spans="1:11" x14ac:dyDescent="0.2">
      <c r="A59" s="66" t="s">
        <v>239</v>
      </c>
      <c r="B59" s="38" t="s">
        <v>240</v>
      </c>
      <c r="C59" s="38" t="s">
        <v>210</v>
      </c>
      <c r="D59" s="85" t="s">
        <v>184</v>
      </c>
      <c r="E59" s="80" t="s">
        <v>185</v>
      </c>
      <c r="F59" s="80" t="s">
        <v>186</v>
      </c>
      <c r="G59" s="38">
        <v>8.0000000000000004E-4</v>
      </c>
      <c r="H59" s="38">
        <v>8.0000000000000004E-4</v>
      </c>
      <c r="I59" s="104">
        <v>2974.9110698794657</v>
      </c>
      <c r="J59" s="46">
        <v>4.9804639834396716E-2</v>
      </c>
      <c r="K59" s="46">
        <v>3.6038898755916208E-3</v>
      </c>
    </row>
    <row r="60" spans="1:11" s="137" customFormat="1" x14ac:dyDescent="0.2">
      <c r="A60" s="143" t="s">
        <v>245</v>
      </c>
      <c r="B60" s="144" t="s">
        <v>180</v>
      </c>
      <c r="C60" s="144" t="s">
        <v>180</v>
      </c>
      <c r="D60" s="141" t="s">
        <v>180</v>
      </c>
      <c r="E60" s="145" t="s">
        <v>180</v>
      </c>
      <c r="F60" s="145" t="s">
        <v>180</v>
      </c>
      <c r="G60" s="144" t="s">
        <v>180</v>
      </c>
      <c r="H60" s="144" t="s">
        <v>180</v>
      </c>
      <c r="I60" s="146">
        <v>554.56000009999991</v>
      </c>
      <c r="J60" s="140">
        <v>9.2841972155700662E-3</v>
      </c>
      <c r="K60" s="140">
        <v>6.718093828093671E-4</v>
      </c>
    </row>
    <row r="61" spans="1:11" x14ac:dyDescent="0.2">
      <c r="A61" s="66" t="s">
        <v>2256</v>
      </c>
      <c r="B61" s="38" t="s">
        <v>246</v>
      </c>
      <c r="C61" s="38" t="s">
        <v>190</v>
      </c>
      <c r="D61" s="85" t="s">
        <v>184</v>
      </c>
      <c r="E61" s="80" t="s">
        <v>185</v>
      </c>
      <c r="F61" s="80" t="s">
        <v>127</v>
      </c>
      <c r="G61" s="38">
        <v>0</v>
      </c>
      <c r="H61" s="38">
        <v>0</v>
      </c>
      <c r="I61" s="104">
        <v>554.55999999999995</v>
      </c>
      <c r="J61" s="46">
        <v>9.2841972138959124E-3</v>
      </c>
      <c r="K61" s="46">
        <v>6.7180938268822442E-4</v>
      </c>
    </row>
    <row r="62" spans="1:11" s="137" customFormat="1" x14ac:dyDescent="0.2">
      <c r="A62" s="143" t="s">
        <v>247</v>
      </c>
      <c r="B62" s="144" t="s">
        <v>180</v>
      </c>
      <c r="C62" s="144" t="s">
        <v>180</v>
      </c>
      <c r="D62" s="141" t="s">
        <v>180</v>
      </c>
      <c r="E62" s="145" t="s">
        <v>180</v>
      </c>
      <c r="F62" s="145" t="s">
        <v>180</v>
      </c>
      <c r="G62" s="144" t="s">
        <v>180</v>
      </c>
      <c r="H62" s="144" t="s">
        <v>180</v>
      </c>
      <c r="I62" s="146">
        <v>1537.6317097302567</v>
      </c>
      <c r="J62" s="140">
        <v>2.5742347149948892E-2</v>
      </c>
      <c r="K62" s="140">
        <v>1.8627297491988657E-3</v>
      </c>
    </row>
    <row r="63" spans="1:11" s="137" customFormat="1" x14ac:dyDescent="0.2">
      <c r="A63" s="143" t="s">
        <v>219</v>
      </c>
      <c r="B63" s="144" t="s">
        <v>180</v>
      </c>
      <c r="C63" s="144" t="s">
        <v>180</v>
      </c>
      <c r="D63" s="141" t="s">
        <v>180</v>
      </c>
      <c r="E63" s="145" t="s">
        <v>180</v>
      </c>
      <c r="F63" s="145" t="s">
        <v>180</v>
      </c>
      <c r="G63" s="144" t="s">
        <v>180</v>
      </c>
      <c r="H63" s="144" t="s">
        <v>180</v>
      </c>
      <c r="I63" s="146">
        <v>2058.7003223004572</v>
      </c>
      <c r="J63" s="140">
        <v>3.4465846430590953E-2</v>
      </c>
      <c r="K63" s="140">
        <v>2.4939667351859471E-3</v>
      </c>
    </row>
    <row r="64" spans="1:11" x14ac:dyDescent="0.2">
      <c r="A64" s="66" t="s">
        <v>2241</v>
      </c>
      <c r="B64" s="38" t="s">
        <v>248</v>
      </c>
      <c r="C64" s="38" t="s">
        <v>249</v>
      </c>
      <c r="D64" s="85" t="s">
        <v>250</v>
      </c>
      <c r="E64" s="80" t="s">
        <v>251</v>
      </c>
      <c r="F64" s="80" t="s">
        <v>128</v>
      </c>
      <c r="G64" s="38">
        <v>0</v>
      </c>
      <c r="H64" s="38">
        <v>0</v>
      </c>
      <c r="I64" s="104">
        <v>64.23472270744341</v>
      </c>
      <c r="J64" s="46">
        <v>1.0753891979151445E-3</v>
      </c>
      <c r="K64" s="46">
        <v>7.7815726718906582E-5</v>
      </c>
    </row>
    <row r="65" spans="1:11" x14ac:dyDescent="0.2">
      <c r="A65" s="66" t="s">
        <v>2242</v>
      </c>
      <c r="B65" s="38" t="s">
        <v>252</v>
      </c>
      <c r="C65" s="38" t="s">
        <v>249</v>
      </c>
      <c r="D65" s="85" t="s">
        <v>250</v>
      </c>
      <c r="E65" s="80" t="s">
        <v>251</v>
      </c>
      <c r="F65" s="80" t="s">
        <v>2</v>
      </c>
      <c r="G65" s="38">
        <v>0</v>
      </c>
      <c r="H65" s="38">
        <v>0</v>
      </c>
      <c r="I65" s="104">
        <v>0</v>
      </c>
      <c r="J65" s="46">
        <v>0</v>
      </c>
      <c r="K65" s="46">
        <v>0</v>
      </c>
    </row>
    <row r="66" spans="1:11" x14ac:dyDescent="0.2">
      <c r="A66" s="66" t="s">
        <v>2243</v>
      </c>
      <c r="B66" s="38" t="s">
        <v>253</v>
      </c>
      <c r="C66" s="38" t="s">
        <v>249</v>
      </c>
      <c r="D66" s="85" t="s">
        <v>250</v>
      </c>
      <c r="E66" s="80" t="s">
        <v>251</v>
      </c>
      <c r="F66" s="80" t="s">
        <v>2</v>
      </c>
      <c r="G66" s="38">
        <v>0</v>
      </c>
      <c r="H66" s="38">
        <v>0</v>
      </c>
      <c r="I66" s="104">
        <v>0</v>
      </c>
      <c r="J66" s="46">
        <v>0</v>
      </c>
      <c r="K66" s="46">
        <v>0</v>
      </c>
    </row>
    <row r="67" spans="1:11" x14ac:dyDescent="0.2">
      <c r="A67" s="66" t="s">
        <v>2244</v>
      </c>
      <c r="B67" s="38" t="s">
        <v>254</v>
      </c>
      <c r="C67" s="38" t="s">
        <v>249</v>
      </c>
      <c r="D67" s="85" t="s">
        <v>250</v>
      </c>
      <c r="E67" s="80" t="s">
        <v>251</v>
      </c>
      <c r="F67" s="80" t="s">
        <v>127</v>
      </c>
      <c r="G67" s="38">
        <v>0</v>
      </c>
      <c r="H67" s="38">
        <v>0</v>
      </c>
      <c r="I67" s="104">
        <v>24.308573353786315</v>
      </c>
      <c r="J67" s="46">
        <v>4.06963338511626E-4</v>
      </c>
      <c r="K67" s="46">
        <v>2.9448080746607412E-5</v>
      </c>
    </row>
    <row r="68" spans="1:11" x14ac:dyDescent="0.2">
      <c r="A68" s="66" t="s">
        <v>2245</v>
      </c>
      <c r="B68" s="38" t="s">
        <v>255</v>
      </c>
      <c r="C68" s="38" t="s">
        <v>249</v>
      </c>
      <c r="D68" s="85" t="s">
        <v>250</v>
      </c>
      <c r="E68" s="80" t="s">
        <v>251</v>
      </c>
      <c r="F68" s="80" t="s">
        <v>127</v>
      </c>
      <c r="G68" s="38">
        <v>0</v>
      </c>
      <c r="H68" s="38">
        <v>0</v>
      </c>
      <c r="I68" s="104">
        <v>1043.307463925092</v>
      </c>
      <c r="J68" s="46">
        <v>1.74665901792595E-2</v>
      </c>
      <c r="K68" s="46">
        <v>1.263891631732424E-3</v>
      </c>
    </row>
    <row r="69" spans="1:11" x14ac:dyDescent="0.2">
      <c r="A69" s="66" t="s">
        <v>2246</v>
      </c>
      <c r="B69" s="38" t="s">
        <v>256</v>
      </c>
      <c r="C69" s="38" t="s">
        <v>249</v>
      </c>
      <c r="D69" s="85" t="s">
        <v>250</v>
      </c>
      <c r="E69" s="80" t="s">
        <v>251</v>
      </c>
      <c r="F69" s="80" t="s">
        <v>127</v>
      </c>
      <c r="G69" s="38">
        <v>0</v>
      </c>
      <c r="H69" s="38">
        <v>0</v>
      </c>
      <c r="I69" s="104">
        <v>926.84956126324175</v>
      </c>
      <c r="J69" s="46">
        <v>1.5516903697311089E-2</v>
      </c>
      <c r="K69" s="46">
        <v>1.1228112947149274E-3</v>
      </c>
    </row>
    <row r="70" spans="1:11" s="137" customFormat="1" x14ac:dyDescent="0.2">
      <c r="A70" s="143" t="s">
        <v>245</v>
      </c>
      <c r="B70" s="144" t="s">
        <v>180</v>
      </c>
      <c r="C70" s="144" t="s">
        <v>180</v>
      </c>
      <c r="D70" s="141" t="s">
        <v>180</v>
      </c>
      <c r="E70" s="145" t="s">
        <v>180</v>
      </c>
      <c r="F70" s="145" t="s">
        <v>180</v>
      </c>
      <c r="G70" s="144" t="s">
        <v>180</v>
      </c>
      <c r="H70" s="144" t="s">
        <v>180</v>
      </c>
      <c r="I70" s="146">
        <v>-521.06861257020023</v>
      </c>
      <c r="J70" s="140">
        <v>-8.7234992806420608E-3</v>
      </c>
      <c r="K70" s="140">
        <v>-6.3123698598708134E-4</v>
      </c>
    </row>
    <row r="71" spans="1:11" x14ac:dyDescent="0.2">
      <c r="A71" s="66" t="s">
        <v>2247</v>
      </c>
      <c r="B71" s="38" t="s">
        <v>257</v>
      </c>
      <c r="C71" s="38" t="s">
        <v>249</v>
      </c>
      <c r="D71" s="85" t="s">
        <v>250</v>
      </c>
      <c r="E71" s="80" t="s">
        <v>251</v>
      </c>
      <c r="F71" s="80" t="s">
        <v>127</v>
      </c>
      <c r="G71" s="38">
        <v>0</v>
      </c>
      <c r="H71" s="38">
        <v>0</v>
      </c>
      <c r="I71" s="104">
        <v>-27.602312457565141</v>
      </c>
      <c r="J71" s="46">
        <v>-4.6210565568308338E-4</v>
      </c>
      <c r="K71" s="46">
        <v>-3.3438207755489625E-5</v>
      </c>
    </row>
    <row r="72" spans="1:11" x14ac:dyDescent="0.2">
      <c r="A72" s="66" t="s">
        <v>2257</v>
      </c>
      <c r="B72" s="38" t="s">
        <v>258</v>
      </c>
      <c r="C72" s="38" t="s">
        <v>259</v>
      </c>
      <c r="D72" s="85" t="s">
        <v>260</v>
      </c>
      <c r="E72" s="80" t="s">
        <v>261</v>
      </c>
      <c r="F72" s="80" t="s">
        <v>127</v>
      </c>
      <c r="G72" s="38">
        <v>0</v>
      </c>
      <c r="H72" s="38">
        <v>0</v>
      </c>
      <c r="I72" s="104">
        <v>-712.71642614309985</v>
      </c>
      <c r="J72" s="46">
        <v>-1.1931981855697524E-2</v>
      </c>
      <c r="K72" s="46">
        <v>-8.6340446891040369E-4</v>
      </c>
    </row>
    <row r="73" spans="1:11" x14ac:dyDescent="0.2">
      <c r="A73" s="222" t="s">
        <v>2235</v>
      </c>
      <c r="B73" s="223" t="s">
        <v>262</v>
      </c>
      <c r="C73" s="223" t="s">
        <v>259</v>
      </c>
      <c r="D73" s="224" t="s">
        <v>260</v>
      </c>
      <c r="E73" s="225" t="s">
        <v>261</v>
      </c>
      <c r="F73" s="225" t="s">
        <v>127</v>
      </c>
      <c r="G73" s="223">
        <v>0</v>
      </c>
      <c r="H73" s="223">
        <v>0</v>
      </c>
      <c r="I73" s="226">
        <v>219.2501259304648</v>
      </c>
      <c r="J73" s="227">
        <v>3.6705882290643918E-3</v>
      </c>
      <c r="K73" s="227">
        <v>2.6560569055766924E-4</v>
      </c>
    </row>
    <row r="74" spans="1:11" s="137" customFormat="1" x14ac:dyDescent="0.2">
      <c r="A74" s="97" t="s">
        <v>171</v>
      </c>
      <c r="B74" s="147"/>
      <c r="C74" s="147"/>
      <c r="D74" s="147"/>
      <c r="E74" s="148"/>
      <c r="F74" s="149"/>
      <c r="G74" s="150"/>
      <c r="H74" s="151"/>
      <c r="I74" s="150"/>
      <c r="J74" s="152"/>
    </row>
    <row r="75" spans="1:11" s="137" customFormat="1" x14ac:dyDescent="0.2">
      <c r="A75" s="97" t="s">
        <v>172</v>
      </c>
      <c r="B75" s="147"/>
      <c r="C75" s="147"/>
      <c r="D75" s="147"/>
      <c r="E75" s="148"/>
      <c r="F75" s="149"/>
      <c r="G75" s="150"/>
      <c r="H75" s="151"/>
      <c r="I75" s="150"/>
      <c r="J75" s="152"/>
    </row>
    <row r="76" spans="1:11" s="137" customFormat="1" x14ac:dyDescent="0.2">
      <c r="A76" s="97" t="s">
        <v>173</v>
      </c>
      <c r="B76" s="147"/>
      <c r="C76" s="147"/>
      <c r="D76" s="147"/>
      <c r="E76" s="148"/>
      <c r="F76" s="149"/>
      <c r="G76" s="150"/>
      <c r="H76" s="151"/>
      <c r="I76" s="150"/>
      <c r="J76" s="152"/>
    </row>
    <row r="77" spans="1:11" s="137" customFormat="1" x14ac:dyDescent="0.2">
      <c r="A77" s="97" t="s">
        <v>174</v>
      </c>
      <c r="B77" s="147"/>
      <c r="C77" s="147"/>
      <c r="D77" s="147"/>
      <c r="E77" s="148"/>
      <c r="F77" s="149"/>
      <c r="G77" s="150"/>
      <c r="H77" s="151"/>
      <c r="I77" s="150"/>
      <c r="J77" s="152"/>
    </row>
    <row r="78" spans="1:11" s="137" customFormat="1" x14ac:dyDescent="0.2">
      <c r="A78" s="97" t="s">
        <v>175</v>
      </c>
      <c r="B78" s="147"/>
      <c r="C78" s="147"/>
      <c r="D78" s="147"/>
      <c r="E78" s="148"/>
      <c r="F78" s="149"/>
      <c r="G78" s="150"/>
      <c r="H78" s="151"/>
      <c r="I78" s="150"/>
      <c r="J78" s="152"/>
    </row>
  </sheetData>
  <mergeCells count="1">
    <mergeCell ref="A5:K5"/>
  </mergeCells>
  <conditionalFormatting sqref="G1:G4 G10:H73 G74:G55608">
    <cfRule type="expression" dxfId="145" priority="34" stopIfTrue="1">
      <formula>LEFT(#REF!,3)="TIR"</formula>
    </cfRule>
  </conditionalFormatting>
  <conditionalFormatting sqref="G6">
    <cfRule type="expression" dxfId="144" priority="37" stopIfTrue="1">
      <formula>LEFT(#REF!,3)="TIR"</formula>
    </cfRule>
  </conditionalFormatting>
  <conditionalFormatting sqref="B10:F73 J10:K73">
    <cfRule type="expression" dxfId="143" priority="38" stopIfTrue="1">
      <formula>LEFT(#REF!,3)="TIR"</formula>
    </cfRule>
  </conditionalFormatting>
  <conditionalFormatting sqref="A10:A73 I10:J73">
    <cfRule type="expression" dxfId="142" priority="40" stopIfTrue="1">
      <formula>#REF!&gt;0</formula>
    </cfRule>
  </conditionalFormatting>
  <conditionalFormatting sqref="A10:A73 I10:K73">
    <cfRule type="expression" dxfId="141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4376D-1646-468A-9A0D-344659949888}">
  <sheetPr codeName="גיליון2">
    <pageSetUpPr fitToPage="1"/>
  </sheetPr>
  <dimension ref="A1:Q62"/>
  <sheetViews>
    <sheetView rightToLeft="1" topLeftCell="A7" zoomScale="80" zoomScaleNormal="80" workbookViewId="0">
      <selection activeCell="A7" sqref="A7:Q57"/>
    </sheetView>
  </sheetViews>
  <sheetFormatPr defaultRowHeight="12.75" x14ac:dyDescent="0.2"/>
  <cols>
    <col min="1" max="1" width="35.5703125" style="23" bestFit="1" customWidth="1"/>
    <col min="2" max="2" width="15.85546875" style="22" bestFit="1" customWidth="1"/>
    <col min="3" max="3" width="12.28515625" style="22" customWidth="1"/>
    <col min="4" max="4" width="7.5703125" style="22" customWidth="1"/>
    <col min="5" max="5" width="11.140625" style="79" customWidth="1"/>
    <col min="6" max="6" width="14.140625" style="79" customWidth="1"/>
    <col min="7" max="7" width="7.85546875" style="79" customWidth="1"/>
    <col min="8" max="8" width="12" style="50" bestFit="1" customWidth="1"/>
    <col min="9" max="9" width="12.5703125" style="81" customWidth="1"/>
    <col min="10" max="10" width="14.140625" style="83" customWidth="1"/>
    <col min="11" max="11" width="13.5703125" style="83" bestFit="1" customWidth="1"/>
    <col min="12" max="12" width="9.28515625" style="83" bestFit="1" customWidth="1"/>
    <col min="13" max="13" width="16.5703125" style="83" customWidth="1"/>
    <col min="14" max="14" width="12" style="81" bestFit="1" customWidth="1"/>
    <col min="15" max="15" width="22" style="81" customWidth="1"/>
    <col min="16" max="16" width="25.42578125" style="81" customWidth="1"/>
    <col min="17" max="17" width="20.7109375" style="84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166</v>
      </c>
      <c r="B1" s="22" t="s">
        <v>176</v>
      </c>
      <c r="C1" s="22"/>
      <c r="D1" s="22"/>
      <c r="E1" s="79"/>
      <c r="F1" s="79"/>
      <c r="G1" s="79"/>
      <c r="H1" s="50"/>
      <c r="I1" s="81"/>
      <c r="J1" s="82"/>
      <c r="K1" s="82"/>
      <c r="L1" s="82"/>
      <c r="M1" s="82"/>
      <c r="N1" s="81"/>
      <c r="O1" s="81"/>
      <c r="P1" s="81"/>
      <c r="Q1" s="84"/>
    </row>
    <row r="2" spans="1:17" s="20" customFormat="1" x14ac:dyDescent="0.2">
      <c r="A2" s="23" t="s">
        <v>167</v>
      </c>
      <c r="B2" s="22" t="s">
        <v>153</v>
      </c>
      <c r="C2" s="22"/>
      <c r="D2" s="22"/>
      <c r="E2" s="79"/>
      <c r="F2" s="79"/>
      <c r="G2" s="79"/>
      <c r="H2" s="50"/>
      <c r="I2" s="81"/>
      <c r="J2" s="82"/>
      <c r="K2" s="82"/>
      <c r="L2" s="82"/>
      <c r="M2" s="82"/>
      <c r="N2" s="81"/>
      <c r="O2" s="81"/>
      <c r="P2" s="81"/>
      <c r="Q2" s="84"/>
    </row>
    <row r="3" spans="1:17" s="20" customFormat="1" x14ac:dyDescent="0.2">
      <c r="A3" s="23" t="s">
        <v>168</v>
      </c>
      <c r="B3" s="22" t="s">
        <v>169</v>
      </c>
      <c r="C3" s="22"/>
      <c r="D3" s="22"/>
      <c r="E3" s="79"/>
      <c r="F3" s="79"/>
      <c r="G3" s="79"/>
      <c r="H3" s="50"/>
      <c r="I3" s="81"/>
      <c r="J3" s="82"/>
      <c r="K3" s="82"/>
      <c r="L3" s="82"/>
      <c r="M3" s="82"/>
      <c r="N3" s="81"/>
      <c r="O3" s="81"/>
      <c r="P3" s="81"/>
      <c r="Q3" s="84"/>
    </row>
    <row r="4" spans="1:17" s="20" customFormat="1" ht="13.5" thickBot="1" x14ac:dyDescent="0.25">
      <c r="A4" s="23" t="s">
        <v>170</v>
      </c>
      <c r="B4" s="22" t="s">
        <v>178</v>
      </c>
      <c r="C4" s="22"/>
      <c r="D4" s="22"/>
      <c r="E4" s="79"/>
      <c r="F4" s="79"/>
      <c r="G4" s="79"/>
      <c r="H4" s="50"/>
      <c r="I4" s="81"/>
      <c r="J4" s="82"/>
      <c r="K4" s="82"/>
      <c r="L4" s="82"/>
      <c r="M4" s="82"/>
      <c r="N4" s="81"/>
      <c r="O4" s="81"/>
      <c r="P4" s="81"/>
      <c r="Q4" s="84"/>
    </row>
    <row r="5" spans="1:17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</row>
    <row r="6" spans="1:17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5"/>
    </row>
    <row r="7" spans="1:17" s="20" customFormat="1" ht="28.5" customHeight="1" x14ac:dyDescent="0.2">
      <c r="A7" s="228" t="s">
        <v>160</v>
      </c>
      <c r="B7" s="107" t="s">
        <v>69</v>
      </c>
      <c r="C7" s="107" t="s">
        <v>76</v>
      </c>
      <c r="D7" s="107" t="s">
        <v>70</v>
      </c>
      <c r="E7" s="107" t="s">
        <v>5</v>
      </c>
      <c r="F7" s="107" t="s">
        <v>13</v>
      </c>
      <c r="G7" s="107" t="s">
        <v>14</v>
      </c>
      <c r="H7" s="107" t="s">
        <v>6</v>
      </c>
      <c r="I7" s="108" t="s">
        <v>66</v>
      </c>
      <c r="J7" s="108" t="s">
        <v>71</v>
      </c>
      <c r="K7" s="108" t="s">
        <v>67</v>
      </c>
      <c r="L7" s="108" t="s">
        <v>68</v>
      </c>
      <c r="M7" s="108" t="s">
        <v>137</v>
      </c>
      <c r="N7" s="108" t="s">
        <v>7</v>
      </c>
      <c r="O7" s="109" t="s">
        <v>17</v>
      </c>
      <c r="P7" s="109" t="s">
        <v>75</v>
      </c>
      <c r="Q7" s="110" t="s">
        <v>8</v>
      </c>
    </row>
    <row r="8" spans="1:17" s="20" customFormat="1" x14ac:dyDescent="0.2">
      <c r="A8" s="40"/>
      <c r="B8" s="16"/>
      <c r="C8" s="16"/>
      <c r="D8" s="16"/>
      <c r="E8" s="41"/>
      <c r="F8" s="41" t="s">
        <v>40</v>
      </c>
      <c r="G8" s="42" t="s">
        <v>16</v>
      </c>
      <c r="H8" s="43"/>
      <c r="I8" s="15" t="s">
        <v>9</v>
      </c>
      <c r="J8" s="15" t="s">
        <v>9</v>
      </c>
      <c r="K8" s="15" t="s">
        <v>136</v>
      </c>
      <c r="L8" s="15"/>
      <c r="M8" s="15" t="s">
        <v>138</v>
      </c>
      <c r="N8" s="15" t="s">
        <v>138</v>
      </c>
      <c r="O8" s="44" t="s">
        <v>9</v>
      </c>
      <c r="P8" s="44" t="s">
        <v>9</v>
      </c>
      <c r="Q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6">
        <v>16</v>
      </c>
    </row>
    <row r="10" spans="1:17" s="137" customFormat="1" ht="12.75" customHeight="1" thickBot="1" x14ac:dyDescent="0.25">
      <c r="A10" s="120" t="s">
        <v>52</v>
      </c>
      <c r="B10" s="86"/>
      <c r="C10" s="86"/>
      <c r="D10" s="121"/>
      <c r="E10" s="121"/>
      <c r="F10" s="121"/>
      <c r="G10" s="121"/>
      <c r="H10" s="121"/>
      <c r="I10" s="86"/>
      <c r="J10" s="86"/>
      <c r="K10" s="124"/>
      <c r="L10" s="121"/>
      <c r="M10" s="121" t="s">
        <v>180</v>
      </c>
      <c r="N10" s="125">
        <v>407028.40363654256</v>
      </c>
      <c r="O10" s="86"/>
      <c r="P10" s="86">
        <v>1</v>
      </c>
      <c r="Q10" s="101">
        <v>0.4930855102849811</v>
      </c>
    </row>
    <row r="11" spans="1:17" s="137" customFormat="1" x14ac:dyDescent="0.2">
      <c r="A11" s="111" t="s">
        <v>140</v>
      </c>
      <c r="B11" s="140" t="s">
        <v>180</v>
      </c>
      <c r="C11" s="140" t="s">
        <v>180</v>
      </c>
      <c r="D11" s="141" t="s">
        <v>180</v>
      </c>
      <c r="E11" s="141" t="s">
        <v>180</v>
      </c>
      <c r="F11" s="141" t="s">
        <v>180</v>
      </c>
      <c r="G11" s="141" t="s">
        <v>180</v>
      </c>
      <c r="H11" s="141" t="s">
        <v>180</v>
      </c>
      <c r="I11" s="140" t="s">
        <v>180</v>
      </c>
      <c r="J11" s="140" t="s">
        <v>180</v>
      </c>
      <c r="K11" s="153" t="s">
        <v>180</v>
      </c>
      <c r="L11" s="141" t="s">
        <v>180</v>
      </c>
      <c r="M11" s="141" t="s">
        <v>180</v>
      </c>
      <c r="N11" s="154">
        <v>389709.69406275853</v>
      </c>
      <c r="O11" s="140" t="s">
        <v>180</v>
      </c>
      <c r="P11" s="140">
        <v>0.95745085743635505</v>
      </c>
      <c r="Q11" s="140">
        <v>0.47210514461179787</v>
      </c>
    </row>
    <row r="12" spans="1:17" s="137" customFormat="1" x14ac:dyDescent="0.2">
      <c r="A12" s="112" t="s">
        <v>263</v>
      </c>
      <c r="B12" s="144" t="s">
        <v>180</v>
      </c>
      <c r="C12" s="144" t="s">
        <v>180</v>
      </c>
      <c r="D12" s="141" t="s">
        <v>180</v>
      </c>
      <c r="E12" s="145" t="s">
        <v>180</v>
      </c>
      <c r="F12" s="145" t="s">
        <v>180</v>
      </c>
      <c r="G12" s="145" t="s">
        <v>180</v>
      </c>
      <c r="H12" s="145" t="s">
        <v>180</v>
      </c>
      <c r="I12" s="144" t="s">
        <v>180</v>
      </c>
      <c r="J12" s="144" t="s">
        <v>180</v>
      </c>
      <c r="K12" s="155" t="s">
        <v>180</v>
      </c>
      <c r="L12" s="145" t="s">
        <v>180</v>
      </c>
      <c r="M12" s="145" t="s">
        <v>180</v>
      </c>
      <c r="N12" s="146">
        <v>205303.29689214774</v>
      </c>
      <c r="O12" s="144" t="s">
        <v>180</v>
      </c>
      <c r="P12" s="140">
        <v>0.50439550423973367</v>
      </c>
      <c r="Q12" s="140">
        <v>0.24871011459349945</v>
      </c>
    </row>
    <row r="13" spans="1:17" x14ac:dyDescent="0.2">
      <c r="A13" s="30" t="s">
        <v>264</v>
      </c>
      <c r="B13" s="38" t="s">
        <v>265</v>
      </c>
      <c r="C13" s="38" t="s">
        <v>266</v>
      </c>
      <c r="D13" s="85" t="s">
        <v>267</v>
      </c>
      <c r="E13" s="80" t="s">
        <v>180</v>
      </c>
      <c r="F13" s="80" t="s">
        <v>268</v>
      </c>
      <c r="G13" s="80">
        <v>1.04</v>
      </c>
      <c r="H13" s="80" t="s">
        <v>186</v>
      </c>
      <c r="I13" s="38">
        <v>0.04</v>
      </c>
      <c r="J13" s="38">
        <v>-8.0000000000000004E-4</v>
      </c>
      <c r="K13" s="88">
        <v>44032418.007679932</v>
      </c>
      <c r="L13" s="80">
        <v>140.97</v>
      </c>
      <c r="M13" s="88">
        <v>0</v>
      </c>
      <c r="N13" s="104">
        <v>62072.49966537884</v>
      </c>
      <c r="O13" s="38">
        <v>2.8320661561903829E-3</v>
      </c>
      <c r="P13" s="46">
        <v>0.15250164143533995</v>
      </c>
      <c r="Q13" s="46">
        <v>7.519634968644183E-2</v>
      </c>
    </row>
    <row r="14" spans="1:17" x14ac:dyDescent="0.2">
      <c r="A14" s="30" t="s">
        <v>269</v>
      </c>
      <c r="B14" s="38" t="s">
        <v>270</v>
      </c>
      <c r="C14" s="38" t="s">
        <v>266</v>
      </c>
      <c r="D14" s="85" t="s">
        <v>267</v>
      </c>
      <c r="E14" s="80" t="s">
        <v>180</v>
      </c>
      <c r="F14" s="80" t="s">
        <v>271</v>
      </c>
      <c r="G14" s="80">
        <v>3.76</v>
      </c>
      <c r="H14" s="80" t="s">
        <v>186</v>
      </c>
      <c r="I14" s="38">
        <v>0.04</v>
      </c>
      <c r="J14" s="38">
        <v>-5.0000000000000001E-3</v>
      </c>
      <c r="K14" s="88">
        <v>9972902.1054612398</v>
      </c>
      <c r="L14" s="80">
        <v>150.97999999999999</v>
      </c>
      <c r="M14" s="80">
        <v>0</v>
      </c>
      <c r="N14" s="104">
        <v>15057.087598764234</v>
      </c>
      <c r="O14" s="38">
        <v>8.5840877059656763E-4</v>
      </c>
      <c r="P14" s="46">
        <v>3.699271958477255E-2</v>
      </c>
      <c r="Q14" s="46">
        <v>1.8240574013286787E-2</v>
      </c>
    </row>
    <row r="15" spans="1:17" x14ac:dyDescent="0.2">
      <c r="A15" s="30" t="s">
        <v>272</v>
      </c>
      <c r="B15" s="38" t="s">
        <v>273</v>
      </c>
      <c r="C15" s="38" t="s">
        <v>266</v>
      </c>
      <c r="D15" s="85" t="s">
        <v>267</v>
      </c>
      <c r="E15" s="80" t="s">
        <v>180</v>
      </c>
      <c r="F15" s="80" t="s">
        <v>274</v>
      </c>
      <c r="G15" s="80">
        <v>13.07</v>
      </c>
      <c r="H15" s="80" t="s">
        <v>186</v>
      </c>
      <c r="I15" s="38">
        <v>0.04</v>
      </c>
      <c r="J15" s="38">
        <v>-3.7000000000000002E-3</v>
      </c>
      <c r="K15" s="88">
        <v>11060854.462695125</v>
      </c>
      <c r="L15" s="80">
        <v>204.5</v>
      </c>
      <c r="M15" s="80">
        <v>0</v>
      </c>
      <c r="N15" s="104">
        <v>22619.44737621153</v>
      </c>
      <c r="O15" s="38">
        <v>6.8185952169431876E-4</v>
      </c>
      <c r="P15" s="46">
        <v>5.5572159520370097E-2</v>
      </c>
      <c r="Q15" s="46">
        <v>2.740182663474006E-2</v>
      </c>
    </row>
    <row r="16" spans="1:17" x14ac:dyDescent="0.2">
      <c r="A16" s="30" t="s">
        <v>275</v>
      </c>
      <c r="B16" s="38" t="s">
        <v>276</v>
      </c>
      <c r="C16" s="38" t="s">
        <v>266</v>
      </c>
      <c r="D16" s="85" t="s">
        <v>267</v>
      </c>
      <c r="E16" s="80" t="s">
        <v>180</v>
      </c>
      <c r="F16" s="80" t="s">
        <v>277</v>
      </c>
      <c r="G16" s="80">
        <v>17.25</v>
      </c>
      <c r="H16" s="80" t="s">
        <v>186</v>
      </c>
      <c r="I16" s="38">
        <v>2.75E-2</v>
      </c>
      <c r="J16" s="38">
        <v>-8.0000000000000004E-4</v>
      </c>
      <c r="K16" s="88">
        <v>12588926.886975789</v>
      </c>
      <c r="L16" s="80">
        <v>174.21</v>
      </c>
      <c r="M16" s="80">
        <v>0</v>
      </c>
      <c r="N16" s="104">
        <v>21931.169529741073</v>
      </c>
      <c r="O16" s="38">
        <v>7.1224210278669883E-4</v>
      </c>
      <c r="P16" s="46">
        <v>5.3881177170437937E-2</v>
      </c>
      <c r="Q16" s="46">
        <v>2.6568027739840863E-2</v>
      </c>
    </row>
    <row r="17" spans="1:17" x14ac:dyDescent="0.2">
      <c r="A17" s="30" t="s">
        <v>278</v>
      </c>
      <c r="B17" s="38" t="s">
        <v>279</v>
      </c>
      <c r="C17" s="38" t="s">
        <v>266</v>
      </c>
      <c r="D17" s="85" t="s">
        <v>267</v>
      </c>
      <c r="E17" s="80" t="s">
        <v>180</v>
      </c>
      <c r="F17" s="80" t="s">
        <v>280</v>
      </c>
      <c r="G17" s="80">
        <v>2.17</v>
      </c>
      <c r="H17" s="80" t="s">
        <v>186</v>
      </c>
      <c r="I17" s="38">
        <v>2.75E-2</v>
      </c>
      <c r="J17" s="38">
        <v>-2.0999999999999999E-3</v>
      </c>
      <c r="K17" s="88">
        <v>24552137.488033988</v>
      </c>
      <c r="L17" s="80">
        <v>112.64</v>
      </c>
      <c r="M17" s="80">
        <v>0</v>
      </c>
      <c r="N17" s="104">
        <v>27655.527666405986</v>
      </c>
      <c r="O17" s="38">
        <v>1.4620764136710994E-3</v>
      </c>
      <c r="P17" s="46">
        <v>6.7944957696615904E-2</v>
      </c>
      <c r="Q17" s="46">
        <v>3.3502674137127306E-2</v>
      </c>
    </row>
    <row r="18" spans="1:17" x14ac:dyDescent="0.2">
      <c r="A18" s="30" t="s">
        <v>281</v>
      </c>
      <c r="B18" s="38" t="s">
        <v>282</v>
      </c>
      <c r="C18" s="38" t="s">
        <v>266</v>
      </c>
      <c r="D18" s="85" t="s">
        <v>267</v>
      </c>
      <c r="E18" s="80" t="s">
        <v>180</v>
      </c>
      <c r="F18" s="80" t="s">
        <v>283</v>
      </c>
      <c r="G18" s="80">
        <v>3.15</v>
      </c>
      <c r="H18" s="80" t="s">
        <v>186</v>
      </c>
      <c r="I18" s="38">
        <v>1.7500000000000002E-2</v>
      </c>
      <c r="J18" s="38">
        <v>-4.3E-3</v>
      </c>
      <c r="K18" s="88">
        <v>14484072.559572896</v>
      </c>
      <c r="L18" s="80">
        <v>110.28</v>
      </c>
      <c r="M18" s="80">
        <v>0</v>
      </c>
      <c r="N18" s="104">
        <v>15973.035218676609</v>
      </c>
      <c r="O18" s="38">
        <v>8.5707380937652606E-4</v>
      </c>
      <c r="P18" s="46">
        <v>3.9243048091896271E-2</v>
      </c>
      <c r="Q18" s="46">
        <v>1.9350178393530728E-2</v>
      </c>
    </row>
    <row r="19" spans="1:17" x14ac:dyDescent="0.2">
      <c r="A19" s="30" t="s">
        <v>284</v>
      </c>
      <c r="B19" s="38" t="s">
        <v>285</v>
      </c>
      <c r="C19" s="38" t="s">
        <v>266</v>
      </c>
      <c r="D19" s="85" t="s">
        <v>267</v>
      </c>
      <c r="E19" s="80" t="s">
        <v>180</v>
      </c>
      <c r="F19" s="80" t="s">
        <v>286</v>
      </c>
      <c r="G19" s="80">
        <v>22.48</v>
      </c>
      <c r="H19" s="80" t="s">
        <v>186</v>
      </c>
      <c r="I19" s="38">
        <v>0.01</v>
      </c>
      <c r="J19" s="38">
        <v>1.5E-3</v>
      </c>
      <c r="K19" s="88">
        <v>4974684.3762240317</v>
      </c>
      <c r="L19" s="80">
        <v>121.78999999999999</v>
      </c>
      <c r="M19" s="80">
        <v>0</v>
      </c>
      <c r="N19" s="104">
        <v>6058.668101774374</v>
      </c>
      <c r="O19" s="38">
        <v>3.0129289660861563E-4</v>
      </c>
      <c r="P19" s="46">
        <v>1.4885123612121387E-2</v>
      </c>
      <c r="Q19" s="46">
        <v>7.3396387719378946E-3</v>
      </c>
    </row>
    <row r="20" spans="1:17" x14ac:dyDescent="0.2">
      <c r="A20" s="30" t="s">
        <v>287</v>
      </c>
      <c r="B20" s="38" t="s">
        <v>288</v>
      </c>
      <c r="C20" s="38" t="s">
        <v>266</v>
      </c>
      <c r="D20" s="85" t="s">
        <v>267</v>
      </c>
      <c r="E20" s="80" t="s">
        <v>180</v>
      </c>
      <c r="F20" s="80" t="s">
        <v>289</v>
      </c>
      <c r="G20" s="80">
        <v>5.23</v>
      </c>
      <c r="H20" s="80" t="s">
        <v>186</v>
      </c>
      <c r="I20" s="38">
        <v>7.4999999999999997E-3</v>
      </c>
      <c r="J20" s="38">
        <v>-6.0999999999999995E-3</v>
      </c>
      <c r="K20" s="88">
        <v>3315087.1791533749</v>
      </c>
      <c r="L20" s="80">
        <v>108.32</v>
      </c>
      <c r="M20" s="80">
        <v>0</v>
      </c>
      <c r="N20" s="104">
        <v>3590.9024324453476</v>
      </c>
      <c r="O20" s="38">
        <v>1.9567869176682082E-4</v>
      </c>
      <c r="P20" s="46">
        <v>8.8222404145826064E-3</v>
      </c>
      <c r="Q20" s="46">
        <v>4.3501189166812474E-3</v>
      </c>
    </row>
    <row r="21" spans="1:17" x14ac:dyDescent="0.2">
      <c r="A21" s="30" t="s">
        <v>290</v>
      </c>
      <c r="B21" s="38" t="s">
        <v>291</v>
      </c>
      <c r="C21" s="38" t="s">
        <v>266</v>
      </c>
      <c r="D21" s="85" t="s">
        <v>267</v>
      </c>
      <c r="E21" s="80" t="s">
        <v>180</v>
      </c>
      <c r="F21" s="80" t="s">
        <v>292</v>
      </c>
      <c r="G21" s="80">
        <v>0.33</v>
      </c>
      <c r="H21" s="80" t="s">
        <v>186</v>
      </c>
      <c r="I21" s="38">
        <v>1E-3</v>
      </c>
      <c r="J21" s="38">
        <v>-8.3999999999999995E-3</v>
      </c>
      <c r="K21" s="88">
        <v>25050963.397118349</v>
      </c>
      <c r="L21" s="80">
        <v>101.18</v>
      </c>
      <c r="M21" s="80">
        <v>0</v>
      </c>
      <c r="N21" s="104">
        <v>25346.564765156785</v>
      </c>
      <c r="O21" s="38">
        <v>2.08085633554468E-3</v>
      </c>
      <c r="P21" s="46">
        <v>6.2272226062606899E-2</v>
      </c>
      <c r="Q21" s="46">
        <v>3.0705532364662221E-2</v>
      </c>
    </row>
    <row r="22" spans="1:17" x14ac:dyDescent="0.2">
      <c r="A22" s="30" t="s">
        <v>293</v>
      </c>
      <c r="B22" s="38" t="s">
        <v>294</v>
      </c>
      <c r="C22" s="38" t="s">
        <v>266</v>
      </c>
      <c r="D22" s="85" t="s">
        <v>267</v>
      </c>
      <c r="E22" s="80" t="s">
        <v>180</v>
      </c>
      <c r="F22" s="80" t="s">
        <v>295</v>
      </c>
      <c r="G22" s="80">
        <v>6.77</v>
      </c>
      <c r="H22" s="80" t="s">
        <v>186</v>
      </c>
      <c r="I22" s="38">
        <v>7.4999999999999997E-3</v>
      </c>
      <c r="J22" s="38">
        <v>-6.7000000000000002E-3</v>
      </c>
      <c r="K22" s="88">
        <v>4489426.3367972393</v>
      </c>
      <c r="L22" s="80">
        <v>111.25</v>
      </c>
      <c r="M22" s="80">
        <v>0</v>
      </c>
      <c r="N22" s="104">
        <v>4994.4867996444664</v>
      </c>
      <c r="O22" s="38">
        <v>2.8104852671730475E-4</v>
      </c>
      <c r="P22" s="46">
        <v>1.227060999925772E-2</v>
      </c>
      <c r="Q22" s="46">
        <v>6.050459992991984E-3</v>
      </c>
    </row>
    <row r="23" spans="1:17" x14ac:dyDescent="0.2">
      <c r="A23" s="30" t="s">
        <v>296</v>
      </c>
      <c r="B23" s="38" t="s">
        <v>297</v>
      </c>
      <c r="C23" s="38" t="s">
        <v>266</v>
      </c>
      <c r="D23" s="85" t="s">
        <v>267</v>
      </c>
      <c r="E23" s="80" t="s">
        <v>180</v>
      </c>
      <c r="F23" s="80" t="s">
        <v>298</v>
      </c>
      <c r="G23" s="80">
        <v>8.75</v>
      </c>
      <c r="H23" s="80" t="s">
        <v>186</v>
      </c>
      <c r="I23" s="38">
        <v>5.0000000000000001E-3</v>
      </c>
      <c r="J23" s="38">
        <v>-6.8999999999999999E-3</v>
      </c>
      <c r="K23" s="88">
        <v>3520.4845482477194</v>
      </c>
      <c r="L23" s="80">
        <v>111.00000000000001</v>
      </c>
      <c r="M23" s="80">
        <v>0</v>
      </c>
      <c r="N23" s="104">
        <v>3.9077378485549685</v>
      </c>
      <c r="O23" s="38">
        <v>2.5870125508303496E-7</v>
      </c>
      <c r="P23" s="46">
        <v>9.6006514868293967E-6</v>
      </c>
      <c r="Q23" s="46">
        <v>4.7339421374515359E-6</v>
      </c>
    </row>
    <row r="24" spans="1:17" s="137" customFormat="1" x14ac:dyDescent="0.2">
      <c r="A24" s="112" t="s">
        <v>142</v>
      </c>
      <c r="B24" s="144" t="s">
        <v>180</v>
      </c>
      <c r="C24" s="144" t="s">
        <v>180</v>
      </c>
      <c r="D24" s="141" t="s">
        <v>180</v>
      </c>
      <c r="E24" s="145" t="s">
        <v>180</v>
      </c>
      <c r="F24" s="145" t="s">
        <v>180</v>
      </c>
      <c r="G24" s="145" t="s">
        <v>180</v>
      </c>
      <c r="H24" s="145" t="s">
        <v>180</v>
      </c>
      <c r="I24" s="144" t="s">
        <v>180</v>
      </c>
      <c r="J24" s="144" t="s">
        <v>180</v>
      </c>
      <c r="K24" s="155" t="s">
        <v>180</v>
      </c>
      <c r="L24" s="145" t="s">
        <v>180</v>
      </c>
      <c r="M24" s="145" t="s">
        <v>180</v>
      </c>
      <c r="N24" s="146">
        <v>184406.39717051064</v>
      </c>
      <c r="O24" s="144" t="s">
        <v>180</v>
      </c>
      <c r="P24" s="140">
        <v>0.45305535319637541</v>
      </c>
      <c r="Q24" s="140">
        <v>0.22339503001817709</v>
      </c>
    </row>
    <row r="25" spans="1:17" s="137" customFormat="1" x14ac:dyDescent="0.2">
      <c r="A25" s="112" t="s">
        <v>299</v>
      </c>
      <c r="B25" s="144" t="s">
        <v>180</v>
      </c>
      <c r="C25" s="144" t="s">
        <v>180</v>
      </c>
      <c r="D25" s="141" t="s">
        <v>180</v>
      </c>
      <c r="E25" s="145" t="s">
        <v>180</v>
      </c>
      <c r="F25" s="145" t="s">
        <v>180</v>
      </c>
      <c r="G25" s="145" t="s">
        <v>180</v>
      </c>
      <c r="H25" s="145" t="s">
        <v>180</v>
      </c>
      <c r="I25" s="144" t="s">
        <v>180</v>
      </c>
      <c r="J25" s="144" t="s">
        <v>180</v>
      </c>
      <c r="K25" s="155" t="s">
        <v>180</v>
      </c>
      <c r="L25" s="145" t="s">
        <v>180</v>
      </c>
      <c r="M25" s="145" t="s">
        <v>180</v>
      </c>
      <c r="N25" s="146">
        <v>1569.1610448675785</v>
      </c>
      <c r="O25" s="144" t="s">
        <v>180</v>
      </c>
      <c r="P25" s="140">
        <v>3.855163499274528E-3</v>
      </c>
      <c r="Q25" s="140">
        <v>1.9009252612718142E-3</v>
      </c>
    </row>
    <row r="26" spans="1:17" x14ac:dyDescent="0.2">
      <c r="A26" s="30" t="s">
        <v>300</v>
      </c>
      <c r="B26" s="38" t="s">
        <v>301</v>
      </c>
      <c r="C26" s="38" t="s">
        <v>266</v>
      </c>
      <c r="D26" s="85" t="s">
        <v>267</v>
      </c>
      <c r="E26" s="80" t="s">
        <v>180</v>
      </c>
      <c r="F26" s="80" t="s">
        <v>302</v>
      </c>
      <c r="G26" s="80">
        <v>0.02</v>
      </c>
      <c r="H26" s="80" t="s">
        <v>186</v>
      </c>
      <c r="I26" s="38">
        <v>0</v>
      </c>
      <c r="J26" s="38">
        <v>5.1999999999999998E-3</v>
      </c>
      <c r="K26" s="88">
        <v>833856.21366630192</v>
      </c>
      <c r="L26" s="80">
        <v>99.99</v>
      </c>
      <c r="M26" s="80">
        <v>0</v>
      </c>
      <c r="N26" s="104">
        <v>833.77282793093877</v>
      </c>
      <c r="O26" s="38">
        <v>9.2650690407366886E-5</v>
      </c>
      <c r="P26" s="46">
        <v>2.048438930752015E-3</v>
      </c>
      <c r="Q26" s="46">
        <v>1.0100555554574783E-3</v>
      </c>
    </row>
    <row r="27" spans="1:17" x14ac:dyDescent="0.2">
      <c r="A27" s="30" t="s">
        <v>303</v>
      </c>
      <c r="B27" s="38" t="s">
        <v>304</v>
      </c>
      <c r="C27" s="38" t="s">
        <v>266</v>
      </c>
      <c r="D27" s="85" t="s">
        <v>267</v>
      </c>
      <c r="E27" s="80" t="s">
        <v>180</v>
      </c>
      <c r="F27" s="80" t="s">
        <v>305</v>
      </c>
      <c r="G27" s="80">
        <v>0.17</v>
      </c>
      <c r="H27" s="80" t="s">
        <v>186</v>
      </c>
      <c r="I27" s="38">
        <v>0</v>
      </c>
      <c r="J27" s="38">
        <v>5.9999999999999995E-4</v>
      </c>
      <c r="K27" s="88">
        <v>735461.76301294076</v>
      </c>
      <c r="L27" s="80">
        <v>99.99</v>
      </c>
      <c r="M27" s="80">
        <v>0</v>
      </c>
      <c r="N27" s="104">
        <v>735.38821683663957</v>
      </c>
      <c r="O27" s="38">
        <v>6.6860160273903707E-5</v>
      </c>
      <c r="P27" s="46">
        <v>1.8067245682768297E-3</v>
      </c>
      <c r="Q27" s="46">
        <v>8.9086970569319276E-4</v>
      </c>
    </row>
    <row r="28" spans="1:17" s="137" customFormat="1" x14ac:dyDescent="0.2">
      <c r="A28" s="112" t="s">
        <v>306</v>
      </c>
      <c r="B28" s="144" t="s">
        <v>180</v>
      </c>
      <c r="C28" s="144" t="s">
        <v>180</v>
      </c>
      <c r="D28" s="141" t="s">
        <v>180</v>
      </c>
      <c r="E28" s="145" t="s">
        <v>180</v>
      </c>
      <c r="F28" s="145" t="s">
        <v>180</v>
      </c>
      <c r="G28" s="145" t="s">
        <v>180</v>
      </c>
      <c r="H28" s="145" t="s">
        <v>180</v>
      </c>
      <c r="I28" s="144" t="s">
        <v>180</v>
      </c>
      <c r="J28" s="144" t="s">
        <v>180</v>
      </c>
      <c r="K28" s="155" t="s">
        <v>180</v>
      </c>
      <c r="L28" s="145" t="s">
        <v>180</v>
      </c>
      <c r="M28" s="145" t="s">
        <v>180</v>
      </c>
      <c r="N28" s="146">
        <v>165583.37729962141</v>
      </c>
      <c r="O28" s="144" t="s">
        <v>180</v>
      </c>
      <c r="P28" s="140">
        <v>0.4068103744609422</v>
      </c>
      <c r="Q28" s="140">
        <v>0.20059230108029794</v>
      </c>
    </row>
    <row r="29" spans="1:17" x14ac:dyDescent="0.2">
      <c r="A29" s="30" t="s">
        <v>307</v>
      </c>
      <c r="B29" s="38" t="s">
        <v>308</v>
      </c>
      <c r="C29" s="38" t="s">
        <v>266</v>
      </c>
      <c r="D29" s="85" t="s">
        <v>267</v>
      </c>
      <c r="E29" s="80" t="s">
        <v>180</v>
      </c>
      <c r="F29" s="80" t="s">
        <v>309</v>
      </c>
      <c r="G29" s="80">
        <v>5.41</v>
      </c>
      <c r="H29" s="80" t="s">
        <v>186</v>
      </c>
      <c r="I29" s="38">
        <v>6.25E-2</v>
      </c>
      <c r="J29" s="38">
        <v>3.8E-3</v>
      </c>
      <c r="K29" s="88">
        <v>531690.51643398218</v>
      </c>
      <c r="L29" s="80">
        <v>140.84</v>
      </c>
      <c r="M29" s="80">
        <v>0</v>
      </c>
      <c r="N29" s="104">
        <v>748.83292322794659</v>
      </c>
      <c r="O29" s="38">
        <v>3.2285637043132662E-5</v>
      </c>
      <c r="P29" s="46">
        <v>1.8397559397270457E-3</v>
      </c>
      <c r="Q29" s="46">
        <v>9.0715699634013518E-4</v>
      </c>
    </row>
    <row r="30" spans="1:17" x14ac:dyDescent="0.2">
      <c r="A30" s="30" t="s">
        <v>310</v>
      </c>
      <c r="B30" s="38" t="s">
        <v>311</v>
      </c>
      <c r="C30" s="38" t="s">
        <v>266</v>
      </c>
      <c r="D30" s="85" t="s">
        <v>267</v>
      </c>
      <c r="E30" s="80" t="s">
        <v>180</v>
      </c>
      <c r="F30" s="80" t="s">
        <v>312</v>
      </c>
      <c r="G30" s="80">
        <v>1.54</v>
      </c>
      <c r="H30" s="80" t="s">
        <v>186</v>
      </c>
      <c r="I30" s="38">
        <v>5.5E-2</v>
      </c>
      <c r="J30" s="38">
        <v>4.0000000000000002E-4</v>
      </c>
      <c r="K30" s="88">
        <v>34388.095972460527</v>
      </c>
      <c r="L30" s="80">
        <v>110.94</v>
      </c>
      <c r="M30" s="80">
        <v>0</v>
      </c>
      <c r="N30" s="104">
        <v>38.150153517400739</v>
      </c>
      <c r="O30" s="38">
        <v>1.9404692671335596E-6</v>
      </c>
      <c r="P30" s="46">
        <v>9.3728479822423026E-5</v>
      </c>
      <c r="Q30" s="46">
        <v>4.6216155301475015E-5</v>
      </c>
    </row>
    <row r="31" spans="1:17" x14ac:dyDescent="0.2">
      <c r="A31" s="30" t="s">
        <v>313</v>
      </c>
      <c r="B31" s="38" t="s">
        <v>314</v>
      </c>
      <c r="C31" s="38" t="s">
        <v>266</v>
      </c>
      <c r="D31" s="85" t="s">
        <v>267</v>
      </c>
      <c r="E31" s="80" t="s">
        <v>180</v>
      </c>
      <c r="F31" s="80" t="s">
        <v>315</v>
      </c>
      <c r="G31" s="80">
        <v>15.17</v>
      </c>
      <c r="H31" s="80" t="s">
        <v>186</v>
      </c>
      <c r="I31" s="38">
        <v>5.5E-2</v>
      </c>
      <c r="J31" s="38">
        <v>1.32E-2</v>
      </c>
      <c r="K31" s="88">
        <v>24104207.11644401</v>
      </c>
      <c r="L31" s="80">
        <v>180.5</v>
      </c>
      <c r="M31" s="80">
        <v>0</v>
      </c>
      <c r="N31" s="104">
        <v>43508.093845089505</v>
      </c>
      <c r="O31" s="38">
        <v>1.2390598604313668E-3</v>
      </c>
      <c r="P31" s="46">
        <v>0.10689203371649761</v>
      </c>
      <c r="Q31" s="46">
        <v>5.2706912990498629E-2</v>
      </c>
    </row>
    <row r="32" spans="1:17" x14ac:dyDescent="0.2">
      <c r="A32" s="30" t="s">
        <v>316</v>
      </c>
      <c r="B32" s="38" t="s">
        <v>317</v>
      </c>
      <c r="C32" s="38" t="s">
        <v>266</v>
      </c>
      <c r="D32" s="85" t="s">
        <v>267</v>
      </c>
      <c r="E32" s="80" t="s">
        <v>180</v>
      </c>
      <c r="F32" s="80" t="s">
        <v>318</v>
      </c>
      <c r="G32" s="80">
        <v>2.63</v>
      </c>
      <c r="H32" s="80" t="s">
        <v>186</v>
      </c>
      <c r="I32" s="38">
        <v>4.2599999999999999E-2</v>
      </c>
      <c r="J32" s="38">
        <v>1.5E-3</v>
      </c>
      <c r="K32" s="88">
        <v>17950624.102610998</v>
      </c>
      <c r="L32" s="80">
        <v>112.31</v>
      </c>
      <c r="M32" s="80">
        <v>0</v>
      </c>
      <c r="N32" s="104">
        <v>20160.34592958909</v>
      </c>
      <c r="O32" s="38">
        <v>9.7584055031726177E-4</v>
      </c>
      <c r="P32" s="46">
        <v>4.9530562853769146E-2</v>
      </c>
      <c r="Q32" s="46">
        <v>2.4422802859453089E-2</v>
      </c>
    </row>
    <row r="33" spans="1:17" x14ac:dyDescent="0.2">
      <c r="A33" s="30" t="s">
        <v>319</v>
      </c>
      <c r="B33" s="38" t="s">
        <v>320</v>
      </c>
      <c r="C33" s="38" t="s">
        <v>266</v>
      </c>
      <c r="D33" s="85" t="s">
        <v>267</v>
      </c>
      <c r="E33" s="80" t="s">
        <v>180</v>
      </c>
      <c r="F33" s="80" t="s">
        <v>321</v>
      </c>
      <c r="G33" s="80">
        <v>3.55</v>
      </c>
      <c r="H33" s="80" t="s">
        <v>186</v>
      </c>
      <c r="I33" s="38">
        <v>3.7599999999999995E-2</v>
      </c>
      <c r="J33" s="38">
        <v>2.0999999999999999E-3</v>
      </c>
      <c r="K33" s="88">
        <v>90069.630252009141</v>
      </c>
      <c r="L33" s="80">
        <v>114.14</v>
      </c>
      <c r="M33" s="80">
        <v>0</v>
      </c>
      <c r="N33" s="104">
        <v>102.80547579680973</v>
      </c>
      <c r="O33" s="38">
        <v>5.2599133306156211E-6</v>
      </c>
      <c r="P33" s="46">
        <v>2.525756799238272E-4</v>
      </c>
      <c r="Q33" s="46">
        <v>1.2454140802081642E-4</v>
      </c>
    </row>
    <row r="34" spans="1:17" x14ac:dyDescent="0.2">
      <c r="A34" s="30" t="s">
        <v>322</v>
      </c>
      <c r="B34" s="38" t="s">
        <v>323</v>
      </c>
      <c r="C34" s="38" t="s">
        <v>266</v>
      </c>
      <c r="D34" s="85" t="s">
        <v>267</v>
      </c>
      <c r="E34" s="80" t="s">
        <v>180</v>
      </c>
      <c r="F34" s="80" t="s">
        <v>324</v>
      </c>
      <c r="G34" s="80">
        <v>6.38</v>
      </c>
      <c r="H34" s="80" t="s">
        <v>186</v>
      </c>
      <c r="I34" s="38">
        <v>2.0099999999999996E-2</v>
      </c>
      <c r="J34" s="38">
        <v>4.1999999999999997E-3</v>
      </c>
      <c r="K34" s="88">
        <v>1034475.0321039142</v>
      </c>
      <c r="L34" s="80">
        <v>111.03</v>
      </c>
      <c r="M34" s="80">
        <v>0</v>
      </c>
      <c r="N34" s="104">
        <v>1148.5776278838869</v>
      </c>
      <c r="O34" s="38">
        <v>5.7767135140862806E-5</v>
      </c>
      <c r="P34" s="46">
        <v>2.8218611222756663E-3</v>
      </c>
      <c r="Q34" s="46">
        <v>1.3914188314306463E-3</v>
      </c>
    </row>
    <row r="35" spans="1:17" x14ac:dyDescent="0.2">
      <c r="A35" s="30" t="s">
        <v>325</v>
      </c>
      <c r="B35" s="38" t="s">
        <v>326</v>
      </c>
      <c r="C35" s="38" t="s">
        <v>266</v>
      </c>
      <c r="D35" s="85" t="s">
        <v>267</v>
      </c>
      <c r="E35" s="80" t="s">
        <v>180</v>
      </c>
      <c r="F35" s="80" t="s">
        <v>327</v>
      </c>
      <c r="G35" s="80">
        <v>19.03</v>
      </c>
      <c r="H35" s="80" t="s">
        <v>186</v>
      </c>
      <c r="I35" s="38">
        <v>3.7599999999999995E-2</v>
      </c>
      <c r="J35" s="38">
        <v>1.55E-2</v>
      </c>
      <c r="K35" s="88">
        <v>16299680.368953986</v>
      </c>
      <c r="L35" s="80">
        <v>148.69999999999999</v>
      </c>
      <c r="M35" s="80">
        <v>0</v>
      </c>
      <c r="N35" s="104">
        <v>24237.62470856103</v>
      </c>
      <c r="O35" s="38">
        <v>9.7505756056835279E-4</v>
      </c>
      <c r="P35" s="46">
        <v>5.9547747754242972E-2</v>
      </c>
      <c r="Q35" s="46">
        <v>2.9362131587722235E-2</v>
      </c>
    </row>
    <row r="36" spans="1:17" x14ac:dyDescent="0.2">
      <c r="A36" s="30" t="s">
        <v>328</v>
      </c>
      <c r="B36" s="38" t="s">
        <v>329</v>
      </c>
      <c r="C36" s="38" t="s">
        <v>266</v>
      </c>
      <c r="D36" s="85" t="s">
        <v>267</v>
      </c>
      <c r="E36" s="80" t="s">
        <v>180</v>
      </c>
      <c r="F36" s="80" t="s">
        <v>330</v>
      </c>
      <c r="G36" s="80">
        <v>2.38</v>
      </c>
      <c r="H36" s="80" t="s">
        <v>186</v>
      </c>
      <c r="I36" s="38">
        <v>1.2500000000000001E-2</v>
      </c>
      <c r="J36" s="38">
        <v>1.1000000000000001E-3</v>
      </c>
      <c r="K36" s="88">
        <v>7028916.2555400142</v>
      </c>
      <c r="L36" s="80">
        <v>103.48000000000002</v>
      </c>
      <c r="M36" s="80">
        <v>0</v>
      </c>
      <c r="N36" s="104">
        <v>7273.5225411739702</v>
      </c>
      <c r="O36" s="38">
        <v>6.0499070529802161E-4</v>
      </c>
      <c r="P36" s="46">
        <v>1.7869815659520626E-2</v>
      </c>
      <c r="Q36" s="46">
        <v>8.8113471731732732E-3</v>
      </c>
    </row>
    <row r="37" spans="1:17" x14ac:dyDescent="0.2">
      <c r="A37" s="30" t="s">
        <v>331</v>
      </c>
      <c r="B37" s="38" t="s">
        <v>332</v>
      </c>
      <c r="C37" s="38" t="s">
        <v>266</v>
      </c>
      <c r="D37" s="85" t="s">
        <v>267</v>
      </c>
      <c r="E37" s="80" t="s">
        <v>180</v>
      </c>
      <c r="F37" s="80" t="s">
        <v>333</v>
      </c>
      <c r="G37" s="80">
        <v>0.59</v>
      </c>
      <c r="H37" s="80" t="s">
        <v>186</v>
      </c>
      <c r="I37" s="38">
        <v>5.0000000000000001E-3</v>
      </c>
      <c r="J37" s="38">
        <v>2.0000000000000001E-4</v>
      </c>
      <c r="K37" s="88">
        <v>8870061.3227193542</v>
      </c>
      <c r="L37" s="80">
        <v>100.50000000000001</v>
      </c>
      <c r="M37" s="80">
        <v>0</v>
      </c>
      <c r="N37" s="104">
        <v>8914.4116292410181</v>
      </c>
      <c r="O37" s="38">
        <v>5.6700076584330166E-4</v>
      </c>
      <c r="P37" s="46">
        <v>2.1901202838908444E-2</v>
      </c>
      <c r="Q37" s="46">
        <v>1.0799165777678046E-2</v>
      </c>
    </row>
    <row r="38" spans="1:17" x14ac:dyDescent="0.2">
      <c r="A38" s="30" t="s">
        <v>334</v>
      </c>
      <c r="B38" s="38" t="s">
        <v>335</v>
      </c>
      <c r="C38" s="38" t="s">
        <v>266</v>
      </c>
      <c r="D38" s="85" t="s">
        <v>267</v>
      </c>
      <c r="E38" s="80" t="s">
        <v>180</v>
      </c>
      <c r="F38" s="80" t="s">
        <v>336</v>
      </c>
      <c r="G38" s="80">
        <v>7.56</v>
      </c>
      <c r="H38" s="80" t="s">
        <v>186</v>
      </c>
      <c r="I38" s="38">
        <v>2.2400000000000003E-2</v>
      </c>
      <c r="J38" s="38">
        <v>5.3E-3</v>
      </c>
      <c r="K38" s="88">
        <v>46548.036896675738</v>
      </c>
      <c r="L38" s="80">
        <v>115.58</v>
      </c>
      <c r="M38" s="80">
        <v>0</v>
      </c>
      <c r="N38" s="104">
        <v>53.800220883376227</v>
      </c>
      <c r="O38" s="38">
        <v>2.7422963347693677E-6</v>
      </c>
      <c r="P38" s="46">
        <v>1.3217805048174801E-4</v>
      </c>
      <c r="Q38" s="46">
        <v>6.5175081470266702E-5</v>
      </c>
    </row>
    <row r="39" spans="1:17" x14ac:dyDescent="0.2">
      <c r="A39" s="30" t="s">
        <v>337</v>
      </c>
      <c r="B39" s="38" t="s">
        <v>338</v>
      </c>
      <c r="C39" s="38" t="s">
        <v>266</v>
      </c>
      <c r="D39" s="85" t="s">
        <v>267</v>
      </c>
      <c r="E39" s="80" t="s">
        <v>180</v>
      </c>
      <c r="F39" s="80" t="s">
        <v>339</v>
      </c>
      <c r="G39" s="80">
        <v>3.33</v>
      </c>
      <c r="H39" s="80" t="s">
        <v>186</v>
      </c>
      <c r="I39" s="38">
        <v>1.4999999999999999E-2</v>
      </c>
      <c r="J39" s="38">
        <v>1.9E-3</v>
      </c>
      <c r="K39" s="88">
        <v>18464600.820230827</v>
      </c>
      <c r="L39" s="80">
        <v>105.34000000000002</v>
      </c>
      <c r="M39" s="80">
        <v>0</v>
      </c>
      <c r="N39" s="104">
        <v>19450.610503946577</v>
      </c>
      <c r="O39" s="38">
        <v>1.097961696644721E-3</v>
      </c>
      <c r="P39" s="46">
        <v>4.7786862858138685E-2</v>
      </c>
      <c r="Q39" s="46">
        <v>2.3563009657323723E-2</v>
      </c>
    </row>
    <row r="40" spans="1:17" x14ac:dyDescent="0.2">
      <c r="A40" s="30" t="s">
        <v>340</v>
      </c>
      <c r="B40" s="38" t="s">
        <v>341</v>
      </c>
      <c r="C40" s="38" t="s">
        <v>266</v>
      </c>
      <c r="D40" s="85" t="s">
        <v>267</v>
      </c>
      <c r="E40" s="80" t="s">
        <v>180</v>
      </c>
      <c r="F40" s="80" t="s">
        <v>342</v>
      </c>
      <c r="G40" s="80">
        <v>2.06</v>
      </c>
      <c r="H40" s="80" t="s">
        <v>186</v>
      </c>
      <c r="I40" s="38">
        <v>7.4999999999999997E-3</v>
      </c>
      <c r="J40" s="38">
        <v>8.9999999999999998E-4</v>
      </c>
      <c r="K40" s="88">
        <v>27188074.795167167</v>
      </c>
      <c r="L40" s="80">
        <v>102.07</v>
      </c>
      <c r="M40" s="80">
        <v>0</v>
      </c>
      <c r="N40" s="104">
        <v>27750.867943408743</v>
      </c>
      <c r="O40" s="38">
        <v>1.812921933959037E-3</v>
      </c>
      <c r="P40" s="46">
        <v>6.8179192644720138E-2</v>
      </c>
      <c r="Q40" s="46">
        <v>3.3618171996039857E-2</v>
      </c>
    </row>
    <row r="41" spans="1:17" x14ac:dyDescent="0.2">
      <c r="A41" s="30" t="s">
        <v>343</v>
      </c>
      <c r="B41" s="38" t="s">
        <v>344</v>
      </c>
      <c r="C41" s="38" t="s">
        <v>266</v>
      </c>
      <c r="D41" s="85" t="s">
        <v>267</v>
      </c>
      <c r="E41" s="80" t="s">
        <v>180</v>
      </c>
      <c r="F41" s="80" t="s">
        <v>345</v>
      </c>
      <c r="G41" s="80">
        <v>0.66</v>
      </c>
      <c r="H41" s="80" t="s">
        <v>186</v>
      </c>
      <c r="I41" s="38">
        <v>0</v>
      </c>
      <c r="J41" s="38">
        <v>2.0000000000000001E-4</v>
      </c>
      <c r="K41" s="88">
        <v>9309989.8194519132</v>
      </c>
      <c r="L41" s="80">
        <v>99.99</v>
      </c>
      <c r="M41" s="80">
        <v>0</v>
      </c>
      <c r="N41" s="104">
        <v>9309.0588204699689</v>
      </c>
      <c r="O41" s="38">
        <v>1.8669169165821933E-3</v>
      </c>
      <c r="P41" s="46">
        <v>2.2870784292445902E-2</v>
      </c>
      <c r="Q41" s="46">
        <v>1.1277252343458419E-2</v>
      </c>
    </row>
    <row r="42" spans="1:17" x14ac:dyDescent="0.2">
      <c r="A42" s="30" t="s">
        <v>346</v>
      </c>
      <c r="B42" s="38" t="s">
        <v>347</v>
      </c>
      <c r="C42" s="38" t="s">
        <v>266</v>
      </c>
      <c r="D42" s="85" t="s">
        <v>267</v>
      </c>
      <c r="E42" s="80" t="s">
        <v>180</v>
      </c>
      <c r="F42" s="80" t="s">
        <v>348</v>
      </c>
      <c r="G42" s="80">
        <v>15.11</v>
      </c>
      <c r="H42" s="80" t="s">
        <v>186</v>
      </c>
      <c r="I42" s="38">
        <v>1.4999999999999999E-2</v>
      </c>
      <c r="J42" s="38">
        <v>1.18E-2</v>
      </c>
      <c r="K42" s="88">
        <v>2749214.263554371</v>
      </c>
      <c r="L42" s="80">
        <v>105</v>
      </c>
      <c r="M42" s="80">
        <v>0</v>
      </c>
      <c r="N42" s="104">
        <v>2886.6749767320898</v>
      </c>
      <c r="O42" s="38">
        <v>9.478369225435116E-4</v>
      </c>
      <c r="P42" s="46">
        <v>7.0920725702222891E-3</v>
      </c>
      <c r="Q42" s="46">
        <v>3.4969982222661749E-3</v>
      </c>
    </row>
    <row r="43" spans="1:17" s="137" customFormat="1" x14ac:dyDescent="0.2">
      <c r="A43" s="112" t="s">
        <v>349</v>
      </c>
      <c r="B43" s="144" t="s">
        <v>180</v>
      </c>
      <c r="C43" s="144" t="s">
        <v>180</v>
      </c>
      <c r="D43" s="141" t="s">
        <v>180</v>
      </c>
      <c r="E43" s="145" t="s">
        <v>180</v>
      </c>
      <c r="F43" s="145" t="s">
        <v>180</v>
      </c>
      <c r="G43" s="145" t="s">
        <v>180</v>
      </c>
      <c r="H43" s="145" t="s">
        <v>180</v>
      </c>
      <c r="I43" s="144" t="s">
        <v>180</v>
      </c>
      <c r="J43" s="144" t="s">
        <v>180</v>
      </c>
      <c r="K43" s="155" t="s">
        <v>180</v>
      </c>
      <c r="L43" s="145" t="s">
        <v>180</v>
      </c>
      <c r="M43" s="145" t="s">
        <v>180</v>
      </c>
      <c r="N43" s="146">
        <v>17253.858826021748</v>
      </c>
      <c r="O43" s="144" t="s">
        <v>180</v>
      </c>
      <c r="P43" s="140">
        <v>4.2389815236158895E-2</v>
      </c>
      <c r="Q43" s="140">
        <v>2.0901803676607478E-2</v>
      </c>
    </row>
    <row r="44" spans="1:17" x14ac:dyDescent="0.2">
      <c r="A44" s="30" t="s">
        <v>350</v>
      </c>
      <c r="B44" s="38" t="s">
        <v>351</v>
      </c>
      <c r="C44" s="38" t="s">
        <v>266</v>
      </c>
      <c r="D44" s="85" t="s">
        <v>267</v>
      </c>
      <c r="E44" s="80" t="s">
        <v>180</v>
      </c>
      <c r="F44" s="80" t="s">
        <v>352</v>
      </c>
      <c r="G44" s="80">
        <v>1.42</v>
      </c>
      <c r="H44" s="80" t="s">
        <v>186</v>
      </c>
      <c r="I44" s="38">
        <v>1.2999999999999999E-3</v>
      </c>
      <c r="J44" s="38">
        <v>1E-3</v>
      </c>
      <c r="K44" s="88">
        <v>10834344.329989437</v>
      </c>
      <c r="L44" s="80">
        <v>99.93</v>
      </c>
      <c r="M44" s="80">
        <v>0</v>
      </c>
      <c r="N44" s="104">
        <v>10826.76028892351</v>
      </c>
      <c r="O44" s="38">
        <v>7.7284998307378127E-4</v>
      </c>
      <c r="P44" s="46">
        <v>2.6599520309131309E-2</v>
      </c>
      <c r="Q44" s="46">
        <v>1.311583804496373E-2</v>
      </c>
    </row>
    <row r="45" spans="1:17" x14ac:dyDescent="0.2">
      <c r="A45" s="30" t="s">
        <v>353</v>
      </c>
      <c r="B45" s="38" t="s">
        <v>354</v>
      </c>
      <c r="C45" s="38" t="s">
        <v>266</v>
      </c>
      <c r="D45" s="85" t="s">
        <v>267</v>
      </c>
      <c r="E45" s="80" t="s">
        <v>180</v>
      </c>
      <c r="F45" s="80" t="s">
        <v>355</v>
      </c>
      <c r="G45" s="80">
        <v>5.91</v>
      </c>
      <c r="H45" s="80" t="s">
        <v>186</v>
      </c>
      <c r="I45" s="38">
        <v>1.2999999999999999E-3</v>
      </c>
      <c r="J45" s="38">
        <v>2.2000000000000001E-3</v>
      </c>
      <c r="K45" s="88">
        <v>6490707.470206257</v>
      </c>
      <c r="L45" s="80">
        <v>99.02</v>
      </c>
      <c r="M45" s="80">
        <v>0</v>
      </c>
      <c r="N45" s="104">
        <v>6427.0985369982354</v>
      </c>
      <c r="O45" s="38">
        <v>3.4314489314137941E-4</v>
      </c>
      <c r="P45" s="46">
        <v>1.5790294926781905E-2</v>
      </c>
      <c r="Q45" s="46">
        <v>7.7859656315226039E-3</v>
      </c>
    </row>
    <row r="46" spans="1:17" s="137" customFormat="1" x14ac:dyDescent="0.2">
      <c r="A46" s="112" t="s">
        <v>356</v>
      </c>
      <c r="B46" s="144" t="s">
        <v>180</v>
      </c>
      <c r="C46" s="144" t="s">
        <v>180</v>
      </c>
      <c r="D46" s="141" t="s">
        <v>180</v>
      </c>
      <c r="E46" s="145" t="s">
        <v>180</v>
      </c>
      <c r="F46" s="145" t="s">
        <v>180</v>
      </c>
      <c r="G46" s="145" t="s">
        <v>180</v>
      </c>
      <c r="H46" s="145" t="s">
        <v>180</v>
      </c>
      <c r="I46" s="144" t="s">
        <v>180</v>
      </c>
      <c r="J46" s="144" t="s">
        <v>180</v>
      </c>
      <c r="K46" s="155" t="s">
        <v>180</v>
      </c>
      <c r="L46" s="145" t="s">
        <v>180</v>
      </c>
      <c r="M46" s="145" t="s">
        <v>180</v>
      </c>
      <c r="N46" s="146">
        <v>0</v>
      </c>
      <c r="O46" s="144" t="s">
        <v>180</v>
      </c>
      <c r="P46" s="140">
        <v>0</v>
      </c>
      <c r="Q46" s="140">
        <v>0</v>
      </c>
    </row>
    <row r="47" spans="1:17" s="137" customFormat="1" x14ac:dyDescent="0.2">
      <c r="A47" s="112" t="s">
        <v>357</v>
      </c>
      <c r="B47" s="144" t="s">
        <v>180</v>
      </c>
      <c r="C47" s="144" t="s">
        <v>180</v>
      </c>
      <c r="D47" s="141" t="s">
        <v>180</v>
      </c>
      <c r="E47" s="145" t="s">
        <v>180</v>
      </c>
      <c r="F47" s="145" t="s">
        <v>180</v>
      </c>
      <c r="G47" s="145" t="s">
        <v>180</v>
      </c>
      <c r="H47" s="145" t="s">
        <v>180</v>
      </c>
      <c r="I47" s="144" t="s">
        <v>180</v>
      </c>
      <c r="J47" s="144" t="s">
        <v>180</v>
      </c>
      <c r="K47" s="155" t="s">
        <v>180</v>
      </c>
      <c r="L47" s="145" t="s">
        <v>180</v>
      </c>
      <c r="M47" s="145" t="s">
        <v>180</v>
      </c>
      <c r="N47" s="146">
        <v>17318.709573784126</v>
      </c>
      <c r="O47" s="144" t="s">
        <v>180</v>
      </c>
      <c r="P47" s="140">
        <v>4.2549142563645094E-2</v>
      </c>
      <c r="Q47" s="140">
        <v>2.0980365673183347E-2</v>
      </c>
    </row>
    <row r="48" spans="1:17" s="137" customFormat="1" x14ac:dyDescent="0.2">
      <c r="A48" s="112" t="s">
        <v>358</v>
      </c>
      <c r="B48" s="144" t="s">
        <v>180</v>
      </c>
      <c r="C48" s="144" t="s">
        <v>180</v>
      </c>
      <c r="D48" s="141" t="s">
        <v>180</v>
      </c>
      <c r="E48" s="145" t="s">
        <v>180</v>
      </c>
      <c r="F48" s="145" t="s">
        <v>180</v>
      </c>
      <c r="G48" s="145" t="s">
        <v>180</v>
      </c>
      <c r="H48" s="145" t="s">
        <v>180</v>
      </c>
      <c r="I48" s="144" t="s">
        <v>180</v>
      </c>
      <c r="J48" s="144" t="s">
        <v>180</v>
      </c>
      <c r="K48" s="155" t="s">
        <v>180</v>
      </c>
      <c r="L48" s="145" t="s">
        <v>180</v>
      </c>
      <c r="M48" s="145" t="s">
        <v>180</v>
      </c>
      <c r="N48" s="146">
        <v>11632.861035440274</v>
      </c>
      <c r="O48" s="144" t="s">
        <v>180</v>
      </c>
      <c r="P48" s="140">
        <v>2.8579973612426021E-2</v>
      </c>
      <c r="Q48" s="140">
        <v>1.4092370872614378E-2</v>
      </c>
    </row>
    <row r="49" spans="1:17" x14ac:dyDescent="0.2">
      <c r="A49" s="30" t="s">
        <v>359</v>
      </c>
      <c r="B49" s="38" t="s">
        <v>360</v>
      </c>
      <c r="C49" s="38" t="s">
        <v>361</v>
      </c>
      <c r="D49" s="85" t="s">
        <v>250</v>
      </c>
      <c r="E49" s="80" t="s">
        <v>251</v>
      </c>
      <c r="F49" s="80" t="s">
        <v>362</v>
      </c>
      <c r="G49" s="80">
        <v>2.863</v>
      </c>
      <c r="H49" s="80" t="s">
        <v>127</v>
      </c>
      <c r="I49" s="38">
        <v>3.15E-2</v>
      </c>
      <c r="J49" s="38">
        <v>8.0400000000000003E-3</v>
      </c>
      <c r="K49" s="88">
        <v>200000</v>
      </c>
      <c r="L49" s="80">
        <v>106.79349999999998</v>
      </c>
      <c r="M49" s="80">
        <v>0</v>
      </c>
      <c r="N49" s="104">
        <v>740.29254000000003</v>
      </c>
      <c r="O49" s="38">
        <v>2.0000000000000001E-4</v>
      </c>
      <c r="P49" s="46">
        <v>1.8187736614593778E-3</v>
      </c>
      <c r="Q49" s="46">
        <v>8.9681093895358074E-4</v>
      </c>
    </row>
    <row r="50" spans="1:17" x14ac:dyDescent="0.2">
      <c r="A50" s="30" t="s">
        <v>363</v>
      </c>
      <c r="B50" s="38" t="s">
        <v>364</v>
      </c>
      <c r="C50" s="38" t="s">
        <v>361</v>
      </c>
      <c r="D50" s="85" t="s">
        <v>250</v>
      </c>
      <c r="E50" s="80" t="s">
        <v>251</v>
      </c>
      <c r="F50" s="80" t="s">
        <v>365</v>
      </c>
      <c r="G50" s="80">
        <v>17.373999999999999</v>
      </c>
      <c r="H50" s="80" t="s">
        <v>127</v>
      </c>
      <c r="I50" s="38">
        <v>4.1299999999999996E-2</v>
      </c>
      <c r="J50" s="38">
        <v>2.8500000000000001E-2</v>
      </c>
      <c r="K50" s="88">
        <v>61000</v>
      </c>
      <c r="L50" s="80">
        <v>126.0245</v>
      </c>
      <c r="M50" s="80">
        <v>0</v>
      </c>
      <c r="N50" s="104">
        <v>266.44855000000001</v>
      </c>
      <c r="O50" s="38">
        <v>6.0999999999999999E-5</v>
      </c>
      <c r="P50" s="46">
        <v>6.5461905758775049E-4</v>
      </c>
      <c r="Q50" s="46">
        <v>3.227831720529294E-4</v>
      </c>
    </row>
    <row r="51" spans="1:17" x14ac:dyDescent="0.2">
      <c r="A51" s="30" t="s">
        <v>366</v>
      </c>
      <c r="B51" s="38" t="s">
        <v>367</v>
      </c>
      <c r="C51" s="38" t="s">
        <v>361</v>
      </c>
      <c r="D51" s="85" t="s">
        <v>250</v>
      </c>
      <c r="E51" s="80" t="s">
        <v>251</v>
      </c>
      <c r="F51" s="80" t="s">
        <v>368</v>
      </c>
      <c r="G51" s="80">
        <v>1.921</v>
      </c>
      <c r="H51" s="80" t="s">
        <v>127</v>
      </c>
      <c r="I51" s="38">
        <v>0.04</v>
      </c>
      <c r="J51" s="38">
        <v>6.5500000000000003E-3</v>
      </c>
      <c r="K51" s="88">
        <v>450000</v>
      </c>
      <c r="L51" s="80">
        <v>106.54470000000001</v>
      </c>
      <c r="M51" s="80">
        <v>31.193999999999999</v>
      </c>
      <c r="N51" s="104">
        <v>1692.9716799999999</v>
      </c>
      <c r="O51" s="38">
        <v>2.9999999999999997E-4</v>
      </c>
      <c r="P51" s="46">
        <v>4.1593453058173923E-3</v>
      </c>
      <c r="Q51" s="46">
        <v>2.0509129025704093E-3</v>
      </c>
    </row>
    <row r="52" spans="1:17" x14ac:dyDescent="0.2">
      <c r="A52" s="30" t="s">
        <v>369</v>
      </c>
      <c r="B52" s="38" t="s">
        <v>370</v>
      </c>
      <c r="C52" s="38" t="s">
        <v>361</v>
      </c>
      <c r="D52" s="85" t="s">
        <v>250</v>
      </c>
      <c r="E52" s="80" t="s">
        <v>251</v>
      </c>
      <c r="F52" s="80" t="s">
        <v>371</v>
      </c>
      <c r="G52" s="80">
        <v>18.78</v>
      </c>
      <c r="H52" s="80" t="s">
        <v>127</v>
      </c>
      <c r="I52" s="38">
        <v>3.8800000000000001E-2</v>
      </c>
      <c r="J52" s="38">
        <v>2.9249999999999998E-2</v>
      </c>
      <c r="K52" s="88">
        <v>827444.1609412285</v>
      </c>
      <c r="L52" s="80">
        <v>118.9773</v>
      </c>
      <c r="M52" s="80">
        <v>55.565978289999997</v>
      </c>
      <c r="N52" s="104">
        <v>3467.7414995964623</v>
      </c>
      <c r="O52" s="38">
        <v>4.1372208047061427E-4</v>
      </c>
      <c r="P52" s="46">
        <v>8.5196548167508091E-3</v>
      </c>
      <c r="Q52" s="46">
        <v>4.2009183427694696E-3</v>
      </c>
    </row>
    <row r="53" spans="1:17" x14ac:dyDescent="0.2">
      <c r="A53" s="30" t="s">
        <v>372</v>
      </c>
      <c r="B53" s="38" t="s">
        <v>373</v>
      </c>
      <c r="C53" s="38" t="s">
        <v>361</v>
      </c>
      <c r="D53" s="85" t="s">
        <v>250</v>
      </c>
      <c r="E53" s="80" t="s">
        <v>251</v>
      </c>
      <c r="F53" s="80" t="s">
        <v>371</v>
      </c>
      <c r="G53" s="80">
        <v>8.8010000000000002</v>
      </c>
      <c r="H53" s="80" t="s">
        <v>127</v>
      </c>
      <c r="I53" s="38">
        <v>2.75E-2</v>
      </c>
      <c r="J53" s="38">
        <v>1.6200000000000003E-2</v>
      </c>
      <c r="K53" s="88">
        <v>615949.22652333789</v>
      </c>
      <c r="L53" s="80">
        <v>110.13590000000002</v>
      </c>
      <c r="M53" s="80">
        <v>29.354600259999998</v>
      </c>
      <c r="N53" s="104">
        <v>2380.6239230864326</v>
      </c>
      <c r="O53" s="38">
        <v>3.0797461326166896E-4</v>
      </c>
      <c r="P53" s="46">
        <v>5.8487906539618773E-3</v>
      </c>
      <c r="Q53" s="46">
        <v>2.8839539241588205E-3</v>
      </c>
    </row>
    <row r="54" spans="1:17" x14ac:dyDescent="0.2">
      <c r="A54" s="30" t="s">
        <v>374</v>
      </c>
      <c r="B54" s="38" t="s">
        <v>375</v>
      </c>
      <c r="C54" s="38" t="s">
        <v>361</v>
      </c>
      <c r="D54" s="85" t="s">
        <v>250</v>
      </c>
      <c r="E54" s="80" t="s">
        <v>251</v>
      </c>
      <c r="F54" s="80" t="s">
        <v>376</v>
      </c>
      <c r="G54" s="80">
        <v>21.763000000000002</v>
      </c>
      <c r="H54" s="80" t="s">
        <v>127</v>
      </c>
      <c r="I54" s="38">
        <v>3.7999999999999999E-2</v>
      </c>
      <c r="J54" s="38">
        <v>3.116E-2</v>
      </c>
      <c r="K54" s="88">
        <v>732747.00763558934</v>
      </c>
      <c r="L54" s="80">
        <v>116.52739999999999</v>
      </c>
      <c r="M54" s="80">
        <v>0</v>
      </c>
      <c r="N54" s="104">
        <v>2959.4476926573798</v>
      </c>
      <c r="O54" s="38">
        <v>1.4654940152711787E-4</v>
      </c>
      <c r="P54" s="46">
        <v>7.2708628346733984E-3</v>
      </c>
      <c r="Q54" s="46">
        <v>3.5851571110470364E-3</v>
      </c>
    </row>
    <row r="55" spans="1:17" x14ac:dyDescent="0.2">
      <c r="A55" s="30" t="s">
        <v>377</v>
      </c>
      <c r="B55" s="38" t="s">
        <v>378</v>
      </c>
      <c r="C55" s="38" t="s">
        <v>361</v>
      </c>
      <c r="D55" s="85" t="s">
        <v>250</v>
      </c>
      <c r="E55" s="80" t="s">
        <v>251</v>
      </c>
      <c r="F55" s="80" t="s">
        <v>379</v>
      </c>
      <c r="G55" s="80">
        <v>8.0220000000000002</v>
      </c>
      <c r="H55" s="80" t="s">
        <v>128</v>
      </c>
      <c r="I55" s="38">
        <v>1.4999999999999999E-2</v>
      </c>
      <c r="J55" s="38">
        <v>6.2599999999999999E-3</v>
      </c>
      <c r="K55" s="88">
        <v>30000</v>
      </c>
      <c r="L55" s="80">
        <v>107.5986</v>
      </c>
      <c r="M55" s="80">
        <v>0</v>
      </c>
      <c r="N55" s="104">
        <v>125.33515</v>
      </c>
      <c r="O55" s="38">
        <v>1.8181818181818182E-5</v>
      </c>
      <c r="P55" s="46">
        <v>3.0792728192973595E-4</v>
      </c>
      <c r="Q55" s="46">
        <v>1.5183448094099108E-4</v>
      </c>
    </row>
    <row r="56" spans="1:17" s="137" customFormat="1" x14ac:dyDescent="0.2">
      <c r="A56" s="112" t="s">
        <v>380</v>
      </c>
      <c r="B56" s="144" t="s">
        <v>180</v>
      </c>
      <c r="C56" s="144" t="s">
        <v>180</v>
      </c>
      <c r="D56" s="141" t="s">
        <v>180</v>
      </c>
      <c r="E56" s="145" t="s">
        <v>180</v>
      </c>
      <c r="F56" s="145" t="s">
        <v>180</v>
      </c>
      <c r="G56" s="145" t="s">
        <v>180</v>
      </c>
      <c r="H56" s="145" t="s">
        <v>180</v>
      </c>
      <c r="I56" s="144" t="s">
        <v>180</v>
      </c>
      <c r="J56" s="144" t="s">
        <v>180</v>
      </c>
      <c r="K56" s="155" t="s">
        <v>180</v>
      </c>
      <c r="L56" s="145" t="s">
        <v>180</v>
      </c>
      <c r="M56" s="145" t="s">
        <v>180</v>
      </c>
      <c r="N56" s="146">
        <v>5685.8485383438538</v>
      </c>
      <c r="O56" s="144" t="s">
        <v>180</v>
      </c>
      <c r="P56" s="140">
        <v>1.3969168951219069E-2</v>
      </c>
      <c r="Q56" s="140">
        <v>6.8879948005689693E-3</v>
      </c>
    </row>
    <row r="57" spans="1:17" x14ac:dyDescent="0.2">
      <c r="A57" s="229" t="s">
        <v>381</v>
      </c>
      <c r="B57" s="223" t="s">
        <v>382</v>
      </c>
      <c r="C57" s="223" t="s">
        <v>361</v>
      </c>
      <c r="D57" s="224" t="s">
        <v>383</v>
      </c>
      <c r="E57" s="225" t="s">
        <v>261</v>
      </c>
      <c r="F57" s="225" t="s">
        <v>384</v>
      </c>
      <c r="G57" s="225">
        <v>3.04</v>
      </c>
      <c r="H57" s="225" t="s">
        <v>133</v>
      </c>
      <c r="I57" s="223">
        <v>0.08</v>
      </c>
      <c r="J57" s="223">
        <v>4.7710000000000002E-2</v>
      </c>
      <c r="K57" s="230">
        <v>343172.52296529355</v>
      </c>
      <c r="L57" s="225">
        <v>11075.19</v>
      </c>
      <c r="M57" s="225">
        <v>0</v>
      </c>
      <c r="N57" s="226">
        <v>5685.8485382438539</v>
      </c>
      <c r="O57" s="223">
        <v>1.3557127719604677E-6</v>
      </c>
      <c r="P57" s="227">
        <v>1.3969168950973387E-2</v>
      </c>
      <c r="Q57" s="227">
        <v>6.8879948004478275E-3</v>
      </c>
    </row>
    <row r="58" spans="1:17" s="137" customFormat="1" x14ac:dyDescent="0.2">
      <c r="A58" s="97" t="s">
        <v>171</v>
      </c>
      <c r="B58" s="147"/>
      <c r="C58" s="147"/>
      <c r="D58" s="147"/>
      <c r="E58" s="148"/>
      <c r="F58" s="148"/>
      <c r="G58" s="148"/>
      <c r="H58" s="149"/>
      <c r="I58" s="150"/>
      <c r="J58" s="151"/>
      <c r="K58" s="151"/>
      <c r="L58" s="151"/>
      <c r="M58" s="151"/>
      <c r="N58" s="150"/>
      <c r="O58" s="150"/>
      <c r="P58" s="150"/>
      <c r="Q58" s="156"/>
    </row>
    <row r="59" spans="1:17" s="137" customFormat="1" x14ac:dyDescent="0.2">
      <c r="A59" s="97" t="s">
        <v>172</v>
      </c>
      <c r="B59" s="147"/>
      <c r="C59" s="147"/>
      <c r="D59" s="147"/>
      <c r="E59" s="148"/>
      <c r="F59" s="148"/>
      <c r="G59" s="148"/>
      <c r="H59" s="149"/>
      <c r="I59" s="150"/>
      <c r="J59" s="151"/>
      <c r="K59" s="151"/>
      <c r="L59" s="151"/>
      <c r="M59" s="151"/>
      <c r="N59" s="150"/>
      <c r="O59" s="150"/>
      <c r="P59" s="150"/>
      <c r="Q59" s="156"/>
    </row>
    <row r="60" spans="1:17" s="137" customFormat="1" x14ac:dyDescent="0.2">
      <c r="A60" s="97" t="s">
        <v>173</v>
      </c>
      <c r="B60" s="147"/>
      <c r="C60" s="147"/>
      <c r="D60" s="147"/>
      <c r="E60" s="148"/>
      <c r="F60" s="148"/>
      <c r="G60" s="148"/>
      <c r="H60" s="149"/>
      <c r="I60" s="150"/>
      <c r="J60" s="151"/>
      <c r="K60" s="151"/>
      <c r="L60" s="151"/>
      <c r="M60" s="151"/>
      <c r="N60" s="150"/>
      <c r="O60" s="150"/>
      <c r="P60" s="150"/>
      <c r="Q60" s="156"/>
    </row>
    <row r="61" spans="1:17" s="137" customFormat="1" x14ac:dyDescent="0.2">
      <c r="A61" s="97" t="s">
        <v>174</v>
      </c>
      <c r="B61" s="147"/>
      <c r="C61" s="147"/>
      <c r="D61" s="147"/>
      <c r="E61" s="148"/>
      <c r="F61" s="148"/>
      <c r="G61" s="148"/>
      <c r="H61" s="149"/>
      <c r="I61" s="150"/>
      <c r="J61" s="151"/>
      <c r="K61" s="151"/>
      <c r="L61" s="151"/>
      <c r="M61" s="151"/>
      <c r="N61" s="150"/>
      <c r="O61" s="150"/>
      <c r="P61" s="150"/>
      <c r="Q61" s="156"/>
    </row>
    <row r="62" spans="1:17" s="137" customFormat="1" x14ac:dyDescent="0.2">
      <c r="A62" s="97" t="s">
        <v>175</v>
      </c>
      <c r="B62" s="147"/>
      <c r="C62" s="147"/>
      <c r="D62" s="147"/>
      <c r="E62" s="148"/>
      <c r="F62" s="148"/>
      <c r="G62" s="148"/>
      <c r="H62" s="149"/>
      <c r="I62" s="150"/>
      <c r="J62" s="151"/>
      <c r="K62" s="151"/>
      <c r="L62" s="151"/>
      <c r="M62" s="151"/>
      <c r="N62" s="150"/>
      <c r="O62" s="150"/>
      <c r="P62" s="150"/>
      <c r="Q62" s="156"/>
    </row>
  </sheetData>
  <mergeCells count="2">
    <mergeCell ref="A6:Q6"/>
    <mergeCell ref="A5:Q5"/>
  </mergeCells>
  <conditionalFormatting sqref="I1:I4 G10:G57 I10:M57 O10:O57 I58:I55592">
    <cfRule type="expression" dxfId="140" priority="57" stopIfTrue="1">
      <formula>LEFT(#REF!,3)="TIR"</formula>
    </cfRule>
  </conditionalFormatting>
  <conditionalFormatting sqref="I7">
    <cfRule type="expression" dxfId="139" priority="62" stopIfTrue="1">
      <formula>LEFT(#REF!,3)="TIR"</formula>
    </cfRule>
  </conditionalFormatting>
  <conditionalFormatting sqref="B10:F57 H10:H57 P10:Q57">
    <cfRule type="expression" dxfId="138" priority="63" stopIfTrue="1">
      <formula>OR(LEFT(#REF!,3)="TIR",LEFT(#REF!,2)="IR")</formula>
    </cfRule>
  </conditionalFormatting>
  <conditionalFormatting sqref="A10:A57 N10:N57">
    <cfRule type="expression" dxfId="137" priority="66" stopIfTrue="1">
      <formula>#REF!&gt;0</formula>
    </cfRule>
    <cfRule type="expression" dxfId="136" priority="67" stopIfTrue="1">
      <formula>LEFT(#REF!,3)="TIR"</formula>
    </cfRule>
  </conditionalFormatting>
  <conditionalFormatting sqref="F11:F57">
    <cfRule type="expression" dxfId="135" priority="7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EA8B8-6214-4C9A-AE88-83034A860D39}">
  <sheetPr codeName="גיליון3">
    <pageSetUpPr fitToPage="1"/>
  </sheetPr>
  <dimension ref="A1:T22"/>
  <sheetViews>
    <sheetView rightToLeft="1" zoomScale="80" zoomScaleNormal="80" workbookViewId="0">
      <selection activeCell="A7" sqref="A7:T17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1.5703125" style="23" customWidth="1"/>
    <col min="7" max="7" width="7.5703125" style="24" customWidth="1"/>
    <col min="8" max="8" width="11.140625" style="24" customWidth="1"/>
    <col min="9" max="9" width="14.140625" style="24" customWidth="1"/>
    <col min="10" max="10" width="7.85546875" style="25" customWidth="1"/>
    <col min="11" max="11" width="11.28515625" style="26" customWidth="1"/>
    <col min="12" max="12" width="12.5703125" style="33" customWidth="1"/>
    <col min="13" max="13" width="14.140625" style="33" customWidth="1"/>
    <col min="14" max="14" width="10.5703125" style="33" customWidth="1"/>
    <col min="15" max="15" width="8.85546875" style="26" bestFit="1" customWidth="1"/>
    <col min="16" max="16" width="16.5703125" style="26" customWidth="1"/>
    <col min="17" max="17" width="10.42578125" style="26" customWidth="1"/>
    <col min="18" max="18" width="22" style="28" customWidth="1"/>
    <col min="19" max="19" width="25.42578125" style="28" customWidth="1"/>
    <col min="20" max="20" width="20.7109375" style="28" customWidth="1"/>
    <col min="21" max="16384" width="9.140625" style="28"/>
  </cols>
  <sheetData>
    <row r="1" spans="1:20" s="20" customFormat="1" x14ac:dyDescent="0.2">
      <c r="A1" s="20" t="s">
        <v>166</v>
      </c>
      <c r="B1" s="22" t="s">
        <v>176</v>
      </c>
      <c r="C1" s="22"/>
      <c r="D1" s="22"/>
      <c r="E1" s="22"/>
      <c r="F1" s="23"/>
      <c r="G1" s="24"/>
      <c r="H1" s="24"/>
      <c r="I1" s="24"/>
      <c r="J1" s="25"/>
      <c r="K1" s="26"/>
      <c r="L1" s="27"/>
      <c r="M1" s="27"/>
      <c r="N1" s="27"/>
      <c r="O1" s="26"/>
      <c r="P1" s="26"/>
      <c r="Q1" s="26"/>
      <c r="R1" s="28"/>
      <c r="S1" s="28"/>
    </row>
    <row r="2" spans="1:20" s="20" customFormat="1" x14ac:dyDescent="0.2">
      <c r="A2" s="23" t="s">
        <v>167</v>
      </c>
      <c r="B2" s="22" t="s">
        <v>153</v>
      </c>
      <c r="C2" s="22"/>
      <c r="D2" s="22"/>
      <c r="E2" s="22"/>
      <c r="F2" s="23"/>
      <c r="G2" s="24"/>
      <c r="H2" s="24"/>
      <c r="I2" s="24"/>
      <c r="J2" s="25"/>
      <c r="K2" s="26"/>
      <c r="L2" s="27"/>
      <c r="M2" s="27"/>
      <c r="N2" s="27"/>
      <c r="O2" s="26"/>
      <c r="P2" s="26"/>
      <c r="Q2" s="26"/>
      <c r="R2" s="28"/>
      <c r="S2" s="28"/>
    </row>
    <row r="3" spans="1:20" s="20" customFormat="1" x14ac:dyDescent="0.2">
      <c r="A3" s="23" t="s">
        <v>168</v>
      </c>
      <c r="B3" s="22" t="s">
        <v>169</v>
      </c>
      <c r="C3" s="22"/>
      <c r="D3" s="22"/>
      <c r="E3" s="22"/>
      <c r="F3" s="23"/>
      <c r="G3" s="24"/>
      <c r="H3" s="24"/>
      <c r="I3" s="24"/>
      <c r="J3" s="25"/>
      <c r="K3" s="26"/>
      <c r="L3" s="27"/>
      <c r="M3" s="27"/>
      <c r="N3" s="27"/>
      <c r="O3" s="26"/>
      <c r="P3" s="26"/>
      <c r="Q3" s="26"/>
      <c r="R3" s="28"/>
      <c r="S3" s="28"/>
    </row>
    <row r="4" spans="1:20" s="20" customFormat="1" ht="13.5" thickBot="1" x14ac:dyDescent="0.25">
      <c r="A4" s="23" t="s">
        <v>170</v>
      </c>
      <c r="B4" s="22" t="s">
        <v>178</v>
      </c>
      <c r="C4" s="22"/>
      <c r="D4" s="22"/>
      <c r="E4" s="22"/>
      <c r="F4" s="23"/>
      <c r="G4" s="24"/>
      <c r="H4" s="24"/>
      <c r="I4" s="24"/>
      <c r="J4" s="25"/>
      <c r="K4" s="26"/>
      <c r="L4" s="27"/>
      <c r="M4" s="27"/>
      <c r="N4" s="27"/>
      <c r="O4" s="26"/>
      <c r="P4" s="26"/>
      <c r="Q4" s="26"/>
      <c r="R4" s="28"/>
      <c r="S4" s="2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6" t="s">
        <v>160</v>
      </c>
      <c r="B7" s="107" t="s">
        <v>69</v>
      </c>
      <c r="C7" s="107" t="s">
        <v>76</v>
      </c>
      <c r="D7" s="107" t="s">
        <v>77</v>
      </c>
      <c r="E7" s="107" t="s">
        <v>74</v>
      </c>
      <c r="F7" s="107" t="s">
        <v>19</v>
      </c>
      <c r="G7" s="107" t="s">
        <v>70</v>
      </c>
      <c r="H7" s="107" t="s">
        <v>5</v>
      </c>
      <c r="I7" s="107" t="s">
        <v>13</v>
      </c>
      <c r="J7" s="107" t="s">
        <v>14</v>
      </c>
      <c r="K7" s="107" t="s">
        <v>6</v>
      </c>
      <c r="L7" s="108" t="s">
        <v>66</v>
      </c>
      <c r="M7" s="108" t="s">
        <v>71</v>
      </c>
      <c r="N7" s="108" t="s">
        <v>67</v>
      </c>
      <c r="O7" s="108" t="s">
        <v>68</v>
      </c>
      <c r="P7" s="108" t="s">
        <v>137</v>
      </c>
      <c r="Q7" s="108" t="s">
        <v>7</v>
      </c>
      <c r="R7" s="109" t="s">
        <v>17</v>
      </c>
      <c r="S7" s="109" t="s">
        <v>75</v>
      </c>
      <c r="T7" s="110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41"/>
      <c r="I8" s="41" t="s">
        <v>40</v>
      </c>
      <c r="J8" s="42" t="s">
        <v>16</v>
      </c>
      <c r="K8" s="43"/>
      <c r="L8" s="15" t="s">
        <v>9</v>
      </c>
      <c r="M8" s="15" t="s">
        <v>9</v>
      </c>
      <c r="N8" s="15" t="s">
        <v>136</v>
      </c>
      <c r="O8" s="15"/>
      <c r="P8" s="15" t="s">
        <v>138</v>
      </c>
      <c r="Q8" s="15" t="s">
        <v>138</v>
      </c>
      <c r="R8" s="44" t="s">
        <v>9</v>
      </c>
      <c r="S8" s="44" t="s">
        <v>9</v>
      </c>
      <c r="T8" s="19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37" customFormat="1" ht="12.75" customHeight="1" thickBot="1" x14ac:dyDescent="0.25">
      <c r="A10" s="120" t="s">
        <v>61</v>
      </c>
      <c r="B10" s="86" t="s">
        <v>180</v>
      </c>
      <c r="C10" s="86" t="s">
        <v>180</v>
      </c>
      <c r="D10" s="86" t="s">
        <v>180</v>
      </c>
      <c r="E10" s="86" t="s">
        <v>180</v>
      </c>
      <c r="F10" s="86" t="s">
        <v>180</v>
      </c>
      <c r="G10" s="157"/>
      <c r="H10" s="157" t="s">
        <v>180</v>
      </c>
      <c r="I10" s="157" t="s">
        <v>180</v>
      </c>
      <c r="J10" s="157" t="s">
        <v>180</v>
      </c>
      <c r="K10" s="157" t="s">
        <v>180</v>
      </c>
      <c r="L10" s="158" t="s">
        <v>180</v>
      </c>
      <c r="M10" s="158" t="s">
        <v>180</v>
      </c>
      <c r="N10" s="159" t="s">
        <v>180</v>
      </c>
      <c r="O10" s="157"/>
      <c r="P10" s="157" t="s">
        <v>180</v>
      </c>
      <c r="Q10" s="123">
        <v>4.9999999999999998E-7</v>
      </c>
      <c r="R10" s="86" t="s">
        <v>180</v>
      </c>
      <c r="S10" s="86">
        <v>1</v>
      </c>
      <c r="T10" s="101">
        <v>0</v>
      </c>
    </row>
    <row r="11" spans="1:20" s="137" customFormat="1" x14ac:dyDescent="0.2">
      <c r="A11" s="111" t="s">
        <v>140</v>
      </c>
      <c r="B11" s="140" t="s">
        <v>180</v>
      </c>
      <c r="C11" s="140" t="s">
        <v>180</v>
      </c>
      <c r="D11" s="140" t="s">
        <v>180</v>
      </c>
      <c r="E11" s="140" t="s">
        <v>180</v>
      </c>
      <c r="F11" s="140" t="s">
        <v>180</v>
      </c>
      <c r="G11" s="160" t="s">
        <v>180</v>
      </c>
      <c r="H11" s="160" t="s">
        <v>180</v>
      </c>
      <c r="I11" s="160" t="s">
        <v>180</v>
      </c>
      <c r="J11" s="160" t="s">
        <v>180</v>
      </c>
      <c r="K11" s="160" t="s">
        <v>180</v>
      </c>
      <c r="L11" s="161" t="s">
        <v>180</v>
      </c>
      <c r="M11" s="161" t="s">
        <v>180</v>
      </c>
      <c r="N11" s="162" t="s">
        <v>180</v>
      </c>
      <c r="O11" s="160" t="s">
        <v>180</v>
      </c>
      <c r="P11" s="160" t="s">
        <v>180</v>
      </c>
      <c r="Q11" s="142">
        <v>0</v>
      </c>
      <c r="R11" s="140" t="s">
        <v>180</v>
      </c>
      <c r="S11" s="140">
        <v>0</v>
      </c>
      <c r="T11" s="140">
        <v>0</v>
      </c>
    </row>
    <row r="12" spans="1:20" s="137" customFormat="1" x14ac:dyDescent="0.2">
      <c r="A12" s="112" t="s">
        <v>141</v>
      </c>
      <c r="B12" s="144" t="s">
        <v>180</v>
      </c>
      <c r="C12" s="144" t="s">
        <v>180</v>
      </c>
      <c r="D12" s="144" t="s">
        <v>180</v>
      </c>
      <c r="E12" s="144" t="s">
        <v>180</v>
      </c>
      <c r="F12" s="144" t="s">
        <v>180</v>
      </c>
      <c r="G12" s="160" t="s">
        <v>180</v>
      </c>
      <c r="H12" s="163" t="s">
        <v>180</v>
      </c>
      <c r="I12" s="163" t="s">
        <v>180</v>
      </c>
      <c r="J12" s="163" t="s">
        <v>180</v>
      </c>
      <c r="K12" s="163" t="s">
        <v>180</v>
      </c>
      <c r="L12" s="164" t="s">
        <v>180</v>
      </c>
      <c r="M12" s="164" t="s">
        <v>180</v>
      </c>
      <c r="N12" s="165" t="s">
        <v>180</v>
      </c>
      <c r="O12" s="163" t="s">
        <v>180</v>
      </c>
      <c r="P12" s="163" t="s">
        <v>180</v>
      </c>
      <c r="Q12" s="146">
        <v>0</v>
      </c>
      <c r="R12" s="144" t="s">
        <v>180</v>
      </c>
      <c r="S12" s="144">
        <v>0</v>
      </c>
      <c r="T12" s="140">
        <v>0</v>
      </c>
    </row>
    <row r="13" spans="1:20" s="137" customFormat="1" x14ac:dyDescent="0.2">
      <c r="A13" s="112" t="s">
        <v>142</v>
      </c>
      <c r="B13" s="144" t="s">
        <v>180</v>
      </c>
      <c r="C13" s="144" t="s">
        <v>180</v>
      </c>
      <c r="D13" s="144" t="s">
        <v>180</v>
      </c>
      <c r="E13" s="144" t="s">
        <v>180</v>
      </c>
      <c r="F13" s="144" t="s">
        <v>180</v>
      </c>
      <c r="G13" s="160" t="s">
        <v>180</v>
      </c>
      <c r="H13" s="163" t="s">
        <v>180</v>
      </c>
      <c r="I13" s="163" t="s">
        <v>180</v>
      </c>
      <c r="J13" s="163" t="s">
        <v>180</v>
      </c>
      <c r="K13" s="163" t="s">
        <v>180</v>
      </c>
      <c r="L13" s="164" t="s">
        <v>180</v>
      </c>
      <c r="M13" s="164" t="s">
        <v>180</v>
      </c>
      <c r="N13" s="165" t="s">
        <v>180</v>
      </c>
      <c r="O13" s="163" t="s">
        <v>180</v>
      </c>
      <c r="P13" s="163" t="s">
        <v>180</v>
      </c>
      <c r="Q13" s="146">
        <v>0</v>
      </c>
      <c r="R13" s="144" t="s">
        <v>180</v>
      </c>
      <c r="S13" s="144">
        <v>0</v>
      </c>
      <c r="T13" s="140">
        <v>0</v>
      </c>
    </row>
    <row r="14" spans="1:20" s="137" customFormat="1" x14ac:dyDescent="0.2">
      <c r="A14" s="112" t="s">
        <v>385</v>
      </c>
      <c r="B14" s="144" t="s">
        <v>180</v>
      </c>
      <c r="C14" s="144" t="s">
        <v>180</v>
      </c>
      <c r="D14" s="144" t="s">
        <v>180</v>
      </c>
      <c r="E14" s="144" t="s">
        <v>180</v>
      </c>
      <c r="F14" s="144" t="s">
        <v>180</v>
      </c>
      <c r="G14" s="160" t="s">
        <v>180</v>
      </c>
      <c r="H14" s="163" t="s">
        <v>180</v>
      </c>
      <c r="I14" s="163" t="s">
        <v>180</v>
      </c>
      <c r="J14" s="163" t="s">
        <v>180</v>
      </c>
      <c r="K14" s="163" t="s">
        <v>180</v>
      </c>
      <c r="L14" s="164" t="s">
        <v>180</v>
      </c>
      <c r="M14" s="164" t="s">
        <v>180</v>
      </c>
      <c r="N14" s="165" t="s">
        <v>180</v>
      </c>
      <c r="O14" s="163" t="s">
        <v>180</v>
      </c>
      <c r="P14" s="163" t="s">
        <v>180</v>
      </c>
      <c r="Q14" s="146">
        <v>0</v>
      </c>
      <c r="R14" s="144" t="s">
        <v>180</v>
      </c>
      <c r="S14" s="144">
        <v>0</v>
      </c>
      <c r="T14" s="140">
        <v>0</v>
      </c>
    </row>
    <row r="15" spans="1:20" s="137" customFormat="1" x14ac:dyDescent="0.2">
      <c r="A15" s="112" t="s">
        <v>386</v>
      </c>
      <c r="B15" s="144" t="s">
        <v>180</v>
      </c>
      <c r="C15" s="144" t="s">
        <v>180</v>
      </c>
      <c r="D15" s="144" t="s">
        <v>180</v>
      </c>
      <c r="E15" s="144" t="s">
        <v>180</v>
      </c>
      <c r="F15" s="144" t="s">
        <v>180</v>
      </c>
      <c r="G15" s="160" t="s">
        <v>180</v>
      </c>
      <c r="H15" s="163" t="s">
        <v>180</v>
      </c>
      <c r="I15" s="163" t="s">
        <v>180</v>
      </c>
      <c r="J15" s="163" t="s">
        <v>180</v>
      </c>
      <c r="K15" s="163" t="s">
        <v>180</v>
      </c>
      <c r="L15" s="164" t="s">
        <v>180</v>
      </c>
      <c r="M15" s="164" t="s">
        <v>180</v>
      </c>
      <c r="N15" s="165" t="s">
        <v>180</v>
      </c>
      <c r="O15" s="163" t="s">
        <v>180</v>
      </c>
      <c r="P15" s="163" t="s">
        <v>180</v>
      </c>
      <c r="Q15" s="146">
        <v>0</v>
      </c>
      <c r="R15" s="144" t="s">
        <v>180</v>
      </c>
      <c r="S15" s="144">
        <v>0</v>
      </c>
      <c r="T15" s="140">
        <v>0</v>
      </c>
    </row>
    <row r="16" spans="1:20" s="137" customFormat="1" x14ac:dyDescent="0.2">
      <c r="A16" s="112" t="s">
        <v>146</v>
      </c>
      <c r="B16" s="144" t="s">
        <v>180</v>
      </c>
      <c r="C16" s="144" t="s">
        <v>180</v>
      </c>
      <c r="D16" s="144" t="s">
        <v>180</v>
      </c>
      <c r="E16" s="144" t="s">
        <v>180</v>
      </c>
      <c r="F16" s="144" t="s">
        <v>180</v>
      </c>
      <c r="G16" s="160" t="s">
        <v>180</v>
      </c>
      <c r="H16" s="163" t="s">
        <v>180</v>
      </c>
      <c r="I16" s="163" t="s">
        <v>180</v>
      </c>
      <c r="J16" s="163" t="s">
        <v>180</v>
      </c>
      <c r="K16" s="163" t="s">
        <v>180</v>
      </c>
      <c r="L16" s="164" t="s">
        <v>180</v>
      </c>
      <c r="M16" s="164" t="s">
        <v>180</v>
      </c>
      <c r="N16" s="165" t="s">
        <v>180</v>
      </c>
      <c r="O16" s="163" t="s">
        <v>180</v>
      </c>
      <c r="P16" s="163" t="s">
        <v>180</v>
      </c>
      <c r="Q16" s="146">
        <v>0</v>
      </c>
      <c r="R16" s="144" t="s">
        <v>180</v>
      </c>
      <c r="S16" s="144">
        <v>0</v>
      </c>
      <c r="T16" s="140">
        <v>0</v>
      </c>
    </row>
    <row r="17" spans="1:20" s="137" customFormat="1" x14ac:dyDescent="0.2">
      <c r="A17" s="231" t="s">
        <v>147</v>
      </c>
      <c r="B17" s="232" t="s">
        <v>180</v>
      </c>
      <c r="C17" s="232" t="s">
        <v>180</v>
      </c>
      <c r="D17" s="232" t="s">
        <v>180</v>
      </c>
      <c r="E17" s="232" t="s">
        <v>180</v>
      </c>
      <c r="F17" s="232" t="s">
        <v>180</v>
      </c>
      <c r="G17" s="233" t="s">
        <v>180</v>
      </c>
      <c r="H17" s="234" t="s">
        <v>180</v>
      </c>
      <c r="I17" s="234" t="s">
        <v>180</v>
      </c>
      <c r="J17" s="234" t="s">
        <v>180</v>
      </c>
      <c r="K17" s="234" t="s">
        <v>180</v>
      </c>
      <c r="L17" s="235" t="s">
        <v>180</v>
      </c>
      <c r="M17" s="235" t="s">
        <v>180</v>
      </c>
      <c r="N17" s="236" t="s">
        <v>180</v>
      </c>
      <c r="O17" s="234" t="s">
        <v>180</v>
      </c>
      <c r="P17" s="234" t="s">
        <v>180</v>
      </c>
      <c r="Q17" s="237">
        <v>0</v>
      </c>
      <c r="R17" s="232" t="s">
        <v>180</v>
      </c>
      <c r="S17" s="232">
        <v>0</v>
      </c>
      <c r="T17" s="238">
        <v>0</v>
      </c>
    </row>
    <row r="18" spans="1:20" s="137" customFormat="1" x14ac:dyDescent="0.2">
      <c r="A18" s="97" t="s">
        <v>171</v>
      </c>
      <c r="B18" s="147"/>
      <c r="C18" s="147"/>
      <c r="D18" s="147"/>
      <c r="E18" s="147"/>
      <c r="F18" s="97"/>
      <c r="G18" s="166"/>
      <c r="H18" s="166"/>
      <c r="I18" s="166"/>
      <c r="J18" s="167"/>
      <c r="K18" s="152"/>
      <c r="L18" s="168"/>
      <c r="M18" s="168"/>
      <c r="N18" s="168"/>
      <c r="O18" s="152"/>
      <c r="P18" s="152"/>
      <c r="Q18" s="152"/>
    </row>
    <row r="19" spans="1:20" s="137" customFormat="1" x14ac:dyDescent="0.2">
      <c r="A19" s="97" t="s">
        <v>172</v>
      </c>
      <c r="B19" s="147"/>
      <c r="C19" s="147"/>
      <c r="D19" s="147"/>
      <c r="E19" s="147"/>
      <c r="F19" s="97"/>
      <c r="G19" s="166"/>
      <c r="H19" s="166"/>
      <c r="I19" s="166"/>
      <c r="J19" s="167"/>
      <c r="K19" s="152"/>
      <c r="L19" s="168"/>
      <c r="M19" s="168"/>
      <c r="N19" s="168"/>
      <c r="O19" s="152"/>
      <c r="P19" s="152"/>
      <c r="Q19" s="152"/>
    </row>
    <row r="20" spans="1:20" s="137" customFormat="1" x14ac:dyDescent="0.2">
      <c r="A20" s="97" t="s">
        <v>173</v>
      </c>
      <c r="B20" s="147"/>
      <c r="C20" s="147"/>
      <c r="D20" s="147"/>
      <c r="E20" s="147"/>
      <c r="F20" s="97"/>
      <c r="G20" s="166"/>
      <c r="H20" s="166"/>
      <c r="I20" s="166"/>
      <c r="J20" s="167"/>
      <c r="K20" s="152"/>
      <c r="L20" s="168"/>
      <c r="M20" s="168"/>
      <c r="N20" s="168"/>
      <c r="O20" s="152"/>
      <c r="P20" s="152"/>
      <c r="Q20" s="152"/>
    </row>
    <row r="21" spans="1:20" s="137" customFormat="1" x14ac:dyDescent="0.2">
      <c r="A21" s="97" t="s">
        <v>174</v>
      </c>
      <c r="B21" s="147"/>
      <c r="C21" s="147"/>
      <c r="D21" s="147"/>
      <c r="E21" s="147"/>
      <c r="F21" s="97"/>
      <c r="G21" s="166"/>
      <c r="H21" s="166"/>
      <c r="I21" s="166"/>
      <c r="J21" s="167"/>
      <c r="K21" s="152"/>
      <c r="L21" s="168"/>
      <c r="M21" s="168"/>
      <c r="N21" s="168"/>
      <c r="O21" s="152"/>
      <c r="P21" s="152"/>
      <c r="Q21" s="152"/>
    </row>
    <row r="22" spans="1:20" s="137" customFormat="1" x14ac:dyDescent="0.2">
      <c r="A22" s="97" t="s">
        <v>175</v>
      </c>
      <c r="B22" s="147"/>
      <c r="C22" s="147"/>
      <c r="D22" s="147"/>
      <c r="E22" s="147"/>
      <c r="F22" s="97"/>
      <c r="G22" s="166"/>
      <c r="H22" s="166"/>
      <c r="I22" s="166"/>
      <c r="J22" s="167"/>
      <c r="K22" s="152"/>
      <c r="L22" s="168"/>
      <c r="M22" s="168"/>
      <c r="N22" s="168"/>
      <c r="O22" s="152"/>
      <c r="P22" s="152"/>
      <c r="Q22" s="152"/>
    </row>
  </sheetData>
  <mergeCells count="2">
    <mergeCell ref="A6:T6"/>
    <mergeCell ref="A5:T5"/>
  </mergeCells>
  <conditionalFormatting sqref="K1:K4 J10:J17 L10:P17 R10:R17 K18:K55552">
    <cfRule type="expression" dxfId="134" priority="84" stopIfTrue="1">
      <formula>LEFT(#REF!,3)="TIR"</formula>
    </cfRule>
  </conditionalFormatting>
  <conditionalFormatting sqref="L7">
    <cfRule type="expression" dxfId="133" priority="89" stopIfTrue="1">
      <formula>LEFT(#REF!,3)="TIR"</formula>
    </cfRule>
  </conditionalFormatting>
  <conditionalFormatting sqref="B10:I17 K10:K17">
    <cfRule type="expression" dxfId="132" priority="90" stopIfTrue="1">
      <formula>LEFT(#REF!,3)="TIR"</formula>
    </cfRule>
  </conditionalFormatting>
  <conditionalFormatting sqref="A10:A17 Q10:Q17">
    <cfRule type="expression" dxfId="131" priority="92" stopIfTrue="1">
      <formula>#REF!&gt;0</formula>
    </cfRule>
    <cfRule type="expression" dxfId="130" priority="93" stopIfTrue="1">
      <formula>LEFT(#REF!,3)="TIR"</formula>
    </cfRule>
  </conditionalFormatting>
  <conditionalFormatting sqref="S10:T17">
    <cfRule type="expression" dxfId="129" priority="96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5F34B-CACA-4E7B-8E36-EC19A0E1C930}">
  <sheetPr codeName="גיליון5">
    <pageSetUpPr fitToPage="1"/>
  </sheetPr>
  <dimension ref="A1:T327"/>
  <sheetViews>
    <sheetView rightToLeft="1" topLeftCell="A7" zoomScale="80" zoomScaleNormal="80" workbookViewId="0">
      <selection activeCell="A7" sqref="A7:T322"/>
    </sheetView>
  </sheetViews>
  <sheetFormatPr defaultRowHeight="12.75" x14ac:dyDescent="0.2"/>
  <cols>
    <col min="1" max="1" width="41.28515625" style="23" bestFit="1" customWidth="1"/>
    <col min="2" max="2" width="16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33.140625" style="22" bestFit="1" customWidth="1"/>
    <col min="7" max="7" width="8.5703125" style="79" bestFit="1" customWidth="1"/>
    <col min="8" max="8" width="11.140625" style="79" customWidth="1"/>
    <col min="9" max="9" width="14.140625" style="79" customWidth="1"/>
    <col min="10" max="10" width="7.85546875" style="50" customWidth="1"/>
    <col min="11" max="11" width="12.7109375" style="81" bestFit="1" customWidth="1"/>
    <col min="12" max="12" width="12.5703125" style="83" customWidth="1"/>
    <col min="13" max="13" width="14.140625" style="83" customWidth="1"/>
    <col min="14" max="14" width="12.42578125" style="83" bestFit="1" customWidth="1"/>
    <col min="15" max="15" width="11.42578125" style="81" bestFit="1" customWidth="1"/>
    <col min="16" max="16" width="16.5703125" style="81" customWidth="1"/>
    <col min="17" max="17" width="12" style="81" bestFit="1" customWidth="1"/>
    <col min="18" max="18" width="22" style="84" customWidth="1"/>
    <col min="19" max="19" width="25.42578125" style="84" customWidth="1"/>
    <col min="20" max="20" width="20.7109375" style="84" customWidth="1"/>
    <col min="21" max="16384" width="9.140625" style="28"/>
  </cols>
  <sheetData>
    <row r="1" spans="1:20" s="20" customFormat="1" x14ac:dyDescent="0.2">
      <c r="A1" s="20" t="s">
        <v>166</v>
      </c>
      <c r="B1" s="22" t="s">
        <v>176</v>
      </c>
      <c r="C1" s="22"/>
      <c r="D1" s="22"/>
      <c r="E1" s="22"/>
      <c r="F1" s="22"/>
      <c r="G1" s="79"/>
      <c r="H1" s="79"/>
      <c r="I1" s="79"/>
      <c r="J1" s="50"/>
      <c r="K1" s="81"/>
      <c r="L1" s="82"/>
      <c r="M1" s="82"/>
      <c r="N1" s="82"/>
      <c r="O1" s="81"/>
      <c r="P1" s="81"/>
      <c r="Q1" s="81"/>
      <c r="R1" s="84"/>
      <c r="S1" s="84"/>
      <c r="T1" s="58"/>
    </row>
    <row r="2" spans="1:20" s="20" customFormat="1" x14ac:dyDescent="0.2">
      <c r="A2" s="23" t="s">
        <v>167</v>
      </c>
      <c r="B2" s="22" t="s">
        <v>153</v>
      </c>
      <c r="C2" s="22"/>
      <c r="D2" s="22"/>
      <c r="E2" s="22"/>
      <c r="F2" s="22"/>
      <c r="G2" s="79"/>
      <c r="H2" s="79"/>
      <c r="I2" s="79"/>
      <c r="J2" s="50"/>
      <c r="K2" s="81"/>
      <c r="L2" s="82"/>
      <c r="M2" s="82"/>
      <c r="N2" s="82"/>
      <c r="O2" s="81"/>
      <c r="P2" s="81"/>
      <c r="Q2" s="81"/>
      <c r="R2" s="84"/>
      <c r="S2" s="84"/>
      <c r="T2" s="58"/>
    </row>
    <row r="3" spans="1:20" s="20" customFormat="1" x14ac:dyDescent="0.2">
      <c r="A3" s="23" t="s">
        <v>168</v>
      </c>
      <c r="B3" s="22" t="s">
        <v>169</v>
      </c>
      <c r="C3" s="22"/>
      <c r="D3" s="22"/>
      <c r="E3" s="22"/>
      <c r="F3" s="22"/>
      <c r="G3" s="79"/>
      <c r="H3" s="79"/>
      <c r="I3" s="79"/>
      <c r="J3" s="50"/>
      <c r="K3" s="81"/>
      <c r="L3" s="82"/>
      <c r="M3" s="82"/>
      <c r="N3" s="82"/>
      <c r="O3" s="81"/>
      <c r="P3" s="81"/>
      <c r="Q3" s="81"/>
      <c r="R3" s="84"/>
      <c r="S3" s="84"/>
      <c r="T3" s="58"/>
    </row>
    <row r="4" spans="1:20" s="20" customFormat="1" ht="13.5" thickBot="1" x14ac:dyDescent="0.25">
      <c r="A4" s="23" t="s">
        <v>170</v>
      </c>
      <c r="B4" s="22" t="s">
        <v>178</v>
      </c>
      <c r="C4" s="22"/>
      <c r="D4" s="22"/>
      <c r="E4" s="22"/>
      <c r="F4" s="22"/>
      <c r="G4" s="79"/>
      <c r="H4" s="79"/>
      <c r="I4" s="79"/>
      <c r="J4" s="50"/>
      <c r="K4" s="81"/>
      <c r="L4" s="82"/>
      <c r="M4" s="82"/>
      <c r="N4" s="82"/>
      <c r="O4" s="81"/>
      <c r="P4" s="81"/>
      <c r="Q4" s="81"/>
      <c r="R4" s="84"/>
      <c r="S4" s="84"/>
      <c r="T4" s="5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88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6" t="s">
        <v>160</v>
      </c>
      <c r="B7" s="107" t="s">
        <v>69</v>
      </c>
      <c r="C7" s="107" t="s">
        <v>76</v>
      </c>
      <c r="D7" s="107" t="s">
        <v>77</v>
      </c>
      <c r="E7" s="107" t="s">
        <v>74</v>
      </c>
      <c r="F7" s="107" t="s">
        <v>19</v>
      </c>
      <c r="G7" s="107" t="s">
        <v>70</v>
      </c>
      <c r="H7" s="107" t="s">
        <v>5</v>
      </c>
      <c r="I7" s="107" t="s">
        <v>13</v>
      </c>
      <c r="J7" s="107" t="s">
        <v>14</v>
      </c>
      <c r="K7" s="107" t="s">
        <v>6</v>
      </c>
      <c r="L7" s="108" t="s">
        <v>66</v>
      </c>
      <c r="M7" s="108" t="s">
        <v>71</v>
      </c>
      <c r="N7" s="108" t="s">
        <v>67</v>
      </c>
      <c r="O7" s="108" t="s">
        <v>68</v>
      </c>
      <c r="P7" s="108" t="s">
        <v>137</v>
      </c>
      <c r="Q7" s="108" t="s">
        <v>7</v>
      </c>
      <c r="R7" s="109" t="s">
        <v>17</v>
      </c>
      <c r="S7" s="109" t="s">
        <v>75</v>
      </c>
      <c r="T7" s="110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70"/>
      <c r="I8" s="71" t="s">
        <v>40</v>
      </c>
      <c r="J8" s="70" t="s">
        <v>16</v>
      </c>
      <c r="K8" s="43"/>
      <c r="L8" s="68" t="s">
        <v>9</v>
      </c>
      <c r="M8" s="68" t="s">
        <v>9</v>
      </c>
      <c r="N8" s="15" t="s">
        <v>136</v>
      </c>
      <c r="O8" s="68"/>
      <c r="P8" s="15" t="s">
        <v>138</v>
      </c>
      <c r="Q8" s="15" t="s">
        <v>138</v>
      </c>
      <c r="R8" s="72" t="s">
        <v>9</v>
      </c>
      <c r="S8" s="72" t="s">
        <v>9</v>
      </c>
      <c r="T8" s="69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37" customFormat="1" ht="12.75" customHeight="1" thickBot="1" x14ac:dyDescent="0.25">
      <c r="A10" s="120" t="s">
        <v>53</v>
      </c>
      <c r="B10" s="86"/>
      <c r="C10" s="86"/>
      <c r="D10" s="86"/>
      <c r="E10" s="86"/>
      <c r="F10" s="86"/>
      <c r="G10" s="121"/>
      <c r="H10" s="121"/>
      <c r="I10" s="121"/>
      <c r="J10" s="121"/>
      <c r="K10" s="121"/>
      <c r="L10" s="86"/>
      <c r="M10" s="86"/>
      <c r="N10" s="124"/>
      <c r="O10" s="121"/>
      <c r="P10" s="123" t="s">
        <v>180</v>
      </c>
      <c r="Q10" s="125">
        <v>161197.83552799083</v>
      </c>
      <c r="R10" s="86" t="s">
        <v>180</v>
      </c>
      <c r="S10" s="86">
        <v>1</v>
      </c>
      <c r="T10" s="101">
        <v>0.19527953400306092</v>
      </c>
    </row>
    <row r="11" spans="1:20" s="137" customFormat="1" x14ac:dyDescent="0.2">
      <c r="A11" s="111" t="s">
        <v>140</v>
      </c>
      <c r="B11" s="140" t="s">
        <v>180</v>
      </c>
      <c r="C11" s="140" t="s">
        <v>180</v>
      </c>
      <c r="D11" s="140" t="s">
        <v>180</v>
      </c>
      <c r="E11" s="140" t="s">
        <v>180</v>
      </c>
      <c r="F11" s="140" t="s">
        <v>180</v>
      </c>
      <c r="G11" s="141" t="s">
        <v>180</v>
      </c>
      <c r="H11" s="141" t="s">
        <v>180</v>
      </c>
      <c r="I11" s="141" t="s">
        <v>180</v>
      </c>
      <c r="J11" s="141" t="s">
        <v>180</v>
      </c>
      <c r="K11" s="141" t="s">
        <v>180</v>
      </c>
      <c r="L11" s="140" t="s">
        <v>180</v>
      </c>
      <c r="M11" s="140" t="s">
        <v>180</v>
      </c>
      <c r="N11" s="153" t="s">
        <v>180</v>
      </c>
      <c r="O11" s="141" t="s">
        <v>180</v>
      </c>
      <c r="P11" s="142" t="s">
        <v>180</v>
      </c>
      <c r="Q11" s="154">
        <v>110319.26365341281</v>
      </c>
      <c r="R11" s="140" t="s">
        <v>180</v>
      </c>
      <c r="S11" s="140">
        <v>0.68437186697991781</v>
      </c>
      <c r="T11" s="140">
        <v>0.13364381926864313</v>
      </c>
    </row>
    <row r="12" spans="1:20" s="137" customFormat="1" x14ac:dyDescent="0.2">
      <c r="A12" s="112" t="s">
        <v>141</v>
      </c>
      <c r="B12" s="144" t="s">
        <v>180</v>
      </c>
      <c r="C12" s="144" t="s">
        <v>180</v>
      </c>
      <c r="D12" s="144" t="s">
        <v>180</v>
      </c>
      <c r="E12" s="144" t="s">
        <v>180</v>
      </c>
      <c r="F12" s="144" t="s">
        <v>180</v>
      </c>
      <c r="G12" s="145" t="s">
        <v>180</v>
      </c>
      <c r="H12" s="145" t="s">
        <v>180</v>
      </c>
      <c r="I12" s="145" t="s">
        <v>180</v>
      </c>
      <c r="J12" s="145" t="s">
        <v>180</v>
      </c>
      <c r="K12" s="145" t="s">
        <v>180</v>
      </c>
      <c r="L12" s="144" t="s">
        <v>180</v>
      </c>
      <c r="M12" s="144" t="s">
        <v>180</v>
      </c>
      <c r="N12" s="155" t="s">
        <v>180</v>
      </c>
      <c r="O12" s="145" t="s">
        <v>180</v>
      </c>
      <c r="P12" s="146" t="s">
        <v>180</v>
      </c>
      <c r="Q12" s="146">
        <v>78163.89186383714</v>
      </c>
      <c r="R12" s="144" t="s">
        <v>180</v>
      </c>
      <c r="S12" s="144">
        <v>0.48489417744237984</v>
      </c>
      <c r="T12" s="144">
        <v>9.4689909011745454E-2</v>
      </c>
    </row>
    <row r="13" spans="1:20" x14ac:dyDescent="0.2">
      <c r="A13" s="30" t="s">
        <v>739</v>
      </c>
      <c r="B13" s="38" t="s">
        <v>740</v>
      </c>
      <c r="C13" s="38" t="s">
        <v>266</v>
      </c>
      <c r="D13" s="38" t="s">
        <v>180</v>
      </c>
      <c r="E13" s="38" t="s">
        <v>741</v>
      </c>
      <c r="F13" s="38" t="s">
        <v>742</v>
      </c>
      <c r="G13" s="80" t="s">
        <v>184</v>
      </c>
      <c r="H13" s="80" t="s">
        <v>185</v>
      </c>
      <c r="I13" s="80" t="s">
        <v>743</v>
      </c>
      <c r="J13" s="80">
        <v>2.3199999999999998</v>
      </c>
      <c r="K13" s="80" t="s">
        <v>186</v>
      </c>
      <c r="L13" s="38">
        <v>6.1999999999999998E-3</v>
      </c>
      <c r="M13" s="38">
        <v>8.8999999999999999E-3</v>
      </c>
      <c r="N13" s="88">
        <v>806552.67416957219</v>
      </c>
      <c r="O13" s="80">
        <v>100.59</v>
      </c>
      <c r="P13" s="104">
        <v>0</v>
      </c>
      <c r="Q13" s="104">
        <v>811.31133490057164</v>
      </c>
      <c r="R13" s="38">
        <v>1.6286074108399657E-4</v>
      </c>
      <c r="S13" s="38">
        <v>5.0330163072176822E-3</v>
      </c>
      <c r="T13" s="38">
        <v>9.8284507910327535E-4</v>
      </c>
    </row>
    <row r="14" spans="1:20" x14ac:dyDescent="0.2">
      <c r="A14" s="30" t="s">
        <v>543</v>
      </c>
      <c r="B14" s="38" t="s">
        <v>544</v>
      </c>
      <c r="C14" s="38" t="s">
        <v>266</v>
      </c>
      <c r="D14" s="38" t="s">
        <v>180</v>
      </c>
      <c r="E14" s="38" t="s">
        <v>389</v>
      </c>
      <c r="F14" s="38" t="s">
        <v>390</v>
      </c>
      <c r="G14" s="80" t="s">
        <v>184</v>
      </c>
      <c r="H14" s="80" t="s">
        <v>185</v>
      </c>
      <c r="I14" s="80" t="s">
        <v>545</v>
      </c>
      <c r="J14" s="80">
        <v>4.9400000000000004</v>
      </c>
      <c r="K14" s="80" t="s">
        <v>186</v>
      </c>
      <c r="L14" s="38">
        <v>1.4999999999999999E-2</v>
      </c>
      <c r="M14" s="38">
        <v>4.0999999999999995E-3</v>
      </c>
      <c r="N14" s="88">
        <v>31319.5332429421</v>
      </c>
      <c r="O14" s="80">
        <v>105.97000000000001</v>
      </c>
      <c r="P14" s="104">
        <v>0</v>
      </c>
      <c r="Q14" s="104">
        <v>33.189309313445719</v>
      </c>
      <c r="R14" s="38">
        <v>6.7387320632653942E-5</v>
      </c>
      <c r="S14" s="38">
        <v>2.0589178015161772E-4</v>
      </c>
      <c r="T14" s="38">
        <v>4.0206450883068573E-5</v>
      </c>
    </row>
    <row r="15" spans="1:20" x14ac:dyDescent="0.2">
      <c r="A15" s="30" t="s">
        <v>387</v>
      </c>
      <c r="B15" s="38" t="s">
        <v>388</v>
      </c>
      <c r="C15" s="38" t="s">
        <v>266</v>
      </c>
      <c r="D15" s="38" t="s">
        <v>180</v>
      </c>
      <c r="E15" s="38" t="s">
        <v>389</v>
      </c>
      <c r="F15" s="38" t="s">
        <v>390</v>
      </c>
      <c r="G15" s="80" t="s">
        <v>184</v>
      </c>
      <c r="H15" s="80" t="s">
        <v>185</v>
      </c>
      <c r="I15" s="80" t="s">
        <v>391</v>
      </c>
      <c r="J15" s="80">
        <v>0.44</v>
      </c>
      <c r="K15" s="80" t="s">
        <v>186</v>
      </c>
      <c r="L15" s="38">
        <v>4.6500000000000007E-2</v>
      </c>
      <c r="M15" s="38">
        <v>2.5999999999999999E-3</v>
      </c>
      <c r="N15" s="88">
        <v>64569.793909455671</v>
      </c>
      <c r="O15" s="80">
        <v>125.67000000000002</v>
      </c>
      <c r="P15" s="104">
        <v>0</v>
      </c>
      <c r="Q15" s="104">
        <v>81.144860000137157</v>
      </c>
      <c r="R15" s="38">
        <v>3.2508879395239907E-4</v>
      </c>
      <c r="S15" s="38">
        <v>5.0338678391278363E-4</v>
      </c>
      <c r="T15" s="38">
        <v>9.8301136585787906E-5</v>
      </c>
    </row>
    <row r="16" spans="1:20" x14ac:dyDescent="0.2">
      <c r="A16" s="30" t="s">
        <v>444</v>
      </c>
      <c r="B16" s="38" t="s">
        <v>445</v>
      </c>
      <c r="C16" s="38" t="s">
        <v>266</v>
      </c>
      <c r="D16" s="38" t="s">
        <v>180</v>
      </c>
      <c r="E16" s="38" t="s">
        <v>389</v>
      </c>
      <c r="F16" s="38" t="s">
        <v>390</v>
      </c>
      <c r="G16" s="80" t="s">
        <v>184</v>
      </c>
      <c r="H16" s="80" t="s">
        <v>185</v>
      </c>
      <c r="I16" s="80" t="s">
        <v>446</v>
      </c>
      <c r="J16" s="80">
        <v>1.53</v>
      </c>
      <c r="K16" s="80" t="s">
        <v>186</v>
      </c>
      <c r="L16" s="38">
        <v>3.5499999999999997E-2</v>
      </c>
      <c r="M16" s="38">
        <v>1.3300000000000001E-2</v>
      </c>
      <c r="N16" s="88">
        <v>140890.65025432897</v>
      </c>
      <c r="O16" s="80">
        <v>115.00000000000001</v>
      </c>
      <c r="P16" s="104">
        <v>0</v>
      </c>
      <c r="Q16" s="104">
        <v>162.0242477519557</v>
      </c>
      <c r="R16" s="38">
        <v>4.9419102944938753E-4</v>
      </c>
      <c r="S16" s="38">
        <v>1.0051266955369348E-3</v>
      </c>
      <c r="T16" s="38">
        <v>1.9628067271848908E-4</v>
      </c>
    </row>
    <row r="17" spans="1:20" x14ac:dyDescent="0.2">
      <c r="A17" s="30" t="s">
        <v>735</v>
      </c>
      <c r="B17" s="38" t="s">
        <v>736</v>
      </c>
      <c r="C17" s="38" t="s">
        <v>266</v>
      </c>
      <c r="D17" s="38" t="s">
        <v>180</v>
      </c>
      <c r="E17" s="38" t="s">
        <v>737</v>
      </c>
      <c r="F17" s="38" t="s">
        <v>390</v>
      </c>
      <c r="G17" s="80" t="s">
        <v>466</v>
      </c>
      <c r="H17" s="80" t="s">
        <v>402</v>
      </c>
      <c r="I17" s="80" t="s">
        <v>738</v>
      </c>
      <c r="J17" s="80">
        <v>4.92</v>
      </c>
      <c r="K17" s="80" t="s">
        <v>186</v>
      </c>
      <c r="L17" s="38">
        <v>8.3000000000000001E-3</v>
      </c>
      <c r="M17" s="38">
        <v>2.3999999999999998E-3</v>
      </c>
      <c r="N17" s="88">
        <v>70872.086918250105</v>
      </c>
      <c r="O17" s="80">
        <v>102.81</v>
      </c>
      <c r="P17" s="104">
        <v>0</v>
      </c>
      <c r="Q17" s="104">
        <v>72.863592528234832</v>
      </c>
      <c r="R17" s="38">
        <v>5.51117731504235E-5</v>
      </c>
      <c r="S17" s="38">
        <v>4.5201346711372316E-4</v>
      </c>
      <c r="T17" s="38">
        <v>8.8268979221075756E-5</v>
      </c>
    </row>
    <row r="18" spans="1:20" x14ac:dyDescent="0.2">
      <c r="A18" s="30" t="s">
        <v>828</v>
      </c>
      <c r="B18" s="38" t="s">
        <v>829</v>
      </c>
      <c r="C18" s="38" t="s">
        <v>266</v>
      </c>
      <c r="D18" s="38" t="s">
        <v>180</v>
      </c>
      <c r="E18" s="38" t="s">
        <v>593</v>
      </c>
      <c r="F18" s="38" t="s">
        <v>390</v>
      </c>
      <c r="G18" s="80" t="s">
        <v>466</v>
      </c>
      <c r="H18" s="80" t="s">
        <v>402</v>
      </c>
      <c r="I18" s="80" t="s">
        <v>830</v>
      </c>
      <c r="J18" s="80">
        <v>0.7</v>
      </c>
      <c r="K18" s="80" t="s">
        <v>186</v>
      </c>
      <c r="L18" s="38">
        <v>4.0999999999999995E-3</v>
      </c>
      <c r="M18" s="38">
        <v>2.3E-3</v>
      </c>
      <c r="N18" s="88">
        <v>18372.182473000488</v>
      </c>
      <c r="O18" s="80">
        <v>100.05</v>
      </c>
      <c r="P18" s="104">
        <v>0</v>
      </c>
      <c r="Q18" s="104">
        <v>18.381368545292666</v>
      </c>
      <c r="R18" s="38">
        <v>2.2352237480670425E-5</v>
      </c>
      <c r="S18" s="38">
        <v>1.1402987195880106E-4</v>
      </c>
      <c r="T18" s="38">
        <v>2.2267700258543373E-5</v>
      </c>
    </row>
    <row r="19" spans="1:20" x14ac:dyDescent="0.2">
      <c r="A19" s="30" t="s">
        <v>834</v>
      </c>
      <c r="B19" s="38" t="s">
        <v>835</v>
      </c>
      <c r="C19" s="38" t="s">
        <v>266</v>
      </c>
      <c r="D19" s="38" t="s">
        <v>180</v>
      </c>
      <c r="E19" s="38" t="s">
        <v>593</v>
      </c>
      <c r="F19" s="38" t="s">
        <v>390</v>
      </c>
      <c r="G19" s="80" t="s">
        <v>466</v>
      </c>
      <c r="H19" s="80" t="s">
        <v>402</v>
      </c>
      <c r="I19" s="80" t="s">
        <v>836</v>
      </c>
      <c r="J19" s="80">
        <v>9.76</v>
      </c>
      <c r="K19" s="80" t="s">
        <v>186</v>
      </c>
      <c r="L19" s="38">
        <v>4.6999999999999993E-3</v>
      </c>
      <c r="M19" s="38">
        <v>5.8999999999999999E-3</v>
      </c>
      <c r="N19" s="88">
        <v>67.537696797214195</v>
      </c>
      <c r="O19" s="80">
        <v>99.46</v>
      </c>
      <c r="P19" s="104">
        <v>0</v>
      </c>
      <c r="Q19" s="104">
        <v>6.7172993234509246E-2</v>
      </c>
      <c r="R19" s="38">
        <v>9.6217550823966298E-8</v>
      </c>
      <c r="S19" s="38">
        <v>4.1671150865326076E-7</v>
      </c>
      <c r="T19" s="38">
        <v>8.1375229223521231E-8</v>
      </c>
    </row>
    <row r="20" spans="1:20" x14ac:dyDescent="0.2">
      <c r="A20" s="30" t="s">
        <v>591</v>
      </c>
      <c r="B20" s="38" t="s">
        <v>592</v>
      </c>
      <c r="C20" s="38" t="s">
        <v>266</v>
      </c>
      <c r="D20" s="38" t="s">
        <v>180</v>
      </c>
      <c r="E20" s="38" t="s">
        <v>593</v>
      </c>
      <c r="F20" s="38" t="s">
        <v>390</v>
      </c>
      <c r="G20" s="80" t="s">
        <v>466</v>
      </c>
      <c r="H20" s="80" t="s">
        <v>402</v>
      </c>
      <c r="I20" s="80" t="s">
        <v>594</v>
      </c>
      <c r="J20" s="80">
        <v>1.05</v>
      </c>
      <c r="K20" s="80" t="s">
        <v>186</v>
      </c>
      <c r="L20" s="38">
        <v>0.04</v>
      </c>
      <c r="M20" s="38">
        <v>1.03E-2</v>
      </c>
      <c r="N20" s="88">
        <v>1655357.4852645951</v>
      </c>
      <c r="O20" s="80">
        <v>108.35</v>
      </c>
      <c r="P20" s="104">
        <v>0</v>
      </c>
      <c r="Q20" s="104">
        <v>1793.5798352571737</v>
      </c>
      <c r="R20" s="38">
        <v>7.9903493816882161E-4</v>
      </c>
      <c r="S20" s="38">
        <v>1.1126575176288468E-2</v>
      </c>
      <c r="T20" s="38">
        <v>2.1727924154756372E-3</v>
      </c>
    </row>
    <row r="21" spans="1:20" x14ac:dyDescent="0.2">
      <c r="A21" s="30" t="s">
        <v>615</v>
      </c>
      <c r="B21" s="38" t="s">
        <v>616</v>
      </c>
      <c r="C21" s="38" t="s">
        <v>266</v>
      </c>
      <c r="D21" s="38" t="s">
        <v>180</v>
      </c>
      <c r="E21" s="38" t="s">
        <v>593</v>
      </c>
      <c r="F21" s="38" t="s">
        <v>390</v>
      </c>
      <c r="G21" s="80" t="s">
        <v>466</v>
      </c>
      <c r="H21" s="80" t="s">
        <v>402</v>
      </c>
      <c r="I21" s="80" t="s">
        <v>617</v>
      </c>
      <c r="J21" s="80">
        <v>2.21</v>
      </c>
      <c r="K21" s="80" t="s">
        <v>186</v>
      </c>
      <c r="L21" s="38">
        <v>9.8999999999999991E-3</v>
      </c>
      <c r="M21" s="38">
        <v>7.7000000000000002E-3</v>
      </c>
      <c r="N21" s="88">
        <v>1578658.1445601364</v>
      </c>
      <c r="O21" s="80">
        <v>102.05</v>
      </c>
      <c r="P21" s="104">
        <v>0</v>
      </c>
      <c r="Q21" s="104">
        <v>1611.0206365202421</v>
      </c>
      <c r="R21" s="38">
        <v>5.2379699501708976E-4</v>
      </c>
      <c r="S21" s="38">
        <v>9.9940587368525808E-3</v>
      </c>
      <c r="T21" s="38">
        <v>1.9516351329317914E-3</v>
      </c>
    </row>
    <row r="22" spans="1:20" x14ac:dyDescent="0.2">
      <c r="A22" s="30" t="s">
        <v>662</v>
      </c>
      <c r="B22" s="38" t="s">
        <v>663</v>
      </c>
      <c r="C22" s="38" t="s">
        <v>266</v>
      </c>
      <c r="D22" s="38" t="s">
        <v>180</v>
      </c>
      <c r="E22" s="38" t="s">
        <v>593</v>
      </c>
      <c r="F22" s="38" t="s">
        <v>390</v>
      </c>
      <c r="G22" s="80" t="s">
        <v>466</v>
      </c>
      <c r="H22" s="80" t="s">
        <v>402</v>
      </c>
      <c r="I22" s="80" t="s">
        <v>664</v>
      </c>
      <c r="J22" s="80">
        <v>4.17</v>
      </c>
      <c r="K22" s="80" t="s">
        <v>186</v>
      </c>
      <c r="L22" s="38">
        <v>8.6E-3</v>
      </c>
      <c r="M22" s="38">
        <v>4.5000000000000005E-3</v>
      </c>
      <c r="N22" s="88">
        <v>23882.497989649532</v>
      </c>
      <c r="O22" s="80">
        <v>103.29000000000002</v>
      </c>
      <c r="P22" s="104">
        <v>0</v>
      </c>
      <c r="Q22" s="104">
        <v>24.668232162027593</v>
      </c>
      <c r="R22" s="38">
        <v>9.5478395433705755E-6</v>
      </c>
      <c r="S22" s="38">
        <v>1.5303079027847205E-4</v>
      </c>
      <c r="T22" s="38">
        <v>2.9883781413700163E-5</v>
      </c>
    </row>
    <row r="23" spans="1:20" x14ac:dyDescent="0.2">
      <c r="A23" s="30" t="s">
        <v>665</v>
      </c>
      <c r="B23" s="38" t="s">
        <v>666</v>
      </c>
      <c r="C23" s="38" t="s">
        <v>266</v>
      </c>
      <c r="D23" s="38" t="s">
        <v>180</v>
      </c>
      <c r="E23" s="38" t="s">
        <v>593</v>
      </c>
      <c r="F23" s="38" t="s">
        <v>390</v>
      </c>
      <c r="G23" s="80" t="s">
        <v>466</v>
      </c>
      <c r="H23" s="80" t="s">
        <v>402</v>
      </c>
      <c r="I23" s="80" t="s">
        <v>664</v>
      </c>
      <c r="J23" s="80">
        <v>6.93</v>
      </c>
      <c r="K23" s="80" t="s">
        <v>186</v>
      </c>
      <c r="L23" s="38">
        <v>1.2199999999999999E-2</v>
      </c>
      <c r="M23" s="38">
        <v>3.4999999999999996E-3</v>
      </c>
      <c r="N23" s="88">
        <v>12412.888369753593</v>
      </c>
      <c r="O23" s="80">
        <v>108.12000000000002</v>
      </c>
      <c r="P23" s="104">
        <v>0</v>
      </c>
      <c r="Q23" s="104">
        <v>13.420814878362506</v>
      </c>
      <c r="R23" s="38">
        <v>1.5484985641053475E-5</v>
      </c>
      <c r="S23" s="38">
        <v>8.3256793333506517E-5</v>
      </c>
      <c r="T23" s="38">
        <v>1.6258347804756301E-5</v>
      </c>
    </row>
    <row r="24" spans="1:20" x14ac:dyDescent="0.2">
      <c r="A24" s="30" t="s">
        <v>747</v>
      </c>
      <c r="B24" s="38" t="s">
        <v>748</v>
      </c>
      <c r="C24" s="38" t="s">
        <v>266</v>
      </c>
      <c r="D24" s="38" t="s">
        <v>180</v>
      </c>
      <c r="E24" s="38" t="s">
        <v>593</v>
      </c>
      <c r="F24" s="38" t="s">
        <v>390</v>
      </c>
      <c r="G24" s="80" t="s">
        <v>466</v>
      </c>
      <c r="H24" s="80" t="s">
        <v>402</v>
      </c>
      <c r="I24" s="80" t="s">
        <v>368</v>
      </c>
      <c r="J24" s="80">
        <v>5.92</v>
      </c>
      <c r="K24" s="80" t="s">
        <v>186</v>
      </c>
      <c r="L24" s="38">
        <v>3.8E-3</v>
      </c>
      <c r="M24" s="38">
        <v>3.3E-3</v>
      </c>
      <c r="N24" s="88">
        <v>1409600.0241888834</v>
      </c>
      <c r="O24" s="80">
        <v>98.72</v>
      </c>
      <c r="P24" s="104">
        <v>0</v>
      </c>
      <c r="Q24" s="104">
        <v>1391.5571438414445</v>
      </c>
      <c r="R24" s="38">
        <v>4.6986667472962779E-4</v>
      </c>
      <c r="S24" s="38">
        <v>8.6326043974691638E-3</v>
      </c>
      <c r="T24" s="38">
        <v>1.6857709639705525E-3</v>
      </c>
    </row>
    <row r="25" spans="1:20" x14ac:dyDescent="0.2">
      <c r="A25" s="30" t="s">
        <v>749</v>
      </c>
      <c r="B25" s="38" t="s">
        <v>750</v>
      </c>
      <c r="C25" s="38" t="s">
        <v>266</v>
      </c>
      <c r="D25" s="38" t="s">
        <v>180</v>
      </c>
      <c r="E25" s="38" t="s">
        <v>751</v>
      </c>
      <c r="F25" s="38" t="s">
        <v>697</v>
      </c>
      <c r="G25" s="80" t="s">
        <v>184</v>
      </c>
      <c r="H25" s="80" t="s">
        <v>185</v>
      </c>
      <c r="I25" s="80" t="s">
        <v>752</v>
      </c>
      <c r="J25" s="80">
        <v>15.4</v>
      </c>
      <c r="K25" s="80" t="s">
        <v>186</v>
      </c>
      <c r="L25" s="38">
        <v>2.0799999999999999E-2</v>
      </c>
      <c r="M25" s="38">
        <v>7.4000000000000003E-3</v>
      </c>
      <c r="N25" s="88">
        <v>204059.26158562198</v>
      </c>
      <c r="O25" s="80">
        <v>119.75</v>
      </c>
      <c r="P25" s="104">
        <v>0</v>
      </c>
      <c r="Q25" s="104">
        <v>244.36096574878232</v>
      </c>
      <c r="R25" s="38">
        <v>1.3801682882471001E-4</v>
      </c>
      <c r="S25" s="38">
        <v>1.5159072387566322E-3</v>
      </c>
      <c r="T25" s="38">
        <v>2.9602565917626191E-4</v>
      </c>
    </row>
    <row r="26" spans="1:20" x14ac:dyDescent="0.2">
      <c r="A26" s="30" t="s">
        <v>463</v>
      </c>
      <c r="B26" s="38" t="s">
        <v>464</v>
      </c>
      <c r="C26" s="38" t="s">
        <v>266</v>
      </c>
      <c r="D26" s="38" t="s">
        <v>180</v>
      </c>
      <c r="E26" s="38" t="s">
        <v>465</v>
      </c>
      <c r="F26" s="38" t="s">
        <v>390</v>
      </c>
      <c r="G26" s="80" t="s">
        <v>466</v>
      </c>
      <c r="H26" s="80" t="s">
        <v>402</v>
      </c>
      <c r="I26" s="80" t="s">
        <v>467</v>
      </c>
      <c r="J26" s="80">
        <v>2</v>
      </c>
      <c r="K26" s="80" t="s">
        <v>186</v>
      </c>
      <c r="L26" s="38">
        <v>0.05</v>
      </c>
      <c r="M26" s="38">
        <v>8.1000000000000013E-3</v>
      </c>
      <c r="N26" s="88">
        <v>1504691.8113093521</v>
      </c>
      <c r="O26" s="80">
        <v>114.21</v>
      </c>
      <c r="P26" s="104">
        <v>0</v>
      </c>
      <c r="Q26" s="104">
        <v>1718.5085176815528</v>
      </c>
      <c r="R26" s="38">
        <v>4.7743637176505573E-4</v>
      </c>
      <c r="S26" s="38">
        <v>1.0660865960468472E-2</v>
      </c>
      <c r="T26" s="38">
        <v>2.0818489368293778E-3</v>
      </c>
    </row>
    <row r="27" spans="1:20" x14ac:dyDescent="0.2">
      <c r="A27" s="30" t="s">
        <v>532</v>
      </c>
      <c r="B27" s="38" t="s">
        <v>533</v>
      </c>
      <c r="C27" s="38" t="s">
        <v>266</v>
      </c>
      <c r="D27" s="38" t="s">
        <v>180</v>
      </c>
      <c r="E27" s="38" t="s">
        <v>465</v>
      </c>
      <c r="F27" s="38" t="s">
        <v>390</v>
      </c>
      <c r="G27" s="80" t="s">
        <v>184</v>
      </c>
      <c r="H27" s="80" t="s">
        <v>185</v>
      </c>
      <c r="I27" s="80" t="s">
        <v>534</v>
      </c>
      <c r="J27" s="80">
        <v>0.21</v>
      </c>
      <c r="K27" s="80" t="s">
        <v>186</v>
      </c>
      <c r="L27" s="38">
        <v>1.6E-2</v>
      </c>
      <c r="M27" s="38">
        <v>-1.3100000000000001E-2</v>
      </c>
      <c r="N27" s="88">
        <v>294654.28430497757</v>
      </c>
      <c r="O27" s="80">
        <v>101.47</v>
      </c>
      <c r="P27" s="104">
        <v>0</v>
      </c>
      <c r="Q27" s="104">
        <v>298.98570224141486</v>
      </c>
      <c r="R27" s="38">
        <v>2.8072832590346903E-4</v>
      </c>
      <c r="S27" s="38">
        <v>1.8547749184231336E-3</v>
      </c>
      <c r="T27" s="38">
        <v>3.621995817502348E-4</v>
      </c>
    </row>
    <row r="28" spans="1:20" x14ac:dyDescent="0.2">
      <c r="A28" s="30" t="s">
        <v>550</v>
      </c>
      <c r="B28" s="38" t="s">
        <v>551</v>
      </c>
      <c r="C28" s="38" t="s">
        <v>266</v>
      </c>
      <c r="D28" s="38" t="s">
        <v>180</v>
      </c>
      <c r="E28" s="38" t="s">
        <v>465</v>
      </c>
      <c r="F28" s="38" t="s">
        <v>390</v>
      </c>
      <c r="G28" s="80" t="s">
        <v>466</v>
      </c>
      <c r="H28" s="80" t="s">
        <v>402</v>
      </c>
      <c r="I28" s="80" t="s">
        <v>552</v>
      </c>
      <c r="J28" s="80">
        <v>1.72</v>
      </c>
      <c r="K28" s="80" t="s">
        <v>186</v>
      </c>
      <c r="L28" s="38">
        <v>6.9999999999999993E-3</v>
      </c>
      <c r="M28" s="38">
        <v>8.1000000000000013E-3</v>
      </c>
      <c r="N28" s="88">
        <v>1552597.0634314292</v>
      </c>
      <c r="O28" s="80">
        <v>101.50000000000001</v>
      </c>
      <c r="P28" s="104">
        <v>0</v>
      </c>
      <c r="Q28" s="104">
        <v>1575.8860193400144</v>
      </c>
      <c r="R28" s="38">
        <v>7.2817873475077726E-4</v>
      </c>
      <c r="S28" s="38">
        <v>9.7760991279958794E-3</v>
      </c>
      <c r="T28" s="38">
        <v>1.9090720820827654E-3</v>
      </c>
    </row>
    <row r="29" spans="1:20" x14ac:dyDescent="0.2">
      <c r="A29" s="30" t="s">
        <v>724</v>
      </c>
      <c r="B29" s="38" t="s">
        <v>725</v>
      </c>
      <c r="C29" s="38" t="s">
        <v>266</v>
      </c>
      <c r="D29" s="38" t="s">
        <v>180</v>
      </c>
      <c r="E29" s="38" t="s">
        <v>465</v>
      </c>
      <c r="F29" s="38" t="s">
        <v>390</v>
      </c>
      <c r="G29" s="80" t="s">
        <v>466</v>
      </c>
      <c r="H29" s="80" t="s">
        <v>402</v>
      </c>
      <c r="I29" s="80" t="s">
        <v>726</v>
      </c>
      <c r="J29" s="80">
        <v>5.24</v>
      </c>
      <c r="K29" s="80" t="s">
        <v>186</v>
      </c>
      <c r="L29" s="38">
        <v>1.7500000000000002E-2</v>
      </c>
      <c r="M29" s="38">
        <v>3.3E-3</v>
      </c>
      <c r="N29" s="88">
        <v>1583811.5909544465</v>
      </c>
      <c r="O29" s="80">
        <v>107.89</v>
      </c>
      <c r="P29" s="104">
        <v>0</v>
      </c>
      <c r="Q29" s="104">
        <v>1708.7743254486045</v>
      </c>
      <c r="R29" s="38">
        <v>3.99409308710342E-4</v>
      </c>
      <c r="S29" s="38">
        <v>1.0600479341745805E-2</v>
      </c>
      <c r="T29" s="38">
        <v>2.0700566660651941E-3</v>
      </c>
    </row>
    <row r="30" spans="1:20" x14ac:dyDescent="0.2">
      <c r="A30" s="30" t="s">
        <v>805</v>
      </c>
      <c r="B30" s="38" t="s">
        <v>806</v>
      </c>
      <c r="C30" s="38" t="s">
        <v>266</v>
      </c>
      <c r="D30" s="38" t="s">
        <v>180</v>
      </c>
      <c r="E30" s="38" t="s">
        <v>807</v>
      </c>
      <c r="F30" s="38" t="s">
        <v>390</v>
      </c>
      <c r="G30" s="80" t="s">
        <v>569</v>
      </c>
      <c r="H30" s="80" t="s">
        <v>185</v>
      </c>
      <c r="I30" s="80" t="s">
        <v>808</v>
      </c>
      <c r="J30" s="80">
        <v>0.71</v>
      </c>
      <c r="K30" s="80" t="s">
        <v>186</v>
      </c>
      <c r="L30" s="38">
        <v>4.2000000000000003E-2</v>
      </c>
      <c r="M30" s="38">
        <v>2.0299999999999999E-2</v>
      </c>
      <c r="N30" s="88">
        <v>34794.850831462216</v>
      </c>
      <c r="O30" s="80">
        <v>124.52000000000001</v>
      </c>
      <c r="P30" s="104">
        <v>0</v>
      </c>
      <c r="Q30" s="104">
        <v>43.326548218164</v>
      </c>
      <c r="R30" s="38">
        <v>1.3340049392885104E-3</v>
      </c>
      <c r="S30" s="38">
        <v>2.6877872197384844E-4</v>
      </c>
      <c r="T30" s="38">
        <v>5.2486983576991397E-5</v>
      </c>
    </row>
    <row r="31" spans="1:20" x14ac:dyDescent="0.2">
      <c r="A31" s="30" t="s">
        <v>816</v>
      </c>
      <c r="B31" s="38" t="s">
        <v>817</v>
      </c>
      <c r="C31" s="38" t="s">
        <v>266</v>
      </c>
      <c r="D31" s="38" t="s">
        <v>180</v>
      </c>
      <c r="E31" s="38" t="s">
        <v>807</v>
      </c>
      <c r="F31" s="38" t="s">
        <v>390</v>
      </c>
      <c r="G31" s="80" t="s">
        <v>569</v>
      </c>
      <c r="H31" s="80" t="s">
        <v>185</v>
      </c>
      <c r="I31" s="80" t="s">
        <v>818</v>
      </c>
      <c r="J31" s="80">
        <v>0.57999999999999996</v>
      </c>
      <c r="K31" s="80" t="s">
        <v>186</v>
      </c>
      <c r="L31" s="38">
        <v>3.1E-2</v>
      </c>
      <c r="M31" s="38">
        <v>1.5800000000000002E-2</v>
      </c>
      <c r="N31" s="88">
        <v>218352.30596203764</v>
      </c>
      <c r="O31" s="80">
        <v>108.09</v>
      </c>
      <c r="P31" s="104">
        <v>0</v>
      </c>
      <c r="Q31" s="104">
        <v>236.01700749043113</v>
      </c>
      <c r="R31" s="38">
        <v>1.2693617387661809E-3</v>
      </c>
      <c r="S31" s="38">
        <v>1.4641450160752841E-3</v>
      </c>
      <c r="T31" s="38">
        <v>2.8591755645208559E-4</v>
      </c>
    </row>
    <row r="32" spans="1:20" x14ac:dyDescent="0.2">
      <c r="A32" s="30" t="s">
        <v>809</v>
      </c>
      <c r="B32" s="38" t="s">
        <v>810</v>
      </c>
      <c r="C32" s="38" t="s">
        <v>266</v>
      </c>
      <c r="D32" s="38" t="s">
        <v>180</v>
      </c>
      <c r="E32" s="38" t="s">
        <v>811</v>
      </c>
      <c r="F32" s="38" t="s">
        <v>390</v>
      </c>
      <c r="G32" s="80" t="s">
        <v>606</v>
      </c>
      <c r="H32" s="80" t="s">
        <v>402</v>
      </c>
      <c r="I32" s="80" t="s">
        <v>812</v>
      </c>
      <c r="J32" s="80">
        <v>1.42</v>
      </c>
      <c r="K32" s="80" t="s">
        <v>186</v>
      </c>
      <c r="L32" s="38">
        <v>3.85E-2</v>
      </c>
      <c r="M32" s="38">
        <v>1.0700000000000001E-2</v>
      </c>
      <c r="N32" s="88">
        <v>274006.98044419306</v>
      </c>
      <c r="O32" s="80">
        <v>112.31</v>
      </c>
      <c r="P32" s="104">
        <v>0</v>
      </c>
      <c r="Q32" s="104">
        <v>307.73723969390574</v>
      </c>
      <c r="R32" s="38">
        <v>1.2866201043083916E-3</v>
      </c>
      <c r="S32" s="38">
        <v>1.909065581966015E-3</v>
      </c>
      <c r="T32" s="38">
        <v>3.7280143722760565E-4</v>
      </c>
    </row>
    <row r="33" spans="1:20" x14ac:dyDescent="0.2">
      <c r="A33" s="30" t="s">
        <v>798</v>
      </c>
      <c r="B33" s="38" t="s">
        <v>799</v>
      </c>
      <c r="C33" s="38" t="s">
        <v>266</v>
      </c>
      <c r="D33" s="38" t="s">
        <v>180</v>
      </c>
      <c r="E33" s="38" t="s">
        <v>800</v>
      </c>
      <c r="F33" s="38" t="s">
        <v>390</v>
      </c>
      <c r="G33" s="80" t="s">
        <v>606</v>
      </c>
      <c r="H33" s="80" t="s">
        <v>402</v>
      </c>
      <c r="I33" s="80" t="s">
        <v>801</v>
      </c>
      <c r="J33" s="80">
        <v>1.29</v>
      </c>
      <c r="K33" s="80" t="s">
        <v>186</v>
      </c>
      <c r="L33" s="38">
        <v>4.7500000000000001E-2</v>
      </c>
      <c r="M33" s="38">
        <v>1.43E-2</v>
      </c>
      <c r="N33" s="88">
        <v>218936.98520622688</v>
      </c>
      <c r="O33" s="80">
        <v>126.84</v>
      </c>
      <c r="P33" s="104">
        <v>0</v>
      </c>
      <c r="Q33" s="104">
        <v>277.69967202704146</v>
      </c>
      <c r="R33" s="38">
        <v>1.0057786218623051E-3</v>
      </c>
      <c r="S33" s="38">
        <v>1.7227258115312654E-3</v>
      </c>
      <c r="T33" s="38">
        <v>3.3641309369087047E-4</v>
      </c>
    </row>
    <row r="34" spans="1:20" x14ac:dyDescent="0.2">
      <c r="A34" s="30" t="s">
        <v>825</v>
      </c>
      <c r="B34" s="38" t="s">
        <v>826</v>
      </c>
      <c r="C34" s="38" t="s">
        <v>266</v>
      </c>
      <c r="D34" s="38" t="s">
        <v>180</v>
      </c>
      <c r="E34" s="38" t="s">
        <v>389</v>
      </c>
      <c r="F34" s="38" t="s">
        <v>390</v>
      </c>
      <c r="G34" s="80" t="s">
        <v>569</v>
      </c>
      <c r="H34" s="80" t="s">
        <v>185</v>
      </c>
      <c r="I34" s="80" t="s">
        <v>827</v>
      </c>
      <c r="J34" s="80">
        <v>0.25</v>
      </c>
      <c r="K34" s="80" t="s">
        <v>186</v>
      </c>
      <c r="L34" s="38">
        <v>2.4500000000000001E-2</v>
      </c>
      <c r="M34" s="38">
        <v>1.9599999999999999E-2</v>
      </c>
      <c r="N34" s="88">
        <v>148400.58117251875</v>
      </c>
      <c r="O34" s="80">
        <v>101.84</v>
      </c>
      <c r="P34" s="104">
        <v>0</v>
      </c>
      <c r="Q34" s="104">
        <v>151.13115186609309</v>
      </c>
      <c r="R34" s="38">
        <v>1.3884265294386322E-3</v>
      </c>
      <c r="S34" s="38">
        <v>9.3755075166533663E-4</v>
      </c>
      <c r="T34" s="38">
        <v>1.830844738894264E-4</v>
      </c>
    </row>
    <row r="35" spans="1:20" x14ac:dyDescent="0.2">
      <c r="A35" s="30" t="s">
        <v>831</v>
      </c>
      <c r="B35" s="38" t="s">
        <v>832</v>
      </c>
      <c r="C35" s="38" t="s">
        <v>266</v>
      </c>
      <c r="D35" s="38" t="s">
        <v>180</v>
      </c>
      <c r="E35" s="38" t="s">
        <v>737</v>
      </c>
      <c r="F35" s="38" t="s">
        <v>390</v>
      </c>
      <c r="G35" s="80" t="s">
        <v>569</v>
      </c>
      <c r="H35" s="80" t="s">
        <v>185</v>
      </c>
      <c r="I35" s="80" t="s">
        <v>833</v>
      </c>
      <c r="J35" s="80">
        <v>0.36</v>
      </c>
      <c r="K35" s="80" t="s">
        <v>186</v>
      </c>
      <c r="L35" s="38">
        <v>3.4000000000000002E-2</v>
      </c>
      <c r="M35" s="38">
        <v>1.55E-2</v>
      </c>
      <c r="N35" s="88">
        <v>390.71908351124358</v>
      </c>
      <c r="O35" s="80">
        <v>106.08</v>
      </c>
      <c r="P35" s="104">
        <v>0</v>
      </c>
      <c r="Q35" s="104">
        <v>0.41447479298269568</v>
      </c>
      <c r="R35" s="38">
        <v>4.3712227997667557E-7</v>
      </c>
      <c r="S35" s="38">
        <v>2.5712181036743832E-6</v>
      </c>
      <c r="T35" s="38">
        <v>5.0210627310576754E-7</v>
      </c>
    </row>
    <row r="36" spans="1:20" x14ac:dyDescent="0.2">
      <c r="A36" s="30" t="s">
        <v>682</v>
      </c>
      <c r="B36" s="38" t="s">
        <v>683</v>
      </c>
      <c r="C36" s="38" t="s">
        <v>266</v>
      </c>
      <c r="D36" s="38" t="s">
        <v>180</v>
      </c>
      <c r="E36" s="38" t="s">
        <v>684</v>
      </c>
      <c r="F36" s="38" t="s">
        <v>407</v>
      </c>
      <c r="G36" s="80" t="s">
        <v>606</v>
      </c>
      <c r="H36" s="80" t="s">
        <v>402</v>
      </c>
      <c r="I36" s="80" t="s">
        <v>685</v>
      </c>
      <c r="J36" s="80">
        <v>5.04</v>
      </c>
      <c r="K36" s="80" t="s">
        <v>186</v>
      </c>
      <c r="L36" s="38">
        <v>8.3000000000000001E-3</v>
      </c>
      <c r="M36" s="38">
        <v>2.8999999999999998E-3</v>
      </c>
      <c r="N36" s="88">
        <v>972626.50633244659</v>
      </c>
      <c r="O36" s="80">
        <v>103.55000000000001</v>
      </c>
      <c r="P36" s="104">
        <v>0</v>
      </c>
      <c r="Q36" s="104">
        <v>1007.1547472430876</v>
      </c>
      <c r="R36" s="38">
        <v>6.35113317121242E-4</v>
      </c>
      <c r="S36" s="38">
        <v>6.2479421261720514E-3</v>
      </c>
      <c r="T36" s="38">
        <v>1.2200952268769717E-3</v>
      </c>
    </row>
    <row r="37" spans="1:20" x14ac:dyDescent="0.2">
      <c r="A37" s="30" t="s">
        <v>686</v>
      </c>
      <c r="B37" s="38" t="s">
        <v>687</v>
      </c>
      <c r="C37" s="38" t="s">
        <v>266</v>
      </c>
      <c r="D37" s="38" t="s">
        <v>180</v>
      </c>
      <c r="E37" s="38" t="s">
        <v>684</v>
      </c>
      <c r="F37" s="38" t="s">
        <v>407</v>
      </c>
      <c r="G37" s="80" t="s">
        <v>606</v>
      </c>
      <c r="H37" s="80" t="s">
        <v>402</v>
      </c>
      <c r="I37" s="80" t="s">
        <v>685</v>
      </c>
      <c r="J37" s="80">
        <v>8.89</v>
      </c>
      <c r="K37" s="80" t="s">
        <v>186</v>
      </c>
      <c r="L37" s="38">
        <v>1.6500000000000001E-2</v>
      </c>
      <c r="M37" s="38">
        <v>4.0999999999999995E-3</v>
      </c>
      <c r="N37" s="88">
        <v>875861.89826131659</v>
      </c>
      <c r="O37" s="80">
        <v>112.42000000000002</v>
      </c>
      <c r="P37" s="104">
        <v>0</v>
      </c>
      <c r="Q37" s="104">
        <v>984.64394602131983</v>
      </c>
      <c r="R37" s="38">
        <v>5.9989308319782233E-4</v>
      </c>
      <c r="S37" s="38">
        <v>6.1082950822273522E-3</v>
      </c>
      <c r="T37" s="38">
        <v>1.1928250172105459E-3</v>
      </c>
    </row>
    <row r="38" spans="1:20" x14ac:dyDescent="0.2">
      <c r="A38" s="30" t="s">
        <v>694</v>
      </c>
      <c r="B38" s="38" t="s">
        <v>695</v>
      </c>
      <c r="C38" s="38" t="s">
        <v>266</v>
      </c>
      <c r="D38" s="38" t="s">
        <v>180</v>
      </c>
      <c r="E38" s="38" t="s">
        <v>696</v>
      </c>
      <c r="F38" s="38" t="s">
        <v>697</v>
      </c>
      <c r="G38" s="80" t="s">
        <v>606</v>
      </c>
      <c r="H38" s="80" t="s">
        <v>402</v>
      </c>
      <c r="I38" s="80" t="s">
        <v>698</v>
      </c>
      <c r="J38" s="80">
        <v>8.84</v>
      </c>
      <c r="K38" s="80" t="s">
        <v>186</v>
      </c>
      <c r="L38" s="38">
        <v>2.6499999999999999E-2</v>
      </c>
      <c r="M38" s="38">
        <v>5.6000000000000008E-3</v>
      </c>
      <c r="N38" s="88">
        <v>873115.8296249205</v>
      </c>
      <c r="O38" s="80">
        <v>120.40000000000002</v>
      </c>
      <c r="P38" s="104">
        <v>0</v>
      </c>
      <c r="Q38" s="104">
        <v>1051.2314588119427</v>
      </c>
      <c r="R38" s="38">
        <v>7.5469379273744174E-4</v>
      </c>
      <c r="S38" s="38">
        <v>6.5213745294328352E-3</v>
      </c>
      <c r="T38" s="38">
        <v>1.2734909791670746E-3</v>
      </c>
    </row>
    <row r="39" spans="1:20" x14ac:dyDescent="0.2">
      <c r="A39" s="30" t="s">
        <v>566</v>
      </c>
      <c r="B39" s="38" t="s">
        <v>567</v>
      </c>
      <c r="C39" s="38" t="s">
        <v>266</v>
      </c>
      <c r="D39" s="38" t="s">
        <v>180</v>
      </c>
      <c r="E39" s="38" t="s">
        <v>568</v>
      </c>
      <c r="F39" s="38" t="s">
        <v>407</v>
      </c>
      <c r="G39" s="80" t="s">
        <v>569</v>
      </c>
      <c r="H39" s="80" t="s">
        <v>185</v>
      </c>
      <c r="I39" s="80" t="s">
        <v>570</v>
      </c>
      <c r="J39" s="80">
        <v>2.71</v>
      </c>
      <c r="K39" s="80" t="s">
        <v>186</v>
      </c>
      <c r="L39" s="38">
        <v>6.5000000000000006E-3</v>
      </c>
      <c r="M39" s="38">
        <v>1.0500000000000001E-2</v>
      </c>
      <c r="N39" s="88">
        <v>262853.80478987494</v>
      </c>
      <c r="O39" s="80">
        <v>98.99</v>
      </c>
      <c r="P39" s="104">
        <v>0</v>
      </c>
      <c r="Q39" s="104">
        <v>260.19898133783198</v>
      </c>
      <c r="R39" s="38">
        <v>3.4823456479738659E-4</v>
      </c>
      <c r="S39" s="38">
        <v>1.6141592750645237E-3</v>
      </c>
      <c r="T39" s="38">
        <v>3.1521227104131877E-4</v>
      </c>
    </row>
    <row r="40" spans="1:20" x14ac:dyDescent="0.2">
      <c r="A40" s="30" t="s">
        <v>604</v>
      </c>
      <c r="B40" s="38" t="s">
        <v>605</v>
      </c>
      <c r="C40" s="38" t="s">
        <v>266</v>
      </c>
      <c r="D40" s="38" t="s">
        <v>180</v>
      </c>
      <c r="E40" s="38" t="s">
        <v>568</v>
      </c>
      <c r="F40" s="38" t="s">
        <v>407</v>
      </c>
      <c r="G40" s="80" t="s">
        <v>606</v>
      </c>
      <c r="H40" s="80" t="s">
        <v>402</v>
      </c>
      <c r="I40" s="80" t="s">
        <v>607</v>
      </c>
      <c r="J40" s="80">
        <v>5.07</v>
      </c>
      <c r="K40" s="80" t="s">
        <v>186</v>
      </c>
      <c r="L40" s="38">
        <v>1.34E-2</v>
      </c>
      <c r="M40" s="38">
        <v>1.0800000000000001E-2</v>
      </c>
      <c r="N40" s="88">
        <v>3249609.4189039702</v>
      </c>
      <c r="O40" s="80">
        <v>102.51999999999998</v>
      </c>
      <c r="P40" s="104">
        <v>178.63967587000002</v>
      </c>
      <c r="Q40" s="104">
        <v>3351.4964171726037</v>
      </c>
      <c r="R40" s="38">
        <v>8.9378466424249348E-4</v>
      </c>
      <c r="S40" s="38">
        <v>2.0791199870612662E-2</v>
      </c>
      <c r="T40" s="38">
        <v>4.0600958220977403E-3</v>
      </c>
    </row>
    <row r="41" spans="1:20" x14ac:dyDescent="0.2">
      <c r="A41" s="30" t="s">
        <v>730</v>
      </c>
      <c r="B41" s="38" t="s">
        <v>731</v>
      </c>
      <c r="C41" s="38" t="s">
        <v>266</v>
      </c>
      <c r="D41" s="38" t="s">
        <v>180</v>
      </c>
      <c r="E41" s="38" t="s">
        <v>568</v>
      </c>
      <c r="F41" s="38" t="s">
        <v>407</v>
      </c>
      <c r="G41" s="80" t="s">
        <v>606</v>
      </c>
      <c r="H41" s="80" t="s">
        <v>402</v>
      </c>
      <c r="I41" s="80" t="s">
        <v>732</v>
      </c>
      <c r="J41" s="80">
        <v>5.79</v>
      </c>
      <c r="K41" s="80" t="s">
        <v>186</v>
      </c>
      <c r="L41" s="38">
        <v>1.77E-2</v>
      </c>
      <c r="M41" s="38">
        <v>1.1399999999999999E-2</v>
      </c>
      <c r="N41" s="88">
        <v>2319812.8444886538</v>
      </c>
      <c r="O41" s="80">
        <v>103.60000000000001</v>
      </c>
      <c r="P41" s="104">
        <v>0</v>
      </c>
      <c r="Q41" s="104">
        <v>2403.3261068497227</v>
      </c>
      <c r="R41" s="38">
        <v>7.1524304176975699E-4</v>
      </c>
      <c r="S41" s="38">
        <v>1.4909171075267959E-2</v>
      </c>
      <c r="T41" s="38">
        <v>2.9114559799502415E-3</v>
      </c>
    </row>
    <row r="42" spans="1:20" x14ac:dyDescent="0.2">
      <c r="A42" s="30" t="s">
        <v>733</v>
      </c>
      <c r="B42" s="38" t="s">
        <v>734</v>
      </c>
      <c r="C42" s="38" t="s">
        <v>266</v>
      </c>
      <c r="D42" s="38" t="s">
        <v>180</v>
      </c>
      <c r="E42" s="38" t="s">
        <v>568</v>
      </c>
      <c r="F42" s="38" t="s">
        <v>407</v>
      </c>
      <c r="G42" s="80" t="s">
        <v>606</v>
      </c>
      <c r="H42" s="80" t="s">
        <v>402</v>
      </c>
      <c r="I42" s="80" t="s">
        <v>732</v>
      </c>
      <c r="J42" s="80">
        <v>9.14</v>
      </c>
      <c r="K42" s="80" t="s">
        <v>186</v>
      </c>
      <c r="L42" s="38">
        <v>2.4799999999999999E-2</v>
      </c>
      <c r="M42" s="38">
        <v>1.44E-2</v>
      </c>
      <c r="N42" s="88">
        <v>1192298.0317991907</v>
      </c>
      <c r="O42" s="80">
        <v>109.74999999999999</v>
      </c>
      <c r="P42" s="104">
        <v>0</v>
      </c>
      <c r="Q42" s="104">
        <v>1308.547089865843</v>
      </c>
      <c r="R42" s="38">
        <v>6.0894072933027172E-4</v>
      </c>
      <c r="S42" s="38">
        <v>8.1176467759619727E-3</v>
      </c>
      <c r="T42" s="38">
        <v>1.5852102796113036E-3</v>
      </c>
    </row>
    <row r="43" spans="1:20" x14ac:dyDescent="0.2">
      <c r="A43" s="30" t="s">
        <v>802</v>
      </c>
      <c r="B43" s="38" t="s">
        <v>803</v>
      </c>
      <c r="C43" s="38" t="s">
        <v>266</v>
      </c>
      <c r="D43" s="38" t="s">
        <v>180</v>
      </c>
      <c r="E43" s="38" t="s">
        <v>465</v>
      </c>
      <c r="F43" s="38" t="s">
        <v>390</v>
      </c>
      <c r="G43" s="80" t="s">
        <v>569</v>
      </c>
      <c r="H43" s="80" t="s">
        <v>185</v>
      </c>
      <c r="I43" s="80" t="s">
        <v>804</v>
      </c>
      <c r="J43" s="80">
        <v>0.74</v>
      </c>
      <c r="K43" s="80" t="s">
        <v>186</v>
      </c>
      <c r="L43" s="38">
        <v>4.0999999999999995E-2</v>
      </c>
      <c r="M43" s="38">
        <v>1.77E-2</v>
      </c>
      <c r="N43" s="88">
        <v>593502.60686993436</v>
      </c>
      <c r="O43" s="80">
        <v>124.56</v>
      </c>
      <c r="P43" s="104">
        <v>0</v>
      </c>
      <c r="Q43" s="104">
        <v>739.26684589186777</v>
      </c>
      <c r="R43" s="38">
        <v>7.6176860827595946E-4</v>
      </c>
      <c r="S43" s="38">
        <v>4.5860841956745727E-3</v>
      </c>
      <c r="T43" s="38">
        <v>8.9556838463013288E-4</v>
      </c>
    </row>
    <row r="44" spans="1:20" x14ac:dyDescent="0.2">
      <c r="A44" s="30" t="s">
        <v>819</v>
      </c>
      <c r="B44" s="38" t="s">
        <v>820</v>
      </c>
      <c r="C44" s="38" t="s">
        <v>266</v>
      </c>
      <c r="D44" s="38" t="s">
        <v>180</v>
      </c>
      <c r="E44" s="38" t="s">
        <v>465</v>
      </c>
      <c r="F44" s="38" t="s">
        <v>390</v>
      </c>
      <c r="G44" s="80" t="s">
        <v>569</v>
      </c>
      <c r="H44" s="80" t="s">
        <v>185</v>
      </c>
      <c r="I44" s="80" t="s">
        <v>821</v>
      </c>
      <c r="J44" s="80">
        <v>1.88</v>
      </c>
      <c r="K44" s="80" t="s">
        <v>186</v>
      </c>
      <c r="L44" s="38">
        <v>4.2000000000000003E-2</v>
      </c>
      <c r="M44" s="38">
        <v>0.01</v>
      </c>
      <c r="N44" s="88">
        <v>45644.805325053159</v>
      </c>
      <c r="O44" s="80">
        <v>108.4</v>
      </c>
      <c r="P44" s="104">
        <v>0</v>
      </c>
      <c r="Q44" s="104">
        <v>49.478968931835006</v>
      </c>
      <c r="R44" s="38">
        <v>4.574847136115754E-5</v>
      </c>
      <c r="S44" s="38">
        <v>3.0694561604856875E-4</v>
      </c>
      <c r="T44" s="38">
        <v>5.9940196866246956E-5</v>
      </c>
    </row>
    <row r="45" spans="1:20" x14ac:dyDescent="0.2">
      <c r="A45" s="30" t="s">
        <v>813</v>
      </c>
      <c r="B45" s="38" t="s">
        <v>814</v>
      </c>
      <c r="C45" s="38" t="s">
        <v>266</v>
      </c>
      <c r="D45" s="38" t="s">
        <v>180</v>
      </c>
      <c r="E45" s="38" t="s">
        <v>465</v>
      </c>
      <c r="F45" s="38" t="s">
        <v>390</v>
      </c>
      <c r="G45" s="80" t="s">
        <v>569</v>
      </c>
      <c r="H45" s="80" t="s">
        <v>185</v>
      </c>
      <c r="I45" s="80" t="s">
        <v>815</v>
      </c>
      <c r="J45" s="80">
        <v>1.41</v>
      </c>
      <c r="K45" s="80" t="s">
        <v>186</v>
      </c>
      <c r="L45" s="38">
        <v>0.04</v>
      </c>
      <c r="M45" s="38">
        <v>1.21E-2</v>
      </c>
      <c r="N45" s="88">
        <v>1412210.3257781321</v>
      </c>
      <c r="O45" s="80">
        <v>110.35999999999999</v>
      </c>
      <c r="P45" s="104">
        <v>0</v>
      </c>
      <c r="Q45" s="104">
        <v>1558.5153154841717</v>
      </c>
      <c r="R45" s="38">
        <v>6.4824931654339126E-4</v>
      </c>
      <c r="S45" s="38">
        <v>9.6683389722906493E-3</v>
      </c>
      <c r="T45" s="38">
        <v>1.8880287290925504E-3</v>
      </c>
    </row>
    <row r="46" spans="1:20" x14ac:dyDescent="0.2">
      <c r="A46" s="30" t="s">
        <v>472</v>
      </c>
      <c r="B46" s="38" t="s">
        <v>473</v>
      </c>
      <c r="C46" s="38" t="s">
        <v>266</v>
      </c>
      <c r="D46" s="38" t="s">
        <v>180</v>
      </c>
      <c r="E46" s="38" t="s">
        <v>442</v>
      </c>
      <c r="F46" s="38" t="s">
        <v>407</v>
      </c>
      <c r="G46" s="80" t="s">
        <v>396</v>
      </c>
      <c r="H46" s="80" t="s">
        <v>185</v>
      </c>
      <c r="I46" s="80" t="s">
        <v>474</v>
      </c>
      <c r="J46" s="80">
        <v>1.49</v>
      </c>
      <c r="K46" s="80" t="s">
        <v>186</v>
      </c>
      <c r="L46" s="38">
        <v>4.8000000000000001E-2</v>
      </c>
      <c r="M46" s="38">
        <v>9.5999999999999992E-3</v>
      </c>
      <c r="N46" s="88">
        <v>1298961.6914185379</v>
      </c>
      <c r="O46" s="80">
        <v>107.68000000000002</v>
      </c>
      <c r="P46" s="104">
        <v>504.70014403000005</v>
      </c>
      <c r="Q46" s="104">
        <v>1437.1888668444774</v>
      </c>
      <c r="R46" s="38">
        <v>1.5923963973004443E-3</v>
      </c>
      <c r="S46" s="38">
        <v>8.9156834031739844E-3</v>
      </c>
      <c r="T46" s="38">
        <v>1.7410505002906397E-3</v>
      </c>
    </row>
    <row r="47" spans="1:20" x14ac:dyDescent="0.2">
      <c r="A47" s="30" t="s">
        <v>440</v>
      </c>
      <c r="B47" s="38" t="s">
        <v>441</v>
      </c>
      <c r="C47" s="38" t="s">
        <v>266</v>
      </c>
      <c r="D47" s="38" t="s">
        <v>180</v>
      </c>
      <c r="E47" s="38" t="s">
        <v>442</v>
      </c>
      <c r="F47" s="38" t="s">
        <v>407</v>
      </c>
      <c r="G47" s="80" t="s">
        <v>396</v>
      </c>
      <c r="H47" s="80" t="s">
        <v>185</v>
      </c>
      <c r="I47" s="80" t="s">
        <v>443</v>
      </c>
      <c r="J47" s="80">
        <v>0.5</v>
      </c>
      <c r="K47" s="80" t="s">
        <v>186</v>
      </c>
      <c r="L47" s="38">
        <v>4.9000000000000002E-2</v>
      </c>
      <c r="M47" s="38">
        <v>1.1599999999999999E-2</v>
      </c>
      <c r="N47" s="88">
        <v>65.387093918100504</v>
      </c>
      <c r="O47" s="80">
        <v>112.86</v>
      </c>
      <c r="P47" s="104">
        <v>0</v>
      </c>
      <c r="Q47" s="104">
        <v>7.3795807320140863E-2</v>
      </c>
      <c r="R47" s="38">
        <v>6.6012985477830885E-7</v>
      </c>
      <c r="S47" s="38">
        <v>4.5779651493724163E-7</v>
      </c>
      <c r="T47" s="38">
        <v>8.9398290105169845E-8</v>
      </c>
    </row>
    <row r="48" spans="1:20" x14ac:dyDescent="0.2">
      <c r="A48" s="30" t="s">
        <v>529</v>
      </c>
      <c r="B48" s="38" t="s">
        <v>530</v>
      </c>
      <c r="C48" s="38" t="s">
        <v>266</v>
      </c>
      <c r="D48" s="38" t="s">
        <v>180</v>
      </c>
      <c r="E48" s="38" t="s">
        <v>442</v>
      </c>
      <c r="F48" s="38" t="s">
        <v>407</v>
      </c>
      <c r="G48" s="80" t="s">
        <v>396</v>
      </c>
      <c r="H48" s="80" t="s">
        <v>185</v>
      </c>
      <c r="I48" s="80" t="s">
        <v>531</v>
      </c>
      <c r="J48" s="80">
        <v>4.99</v>
      </c>
      <c r="K48" s="80" t="s">
        <v>186</v>
      </c>
      <c r="L48" s="38">
        <v>3.2000000000000001E-2</v>
      </c>
      <c r="M48" s="38">
        <v>1.26E-2</v>
      </c>
      <c r="N48" s="88">
        <v>1107536.4865998791</v>
      </c>
      <c r="O48" s="80">
        <v>109.51000000000002</v>
      </c>
      <c r="P48" s="104">
        <v>35.441167540000002</v>
      </c>
      <c r="Q48" s="104">
        <v>1248.3043739879661</v>
      </c>
      <c r="R48" s="38">
        <v>6.7139048517950791E-4</v>
      </c>
      <c r="S48" s="38">
        <v>7.7439276395941878E-3</v>
      </c>
      <c r="T48" s="38">
        <v>1.5122305808133764E-3</v>
      </c>
    </row>
    <row r="49" spans="1:20" x14ac:dyDescent="0.2">
      <c r="A49" s="30" t="s">
        <v>753</v>
      </c>
      <c r="B49" s="38" t="s">
        <v>754</v>
      </c>
      <c r="C49" s="38" t="s">
        <v>266</v>
      </c>
      <c r="D49" s="38" t="s">
        <v>180</v>
      </c>
      <c r="E49" s="38" t="s">
        <v>442</v>
      </c>
      <c r="F49" s="38" t="s">
        <v>407</v>
      </c>
      <c r="G49" s="80" t="s">
        <v>396</v>
      </c>
      <c r="H49" s="80" t="s">
        <v>185</v>
      </c>
      <c r="I49" s="80" t="s">
        <v>755</v>
      </c>
      <c r="J49" s="80">
        <v>7.3</v>
      </c>
      <c r="K49" s="80" t="s">
        <v>186</v>
      </c>
      <c r="L49" s="38">
        <v>1.1399999999999999E-2</v>
      </c>
      <c r="M49" s="38">
        <v>1.4999999999999999E-2</v>
      </c>
      <c r="N49" s="88">
        <v>416613.03646329552</v>
      </c>
      <c r="O49" s="80">
        <v>96.7</v>
      </c>
      <c r="P49" s="104">
        <v>0</v>
      </c>
      <c r="Q49" s="104">
        <v>402.86480626000673</v>
      </c>
      <c r="R49" s="38">
        <v>2.0136126612122743E-4</v>
      </c>
      <c r="S49" s="38">
        <v>2.4991948864601984E-3</v>
      </c>
      <c r="T49" s="38">
        <v>4.8804161281078019E-4</v>
      </c>
    </row>
    <row r="50" spans="1:20" x14ac:dyDescent="0.2">
      <c r="A50" s="30" t="s">
        <v>535</v>
      </c>
      <c r="B50" s="38" t="s">
        <v>536</v>
      </c>
      <c r="C50" s="38" t="s">
        <v>266</v>
      </c>
      <c r="D50" s="38" t="s">
        <v>180</v>
      </c>
      <c r="E50" s="38" t="s">
        <v>537</v>
      </c>
      <c r="F50" s="38" t="s">
        <v>407</v>
      </c>
      <c r="G50" s="80" t="s">
        <v>396</v>
      </c>
      <c r="H50" s="80" t="s">
        <v>185</v>
      </c>
      <c r="I50" s="80" t="s">
        <v>538</v>
      </c>
      <c r="J50" s="80">
        <v>4.2</v>
      </c>
      <c r="K50" s="80" t="s">
        <v>186</v>
      </c>
      <c r="L50" s="38">
        <v>2.3399999999999997E-2</v>
      </c>
      <c r="M50" s="38">
        <v>1.43E-2</v>
      </c>
      <c r="N50" s="88">
        <v>1913113.8407179415</v>
      </c>
      <c r="O50" s="80">
        <v>104.3</v>
      </c>
      <c r="P50" s="104">
        <v>0</v>
      </c>
      <c r="Q50" s="104">
        <v>1995.377735855508</v>
      </c>
      <c r="R50" s="38">
        <v>5.3974786978564122E-4</v>
      </c>
      <c r="S50" s="38">
        <v>1.2378440003985199E-2</v>
      </c>
      <c r="T50" s="38">
        <v>2.4172559956630768E-3</v>
      </c>
    </row>
    <row r="51" spans="1:20" x14ac:dyDescent="0.2">
      <c r="A51" s="30" t="s">
        <v>759</v>
      </c>
      <c r="B51" s="38" t="s">
        <v>760</v>
      </c>
      <c r="C51" s="38" t="s">
        <v>266</v>
      </c>
      <c r="D51" s="38" t="s">
        <v>180</v>
      </c>
      <c r="E51" s="38" t="s">
        <v>537</v>
      </c>
      <c r="F51" s="38" t="s">
        <v>407</v>
      </c>
      <c r="G51" s="80" t="s">
        <v>396</v>
      </c>
      <c r="H51" s="80" t="s">
        <v>185</v>
      </c>
      <c r="I51" s="80" t="s">
        <v>761</v>
      </c>
      <c r="J51" s="80">
        <v>7.79</v>
      </c>
      <c r="K51" s="80" t="s">
        <v>186</v>
      </c>
      <c r="L51" s="38">
        <v>6.5000000000000006E-3</v>
      </c>
      <c r="M51" s="38">
        <v>1.7899999999999999E-2</v>
      </c>
      <c r="N51" s="88">
        <v>162893.42123676647</v>
      </c>
      <c r="O51" s="80">
        <v>91.06</v>
      </c>
      <c r="P51" s="104">
        <v>0</v>
      </c>
      <c r="Q51" s="104">
        <v>148.33074935523675</v>
      </c>
      <c r="R51" s="38">
        <v>5.4297807078922155E-4</v>
      </c>
      <c r="S51" s="38">
        <v>9.2017829438832753E-4</v>
      </c>
      <c r="T51" s="38">
        <v>1.79691988527884E-4</v>
      </c>
    </row>
    <row r="52" spans="1:20" x14ac:dyDescent="0.2">
      <c r="A52" s="30" t="s">
        <v>699</v>
      </c>
      <c r="B52" s="38" t="s">
        <v>700</v>
      </c>
      <c r="C52" s="38" t="s">
        <v>266</v>
      </c>
      <c r="D52" s="38" t="s">
        <v>180</v>
      </c>
      <c r="E52" s="38" t="s">
        <v>548</v>
      </c>
      <c r="F52" s="38" t="s">
        <v>407</v>
      </c>
      <c r="G52" s="80" t="s">
        <v>396</v>
      </c>
      <c r="H52" s="80" t="s">
        <v>185</v>
      </c>
      <c r="I52" s="80" t="s">
        <v>701</v>
      </c>
      <c r="J52" s="80">
        <v>5.77</v>
      </c>
      <c r="K52" s="80" t="s">
        <v>186</v>
      </c>
      <c r="L52" s="38">
        <v>1.8200000000000001E-2</v>
      </c>
      <c r="M52" s="38">
        <v>1.26E-2</v>
      </c>
      <c r="N52" s="88">
        <v>367608.03756476811</v>
      </c>
      <c r="O52" s="80">
        <v>103.43</v>
      </c>
      <c r="P52" s="104">
        <v>0</v>
      </c>
      <c r="Q52" s="104">
        <v>380.21699320380202</v>
      </c>
      <c r="R52" s="38">
        <v>8.1808843343667101E-4</v>
      </c>
      <c r="S52" s="38">
        <v>2.3586978817577249E-3</v>
      </c>
      <c r="T52" s="38">
        <v>4.6060542320365528E-4</v>
      </c>
    </row>
    <row r="53" spans="1:20" x14ac:dyDescent="0.2">
      <c r="A53" s="30" t="s">
        <v>756</v>
      </c>
      <c r="B53" s="38" t="s">
        <v>757</v>
      </c>
      <c r="C53" s="38" t="s">
        <v>266</v>
      </c>
      <c r="D53" s="38" t="s">
        <v>180</v>
      </c>
      <c r="E53" s="38" t="s">
        <v>548</v>
      </c>
      <c r="F53" s="38" t="s">
        <v>407</v>
      </c>
      <c r="G53" s="80" t="s">
        <v>396</v>
      </c>
      <c r="H53" s="80" t="s">
        <v>185</v>
      </c>
      <c r="I53" s="80" t="s">
        <v>758</v>
      </c>
      <c r="J53" s="80">
        <v>6.86</v>
      </c>
      <c r="K53" s="80" t="s">
        <v>186</v>
      </c>
      <c r="L53" s="38">
        <v>7.8000000000000005E-3</v>
      </c>
      <c r="M53" s="38">
        <v>1.3999999999999999E-2</v>
      </c>
      <c r="N53" s="88">
        <v>388962.4251134271</v>
      </c>
      <c r="O53" s="80">
        <v>95.13</v>
      </c>
      <c r="P53" s="104">
        <v>0</v>
      </c>
      <c r="Q53" s="104">
        <v>370.01995500404792</v>
      </c>
      <c r="R53" s="38">
        <v>8.485218697936892E-4</v>
      </c>
      <c r="S53" s="38">
        <v>2.2954399715857019E-3</v>
      </c>
      <c r="T53" s="38">
        <v>4.4825244798325526E-4</v>
      </c>
    </row>
    <row r="54" spans="1:20" x14ac:dyDescent="0.2">
      <c r="A54" s="30" t="s">
        <v>410</v>
      </c>
      <c r="B54" s="38" t="s">
        <v>411</v>
      </c>
      <c r="C54" s="38" t="s">
        <v>266</v>
      </c>
      <c r="D54" s="38" t="s">
        <v>180</v>
      </c>
      <c r="E54" s="38" t="s">
        <v>412</v>
      </c>
      <c r="F54" s="38" t="s">
        <v>407</v>
      </c>
      <c r="G54" s="80" t="s">
        <v>413</v>
      </c>
      <c r="H54" s="80" t="s">
        <v>402</v>
      </c>
      <c r="I54" s="80" t="s">
        <v>414</v>
      </c>
      <c r="J54" s="80">
        <v>3.06</v>
      </c>
      <c r="K54" s="80" t="s">
        <v>186</v>
      </c>
      <c r="L54" s="38">
        <v>4.7500000000000001E-2</v>
      </c>
      <c r="M54" s="38">
        <v>1.3300000000000001E-2</v>
      </c>
      <c r="N54" s="88">
        <v>1043821.57877809</v>
      </c>
      <c r="O54" s="80">
        <v>135.75</v>
      </c>
      <c r="P54" s="104">
        <v>0</v>
      </c>
      <c r="Q54" s="104">
        <v>1416.9877931912572</v>
      </c>
      <c r="R54" s="38">
        <v>5.5307665913108142E-4</v>
      </c>
      <c r="S54" s="38">
        <v>8.7903648864144195E-3</v>
      </c>
      <c r="T54" s="38">
        <v>1.716578358735877E-3</v>
      </c>
    </row>
    <row r="55" spans="1:20" x14ac:dyDescent="0.2">
      <c r="A55" s="30" t="s">
        <v>392</v>
      </c>
      <c r="B55" s="38" t="s">
        <v>393</v>
      </c>
      <c r="C55" s="38" t="s">
        <v>266</v>
      </c>
      <c r="D55" s="38" t="s">
        <v>180</v>
      </c>
      <c r="E55" s="38" t="s">
        <v>394</v>
      </c>
      <c r="F55" s="38" t="s">
        <v>395</v>
      </c>
      <c r="G55" s="80" t="s">
        <v>396</v>
      </c>
      <c r="H55" s="80" t="s">
        <v>185</v>
      </c>
      <c r="I55" s="80" t="s">
        <v>397</v>
      </c>
      <c r="J55" s="80">
        <v>0.99</v>
      </c>
      <c r="K55" s="80" t="s">
        <v>186</v>
      </c>
      <c r="L55" s="38">
        <v>4.6500000000000007E-2</v>
      </c>
      <c r="M55" s="38">
        <v>1.55E-2</v>
      </c>
      <c r="N55" s="88">
        <v>22.512678161899395</v>
      </c>
      <c r="O55" s="80">
        <v>126.91</v>
      </c>
      <c r="P55" s="104">
        <v>0</v>
      </c>
      <c r="Q55" s="104">
        <v>2.8570809564609508E-2</v>
      </c>
      <c r="R55" s="38">
        <v>4.4433892339478753E-7</v>
      </c>
      <c r="S55" s="38">
        <v>1.7724065258710249E-7</v>
      </c>
      <c r="T55" s="38">
        <v>3.4611472043607787E-8</v>
      </c>
    </row>
    <row r="56" spans="1:20" x14ac:dyDescent="0.2">
      <c r="A56" s="30" t="s">
        <v>583</v>
      </c>
      <c r="B56" s="38" t="s">
        <v>584</v>
      </c>
      <c r="C56" s="38" t="s">
        <v>266</v>
      </c>
      <c r="D56" s="38" t="s">
        <v>180</v>
      </c>
      <c r="E56" s="38" t="s">
        <v>585</v>
      </c>
      <c r="F56" s="38" t="s">
        <v>424</v>
      </c>
      <c r="G56" s="80" t="s">
        <v>413</v>
      </c>
      <c r="H56" s="80" t="s">
        <v>402</v>
      </c>
      <c r="I56" s="80" t="s">
        <v>586</v>
      </c>
      <c r="J56" s="80">
        <v>6.8</v>
      </c>
      <c r="K56" s="80" t="s">
        <v>186</v>
      </c>
      <c r="L56" s="38">
        <v>3.85E-2</v>
      </c>
      <c r="M56" s="38">
        <v>5.8999999999999999E-3</v>
      </c>
      <c r="N56" s="88">
        <v>936906.60834976402</v>
      </c>
      <c r="O56" s="80">
        <v>125.9</v>
      </c>
      <c r="P56" s="104">
        <v>0</v>
      </c>
      <c r="Q56" s="104">
        <v>1179.5654199052615</v>
      </c>
      <c r="R56" s="38">
        <v>3.5143547004529391E-4</v>
      </c>
      <c r="S56" s="38">
        <v>7.3175016031802641E-3</v>
      </c>
      <c r="T56" s="38">
        <v>1.4289583031356931E-3</v>
      </c>
    </row>
    <row r="57" spans="1:20" x14ac:dyDescent="0.2">
      <c r="A57" s="30" t="s">
        <v>634</v>
      </c>
      <c r="B57" s="38" t="s">
        <v>635</v>
      </c>
      <c r="C57" s="38" t="s">
        <v>266</v>
      </c>
      <c r="D57" s="38" t="s">
        <v>180</v>
      </c>
      <c r="E57" s="38" t="s">
        <v>585</v>
      </c>
      <c r="F57" s="38" t="s">
        <v>424</v>
      </c>
      <c r="G57" s="80" t="s">
        <v>413</v>
      </c>
      <c r="H57" s="80" t="s">
        <v>402</v>
      </c>
      <c r="I57" s="80" t="s">
        <v>636</v>
      </c>
      <c r="J57" s="80">
        <v>4.67</v>
      </c>
      <c r="K57" s="80" t="s">
        <v>186</v>
      </c>
      <c r="L57" s="38">
        <v>4.4999999999999998E-2</v>
      </c>
      <c r="M57" s="38">
        <v>4.0000000000000001E-3</v>
      </c>
      <c r="N57" s="88">
        <v>1913485.927569198</v>
      </c>
      <c r="O57" s="80">
        <v>124.05</v>
      </c>
      <c r="P57" s="104">
        <v>0</v>
      </c>
      <c r="Q57" s="104">
        <v>2373.6792931158211</v>
      </c>
      <c r="R57" s="38">
        <v>6.4740938753229179E-4</v>
      </c>
      <c r="S57" s="38">
        <v>1.472525536922392E-2</v>
      </c>
      <c r="T57" s="38">
        <v>2.8755410065781175E-3</v>
      </c>
    </row>
    <row r="58" spans="1:20" x14ac:dyDescent="0.2">
      <c r="A58" s="30" t="s">
        <v>718</v>
      </c>
      <c r="B58" s="38" t="s">
        <v>719</v>
      </c>
      <c r="C58" s="38" t="s">
        <v>266</v>
      </c>
      <c r="D58" s="38" t="s">
        <v>180</v>
      </c>
      <c r="E58" s="38" t="s">
        <v>585</v>
      </c>
      <c r="F58" s="38" t="s">
        <v>424</v>
      </c>
      <c r="G58" s="80" t="s">
        <v>413</v>
      </c>
      <c r="H58" s="80" t="s">
        <v>402</v>
      </c>
      <c r="I58" s="80" t="s">
        <v>720</v>
      </c>
      <c r="J58" s="80">
        <v>9.39</v>
      </c>
      <c r="K58" s="80" t="s">
        <v>186</v>
      </c>
      <c r="L58" s="38">
        <v>2.3900000000000001E-2</v>
      </c>
      <c r="M58" s="38">
        <v>7.1999999999999998E-3</v>
      </c>
      <c r="N58" s="88">
        <v>1229484.6726206087</v>
      </c>
      <c r="O58" s="80">
        <v>116.99</v>
      </c>
      <c r="P58" s="104">
        <v>0</v>
      </c>
      <c r="Q58" s="104">
        <v>1438.3741184387413</v>
      </c>
      <c r="R58" s="38">
        <v>6.2389170821122188E-4</v>
      </c>
      <c r="S58" s="38">
        <v>8.9230361792852885E-3</v>
      </c>
      <c r="T58" s="38">
        <v>1.7424863469832838E-3</v>
      </c>
    </row>
    <row r="59" spans="1:20" x14ac:dyDescent="0.2">
      <c r="A59" s="30" t="s">
        <v>878</v>
      </c>
      <c r="B59" s="38" t="s">
        <v>879</v>
      </c>
      <c r="C59" s="38" t="s">
        <v>266</v>
      </c>
      <c r="D59" s="38" t="s">
        <v>180</v>
      </c>
      <c r="E59" s="38" t="s">
        <v>737</v>
      </c>
      <c r="F59" s="38" t="s">
        <v>390</v>
      </c>
      <c r="G59" s="80" t="s">
        <v>396</v>
      </c>
      <c r="H59" s="80" t="s">
        <v>185</v>
      </c>
      <c r="I59" s="80" t="s">
        <v>880</v>
      </c>
      <c r="J59" s="80">
        <v>3</v>
      </c>
      <c r="K59" s="80" t="s">
        <v>186</v>
      </c>
      <c r="L59" s="38">
        <v>1.6399999999999998E-2</v>
      </c>
      <c r="M59" s="38">
        <v>2.9600000000000001E-2</v>
      </c>
      <c r="N59" s="88">
        <v>7.300825023778855</v>
      </c>
      <c r="O59" s="80">
        <v>4820000</v>
      </c>
      <c r="P59" s="104">
        <v>0</v>
      </c>
      <c r="Q59" s="104">
        <v>351.89976614614079</v>
      </c>
      <c r="R59" s="38">
        <v>5.9472344605562518E-4</v>
      </c>
      <c r="S59" s="38">
        <v>2.1830303427680703E-3</v>
      </c>
      <c r="T59" s="38">
        <v>4.2630114805029102E-4</v>
      </c>
    </row>
    <row r="60" spans="1:20" x14ac:dyDescent="0.2">
      <c r="A60" s="30" t="s">
        <v>890</v>
      </c>
      <c r="B60" s="38" t="s">
        <v>891</v>
      </c>
      <c r="C60" s="38" t="s">
        <v>266</v>
      </c>
      <c r="D60" s="38" t="s">
        <v>180</v>
      </c>
      <c r="E60" s="38" t="s">
        <v>737</v>
      </c>
      <c r="F60" s="38" t="s">
        <v>390</v>
      </c>
      <c r="G60" s="80" t="s">
        <v>396</v>
      </c>
      <c r="H60" s="80" t="s">
        <v>185</v>
      </c>
      <c r="I60" s="80" t="s">
        <v>892</v>
      </c>
      <c r="J60" s="80">
        <v>4.43</v>
      </c>
      <c r="K60" s="80" t="s">
        <v>186</v>
      </c>
      <c r="L60" s="38">
        <v>2.4199999999999999E-2</v>
      </c>
      <c r="M60" s="38">
        <v>2.8199999999999999E-2</v>
      </c>
      <c r="N60" s="88">
        <v>32.803059334406939</v>
      </c>
      <c r="O60" s="80">
        <v>4949000</v>
      </c>
      <c r="P60" s="104">
        <v>0</v>
      </c>
      <c r="Q60" s="104">
        <v>1623.4234064597993</v>
      </c>
      <c r="R60" s="38">
        <v>1.1380862274713575E-3</v>
      </c>
      <c r="S60" s="38">
        <v>1.0071000030133182E-2</v>
      </c>
      <c r="T60" s="38">
        <v>1.9666601928292199E-3</v>
      </c>
    </row>
    <row r="61" spans="1:20" x14ac:dyDescent="0.2">
      <c r="A61" s="30" t="s">
        <v>896</v>
      </c>
      <c r="B61" s="38" t="s">
        <v>897</v>
      </c>
      <c r="C61" s="38" t="s">
        <v>266</v>
      </c>
      <c r="D61" s="38" t="s">
        <v>180</v>
      </c>
      <c r="E61" s="38" t="s">
        <v>737</v>
      </c>
      <c r="F61" s="38" t="s">
        <v>390</v>
      </c>
      <c r="G61" s="80" t="s">
        <v>396</v>
      </c>
      <c r="H61" s="80" t="s">
        <v>185</v>
      </c>
      <c r="I61" s="80" t="s">
        <v>898</v>
      </c>
      <c r="J61" s="80">
        <v>4.04</v>
      </c>
      <c r="K61" s="80" t="s">
        <v>186</v>
      </c>
      <c r="L61" s="38">
        <v>1.95E-2</v>
      </c>
      <c r="M61" s="38">
        <v>3.1200000000000002E-2</v>
      </c>
      <c r="N61" s="88">
        <v>15.918635135103386</v>
      </c>
      <c r="O61" s="80">
        <v>4788000</v>
      </c>
      <c r="P61" s="104">
        <v>0</v>
      </c>
      <c r="Q61" s="104">
        <v>762.18425026875013</v>
      </c>
      <c r="R61" s="38">
        <v>6.4138906221456891E-4</v>
      </c>
      <c r="S61" s="38">
        <v>4.7282536255668422E-3</v>
      </c>
      <c r="T61" s="38">
        <v>9.233311646489762E-4</v>
      </c>
    </row>
    <row r="62" spans="1:20" x14ac:dyDescent="0.2">
      <c r="A62" s="30" t="s">
        <v>867</v>
      </c>
      <c r="B62" s="38" t="s">
        <v>868</v>
      </c>
      <c r="C62" s="38" t="s">
        <v>266</v>
      </c>
      <c r="D62" s="38" t="s">
        <v>180</v>
      </c>
      <c r="E62" s="38" t="s">
        <v>737</v>
      </c>
      <c r="F62" s="38" t="s">
        <v>390</v>
      </c>
      <c r="G62" s="80" t="s">
        <v>396</v>
      </c>
      <c r="H62" s="80" t="s">
        <v>185</v>
      </c>
      <c r="I62" s="80" t="s">
        <v>869</v>
      </c>
      <c r="J62" s="80">
        <v>0.11</v>
      </c>
      <c r="K62" s="80" t="s">
        <v>186</v>
      </c>
      <c r="L62" s="38">
        <v>0.05</v>
      </c>
      <c r="M62" s="38">
        <v>3.0800000000000001E-2</v>
      </c>
      <c r="N62" s="88">
        <v>124260.08918110387</v>
      </c>
      <c r="O62" s="80">
        <v>111.1</v>
      </c>
      <c r="P62" s="104">
        <v>0</v>
      </c>
      <c r="Q62" s="104">
        <v>138.05295903293003</v>
      </c>
      <c r="R62" s="38">
        <v>1.2426021344131731E-4</v>
      </c>
      <c r="S62" s="38">
        <v>8.5641943380162914E-4</v>
      </c>
      <c r="T62" s="38">
        <v>1.672411879439474E-4</v>
      </c>
    </row>
    <row r="63" spans="1:20" x14ac:dyDescent="0.2">
      <c r="A63" s="30" t="s">
        <v>852</v>
      </c>
      <c r="B63" s="38" t="s">
        <v>853</v>
      </c>
      <c r="C63" s="38" t="s">
        <v>266</v>
      </c>
      <c r="D63" s="38" t="s">
        <v>180</v>
      </c>
      <c r="E63" s="38" t="s">
        <v>737</v>
      </c>
      <c r="F63" s="38" t="s">
        <v>390</v>
      </c>
      <c r="G63" s="80" t="s">
        <v>396</v>
      </c>
      <c r="H63" s="80" t="s">
        <v>185</v>
      </c>
      <c r="I63" s="80" t="s">
        <v>854</v>
      </c>
      <c r="J63" s="80">
        <v>0.59</v>
      </c>
      <c r="K63" s="80" t="s">
        <v>186</v>
      </c>
      <c r="L63" s="38">
        <v>0.04</v>
      </c>
      <c r="M63" s="38">
        <v>2.5699999999999997E-2</v>
      </c>
      <c r="N63" s="88">
        <v>205591.98909181668</v>
      </c>
      <c r="O63" s="80">
        <v>109.80000000000001</v>
      </c>
      <c r="P63" s="104">
        <v>0</v>
      </c>
      <c r="Q63" s="104">
        <v>225.74000398229211</v>
      </c>
      <c r="R63" s="38">
        <v>1.5229058790592036E-4</v>
      </c>
      <c r="S63" s="38">
        <v>1.4003910365353138E-3</v>
      </c>
      <c r="T63" s="38">
        <v>2.7346770903667952E-4</v>
      </c>
    </row>
    <row r="64" spans="1:20" x14ac:dyDescent="0.2">
      <c r="A64" s="30" t="s">
        <v>611</v>
      </c>
      <c r="B64" s="38" t="s">
        <v>612</v>
      </c>
      <c r="C64" s="38" t="s">
        <v>266</v>
      </c>
      <c r="D64" s="38" t="s">
        <v>180</v>
      </c>
      <c r="E64" s="38" t="s">
        <v>613</v>
      </c>
      <c r="F64" s="38" t="s">
        <v>407</v>
      </c>
      <c r="G64" s="80" t="s">
        <v>396</v>
      </c>
      <c r="H64" s="80" t="s">
        <v>185</v>
      </c>
      <c r="I64" s="80" t="s">
        <v>614</v>
      </c>
      <c r="J64" s="80">
        <v>3.35</v>
      </c>
      <c r="K64" s="80" t="s">
        <v>186</v>
      </c>
      <c r="L64" s="38">
        <v>2.8500000000000001E-2</v>
      </c>
      <c r="M64" s="38">
        <v>1.3899999999999999E-2</v>
      </c>
      <c r="N64" s="88">
        <v>924395.51375278609</v>
      </c>
      <c r="O64" s="80">
        <v>107.5</v>
      </c>
      <c r="P64" s="104">
        <v>0</v>
      </c>
      <c r="Q64" s="104">
        <v>993.72517725047624</v>
      </c>
      <c r="R64" s="38">
        <v>1.3534341343379005E-3</v>
      </c>
      <c r="S64" s="38">
        <v>6.1646310199861406E-3</v>
      </c>
      <c r="T64" s="38">
        <v>1.2038262728837077E-3</v>
      </c>
    </row>
    <row r="65" spans="1:20" x14ac:dyDescent="0.2">
      <c r="A65" s="30" t="s">
        <v>688</v>
      </c>
      <c r="B65" s="38" t="s">
        <v>689</v>
      </c>
      <c r="C65" s="38" t="s">
        <v>266</v>
      </c>
      <c r="D65" s="38" t="s">
        <v>180</v>
      </c>
      <c r="E65" s="38" t="s">
        <v>613</v>
      </c>
      <c r="F65" s="38" t="s">
        <v>407</v>
      </c>
      <c r="G65" s="80" t="s">
        <v>396</v>
      </c>
      <c r="H65" s="80" t="s">
        <v>185</v>
      </c>
      <c r="I65" s="80" t="s">
        <v>690</v>
      </c>
      <c r="J65" s="80">
        <v>5.4</v>
      </c>
      <c r="K65" s="80" t="s">
        <v>186</v>
      </c>
      <c r="L65" s="38">
        <v>2.6000000000000002E-2</v>
      </c>
      <c r="M65" s="38">
        <v>1.29E-2</v>
      </c>
      <c r="N65" s="88">
        <v>149106.65382107213</v>
      </c>
      <c r="O65" s="80">
        <v>108.80000000000001</v>
      </c>
      <c r="P65" s="104">
        <v>0</v>
      </c>
      <c r="Q65" s="104">
        <v>162.22803930761876</v>
      </c>
      <c r="R65" s="38">
        <v>4.0828653302289243E-4</v>
      </c>
      <c r="S65" s="38">
        <v>1.0063909281179464E-3</v>
      </c>
      <c r="T65" s="38">
        <v>1.9652755146778054E-4</v>
      </c>
    </row>
    <row r="66" spans="1:20" x14ac:dyDescent="0.2">
      <c r="A66" s="30" t="s">
        <v>765</v>
      </c>
      <c r="B66" s="38" t="s">
        <v>766</v>
      </c>
      <c r="C66" s="38" t="s">
        <v>266</v>
      </c>
      <c r="D66" s="38" t="s">
        <v>180</v>
      </c>
      <c r="E66" s="38" t="s">
        <v>613</v>
      </c>
      <c r="F66" s="38" t="s">
        <v>407</v>
      </c>
      <c r="G66" s="80" t="s">
        <v>396</v>
      </c>
      <c r="H66" s="80" t="s">
        <v>185</v>
      </c>
      <c r="I66" s="80" t="s">
        <v>764</v>
      </c>
      <c r="J66" s="80">
        <v>4.83</v>
      </c>
      <c r="K66" s="80" t="s">
        <v>186</v>
      </c>
      <c r="L66" s="38">
        <v>2.4E-2</v>
      </c>
      <c r="M66" s="38">
        <v>1.18E-2</v>
      </c>
      <c r="N66" s="88">
        <v>145195.9734482416</v>
      </c>
      <c r="O66" s="80">
        <v>107.18</v>
      </c>
      <c r="P66" s="104">
        <v>0</v>
      </c>
      <c r="Q66" s="104">
        <v>155.62104430655717</v>
      </c>
      <c r="R66" s="38">
        <v>2.9568456458770335E-4</v>
      </c>
      <c r="S66" s="38">
        <v>9.6540405643061322E-4</v>
      </c>
      <c r="T66" s="38">
        <v>1.8852365426443488E-4</v>
      </c>
    </row>
    <row r="67" spans="1:20" x14ac:dyDescent="0.2">
      <c r="A67" s="30" t="s">
        <v>779</v>
      </c>
      <c r="B67" s="38" t="s">
        <v>780</v>
      </c>
      <c r="C67" s="38" t="s">
        <v>266</v>
      </c>
      <c r="D67" s="38" t="s">
        <v>180</v>
      </c>
      <c r="E67" s="38" t="s">
        <v>470</v>
      </c>
      <c r="F67" s="38" t="s">
        <v>407</v>
      </c>
      <c r="G67" s="80" t="s">
        <v>396</v>
      </c>
      <c r="H67" s="80" t="s">
        <v>185</v>
      </c>
      <c r="I67" s="80" t="s">
        <v>781</v>
      </c>
      <c r="J67" s="80">
        <v>7.2</v>
      </c>
      <c r="K67" s="80" t="s">
        <v>186</v>
      </c>
      <c r="L67" s="38">
        <v>6.5000000000000006E-3</v>
      </c>
      <c r="M67" s="38">
        <v>1.5100000000000001E-2</v>
      </c>
      <c r="N67" s="88">
        <v>65774.962910806906</v>
      </c>
      <c r="O67" s="80">
        <v>93.74</v>
      </c>
      <c r="P67" s="104">
        <v>0.79831063710000005</v>
      </c>
      <c r="Q67" s="104">
        <v>61.839186340298873</v>
      </c>
      <c r="R67" s="38">
        <v>1.6609839118890632E-4</v>
      </c>
      <c r="S67" s="38">
        <v>3.83622932266736E-4</v>
      </c>
      <c r="T67" s="38">
        <v>7.4913707445935999E-5</v>
      </c>
    </row>
    <row r="68" spans="1:20" x14ac:dyDescent="0.2">
      <c r="A68" s="30" t="s">
        <v>501</v>
      </c>
      <c r="B68" s="38" t="s">
        <v>502</v>
      </c>
      <c r="C68" s="38" t="s">
        <v>266</v>
      </c>
      <c r="D68" s="38" t="s">
        <v>180</v>
      </c>
      <c r="E68" s="38" t="s">
        <v>470</v>
      </c>
      <c r="F68" s="38" t="s">
        <v>407</v>
      </c>
      <c r="G68" s="80" t="s">
        <v>396</v>
      </c>
      <c r="H68" s="80" t="s">
        <v>185</v>
      </c>
      <c r="I68" s="80" t="s">
        <v>503</v>
      </c>
      <c r="J68" s="80">
        <v>1.47</v>
      </c>
      <c r="K68" s="80" t="s">
        <v>186</v>
      </c>
      <c r="L68" s="38">
        <v>2.5499999999999998E-2</v>
      </c>
      <c r="M68" s="38">
        <v>1.8200000000000001E-2</v>
      </c>
      <c r="N68" s="88">
        <v>69460.509613173403</v>
      </c>
      <c r="O68" s="80">
        <v>102.15</v>
      </c>
      <c r="P68" s="104">
        <v>1.7021878946</v>
      </c>
      <c r="Q68" s="104">
        <v>71.840536292327101</v>
      </c>
      <c r="R68" s="38">
        <v>6.3769590044107411E-5</v>
      </c>
      <c r="S68" s="38">
        <v>4.4566687919238545E-4</v>
      </c>
      <c r="T68" s="38">
        <v>8.702962048928747E-5</v>
      </c>
    </row>
    <row r="69" spans="1:20" x14ac:dyDescent="0.2">
      <c r="A69" s="30" t="s">
        <v>641</v>
      </c>
      <c r="B69" s="38" t="s">
        <v>642</v>
      </c>
      <c r="C69" s="38" t="s">
        <v>266</v>
      </c>
      <c r="D69" s="38" t="s">
        <v>180</v>
      </c>
      <c r="E69" s="38" t="s">
        <v>470</v>
      </c>
      <c r="F69" s="38" t="s">
        <v>407</v>
      </c>
      <c r="G69" s="80" t="s">
        <v>396</v>
      </c>
      <c r="H69" s="80" t="s">
        <v>185</v>
      </c>
      <c r="I69" s="80" t="s">
        <v>643</v>
      </c>
      <c r="J69" s="80">
        <v>5.84</v>
      </c>
      <c r="K69" s="80" t="s">
        <v>186</v>
      </c>
      <c r="L69" s="38">
        <v>2.35E-2</v>
      </c>
      <c r="M69" s="38">
        <v>1.34E-2</v>
      </c>
      <c r="N69" s="88">
        <v>489653.44315450935</v>
      </c>
      <c r="O69" s="80">
        <v>107.81</v>
      </c>
      <c r="P69" s="104">
        <v>0</v>
      </c>
      <c r="Q69" s="104">
        <v>527.89537703511951</v>
      </c>
      <c r="R69" s="38">
        <v>6.2387406116167713E-4</v>
      </c>
      <c r="S69" s="38">
        <v>3.274829189275648E-3</v>
      </c>
      <c r="T69" s="38">
        <v>6.3950711802137033E-4</v>
      </c>
    </row>
    <row r="70" spans="1:20" x14ac:dyDescent="0.2">
      <c r="A70" s="30" t="s">
        <v>553</v>
      </c>
      <c r="B70" s="38" t="s">
        <v>554</v>
      </c>
      <c r="C70" s="38" t="s">
        <v>266</v>
      </c>
      <c r="D70" s="38" t="s">
        <v>180</v>
      </c>
      <c r="E70" s="38" t="s">
        <v>470</v>
      </c>
      <c r="F70" s="38" t="s">
        <v>407</v>
      </c>
      <c r="G70" s="80" t="s">
        <v>396</v>
      </c>
      <c r="H70" s="80" t="s">
        <v>185</v>
      </c>
      <c r="I70" s="80" t="s">
        <v>555</v>
      </c>
      <c r="J70" s="80">
        <v>4.5999999999999996</v>
      </c>
      <c r="K70" s="80" t="s">
        <v>186</v>
      </c>
      <c r="L70" s="38">
        <v>1.7600000000000001E-2</v>
      </c>
      <c r="M70" s="38">
        <v>1.3300000000000001E-2</v>
      </c>
      <c r="N70" s="88">
        <v>1679157.8233759401</v>
      </c>
      <c r="O70" s="80">
        <v>103.49999999999999</v>
      </c>
      <c r="P70" s="104">
        <v>33.731124620000003</v>
      </c>
      <c r="Q70" s="104">
        <v>1752.5613597313727</v>
      </c>
      <c r="R70" s="38">
        <v>1.1734233990670158E-3</v>
      </c>
      <c r="S70" s="38">
        <v>1.0872114715380613E-2</v>
      </c>
      <c r="T70" s="38">
        <v>2.1231014952473471E-3</v>
      </c>
    </row>
    <row r="71" spans="1:20" x14ac:dyDescent="0.2">
      <c r="A71" s="30" t="s">
        <v>595</v>
      </c>
      <c r="B71" s="38" t="s">
        <v>596</v>
      </c>
      <c r="C71" s="38" t="s">
        <v>266</v>
      </c>
      <c r="D71" s="38" t="s">
        <v>180</v>
      </c>
      <c r="E71" s="38" t="s">
        <v>470</v>
      </c>
      <c r="F71" s="38" t="s">
        <v>407</v>
      </c>
      <c r="G71" s="80" t="s">
        <v>396</v>
      </c>
      <c r="H71" s="80" t="s">
        <v>185</v>
      </c>
      <c r="I71" s="80" t="s">
        <v>597</v>
      </c>
      <c r="J71" s="80">
        <v>5.17</v>
      </c>
      <c r="K71" s="80" t="s">
        <v>186</v>
      </c>
      <c r="L71" s="38">
        <v>2.1499999999999998E-2</v>
      </c>
      <c r="M71" s="38">
        <v>1.3899999999999999E-2</v>
      </c>
      <c r="N71" s="88">
        <v>90561.703334329184</v>
      </c>
      <c r="O71" s="80">
        <v>106.17000000000002</v>
      </c>
      <c r="P71" s="104">
        <v>0</v>
      </c>
      <c r="Q71" s="104">
        <v>96.149360387380227</v>
      </c>
      <c r="R71" s="38">
        <v>6.9316271838420221E-5</v>
      </c>
      <c r="S71" s="38">
        <v>5.9646806095410999E-4</v>
      </c>
      <c r="T71" s="38">
        <v>1.1647800499082792E-4</v>
      </c>
    </row>
    <row r="72" spans="1:20" x14ac:dyDescent="0.2">
      <c r="A72" s="30" t="s">
        <v>849</v>
      </c>
      <c r="B72" s="38" t="s">
        <v>850</v>
      </c>
      <c r="C72" s="38" t="s">
        <v>266</v>
      </c>
      <c r="D72" s="38" t="s">
        <v>180</v>
      </c>
      <c r="E72" s="38" t="s">
        <v>465</v>
      </c>
      <c r="F72" s="38" t="s">
        <v>390</v>
      </c>
      <c r="G72" s="80" t="s">
        <v>396</v>
      </c>
      <c r="H72" s="80" t="s">
        <v>185</v>
      </c>
      <c r="I72" s="80" t="s">
        <v>851</v>
      </c>
      <c r="J72" s="80">
        <v>0.99</v>
      </c>
      <c r="K72" s="80" t="s">
        <v>186</v>
      </c>
      <c r="L72" s="38">
        <v>6.5000000000000002E-2</v>
      </c>
      <c r="M72" s="38">
        <v>1.6799999999999999E-2</v>
      </c>
      <c r="N72" s="88">
        <v>1603379.129809293</v>
      </c>
      <c r="O72" s="80">
        <v>113.55</v>
      </c>
      <c r="P72" s="104">
        <v>635.44955881999999</v>
      </c>
      <c r="Q72" s="104">
        <v>1835.9775978424491</v>
      </c>
      <c r="R72" s="38">
        <v>1.5438557705747822E-3</v>
      </c>
      <c r="S72" s="38">
        <v>1.1389592123423053E-2</v>
      </c>
      <c r="T72" s="38">
        <v>2.2241542423469866E-3</v>
      </c>
    </row>
    <row r="73" spans="1:20" x14ac:dyDescent="0.2">
      <c r="A73" s="30" t="s">
        <v>514</v>
      </c>
      <c r="B73" s="38" t="s">
        <v>515</v>
      </c>
      <c r="C73" s="38" t="s">
        <v>266</v>
      </c>
      <c r="D73" s="38" t="s">
        <v>180</v>
      </c>
      <c r="E73" s="38" t="s">
        <v>516</v>
      </c>
      <c r="F73" s="38" t="s">
        <v>407</v>
      </c>
      <c r="G73" s="80" t="s">
        <v>396</v>
      </c>
      <c r="H73" s="80" t="s">
        <v>185</v>
      </c>
      <c r="I73" s="80" t="s">
        <v>517</v>
      </c>
      <c r="J73" s="80">
        <v>2.61</v>
      </c>
      <c r="K73" s="80" t="s">
        <v>186</v>
      </c>
      <c r="L73" s="38">
        <v>0.04</v>
      </c>
      <c r="M73" s="38">
        <v>9.1000000000000004E-3</v>
      </c>
      <c r="N73" s="88">
        <v>310552.80637628626</v>
      </c>
      <c r="O73" s="80">
        <v>109.1</v>
      </c>
      <c r="P73" s="104">
        <v>0</v>
      </c>
      <c r="Q73" s="104">
        <v>338.81311171755908</v>
      </c>
      <c r="R73" s="38">
        <v>9.8442127197220005E-4</v>
      </c>
      <c r="S73" s="38">
        <v>2.1018465329128238E-3</v>
      </c>
      <c r="T73" s="38">
        <v>4.1044761149316538E-4</v>
      </c>
    </row>
    <row r="74" spans="1:20" x14ac:dyDescent="0.2">
      <c r="A74" s="30" t="s">
        <v>580</v>
      </c>
      <c r="B74" s="38" t="s">
        <v>581</v>
      </c>
      <c r="C74" s="38" t="s">
        <v>266</v>
      </c>
      <c r="D74" s="38" t="s">
        <v>180</v>
      </c>
      <c r="E74" s="38" t="s">
        <v>516</v>
      </c>
      <c r="F74" s="38" t="s">
        <v>407</v>
      </c>
      <c r="G74" s="80" t="s">
        <v>396</v>
      </c>
      <c r="H74" s="80" t="s">
        <v>185</v>
      </c>
      <c r="I74" s="80" t="s">
        <v>582</v>
      </c>
      <c r="J74" s="80">
        <v>5.37</v>
      </c>
      <c r="K74" s="80" t="s">
        <v>186</v>
      </c>
      <c r="L74" s="38">
        <v>0.04</v>
      </c>
      <c r="M74" s="38">
        <v>1.23E-2</v>
      </c>
      <c r="N74" s="88">
        <v>1263323.5679440619</v>
      </c>
      <c r="O74" s="80">
        <v>117.53</v>
      </c>
      <c r="P74" s="104">
        <v>0</v>
      </c>
      <c r="Q74" s="104">
        <v>1484.7841893539419</v>
      </c>
      <c r="R74" s="38">
        <v>1.2555367566014284E-3</v>
      </c>
      <c r="S74" s="38">
        <v>9.2109437108175065E-3</v>
      </c>
      <c r="T74" s="38">
        <v>1.7987087955768672E-3</v>
      </c>
    </row>
    <row r="75" spans="1:20" x14ac:dyDescent="0.2">
      <c r="A75" s="30" t="s">
        <v>601</v>
      </c>
      <c r="B75" s="38" t="s">
        <v>602</v>
      </c>
      <c r="C75" s="38" t="s">
        <v>266</v>
      </c>
      <c r="D75" s="38" t="s">
        <v>180</v>
      </c>
      <c r="E75" s="38" t="s">
        <v>516</v>
      </c>
      <c r="F75" s="38" t="s">
        <v>407</v>
      </c>
      <c r="G75" s="80" t="s">
        <v>396</v>
      </c>
      <c r="H75" s="80" t="s">
        <v>185</v>
      </c>
      <c r="I75" s="80" t="s">
        <v>603</v>
      </c>
      <c r="J75" s="80">
        <v>6.81</v>
      </c>
      <c r="K75" s="80" t="s">
        <v>186</v>
      </c>
      <c r="L75" s="38">
        <v>3.5000000000000003E-2</v>
      </c>
      <c r="M75" s="38">
        <v>1.3100000000000001E-2</v>
      </c>
      <c r="N75" s="88">
        <v>684549.2268467301</v>
      </c>
      <c r="O75" s="80">
        <v>118.6</v>
      </c>
      <c r="P75" s="104">
        <v>0</v>
      </c>
      <c r="Q75" s="104">
        <v>811.87538299929395</v>
      </c>
      <c r="R75" s="38">
        <v>8.7626529542191045E-4</v>
      </c>
      <c r="S75" s="38">
        <v>5.0365154118854017E-3</v>
      </c>
      <c r="T75" s="38">
        <v>9.8352838263221563E-4</v>
      </c>
    </row>
    <row r="76" spans="1:20" x14ac:dyDescent="0.2">
      <c r="A76" s="30" t="s">
        <v>496</v>
      </c>
      <c r="B76" s="38" t="s">
        <v>497</v>
      </c>
      <c r="C76" s="38" t="s">
        <v>266</v>
      </c>
      <c r="D76" s="38" t="s">
        <v>180</v>
      </c>
      <c r="E76" s="38" t="s">
        <v>498</v>
      </c>
      <c r="F76" s="38" t="s">
        <v>499</v>
      </c>
      <c r="G76" s="80" t="s">
        <v>396</v>
      </c>
      <c r="H76" s="80" t="s">
        <v>185</v>
      </c>
      <c r="I76" s="80" t="s">
        <v>500</v>
      </c>
      <c r="J76" s="80">
        <v>4.51</v>
      </c>
      <c r="K76" s="80" t="s">
        <v>186</v>
      </c>
      <c r="L76" s="38">
        <v>2.9900000000000003E-2</v>
      </c>
      <c r="M76" s="38">
        <v>6.3E-3</v>
      </c>
      <c r="N76" s="88">
        <v>32538.91670072516</v>
      </c>
      <c r="O76" s="80">
        <v>112.82</v>
      </c>
      <c r="P76" s="104">
        <v>0</v>
      </c>
      <c r="Q76" s="104">
        <v>36.710405776372788</v>
      </c>
      <c r="R76" s="38">
        <v>1.1020988193031306E-4</v>
      </c>
      <c r="S76" s="38">
        <v>2.2773510361433048E-4</v>
      </c>
      <c r="T76" s="38">
        <v>4.4472004909945243E-5</v>
      </c>
    </row>
    <row r="77" spans="1:20" x14ac:dyDescent="0.2">
      <c r="A77" s="30" t="s">
        <v>706</v>
      </c>
      <c r="B77" s="38" t="s">
        <v>707</v>
      </c>
      <c r="C77" s="38" t="s">
        <v>266</v>
      </c>
      <c r="D77" s="38" t="s">
        <v>180</v>
      </c>
      <c r="E77" s="38" t="s">
        <v>708</v>
      </c>
      <c r="F77" s="38" t="s">
        <v>390</v>
      </c>
      <c r="G77" s="80" t="s">
        <v>401</v>
      </c>
      <c r="H77" s="80" t="s">
        <v>402</v>
      </c>
      <c r="I77" s="80" t="s">
        <v>590</v>
      </c>
      <c r="J77" s="80">
        <v>2.64</v>
      </c>
      <c r="K77" s="80" t="s">
        <v>186</v>
      </c>
      <c r="L77" s="38">
        <v>9.4999999999999998E-3</v>
      </c>
      <c r="M77" s="38">
        <v>5.4000000000000003E-3</v>
      </c>
      <c r="N77" s="88">
        <v>1495.4776298277689</v>
      </c>
      <c r="O77" s="80">
        <v>102.09000000000002</v>
      </c>
      <c r="P77" s="104">
        <v>0</v>
      </c>
      <c r="Q77" s="104">
        <v>1.5267330628400675</v>
      </c>
      <c r="R77" s="38">
        <v>1.8609914763358812E-6</v>
      </c>
      <c r="S77" s="38">
        <v>9.4711759487301657E-6</v>
      </c>
      <c r="T77" s="38">
        <v>1.8495268257290248E-6</v>
      </c>
    </row>
    <row r="78" spans="1:20" x14ac:dyDescent="0.2">
      <c r="A78" s="30" t="s">
        <v>431</v>
      </c>
      <c r="B78" s="38" t="s">
        <v>432</v>
      </c>
      <c r="C78" s="38" t="s">
        <v>266</v>
      </c>
      <c r="D78" s="38" t="s">
        <v>180</v>
      </c>
      <c r="E78" s="38" t="s">
        <v>433</v>
      </c>
      <c r="F78" s="38" t="s">
        <v>434</v>
      </c>
      <c r="G78" s="80" t="s">
        <v>435</v>
      </c>
      <c r="H78" s="80" t="s">
        <v>185</v>
      </c>
      <c r="I78" s="80" t="s">
        <v>436</v>
      </c>
      <c r="J78" s="80">
        <v>7.14</v>
      </c>
      <c r="K78" s="80" t="s">
        <v>186</v>
      </c>
      <c r="L78" s="38">
        <v>5.1500000000000004E-2</v>
      </c>
      <c r="M78" s="38">
        <v>2.2099999999999998E-2</v>
      </c>
      <c r="N78" s="88">
        <v>1312822.4286186593</v>
      </c>
      <c r="O78" s="80">
        <v>147.38</v>
      </c>
      <c r="P78" s="104">
        <v>0</v>
      </c>
      <c r="Q78" s="104">
        <v>1934.8376952630606</v>
      </c>
      <c r="R78" s="38">
        <v>3.4570514999146003E-4</v>
      </c>
      <c r="S78" s="38">
        <v>1.2002876396731085E-2</v>
      </c>
      <c r="T78" s="38">
        <v>2.3439161094499852E-3</v>
      </c>
    </row>
    <row r="79" spans="1:20" x14ac:dyDescent="0.2">
      <c r="A79" s="30" t="s">
        <v>577</v>
      </c>
      <c r="B79" s="38" t="s">
        <v>578</v>
      </c>
      <c r="C79" s="38" t="s">
        <v>266</v>
      </c>
      <c r="D79" s="38" t="s">
        <v>180</v>
      </c>
      <c r="E79" s="38" t="s">
        <v>460</v>
      </c>
      <c r="F79" s="38" t="s">
        <v>461</v>
      </c>
      <c r="G79" s="80" t="s">
        <v>401</v>
      </c>
      <c r="H79" s="80" t="s">
        <v>402</v>
      </c>
      <c r="I79" s="80" t="s">
        <v>579</v>
      </c>
      <c r="J79" s="80">
        <v>4.05</v>
      </c>
      <c r="K79" s="80" t="s">
        <v>186</v>
      </c>
      <c r="L79" s="38">
        <v>2.2000000000000002E-2</v>
      </c>
      <c r="M79" s="38">
        <v>9.5999999999999992E-3</v>
      </c>
      <c r="N79" s="88">
        <v>474229.72513952601</v>
      </c>
      <c r="O79" s="80">
        <v>105.38000000000001</v>
      </c>
      <c r="P79" s="104">
        <v>0</v>
      </c>
      <c r="Q79" s="104">
        <v>499.74328430622847</v>
      </c>
      <c r="R79" s="38">
        <v>5.3786824804604556E-4</v>
      </c>
      <c r="S79" s="38">
        <v>3.1001860705471549E-3</v>
      </c>
      <c r="T79" s="38">
        <v>6.0540289117922894E-4</v>
      </c>
    </row>
    <row r="80" spans="1:20" x14ac:dyDescent="0.2">
      <c r="A80" s="30" t="s">
        <v>796</v>
      </c>
      <c r="B80" s="38" t="s">
        <v>797</v>
      </c>
      <c r="C80" s="38" t="s">
        <v>266</v>
      </c>
      <c r="D80" s="38" t="s">
        <v>180</v>
      </c>
      <c r="E80" s="38" t="s">
        <v>460</v>
      </c>
      <c r="F80" s="38" t="s">
        <v>461</v>
      </c>
      <c r="G80" s="80" t="s">
        <v>401</v>
      </c>
      <c r="H80" s="80" t="s">
        <v>402</v>
      </c>
      <c r="I80" s="80" t="s">
        <v>795</v>
      </c>
      <c r="J80" s="80">
        <v>7.44</v>
      </c>
      <c r="K80" s="80" t="s">
        <v>186</v>
      </c>
      <c r="L80" s="38">
        <v>2.1000000000000001E-2</v>
      </c>
      <c r="M80" s="38">
        <v>1.2500000000000001E-2</v>
      </c>
      <c r="N80" s="88">
        <v>252408.63424022862</v>
      </c>
      <c r="O80" s="80">
        <v>101.93</v>
      </c>
      <c r="P80" s="104">
        <v>0</v>
      </c>
      <c r="Q80" s="104">
        <v>257.28012088106505</v>
      </c>
      <c r="R80" s="38">
        <v>1.9886596249742258E-4</v>
      </c>
      <c r="S80" s="38">
        <v>1.5960519571392771E-3</v>
      </c>
      <c r="T80" s="38">
        <v>3.1167628243483137E-4</v>
      </c>
    </row>
    <row r="81" spans="1:20" x14ac:dyDescent="0.2">
      <c r="A81" s="30" t="s">
        <v>458</v>
      </c>
      <c r="B81" s="38" t="s">
        <v>459</v>
      </c>
      <c r="C81" s="38" t="s">
        <v>266</v>
      </c>
      <c r="D81" s="38" t="s">
        <v>180</v>
      </c>
      <c r="E81" s="38" t="s">
        <v>460</v>
      </c>
      <c r="F81" s="38" t="s">
        <v>461</v>
      </c>
      <c r="G81" s="80" t="s">
        <v>401</v>
      </c>
      <c r="H81" s="80" t="s">
        <v>402</v>
      </c>
      <c r="I81" s="80" t="s">
        <v>462</v>
      </c>
      <c r="J81" s="80">
        <v>1.4</v>
      </c>
      <c r="K81" s="80" t="s">
        <v>186</v>
      </c>
      <c r="L81" s="38">
        <v>3.7000000000000005E-2</v>
      </c>
      <c r="M81" s="38">
        <v>1.3999999999999999E-2</v>
      </c>
      <c r="N81" s="88">
        <v>658154.11811489181</v>
      </c>
      <c r="O81" s="80">
        <v>107.21000000000001</v>
      </c>
      <c r="P81" s="104">
        <v>0</v>
      </c>
      <c r="Q81" s="104">
        <v>705.60703002905063</v>
      </c>
      <c r="R81" s="38">
        <v>4.3877263998064935E-4</v>
      </c>
      <c r="S81" s="38">
        <v>4.3772736012111478E-3</v>
      </c>
      <c r="T81" s="38">
        <v>8.5479194904841314E-4</v>
      </c>
    </row>
    <row r="82" spans="1:20" x14ac:dyDescent="0.2">
      <c r="A82" s="30" t="s">
        <v>546</v>
      </c>
      <c r="B82" s="38" t="s">
        <v>547</v>
      </c>
      <c r="C82" s="38" t="s">
        <v>266</v>
      </c>
      <c r="D82" s="38" t="s">
        <v>180</v>
      </c>
      <c r="E82" s="38" t="s">
        <v>548</v>
      </c>
      <c r="F82" s="38" t="s">
        <v>407</v>
      </c>
      <c r="G82" s="80" t="s">
        <v>435</v>
      </c>
      <c r="H82" s="80" t="s">
        <v>185</v>
      </c>
      <c r="I82" s="80" t="s">
        <v>549</v>
      </c>
      <c r="J82" s="80">
        <v>1.46</v>
      </c>
      <c r="K82" s="80" t="s">
        <v>186</v>
      </c>
      <c r="L82" s="38">
        <v>2.8500000000000001E-2</v>
      </c>
      <c r="M82" s="38">
        <v>3.04E-2</v>
      </c>
      <c r="N82" s="88">
        <v>31091.478026789981</v>
      </c>
      <c r="O82" s="80">
        <v>101.86</v>
      </c>
      <c r="P82" s="104">
        <v>0</v>
      </c>
      <c r="Q82" s="104">
        <v>31.669779483657557</v>
      </c>
      <c r="R82" s="38">
        <v>7.2626310559746368E-5</v>
      </c>
      <c r="S82" s="38">
        <v>1.9646528987145323E-4</v>
      </c>
      <c r="T82" s="38">
        <v>3.8365650253873664E-5</v>
      </c>
    </row>
    <row r="83" spans="1:20" x14ac:dyDescent="0.2">
      <c r="A83" s="30" t="s">
        <v>574</v>
      </c>
      <c r="B83" s="38" t="s">
        <v>575</v>
      </c>
      <c r="C83" s="38" t="s">
        <v>266</v>
      </c>
      <c r="D83" s="38" t="s">
        <v>180</v>
      </c>
      <c r="E83" s="38" t="s">
        <v>548</v>
      </c>
      <c r="F83" s="38" t="s">
        <v>407</v>
      </c>
      <c r="G83" s="80" t="s">
        <v>435</v>
      </c>
      <c r="H83" s="80" t="s">
        <v>185</v>
      </c>
      <c r="I83" s="80" t="s">
        <v>576</v>
      </c>
      <c r="J83" s="80">
        <v>3.52</v>
      </c>
      <c r="K83" s="80" t="s">
        <v>186</v>
      </c>
      <c r="L83" s="38">
        <v>2.5000000000000001E-2</v>
      </c>
      <c r="M83" s="38">
        <v>2.35E-2</v>
      </c>
      <c r="N83" s="88">
        <v>5432.2826643826347</v>
      </c>
      <c r="O83" s="80">
        <v>101.01</v>
      </c>
      <c r="P83" s="104">
        <v>0</v>
      </c>
      <c r="Q83" s="104">
        <v>5.4871486683559683</v>
      </c>
      <c r="R83" s="38">
        <v>1.2425525384657927E-5</v>
      </c>
      <c r="S83" s="38">
        <v>3.4039840860041606E-5</v>
      </c>
      <c r="T83" s="38">
        <v>6.6472842606872765E-6</v>
      </c>
    </row>
    <row r="84" spans="1:20" x14ac:dyDescent="0.2">
      <c r="A84" s="30" t="s">
        <v>608</v>
      </c>
      <c r="B84" s="38" t="s">
        <v>609</v>
      </c>
      <c r="C84" s="38" t="s">
        <v>266</v>
      </c>
      <c r="D84" s="38" t="s">
        <v>180</v>
      </c>
      <c r="E84" s="38" t="s">
        <v>548</v>
      </c>
      <c r="F84" s="38" t="s">
        <v>407</v>
      </c>
      <c r="G84" s="80" t="s">
        <v>401</v>
      </c>
      <c r="H84" s="80" t="s">
        <v>402</v>
      </c>
      <c r="I84" s="80" t="s">
        <v>610</v>
      </c>
      <c r="J84" s="80">
        <v>4.6900000000000004</v>
      </c>
      <c r="K84" s="80" t="s">
        <v>186</v>
      </c>
      <c r="L84" s="38">
        <v>1.34E-2</v>
      </c>
      <c r="M84" s="38">
        <v>1.03E-2</v>
      </c>
      <c r="N84" s="88">
        <v>351931.28180189885</v>
      </c>
      <c r="O84" s="80">
        <v>102.66999999999999</v>
      </c>
      <c r="P84" s="104">
        <v>0</v>
      </c>
      <c r="Q84" s="104">
        <v>361.32784701016521</v>
      </c>
      <c r="R84" s="38">
        <v>9.4985428333977696E-4</v>
      </c>
      <c r="S84" s="38">
        <v>2.2415179820911633E-3</v>
      </c>
      <c r="T84" s="38">
        <v>4.3772258700224378E-4</v>
      </c>
    </row>
    <row r="85" spans="1:20" x14ac:dyDescent="0.2">
      <c r="A85" s="30" t="s">
        <v>651</v>
      </c>
      <c r="B85" s="38" t="s">
        <v>652</v>
      </c>
      <c r="C85" s="38" t="s">
        <v>266</v>
      </c>
      <c r="D85" s="38" t="s">
        <v>180</v>
      </c>
      <c r="E85" s="38" t="s">
        <v>548</v>
      </c>
      <c r="F85" s="38" t="s">
        <v>407</v>
      </c>
      <c r="G85" s="80" t="s">
        <v>435</v>
      </c>
      <c r="H85" s="80" t="s">
        <v>185</v>
      </c>
      <c r="I85" s="80" t="s">
        <v>653</v>
      </c>
      <c r="J85" s="80">
        <v>4.53</v>
      </c>
      <c r="K85" s="80" t="s">
        <v>186</v>
      </c>
      <c r="L85" s="38">
        <v>1.95E-2</v>
      </c>
      <c r="M85" s="38">
        <v>2.4199999999999999E-2</v>
      </c>
      <c r="N85" s="88">
        <v>196121.25256663599</v>
      </c>
      <c r="O85" s="80">
        <v>98.81</v>
      </c>
      <c r="P85" s="104">
        <v>0</v>
      </c>
      <c r="Q85" s="104">
        <v>193.78740965038153</v>
      </c>
      <c r="R85" s="38">
        <v>2.996783208883318E-4</v>
      </c>
      <c r="S85" s="38">
        <v>1.2021712885638082E-3</v>
      </c>
      <c r="T85" s="38">
        <v>2.3475944902259969E-4</v>
      </c>
    </row>
    <row r="86" spans="1:20" x14ac:dyDescent="0.2">
      <c r="A86" s="30" t="s">
        <v>727</v>
      </c>
      <c r="B86" s="38" t="s">
        <v>728</v>
      </c>
      <c r="C86" s="38" t="s">
        <v>266</v>
      </c>
      <c r="D86" s="38" t="s">
        <v>180</v>
      </c>
      <c r="E86" s="38" t="s">
        <v>548</v>
      </c>
      <c r="F86" s="38" t="s">
        <v>407</v>
      </c>
      <c r="G86" s="80" t="s">
        <v>435</v>
      </c>
      <c r="H86" s="80" t="s">
        <v>185</v>
      </c>
      <c r="I86" s="80" t="s">
        <v>729</v>
      </c>
      <c r="J86" s="80">
        <v>5.64</v>
      </c>
      <c r="K86" s="80" t="s">
        <v>186</v>
      </c>
      <c r="L86" s="38">
        <v>3.3500000000000002E-2</v>
      </c>
      <c r="M86" s="38">
        <v>2.8799999999999999E-2</v>
      </c>
      <c r="N86" s="88">
        <v>274104.99290576531</v>
      </c>
      <c r="O86" s="80">
        <v>103.51000000000002</v>
      </c>
      <c r="P86" s="104">
        <v>0</v>
      </c>
      <c r="Q86" s="104">
        <v>283.72607813698261</v>
      </c>
      <c r="R86" s="38">
        <v>5.7662107489501373E-4</v>
      </c>
      <c r="S86" s="38">
        <v>1.7601109667984077E-3</v>
      </c>
      <c r="T86" s="38">
        <v>3.4371364939007003E-4</v>
      </c>
    </row>
    <row r="87" spans="1:20" x14ac:dyDescent="0.2">
      <c r="A87" s="30" t="s">
        <v>887</v>
      </c>
      <c r="B87" s="38" t="s">
        <v>888</v>
      </c>
      <c r="C87" s="38" t="s">
        <v>266</v>
      </c>
      <c r="D87" s="38" t="s">
        <v>180</v>
      </c>
      <c r="E87" s="38" t="s">
        <v>807</v>
      </c>
      <c r="F87" s="38" t="s">
        <v>390</v>
      </c>
      <c r="G87" s="80" t="s">
        <v>435</v>
      </c>
      <c r="H87" s="80" t="s">
        <v>185</v>
      </c>
      <c r="I87" s="80" t="s">
        <v>889</v>
      </c>
      <c r="J87" s="80">
        <v>0.99</v>
      </c>
      <c r="K87" s="80" t="s">
        <v>186</v>
      </c>
      <c r="L87" s="38">
        <v>2.7999999999999997E-2</v>
      </c>
      <c r="M87" s="38">
        <v>2.6600000000000002E-2</v>
      </c>
      <c r="N87" s="88">
        <v>2.8500908048424392</v>
      </c>
      <c r="O87" s="80">
        <v>5068000</v>
      </c>
      <c r="P87" s="104">
        <v>0</v>
      </c>
      <c r="Q87" s="104">
        <v>144.44260198941484</v>
      </c>
      <c r="R87" s="38">
        <v>1.6114043109868487E-4</v>
      </c>
      <c r="S87" s="38">
        <v>8.9605794963874342E-4</v>
      </c>
      <c r="T87" s="38">
        <v>1.7498177884519203E-4</v>
      </c>
    </row>
    <row r="88" spans="1:20" x14ac:dyDescent="0.2">
      <c r="A88" s="30" t="s">
        <v>870</v>
      </c>
      <c r="B88" s="38" t="s">
        <v>871</v>
      </c>
      <c r="C88" s="38" t="s">
        <v>266</v>
      </c>
      <c r="D88" s="38" t="s">
        <v>180</v>
      </c>
      <c r="E88" s="38" t="s">
        <v>807</v>
      </c>
      <c r="F88" s="38" t="s">
        <v>390</v>
      </c>
      <c r="G88" s="80" t="s">
        <v>435</v>
      </c>
      <c r="H88" s="80" t="s">
        <v>185</v>
      </c>
      <c r="I88" s="80" t="s">
        <v>872</v>
      </c>
      <c r="J88" s="80">
        <v>2.21</v>
      </c>
      <c r="K88" s="80" t="s">
        <v>186</v>
      </c>
      <c r="L88" s="38">
        <v>1.49E-2</v>
      </c>
      <c r="M88" s="38">
        <v>2.6800000000000001E-2</v>
      </c>
      <c r="N88" s="88">
        <v>9.2526644612183446</v>
      </c>
      <c r="O88" s="80">
        <v>4971000</v>
      </c>
      <c r="P88" s="104">
        <v>0</v>
      </c>
      <c r="Q88" s="104">
        <v>459.94995036716392</v>
      </c>
      <c r="R88" s="38">
        <v>1.52987176938134E-3</v>
      </c>
      <c r="S88" s="38">
        <v>2.8533258456022942E-3</v>
      </c>
      <c r="T88" s="38">
        <v>5.5719614148810567E-4</v>
      </c>
    </row>
    <row r="89" spans="1:20" x14ac:dyDescent="0.2">
      <c r="A89" s="30" t="s">
        <v>881</v>
      </c>
      <c r="B89" s="38" t="s">
        <v>882</v>
      </c>
      <c r="C89" s="38" t="s">
        <v>266</v>
      </c>
      <c r="D89" s="38" t="s">
        <v>180</v>
      </c>
      <c r="E89" s="38" t="s">
        <v>807</v>
      </c>
      <c r="F89" s="38" t="s">
        <v>390</v>
      </c>
      <c r="G89" s="80" t="s">
        <v>435</v>
      </c>
      <c r="H89" s="80" t="s">
        <v>185</v>
      </c>
      <c r="I89" s="80" t="s">
        <v>883</v>
      </c>
      <c r="J89" s="80">
        <v>3.82</v>
      </c>
      <c r="K89" s="80" t="s">
        <v>186</v>
      </c>
      <c r="L89" s="38">
        <v>2.2000000000000002E-2</v>
      </c>
      <c r="M89" s="38">
        <v>1.8200000000000001E-2</v>
      </c>
      <c r="N89" s="88">
        <v>5.4300308224960219</v>
      </c>
      <c r="O89" s="80">
        <v>5175000</v>
      </c>
      <c r="P89" s="104">
        <v>0</v>
      </c>
      <c r="Q89" s="104">
        <v>281.00409506416912</v>
      </c>
      <c r="R89" s="38">
        <v>1.0786712003369133E-3</v>
      </c>
      <c r="S89" s="38">
        <v>1.7432249889941906E-3</v>
      </c>
      <c r="T89" s="38">
        <v>3.404161635132765E-4</v>
      </c>
    </row>
    <row r="90" spans="1:20" x14ac:dyDescent="0.2">
      <c r="A90" s="30" t="s">
        <v>488</v>
      </c>
      <c r="B90" s="38" t="s">
        <v>489</v>
      </c>
      <c r="C90" s="38" t="s">
        <v>266</v>
      </c>
      <c r="D90" s="38" t="s">
        <v>180</v>
      </c>
      <c r="E90" s="38" t="s">
        <v>490</v>
      </c>
      <c r="F90" s="38" t="s">
        <v>478</v>
      </c>
      <c r="G90" s="80" t="s">
        <v>435</v>
      </c>
      <c r="H90" s="80" t="s">
        <v>185</v>
      </c>
      <c r="I90" s="80" t="s">
        <v>491</v>
      </c>
      <c r="J90" s="80">
        <v>2.39</v>
      </c>
      <c r="K90" s="80" t="s">
        <v>186</v>
      </c>
      <c r="L90" s="38">
        <v>3.2899999999999999E-2</v>
      </c>
      <c r="M90" s="38">
        <v>3.6000000000000004E-2</v>
      </c>
      <c r="N90" s="88">
        <v>188573.61204297718</v>
      </c>
      <c r="O90" s="80">
        <v>100.41</v>
      </c>
      <c r="P90" s="104">
        <v>0</v>
      </c>
      <c r="Q90" s="104">
        <v>189.34676380736653</v>
      </c>
      <c r="R90" s="38">
        <v>1.0476311780165399E-3</v>
      </c>
      <c r="S90" s="38">
        <v>1.1746234878847852E-3</v>
      </c>
      <c r="T90" s="38">
        <v>2.2937992734319091E-4</v>
      </c>
    </row>
    <row r="91" spans="1:20" x14ac:dyDescent="0.2">
      <c r="A91" s="30" t="s">
        <v>556</v>
      </c>
      <c r="B91" s="38" t="s">
        <v>557</v>
      </c>
      <c r="C91" s="38" t="s">
        <v>266</v>
      </c>
      <c r="D91" s="38" t="s">
        <v>180</v>
      </c>
      <c r="E91" s="38" t="s">
        <v>490</v>
      </c>
      <c r="F91" s="38" t="s">
        <v>478</v>
      </c>
      <c r="G91" s="80" t="s">
        <v>435</v>
      </c>
      <c r="H91" s="80" t="s">
        <v>185</v>
      </c>
      <c r="I91" s="80" t="s">
        <v>558</v>
      </c>
      <c r="J91" s="80">
        <v>4.5</v>
      </c>
      <c r="K91" s="80" t="s">
        <v>186</v>
      </c>
      <c r="L91" s="38">
        <v>3.3000000000000002E-2</v>
      </c>
      <c r="M91" s="38">
        <v>2.69E-2</v>
      </c>
      <c r="N91" s="88">
        <v>81550.960523943184</v>
      </c>
      <c r="O91" s="80">
        <v>104</v>
      </c>
      <c r="P91" s="104">
        <v>0</v>
      </c>
      <c r="Q91" s="104">
        <v>84.812998928691854</v>
      </c>
      <c r="R91" s="38">
        <v>5.5437696206391929E-4</v>
      </c>
      <c r="S91" s="38">
        <v>5.2614229372803642E-4</v>
      </c>
      <c r="T91" s="38">
        <v>1.0274482193851255E-4</v>
      </c>
    </row>
    <row r="92" spans="1:20" x14ac:dyDescent="0.2">
      <c r="A92" s="30" t="s">
        <v>539</v>
      </c>
      <c r="B92" s="38" t="s">
        <v>540</v>
      </c>
      <c r="C92" s="38" t="s">
        <v>266</v>
      </c>
      <c r="D92" s="38" t="s">
        <v>180</v>
      </c>
      <c r="E92" s="38" t="s">
        <v>541</v>
      </c>
      <c r="F92" s="38" t="s">
        <v>478</v>
      </c>
      <c r="G92" s="80" t="s">
        <v>401</v>
      </c>
      <c r="H92" s="80" t="s">
        <v>402</v>
      </c>
      <c r="I92" s="80" t="s">
        <v>542</v>
      </c>
      <c r="J92" s="80">
        <v>4.92</v>
      </c>
      <c r="K92" s="80" t="s">
        <v>186</v>
      </c>
      <c r="L92" s="38">
        <v>0.04</v>
      </c>
      <c r="M92" s="38">
        <v>7.0599999999999996E-2</v>
      </c>
      <c r="N92" s="88">
        <v>1337567.7206848932</v>
      </c>
      <c r="O92" s="80">
        <v>86.5</v>
      </c>
      <c r="P92" s="104">
        <v>0</v>
      </c>
      <c r="Q92" s="104">
        <v>1156.9960783586637</v>
      </c>
      <c r="R92" s="38">
        <v>4.522838923634854E-4</v>
      </c>
      <c r="S92" s="38">
        <v>7.177491400979512E-3</v>
      </c>
      <c r="T92" s="38">
        <v>1.4016171760942557E-3</v>
      </c>
    </row>
    <row r="93" spans="1:20" x14ac:dyDescent="0.2">
      <c r="A93" s="30" t="s">
        <v>899</v>
      </c>
      <c r="B93" s="38" t="s">
        <v>900</v>
      </c>
      <c r="C93" s="38" t="s">
        <v>266</v>
      </c>
      <c r="D93" s="38" t="s">
        <v>180</v>
      </c>
      <c r="E93" s="38" t="s">
        <v>800</v>
      </c>
      <c r="F93" s="38" t="s">
        <v>390</v>
      </c>
      <c r="G93" s="80" t="s">
        <v>401</v>
      </c>
      <c r="H93" s="80" t="s">
        <v>402</v>
      </c>
      <c r="I93" s="80" t="s">
        <v>901</v>
      </c>
      <c r="J93" s="80">
        <v>5.1100000000000003</v>
      </c>
      <c r="K93" s="80" t="s">
        <v>186</v>
      </c>
      <c r="L93" s="38">
        <v>1.46E-2</v>
      </c>
      <c r="M93" s="38">
        <v>2.8399999999999998E-2</v>
      </c>
      <c r="N93" s="88">
        <v>25.367158917033652</v>
      </c>
      <c r="O93" s="80">
        <v>4680000</v>
      </c>
      <c r="P93" s="104">
        <v>0</v>
      </c>
      <c r="Q93" s="104">
        <v>1187.1830373171749</v>
      </c>
      <c r="R93" s="38">
        <v>9.5247095396814674E-4</v>
      </c>
      <c r="S93" s="38">
        <v>7.3647579288434635E-3</v>
      </c>
      <c r="T93" s="38">
        <v>1.4381864963898994E-3</v>
      </c>
    </row>
    <row r="94" spans="1:20" x14ac:dyDescent="0.2">
      <c r="A94" s="30" t="s">
        <v>905</v>
      </c>
      <c r="B94" s="38" t="s">
        <v>906</v>
      </c>
      <c r="C94" s="38" t="s">
        <v>266</v>
      </c>
      <c r="D94" s="38" t="s">
        <v>180</v>
      </c>
      <c r="E94" s="38" t="s">
        <v>800</v>
      </c>
      <c r="F94" s="38" t="s">
        <v>390</v>
      </c>
      <c r="G94" s="80" t="s">
        <v>401</v>
      </c>
      <c r="H94" s="80" t="s">
        <v>402</v>
      </c>
      <c r="I94" s="80" t="s">
        <v>907</v>
      </c>
      <c r="J94" s="80">
        <v>5.65</v>
      </c>
      <c r="K94" s="80" t="s">
        <v>186</v>
      </c>
      <c r="L94" s="38">
        <v>2.4199999999999999E-2</v>
      </c>
      <c r="M94" s="38">
        <v>2.9900000000000003E-2</v>
      </c>
      <c r="N94" s="88">
        <v>12.98074532442457</v>
      </c>
      <c r="O94" s="80">
        <v>4849000</v>
      </c>
      <c r="P94" s="104">
        <v>0</v>
      </c>
      <c r="Q94" s="104">
        <v>629.43634078134733</v>
      </c>
      <c r="R94" s="38">
        <v>1.4737449278411183E-3</v>
      </c>
      <c r="S94" s="38">
        <v>3.9047443702930514E-3</v>
      </c>
      <c r="T94" s="38">
        <v>7.6251666103190248E-4</v>
      </c>
    </row>
    <row r="95" spans="1:20" x14ac:dyDescent="0.2">
      <c r="A95" s="30" t="s">
        <v>481</v>
      </c>
      <c r="B95" s="38" t="s">
        <v>482</v>
      </c>
      <c r="C95" s="38" t="s">
        <v>266</v>
      </c>
      <c r="D95" s="38" t="s">
        <v>180</v>
      </c>
      <c r="E95" s="38" t="s">
        <v>483</v>
      </c>
      <c r="F95" s="38" t="s">
        <v>395</v>
      </c>
      <c r="G95" s="80" t="s">
        <v>435</v>
      </c>
      <c r="H95" s="80" t="s">
        <v>185</v>
      </c>
      <c r="I95" s="80" t="s">
        <v>484</v>
      </c>
      <c r="J95" s="80">
        <v>2.17</v>
      </c>
      <c r="K95" s="80" t="s">
        <v>186</v>
      </c>
      <c r="L95" s="38">
        <v>2.5499999999999998E-2</v>
      </c>
      <c r="M95" s="38">
        <v>1.5700000000000002E-2</v>
      </c>
      <c r="N95" s="88">
        <v>57155.797317907658</v>
      </c>
      <c r="O95" s="80">
        <v>104.38000000000001</v>
      </c>
      <c r="P95" s="104">
        <v>0</v>
      </c>
      <c r="Q95" s="104">
        <v>59.659221177351803</v>
      </c>
      <c r="R95" s="38">
        <v>1.6460582591868708E-4</v>
      </c>
      <c r="S95" s="38">
        <v>3.7009939359261698E-4</v>
      </c>
      <c r="T95" s="38">
        <v>7.2272837115581662E-5</v>
      </c>
    </row>
    <row r="96" spans="1:20" x14ac:dyDescent="0.2">
      <c r="A96" s="30" t="s">
        <v>860</v>
      </c>
      <c r="B96" s="38" t="s">
        <v>861</v>
      </c>
      <c r="C96" s="38" t="s">
        <v>266</v>
      </c>
      <c r="D96" s="38" t="s">
        <v>180</v>
      </c>
      <c r="E96" s="38" t="s">
        <v>394</v>
      </c>
      <c r="F96" s="38" t="s">
        <v>395</v>
      </c>
      <c r="G96" s="80" t="s">
        <v>435</v>
      </c>
      <c r="H96" s="80" t="s">
        <v>185</v>
      </c>
      <c r="I96" s="80" t="s">
        <v>862</v>
      </c>
      <c r="J96" s="80">
        <v>0.91</v>
      </c>
      <c r="K96" s="80" t="s">
        <v>186</v>
      </c>
      <c r="L96" s="38">
        <v>3.9E-2</v>
      </c>
      <c r="M96" s="38">
        <v>1.4999999999999999E-2</v>
      </c>
      <c r="N96" s="88">
        <v>205195.20512313306</v>
      </c>
      <c r="O96" s="80">
        <v>110.92</v>
      </c>
      <c r="P96" s="104">
        <v>0</v>
      </c>
      <c r="Q96" s="104">
        <v>227.60252150637012</v>
      </c>
      <c r="R96" s="38">
        <v>5.1423181100069052E-4</v>
      </c>
      <c r="S96" s="38">
        <v>1.4119452706103403E-3</v>
      </c>
      <c r="T96" s="38">
        <v>2.7572401448261295E-4</v>
      </c>
    </row>
    <row r="97" spans="1:20" x14ac:dyDescent="0.2">
      <c r="A97" s="30" t="s">
        <v>855</v>
      </c>
      <c r="B97" s="38" t="s">
        <v>856</v>
      </c>
      <c r="C97" s="38" t="s">
        <v>266</v>
      </c>
      <c r="D97" s="38" t="s">
        <v>180</v>
      </c>
      <c r="E97" s="38" t="s">
        <v>394</v>
      </c>
      <c r="F97" s="38" t="s">
        <v>395</v>
      </c>
      <c r="G97" s="80" t="s">
        <v>435</v>
      </c>
      <c r="H97" s="80" t="s">
        <v>185</v>
      </c>
      <c r="I97" s="80" t="s">
        <v>857</v>
      </c>
      <c r="J97" s="80">
        <v>2.78</v>
      </c>
      <c r="K97" s="80" t="s">
        <v>186</v>
      </c>
      <c r="L97" s="38">
        <v>3.85E-2</v>
      </c>
      <c r="M97" s="38">
        <v>6.8000000000000005E-3</v>
      </c>
      <c r="N97" s="88">
        <v>361235.23182363255</v>
      </c>
      <c r="O97" s="80">
        <v>112.93000000000002</v>
      </c>
      <c r="P97" s="104">
        <v>0</v>
      </c>
      <c r="Q97" s="104">
        <v>407.94294724439806</v>
      </c>
      <c r="R97" s="38">
        <v>1.5079938917327269E-3</v>
      </c>
      <c r="S97" s="38">
        <v>2.5306974247403078E-3</v>
      </c>
      <c r="T97" s="38">
        <v>4.9419341380603358E-4</v>
      </c>
    </row>
    <row r="98" spans="1:20" x14ac:dyDescent="0.2">
      <c r="A98" s="30" t="s">
        <v>858</v>
      </c>
      <c r="B98" s="38" t="s">
        <v>859</v>
      </c>
      <c r="C98" s="38" t="s">
        <v>266</v>
      </c>
      <c r="D98" s="38" t="s">
        <v>180</v>
      </c>
      <c r="E98" s="38" t="s">
        <v>394</v>
      </c>
      <c r="F98" s="38" t="s">
        <v>395</v>
      </c>
      <c r="G98" s="80" t="s">
        <v>435</v>
      </c>
      <c r="H98" s="80" t="s">
        <v>185</v>
      </c>
      <c r="I98" s="80" t="s">
        <v>857</v>
      </c>
      <c r="J98" s="80">
        <v>3.68</v>
      </c>
      <c r="K98" s="80" t="s">
        <v>186</v>
      </c>
      <c r="L98" s="38">
        <v>3.85E-2</v>
      </c>
      <c r="M98" s="38">
        <v>1.1000000000000001E-2</v>
      </c>
      <c r="N98" s="88">
        <v>290843.99304526957</v>
      </c>
      <c r="O98" s="80">
        <v>114.35</v>
      </c>
      <c r="P98" s="104">
        <v>0</v>
      </c>
      <c r="Q98" s="104">
        <v>332.58010603713512</v>
      </c>
      <c r="R98" s="38">
        <v>1.1633759721810782E-3</v>
      </c>
      <c r="S98" s="38">
        <v>2.063179725383999E-3</v>
      </c>
      <c r="T98" s="38">
        <v>4.0289677533755048E-4</v>
      </c>
    </row>
    <row r="99" spans="1:20" x14ac:dyDescent="0.2">
      <c r="A99" s="30" t="s">
        <v>837</v>
      </c>
      <c r="B99" s="38" t="s">
        <v>838</v>
      </c>
      <c r="C99" s="38" t="s">
        <v>266</v>
      </c>
      <c r="D99" s="38" t="s">
        <v>180</v>
      </c>
      <c r="E99" s="38" t="s">
        <v>394</v>
      </c>
      <c r="F99" s="38" t="s">
        <v>395</v>
      </c>
      <c r="G99" s="80" t="s">
        <v>435</v>
      </c>
      <c r="H99" s="80" t="s">
        <v>185</v>
      </c>
      <c r="I99" s="80" t="s">
        <v>839</v>
      </c>
      <c r="J99" s="80">
        <v>5.2</v>
      </c>
      <c r="K99" s="80" t="s">
        <v>186</v>
      </c>
      <c r="L99" s="38">
        <v>2.4E-2</v>
      </c>
      <c r="M99" s="38">
        <v>9.0000000000000011E-3</v>
      </c>
      <c r="N99" s="88">
        <v>255867.52848440548</v>
      </c>
      <c r="O99" s="80">
        <v>107.93000000000002</v>
      </c>
      <c r="P99" s="104">
        <v>0</v>
      </c>
      <c r="Q99" s="104">
        <v>276.15782348735655</v>
      </c>
      <c r="R99" s="38">
        <v>8.667844293158434E-4</v>
      </c>
      <c r="S99" s="38">
        <v>1.7131608658566867E-3</v>
      </c>
      <c r="T99" s="38">
        <v>3.3454525555677415E-4</v>
      </c>
    </row>
    <row r="100" spans="1:20" x14ac:dyDescent="0.2">
      <c r="A100" s="30" t="s">
        <v>840</v>
      </c>
      <c r="B100" s="38" t="s">
        <v>841</v>
      </c>
      <c r="C100" s="38" t="s">
        <v>266</v>
      </c>
      <c r="D100" s="38" t="s">
        <v>180</v>
      </c>
      <c r="E100" s="38" t="s">
        <v>394</v>
      </c>
      <c r="F100" s="38" t="s">
        <v>395</v>
      </c>
      <c r="G100" s="80" t="s">
        <v>435</v>
      </c>
      <c r="H100" s="80" t="s">
        <v>185</v>
      </c>
      <c r="I100" s="80" t="s">
        <v>839</v>
      </c>
      <c r="J100" s="80">
        <v>6.08</v>
      </c>
      <c r="K100" s="80" t="s">
        <v>186</v>
      </c>
      <c r="L100" s="38">
        <v>2.4E-2</v>
      </c>
      <c r="M100" s="38">
        <v>1.1299999999999999E-2</v>
      </c>
      <c r="N100" s="88">
        <v>246886.46416934926</v>
      </c>
      <c r="O100" s="80">
        <v>107.83</v>
      </c>
      <c r="P100" s="104">
        <v>0</v>
      </c>
      <c r="Q100" s="104">
        <v>266.21767430511045</v>
      </c>
      <c r="R100" s="38">
        <v>8.3635990943602069E-4</v>
      </c>
      <c r="S100" s="38">
        <v>1.6514965814096415E-3</v>
      </c>
      <c r="T100" s="38">
        <v>3.2250348282532288E-4</v>
      </c>
    </row>
    <row r="101" spans="1:20" x14ac:dyDescent="0.2">
      <c r="A101" s="30" t="s">
        <v>788</v>
      </c>
      <c r="B101" s="38" t="s">
        <v>789</v>
      </c>
      <c r="C101" s="38" t="s">
        <v>266</v>
      </c>
      <c r="D101" s="38" t="s">
        <v>180</v>
      </c>
      <c r="E101" s="38" t="s">
        <v>790</v>
      </c>
      <c r="F101" s="38" t="s">
        <v>390</v>
      </c>
      <c r="G101" s="80" t="s">
        <v>435</v>
      </c>
      <c r="H101" s="80" t="s">
        <v>185</v>
      </c>
      <c r="I101" s="80" t="s">
        <v>791</v>
      </c>
      <c r="J101" s="80">
        <v>4.96</v>
      </c>
      <c r="K101" s="80" t="s">
        <v>186</v>
      </c>
      <c r="L101" s="38">
        <v>2E-3</v>
      </c>
      <c r="M101" s="38">
        <v>2E-3</v>
      </c>
      <c r="N101" s="88">
        <v>864999.93205327494</v>
      </c>
      <c r="O101" s="80">
        <v>95.13</v>
      </c>
      <c r="P101" s="104">
        <v>0</v>
      </c>
      <c r="Q101" s="104">
        <v>822.87443533323915</v>
      </c>
      <c r="R101" s="38">
        <v>1.5512151373956186E-3</v>
      </c>
      <c r="S101" s="38">
        <v>5.1047486626478499E-3</v>
      </c>
      <c r="T101" s="38">
        <v>9.9685294004462038E-4</v>
      </c>
    </row>
    <row r="102" spans="1:20" x14ac:dyDescent="0.2">
      <c r="A102" s="30" t="s">
        <v>822</v>
      </c>
      <c r="B102" s="38" t="s">
        <v>823</v>
      </c>
      <c r="C102" s="38" t="s">
        <v>266</v>
      </c>
      <c r="D102" s="38" t="s">
        <v>180</v>
      </c>
      <c r="E102" s="38" t="s">
        <v>790</v>
      </c>
      <c r="F102" s="38" t="s">
        <v>390</v>
      </c>
      <c r="G102" s="80" t="s">
        <v>435</v>
      </c>
      <c r="H102" s="80" t="s">
        <v>185</v>
      </c>
      <c r="I102" s="80" t="s">
        <v>824</v>
      </c>
      <c r="J102" s="80">
        <v>1</v>
      </c>
      <c r="K102" s="80" t="s">
        <v>186</v>
      </c>
      <c r="L102" s="38">
        <v>0.02</v>
      </c>
      <c r="M102" s="38">
        <v>1.9E-2</v>
      </c>
      <c r="N102" s="88">
        <v>138310.79513156027</v>
      </c>
      <c r="O102" s="80">
        <v>102.8</v>
      </c>
      <c r="P102" s="104">
        <v>0</v>
      </c>
      <c r="Q102" s="104">
        <v>142.18349736903932</v>
      </c>
      <c r="R102" s="38">
        <v>4.8616965867282971E-4</v>
      </c>
      <c r="S102" s="38">
        <v>8.8204346481035839E-4</v>
      </c>
      <c r="T102" s="38">
        <v>1.7224503677861205E-4</v>
      </c>
    </row>
    <row r="103" spans="1:20" x14ac:dyDescent="0.2">
      <c r="A103" s="30" t="s">
        <v>644</v>
      </c>
      <c r="B103" s="38" t="s">
        <v>645</v>
      </c>
      <c r="C103" s="38" t="s">
        <v>266</v>
      </c>
      <c r="D103" s="38" t="s">
        <v>180</v>
      </c>
      <c r="E103" s="38" t="s">
        <v>646</v>
      </c>
      <c r="F103" s="38" t="s">
        <v>407</v>
      </c>
      <c r="G103" s="80" t="s">
        <v>401</v>
      </c>
      <c r="H103" s="80" t="s">
        <v>402</v>
      </c>
      <c r="I103" s="80" t="s">
        <v>647</v>
      </c>
      <c r="J103" s="80">
        <v>6.26</v>
      </c>
      <c r="K103" s="80" t="s">
        <v>186</v>
      </c>
      <c r="L103" s="38">
        <v>2.4E-2</v>
      </c>
      <c r="M103" s="38">
        <v>1.8500000000000003E-2</v>
      </c>
      <c r="N103" s="88">
        <v>309020.79713349702</v>
      </c>
      <c r="O103" s="80">
        <v>105.35</v>
      </c>
      <c r="P103" s="104">
        <v>0</v>
      </c>
      <c r="Q103" s="104">
        <v>325.55340977088645</v>
      </c>
      <c r="R103" s="38">
        <v>5.935680316766995E-4</v>
      </c>
      <c r="S103" s="38">
        <v>2.0195892128734975E-3</v>
      </c>
      <c r="T103" s="38">
        <v>3.9438444036754512E-4</v>
      </c>
    </row>
    <row r="104" spans="1:20" x14ac:dyDescent="0.2">
      <c r="A104" s="30" t="s">
        <v>631</v>
      </c>
      <c r="B104" s="38" t="s">
        <v>632</v>
      </c>
      <c r="C104" s="38" t="s">
        <v>266</v>
      </c>
      <c r="D104" s="38" t="s">
        <v>180</v>
      </c>
      <c r="E104" s="38" t="s">
        <v>613</v>
      </c>
      <c r="F104" s="38" t="s">
        <v>407</v>
      </c>
      <c r="G104" s="80" t="s">
        <v>435</v>
      </c>
      <c r="H104" s="80" t="s">
        <v>185</v>
      </c>
      <c r="I104" s="80" t="s">
        <v>633</v>
      </c>
      <c r="J104" s="80">
        <v>4.2</v>
      </c>
      <c r="K104" s="80" t="s">
        <v>186</v>
      </c>
      <c r="L104" s="38">
        <v>3.7000000000000005E-2</v>
      </c>
      <c r="M104" s="38">
        <v>1.8000000000000002E-2</v>
      </c>
      <c r="N104" s="88">
        <v>162661.08642691909</v>
      </c>
      <c r="O104" s="80">
        <v>108.1</v>
      </c>
      <c r="P104" s="104">
        <v>0</v>
      </c>
      <c r="Q104" s="104">
        <v>175.8366343772515</v>
      </c>
      <c r="R104" s="38">
        <v>2.7043046033299367E-4</v>
      </c>
      <c r="S104" s="38">
        <v>1.0908126266169298E-3</v>
      </c>
      <c r="T104" s="38">
        <v>2.1301338141040891E-4</v>
      </c>
    </row>
    <row r="105" spans="1:20" x14ac:dyDescent="0.2">
      <c r="A105" s="30" t="s">
        <v>656</v>
      </c>
      <c r="B105" s="38" t="s">
        <v>657</v>
      </c>
      <c r="C105" s="38" t="s">
        <v>266</v>
      </c>
      <c r="D105" s="38" t="s">
        <v>180</v>
      </c>
      <c r="E105" s="38" t="s">
        <v>613</v>
      </c>
      <c r="F105" s="38" t="s">
        <v>407</v>
      </c>
      <c r="G105" s="80" t="s">
        <v>435</v>
      </c>
      <c r="H105" s="80" t="s">
        <v>185</v>
      </c>
      <c r="I105" s="80" t="s">
        <v>658</v>
      </c>
      <c r="J105" s="80">
        <v>6.01</v>
      </c>
      <c r="K105" s="80" t="s">
        <v>186</v>
      </c>
      <c r="L105" s="38">
        <v>2.81E-2</v>
      </c>
      <c r="M105" s="38">
        <v>1.9900000000000001E-2</v>
      </c>
      <c r="N105" s="88">
        <v>1757.0100666037267</v>
      </c>
      <c r="O105" s="80">
        <v>106.18</v>
      </c>
      <c r="P105" s="104">
        <v>0</v>
      </c>
      <c r="Q105" s="104">
        <v>1.8655932583278734</v>
      </c>
      <c r="R105" s="38">
        <v>3.5327795458739988E-6</v>
      </c>
      <c r="S105" s="38">
        <v>1.1573314568506888E-5</v>
      </c>
      <c r="T105" s="38">
        <v>2.2600314758088609E-6</v>
      </c>
    </row>
    <row r="106" spans="1:20" x14ac:dyDescent="0.2">
      <c r="A106" s="30" t="s">
        <v>762</v>
      </c>
      <c r="B106" s="38" t="s">
        <v>763</v>
      </c>
      <c r="C106" s="38" t="s">
        <v>266</v>
      </c>
      <c r="D106" s="38" t="s">
        <v>180</v>
      </c>
      <c r="E106" s="38" t="s">
        <v>613</v>
      </c>
      <c r="F106" s="38" t="s">
        <v>407</v>
      </c>
      <c r="G106" s="80" t="s">
        <v>435</v>
      </c>
      <c r="H106" s="80" t="s">
        <v>185</v>
      </c>
      <c r="I106" s="80" t="s">
        <v>764</v>
      </c>
      <c r="J106" s="80">
        <v>3.22</v>
      </c>
      <c r="K106" s="80" t="s">
        <v>186</v>
      </c>
      <c r="L106" s="38">
        <v>4.4000000000000004E-2</v>
      </c>
      <c r="M106" s="38">
        <v>1.8100000000000002E-2</v>
      </c>
      <c r="N106" s="88">
        <v>23505.904415423425</v>
      </c>
      <c r="O106" s="80">
        <v>108.54000000000002</v>
      </c>
      <c r="P106" s="104">
        <v>0</v>
      </c>
      <c r="Q106" s="104">
        <v>25.513308601847314</v>
      </c>
      <c r="R106" s="38">
        <v>1.0571836456228754E-4</v>
      </c>
      <c r="S106" s="38">
        <v>1.5827327034684109E-4</v>
      </c>
      <c r="T106" s="38">
        <v>3.0907530478471602E-5</v>
      </c>
    </row>
    <row r="107" spans="1:20" x14ac:dyDescent="0.2">
      <c r="A107" s="30" t="s">
        <v>767</v>
      </c>
      <c r="B107" s="38" t="s">
        <v>768</v>
      </c>
      <c r="C107" s="38" t="s">
        <v>266</v>
      </c>
      <c r="D107" s="38" t="s">
        <v>180</v>
      </c>
      <c r="E107" s="38" t="s">
        <v>613</v>
      </c>
      <c r="F107" s="38" t="s">
        <v>407</v>
      </c>
      <c r="G107" s="80" t="s">
        <v>435</v>
      </c>
      <c r="H107" s="80" t="s">
        <v>185</v>
      </c>
      <c r="I107" s="80" t="s">
        <v>764</v>
      </c>
      <c r="J107" s="80">
        <v>6.13</v>
      </c>
      <c r="K107" s="80" t="s">
        <v>186</v>
      </c>
      <c r="L107" s="38">
        <v>2.6000000000000002E-2</v>
      </c>
      <c r="M107" s="38">
        <v>2.1899999999999999E-2</v>
      </c>
      <c r="N107" s="88">
        <v>292318.80204620876</v>
      </c>
      <c r="O107" s="80">
        <v>103</v>
      </c>
      <c r="P107" s="104">
        <v>0</v>
      </c>
      <c r="Q107" s="104">
        <v>301.08836605288951</v>
      </c>
      <c r="R107" s="38">
        <v>5.1849321700216458E-4</v>
      </c>
      <c r="S107" s="38">
        <v>1.867818913738502E-3</v>
      </c>
      <c r="T107" s="38">
        <v>3.6474680707695805E-4</v>
      </c>
    </row>
    <row r="108" spans="1:20" x14ac:dyDescent="0.2">
      <c r="A108" s="30" t="s">
        <v>691</v>
      </c>
      <c r="B108" s="38" t="s">
        <v>692</v>
      </c>
      <c r="C108" s="38" t="s">
        <v>266</v>
      </c>
      <c r="D108" s="38" t="s">
        <v>180</v>
      </c>
      <c r="E108" s="38" t="s">
        <v>624</v>
      </c>
      <c r="F108" s="38" t="s">
        <v>407</v>
      </c>
      <c r="G108" s="80" t="s">
        <v>435</v>
      </c>
      <c r="H108" s="80" t="s">
        <v>185</v>
      </c>
      <c r="I108" s="80" t="s">
        <v>693</v>
      </c>
      <c r="J108" s="80">
        <v>5.34</v>
      </c>
      <c r="K108" s="80" t="s">
        <v>186</v>
      </c>
      <c r="L108" s="38">
        <v>1.3999999999999999E-2</v>
      </c>
      <c r="M108" s="38">
        <v>1.1699999999999999E-2</v>
      </c>
      <c r="N108" s="88">
        <v>315265.79980515392</v>
      </c>
      <c r="O108" s="80">
        <v>102.01</v>
      </c>
      <c r="P108" s="104">
        <v>0</v>
      </c>
      <c r="Q108" s="104">
        <v>321.60264233058422</v>
      </c>
      <c r="R108" s="38">
        <v>5.9641657170857718E-4</v>
      </c>
      <c r="S108" s="38">
        <v>1.99508040090737E-3</v>
      </c>
      <c r="T108" s="38">
        <v>3.8959837098783112E-4</v>
      </c>
    </row>
    <row r="109" spans="1:20" x14ac:dyDescent="0.2">
      <c r="A109" s="30" t="s">
        <v>873</v>
      </c>
      <c r="B109" s="38" t="s">
        <v>874</v>
      </c>
      <c r="C109" s="38" t="s">
        <v>266</v>
      </c>
      <c r="D109" s="38" t="s">
        <v>180</v>
      </c>
      <c r="E109" s="38" t="s">
        <v>593</v>
      </c>
      <c r="F109" s="38" t="s">
        <v>390</v>
      </c>
      <c r="G109" s="80" t="s">
        <v>401</v>
      </c>
      <c r="H109" s="80" t="s">
        <v>402</v>
      </c>
      <c r="I109" s="80" t="s">
        <v>670</v>
      </c>
      <c r="J109" s="80">
        <v>2.4300000000000002</v>
      </c>
      <c r="K109" s="80" t="s">
        <v>186</v>
      </c>
      <c r="L109" s="38">
        <v>1.06E-2</v>
      </c>
      <c r="M109" s="38">
        <v>2.8500000000000001E-2</v>
      </c>
      <c r="N109" s="88">
        <v>11.501669764565579</v>
      </c>
      <c r="O109" s="80">
        <v>4856000</v>
      </c>
      <c r="P109" s="104">
        <v>0</v>
      </c>
      <c r="Q109" s="104">
        <v>558.52108376730439</v>
      </c>
      <c r="R109" s="38">
        <v>8.4701890894510478E-4</v>
      </c>
      <c r="S109" s="38">
        <v>3.4648175140684278E-3</v>
      </c>
      <c r="T109" s="38">
        <v>6.7660794955292638E-4</v>
      </c>
    </row>
    <row r="110" spans="1:20" x14ac:dyDescent="0.2">
      <c r="A110" s="30" t="s">
        <v>845</v>
      </c>
      <c r="B110" s="38" t="s">
        <v>846</v>
      </c>
      <c r="C110" s="38" t="s">
        <v>266</v>
      </c>
      <c r="D110" s="38" t="s">
        <v>180</v>
      </c>
      <c r="E110" s="38" t="s">
        <v>847</v>
      </c>
      <c r="F110" s="38" t="s">
        <v>390</v>
      </c>
      <c r="G110" s="80" t="s">
        <v>435</v>
      </c>
      <c r="H110" s="80" t="s">
        <v>185</v>
      </c>
      <c r="I110" s="80" t="s">
        <v>848</v>
      </c>
      <c r="J110" s="80">
        <v>1.47</v>
      </c>
      <c r="K110" s="80" t="s">
        <v>186</v>
      </c>
      <c r="L110" s="38">
        <v>4.4999999999999998E-2</v>
      </c>
      <c r="M110" s="38">
        <v>1.7399999999999999E-2</v>
      </c>
      <c r="N110" s="88">
        <v>856047.31731761759</v>
      </c>
      <c r="O110" s="80">
        <v>125.38</v>
      </c>
      <c r="P110" s="104">
        <v>11.60044716</v>
      </c>
      <c r="Q110" s="104">
        <v>1084.912573581204</v>
      </c>
      <c r="R110" s="38">
        <v>5.0297016036615454E-4</v>
      </c>
      <c r="S110" s="38">
        <v>6.7303172528815807E-3</v>
      </c>
      <c r="T110" s="38">
        <v>1.314293216835476E-3</v>
      </c>
    </row>
    <row r="111" spans="1:20" x14ac:dyDescent="0.2">
      <c r="A111" s="30" t="s">
        <v>468</v>
      </c>
      <c r="B111" s="38" t="s">
        <v>469</v>
      </c>
      <c r="C111" s="38" t="s">
        <v>266</v>
      </c>
      <c r="D111" s="38" t="s">
        <v>180</v>
      </c>
      <c r="E111" s="38" t="s">
        <v>470</v>
      </c>
      <c r="F111" s="38" t="s">
        <v>407</v>
      </c>
      <c r="G111" s="80" t="s">
        <v>435</v>
      </c>
      <c r="H111" s="80" t="s">
        <v>185</v>
      </c>
      <c r="I111" s="80" t="s">
        <v>471</v>
      </c>
      <c r="J111" s="80">
        <v>1.71</v>
      </c>
      <c r="K111" s="80" t="s">
        <v>186</v>
      </c>
      <c r="L111" s="38">
        <v>4.9000000000000002E-2</v>
      </c>
      <c r="M111" s="38">
        <v>2.12E-2</v>
      </c>
      <c r="N111" s="88">
        <v>43572.786068123263</v>
      </c>
      <c r="O111" s="80">
        <v>109.04</v>
      </c>
      <c r="P111" s="104">
        <v>0</v>
      </c>
      <c r="Q111" s="104">
        <v>47.511765884052693</v>
      </c>
      <c r="R111" s="38">
        <v>8.1902097785974592E-5</v>
      </c>
      <c r="S111" s="38">
        <v>2.9474195933482388E-4</v>
      </c>
      <c r="T111" s="38">
        <v>5.7557072470053529E-5</v>
      </c>
    </row>
    <row r="112" spans="1:20" x14ac:dyDescent="0.2">
      <c r="A112" s="30" t="s">
        <v>598</v>
      </c>
      <c r="B112" s="38" t="s">
        <v>599</v>
      </c>
      <c r="C112" s="38" t="s">
        <v>266</v>
      </c>
      <c r="D112" s="38" t="s">
        <v>180</v>
      </c>
      <c r="E112" s="38" t="s">
        <v>470</v>
      </c>
      <c r="F112" s="38" t="s">
        <v>407</v>
      </c>
      <c r="G112" s="80" t="s">
        <v>435</v>
      </c>
      <c r="H112" s="80" t="s">
        <v>185</v>
      </c>
      <c r="I112" s="80" t="s">
        <v>600</v>
      </c>
      <c r="J112" s="80">
        <v>1.62</v>
      </c>
      <c r="K112" s="80" t="s">
        <v>186</v>
      </c>
      <c r="L112" s="38">
        <v>5.8499999999999996E-2</v>
      </c>
      <c r="M112" s="38">
        <v>1.6200000000000003E-2</v>
      </c>
      <c r="N112" s="88">
        <v>147056.31578571888</v>
      </c>
      <c r="O112" s="80">
        <v>116.23000000000002</v>
      </c>
      <c r="P112" s="104">
        <v>0</v>
      </c>
      <c r="Q112" s="104">
        <v>170.92355579398335</v>
      </c>
      <c r="R112" s="38">
        <v>2.0789066568210627E-4</v>
      </c>
      <c r="S112" s="38">
        <v>1.0603340623907059E-3</v>
      </c>
      <c r="T112" s="38">
        <v>2.0706154159122955E-4</v>
      </c>
    </row>
    <row r="113" spans="1:20" x14ac:dyDescent="0.2">
      <c r="A113" s="30" t="s">
        <v>398</v>
      </c>
      <c r="B113" s="38" t="s">
        <v>399</v>
      </c>
      <c r="C113" s="38" t="s">
        <v>266</v>
      </c>
      <c r="D113" s="38" t="s">
        <v>180</v>
      </c>
      <c r="E113" s="38" t="s">
        <v>400</v>
      </c>
      <c r="F113" s="38" t="s">
        <v>395</v>
      </c>
      <c r="G113" s="80" t="s">
        <v>401</v>
      </c>
      <c r="H113" s="80" t="s">
        <v>402</v>
      </c>
      <c r="I113" s="80" t="s">
        <v>403</v>
      </c>
      <c r="J113" s="80">
        <v>1.49</v>
      </c>
      <c r="K113" s="80" t="s">
        <v>186</v>
      </c>
      <c r="L113" s="38">
        <v>4.0500000000000001E-2</v>
      </c>
      <c r="M113" s="38">
        <v>1.2E-2</v>
      </c>
      <c r="N113" s="88">
        <v>90639.906449129223</v>
      </c>
      <c r="O113" s="80">
        <v>125.43000000000002</v>
      </c>
      <c r="P113" s="104">
        <v>40.784524674000004</v>
      </c>
      <c r="Q113" s="104">
        <v>116.5777533660082</v>
      </c>
      <c r="R113" s="38">
        <v>1.2462931053565528E-3</v>
      </c>
      <c r="S113" s="38">
        <v>7.2319676616107746E-4</v>
      </c>
      <c r="T113" s="38">
        <v>1.4122552748845581E-4</v>
      </c>
    </row>
    <row r="114" spans="1:20" x14ac:dyDescent="0.2">
      <c r="A114" s="30" t="s">
        <v>587</v>
      </c>
      <c r="B114" s="38" t="s">
        <v>588</v>
      </c>
      <c r="C114" s="38" t="s">
        <v>266</v>
      </c>
      <c r="D114" s="38" t="s">
        <v>180</v>
      </c>
      <c r="E114" s="38" t="s">
        <v>589</v>
      </c>
      <c r="F114" s="38" t="s">
        <v>407</v>
      </c>
      <c r="G114" s="80" t="s">
        <v>401</v>
      </c>
      <c r="H114" s="80" t="s">
        <v>402</v>
      </c>
      <c r="I114" s="80" t="s">
        <v>590</v>
      </c>
      <c r="J114" s="80">
        <v>2.73</v>
      </c>
      <c r="K114" s="80" t="s">
        <v>186</v>
      </c>
      <c r="L114" s="38">
        <v>2.75E-2</v>
      </c>
      <c r="M114" s="38">
        <v>1.41E-2</v>
      </c>
      <c r="N114" s="88">
        <v>7870.1619995374458</v>
      </c>
      <c r="O114" s="80">
        <v>104.65</v>
      </c>
      <c r="P114" s="104">
        <v>0.21118261100000002</v>
      </c>
      <c r="Q114" s="104">
        <v>8.2361244649107022</v>
      </c>
      <c r="R114" s="38">
        <v>1.8220112503654933E-5</v>
      </c>
      <c r="S114" s="38">
        <v>5.109326957110761E-5</v>
      </c>
      <c r="T114" s="38">
        <v>9.9774698725386653E-6</v>
      </c>
    </row>
    <row r="115" spans="1:20" x14ac:dyDescent="0.2">
      <c r="A115" s="30" t="s">
        <v>648</v>
      </c>
      <c r="B115" s="38" t="s">
        <v>649</v>
      </c>
      <c r="C115" s="38" t="s">
        <v>266</v>
      </c>
      <c r="D115" s="38" t="s">
        <v>180</v>
      </c>
      <c r="E115" s="38" t="s">
        <v>589</v>
      </c>
      <c r="F115" s="38" t="s">
        <v>407</v>
      </c>
      <c r="G115" s="80" t="s">
        <v>401</v>
      </c>
      <c r="H115" s="80" t="s">
        <v>402</v>
      </c>
      <c r="I115" s="80" t="s">
        <v>650</v>
      </c>
      <c r="J115" s="80">
        <v>6.8</v>
      </c>
      <c r="K115" s="80" t="s">
        <v>186</v>
      </c>
      <c r="L115" s="38">
        <v>1.9599999999999999E-2</v>
      </c>
      <c r="M115" s="38">
        <v>1.5600000000000001E-2</v>
      </c>
      <c r="N115" s="88">
        <v>941833.60760048288</v>
      </c>
      <c r="O115" s="80">
        <v>103.70000000000002</v>
      </c>
      <c r="P115" s="104">
        <v>0</v>
      </c>
      <c r="Q115" s="104">
        <v>976.6814510752846</v>
      </c>
      <c r="R115" s="38">
        <v>9.5490477094764689E-4</v>
      </c>
      <c r="S115" s="38">
        <v>6.0588992890397162E-3</v>
      </c>
      <c r="T115" s="38">
        <v>1.1831790297351526E-3</v>
      </c>
    </row>
    <row r="116" spans="1:20" x14ac:dyDescent="0.2">
      <c r="A116" s="30" t="s">
        <v>884</v>
      </c>
      <c r="B116" s="38" t="s">
        <v>885</v>
      </c>
      <c r="C116" s="38" t="s">
        <v>266</v>
      </c>
      <c r="D116" s="38" t="s">
        <v>180</v>
      </c>
      <c r="E116" s="38" t="s">
        <v>465</v>
      </c>
      <c r="F116" s="38" t="s">
        <v>390</v>
      </c>
      <c r="G116" s="80" t="s">
        <v>401</v>
      </c>
      <c r="H116" s="80" t="s">
        <v>402</v>
      </c>
      <c r="I116" s="80" t="s">
        <v>886</v>
      </c>
      <c r="J116" s="80">
        <v>2.79</v>
      </c>
      <c r="K116" s="80" t="s">
        <v>186</v>
      </c>
      <c r="L116" s="38">
        <v>1.4199999999999999E-2</v>
      </c>
      <c r="M116" s="38">
        <v>2.5000000000000001E-2</v>
      </c>
      <c r="N116" s="88">
        <v>7.9762019917509974</v>
      </c>
      <c r="O116" s="80">
        <v>4905000</v>
      </c>
      <c r="P116" s="104">
        <v>0</v>
      </c>
      <c r="Q116" s="104">
        <v>391.23270769538641</v>
      </c>
      <c r="R116" s="38">
        <v>3.763602128887367E-4</v>
      </c>
      <c r="S116" s="38">
        <v>2.427034497168864E-3</v>
      </c>
      <c r="T116" s="38">
        <v>4.7395016561648895E-4</v>
      </c>
    </row>
    <row r="117" spans="1:20" x14ac:dyDescent="0.2">
      <c r="A117" s="30" t="s">
        <v>875</v>
      </c>
      <c r="B117" s="38" t="s">
        <v>876</v>
      </c>
      <c r="C117" s="38" t="s">
        <v>266</v>
      </c>
      <c r="D117" s="38" t="s">
        <v>180</v>
      </c>
      <c r="E117" s="38" t="s">
        <v>465</v>
      </c>
      <c r="F117" s="38" t="s">
        <v>390</v>
      </c>
      <c r="G117" s="80" t="s">
        <v>401</v>
      </c>
      <c r="H117" s="80" t="s">
        <v>402</v>
      </c>
      <c r="I117" s="80" t="s">
        <v>877</v>
      </c>
      <c r="J117" s="80">
        <v>3.41</v>
      </c>
      <c r="K117" s="80" t="s">
        <v>186</v>
      </c>
      <c r="L117" s="38">
        <v>1.5900000000000001E-2</v>
      </c>
      <c r="M117" s="38">
        <v>3.15E-2</v>
      </c>
      <c r="N117" s="88">
        <v>10.211699755738787</v>
      </c>
      <c r="O117" s="80">
        <v>4780000</v>
      </c>
      <c r="P117" s="104">
        <v>0</v>
      </c>
      <c r="Q117" s="104">
        <v>488.11924832431401</v>
      </c>
      <c r="R117" s="38">
        <v>6.8214427226043998E-4</v>
      </c>
      <c r="S117" s="38">
        <v>3.0280756979491558E-3</v>
      </c>
      <c r="T117" s="38">
        <v>5.9132121122150449E-4</v>
      </c>
    </row>
    <row r="118" spans="1:20" x14ac:dyDescent="0.2">
      <c r="A118" s="30" t="s">
        <v>893</v>
      </c>
      <c r="B118" s="38" t="s">
        <v>894</v>
      </c>
      <c r="C118" s="38" t="s">
        <v>266</v>
      </c>
      <c r="D118" s="38" t="s">
        <v>180</v>
      </c>
      <c r="E118" s="38" t="s">
        <v>465</v>
      </c>
      <c r="F118" s="38" t="s">
        <v>390</v>
      </c>
      <c r="G118" s="80" t="s">
        <v>401</v>
      </c>
      <c r="H118" s="80" t="s">
        <v>402</v>
      </c>
      <c r="I118" s="80" t="s">
        <v>895</v>
      </c>
      <c r="J118" s="80">
        <v>4.5599999999999996</v>
      </c>
      <c r="K118" s="80" t="s">
        <v>186</v>
      </c>
      <c r="L118" s="38">
        <v>2.0199999999999999E-2</v>
      </c>
      <c r="M118" s="38">
        <v>2.7099999999999999E-2</v>
      </c>
      <c r="N118" s="88">
        <v>18.599881697952792</v>
      </c>
      <c r="O118" s="80">
        <v>4867000</v>
      </c>
      <c r="P118" s="104">
        <v>0</v>
      </c>
      <c r="Q118" s="104">
        <v>905.25624223936234</v>
      </c>
      <c r="R118" s="38">
        <v>8.8381476350452807E-4</v>
      </c>
      <c r="S118" s="38">
        <v>5.6158089174973523E-3</v>
      </c>
      <c r="T118" s="38">
        <v>1.0966525484591167E-3</v>
      </c>
    </row>
    <row r="119" spans="1:20" x14ac:dyDescent="0.2">
      <c r="A119" s="30" t="s">
        <v>902</v>
      </c>
      <c r="B119" s="38" t="s">
        <v>903</v>
      </c>
      <c r="C119" s="38" t="s">
        <v>266</v>
      </c>
      <c r="D119" s="38" t="s">
        <v>180</v>
      </c>
      <c r="E119" s="38" t="s">
        <v>465</v>
      </c>
      <c r="F119" s="38" t="s">
        <v>390</v>
      </c>
      <c r="G119" s="80" t="s">
        <v>401</v>
      </c>
      <c r="H119" s="80" t="s">
        <v>402</v>
      </c>
      <c r="I119" s="80" t="s">
        <v>904</v>
      </c>
      <c r="J119" s="80">
        <v>5.51</v>
      </c>
      <c r="K119" s="80" t="s">
        <v>186</v>
      </c>
      <c r="L119" s="38">
        <v>2.5899999999999999E-2</v>
      </c>
      <c r="M119" s="38">
        <v>2.6200000000000001E-2</v>
      </c>
      <c r="N119" s="88">
        <v>9.7321821084785665</v>
      </c>
      <c r="O119" s="80">
        <v>4990000</v>
      </c>
      <c r="P119" s="104">
        <v>0</v>
      </c>
      <c r="Q119" s="104">
        <v>485.63588721308048</v>
      </c>
      <c r="R119" s="38">
        <v>4.6073863127768625E-4</v>
      </c>
      <c r="S119" s="38">
        <v>3.0126700251428213E-3</v>
      </c>
      <c r="T119" s="38">
        <v>5.8831279861487986E-4</v>
      </c>
    </row>
    <row r="120" spans="1:20" x14ac:dyDescent="0.2">
      <c r="A120" s="30" t="s">
        <v>618</v>
      </c>
      <c r="B120" s="38" t="s">
        <v>619</v>
      </c>
      <c r="C120" s="38" t="s">
        <v>266</v>
      </c>
      <c r="D120" s="38" t="s">
        <v>180</v>
      </c>
      <c r="E120" s="38" t="s">
        <v>620</v>
      </c>
      <c r="F120" s="38" t="s">
        <v>424</v>
      </c>
      <c r="G120" s="80" t="s">
        <v>435</v>
      </c>
      <c r="H120" s="80" t="s">
        <v>185</v>
      </c>
      <c r="I120" s="80" t="s">
        <v>621</v>
      </c>
      <c r="J120" s="80">
        <v>4.24</v>
      </c>
      <c r="K120" s="80" t="s">
        <v>186</v>
      </c>
      <c r="L120" s="38">
        <v>1.9400000000000001E-2</v>
      </c>
      <c r="M120" s="38">
        <v>1.1299999999999999E-2</v>
      </c>
      <c r="N120" s="88">
        <v>402403.42099850724</v>
      </c>
      <c r="O120" s="80">
        <v>104.32999999999998</v>
      </c>
      <c r="P120" s="104">
        <v>0</v>
      </c>
      <c r="Q120" s="104">
        <v>419.82748909009712</v>
      </c>
      <c r="R120" s="38">
        <v>7.4240713478205818E-4</v>
      </c>
      <c r="S120" s="38">
        <v>2.6044238603761972E-3</v>
      </c>
      <c r="T120" s="38">
        <v>5.0859067780071666E-4</v>
      </c>
    </row>
    <row r="121" spans="1:20" x14ac:dyDescent="0.2">
      <c r="A121" s="30" t="s">
        <v>671</v>
      </c>
      <c r="B121" s="38" t="s">
        <v>672</v>
      </c>
      <c r="C121" s="38" t="s">
        <v>266</v>
      </c>
      <c r="D121" s="38" t="s">
        <v>180</v>
      </c>
      <c r="E121" s="38" t="s">
        <v>620</v>
      </c>
      <c r="F121" s="38" t="s">
        <v>424</v>
      </c>
      <c r="G121" s="80" t="s">
        <v>435</v>
      </c>
      <c r="H121" s="80" t="s">
        <v>185</v>
      </c>
      <c r="I121" s="80" t="s">
        <v>673</v>
      </c>
      <c r="J121" s="80">
        <v>5.23</v>
      </c>
      <c r="K121" s="80" t="s">
        <v>186</v>
      </c>
      <c r="L121" s="38">
        <v>1.23E-2</v>
      </c>
      <c r="M121" s="38">
        <v>1.3600000000000001E-2</v>
      </c>
      <c r="N121" s="88">
        <v>1624920.1363736012</v>
      </c>
      <c r="O121" s="80">
        <v>99.95</v>
      </c>
      <c r="P121" s="104">
        <v>0</v>
      </c>
      <c r="Q121" s="104">
        <v>1624.1076762513842</v>
      </c>
      <c r="R121" s="38">
        <v>9.3278087204292563E-4</v>
      </c>
      <c r="S121" s="38">
        <v>1.0075244936954317E-2</v>
      </c>
      <c r="T121" s="38">
        <v>1.9674891362551376E-3</v>
      </c>
    </row>
    <row r="122" spans="1:20" x14ac:dyDescent="0.2">
      <c r="A122" s="30" t="s">
        <v>559</v>
      </c>
      <c r="B122" s="38" t="s">
        <v>560</v>
      </c>
      <c r="C122" s="38" t="s">
        <v>266</v>
      </c>
      <c r="D122" s="38" t="s">
        <v>180</v>
      </c>
      <c r="E122" s="38" t="s">
        <v>561</v>
      </c>
      <c r="F122" s="38" t="s">
        <v>395</v>
      </c>
      <c r="G122" s="80" t="s">
        <v>435</v>
      </c>
      <c r="H122" s="80" t="s">
        <v>185</v>
      </c>
      <c r="I122" s="80" t="s">
        <v>562</v>
      </c>
      <c r="J122" s="80">
        <v>5.94</v>
      </c>
      <c r="K122" s="80" t="s">
        <v>186</v>
      </c>
      <c r="L122" s="38">
        <v>2.2499999999999999E-2</v>
      </c>
      <c r="M122" s="38">
        <v>9.4999999999999998E-3</v>
      </c>
      <c r="N122" s="88">
        <v>235847.34462401524</v>
      </c>
      <c r="O122" s="80">
        <v>109.69</v>
      </c>
      <c r="P122" s="104">
        <v>0</v>
      </c>
      <c r="Q122" s="104">
        <v>258.70095226889458</v>
      </c>
      <c r="R122" s="38">
        <v>5.764801836134262E-4</v>
      </c>
      <c r="S122" s="38">
        <v>1.6048661659850455E-3</v>
      </c>
      <c r="T122" s="38">
        <v>3.133975170308387E-4</v>
      </c>
    </row>
    <row r="123" spans="1:20" x14ac:dyDescent="0.2">
      <c r="A123" s="30" t="s">
        <v>712</v>
      </c>
      <c r="B123" s="38" t="s">
        <v>713</v>
      </c>
      <c r="C123" s="38" t="s">
        <v>266</v>
      </c>
      <c r="D123" s="38" t="s">
        <v>180</v>
      </c>
      <c r="E123" s="38" t="s">
        <v>506</v>
      </c>
      <c r="F123" s="38" t="s">
        <v>407</v>
      </c>
      <c r="G123" s="80" t="s">
        <v>435</v>
      </c>
      <c r="H123" s="80" t="s">
        <v>185</v>
      </c>
      <c r="I123" s="80" t="s">
        <v>714</v>
      </c>
      <c r="J123" s="80">
        <v>3.95</v>
      </c>
      <c r="K123" s="80" t="s">
        <v>186</v>
      </c>
      <c r="L123" s="38">
        <v>1.6E-2</v>
      </c>
      <c r="M123" s="38">
        <v>1.4499999999999999E-2</v>
      </c>
      <c r="N123" s="88">
        <v>481197.92707411625</v>
      </c>
      <c r="O123" s="80">
        <v>102.05</v>
      </c>
      <c r="P123" s="104">
        <v>0</v>
      </c>
      <c r="Q123" s="104">
        <v>491.06248455414669</v>
      </c>
      <c r="R123" s="38">
        <v>8.3177358475485799E-4</v>
      </c>
      <c r="S123" s="38">
        <v>3.0463342323779363E-3</v>
      </c>
      <c r="T123" s="38">
        <v>5.948867293163356E-4</v>
      </c>
    </row>
    <row r="124" spans="1:20" x14ac:dyDescent="0.2">
      <c r="A124" s="30" t="s">
        <v>744</v>
      </c>
      <c r="B124" s="38" t="s">
        <v>745</v>
      </c>
      <c r="C124" s="38" t="s">
        <v>266</v>
      </c>
      <c r="D124" s="38" t="s">
        <v>180</v>
      </c>
      <c r="E124" s="38" t="s">
        <v>506</v>
      </c>
      <c r="F124" s="38" t="s">
        <v>407</v>
      </c>
      <c r="G124" s="80" t="s">
        <v>435</v>
      </c>
      <c r="H124" s="80" t="s">
        <v>185</v>
      </c>
      <c r="I124" s="80" t="s">
        <v>746</v>
      </c>
      <c r="J124" s="80">
        <v>5.64</v>
      </c>
      <c r="K124" s="80" t="s">
        <v>186</v>
      </c>
      <c r="L124" s="38">
        <v>1.4199999999999999E-2</v>
      </c>
      <c r="M124" s="38">
        <v>1.67E-2</v>
      </c>
      <c r="N124" s="88">
        <v>444663.69290707511</v>
      </c>
      <c r="O124" s="80">
        <v>98.75</v>
      </c>
      <c r="P124" s="104">
        <v>0</v>
      </c>
      <c r="Q124" s="104">
        <v>439.10539671956587</v>
      </c>
      <c r="R124" s="38">
        <v>8.4625310287767647E-4</v>
      </c>
      <c r="S124" s="38">
        <v>2.7240154638634613E-3</v>
      </c>
      <c r="T124" s="38">
        <v>5.3194447040038847E-4</v>
      </c>
    </row>
    <row r="125" spans="1:20" x14ac:dyDescent="0.2">
      <c r="A125" s="30" t="s">
        <v>626</v>
      </c>
      <c r="B125" s="38" t="s">
        <v>627</v>
      </c>
      <c r="C125" s="38" t="s">
        <v>266</v>
      </c>
      <c r="D125" s="38" t="s">
        <v>180</v>
      </c>
      <c r="E125" s="38" t="s">
        <v>628</v>
      </c>
      <c r="F125" s="38" t="s">
        <v>629</v>
      </c>
      <c r="G125" s="80" t="s">
        <v>435</v>
      </c>
      <c r="H125" s="80" t="s">
        <v>185</v>
      </c>
      <c r="I125" s="80" t="s">
        <v>630</v>
      </c>
      <c r="J125" s="80">
        <v>1.49</v>
      </c>
      <c r="K125" s="80" t="s">
        <v>186</v>
      </c>
      <c r="L125" s="38">
        <v>2.1499999999999998E-2</v>
      </c>
      <c r="M125" s="38">
        <v>3.4599999999999999E-2</v>
      </c>
      <c r="N125" s="88">
        <v>281077.59012612543</v>
      </c>
      <c r="O125" s="80">
        <v>98.550000000000011</v>
      </c>
      <c r="P125" s="104">
        <v>25.056405483999999</v>
      </c>
      <c r="Q125" s="104">
        <v>278.9748735001719</v>
      </c>
      <c r="R125" s="38">
        <v>4.3824155152816393E-4</v>
      </c>
      <c r="S125" s="38">
        <v>1.7306365968650364E-3</v>
      </c>
      <c r="T125" s="38">
        <v>3.3795790816444746E-4</v>
      </c>
    </row>
    <row r="126" spans="1:20" x14ac:dyDescent="0.2">
      <c r="A126" s="30" t="s">
        <v>654</v>
      </c>
      <c r="B126" s="38" t="s">
        <v>655</v>
      </c>
      <c r="C126" s="38" t="s">
        <v>266</v>
      </c>
      <c r="D126" s="38" t="s">
        <v>180</v>
      </c>
      <c r="E126" s="38" t="s">
        <v>628</v>
      </c>
      <c r="F126" s="38" t="s">
        <v>629</v>
      </c>
      <c r="G126" s="80" t="s">
        <v>435</v>
      </c>
      <c r="H126" s="80" t="s">
        <v>185</v>
      </c>
      <c r="I126" s="80" t="s">
        <v>327</v>
      </c>
      <c r="J126" s="80">
        <v>2.92</v>
      </c>
      <c r="K126" s="80" t="s">
        <v>186</v>
      </c>
      <c r="L126" s="38">
        <v>1.8000000000000002E-2</v>
      </c>
      <c r="M126" s="38">
        <v>4.4299999999999999E-2</v>
      </c>
      <c r="N126" s="88">
        <v>596842.22065831569</v>
      </c>
      <c r="O126" s="80">
        <v>93.18</v>
      </c>
      <c r="P126" s="104">
        <v>0</v>
      </c>
      <c r="Q126" s="104">
        <v>556.13758119304748</v>
      </c>
      <c r="R126" s="38">
        <v>8.934864018643881E-4</v>
      </c>
      <c r="S126" s="38">
        <v>3.4500313194123396E-3</v>
      </c>
      <c r="T126" s="38">
        <v>6.7372050835080703E-4</v>
      </c>
    </row>
    <row r="127" spans="1:20" x14ac:dyDescent="0.2">
      <c r="A127" s="30" t="s">
        <v>637</v>
      </c>
      <c r="B127" s="38" t="s">
        <v>638</v>
      </c>
      <c r="C127" s="38" t="s">
        <v>266</v>
      </c>
      <c r="D127" s="38" t="s">
        <v>180</v>
      </c>
      <c r="E127" s="38" t="s">
        <v>639</v>
      </c>
      <c r="F127" s="38" t="s">
        <v>629</v>
      </c>
      <c r="G127" s="80" t="s">
        <v>507</v>
      </c>
      <c r="H127" s="80" t="s">
        <v>185</v>
      </c>
      <c r="I127" s="80" t="s">
        <v>640</v>
      </c>
      <c r="J127" s="80">
        <v>1.19</v>
      </c>
      <c r="K127" s="80" t="s">
        <v>186</v>
      </c>
      <c r="L127" s="38">
        <v>2.8500000000000001E-2</v>
      </c>
      <c r="M127" s="38">
        <v>0.22510000000000002</v>
      </c>
      <c r="N127" s="88">
        <v>139415.0283021334</v>
      </c>
      <c r="O127" s="80">
        <v>81.59</v>
      </c>
      <c r="P127" s="104">
        <v>0</v>
      </c>
      <c r="Q127" s="104">
        <v>113.74872155794179</v>
      </c>
      <c r="R127" s="38">
        <v>6.4235988373071177E-4</v>
      </c>
      <c r="S127" s="38">
        <v>7.0564670540002484E-4</v>
      </c>
      <c r="T127" s="38">
        <v>1.3779835980131205E-4</v>
      </c>
    </row>
    <row r="128" spans="1:20" x14ac:dyDescent="0.2">
      <c r="A128" s="30" t="s">
        <v>715</v>
      </c>
      <c r="B128" s="38" t="s">
        <v>716</v>
      </c>
      <c r="C128" s="38" t="s">
        <v>266</v>
      </c>
      <c r="D128" s="38" t="s">
        <v>180</v>
      </c>
      <c r="E128" s="38" t="s">
        <v>639</v>
      </c>
      <c r="F128" s="38" t="s">
        <v>629</v>
      </c>
      <c r="G128" s="80" t="s">
        <v>507</v>
      </c>
      <c r="H128" s="80" t="s">
        <v>185</v>
      </c>
      <c r="I128" s="80" t="s">
        <v>717</v>
      </c>
      <c r="J128" s="80">
        <v>2.0099999999999998</v>
      </c>
      <c r="K128" s="80" t="s">
        <v>186</v>
      </c>
      <c r="L128" s="38">
        <v>3.15E-2</v>
      </c>
      <c r="M128" s="38">
        <v>0.15720000000000001</v>
      </c>
      <c r="N128" s="88">
        <v>328460.61612530716</v>
      </c>
      <c r="O128" s="80">
        <v>79.17</v>
      </c>
      <c r="P128" s="104">
        <v>0</v>
      </c>
      <c r="Q128" s="104">
        <v>260.0422697703047</v>
      </c>
      <c r="R128" s="38">
        <v>8.8019998281168535E-4</v>
      </c>
      <c r="S128" s="38">
        <v>1.6131871058848695E-3</v>
      </c>
      <c r="T128" s="38">
        <v>3.1502242629694374E-4</v>
      </c>
    </row>
    <row r="129" spans="1:20" x14ac:dyDescent="0.2">
      <c r="A129" s="30" t="s">
        <v>518</v>
      </c>
      <c r="B129" s="38" t="s">
        <v>519</v>
      </c>
      <c r="C129" s="38" t="s">
        <v>266</v>
      </c>
      <c r="D129" s="38" t="s">
        <v>180</v>
      </c>
      <c r="E129" s="38" t="s">
        <v>520</v>
      </c>
      <c r="F129" s="38" t="s">
        <v>418</v>
      </c>
      <c r="G129" s="80" t="s">
        <v>451</v>
      </c>
      <c r="H129" s="80" t="s">
        <v>402</v>
      </c>
      <c r="I129" s="80" t="s">
        <v>521</v>
      </c>
      <c r="J129" s="80">
        <v>0.8</v>
      </c>
      <c r="K129" s="80" t="s">
        <v>186</v>
      </c>
      <c r="L129" s="38">
        <v>4.7E-2</v>
      </c>
      <c r="M129" s="38">
        <v>2.3300000000000001E-2</v>
      </c>
      <c r="N129" s="88">
        <v>76687.123540334505</v>
      </c>
      <c r="O129" s="80">
        <v>124.36</v>
      </c>
      <c r="P129" s="104">
        <v>0</v>
      </c>
      <c r="Q129" s="104">
        <v>95.368106800883083</v>
      </c>
      <c r="R129" s="38">
        <v>1.5569704141853893E-3</v>
      </c>
      <c r="S129" s="38">
        <v>5.9162150960968146E-4</v>
      </c>
      <c r="T129" s="38">
        <v>1.1553157270276602E-4</v>
      </c>
    </row>
    <row r="130" spans="1:20" x14ac:dyDescent="0.2">
      <c r="A130" s="30" t="s">
        <v>702</v>
      </c>
      <c r="B130" s="38" t="s">
        <v>703</v>
      </c>
      <c r="C130" s="38" t="s">
        <v>266</v>
      </c>
      <c r="D130" s="38" t="s">
        <v>180</v>
      </c>
      <c r="E130" s="38" t="s">
        <v>704</v>
      </c>
      <c r="F130" s="38" t="s">
        <v>407</v>
      </c>
      <c r="G130" s="80" t="s">
        <v>507</v>
      </c>
      <c r="H130" s="80" t="s">
        <v>185</v>
      </c>
      <c r="I130" s="80" t="s">
        <v>705</v>
      </c>
      <c r="J130" s="80">
        <v>6.29</v>
      </c>
      <c r="K130" s="80" t="s">
        <v>186</v>
      </c>
      <c r="L130" s="38">
        <v>1.83E-2</v>
      </c>
      <c r="M130" s="38">
        <v>1.1599999999999999E-2</v>
      </c>
      <c r="N130" s="88">
        <v>149711.94678600243</v>
      </c>
      <c r="O130" s="80">
        <v>104.4</v>
      </c>
      <c r="P130" s="104">
        <v>0</v>
      </c>
      <c r="Q130" s="104">
        <v>156.29927237839959</v>
      </c>
      <c r="R130" s="38">
        <v>6.061212420485928E-4</v>
      </c>
      <c r="S130" s="38">
        <v>9.6961148309748476E-4</v>
      </c>
      <c r="T130" s="38">
        <v>1.8934527858329358E-4</v>
      </c>
    </row>
    <row r="131" spans="1:20" x14ac:dyDescent="0.2">
      <c r="A131" s="30" t="s">
        <v>667</v>
      </c>
      <c r="B131" s="38" t="s">
        <v>668</v>
      </c>
      <c r="C131" s="38" t="s">
        <v>266</v>
      </c>
      <c r="D131" s="38" t="s">
        <v>180</v>
      </c>
      <c r="E131" s="38" t="s">
        <v>669</v>
      </c>
      <c r="F131" s="38" t="s">
        <v>407</v>
      </c>
      <c r="G131" s="80" t="s">
        <v>451</v>
      </c>
      <c r="H131" s="80" t="s">
        <v>402</v>
      </c>
      <c r="I131" s="80" t="s">
        <v>670</v>
      </c>
      <c r="J131" s="80">
        <v>6.54</v>
      </c>
      <c r="K131" s="80" t="s">
        <v>186</v>
      </c>
      <c r="L131" s="38">
        <v>1.9E-2</v>
      </c>
      <c r="M131" s="38">
        <v>2.9300000000000003E-2</v>
      </c>
      <c r="N131" s="88">
        <v>314680.30254438106</v>
      </c>
      <c r="O131" s="80">
        <v>94.06</v>
      </c>
      <c r="P131" s="104">
        <v>0</v>
      </c>
      <c r="Q131" s="104">
        <v>295.98829253915181</v>
      </c>
      <c r="R131" s="38">
        <v>1.3567736109096301E-3</v>
      </c>
      <c r="S131" s="38">
        <v>1.8361803157571281E-3</v>
      </c>
      <c r="T131" s="38">
        <v>3.5856843640664522E-4</v>
      </c>
    </row>
    <row r="132" spans="1:20" x14ac:dyDescent="0.2">
      <c r="A132" s="30" t="s">
        <v>447</v>
      </c>
      <c r="B132" s="38" t="s">
        <v>448</v>
      </c>
      <c r="C132" s="38" t="s">
        <v>266</v>
      </c>
      <c r="D132" s="38" t="s">
        <v>180</v>
      </c>
      <c r="E132" s="38" t="s">
        <v>449</v>
      </c>
      <c r="F132" s="38" t="s">
        <v>450</v>
      </c>
      <c r="G132" s="80" t="s">
        <v>451</v>
      </c>
      <c r="H132" s="80" t="s">
        <v>402</v>
      </c>
      <c r="I132" s="80" t="s">
        <v>452</v>
      </c>
      <c r="J132" s="80">
        <v>2.81</v>
      </c>
      <c r="K132" s="80" t="s">
        <v>186</v>
      </c>
      <c r="L132" s="38">
        <v>3.95E-2</v>
      </c>
      <c r="M132" s="38">
        <v>0.02</v>
      </c>
      <c r="N132" s="88">
        <v>3940.8853920445663</v>
      </c>
      <c r="O132" s="80">
        <v>111.86</v>
      </c>
      <c r="P132" s="104">
        <v>0</v>
      </c>
      <c r="Q132" s="104">
        <v>4.4082743495631558</v>
      </c>
      <c r="R132" s="38">
        <v>8.0614292968240021E-6</v>
      </c>
      <c r="S132" s="38">
        <v>2.7346982266382177E-5</v>
      </c>
      <c r="T132" s="38">
        <v>5.3403059533690821E-6</v>
      </c>
    </row>
    <row r="133" spans="1:20" x14ac:dyDescent="0.2">
      <c r="A133" s="30" t="s">
        <v>504</v>
      </c>
      <c r="B133" s="38" t="s">
        <v>505</v>
      </c>
      <c r="C133" s="38" t="s">
        <v>266</v>
      </c>
      <c r="D133" s="38" t="s">
        <v>180</v>
      </c>
      <c r="E133" s="38" t="s">
        <v>506</v>
      </c>
      <c r="F133" s="38" t="s">
        <v>407</v>
      </c>
      <c r="G133" s="80" t="s">
        <v>507</v>
      </c>
      <c r="H133" s="80" t="s">
        <v>185</v>
      </c>
      <c r="I133" s="80" t="s">
        <v>508</v>
      </c>
      <c r="J133" s="80">
        <v>2.19</v>
      </c>
      <c r="K133" s="80" t="s">
        <v>186</v>
      </c>
      <c r="L133" s="38">
        <v>3.3000000000000002E-2</v>
      </c>
      <c r="M133" s="38">
        <v>3.3099999999999997E-2</v>
      </c>
      <c r="N133" s="88">
        <v>310633.33893378655</v>
      </c>
      <c r="O133" s="80">
        <v>100</v>
      </c>
      <c r="P133" s="104">
        <v>0</v>
      </c>
      <c r="Q133" s="104">
        <v>310.63333893378655</v>
      </c>
      <c r="R133" s="38">
        <v>6.1790524245336465E-4</v>
      </c>
      <c r="S133" s="38">
        <v>1.9270316993794086E-3</v>
      </c>
      <c r="T133" s="38">
        <v>3.7630985226393745E-4</v>
      </c>
    </row>
    <row r="134" spans="1:20" x14ac:dyDescent="0.2">
      <c r="A134" s="30" t="s">
        <v>863</v>
      </c>
      <c r="B134" s="38" t="s">
        <v>864</v>
      </c>
      <c r="C134" s="38" t="s">
        <v>266</v>
      </c>
      <c r="D134" s="38" t="s">
        <v>180</v>
      </c>
      <c r="E134" s="38" t="s">
        <v>865</v>
      </c>
      <c r="F134" s="38" t="s">
        <v>395</v>
      </c>
      <c r="G134" s="80" t="s">
        <v>479</v>
      </c>
      <c r="H134" s="80" t="s">
        <v>402</v>
      </c>
      <c r="I134" s="80" t="s">
        <v>866</v>
      </c>
      <c r="J134" s="80">
        <v>0.46</v>
      </c>
      <c r="K134" s="80" t="s">
        <v>186</v>
      </c>
      <c r="L134" s="38">
        <v>4.2999999999999997E-2</v>
      </c>
      <c r="M134" s="38">
        <v>3.0999999999999999E-3</v>
      </c>
      <c r="N134" s="88">
        <v>145948.96277877988</v>
      </c>
      <c r="O134" s="80">
        <v>103.25</v>
      </c>
      <c r="P134" s="104">
        <v>0</v>
      </c>
      <c r="Q134" s="104">
        <v>150.69230406909023</v>
      </c>
      <c r="R134" s="38">
        <v>1.2162413564898323E-3</v>
      </c>
      <c r="S134" s="38">
        <v>9.3482833423606121E-4</v>
      </c>
      <c r="T134" s="38">
        <v>1.8255284148247571E-4</v>
      </c>
    </row>
    <row r="135" spans="1:20" x14ac:dyDescent="0.2">
      <c r="A135" s="30" t="s">
        <v>475</v>
      </c>
      <c r="B135" s="38" t="s">
        <v>476</v>
      </c>
      <c r="C135" s="38" t="s">
        <v>266</v>
      </c>
      <c r="D135" s="38" t="s">
        <v>180</v>
      </c>
      <c r="E135" s="38" t="s">
        <v>477</v>
      </c>
      <c r="F135" s="38" t="s">
        <v>478</v>
      </c>
      <c r="G135" s="80" t="s">
        <v>479</v>
      </c>
      <c r="H135" s="80" t="s">
        <v>402</v>
      </c>
      <c r="I135" s="80" t="s">
        <v>480</v>
      </c>
      <c r="J135" s="80">
        <v>0.08</v>
      </c>
      <c r="K135" s="80" t="s">
        <v>186</v>
      </c>
      <c r="L135" s="38">
        <v>4.8000000000000001E-2</v>
      </c>
      <c r="M135" s="38">
        <v>0.1024</v>
      </c>
      <c r="N135" s="88">
        <v>25641.928337155685</v>
      </c>
      <c r="O135" s="80">
        <v>103.8</v>
      </c>
      <c r="P135" s="104">
        <v>0</v>
      </c>
      <c r="Q135" s="104">
        <v>26.616321568852417</v>
      </c>
      <c r="R135" s="38">
        <v>2.3982488803391569E-4</v>
      </c>
      <c r="S135" s="38">
        <v>1.651158744264323E-4</v>
      </c>
      <c r="T135" s="38">
        <v>3.2243751014501615E-5</v>
      </c>
    </row>
    <row r="136" spans="1:20" x14ac:dyDescent="0.2">
      <c r="A136" s="30" t="s">
        <v>522</v>
      </c>
      <c r="B136" s="38" t="s">
        <v>523</v>
      </c>
      <c r="C136" s="38" t="s">
        <v>266</v>
      </c>
      <c r="D136" s="38" t="s">
        <v>180</v>
      </c>
      <c r="E136" s="38" t="s">
        <v>477</v>
      </c>
      <c r="F136" s="38" t="s">
        <v>478</v>
      </c>
      <c r="G136" s="80" t="s">
        <v>479</v>
      </c>
      <c r="H136" s="80" t="s">
        <v>402</v>
      </c>
      <c r="I136" s="80" t="s">
        <v>524</v>
      </c>
      <c r="J136" s="80">
        <v>1.39</v>
      </c>
      <c r="K136" s="80" t="s">
        <v>186</v>
      </c>
      <c r="L136" s="38">
        <v>1.8500000000000003E-2</v>
      </c>
      <c r="M136" s="38">
        <v>6.4699999999999994E-2</v>
      </c>
      <c r="N136" s="88">
        <v>29973.17756442634</v>
      </c>
      <c r="O136" s="80">
        <v>94.23</v>
      </c>
      <c r="P136" s="104">
        <v>0</v>
      </c>
      <c r="Q136" s="104">
        <v>28.243725174397568</v>
      </c>
      <c r="R136" s="38">
        <v>3.9857948888864813E-4</v>
      </c>
      <c r="S136" s="38">
        <v>1.7521156584942638E-4</v>
      </c>
      <c r="T136" s="38">
        <v>3.4215232931022605E-5</v>
      </c>
    </row>
    <row r="137" spans="1:20" x14ac:dyDescent="0.2">
      <c r="A137" s="30" t="s">
        <v>453</v>
      </c>
      <c r="B137" s="38" t="s">
        <v>454</v>
      </c>
      <c r="C137" s="38" t="s">
        <v>266</v>
      </c>
      <c r="D137" s="38" t="s">
        <v>180</v>
      </c>
      <c r="E137" s="38" t="s">
        <v>455</v>
      </c>
      <c r="F137" s="38" t="s">
        <v>456</v>
      </c>
      <c r="G137" s="80" t="s">
        <v>429</v>
      </c>
      <c r="H137" s="80" t="s">
        <v>185</v>
      </c>
      <c r="I137" s="80" t="s">
        <v>457</v>
      </c>
      <c r="J137" s="80">
        <v>0.5</v>
      </c>
      <c r="K137" s="80" t="s">
        <v>186</v>
      </c>
      <c r="L137" s="38">
        <v>5.5E-2</v>
      </c>
      <c r="M137" s="38">
        <v>3.6799999999999999E-2</v>
      </c>
      <c r="N137" s="88">
        <v>12717.585431768888</v>
      </c>
      <c r="O137" s="80">
        <v>105</v>
      </c>
      <c r="P137" s="104">
        <v>0.36395389430000002</v>
      </c>
      <c r="Q137" s="104">
        <v>13.717418560482107</v>
      </c>
      <c r="R137" s="38">
        <v>1.1446971585750575E-3</v>
      </c>
      <c r="S137" s="38">
        <v>8.5096791253752148E-5</v>
      </c>
      <c r="T137" s="38">
        <v>1.6617661741188468E-5</v>
      </c>
    </row>
    <row r="138" spans="1:20" x14ac:dyDescent="0.2">
      <c r="A138" s="30" t="s">
        <v>525</v>
      </c>
      <c r="B138" s="38" t="s">
        <v>526</v>
      </c>
      <c r="C138" s="38" t="s">
        <v>266</v>
      </c>
      <c r="D138" s="38" t="s">
        <v>180</v>
      </c>
      <c r="E138" s="38" t="s">
        <v>527</v>
      </c>
      <c r="F138" s="38" t="s">
        <v>456</v>
      </c>
      <c r="G138" s="80" t="s">
        <v>429</v>
      </c>
      <c r="H138" s="80" t="s">
        <v>185</v>
      </c>
      <c r="I138" s="80" t="s">
        <v>528</v>
      </c>
      <c r="J138" s="80">
        <v>2.71</v>
      </c>
      <c r="K138" s="80" t="s">
        <v>186</v>
      </c>
      <c r="L138" s="38">
        <v>2.4E-2</v>
      </c>
      <c r="M138" s="38">
        <v>3.6799999999999999E-2</v>
      </c>
      <c r="N138" s="88">
        <v>23626.58813366964</v>
      </c>
      <c r="O138" s="80">
        <v>97.1</v>
      </c>
      <c r="P138" s="104">
        <v>0</v>
      </c>
      <c r="Q138" s="104">
        <v>22.941417051521057</v>
      </c>
      <c r="R138" s="38">
        <v>6.4103625012813795E-5</v>
      </c>
      <c r="S138" s="38">
        <v>1.42318393893927E-4</v>
      </c>
      <c r="T138" s="38">
        <v>2.7791869639670133E-5</v>
      </c>
    </row>
    <row r="139" spans="1:20" x14ac:dyDescent="0.2">
      <c r="A139" s="30" t="s">
        <v>842</v>
      </c>
      <c r="B139" s="38" t="s">
        <v>843</v>
      </c>
      <c r="C139" s="38" t="s">
        <v>266</v>
      </c>
      <c r="D139" s="38" t="s">
        <v>180</v>
      </c>
      <c r="E139" s="38" t="s">
        <v>811</v>
      </c>
      <c r="F139" s="38" t="s">
        <v>390</v>
      </c>
      <c r="G139" s="80" t="s">
        <v>429</v>
      </c>
      <c r="H139" s="80" t="s">
        <v>185</v>
      </c>
      <c r="I139" s="80" t="s">
        <v>844</v>
      </c>
      <c r="J139" s="80">
        <v>1.46</v>
      </c>
      <c r="K139" s="80" t="s">
        <v>186</v>
      </c>
      <c r="L139" s="38">
        <v>5.0999999999999997E-2</v>
      </c>
      <c r="M139" s="38">
        <v>1.78E-2</v>
      </c>
      <c r="N139" s="88">
        <v>614350.68858346215</v>
      </c>
      <c r="O139" s="80">
        <v>126.61</v>
      </c>
      <c r="P139" s="104">
        <v>9.4535354839999997</v>
      </c>
      <c r="Q139" s="104">
        <v>787.28294224845149</v>
      </c>
      <c r="R139" s="38">
        <v>5.3550208262350232E-4</v>
      </c>
      <c r="S139" s="38">
        <v>4.8839547979646764E-3</v>
      </c>
      <c r="T139" s="38">
        <v>9.5373641703855544E-4</v>
      </c>
    </row>
    <row r="140" spans="1:20" x14ac:dyDescent="0.2">
      <c r="A140" s="30" t="s">
        <v>772</v>
      </c>
      <c r="B140" s="38" t="s">
        <v>773</v>
      </c>
      <c r="C140" s="38" t="s">
        <v>266</v>
      </c>
      <c r="D140" s="38" t="s">
        <v>180</v>
      </c>
      <c r="E140" s="38" t="s">
        <v>774</v>
      </c>
      <c r="F140" s="38" t="s">
        <v>407</v>
      </c>
      <c r="G140" s="80" t="s">
        <v>429</v>
      </c>
      <c r="H140" s="80" t="s">
        <v>185</v>
      </c>
      <c r="I140" s="80" t="s">
        <v>775</v>
      </c>
      <c r="J140" s="80">
        <v>0</v>
      </c>
      <c r="K140" s="80" t="s">
        <v>186</v>
      </c>
      <c r="L140" s="38">
        <v>1.8000000000000002E-2</v>
      </c>
      <c r="M140" s="38">
        <v>6.0999999999999995E-3</v>
      </c>
      <c r="N140" s="88">
        <v>411101.96040464286</v>
      </c>
      <c r="O140" s="80">
        <v>101.44</v>
      </c>
      <c r="P140" s="104">
        <v>0</v>
      </c>
      <c r="Q140" s="104">
        <v>417.02182863446973</v>
      </c>
      <c r="R140" s="38">
        <v>1.072500132045615E-3</v>
      </c>
      <c r="S140" s="38">
        <v>2.5870187851378249E-3</v>
      </c>
      <c r="T140" s="38">
        <v>5.0519182281887922E-4</v>
      </c>
    </row>
    <row r="141" spans="1:20" x14ac:dyDescent="0.2">
      <c r="A141" s="30" t="s">
        <v>426</v>
      </c>
      <c r="B141" s="38" t="s">
        <v>427</v>
      </c>
      <c r="C141" s="38" t="s">
        <v>266</v>
      </c>
      <c r="D141" s="38" t="s">
        <v>180</v>
      </c>
      <c r="E141" s="38" t="s">
        <v>428</v>
      </c>
      <c r="F141" s="38" t="s">
        <v>418</v>
      </c>
      <c r="G141" s="80" t="s">
        <v>429</v>
      </c>
      <c r="H141" s="80" t="s">
        <v>185</v>
      </c>
      <c r="I141" s="80" t="s">
        <v>430</v>
      </c>
      <c r="J141" s="80">
        <v>0.68</v>
      </c>
      <c r="K141" s="80" t="s">
        <v>186</v>
      </c>
      <c r="L141" s="38">
        <v>5.0999999999999997E-2</v>
      </c>
      <c r="M141" s="38">
        <v>2.0899999999999998E-2</v>
      </c>
      <c r="N141" s="88">
        <v>256030.65289131907</v>
      </c>
      <c r="O141" s="80">
        <v>125.35000000000001</v>
      </c>
      <c r="P141" s="104">
        <v>0</v>
      </c>
      <c r="Q141" s="104">
        <v>320.93442334540714</v>
      </c>
      <c r="R141" s="38">
        <v>5.1950918479125915E-4</v>
      </c>
      <c r="S141" s="38">
        <v>1.9909350661825682E-3</v>
      </c>
      <c r="T141" s="38">
        <v>3.8878887195448512E-4</v>
      </c>
    </row>
    <row r="142" spans="1:20" x14ac:dyDescent="0.2">
      <c r="A142" s="30" t="s">
        <v>622</v>
      </c>
      <c r="B142" s="38" t="s">
        <v>623</v>
      </c>
      <c r="C142" s="38" t="s">
        <v>266</v>
      </c>
      <c r="D142" s="38" t="s">
        <v>180</v>
      </c>
      <c r="E142" s="38" t="s">
        <v>624</v>
      </c>
      <c r="F142" s="38" t="s">
        <v>407</v>
      </c>
      <c r="G142" s="80" t="s">
        <v>429</v>
      </c>
      <c r="H142" s="80" t="s">
        <v>185</v>
      </c>
      <c r="I142" s="80" t="s">
        <v>625</v>
      </c>
      <c r="J142" s="80">
        <v>3.98</v>
      </c>
      <c r="K142" s="80" t="s">
        <v>186</v>
      </c>
      <c r="L142" s="38">
        <v>2.0499999999999997E-2</v>
      </c>
      <c r="M142" s="38">
        <v>1.8100000000000002E-2</v>
      </c>
      <c r="N142" s="88">
        <v>265872.94967633433</v>
      </c>
      <c r="O142" s="80">
        <v>102.2</v>
      </c>
      <c r="P142" s="104">
        <v>0</v>
      </c>
      <c r="Q142" s="104">
        <v>271.72215456475618</v>
      </c>
      <c r="R142" s="38">
        <v>5.132729591807337E-4</v>
      </c>
      <c r="S142" s="38">
        <v>1.6856439397883456E-3</v>
      </c>
      <c r="T142" s="38">
        <v>3.2917176305695178E-4</v>
      </c>
    </row>
    <row r="143" spans="1:20" x14ac:dyDescent="0.2">
      <c r="A143" s="30" t="s">
        <v>659</v>
      </c>
      <c r="B143" s="38" t="s">
        <v>660</v>
      </c>
      <c r="C143" s="38" t="s">
        <v>266</v>
      </c>
      <c r="D143" s="38" t="s">
        <v>180</v>
      </c>
      <c r="E143" s="38" t="s">
        <v>624</v>
      </c>
      <c r="F143" s="38" t="s">
        <v>407</v>
      </c>
      <c r="G143" s="80" t="s">
        <v>429</v>
      </c>
      <c r="H143" s="80" t="s">
        <v>185</v>
      </c>
      <c r="I143" s="80" t="s">
        <v>661</v>
      </c>
      <c r="J143" s="80">
        <v>4.51</v>
      </c>
      <c r="K143" s="80" t="s">
        <v>186</v>
      </c>
      <c r="L143" s="38">
        <v>2.0499999999999997E-2</v>
      </c>
      <c r="M143" s="38">
        <v>1.9199999999999998E-2</v>
      </c>
      <c r="N143" s="88">
        <v>421103.38829517318</v>
      </c>
      <c r="O143" s="80">
        <v>102.53000000000002</v>
      </c>
      <c r="P143" s="104">
        <v>0</v>
      </c>
      <c r="Q143" s="104">
        <v>431.7573039528541</v>
      </c>
      <c r="R143" s="38">
        <v>7.3649216430966553E-4</v>
      </c>
      <c r="S143" s="38">
        <v>2.6784311497649277E-3</v>
      </c>
      <c r="T143" s="38">
        <v>5.2304278678537766E-4</v>
      </c>
    </row>
    <row r="144" spans="1:20" x14ac:dyDescent="0.2">
      <c r="A144" s="30" t="s">
        <v>769</v>
      </c>
      <c r="B144" s="38" t="s">
        <v>770</v>
      </c>
      <c r="C144" s="38" t="s">
        <v>266</v>
      </c>
      <c r="D144" s="38" t="s">
        <v>180</v>
      </c>
      <c r="E144" s="38" t="s">
        <v>624</v>
      </c>
      <c r="F144" s="38" t="s">
        <v>407</v>
      </c>
      <c r="G144" s="80" t="s">
        <v>429</v>
      </c>
      <c r="H144" s="80" t="s">
        <v>185</v>
      </c>
      <c r="I144" s="80" t="s">
        <v>771</v>
      </c>
      <c r="J144" s="80">
        <v>4.5</v>
      </c>
      <c r="K144" s="80" t="s">
        <v>186</v>
      </c>
      <c r="L144" s="38">
        <v>2.0499999999999997E-2</v>
      </c>
      <c r="M144" s="38">
        <v>2.0499999999999997E-2</v>
      </c>
      <c r="N144" s="88">
        <v>95633.378664855307</v>
      </c>
      <c r="O144" s="80">
        <v>101.82</v>
      </c>
      <c r="P144" s="104">
        <v>0</v>
      </c>
      <c r="Q144" s="104">
        <v>97.373906156555677</v>
      </c>
      <c r="R144" s="38">
        <v>1.6725876825231047E-4</v>
      </c>
      <c r="S144" s="38">
        <v>6.040646007287574E-4</v>
      </c>
      <c r="T144" s="38">
        <v>1.1796145373805679E-4</v>
      </c>
    </row>
    <row r="145" spans="1:20" x14ac:dyDescent="0.2">
      <c r="A145" s="30" t="s">
        <v>776</v>
      </c>
      <c r="B145" s="38" t="s">
        <v>777</v>
      </c>
      <c r="C145" s="38" t="s">
        <v>266</v>
      </c>
      <c r="D145" s="38" t="s">
        <v>180</v>
      </c>
      <c r="E145" s="38" t="s">
        <v>624</v>
      </c>
      <c r="F145" s="38" t="s">
        <v>407</v>
      </c>
      <c r="G145" s="80" t="s">
        <v>429</v>
      </c>
      <c r="H145" s="80" t="s">
        <v>185</v>
      </c>
      <c r="I145" s="80" t="s">
        <v>778</v>
      </c>
      <c r="J145" s="80">
        <v>7.05</v>
      </c>
      <c r="K145" s="80" t="s">
        <v>186</v>
      </c>
      <c r="L145" s="38">
        <v>8.3999999999999995E-3</v>
      </c>
      <c r="M145" s="38">
        <v>1.9E-2</v>
      </c>
      <c r="N145" s="88">
        <v>79804.359299632139</v>
      </c>
      <c r="O145" s="80">
        <v>92.88</v>
      </c>
      <c r="P145" s="104">
        <v>0</v>
      </c>
      <c r="Q145" s="104">
        <v>74.122288868871195</v>
      </c>
      <c r="R145" s="38">
        <v>1.6034663380804892E-4</v>
      </c>
      <c r="S145" s="38">
        <v>4.5982186191327867E-4</v>
      </c>
      <c r="T145" s="38">
        <v>8.979379891884487E-5</v>
      </c>
    </row>
    <row r="146" spans="1:20" x14ac:dyDescent="0.2">
      <c r="A146" s="30" t="s">
        <v>485</v>
      </c>
      <c r="B146" s="38" t="s">
        <v>486</v>
      </c>
      <c r="C146" s="38" t="s">
        <v>266</v>
      </c>
      <c r="D146" s="38" t="s">
        <v>180</v>
      </c>
      <c r="E146" s="38" t="s">
        <v>406</v>
      </c>
      <c r="F146" s="38" t="s">
        <v>407</v>
      </c>
      <c r="G146" s="80" t="s">
        <v>479</v>
      </c>
      <c r="H146" s="80" t="s">
        <v>402</v>
      </c>
      <c r="I146" s="80" t="s">
        <v>487</v>
      </c>
      <c r="J146" s="80">
        <v>1.88</v>
      </c>
      <c r="K146" s="80" t="s">
        <v>186</v>
      </c>
      <c r="L146" s="38">
        <v>4.9500000000000002E-2</v>
      </c>
      <c r="M146" s="38">
        <v>6.9099999999999995E-2</v>
      </c>
      <c r="N146" s="88">
        <v>170873.64861032198</v>
      </c>
      <c r="O146" s="80">
        <v>98.3</v>
      </c>
      <c r="P146" s="104">
        <v>0</v>
      </c>
      <c r="Q146" s="104">
        <v>167.96879655247395</v>
      </c>
      <c r="R146" s="38">
        <v>3.4543641233016412E-4</v>
      </c>
      <c r="S146" s="38">
        <v>1.0420040442993875E-3</v>
      </c>
      <c r="T146" s="38">
        <v>2.0348206420008923E-4</v>
      </c>
    </row>
    <row r="147" spans="1:20" x14ac:dyDescent="0.2">
      <c r="A147" s="30" t="s">
        <v>492</v>
      </c>
      <c r="B147" s="38" t="s">
        <v>493</v>
      </c>
      <c r="C147" s="38" t="s">
        <v>266</v>
      </c>
      <c r="D147" s="38" t="s">
        <v>180</v>
      </c>
      <c r="E147" s="38" t="s">
        <v>494</v>
      </c>
      <c r="F147" s="38" t="s">
        <v>456</v>
      </c>
      <c r="G147" s="80" t="s">
        <v>429</v>
      </c>
      <c r="H147" s="80" t="s">
        <v>185</v>
      </c>
      <c r="I147" s="80" t="s">
        <v>495</v>
      </c>
      <c r="J147" s="80">
        <v>3.01</v>
      </c>
      <c r="K147" s="80" t="s">
        <v>186</v>
      </c>
      <c r="L147" s="38">
        <v>4.3400000000000001E-2</v>
      </c>
      <c r="M147" s="38">
        <v>3.0899999999999997E-2</v>
      </c>
      <c r="N147" s="88">
        <v>225578.39951124493</v>
      </c>
      <c r="O147" s="80">
        <v>104.81</v>
      </c>
      <c r="P147" s="104">
        <v>0</v>
      </c>
      <c r="Q147" s="104">
        <v>236.4287204643787</v>
      </c>
      <c r="R147" s="38">
        <v>1.5222004935795083E-4</v>
      </c>
      <c r="S147" s="38">
        <v>1.4666991010764819E-3</v>
      </c>
      <c r="T147" s="38">
        <v>2.8641631698092366E-4</v>
      </c>
    </row>
    <row r="148" spans="1:20" x14ac:dyDescent="0.2">
      <c r="A148" s="30" t="s">
        <v>563</v>
      </c>
      <c r="B148" s="38" t="s">
        <v>564</v>
      </c>
      <c r="C148" s="38" t="s">
        <v>266</v>
      </c>
      <c r="D148" s="38" t="s">
        <v>180</v>
      </c>
      <c r="E148" s="38" t="s">
        <v>494</v>
      </c>
      <c r="F148" s="38" t="s">
        <v>456</v>
      </c>
      <c r="G148" s="80" t="s">
        <v>429</v>
      </c>
      <c r="H148" s="80" t="s">
        <v>185</v>
      </c>
      <c r="I148" s="80" t="s">
        <v>565</v>
      </c>
      <c r="J148" s="80">
        <v>5.89</v>
      </c>
      <c r="K148" s="80" t="s">
        <v>186</v>
      </c>
      <c r="L148" s="38">
        <v>3.9E-2</v>
      </c>
      <c r="M148" s="38">
        <v>3.49E-2</v>
      </c>
      <c r="N148" s="88">
        <v>329827.89099756657</v>
      </c>
      <c r="O148" s="80">
        <v>103.60000000000001</v>
      </c>
      <c r="P148" s="104">
        <v>0</v>
      </c>
      <c r="Q148" s="104">
        <v>341.7016950248518</v>
      </c>
      <c r="R148" s="38">
        <v>2.0481619503849536E-4</v>
      </c>
      <c r="S148" s="38">
        <v>2.1197660248081793E-3</v>
      </c>
      <c r="T148" s="38">
        <v>4.1394692152006208E-4</v>
      </c>
    </row>
    <row r="149" spans="1:20" x14ac:dyDescent="0.2">
      <c r="A149" s="30" t="s">
        <v>709</v>
      </c>
      <c r="B149" s="38" t="s">
        <v>710</v>
      </c>
      <c r="C149" s="38" t="s">
        <v>266</v>
      </c>
      <c r="D149" s="38" t="s">
        <v>180</v>
      </c>
      <c r="E149" s="38" t="s">
        <v>680</v>
      </c>
      <c r="F149" s="38" t="s">
        <v>478</v>
      </c>
      <c r="G149" s="80" t="s">
        <v>512</v>
      </c>
      <c r="H149" s="80" t="s">
        <v>402</v>
      </c>
      <c r="I149" s="80" t="s">
        <v>711</v>
      </c>
      <c r="J149" s="80">
        <v>2.78</v>
      </c>
      <c r="K149" s="80" t="s">
        <v>186</v>
      </c>
      <c r="L149" s="38">
        <v>4.6500000000000007E-2</v>
      </c>
      <c r="M149" s="38">
        <v>5.6900000000000006E-2</v>
      </c>
      <c r="N149" s="88">
        <v>107788.80658064823</v>
      </c>
      <c r="O149" s="80">
        <v>97.8</v>
      </c>
      <c r="P149" s="104">
        <v>2.5158747720000001</v>
      </c>
      <c r="Q149" s="104">
        <v>107.93332759390364</v>
      </c>
      <c r="R149" s="38">
        <v>1.504123604643009E-4</v>
      </c>
      <c r="S149" s="38">
        <v>6.6957057605876978E-4</v>
      </c>
      <c r="T149" s="38">
        <v>1.307534300749176E-4</v>
      </c>
    </row>
    <row r="150" spans="1:20" x14ac:dyDescent="0.2">
      <c r="A150" s="30" t="s">
        <v>678</v>
      </c>
      <c r="B150" s="38" t="s">
        <v>679</v>
      </c>
      <c r="C150" s="38" t="s">
        <v>266</v>
      </c>
      <c r="D150" s="38" t="s">
        <v>180</v>
      </c>
      <c r="E150" s="38" t="s">
        <v>680</v>
      </c>
      <c r="F150" s="38" t="s">
        <v>478</v>
      </c>
      <c r="G150" s="80" t="s">
        <v>512</v>
      </c>
      <c r="H150" s="80" t="s">
        <v>402</v>
      </c>
      <c r="I150" s="80" t="s">
        <v>681</v>
      </c>
      <c r="J150" s="80">
        <v>4.7</v>
      </c>
      <c r="K150" s="80" t="s">
        <v>186</v>
      </c>
      <c r="L150" s="38">
        <v>2.8500000000000001E-2</v>
      </c>
      <c r="M150" s="38">
        <v>5.5999999999999994E-2</v>
      </c>
      <c r="N150" s="88">
        <v>492250.72509672033</v>
      </c>
      <c r="O150" s="80">
        <v>90.15</v>
      </c>
      <c r="P150" s="104">
        <v>0</v>
      </c>
      <c r="Q150" s="104">
        <v>443.76402865105518</v>
      </c>
      <c r="R150" s="38">
        <v>7.2525691530414386E-4</v>
      </c>
      <c r="S150" s="38">
        <v>2.7529155537203156E-3</v>
      </c>
      <c r="T150" s="38">
        <v>5.3758806648028154E-4</v>
      </c>
    </row>
    <row r="151" spans="1:20" x14ac:dyDescent="0.2">
      <c r="A151" s="30" t="s">
        <v>792</v>
      </c>
      <c r="B151" s="38" t="s">
        <v>793</v>
      </c>
      <c r="C151" s="38" t="s">
        <v>266</v>
      </c>
      <c r="D151" s="38" t="s">
        <v>180</v>
      </c>
      <c r="E151" s="38" t="s">
        <v>794</v>
      </c>
      <c r="F151" s="38" t="s">
        <v>424</v>
      </c>
      <c r="G151" s="80" t="s">
        <v>512</v>
      </c>
      <c r="H151" s="80" t="s">
        <v>402</v>
      </c>
      <c r="I151" s="80" t="s">
        <v>795</v>
      </c>
      <c r="J151" s="80">
        <v>6.15</v>
      </c>
      <c r="K151" s="80" t="s">
        <v>186</v>
      </c>
      <c r="L151" s="38">
        <v>2.75E-2</v>
      </c>
      <c r="M151" s="38">
        <v>1.6200000000000003E-2</v>
      </c>
      <c r="N151" s="88">
        <v>802606.45329948061</v>
      </c>
      <c r="O151" s="80">
        <v>107.02000000000001</v>
      </c>
      <c r="P151" s="104">
        <v>0</v>
      </c>
      <c r="Q151" s="104">
        <v>858.94942626437239</v>
      </c>
      <c r="R151" s="38">
        <v>2.0065161332487014E-3</v>
      </c>
      <c r="S151" s="38">
        <v>5.328541933897259E-3</v>
      </c>
      <c r="T151" s="38">
        <v>1.0405551857672255E-3</v>
      </c>
    </row>
    <row r="152" spans="1:20" x14ac:dyDescent="0.2">
      <c r="A152" s="30" t="s">
        <v>509</v>
      </c>
      <c r="B152" s="38" t="s">
        <v>510</v>
      </c>
      <c r="C152" s="38" t="s">
        <v>266</v>
      </c>
      <c r="D152" s="38" t="s">
        <v>180</v>
      </c>
      <c r="E152" s="38" t="s">
        <v>511</v>
      </c>
      <c r="F152" s="38" t="s">
        <v>478</v>
      </c>
      <c r="G152" s="80" t="s">
        <v>512</v>
      </c>
      <c r="H152" s="80" t="s">
        <v>402</v>
      </c>
      <c r="I152" s="80" t="s">
        <v>513</v>
      </c>
      <c r="J152" s="80">
        <v>0.52</v>
      </c>
      <c r="K152" s="80" t="s">
        <v>186</v>
      </c>
      <c r="L152" s="38">
        <v>4.8000000000000001E-2</v>
      </c>
      <c r="M152" s="38">
        <v>3.6799999999999999E-2</v>
      </c>
      <c r="N152" s="88">
        <v>31.911561736683709</v>
      </c>
      <c r="O152" s="80">
        <v>100.4</v>
      </c>
      <c r="P152" s="104">
        <v>7.6587748200000001E-4</v>
      </c>
      <c r="Q152" s="104">
        <v>3.280508546531085E-2</v>
      </c>
      <c r="R152" s="38">
        <v>4.0994247131036059E-7</v>
      </c>
      <c r="S152" s="38">
        <v>2.0350822551593438E-7</v>
      </c>
      <c r="T152" s="38">
        <v>3.9740991444541484E-8</v>
      </c>
    </row>
    <row r="153" spans="1:20" x14ac:dyDescent="0.2">
      <c r="A153" s="30" t="s">
        <v>571</v>
      </c>
      <c r="B153" s="38" t="s">
        <v>572</v>
      </c>
      <c r="C153" s="38" t="s">
        <v>266</v>
      </c>
      <c r="D153" s="38" t="s">
        <v>180</v>
      </c>
      <c r="E153" s="38" t="s">
        <v>511</v>
      </c>
      <c r="F153" s="38" t="s">
        <v>478</v>
      </c>
      <c r="G153" s="80" t="s">
        <v>512</v>
      </c>
      <c r="H153" s="80" t="s">
        <v>402</v>
      </c>
      <c r="I153" s="80" t="s">
        <v>573</v>
      </c>
      <c r="J153" s="80">
        <v>1.77</v>
      </c>
      <c r="K153" s="80" t="s">
        <v>186</v>
      </c>
      <c r="L153" s="38">
        <v>3.7000000000000005E-2</v>
      </c>
      <c r="M153" s="38">
        <v>4.0399999999999998E-2</v>
      </c>
      <c r="N153" s="88">
        <v>34097.034328653805</v>
      </c>
      <c r="O153" s="80">
        <v>100.29</v>
      </c>
      <c r="P153" s="104">
        <v>0</v>
      </c>
      <c r="Q153" s="104">
        <v>34.195915662695334</v>
      </c>
      <c r="R153" s="38">
        <v>4.4838913473955406E-5</v>
      </c>
      <c r="S153" s="38">
        <v>2.1213632025944581E-4</v>
      </c>
      <c r="T153" s="38">
        <v>4.1425881765388669E-5</v>
      </c>
    </row>
    <row r="154" spans="1:20" x14ac:dyDescent="0.2">
      <c r="A154" s="30" t="s">
        <v>404</v>
      </c>
      <c r="B154" s="38" t="s">
        <v>405</v>
      </c>
      <c r="C154" s="38" t="s">
        <v>266</v>
      </c>
      <c r="D154" s="38" t="s">
        <v>180</v>
      </c>
      <c r="E154" s="38" t="s">
        <v>406</v>
      </c>
      <c r="F154" s="38" t="s">
        <v>407</v>
      </c>
      <c r="G154" s="80" t="s">
        <v>408</v>
      </c>
      <c r="H154" s="80" t="s">
        <v>185</v>
      </c>
      <c r="I154" s="80" t="s">
        <v>409</v>
      </c>
      <c r="J154" s="80">
        <v>2.75</v>
      </c>
      <c r="K154" s="80" t="s">
        <v>186</v>
      </c>
      <c r="L154" s="38">
        <v>4.9500000000000002E-2</v>
      </c>
      <c r="M154" s="38">
        <v>5.5500000000000001E-2</v>
      </c>
      <c r="N154" s="88">
        <v>394182.50440201059</v>
      </c>
      <c r="O154" s="80">
        <v>118.99</v>
      </c>
      <c r="P154" s="104">
        <v>0</v>
      </c>
      <c r="Q154" s="104">
        <v>469.03776192919457</v>
      </c>
      <c r="R154" s="38">
        <v>2.4397639302564555E-4</v>
      </c>
      <c r="S154" s="38">
        <v>2.9097026048327404E-3</v>
      </c>
      <c r="T154" s="38">
        <v>5.6820536875922998E-4</v>
      </c>
    </row>
    <row r="155" spans="1:20" x14ac:dyDescent="0.2">
      <c r="A155" s="30" t="s">
        <v>782</v>
      </c>
      <c r="B155" s="38" t="s">
        <v>783</v>
      </c>
      <c r="C155" s="38" t="s">
        <v>266</v>
      </c>
      <c r="D155" s="38" t="s">
        <v>180</v>
      </c>
      <c r="E155" s="38" t="s">
        <v>784</v>
      </c>
      <c r="F155" s="38" t="s">
        <v>407</v>
      </c>
      <c r="G155" s="80" t="s">
        <v>419</v>
      </c>
      <c r="H155" s="80" t="s">
        <v>180</v>
      </c>
      <c r="I155" s="80" t="s">
        <v>785</v>
      </c>
      <c r="J155" s="80">
        <v>1.98</v>
      </c>
      <c r="K155" s="80" t="s">
        <v>186</v>
      </c>
      <c r="L155" s="38">
        <v>0.01</v>
      </c>
      <c r="M155" s="38">
        <v>3.4000000000000002E-2</v>
      </c>
      <c r="N155" s="88">
        <v>14394.005398754674</v>
      </c>
      <c r="O155" s="80">
        <v>96.610000000000014</v>
      </c>
      <c r="P155" s="104">
        <v>0</v>
      </c>
      <c r="Q155" s="104">
        <v>13.906048578591159</v>
      </c>
      <c r="R155" s="38">
        <v>2.7856274140072214E-5</v>
      </c>
      <c r="S155" s="38">
        <v>8.6266968368669422E-5</v>
      </c>
      <c r="T155" s="38">
        <v>1.6846173382890559E-5</v>
      </c>
    </row>
    <row r="156" spans="1:20" x14ac:dyDescent="0.2">
      <c r="A156" s="30" t="s">
        <v>786</v>
      </c>
      <c r="B156" s="38" t="s">
        <v>787</v>
      </c>
      <c r="C156" s="38" t="s">
        <v>266</v>
      </c>
      <c r="D156" s="38" t="s">
        <v>180</v>
      </c>
      <c r="E156" s="38" t="s">
        <v>784</v>
      </c>
      <c r="F156" s="38" t="s">
        <v>407</v>
      </c>
      <c r="G156" s="80" t="s">
        <v>419</v>
      </c>
      <c r="H156" s="80" t="s">
        <v>180</v>
      </c>
      <c r="I156" s="80" t="s">
        <v>371</v>
      </c>
      <c r="J156" s="80">
        <v>1.98</v>
      </c>
      <c r="K156" s="80" t="s">
        <v>186</v>
      </c>
      <c r="L156" s="38">
        <v>0.01</v>
      </c>
      <c r="M156" s="38">
        <v>0.01</v>
      </c>
      <c r="N156" s="88">
        <v>325234.53269666468</v>
      </c>
      <c r="O156" s="80">
        <v>95.07</v>
      </c>
      <c r="P156" s="104">
        <v>0</v>
      </c>
      <c r="Q156" s="104">
        <v>309.20047023471909</v>
      </c>
      <c r="R156" s="38">
        <v>6.2941634740531637E-4</v>
      </c>
      <c r="S156" s="38">
        <v>1.918142816384335E-3</v>
      </c>
      <c r="T156" s="38">
        <v>3.7457403533485171E-4</v>
      </c>
    </row>
    <row r="157" spans="1:20" x14ac:dyDescent="0.2">
      <c r="A157" s="30" t="s">
        <v>674</v>
      </c>
      <c r="B157" s="38" t="s">
        <v>675</v>
      </c>
      <c r="C157" s="38" t="s">
        <v>266</v>
      </c>
      <c r="D157" s="38" t="s">
        <v>180</v>
      </c>
      <c r="E157" s="38" t="s">
        <v>676</v>
      </c>
      <c r="F157" s="38" t="s">
        <v>407</v>
      </c>
      <c r="G157" s="80" t="s">
        <v>419</v>
      </c>
      <c r="H157" s="80" t="s">
        <v>180</v>
      </c>
      <c r="I157" s="80" t="s">
        <v>677</v>
      </c>
      <c r="J157" s="80">
        <v>2.4300000000000002</v>
      </c>
      <c r="K157" s="80" t="s">
        <v>186</v>
      </c>
      <c r="L157" s="38">
        <v>2.1000000000000001E-2</v>
      </c>
      <c r="M157" s="38">
        <v>1.84E-2</v>
      </c>
      <c r="N157" s="88">
        <v>185723.31376233019</v>
      </c>
      <c r="O157" s="80">
        <v>102.48000000000002</v>
      </c>
      <c r="P157" s="104">
        <v>0</v>
      </c>
      <c r="Q157" s="104">
        <v>190.32925190478829</v>
      </c>
      <c r="R157" s="38">
        <v>7.5570665434113496E-4</v>
      </c>
      <c r="S157" s="38">
        <v>1.1807184090368199E-3</v>
      </c>
      <c r="T157" s="38">
        <v>2.3057014070554564E-4</v>
      </c>
    </row>
    <row r="158" spans="1:20" x14ac:dyDescent="0.2">
      <c r="A158" s="30" t="s">
        <v>721</v>
      </c>
      <c r="B158" s="38" t="s">
        <v>722</v>
      </c>
      <c r="C158" s="38" t="s">
        <v>266</v>
      </c>
      <c r="D158" s="38" t="s">
        <v>180</v>
      </c>
      <c r="E158" s="38" t="s">
        <v>676</v>
      </c>
      <c r="F158" s="38" t="s">
        <v>407</v>
      </c>
      <c r="G158" s="80" t="s">
        <v>419</v>
      </c>
      <c r="H158" s="80" t="s">
        <v>180</v>
      </c>
      <c r="I158" s="80" t="s">
        <v>723</v>
      </c>
      <c r="J158" s="80">
        <v>5.93</v>
      </c>
      <c r="K158" s="80" t="s">
        <v>186</v>
      </c>
      <c r="L158" s="38">
        <v>2.75E-2</v>
      </c>
      <c r="M158" s="38">
        <v>1.77E-2</v>
      </c>
      <c r="N158" s="88">
        <v>454846.12662019848</v>
      </c>
      <c r="O158" s="80">
        <v>105.22</v>
      </c>
      <c r="P158" s="104">
        <v>0</v>
      </c>
      <c r="Q158" s="104">
        <v>478.58909442977279</v>
      </c>
      <c r="R158" s="38">
        <v>1.145477300846677E-3</v>
      </c>
      <c r="S158" s="38">
        <v>2.9689548427383776E-3</v>
      </c>
      <c r="T158" s="38">
        <v>5.7977611816608125E-4</v>
      </c>
    </row>
    <row r="159" spans="1:20" x14ac:dyDescent="0.2">
      <c r="A159" s="30" t="s">
        <v>421</v>
      </c>
      <c r="B159" s="38" t="s">
        <v>422</v>
      </c>
      <c r="C159" s="38" t="s">
        <v>266</v>
      </c>
      <c r="D159" s="38" t="s">
        <v>180</v>
      </c>
      <c r="E159" s="38" t="s">
        <v>423</v>
      </c>
      <c r="F159" s="38" t="s">
        <v>424</v>
      </c>
      <c r="G159" s="80" t="s">
        <v>419</v>
      </c>
      <c r="H159" s="80" t="s">
        <v>180</v>
      </c>
      <c r="I159" s="80" t="s">
        <v>425</v>
      </c>
      <c r="J159" s="80">
        <v>3.12</v>
      </c>
      <c r="K159" s="80" t="s">
        <v>186</v>
      </c>
      <c r="L159" s="38">
        <v>2.5099999999999997E-2</v>
      </c>
      <c r="M159" s="38">
        <v>0.45</v>
      </c>
      <c r="N159" s="88">
        <v>181666.68111737369</v>
      </c>
      <c r="O159" s="80">
        <v>29.99</v>
      </c>
      <c r="P159" s="104">
        <v>0</v>
      </c>
      <c r="Q159" s="104">
        <v>54.481837599778792</v>
      </c>
      <c r="R159" s="38">
        <v>8.5804562936115704E-4</v>
      </c>
      <c r="S159" s="38">
        <v>3.3798119820485075E-4</v>
      </c>
      <c r="T159" s="38">
        <v>6.6000810887239413E-5</v>
      </c>
    </row>
    <row r="160" spans="1:20" x14ac:dyDescent="0.2">
      <c r="A160" s="30" t="s">
        <v>415</v>
      </c>
      <c r="B160" s="38" t="s">
        <v>416</v>
      </c>
      <c r="C160" s="38" t="s">
        <v>266</v>
      </c>
      <c r="D160" s="38" t="s">
        <v>180</v>
      </c>
      <c r="E160" s="38" t="s">
        <v>417</v>
      </c>
      <c r="F160" s="38" t="s">
        <v>418</v>
      </c>
      <c r="G160" s="80" t="s">
        <v>419</v>
      </c>
      <c r="H160" s="80" t="s">
        <v>180</v>
      </c>
      <c r="I160" s="80" t="s">
        <v>420</v>
      </c>
      <c r="J160" s="80">
        <v>0.27</v>
      </c>
      <c r="K160" s="80" t="s">
        <v>186</v>
      </c>
      <c r="L160" s="38">
        <v>6.3200000000000006E-2</v>
      </c>
      <c r="M160" s="38">
        <v>0.45</v>
      </c>
      <c r="N160" s="88">
        <v>1168.9382012912852</v>
      </c>
      <c r="O160" s="80">
        <v>3.6700000000000004</v>
      </c>
      <c r="P160" s="104">
        <v>0</v>
      </c>
      <c r="Q160" s="104">
        <v>4.2900012543287257E-2</v>
      </c>
      <c r="R160" s="38">
        <v>3.9292040379538994E-6</v>
      </c>
      <c r="S160" s="38">
        <v>2.6613268349895419E-7</v>
      </c>
      <c r="T160" s="38">
        <v>5.1970266416659875E-8</v>
      </c>
    </row>
    <row r="161" spans="1:20" x14ac:dyDescent="0.2">
      <c r="A161" s="30" t="s">
        <v>437</v>
      </c>
      <c r="B161" s="38" t="s">
        <v>438</v>
      </c>
      <c r="C161" s="38" t="s">
        <v>266</v>
      </c>
      <c r="D161" s="38" t="s">
        <v>180</v>
      </c>
      <c r="E161" s="38" t="s">
        <v>417</v>
      </c>
      <c r="F161" s="38" t="s">
        <v>418</v>
      </c>
      <c r="G161" s="80" t="s">
        <v>419</v>
      </c>
      <c r="H161" s="80" t="s">
        <v>180</v>
      </c>
      <c r="I161" s="80" t="s">
        <v>439</v>
      </c>
      <c r="J161" s="80">
        <v>0.05</v>
      </c>
      <c r="K161" s="80" t="s">
        <v>186</v>
      </c>
      <c r="L161" s="38">
        <v>6.7799999999999999E-2</v>
      </c>
      <c r="M161" s="38">
        <v>0.45</v>
      </c>
      <c r="N161" s="88">
        <v>372776.57843169948</v>
      </c>
      <c r="O161" s="80">
        <v>18.72</v>
      </c>
      <c r="P161" s="104">
        <v>0</v>
      </c>
      <c r="Q161" s="104">
        <v>69.783775422008418</v>
      </c>
      <c r="R161" s="38">
        <v>5.1390615259309523E-4</v>
      </c>
      <c r="S161" s="38">
        <v>4.329076454000586E-4</v>
      </c>
      <c r="T161" s="38">
        <v>8.4538003260085774E-5</v>
      </c>
    </row>
    <row r="162" spans="1:20" s="137" customFormat="1" x14ac:dyDescent="0.2">
      <c r="A162" s="112" t="s">
        <v>142</v>
      </c>
      <c r="B162" s="144" t="s">
        <v>180</v>
      </c>
      <c r="C162" s="144" t="s">
        <v>180</v>
      </c>
      <c r="D162" s="144" t="s">
        <v>180</v>
      </c>
      <c r="E162" s="144" t="s">
        <v>180</v>
      </c>
      <c r="F162" s="144" t="s">
        <v>180</v>
      </c>
      <c r="G162" s="145" t="s">
        <v>180</v>
      </c>
      <c r="H162" s="145" t="s">
        <v>180</v>
      </c>
      <c r="I162" s="145" t="s">
        <v>180</v>
      </c>
      <c r="J162" s="145" t="s">
        <v>180</v>
      </c>
      <c r="K162" s="145" t="s">
        <v>180</v>
      </c>
      <c r="L162" s="144" t="s">
        <v>180</v>
      </c>
      <c r="M162" s="144" t="s">
        <v>180</v>
      </c>
      <c r="N162" s="155" t="s">
        <v>180</v>
      </c>
      <c r="O162" s="145" t="s">
        <v>180</v>
      </c>
      <c r="P162" s="146" t="s">
        <v>180</v>
      </c>
      <c r="Q162" s="146">
        <v>30401.517547874744</v>
      </c>
      <c r="R162" s="144" t="s">
        <v>180</v>
      </c>
      <c r="S162" s="144">
        <v>0.18859755435485204</v>
      </c>
      <c r="T162" s="144">
        <v>3.6829242528532452E-2</v>
      </c>
    </row>
    <row r="163" spans="1:20" x14ac:dyDescent="0.2">
      <c r="A163" s="30" t="s">
        <v>1108</v>
      </c>
      <c r="B163" s="38" t="s">
        <v>1109</v>
      </c>
      <c r="C163" s="38" t="s">
        <v>266</v>
      </c>
      <c r="D163" s="38" t="s">
        <v>180</v>
      </c>
      <c r="E163" s="38" t="s">
        <v>800</v>
      </c>
      <c r="F163" s="38" t="s">
        <v>390</v>
      </c>
      <c r="G163" s="80" t="s">
        <v>466</v>
      </c>
      <c r="H163" s="80" t="s">
        <v>402</v>
      </c>
      <c r="I163" s="80" t="s">
        <v>1107</v>
      </c>
      <c r="J163" s="80">
        <v>2.38</v>
      </c>
      <c r="K163" s="80" t="s">
        <v>186</v>
      </c>
      <c r="L163" s="38">
        <v>1.8700000000000001E-2</v>
      </c>
      <c r="M163" s="38">
        <v>7.6E-3</v>
      </c>
      <c r="N163" s="88">
        <v>1836867.3403380455</v>
      </c>
      <c r="O163" s="80">
        <v>103.71999999999998</v>
      </c>
      <c r="P163" s="104">
        <v>0</v>
      </c>
      <c r="Q163" s="104">
        <v>1905.1988053894356</v>
      </c>
      <c r="R163" s="38">
        <v>1.3282766331001398E-3</v>
      </c>
      <c r="S163" s="38">
        <v>1.181900984680785E-2</v>
      </c>
      <c r="T163" s="38">
        <v>2.3080107352622249E-3</v>
      </c>
    </row>
    <row r="164" spans="1:20" x14ac:dyDescent="0.2">
      <c r="A164" s="30" t="s">
        <v>1110</v>
      </c>
      <c r="B164" s="38" t="s">
        <v>1111</v>
      </c>
      <c r="C164" s="38" t="s">
        <v>266</v>
      </c>
      <c r="D164" s="38" t="s">
        <v>180</v>
      </c>
      <c r="E164" s="38" t="s">
        <v>800</v>
      </c>
      <c r="F164" s="38" t="s">
        <v>390</v>
      </c>
      <c r="G164" s="80" t="s">
        <v>466</v>
      </c>
      <c r="H164" s="80" t="s">
        <v>402</v>
      </c>
      <c r="I164" s="80" t="s">
        <v>1107</v>
      </c>
      <c r="J164" s="80">
        <v>5.09</v>
      </c>
      <c r="K164" s="80" t="s">
        <v>186</v>
      </c>
      <c r="L164" s="38">
        <v>2.6800000000000001E-2</v>
      </c>
      <c r="M164" s="38">
        <v>1.1000000000000001E-2</v>
      </c>
      <c r="N164" s="88">
        <v>2051173.9129561735</v>
      </c>
      <c r="O164" s="80">
        <v>109.7</v>
      </c>
      <c r="P164" s="104">
        <v>0</v>
      </c>
      <c r="Q164" s="104">
        <v>2250.1377824710489</v>
      </c>
      <c r="R164" s="38">
        <v>8.5167713294354421E-4</v>
      </c>
      <c r="S164" s="38">
        <v>1.3958858536163963E-2</v>
      </c>
      <c r="T164" s="38">
        <v>2.7258793901567472E-3</v>
      </c>
    </row>
    <row r="165" spans="1:20" x14ac:dyDescent="0.2">
      <c r="A165" s="30" t="s">
        <v>1183</v>
      </c>
      <c r="B165" s="38" t="s">
        <v>1184</v>
      </c>
      <c r="C165" s="38" t="s">
        <v>266</v>
      </c>
      <c r="D165" s="38" t="s">
        <v>180</v>
      </c>
      <c r="E165" s="38" t="s">
        <v>1185</v>
      </c>
      <c r="F165" s="38" t="s">
        <v>742</v>
      </c>
      <c r="G165" s="80" t="s">
        <v>466</v>
      </c>
      <c r="H165" s="80" t="s">
        <v>402</v>
      </c>
      <c r="I165" s="80" t="s">
        <v>1186</v>
      </c>
      <c r="J165" s="80">
        <v>4.0999999999999996</v>
      </c>
      <c r="K165" s="80" t="s">
        <v>186</v>
      </c>
      <c r="L165" s="38">
        <v>3.0000000298023221E-3</v>
      </c>
      <c r="M165" s="38">
        <v>3.5999999999999999E-3</v>
      </c>
      <c r="N165" s="88">
        <v>225508.36960589822</v>
      </c>
      <c r="O165" s="80">
        <v>100.32</v>
      </c>
      <c r="P165" s="104">
        <v>0</v>
      </c>
      <c r="Q165" s="104">
        <v>226.22999638863709</v>
      </c>
      <c r="R165" s="38">
        <v>4.0609509293064423E-4</v>
      </c>
      <c r="S165" s="38">
        <v>1.4034307324762678E-3</v>
      </c>
      <c r="T165" s="38">
        <v>2.7406129944353998E-4</v>
      </c>
    </row>
    <row r="166" spans="1:20" x14ac:dyDescent="0.2">
      <c r="A166" s="30" t="s">
        <v>946</v>
      </c>
      <c r="B166" s="38" t="s">
        <v>947</v>
      </c>
      <c r="C166" s="38" t="s">
        <v>266</v>
      </c>
      <c r="D166" s="38" t="s">
        <v>180</v>
      </c>
      <c r="E166" s="38" t="s">
        <v>737</v>
      </c>
      <c r="F166" s="38" t="s">
        <v>390</v>
      </c>
      <c r="G166" s="80" t="s">
        <v>466</v>
      </c>
      <c r="H166" s="80" t="s">
        <v>402</v>
      </c>
      <c r="I166" s="80" t="s">
        <v>948</v>
      </c>
      <c r="J166" s="80">
        <v>3.56</v>
      </c>
      <c r="K166" s="80" t="s">
        <v>186</v>
      </c>
      <c r="L166" s="38">
        <v>3.0099999999999998E-2</v>
      </c>
      <c r="M166" s="38">
        <v>7.4000000000000003E-3</v>
      </c>
      <c r="N166" s="88">
        <v>7484.1155791168148</v>
      </c>
      <c r="O166" s="80">
        <v>109.13999999999999</v>
      </c>
      <c r="P166" s="104">
        <v>0</v>
      </c>
      <c r="Q166" s="104">
        <v>8.1681637119807515</v>
      </c>
      <c r="R166" s="38">
        <v>6.5079265905363608E-6</v>
      </c>
      <c r="S166" s="38">
        <v>5.0671671150090659E-5</v>
      </c>
      <c r="T166" s="38">
        <v>9.8951403293460481E-6</v>
      </c>
    </row>
    <row r="167" spans="1:20" x14ac:dyDescent="0.2">
      <c r="A167" s="30" t="s">
        <v>1118</v>
      </c>
      <c r="B167" s="38" t="s">
        <v>1119</v>
      </c>
      <c r="C167" s="38" t="s">
        <v>266</v>
      </c>
      <c r="D167" s="38" t="s">
        <v>180</v>
      </c>
      <c r="E167" s="38" t="s">
        <v>737</v>
      </c>
      <c r="F167" s="38" t="s">
        <v>390</v>
      </c>
      <c r="G167" s="80" t="s">
        <v>184</v>
      </c>
      <c r="H167" s="80" t="s">
        <v>185</v>
      </c>
      <c r="I167" s="80" t="s">
        <v>892</v>
      </c>
      <c r="J167" s="80">
        <v>3.55</v>
      </c>
      <c r="K167" s="80" t="s">
        <v>186</v>
      </c>
      <c r="L167" s="38">
        <v>2.0199999999999999E-2</v>
      </c>
      <c r="M167" s="38">
        <v>8.3000000000000001E-3</v>
      </c>
      <c r="N167" s="88">
        <v>1617264.8397481821</v>
      </c>
      <c r="O167" s="80">
        <v>104.95000000000002</v>
      </c>
      <c r="P167" s="104">
        <v>0</v>
      </c>
      <c r="Q167" s="104">
        <v>1697.3194493123403</v>
      </c>
      <c r="R167" s="38">
        <v>9.5714437714911321E-4</v>
      </c>
      <c r="S167" s="38">
        <v>1.052941836193336E-2</v>
      </c>
      <c r="T167" s="38">
        <v>2.0561799110416193E-3</v>
      </c>
    </row>
    <row r="168" spans="1:20" x14ac:dyDescent="0.2">
      <c r="A168" s="30" t="s">
        <v>932</v>
      </c>
      <c r="B168" s="38" t="s">
        <v>933</v>
      </c>
      <c r="C168" s="38" t="s">
        <v>266</v>
      </c>
      <c r="D168" s="38" t="s">
        <v>180</v>
      </c>
      <c r="E168" s="38" t="s">
        <v>593</v>
      </c>
      <c r="F168" s="38" t="s">
        <v>390</v>
      </c>
      <c r="G168" s="80" t="s">
        <v>466</v>
      </c>
      <c r="H168" s="80" t="s">
        <v>402</v>
      </c>
      <c r="I168" s="80" t="s">
        <v>836</v>
      </c>
      <c r="J168" s="80">
        <v>4.67</v>
      </c>
      <c r="K168" s="80" t="s">
        <v>186</v>
      </c>
      <c r="L168" s="38">
        <v>2.98E-2</v>
      </c>
      <c r="M168" s="38">
        <v>9.7000000000000003E-3</v>
      </c>
      <c r="N168" s="88">
        <v>1886510.1152672302</v>
      </c>
      <c r="O168" s="80">
        <v>109.85000000000001</v>
      </c>
      <c r="P168" s="104">
        <v>0</v>
      </c>
      <c r="Q168" s="104">
        <v>2072.3313615940374</v>
      </c>
      <c r="R168" s="38">
        <v>7.4210375363909376E-4</v>
      </c>
      <c r="S168" s="38">
        <v>1.2855826226241061E-2</v>
      </c>
      <c r="T168" s="38">
        <v>2.5104797546846832E-3</v>
      </c>
    </row>
    <row r="169" spans="1:20" x14ac:dyDescent="0.2">
      <c r="A169" s="30" t="s">
        <v>934</v>
      </c>
      <c r="B169" s="38" t="s">
        <v>935</v>
      </c>
      <c r="C169" s="38" t="s">
        <v>266</v>
      </c>
      <c r="D169" s="38" t="s">
        <v>180</v>
      </c>
      <c r="E169" s="38" t="s">
        <v>593</v>
      </c>
      <c r="F169" s="38" t="s">
        <v>390</v>
      </c>
      <c r="G169" s="80" t="s">
        <v>466</v>
      </c>
      <c r="H169" s="80" t="s">
        <v>402</v>
      </c>
      <c r="I169" s="80" t="s">
        <v>836</v>
      </c>
      <c r="J169" s="80">
        <v>1.91</v>
      </c>
      <c r="K169" s="80" t="s">
        <v>186</v>
      </c>
      <c r="L169" s="38">
        <v>2.4700000000000003E-2</v>
      </c>
      <c r="M169" s="38">
        <v>6.0999999999999995E-3</v>
      </c>
      <c r="N169" s="88">
        <v>1994333.5079024083</v>
      </c>
      <c r="O169" s="80">
        <v>103.71999999999998</v>
      </c>
      <c r="P169" s="104">
        <v>0</v>
      </c>
      <c r="Q169" s="104">
        <v>2068.5227143369448</v>
      </c>
      <c r="R169" s="38">
        <v>5.9867781807392711E-4</v>
      </c>
      <c r="S169" s="38">
        <v>1.2832199064966731E-2</v>
      </c>
      <c r="T169" s="38">
        <v>2.5058658536412171E-3</v>
      </c>
    </row>
    <row r="170" spans="1:20" x14ac:dyDescent="0.2">
      <c r="A170" s="30" t="s">
        <v>1073</v>
      </c>
      <c r="B170" s="38" t="s">
        <v>1074</v>
      </c>
      <c r="C170" s="38" t="s">
        <v>266</v>
      </c>
      <c r="D170" s="38" t="s">
        <v>180</v>
      </c>
      <c r="E170" s="38" t="s">
        <v>1075</v>
      </c>
      <c r="F170" s="38" t="s">
        <v>407</v>
      </c>
      <c r="G170" s="80" t="s">
        <v>466</v>
      </c>
      <c r="H170" s="80" t="s">
        <v>402</v>
      </c>
      <c r="I170" s="80" t="s">
        <v>1076</v>
      </c>
      <c r="J170" s="80">
        <v>3.89</v>
      </c>
      <c r="K170" s="80" t="s">
        <v>186</v>
      </c>
      <c r="L170" s="38">
        <v>1.44E-2</v>
      </c>
      <c r="M170" s="38">
        <v>7.1999999999999998E-3</v>
      </c>
      <c r="N170" s="88">
        <v>735727.93698501878</v>
      </c>
      <c r="O170" s="80">
        <v>103.2</v>
      </c>
      <c r="P170" s="104">
        <v>0</v>
      </c>
      <c r="Q170" s="104">
        <v>759.2712309447661</v>
      </c>
      <c r="R170" s="38">
        <v>9.1965992123127353E-4</v>
      </c>
      <c r="S170" s="38">
        <v>4.7101825434431727E-3</v>
      </c>
      <c r="T170" s="38">
        <v>9.1980225215293498E-4</v>
      </c>
    </row>
    <row r="171" spans="1:20" x14ac:dyDescent="0.2">
      <c r="A171" s="30" t="s">
        <v>1080</v>
      </c>
      <c r="B171" s="38" t="s">
        <v>1081</v>
      </c>
      <c r="C171" s="38" t="s">
        <v>266</v>
      </c>
      <c r="D171" s="38" t="s">
        <v>180</v>
      </c>
      <c r="E171" s="38" t="s">
        <v>684</v>
      </c>
      <c r="F171" s="38" t="s">
        <v>407</v>
      </c>
      <c r="G171" s="80" t="s">
        <v>606</v>
      </c>
      <c r="H171" s="80" t="s">
        <v>402</v>
      </c>
      <c r="I171" s="80" t="s">
        <v>1082</v>
      </c>
      <c r="J171" s="80">
        <v>2.95</v>
      </c>
      <c r="K171" s="80" t="s">
        <v>186</v>
      </c>
      <c r="L171" s="38">
        <v>1.6299999999999999E-2</v>
      </c>
      <c r="M171" s="38">
        <v>5.8999999999999999E-3</v>
      </c>
      <c r="N171" s="88">
        <v>551353.00408658059</v>
      </c>
      <c r="O171" s="80">
        <v>103.09000000000002</v>
      </c>
      <c r="P171" s="104">
        <v>0</v>
      </c>
      <c r="Q171" s="104">
        <v>568.38981190272523</v>
      </c>
      <c r="R171" s="38">
        <v>6.6169850917513538E-4</v>
      </c>
      <c r="S171" s="38">
        <v>3.5260387339632023E-3</v>
      </c>
      <c r="T171" s="38">
        <v>6.885632008450769E-4</v>
      </c>
    </row>
    <row r="172" spans="1:20" x14ac:dyDescent="0.2">
      <c r="A172" s="30" t="s">
        <v>1094</v>
      </c>
      <c r="B172" s="38" t="s">
        <v>1095</v>
      </c>
      <c r="C172" s="38" t="s">
        <v>266</v>
      </c>
      <c r="D172" s="38" t="s">
        <v>180</v>
      </c>
      <c r="E172" s="38" t="s">
        <v>1096</v>
      </c>
      <c r="F172" s="38" t="s">
        <v>1097</v>
      </c>
      <c r="G172" s="80" t="s">
        <v>606</v>
      </c>
      <c r="H172" s="80" t="s">
        <v>402</v>
      </c>
      <c r="I172" s="80" t="s">
        <v>1098</v>
      </c>
      <c r="J172" s="80">
        <v>4.7</v>
      </c>
      <c r="K172" s="80" t="s">
        <v>186</v>
      </c>
      <c r="L172" s="38">
        <v>2.6099999999999998E-2</v>
      </c>
      <c r="M172" s="38">
        <v>9.300000000000001E-3</v>
      </c>
      <c r="N172" s="88">
        <v>174.25434919497636</v>
      </c>
      <c r="O172" s="80">
        <v>108.12000000000002</v>
      </c>
      <c r="P172" s="104">
        <v>0</v>
      </c>
      <c r="Q172" s="104">
        <v>0.18840376682477988</v>
      </c>
      <c r="R172" s="38">
        <v>3.0413195348717E-7</v>
      </c>
      <c r="S172" s="38">
        <v>1.1687735521241845E-6</v>
      </c>
      <c r="T172" s="38">
        <v>2.2823755461391294E-7</v>
      </c>
    </row>
    <row r="173" spans="1:20" x14ac:dyDescent="0.2">
      <c r="A173" s="30" t="s">
        <v>962</v>
      </c>
      <c r="B173" s="38" t="s">
        <v>963</v>
      </c>
      <c r="C173" s="38" t="s">
        <v>266</v>
      </c>
      <c r="D173" s="38" t="s">
        <v>180</v>
      </c>
      <c r="E173" s="38" t="s">
        <v>442</v>
      </c>
      <c r="F173" s="38" t="s">
        <v>407</v>
      </c>
      <c r="G173" s="80" t="s">
        <v>396</v>
      </c>
      <c r="H173" s="80" t="s">
        <v>185</v>
      </c>
      <c r="I173" s="80" t="s">
        <v>964</v>
      </c>
      <c r="J173" s="80">
        <v>3.24</v>
      </c>
      <c r="K173" s="80" t="s">
        <v>186</v>
      </c>
      <c r="L173" s="38">
        <v>3.39E-2</v>
      </c>
      <c r="M173" s="38">
        <v>1.61E-2</v>
      </c>
      <c r="N173" s="88">
        <v>374133.11514785659</v>
      </c>
      <c r="O173" s="80">
        <v>107.47</v>
      </c>
      <c r="P173" s="104">
        <v>0</v>
      </c>
      <c r="Q173" s="104">
        <v>402.08085879739747</v>
      </c>
      <c r="R173" s="38">
        <v>3.4475549926457432E-4</v>
      </c>
      <c r="S173" s="38">
        <v>2.4943316235011052E-3</v>
      </c>
      <c r="T173" s="38">
        <v>4.8709191708639417E-4</v>
      </c>
    </row>
    <row r="174" spans="1:20" x14ac:dyDescent="0.2">
      <c r="A174" s="30" t="s">
        <v>1077</v>
      </c>
      <c r="B174" s="38" t="s">
        <v>1078</v>
      </c>
      <c r="C174" s="38" t="s">
        <v>266</v>
      </c>
      <c r="D174" s="38" t="s">
        <v>180</v>
      </c>
      <c r="E174" s="38" t="s">
        <v>412</v>
      </c>
      <c r="F174" s="38" t="s">
        <v>407</v>
      </c>
      <c r="G174" s="80" t="s">
        <v>396</v>
      </c>
      <c r="H174" s="80" t="s">
        <v>185</v>
      </c>
      <c r="I174" s="80" t="s">
        <v>1079</v>
      </c>
      <c r="J174" s="80">
        <v>8.07</v>
      </c>
      <c r="K174" s="80" t="s">
        <v>186</v>
      </c>
      <c r="L174" s="38">
        <v>2.5499999999999998E-2</v>
      </c>
      <c r="M174" s="38">
        <v>2.46E-2</v>
      </c>
      <c r="N174" s="88">
        <v>482172.65745399543</v>
      </c>
      <c r="O174" s="80">
        <v>100.86</v>
      </c>
      <c r="P174" s="104">
        <v>0</v>
      </c>
      <c r="Q174" s="104">
        <v>486.31934229742882</v>
      </c>
      <c r="R174" s="38">
        <v>4.9362641935010167E-4</v>
      </c>
      <c r="S174" s="38">
        <v>3.0169098778809783E-3</v>
      </c>
      <c r="T174" s="38">
        <v>5.8914075508182881E-4</v>
      </c>
    </row>
    <row r="175" spans="1:20" x14ac:dyDescent="0.2">
      <c r="A175" s="30" t="s">
        <v>1028</v>
      </c>
      <c r="B175" s="38" t="s">
        <v>1029</v>
      </c>
      <c r="C175" s="38" t="s">
        <v>266</v>
      </c>
      <c r="D175" s="38" t="s">
        <v>180</v>
      </c>
      <c r="E175" s="38" t="s">
        <v>585</v>
      </c>
      <c r="F175" s="38" t="s">
        <v>424</v>
      </c>
      <c r="G175" s="80" t="s">
        <v>413</v>
      </c>
      <c r="H175" s="80" t="s">
        <v>402</v>
      </c>
      <c r="I175" s="80" t="s">
        <v>1030</v>
      </c>
      <c r="J175" s="80">
        <v>2.17</v>
      </c>
      <c r="K175" s="80" t="s">
        <v>186</v>
      </c>
      <c r="L175" s="38">
        <v>4.8000000000000001E-2</v>
      </c>
      <c r="M175" s="38">
        <v>8.1000000000000013E-3</v>
      </c>
      <c r="N175" s="88">
        <v>174612.3070249875</v>
      </c>
      <c r="O175" s="80">
        <v>110.00000000000001</v>
      </c>
      <c r="P175" s="104">
        <v>0</v>
      </c>
      <c r="Q175" s="104">
        <v>192.07353766670232</v>
      </c>
      <c r="R175" s="38">
        <v>8.7821214308043491E-5</v>
      </c>
      <c r="S175" s="38">
        <v>1.1915391856074282E-3</v>
      </c>
      <c r="T175" s="38">
        <v>2.3268321691180524E-4</v>
      </c>
    </row>
    <row r="176" spans="1:20" x14ac:dyDescent="0.2">
      <c r="A176" s="30" t="s">
        <v>1035</v>
      </c>
      <c r="B176" s="38" t="s">
        <v>1036</v>
      </c>
      <c r="C176" s="38" t="s">
        <v>266</v>
      </c>
      <c r="D176" s="38" t="s">
        <v>180</v>
      </c>
      <c r="E176" s="38" t="s">
        <v>585</v>
      </c>
      <c r="F176" s="38" t="s">
        <v>424</v>
      </c>
      <c r="G176" s="80" t="s">
        <v>413</v>
      </c>
      <c r="H176" s="80" t="s">
        <v>402</v>
      </c>
      <c r="I176" s="80" t="s">
        <v>1037</v>
      </c>
      <c r="J176" s="80">
        <v>0.65</v>
      </c>
      <c r="K176" s="80" t="s">
        <v>186</v>
      </c>
      <c r="L176" s="38">
        <v>4.4999999999999998E-2</v>
      </c>
      <c r="M176" s="38">
        <v>1E-3</v>
      </c>
      <c r="N176" s="88">
        <v>20261.309039164262</v>
      </c>
      <c r="O176" s="80">
        <v>104.43</v>
      </c>
      <c r="P176" s="104">
        <v>0</v>
      </c>
      <c r="Q176" s="104">
        <v>21.158885029599237</v>
      </c>
      <c r="R176" s="38">
        <v>3.3740281626829718E-5</v>
      </c>
      <c r="S176" s="38">
        <v>1.312603544600644E-4</v>
      </c>
      <c r="T176" s="38">
        <v>2.5632460852037973E-5</v>
      </c>
    </row>
    <row r="177" spans="1:20" x14ac:dyDescent="0.2">
      <c r="A177" s="30" t="s">
        <v>1143</v>
      </c>
      <c r="B177" s="38" t="s">
        <v>1144</v>
      </c>
      <c r="C177" s="38" t="s">
        <v>266</v>
      </c>
      <c r="D177" s="38" t="s">
        <v>180</v>
      </c>
      <c r="E177" s="38" t="s">
        <v>982</v>
      </c>
      <c r="F177" s="38" t="s">
        <v>434</v>
      </c>
      <c r="G177" s="80" t="s">
        <v>396</v>
      </c>
      <c r="H177" s="80" t="s">
        <v>185</v>
      </c>
      <c r="I177" s="80" t="s">
        <v>1145</v>
      </c>
      <c r="J177" s="80">
        <v>10.82</v>
      </c>
      <c r="K177" s="80" t="s">
        <v>186</v>
      </c>
      <c r="L177" s="38">
        <v>2.4E-2</v>
      </c>
      <c r="M177" s="38">
        <v>3.0099999999999998E-2</v>
      </c>
      <c r="N177" s="88">
        <v>314421.74743943074</v>
      </c>
      <c r="O177" s="80">
        <v>93.9</v>
      </c>
      <c r="P177" s="104">
        <v>0</v>
      </c>
      <c r="Q177" s="104">
        <v>295.24202084562546</v>
      </c>
      <c r="R177" s="38">
        <v>4.1027408097841871E-4</v>
      </c>
      <c r="S177" s="38">
        <v>1.8315507765881808E-3</v>
      </c>
      <c r="T177" s="38">
        <v>3.5766438215508427E-4</v>
      </c>
    </row>
    <row r="178" spans="1:20" x14ac:dyDescent="0.2">
      <c r="A178" s="30" t="s">
        <v>980</v>
      </c>
      <c r="B178" s="38" t="s">
        <v>981</v>
      </c>
      <c r="C178" s="38" t="s">
        <v>266</v>
      </c>
      <c r="D178" s="38" t="s">
        <v>180</v>
      </c>
      <c r="E178" s="38" t="s">
        <v>982</v>
      </c>
      <c r="F178" s="38" t="s">
        <v>434</v>
      </c>
      <c r="G178" s="80" t="s">
        <v>396</v>
      </c>
      <c r="H178" s="80" t="s">
        <v>185</v>
      </c>
      <c r="I178" s="80" t="s">
        <v>983</v>
      </c>
      <c r="J178" s="80">
        <v>2.19</v>
      </c>
      <c r="K178" s="80" t="s">
        <v>186</v>
      </c>
      <c r="L178" s="38">
        <v>2.4500000000000001E-2</v>
      </c>
      <c r="M178" s="38">
        <v>1.1399999999999999E-2</v>
      </c>
      <c r="N178" s="88">
        <v>169250.66359105209</v>
      </c>
      <c r="O178" s="80">
        <v>103.52</v>
      </c>
      <c r="P178" s="104">
        <v>0</v>
      </c>
      <c r="Q178" s="104">
        <v>175.20828694675563</v>
      </c>
      <c r="R178" s="38">
        <v>1.0789492165364629E-4</v>
      </c>
      <c r="S178" s="38">
        <v>1.0869146373639242E-3</v>
      </c>
      <c r="T178" s="38">
        <v>2.1225218388553303E-4</v>
      </c>
    </row>
    <row r="179" spans="1:20" x14ac:dyDescent="0.2">
      <c r="A179" s="30" t="s">
        <v>1193</v>
      </c>
      <c r="B179" s="38" t="s">
        <v>1194</v>
      </c>
      <c r="C179" s="38" t="s">
        <v>266</v>
      </c>
      <c r="D179" s="38" t="s">
        <v>180</v>
      </c>
      <c r="E179" s="38" t="s">
        <v>737</v>
      </c>
      <c r="F179" s="38" t="s">
        <v>390</v>
      </c>
      <c r="G179" s="80" t="s">
        <v>396</v>
      </c>
      <c r="H179" s="80" t="s">
        <v>185</v>
      </c>
      <c r="I179" s="80" t="s">
        <v>973</v>
      </c>
      <c r="J179" s="80">
        <v>0.56000000000000005</v>
      </c>
      <c r="K179" s="80" t="s">
        <v>186</v>
      </c>
      <c r="L179" s="38">
        <v>3.2500000000000001E-2</v>
      </c>
      <c r="M179" s="38">
        <v>2.9100000000000001E-2</v>
      </c>
      <c r="N179" s="88">
        <v>0.27015078718885682</v>
      </c>
      <c r="O179" s="80">
        <v>5010000</v>
      </c>
      <c r="P179" s="104">
        <v>0</v>
      </c>
      <c r="Q179" s="104">
        <v>13.534554438161726</v>
      </c>
      <c r="R179" s="38">
        <v>1.4590914782006849E-5</v>
      </c>
      <c r="S179" s="38">
        <v>8.3962383203411867E-5</v>
      </c>
      <c r="T179" s="38">
        <v>1.6396135065748696E-5</v>
      </c>
    </row>
    <row r="180" spans="1:20" x14ac:dyDescent="0.2">
      <c r="A180" s="30" t="s">
        <v>1190</v>
      </c>
      <c r="B180" s="38" t="s">
        <v>1191</v>
      </c>
      <c r="C180" s="38" t="s">
        <v>266</v>
      </c>
      <c r="D180" s="38" t="s">
        <v>180</v>
      </c>
      <c r="E180" s="38" t="s">
        <v>737</v>
      </c>
      <c r="F180" s="38" t="s">
        <v>390</v>
      </c>
      <c r="G180" s="80" t="s">
        <v>396</v>
      </c>
      <c r="H180" s="80" t="s">
        <v>185</v>
      </c>
      <c r="I180" s="80" t="s">
        <v>1192</v>
      </c>
      <c r="J180" s="80">
        <v>0.11</v>
      </c>
      <c r="K180" s="80" t="s">
        <v>186</v>
      </c>
      <c r="L180" s="38">
        <v>2.18E-2</v>
      </c>
      <c r="M180" s="38">
        <v>4.3E-3</v>
      </c>
      <c r="N180" s="88">
        <v>44941.69737877608</v>
      </c>
      <c r="O180" s="80">
        <v>100.47</v>
      </c>
      <c r="P180" s="104">
        <v>0</v>
      </c>
      <c r="Q180" s="104">
        <v>45.152923349027176</v>
      </c>
      <c r="R180" s="38">
        <v>4.4941742320518397E-5</v>
      </c>
      <c r="S180" s="38">
        <v>2.8010874464370032E-4</v>
      </c>
      <c r="T180" s="38">
        <v>5.4699505124204169E-5</v>
      </c>
    </row>
    <row r="181" spans="1:20" x14ac:dyDescent="0.2">
      <c r="A181" s="30" t="s">
        <v>1167</v>
      </c>
      <c r="B181" s="38" t="s">
        <v>1168</v>
      </c>
      <c r="C181" s="38" t="s">
        <v>266</v>
      </c>
      <c r="D181" s="38" t="s">
        <v>180</v>
      </c>
      <c r="E181" s="38" t="s">
        <v>737</v>
      </c>
      <c r="F181" s="38" t="s">
        <v>390</v>
      </c>
      <c r="G181" s="80" t="s">
        <v>396</v>
      </c>
      <c r="H181" s="80" t="s">
        <v>185</v>
      </c>
      <c r="I181" s="80" t="s">
        <v>854</v>
      </c>
      <c r="J181" s="80">
        <v>0.59</v>
      </c>
      <c r="K181" s="80" t="s">
        <v>186</v>
      </c>
      <c r="L181" s="38">
        <v>1.5600000000000001E-2</v>
      </c>
      <c r="M181" s="38">
        <v>9.300000000000001E-3</v>
      </c>
      <c r="N181" s="88">
        <v>19252.593014879789</v>
      </c>
      <c r="O181" s="80">
        <v>100.54</v>
      </c>
      <c r="P181" s="104">
        <v>0</v>
      </c>
      <c r="Q181" s="104">
        <v>19.356556965831491</v>
      </c>
      <c r="R181" s="38">
        <v>2.3764373895739329E-5</v>
      </c>
      <c r="S181" s="38">
        <v>1.2007950914744363E-4</v>
      </c>
      <c r="T181" s="38">
        <v>2.3449070589629084E-5</v>
      </c>
    </row>
    <row r="182" spans="1:20" x14ac:dyDescent="0.2">
      <c r="A182" s="30" t="s">
        <v>984</v>
      </c>
      <c r="B182" s="38" t="s">
        <v>985</v>
      </c>
      <c r="C182" s="38" t="s">
        <v>266</v>
      </c>
      <c r="D182" s="38" t="s">
        <v>180</v>
      </c>
      <c r="E182" s="38" t="s">
        <v>986</v>
      </c>
      <c r="F182" s="38" t="s">
        <v>395</v>
      </c>
      <c r="G182" s="80" t="s">
        <v>413</v>
      </c>
      <c r="H182" s="80" t="s">
        <v>402</v>
      </c>
      <c r="I182" s="80" t="s">
        <v>987</v>
      </c>
      <c r="J182" s="80">
        <v>3.11</v>
      </c>
      <c r="K182" s="80" t="s">
        <v>186</v>
      </c>
      <c r="L182" s="38">
        <v>2.9399999999999999E-2</v>
      </c>
      <c r="M182" s="38">
        <v>1.1200000000000002E-2</v>
      </c>
      <c r="N182" s="88">
        <v>90263.496915126889</v>
      </c>
      <c r="O182" s="80">
        <v>107.95000000000002</v>
      </c>
      <c r="P182" s="104">
        <v>0</v>
      </c>
      <c r="Q182" s="104">
        <v>97.439444872603076</v>
      </c>
      <c r="R182" s="38">
        <v>2.41944640930448E-4</v>
      </c>
      <c r="S182" s="38">
        <v>6.0447117390533098E-4</v>
      </c>
      <c r="T182" s="38">
        <v>1.1804084915851621E-4</v>
      </c>
    </row>
    <row r="183" spans="1:20" x14ac:dyDescent="0.2">
      <c r="A183" s="30" t="s">
        <v>994</v>
      </c>
      <c r="B183" s="38" t="s">
        <v>995</v>
      </c>
      <c r="C183" s="38" t="s">
        <v>266</v>
      </c>
      <c r="D183" s="38" t="s">
        <v>180</v>
      </c>
      <c r="E183" s="38" t="s">
        <v>498</v>
      </c>
      <c r="F183" s="38" t="s">
        <v>499</v>
      </c>
      <c r="G183" s="80" t="s">
        <v>396</v>
      </c>
      <c r="H183" s="80" t="s">
        <v>185</v>
      </c>
      <c r="I183" s="80" t="s">
        <v>996</v>
      </c>
      <c r="J183" s="80">
        <v>4.3499999999999996</v>
      </c>
      <c r="K183" s="80" t="s">
        <v>186</v>
      </c>
      <c r="L183" s="38">
        <v>5.0900000000000001E-2</v>
      </c>
      <c r="M183" s="38">
        <v>1.2199999999999999E-2</v>
      </c>
      <c r="N183" s="88">
        <v>625991.34410672891</v>
      </c>
      <c r="O183" s="80">
        <v>121.35000000000001</v>
      </c>
      <c r="P183" s="104">
        <v>0</v>
      </c>
      <c r="Q183" s="104">
        <v>759.64049607105051</v>
      </c>
      <c r="R183" s="38">
        <v>6.0632741951171544E-4</v>
      </c>
      <c r="S183" s="38">
        <v>4.7124733007915887E-3</v>
      </c>
      <c r="T183" s="38">
        <v>9.2024959018044764E-4</v>
      </c>
    </row>
    <row r="184" spans="1:20" x14ac:dyDescent="0.2">
      <c r="A184" s="30" t="s">
        <v>1120</v>
      </c>
      <c r="B184" s="38" t="s">
        <v>1121</v>
      </c>
      <c r="C184" s="38" t="s">
        <v>266</v>
      </c>
      <c r="D184" s="38" t="s">
        <v>180</v>
      </c>
      <c r="E184" s="38" t="s">
        <v>498</v>
      </c>
      <c r="F184" s="38" t="s">
        <v>499</v>
      </c>
      <c r="G184" s="80" t="s">
        <v>396</v>
      </c>
      <c r="H184" s="80" t="s">
        <v>185</v>
      </c>
      <c r="I184" s="80" t="s">
        <v>1122</v>
      </c>
      <c r="J184" s="80">
        <v>6.49</v>
      </c>
      <c r="K184" s="80" t="s">
        <v>186</v>
      </c>
      <c r="L184" s="38">
        <v>3.5200000000000002E-2</v>
      </c>
      <c r="M184" s="38">
        <v>1.8000000000000002E-2</v>
      </c>
      <c r="N184" s="88">
        <v>1620.9047231331408</v>
      </c>
      <c r="O184" s="80">
        <v>112.98000000000002</v>
      </c>
      <c r="P184" s="104">
        <v>0</v>
      </c>
      <c r="Q184" s="104">
        <v>1.8312981561958224</v>
      </c>
      <c r="R184" s="38">
        <v>1.8959280453986723E-6</v>
      </c>
      <c r="S184" s="38">
        <v>1.1360562939307153E-5</v>
      </c>
      <c r="T184" s="38">
        <v>2.2184854368003446E-6</v>
      </c>
    </row>
    <row r="185" spans="1:20" x14ac:dyDescent="0.2">
      <c r="A185" s="30" t="s">
        <v>916</v>
      </c>
      <c r="B185" s="38" t="s">
        <v>917</v>
      </c>
      <c r="C185" s="38" t="s">
        <v>266</v>
      </c>
      <c r="D185" s="38" t="s">
        <v>180</v>
      </c>
      <c r="E185" s="38" t="s">
        <v>918</v>
      </c>
      <c r="F185" s="38" t="s">
        <v>919</v>
      </c>
      <c r="G185" s="80" t="s">
        <v>396</v>
      </c>
      <c r="H185" s="80" t="s">
        <v>185</v>
      </c>
      <c r="I185" s="80" t="s">
        <v>920</v>
      </c>
      <c r="J185" s="80">
        <v>0.5</v>
      </c>
      <c r="K185" s="80" t="s">
        <v>186</v>
      </c>
      <c r="L185" s="38">
        <v>4.0999999999999995E-2</v>
      </c>
      <c r="M185" s="38">
        <v>2.0000000000000001E-4</v>
      </c>
      <c r="N185" s="88">
        <v>1447.0897066558302</v>
      </c>
      <c r="O185" s="80">
        <v>102.03999999999999</v>
      </c>
      <c r="P185" s="104">
        <v>2.9665325480000001E-2</v>
      </c>
      <c r="Q185" s="104">
        <v>1.5062756243294042</v>
      </c>
      <c r="R185" s="38">
        <v>4.8236323555194341E-6</v>
      </c>
      <c r="S185" s="38">
        <v>9.3442670579025889E-6</v>
      </c>
      <c r="T185" s="38">
        <v>1.8247441166673705E-6</v>
      </c>
    </row>
    <row r="186" spans="1:20" x14ac:dyDescent="0.2">
      <c r="A186" s="30" t="s">
        <v>974</v>
      </c>
      <c r="B186" s="38" t="s">
        <v>975</v>
      </c>
      <c r="C186" s="38" t="s">
        <v>266</v>
      </c>
      <c r="D186" s="38" t="s">
        <v>180</v>
      </c>
      <c r="E186" s="38" t="s">
        <v>976</v>
      </c>
      <c r="F186" s="38" t="s">
        <v>407</v>
      </c>
      <c r="G186" s="80" t="s">
        <v>401</v>
      </c>
      <c r="H186" s="80" t="s">
        <v>402</v>
      </c>
      <c r="I186" s="80" t="s">
        <v>973</v>
      </c>
      <c r="J186" s="80">
        <v>3.74</v>
      </c>
      <c r="K186" s="80" t="s">
        <v>186</v>
      </c>
      <c r="L186" s="38">
        <v>3.85E-2</v>
      </c>
      <c r="M186" s="38">
        <v>2.1700000000000001E-2</v>
      </c>
      <c r="N186" s="88">
        <v>24792.926403785019</v>
      </c>
      <c r="O186" s="80">
        <v>107.59</v>
      </c>
      <c r="P186" s="104">
        <v>0</v>
      </c>
      <c r="Q186" s="104">
        <v>26.674709461100637</v>
      </c>
      <c r="R186" s="38">
        <v>2.0862460360248394E-5</v>
      </c>
      <c r="S186" s="38">
        <v>1.6547808705823949E-4</v>
      </c>
      <c r="T186" s="38">
        <v>3.2314483728450954E-5</v>
      </c>
    </row>
    <row r="187" spans="1:20" x14ac:dyDescent="0.2">
      <c r="A187" s="30" t="s">
        <v>1180</v>
      </c>
      <c r="B187" s="38" t="s">
        <v>1181</v>
      </c>
      <c r="C187" s="38" t="s">
        <v>266</v>
      </c>
      <c r="D187" s="38" t="s">
        <v>180</v>
      </c>
      <c r="E187" s="38" t="s">
        <v>976</v>
      </c>
      <c r="F187" s="38" t="s">
        <v>407</v>
      </c>
      <c r="G187" s="80" t="s">
        <v>401</v>
      </c>
      <c r="H187" s="80" t="s">
        <v>402</v>
      </c>
      <c r="I187" s="80" t="s">
        <v>1182</v>
      </c>
      <c r="J187" s="80">
        <v>4.8499999999999996</v>
      </c>
      <c r="K187" s="80" t="s">
        <v>186</v>
      </c>
      <c r="L187" s="38">
        <v>2.3400000095367433E-2</v>
      </c>
      <c r="M187" s="38">
        <v>2.5699999999999997E-2</v>
      </c>
      <c r="N187" s="88">
        <v>10076.266412351333</v>
      </c>
      <c r="O187" s="80">
        <v>99.23</v>
      </c>
      <c r="P187" s="104">
        <v>0</v>
      </c>
      <c r="Q187" s="104">
        <v>9.9986791062706946</v>
      </c>
      <c r="R187" s="38">
        <v>7.6616691582791126E-6</v>
      </c>
      <c r="S187" s="38">
        <v>6.2027378181107762E-5</v>
      </c>
      <c r="T187" s="38">
        <v>1.211267750663835E-5</v>
      </c>
    </row>
    <row r="188" spans="1:20" x14ac:dyDescent="0.2">
      <c r="A188" s="30" t="s">
        <v>1152</v>
      </c>
      <c r="B188" s="38" t="s">
        <v>1153</v>
      </c>
      <c r="C188" s="38" t="s">
        <v>266</v>
      </c>
      <c r="D188" s="38" t="s">
        <v>180</v>
      </c>
      <c r="E188" s="38" t="s">
        <v>460</v>
      </c>
      <c r="F188" s="38" t="s">
        <v>461</v>
      </c>
      <c r="G188" s="80" t="s">
        <v>401</v>
      </c>
      <c r="H188" s="80" t="s">
        <v>402</v>
      </c>
      <c r="I188" s="80" t="s">
        <v>795</v>
      </c>
      <c r="J188" s="80">
        <v>7.06</v>
      </c>
      <c r="K188" s="80" t="s">
        <v>186</v>
      </c>
      <c r="L188" s="38">
        <v>3.6000000000000004E-2</v>
      </c>
      <c r="M188" s="38">
        <v>2.3399999999999997E-2</v>
      </c>
      <c r="N188" s="88">
        <v>421781.84498211928</v>
      </c>
      <c r="O188" s="80">
        <v>106.54</v>
      </c>
      <c r="P188" s="104">
        <v>0</v>
      </c>
      <c r="Q188" s="104">
        <v>449.36637758451673</v>
      </c>
      <c r="R188" s="38">
        <v>5.0526955456034299E-4</v>
      </c>
      <c r="S188" s="38">
        <v>2.7876700460192443E-3</v>
      </c>
      <c r="T188" s="38">
        <v>5.4437490754092937E-4</v>
      </c>
    </row>
    <row r="189" spans="1:20" x14ac:dyDescent="0.2">
      <c r="A189" s="30" t="s">
        <v>977</v>
      </c>
      <c r="B189" s="38" t="s">
        <v>978</v>
      </c>
      <c r="C189" s="38" t="s">
        <v>266</v>
      </c>
      <c r="D189" s="38" t="s">
        <v>180</v>
      </c>
      <c r="E189" s="38" t="s">
        <v>460</v>
      </c>
      <c r="F189" s="38" t="s">
        <v>461</v>
      </c>
      <c r="G189" s="80" t="s">
        <v>401</v>
      </c>
      <c r="H189" s="80" t="s">
        <v>402</v>
      </c>
      <c r="I189" s="80" t="s">
        <v>979</v>
      </c>
      <c r="J189" s="80">
        <v>3.95</v>
      </c>
      <c r="K189" s="80" t="s">
        <v>186</v>
      </c>
      <c r="L189" s="38">
        <v>3.6499999999999998E-2</v>
      </c>
      <c r="M189" s="38">
        <v>1.6299999999999999E-2</v>
      </c>
      <c r="N189" s="88">
        <v>1185315.599739423</v>
      </c>
      <c r="O189" s="80">
        <v>108.5</v>
      </c>
      <c r="P189" s="104">
        <v>0</v>
      </c>
      <c r="Q189" s="104">
        <v>1286.0674256835052</v>
      </c>
      <c r="R189" s="38">
        <v>5.5260292915298645E-4</v>
      </c>
      <c r="S189" s="38">
        <v>7.9781928924237255E-3</v>
      </c>
      <c r="T189" s="38">
        <v>1.5579777902190379E-3</v>
      </c>
    </row>
    <row r="190" spans="1:20" x14ac:dyDescent="0.2">
      <c r="A190" s="30" t="s">
        <v>1195</v>
      </c>
      <c r="B190" s="38" t="s">
        <v>1196</v>
      </c>
      <c r="C190" s="38" t="s">
        <v>266</v>
      </c>
      <c r="D190" s="38" t="s">
        <v>180</v>
      </c>
      <c r="E190" s="38" t="s">
        <v>811</v>
      </c>
      <c r="F190" s="38" t="s">
        <v>390</v>
      </c>
      <c r="G190" s="80" t="s">
        <v>401</v>
      </c>
      <c r="H190" s="80" t="s">
        <v>402</v>
      </c>
      <c r="I190" s="80" t="s">
        <v>1013</v>
      </c>
      <c r="J190" s="80">
        <v>1.49</v>
      </c>
      <c r="K190" s="80" t="s">
        <v>186</v>
      </c>
      <c r="L190" s="38">
        <v>3.6000000000000004E-2</v>
      </c>
      <c r="M190" s="38">
        <v>3.04E-2</v>
      </c>
      <c r="N190" s="88">
        <v>3.6065130089712385</v>
      </c>
      <c r="O190" s="80">
        <v>5125000</v>
      </c>
      <c r="P190" s="104">
        <v>0</v>
      </c>
      <c r="Q190" s="104">
        <v>184.83379170977594</v>
      </c>
      <c r="R190" s="38">
        <v>2.2999253931326054E-4</v>
      </c>
      <c r="S190" s="38">
        <v>1.1466270071453964E-3</v>
      </c>
      <c r="T190" s="38">
        <v>2.2391278763067736E-4</v>
      </c>
    </row>
    <row r="191" spans="1:20" x14ac:dyDescent="0.2">
      <c r="A191" s="30" t="s">
        <v>1055</v>
      </c>
      <c r="B191" s="38" t="s">
        <v>1056</v>
      </c>
      <c r="C191" s="38" t="s">
        <v>266</v>
      </c>
      <c r="D191" s="38" t="s">
        <v>180</v>
      </c>
      <c r="E191" s="38" t="s">
        <v>483</v>
      </c>
      <c r="F191" s="38" t="s">
        <v>395</v>
      </c>
      <c r="G191" s="80" t="s">
        <v>435</v>
      </c>
      <c r="H191" s="80" t="s">
        <v>185</v>
      </c>
      <c r="I191" s="80" t="s">
        <v>1057</v>
      </c>
      <c r="J191" s="80">
        <v>4.33</v>
      </c>
      <c r="K191" s="80" t="s">
        <v>186</v>
      </c>
      <c r="L191" s="38">
        <v>2.2200000000000001E-2</v>
      </c>
      <c r="M191" s="38">
        <v>1.8799999999999997E-2</v>
      </c>
      <c r="N191" s="88">
        <v>162823.25632356387</v>
      </c>
      <c r="O191" s="80">
        <v>102.46</v>
      </c>
      <c r="P191" s="104">
        <v>0</v>
      </c>
      <c r="Q191" s="104">
        <v>166.82870842912354</v>
      </c>
      <c r="R191" s="38">
        <v>5.9819485700689538E-4</v>
      </c>
      <c r="S191" s="38">
        <v>1.0349314423651486E-3</v>
      </c>
      <c r="T191" s="38">
        <v>2.0210092979018189E-4</v>
      </c>
    </row>
    <row r="192" spans="1:20" x14ac:dyDescent="0.2">
      <c r="A192" s="30" t="s">
        <v>1061</v>
      </c>
      <c r="B192" s="38" t="s">
        <v>1062</v>
      </c>
      <c r="C192" s="38" t="s">
        <v>266</v>
      </c>
      <c r="D192" s="38" t="s">
        <v>180</v>
      </c>
      <c r="E192" s="38" t="s">
        <v>394</v>
      </c>
      <c r="F192" s="38" t="s">
        <v>395</v>
      </c>
      <c r="G192" s="80" t="s">
        <v>435</v>
      </c>
      <c r="H192" s="80" t="s">
        <v>185</v>
      </c>
      <c r="I192" s="80" t="s">
        <v>1060</v>
      </c>
      <c r="J192" s="80">
        <v>9.84</v>
      </c>
      <c r="K192" s="80" t="s">
        <v>186</v>
      </c>
      <c r="L192" s="38">
        <v>3.0499999999999999E-2</v>
      </c>
      <c r="M192" s="38">
        <v>2.58E-2</v>
      </c>
      <c r="N192" s="88">
        <v>147820.75653797531</v>
      </c>
      <c r="O192" s="80">
        <v>104.85</v>
      </c>
      <c r="P192" s="104">
        <v>0</v>
      </c>
      <c r="Q192" s="104">
        <v>154.99006317603695</v>
      </c>
      <c r="R192" s="38">
        <v>4.6774649844705067E-4</v>
      </c>
      <c r="S192" s="38">
        <v>9.6148972886874818E-4</v>
      </c>
      <c r="T192" s="38">
        <v>1.8775926620221851E-4</v>
      </c>
    </row>
    <row r="193" spans="1:20" x14ac:dyDescent="0.2">
      <c r="A193" s="30" t="s">
        <v>1123</v>
      </c>
      <c r="B193" s="38" t="s">
        <v>1124</v>
      </c>
      <c r="C193" s="38" t="s">
        <v>266</v>
      </c>
      <c r="D193" s="38" t="s">
        <v>180</v>
      </c>
      <c r="E193" s="38" t="s">
        <v>394</v>
      </c>
      <c r="F193" s="38" t="s">
        <v>395</v>
      </c>
      <c r="G193" s="80" t="s">
        <v>435</v>
      </c>
      <c r="H193" s="80" t="s">
        <v>185</v>
      </c>
      <c r="I193" s="80" t="s">
        <v>1125</v>
      </c>
      <c r="J193" s="80">
        <v>5.57</v>
      </c>
      <c r="K193" s="80" t="s">
        <v>186</v>
      </c>
      <c r="L193" s="38">
        <v>2.9100000000000001E-2</v>
      </c>
      <c r="M193" s="38">
        <v>1.8000000000000002E-2</v>
      </c>
      <c r="N193" s="88">
        <v>456015.82549856877</v>
      </c>
      <c r="O193" s="80">
        <v>106.30999999999999</v>
      </c>
      <c r="P193" s="104">
        <v>0</v>
      </c>
      <c r="Q193" s="104">
        <v>484.79042405240892</v>
      </c>
      <c r="R193" s="38">
        <v>7.6002637583094798E-4</v>
      </c>
      <c r="S193" s="38">
        <v>3.0074251460295112E-3</v>
      </c>
      <c r="T193" s="38">
        <v>5.872885810657303E-4</v>
      </c>
    </row>
    <row r="194" spans="1:20" x14ac:dyDescent="0.2">
      <c r="A194" s="30" t="s">
        <v>953</v>
      </c>
      <c r="B194" s="38" t="s">
        <v>954</v>
      </c>
      <c r="C194" s="38" t="s">
        <v>266</v>
      </c>
      <c r="D194" s="38" t="s">
        <v>180</v>
      </c>
      <c r="E194" s="38" t="s">
        <v>394</v>
      </c>
      <c r="F194" s="38" t="s">
        <v>395</v>
      </c>
      <c r="G194" s="80" t="s">
        <v>435</v>
      </c>
      <c r="H194" s="80" t="s">
        <v>185</v>
      </c>
      <c r="I194" s="80" t="s">
        <v>955</v>
      </c>
      <c r="J194" s="80">
        <v>6.57</v>
      </c>
      <c r="K194" s="80" t="s">
        <v>186</v>
      </c>
      <c r="L194" s="38">
        <v>4.36E-2</v>
      </c>
      <c r="M194" s="38">
        <v>1.9799999999999998E-2</v>
      </c>
      <c r="N194" s="88">
        <v>334991.10942122643</v>
      </c>
      <c r="O194" s="80">
        <v>116.6</v>
      </c>
      <c r="P194" s="104">
        <v>0</v>
      </c>
      <c r="Q194" s="104">
        <v>390.59963357164247</v>
      </c>
      <c r="R194" s="38">
        <v>1.1166370314040881E-3</v>
      </c>
      <c r="S194" s="38">
        <v>2.423107185603728E-3</v>
      </c>
      <c r="T194" s="38">
        <v>4.731832420441644E-4</v>
      </c>
    </row>
    <row r="195" spans="1:20" x14ac:dyDescent="0.2">
      <c r="A195" s="30" t="s">
        <v>965</v>
      </c>
      <c r="B195" s="38" t="s">
        <v>966</v>
      </c>
      <c r="C195" s="38" t="s">
        <v>266</v>
      </c>
      <c r="D195" s="38" t="s">
        <v>180</v>
      </c>
      <c r="E195" s="38" t="s">
        <v>394</v>
      </c>
      <c r="F195" s="38" t="s">
        <v>395</v>
      </c>
      <c r="G195" s="80" t="s">
        <v>435</v>
      </c>
      <c r="H195" s="80" t="s">
        <v>185</v>
      </c>
      <c r="I195" s="80" t="s">
        <v>967</v>
      </c>
      <c r="J195" s="80">
        <v>7.4</v>
      </c>
      <c r="K195" s="80" t="s">
        <v>186</v>
      </c>
      <c r="L195" s="38">
        <v>3.95E-2</v>
      </c>
      <c r="M195" s="38">
        <v>2.0899999999999998E-2</v>
      </c>
      <c r="N195" s="88">
        <v>306875.10546061903</v>
      </c>
      <c r="O195" s="80">
        <v>114.5</v>
      </c>
      <c r="P195" s="104">
        <v>0</v>
      </c>
      <c r="Q195" s="104">
        <v>351.37199571863994</v>
      </c>
      <c r="R195" s="38">
        <v>1.2785931418800628E-3</v>
      </c>
      <c r="S195" s="38">
        <v>2.1797562887103826E-3</v>
      </c>
      <c r="T195" s="38">
        <v>4.2566179229960502E-4</v>
      </c>
    </row>
    <row r="196" spans="1:20" x14ac:dyDescent="0.2">
      <c r="A196" s="30" t="s">
        <v>968</v>
      </c>
      <c r="B196" s="38" t="s">
        <v>969</v>
      </c>
      <c r="C196" s="38" t="s">
        <v>266</v>
      </c>
      <c r="D196" s="38" t="s">
        <v>180</v>
      </c>
      <c r="E196" s="38" t="s">
        <v>394</v>
      </c>
      <c r="F196" s="38" t="s">
        <v>395</v>
      </c>
      <c r="G196" s="80" t="s">
        <v>435</v>
      </c>
      <c r="H196" s="80" t="s">
        <v>185</v>
      </c>
      <c r="I196" s="80" t="s">
        <v>967</v>
      </c>
      <c r="J196" s="80">
        <v>8.14</v>
      </c>
      <c r="K196" s="80" t="s">
        <v>186</v>
      </c>
      <c r="L196" s="38">
        <v>3.95E-2</v>
      </c>
      <c r="M196" s="38">
        <v>2.1400000000000002E-2</v>
      </c>
      <c r="N196" s="88">
        <v>179155.7151882528</v>
      </c>
      <c r="O196" s="80">
        <v>115.56</v>
      </c>
      <c r="P196" s="104">
        <v>0</v>
      </c>
      <c r="Q196" s="104">
        <v>207.03234441211177</v>
      </c>
      <c r="R196" s="38">
        <v>7.4645112846311935E-4</v>
      </c>
      <c r="S196" s="38">
        <v>1.2843369995260397E-3</v>
      </c>
      <c r="T196" s="38">
        <v>2.5080473077033447E-4</v>
      </c>
    </row>
    <row r="197" spans="1:20" x14ac:dyDescent="0.2">
      <c r="A197" s="30" t="s">
        <v>1058</v>
      </c>
      <c r="B197" s="38" t="s">
        <v>1059</v>
      </c>
      <c r="C197" s="38" t="s">
        <v>266</v>
      </c>
      <c r="D197" s="38" t="s">
        <v>180</v>
      </c>
      <c r="E197" s="38" t="s">
        <v>394</v>
      </c>
      <c r="F197" s="38" t="s">
        <v>395</v>
      </c>
      <c r="G197" s="80" t="s">
        <v>435</v>
      </c>
      <c r="H197" s="80" t="s">
        <v>185</v>
      </c>
      <c r="I197" s="80" t="s">
        <v>1060</v>
      </c>
      <c r="J197" s="80">
        <v>9.11</v>
      </c>
      <c r="K197" s="80" t="s">
        <v>186</v>
      </c>
      <c r="L197" s="38">
        <v>3.0499999999999999E-2</v>
      </c>
      <c r="M197" s="38">
        <v>2.53E-2</v>
      </c>
      <c r="N197" s="88">
        <v>499235.86541812966</v>
      </c>
      <c r="O197" s="80">
        <v>104.90000000000002</v>
      </c>
      <c r="P197" s="104">
        <v>0</v>
      </c>
      <c r="Q197" s="104">
        <v>523.69842280335661</v>
      </c>
      <c r="R197" s="38">
        <v>6.84943594883501E-4</v>
      </c>
      <c r="S197" s="38">
        <v>3.2487931434564471E-3</v>
      </c>
      <c r="T197" s="38">
        <v>6.3442281112651431E-4</v>
      </c>
    </row>
    <row r="198" spans="1:20" x14ac:dyDescent="0.2">
      <c r="A198" s="30" t="s">
        <v>1187</v>
      </c>
      <c r="B198" s="38" t="s">
        <v>1188</v>
      </c>
      <c r="C198" s="38" t="s">
        <v>266</v>
      </c>
      <c r="D198" s="38" t="s">
        <v>180</v>
      </c>
      <c r="E198" s="38" t="s">
        <v>394</v>
      </c>
      <c r="F198" s="38" t="s">
        <v>395</v>
      </c>
      <c r="G198" s="80" t="s">
        <v>435</v>
      </c>
      <c r="H198" s="80" t="s">
        <v>185</v>
      </c>
      <c r="I198" s="80" t="s">
        <v>1189</v>
      </c>
      <c r="J198" s="80">
        <v>7.05</v>
      </c>
      <c r="K198" s="80" t="s">
        <v>186</v>
      </c>
      <c r="L198" s="38">
        <v>1.7899999999999999E-2</v>
      </c>
      <c r="M198" s="38">
        <v>2.2200000000000001E-2</v>
      </c>
      <c r="N198" s="88">
        <v>479949.88851972297</v>
      </c>
      <c r="O198" s="80">
        <v>97.11</v>
      </c>
      <c r="P198" s="104">
        <v>0</v>
      </c>
      <c r="Q198" s="104">
        <v>466.07933674150297</v>
      </c>
      <c r="R198" s="38">
        <v>1.371285395770637E-3</v>
      </c>
      <c r="S198" s="38">
        <v>2.8913498448344347E-3</v>
      </c>
      <c r="T198" s="38">
        <v>5.6462145033909085E-4</v>
      </c>
    </row>
    <row r="199" spans="1:20" x14ac:dyDescent="0.2">
      <c r="A199" s="30" t="s">
        <v>936</v>
      </c>
      <c r="B199" s="38" t="s">
        <v>937</v>
      </c>
      <c r="C199" s="38" t="s">
        <v>266</v>
      </c>
      <c r="D199" s="38" t="s">
        <v>180</v>
      </c>
      <c r="E199" s="38" t="s">
        <v>938</v>
      </c>
      <c r="F199" s="38" t="s">
        <v>395</v>
      </c>
      <c r="G199" s="80" t="s">
        <v>401</v>
      </c>
      <c r="H199" s="80" t="s">
        <v>402</v>
      </c>
      <c r="I199" s="80" t="s">
        <v>939</v>
      </c>
      <c r="J199" s="80">
        <v>2.65</v>
      </c>
      <c r="K199" s="80" t="s">
        <v>186</v>
      </c>
      <c r="L199" s="38">
        <v>3.5799999999999998E-2</v>
      </c>
      <c r="M199" s="38">
        <v>0.02</v>
      </c>
      <c r="N199" s="88">
        <v>335112.14372765669</v>
      </c>
      <c r="O199" s="80">
        <v>105.07</v>
      </c>
      <c r="P199" s="104">
        <v>0</v>
      </c>
      <c r="Q199" s="104">
        <v>352.10232939371224</v>
      </c>
      <c r="R199" s="38">
        <v>2.81230136881905E-4</v>
      </c>
      <c r="S199" s="38">
        <v>2.1842869554695244E-3</v>
      </c>
      <c r="T199" s="38">
        <v>4.2654653879305339E-4</v>
      </c>
    </row>
    <row r="200" spans="1:20" x14ac:dyDescent="0.2">
      <c r="A200" s="30" t="s">
        <v>1089</v>
      </c>
      <c r="B200" s="38" t="s">
        <v>1090</v>
      </c>
      <c r="C200" s="38" t="s">
        <v>266</v>
      </c>
      <c r="D200" s="38" t="s">
        <v>180</v>
      </c>
      <c r="E200" s="38" t="s">
        <v>938</v>
      </c>
      <c r="F200" s="38" t="s">
        <v>395</v>
      </c>
      <c r="G200" s="80" t="s">
        <v>401</v>
      </c>
      <c r="H200" s="80" t="s">
        <v>402</v>
      </c>
      <c r="I200" s="80" t="s">
        <v>590</v>
      </c>
      <c r="J200" s="80">
        <v>5.12</v>
      </c>
      <c r="K200" s="80" t="s">
        <v>186</v>
      </c>
      <c r="L200" s="38">
        <v>2.63E-2</v>
      </c>
      <c r="M200" s="38">
        <v>3.2500000000000001E-2</v>
      </c>
      <c r="N200" s="88">
        <v>6399.7303193407433</v>
      </c>
      <c r="O200" s="80">
        <v>98.2</v>
      </c>
      <c r="P200" s="104">
        <v>0</v>
      </c>
      <c r="Q200" s="104">
        <v>6.2845351195624524</v>
      </c>
      <c r="R200" s="38">
        <v>4.6403488305185711E-6</v>
      </c>
      <c r="S200" s="38">
        <v>3.8986473354173474E-5</v>
      </c>
      <c r="T200" s="38">
        <v>7.6132603490257469E-6</v>
      </c>
    </row>
    <row r="201" spans="1:20" x14ac:dyDescent="0.2">
      <c r="A201" s="30" t="s">
        <v>991</v>
      </c>
      <c r="B201" s="38" t="s">
        <v>992</v>
      </c>
      <c r="C201" s="38" t="s">
        <v>266</v>
      </c>
      <c r="D201" s="38" t="s">
        <v>180</v>
      </c>
      <c r="E201" s="38" t="s">
        <v>470</v>
      </c>
      <c r="F201" s="38" t="s">
        <v>407</v>
      </c>
      <c r="G201" s="80" t="s">
        <v>435</v>
      </c>
      <c r="H201" s="80" t="s">
        <v>185</v>
      </c>
      <c r="I201" s="80" t="s">
        <v>993</v>
      </c>
      <c r="J201" s="80">
        <v>3.84</v>
      </c>
      <c r="K201" s="80" t="s">
        <v>186</v>
      </c>
      <c r="L201" s="38">
        <v>3.5000000000000003E-2</v>
      </c>
      <c r="M201" s="38">
        <v>0.03</v>
      </c>
      <c r="N201" s="88">
        <v>645033.84949923714</v>
      </c>
      <c r="O201" s="80">
        <v>102</v>
      </c>
      <c r="P201" s="104">
        <v>0</v>
      </c>
      <c r="Q201" s="104">
        <v>657.93452645275158</v>
      </c>
      <c r="R201" s="38">
        <v>6.5566120695048809E-4</v>
      </c>
      <c r="S201" s="38">
        <v>4.0815344964015106E-3</v>
      </c>
      <c r="T201" s="38">
        <v>7.9704015447470489E-4</v>
      </c>
    </row>
    <row r="202" spans="1:20" x14ac:dyDescent="0.2">
      <c r="A202" s="30" t="s">
        <v>940</v>
      </c>
      <c r="B202" s="38" t="s">
        <v>941</v>
      </c>
      <c r="C202" s="38" t="s">
        <v>266</v>
      </c>
      <c r="D202" s="38" t="s">
        <v>180</v>
      </c>
      <c r="E202" s="38" t="s">
        <v>400</v>
      </c>
      <c r="F202" s="38" t="s">
        <v>395</v>
      </c>
      <c r="G202" s="80" t="s">
        <v>401</v>
      </c>
      <c r="H202" s="80" t="s">
        <v>402</v>
      </c>
      <c r="I202" s="80" t="s">
        <v>942</v>
      </c>
      <c r="J202" s="80">
        <v>3.75</v>
      </c>
      <c r="K202" s="80" t="s">
        <v>186</v>
      </c>
      <c r="L202" s="38">
        <v>4.0999999999999995E-2</v>
      </c>
      <c r="M202" s="38">
        <v>1.3100000000000001E-2</v>
      </c>
      <c r="N202" s="88">
        <v>273750.76930254773</v>
      </c>
      <c r="O202" s="80">
        <v>110.86</v>
      </c>
      <c r="P202" s="104">
        <v>5.6118907939999998</v>
      </c>
      <c r="Q202" s="104">
        <v>309.09199361748051</v>
      </c>
      <c r="R202" s="38">
        <v>9.1250256434182581E-4</v>
      </c>
      <c r="S202" s="38">
        <v>1.9174698754798661E-3</v>
      </c>
      <c r="T202" s="38">
        <v>3.7444262374861548E-4</v>
      </c>
    </row>
    <row r="203" spans="1:20" x14ac:dyDescent="0.2">
      <c r="A203" s="30" t="s">
        <v>1175</v>
      </c>
      <c r="B203" s="38" t="s">
        <v>1176</v>
      </c>
      <c r="C203" s="38" t="s">
        <v>266</v>
      </c>
      <c r="D203" s="38" t="s">
        <v>180</v>
      </c>
      <c r="E203" s="38" t="s">
        <v>620</v>
      </c>
      <c r="F203" s="38" t="s">
        <v>424</v>
      </c>
      <c r="G203" s="80" t="s">
        <v>435</v>
      </c>
      <c r="H203" s="80" t="s">
        <v>185</v>
      </c>
      <c r="I203" s="80" t="s">
        <v>1177</v>
      </c>
      <c r="J203" s="80">
        <v>3.79</v>
      </c>
      <c r="K203" s="80" t="s">
        <v>186</v>
      </c>
      <c r="L203" s="38">
        <v>1.7499999761581422E-2</v>
      </c>
      <c r="M203" s="38">
        <v>1.8100000000000002E-2</v>
      </c>
      <c r="N203" s="88">
        <v>353943.42125885829</v>
      </c>
      <c r="O203" s="80">
        <v>99.98</v>
      </c>
      <c r="P203" s="104">
        <v>0</v>
      </c>
      <c r="Q203" s="104">
        <v>353.87263256748804</v>
      </c>
      <c r="R203" s="38">
        <v>5.0956587635452174E-4</v>
      </c>
      <c r="S203" s="38">
        <v>2.1952691325439087E-3</v>
      </c>
      <c r="T203" s="38">
        <v>4.2869113321447816E-4</v>
      </c>
    </row>
    <row r="204" spans="1:20" x14ac:dyDescent="0.2">
      <c r="A204" s="30" t="s">
        <v>1025</v>
      </c>
      <c r="B204" s="38" t="s">
        <v>1026</v>
      </c>
      <c r="C204" s="38" t="s">
        <v>266</v>
      </c>
      <c r="D204" s="38" t="s">
        <v>180</v>
      </c>
      <c r="E204" s="38" t="s">
        <v>620</v>
      </c>
      <c r="F204" s="38" t="s">
        <v>424</v>
      </c>
      <c r="G204" s="80" t="s">
        <v>435</v>
      </c>
      <c r="H204" s="80" t="s">
        <v>185</v>
      </c>
      <c r="I204" s="80" t="s">
        <v>1027</v>
      </c>
      <c r="J204" s="80">
        <v>2.35</v>
      </c>
      <c r="K204" s="80" t="s">
        <v>186</v>
      </c>
      <c r="L204" s="38">
        <v>2.9600000000000001E-2</v>
      </c>
      <c r="M204" s="38">
        <v>1.5600000000000001E-2</v>
      </c>
      <c r="N204" s="88">
        <v>160439.90503374761</v>
      </c>
      <c r="O204" s="80">
        <v>103.56999999999998</v>
      </c>
      <c r="P204" s="104">
        <v>0</v>
      </c>
      <c r="Q204" s="104">
        <v>166.1676096056313</v>
      </c>
      <c r="R204" s="38">
        <v>3.9285568601337827E-4</v>
      </c>
      <c r="S204" s="38">
        <v>1.0308302779709316E-3</v>
      </c>
      <c r="T204" s="38">
        <v>2.0130005631840926E-4</v>
      </c>
    </row>
    <row r="205" spans="1:20" x14ac:dyDescent="0.2">
      <c r="A205" s="30" t="s">
        <v>1146</v>
      </c>
      <c r="B205" s="38" t="s">
        <v>1147</v>
      </c>
      <c r="C205" s="38" t="s">
        <v>266</v>
      </c>
      <c r="D205" s="38" t="s">
        <v>180</v>
      </c>
      <c r="E205" s="38" t="s">
        <v>620</v>
      </c>
      <c r="F205" s="38" t="s">
        <v>424</v>
      </c>
      <c r="G205" s="80" t="s">
        <v>435</v>
      </c>
      <c r="H205" s="80" t="s">
        <v>185</v>
      </c>
      <c r="I205" s="80" t="s">
        <v>1148</v>
      </c>
      <c r="J205" s="80">
        <v>7.54</v>
      </c>
      <c r="K205" s="80" t="s">
        <v>186</v>
      </c>
      <c r="L205" s="38">
        <v>2.4300000000000002E-2</v>
      </c>
      <c r="M205" s="38">
        <v>2.6499999999999999E-2</v>
      </c>
      <c r="N205" s="88">
        <v>128181.94245019098</v>
      </c>
      <c r="O205" s="80">
        <v>99.46</v>
      </c>
      <c r="P205" s="104">
        <v>0</v>
      </c>
      <c r="Q205" s="104">
        <v>127.48975994204939</v>
      </c>
      <c r="R205" s="38">
        <v>1.4825320223474145E-4</v>
      </c>
      <c r="S205" s="38">
        <v>7.9089002358168601E-4</v>
      </c>
      <c r="T205" s="38">
        <v>1.5444463525270146E-4</v>
      </c>
    </row>
    <row r="206" spans="1:20" x14ac:dyDescent="0.2">
      <c r="A206" s="30" t="s">
        <v>929</v>
      </c>
      <c r="B206" s="38" t="s">
        <v>930</v>
      </c>
      <c r="C206" s="38" t="s">
        <v>266</v>
      </c>
      <c r="D206" s="38" t="s">
        <v>180</v>
      </c>
      <c r="E206" s="38" t="s">
        <v>561</v>
      </c>
      <c r="F206" s="38" t="s">
        <v>395</v>
      </c>
      <c r="G206" s="80" t="s">
        <v>435</v>
      </c>
      <c r="H206" s="80" t="s">
        <v>185</v>
      </c>
      <c r="I206" s="80" t="s">
        <v>931</v>
      </c>
      <c r="J206" s="80">
        <v>3.34</v>
      </c>
      <c r="K206" s="80" t="s">
        <v>186</v>
      </c>
      <c r="L206" s="38">
        <v>3.85E-2</v>
      </c>
      <c r="M206" s="38">
        <v>1.7000000000000001E-2</v>
      </c>
      <c r="N206" s="88">
        <v>347461.16169754916</v>
      </c>
      <c r="O206" s="80">
        <v>109.07</v>
      </c>
      <c r="P206" s="104">
        <v>0</v>
      </c>
      <c r="Q206" s="104">
        <v>378.97588901488973</v>
      </c>
      <c r="R206" s="38">
        <v>8.7119898327248676E-4</v>
      </c>
      <c r="S206" s="38">
        <v>2.3509986208784008E-3</v>
      </c>
      <c r="T206" s="38">
        <v>4.5910191512697301E-4</v>
      </c>
    </row>
    <row r="207" spans="1:20" x14ac:dyDescent="0.2">
      <c r="A207" s="30" t="s">
        <v>959</v>
      </c>
      <c r="B207" s="38" t="s">
        <v>960</v>
      </c>
      <c r="C207" s="38" t="s">
        <v>266</v>
      </c>
      <c r="D207" s="38" t="s">
        <v>180</v>
      </c>
      <c r="E207" s="38" t="s">
        <v>561</v>
      </c>
      <c r="F207" s="38" t="s">
        <v>395</v>
      </c>
      <c r="G207" s="80" t="s">
        <v>435</v>
      </c>
      <c r="H207" s="80" t="s">
        <v>185</v>
      </c>
      <c r="I207" s="80" t="s">
        <v>961</v>
      </c>
      <c r="J207" s="80">
        <v>2.48</v>
      </c>
      <c r="K207" s="80" t="s">
        <v>186</v>
      </c>
      <c r="L207" s="38">
        <v>3.0499999999999999E-2</v>
      </c>
      <c r="M207" s="38">
        <v>1.49E-2</v>
      </c>
      <c r="N207" s="88">
        <v>491516.76593054627</v>
      </c>
      <c r="O207" s="80">
        <v>105.21000000000001</v>
      </c>
      <c r="P207" s="104">
        <v>0</v>
      </c>
      <c r="Q207" s="104">
        <v>517.12478939838206</v>
      </c>
      <c r="R207" s="38">
        <v>1.1968585585548804E-3</v>
      </c>
      <c r="S207" s="38">
        <v>3.2080132323401276E-3</v>
      </c>
      <c r="T207" s="38">
        <v>6.2645932908703323E-4</v>
      </c>
    </row>
    <row r="208" spans="1:20" x14ac:dyDescent="0.2">
      <c r="A208" s="30" t="s">
        <v>1004</v>
      </c>
      <c r="B208" s="38" t="s">
        <v>1005</v>
      </c>
      <c r="C208" s="38" t="s">
        <v>266</v>
      </c>
      <c r="D208" s="38" t="s">
        <v>180</v>
      </c>
      <c r="E208" s="38" t="s">
        <v>561</v>
      </c>
      <c r="F208" s="38" t="s">
        <v>395</v>
      </c>
      <c r="G208" s="80" t="s">
        <v>435</v>
      </c>
      <c r="H208" s="80" t="s">
        <v>185</v>
      </c>
      <c r="I208" s="80" t="s">
        <v>1006</v>
      </c>
      <c r="J208" s="80">
        <v>4.6500000000000004</v>
      </c>
      <c r="K208" s="80" t="s">
        <v>186</v>
      </c>
      <c r="L208" s="38">
        <v>3.61E-2</v>
      </c>
      <c r="M208" s="38">
        <v>1.5800000000000002E-2</v>
      </c>
      <c r="N208" s="88">
        <v>188016.90414375579</v>
      </c>
      <c r="O208" s="80">
        <v>111.39000000000001</v>
      </c>
      <c r="P208" s="104">
        <v>0</v>
      </c>
      <c r="Q208" s="104">
        <v>209.43202949128536</v>
      </c>
      <c r="R208" s="38">
        <v>2.4497316500815086E-4</v>
      </c>
      <c r="S208" s="38">
        <v>1.2992235832776987E-3</v>
      </c>
      <c r="T208" s="38">
        <v>2.5371177590825599E-4</v>
      </c>
    </row>
    <row r="209" spans="1:20" x14ac:dyDescent="0.2">
      <c r="A209" s="30" t="s">
        <v>1099</v>
      </c>
      <c r="B209" s="38" t="s">
        <v>1100</v>
      </c>
      <c r="C209" s="38" t="s">
        <v>266</v>
      </c>
      <c r="D209" s="38" t="s">
        <v>180</v>
      </c>
      <c r="E209" s="38" t="s">
        <v>561</v>
      </c>
      <c r="F209" s="38" t="s">
        <v>395</v>
      </c>
      <c r="G209" s="80" t="s">
        <v>435</v>
      </c>
      <c r="H209" s="80" t="s">
        <v>185</v>
      </c>
      <c r="I209" s="80" t="s">
        <v>1101</v>
      </c>
      <c r="J209" s="80">
        <v>5.6</v>
      </c>
      <c r="K209" s="80" t="s">
        <v>186</v>
      </c>
      <c r="L209" s="38">
        <v>3.3000000000000002E-2</v>
      </c>
      <c r="M209" s="38">
        <v>1.9400000000000001E-2</v>
      </c>
      <c r="N209" s="88">
        <v>355714.38306025328</v>
      </c>
      <c r="O209" s="80">
        <v>109.04</v>
      </c>
      <c r="P209" s="104">
        <v>0</v>
      </c>
      <c r="Q209" s="104">
        <v>387.87096325378064</v>
      </c>
      <c r="R209" s="38">
        <v>1.1536246187233562E-3</v>
      </c>
      <c r="S209" s="38">
        <v>2.4061797230920615E-3</v>
      </c>
      <c r="T209" s="38">
        <v>4.6987765505303189E-4</v>
      </c>
    </row>
    <row r="210" spans="1:20" x14ac:dyDescent="0.2">
      <c r="A210" s="30" t="s">
        <v>1178</v>
      </c>
      <c r="B210" s="38" t="s">
        <v>1179</v>
      </c>
      <c r="C210" s="38" t="s">
        <v>266</v>
      </c>
      <c r="D210" s="38" t="s">
        <v>180</v>
      </c>
      <c r="E210" s="38" t="s">
        <v>561</v>
      </c>
      <c r="F210" s="38" t="s">
        <v>395</v>
      </c>
      <c r="G210" s="80" t="s">
        <v>435</v>
      </c>
      <c r="H210" s="80" t="s">
        <v>185</v>
      </c>
      <c r="I210" s="80" t="s">
        <v>1101</v>
      </c>
      <c r="J210" s="80">
        <v>4.4400000000000004</v>
      </c>
      <c r="K210" s="80" t="s">
        <v>186</v>
      </c>
      <c r="L210" s="38">
        <v>1.4400000333786012E-2</v>
      </c>
      <c r="M210" s="38">
        <v>1.8799999999999997E-2</v>
      </c>
      <c r="N210" s="88">
        <v>13106.156073607317</v>
      </c>
      <c r="O210" s="80">
        <v>98.38</v>
      </c>
      <c r="P210" s="104">
        <v>0</v>
      </c>
      <c r="Q210" s="104">
        <v>12.893836330356583</v>
      </c>
      <c r="R210" s="38">
        <v>4.4677691328783519E-5</v>
      </c>
      <c r="S210" s="38">
        <v>7.9987651745594713E-5</v>
      </c>
      <c r="T210" s="38">
        <v>1.5619951358878856E-5</v>
      </c>
    </row>
    <row r="211" spans="1:20" x14ac:dyDescent="0.2">
      <c r="A211" s="30" t="s">
        <v>1126</v>
      </c>
      <c r="B211" s="38" t="s">
        <v>1127</v>
      </c>
      <c r="C211" s="38" t="s">
        <v>266</v>
      </c>
      <c r="D211" s="38" t="s">
        <v>180</v>
      </c>
      <c r="E211" s="38" t="s">
        <v>561</v>
      </c>
      <c r="F211" s="38" t="s">
        <v>395</v>
      </c>
      <c r="G211" s="80" t="s">
        <v>435</v>
      </c>
      <c r="H211" s="80" t="s">
        <v>185</v>
      </c>
      <c r="I211" s="80" t="s">
        <v>1128</v>
      </c>
      <c r="J211" s="80">
        <v>7.91</v>
      </c>
      <c r="K211" s="80" t="s">
        <v>186</v>
      </c>
      <c r="L211" s="38">
        <v>2.6200000000000001E-2</v>
      </c>
      <c r="M211" s="38">
        <v>2.5899999999999999E-2</v>
      </c>
      <c r="N211" s="88">
        <v>395626.04837958456</v>
      </c>
      <c r="O211" s="80">
        <v>100.8</v>
      </c>
      <c r="P211" s="104">
        <v>0</v>
      </c>
      <c r="Q211" s="104">
        <v>398.79105672609859</v>
      </c>
      <c r="R211" s="38">
        <v>4.9453256047448074E-4</v>
      </c>
      <c r="S211" s="38">
        <v>2.473923148036634E-3</v>
      </c>
      <c r="T211" s="38">
        <v>4.831065595079793E-4</v>
      </c>
    </row>
    <row r="212" spans="1:20" x14ac:dyDescent="0.2">
      <c r="A212" s="30" t="s">
        <v>1091</v>
      </c>
      <c r="B212" s="38" t="s">
        <v>1092</v>
      </c>
      <c r="C212" s="38" t="s">
        <v>266</v>
      </c>
      <c r="D212" s="38" t="s">
        <v>180</v>
      </c>
      <c r="E212" s="38" t="s">
        <v>1093</v>
      </c>
      <c r="F212" s="38" t="s">
        <v>499</v>
      </c>
      <c r="G212" s="80" t="s">
        <v>401</v>
      </c>
      <c r="H212" s="80" t="s">
        <v>402</v>
      </c>
      <c r="I212" s="80" t="s">
        <v>302</v>
      </c>
      <c r="J212" s="80">
        <v>2.95</v>
      </c>
      <c r="K212" s="80" t="s">
        <v>186</v>
      </c>
      <c r="L212" s="38">
        <v>2.75E-2</v>
      </c>
      <c r="M212" s="38">
        <v>4.0199999999999993E-2</v>
      </c>
      <c r="N212" s="88">
        <v>24983.483474996785</v>
      </c>
      <c r="O212" s="80">
        <v>97.35</v>
      </c>
      <c r="P212" s="104">
        <v>0</v>
      </c>
      <c r="Q212" s="104">
        <v>24.321421158722035</v>
      </c>
      <c r="R212" s="38">
        <v>6.1875802431245216E-5</v>
      </c>
      <c r="S212" s="38">
        <v>1.5087932836727698E-4</v>
      </c>
      <c r="T212" s="38">
        <v>2.9463644934256657E-5</v>
      </c>
    </row>
    <row r="213" spans="1:20" x14ac:dyDescent="0.2">
      <c r="A213" s="30" t="s">
        <v>1105</v>
      </c>
      <c r="B213" s="38" t="s">
        <v>1106</v>
      </c>
      <c r="C213" s="38" t="s">
        <v>266</v>
      </c>
      <c r="D213" s="38" t="s">
        <v>180</v>
      </c>
      <c r="E213" s="38" t="s">
        <v>1093</v>
      </c>
      <c r="F213" s="38" t="s">
        <v>499</v>
      </c>
      <c r="G213" s="80" t="s">
        <v>401</v>
      </c>
      <c r="H213" s="80" t="s">
        <v>402</v>
      </c>
      <c r="I213" s="80" t="s">
        <v>1107</v>
      </c>
      <c r="J213" s="80">
        <v>3.67</v>
      </c>
      <c r="K213" s="80" t="s">
        <v>186</v>
      </c>
      <c r="L213" s="38">
        <v>2.3E-2</v>
      </c>
      <c r="M213" s="38">
        <v>4.8899999999999999E-2</v>
      </c>
      <c r="N213" s="88">
        <v>8892.8320548948886</v>
      </c>
      <c r="O213" s="80">
        <v>91.79</v>
      </c>
      <c r="P213" s="104">
        <v>0</v>
      </c>
      <c r="Q213" s="104">
        <v>8.1627305068865059</v>
      </c>
      <c r="R213" s="38">
        <v>2.9454056467519486E-5</v>
      </c>
      <c r="S213" s="38">
        <v>5.063796595128046E-5</v>
      </c>
      <c r="T213" s="38">
        <v>9.8885583938289113E-6</v>
      </c>
    </row>
    <row r="214" spans="1:20" x14ac:dyDescent="0.2">
      <c r="A214" s="30" t="s">
        <v>1038</v>
      </c>
      <c r="B214" s="38" t="s">
        <v>1039</v>
      </c>
      <c r="C214" s="38" t="s">
        <v>266</v>
      </c>
      <c r="D214" s="38" t="s">
        <v>180</v>
      </c>
      <c r="E214" s="38" t="s">
        <v>628</v>
      </c>
      <c r="F214" s="38" t="s">
        <v>629</v>
      </c>
      <c r="G214" s="80" t="s">
        <v>435</v>
      </c>
      <c r="H214" s="80" t="s">
        <v>185</v>
      </c>
      <c r="I214" s="80" t="s">
        <v>327</v>
      </c>
      <c r="J214" s="80">
        <v>2.9</v>
      </c>
      <c r="K214" s="80" t="s">
        <v>186</v>
      </c>
      <c r="L214" s="38">
        <v>2.7000000000000003E-2</v>
      </c>
      <c r="M214" s="38">
        <v>4.2599999999999999E-2</v>
      </c>
      <c r="N214" s="88">
        <v>146757.11771051452</v>
      </c>
      <c r="O214" s="80">
        <v>95.85</v>
      </c>
      <c r="P214" s="104">
        <v>0</v>
      </c>
      <c r="Q214" s="104">
        <v>140.6666972778803</v>
      </c>
      <c r="R214" s="38">
        <v>8.626520244530238E-4</v>
      </c>
      <c r="S214" s="38">
        <v>8.7263390862003581E-4</v>
      </c>
      <c r="T214" s="38">
        <v>1.7040754303059022E-4</v>
      </c>
    </row>
    <row r="215" spans="1:20" x14ac:dyDescent="0.2">
      <c r="A215" s="30" t="s">
        <v>924</v>
      </c>
      <c r="B215" s="38" t="s">
        <v>925</v>
      </c>
      <c r="C215" s="38" t="s">
        <v>266</v>
      </c>
      <c r="D215" s="38" t="s">
        <v>180</v>
      </c>
      <c r="E215" s="38" t="s">
        <v>926</v>
      </c>
      <c r="F215" s="38" t="s">
        <v>927</v>
      </c>
      <c r="G215" s="80" t="s">
        <v>507</v>
      </c>
      <c r="H215" s="80" t="s">
        <v>185</v>
      </c>
      <c r="I215" s="80" t="s">
        <v>928</v>
      </c>
      <c r="J215" s="80">
        <v>2.39</v>
      </c>
      <c r="K215" s="80" t="s">
        <v>186</v>
      </c>
      <c r="L215" s="38">
        <v>4.7500000000000001E-2</v>
      </c>
      <c r="M215" s="38">
        <v>2.4500000000000001E-2</v>
      </c>
      <c r="N215" s="88">
        <v>470746.82462102256</v>
      </c>
      <c r="O215" s="80">
        <v>105.53000000000002</v>
      </c>
      <c r="P215" s="104">
        <v>0</v>
      </c>
      <c r="Q215" s="104">
        <v>496.77912401993797</v>
      </c>
      <c r="R215" s="38">
        <v>1.125246028656739E-3</v>
      </c>
      <c r="S215" s="38">
        <v>3.081797732536402E-3</v>
      </c>
      <c r="T215" s="38">
        <v>6.0181202510139825E-4</v>
      </c>
    </row>
    <row r="216" spans="1:20" x14ac:dyDescent="0.2">
      <c r="A216" s="30" t="s">
        <v>1014</v>
      </c>
      <c r="B216" s="38" t="s">
        <v>1015</v>
      </c>
      <c r="C216" s="38" t="s">
        <v>266</v>
      </c>
      <c r="D216" s="38" t="s">
        <v>180</v>
      </c>
      <c r="E216" s="38" t="s">
        <v>639</v>
      </c>
      <c r="F216" s="38" t="s">
        <v>629</v>
      </c>
      <c r="G216" s="80" t="s">
        <v>507</v>
      </c>
      <c r="H216" s="80" t="s">
        <v>185</v>
      </c>
      <c r="I216" s="80" t="s">
        <v>1016</v>
      </c>
      <c r="J216" s="80">
        <v>0.4</v>
      </c>
      <c r="K216" s="80" t="s">
        <v>186</v>
      </c>
      <c r="L216" s="38">
        <v>4.2999999999999997E-2</v>
      </c>
      <c r="M216" s="38">
        <v>0.30280000000000001</v>
      </c>
      <c r="N216" s="88">
        <v>128825.65065444642</v>
      </c>
      <c r="O216" s="80">
        <v>91.69</v>
      </c>
      <c r="P216" s="104">
        <v>0</v>
      </c>
      <c r="Q216" s="104">
        <v>118.12023905632465</v>
      </c>
      <c r="R216" s="38">
        <v>9.6015664560314927E-4</v>
      </c>
      <c r="S216" s="38">
        <v>7.3276566443607075E-4</v>
      </c>
      <c r="T216" s="38">
        <v>1.4309413748451921E-4</v>
      </c>
    </row>
    <row r="217" spans="1:20" x14ac:dyDescent="0.2">
      <c r="A217" s="30" t="s">
        <v>988</v>
      </c>
      <c r="B217" s="38" t="s">
        <v>989</v>
      </c>
      <c r="C217" s="38" t="s">
        <v>266</v>
      </c>
      <c r="D217" s="38" t="s">
        <v>180</v>
      </c>
      <c r="E217" s="38" t="s">
        <v>639</v>
      </c>
      <c r="F217" s="38" t="s">
        <v>629</v>
      </c>
      <c r="G217" s="80" t="s">
        <v>507</v>
      </c>
      <c r="H217" s="80" t="s">
        <v>185</v>
      </c>
      <c r="I217" s="80" t="s">
        <v>990</v>
      </c>
      <c r="J217" s="80">
        <v>1.32</v>
      </c>
      <c r="K217" s="80" t="s">
        <v>186</v>
      </c>
      <c r="L217" s="38">
        <v>4.2500000000000003E-2</v>
      </c>
      <c r="M217" s="38">
        <v>0.2346</v>
      </c>
      <c r="N217" s="88">
        <v>368136.83051299851</v>
      </c>
      <c r="O217" s="80">
        <v>80.290000000000006</v>
      </c>
      <c r="P217" s="104">
        <v>0</v>
      </c>
      <c r="Q217" s="104">
        <v>295.57706117652009</v>
      </c>
      <c r="R217" s="38">
        <v>1.4235836685674041E-3</v>
      </c>
      <c r="S217" s="38">
        <v>1.8336292184592969E-3</v>
      </c>
      <c r="T217" s="38">
        <v>3.5807025931512823E-4</v>
      </c>
    </row>
    <row r="218" spans="1:20" x14ac:dyDescent="0.2">
      <c r="A218" s="30" t="s">
        <v>1115</v>
      </c>
      <c r="B218" s="38" t="s">
        <v>1116</v>
      </c>
      <c r="C218" s="38" t="s">
        <v>266</v>
      </c>
      <c r="D218" s="38" t="s">
        <v>180</v>
      </c>
      <c r="E218" s="38" t="s">
        <v>639</v>
      </c>
      <c r="F218" s="38" t="s">
        <v>629</v>
      </c>
      <c r="G218" s="80" t="s">
        <v>507</v>
      </c>
      <c r="H218" s="80" t="s">
        <v>185</v>
      </c>
      <c r="I218" s="80" t="s">
        <v>1117</v>
      </c>
      <c r="J218" s="80">
        <v>1.19</v>
      </c>
      <c r="K218" s="80" t="s">
        <v>186</v>
      </c>
      <c r="L218" s="38">
        <v>3.7000000000000005E-2</v>
      </c>
      <c r="M218" s="38">
        <v>0.223</v>
      </c>
      <c r="N218" s="88">
        <v>19423.681196848909</v>
      </c>
      <c r="O218" s="80">
        <v>81.99</v>
      </c>
      <c r="P218" s="104">
        <v>0</v>
      </c>
      <c r="Q218" s="104">
        <v>15.925476163487371</v>
      </c>
      <c r="R218" s="38">
        <v>9.8499207770956967E-5</v>
      </c>
      <c r="S218" s="38">
        <v>9.87946029878424E-5</v>
      </c>
      <c r="T218" s="38">
        <v>1.9292564033483274E-5</v>
      </c>
    </row>
    <row r="219" spans="1:20" x14ac:dyDescent="0.2">
      <c r="A219" s="30" t="s">
        <v>921</v>
      </c>
      <c r="B219" s="38" t="s">
        <v>922</v>
      </c>
      <c r="C219" s="38" t="s">
        <v>266</v>
      </c>
      <c r="D219" s="38" t="s">
        <v>180</v>
      </c>
      <c r="E219" s="38" t="s">
        <v>520</v>
      </c>
      <c r="F219" s="38" t="s">
        <v>418</v>
      </c>
      <c r="G219" s="80" t="s">
        <v>507</v>
      </c>
      <c r="H219" s="80" t="s">
        <v>185</v>
      </c>
      <c r="I219" s="80" t="s">
        <v>923</v>
      </c>
      <c r="J219" s="80">
        <v>3.33</v>
      </c>
      <c r="K219" s="80" t="s">
        <v>186</v>
      </c>
      <c r="L219" s="38">
        <v>3.7499999999999999E-2</v>
      </c>
      <c r="M219" s="38">
        <v>1.6299999999999999E-2</v>
      </c>
      <c r="N219" s="88">
        <v>874.30067660084319</v>
      </c>
      <c r="O219" s="80">
        <v>107.15</v>
      </c>
      <c r="P219" s="104">
        <v>0</v>
      </c>
      <c r="Q219" s="104">
        <v>0.93681316353016386</v>
      </c>
      <c r="R219" s="38">
        <v>2.2118927244770678E-6</v>
      </c>
      <c r="S219" s="38">
        <v>5.8115740851091829E-6</v>
      </c>
      <c r="T219" s="38">
        <v>1.1348814791643864E-6</v>
      </c>
    </row>
    <row r="220" spans="1:20" x14ac:dyDescent="0.2">
      <c r="A220" s="30" t="s">
        <v>1102</v>
      </c>
      <c r="B220" s="38" t="s">
        <v>1103</v>
      </c>
      <c r="C220" s="38" t="s">
        <v>266</v>
      </c>
      <c r="D220" s="38" t="s">
        <v>180</v>
      </c>
      <c r="E220" s="38" t="s">
        <v>520</v>
      </c>
      <c r="F220" s="38" t="s">
        <v>418</v>
      </c>
      <c r="G220" s="80" t="s">
        <v>507</v>
      </c>
      <c r="H220" s="80" t="s">
        <v>185</v>
      </c>
      <c r="I220" s="80" t="s">
        <v>1104</v>
      </c>
      <c r="J220" s="80">
        <v>5.79</v>
      </c>
      <c r="K220" s="80" t="s">
        <v>186</v>
      </c>
      <c r="L220" s="38">
        <v>3.7499999999999999E-2</v>
      </c>
      <c r="M220" s="38">
        <v>2.0799999999999999E-2</v>
      </c>
      <c r="N220" s="88">
        <v>2532.6636298955327</v>
      </c>
      <c r="O220" s="80">
        <v>111.87</v>
      </c>
      <c r="P220" s="104">
        <v>0</v>
      </c>
      <c r="Q220" s="104">
        <v>2.8332908027641324</v>
      </c>
      <c r="R220" s="38">
        <v>6.8450368375554937E-6</v>
      </c>
      <c r="S220" s="38">
        <v>1.7576481678453755E-5</v>
      </c>
      <c r="T220" s="38">
        <v>3.4323271515817868E-6</v>
      </c>
    </row>
    <row r="221" spans="1:20" x14ac:dyDescent="0.2">
      <c r="A221" s="30" t="s">
        <v>911</v>
      </c>
      <c r="B221" s="38" t="s">
        <v>912</v>
      </c>
      <c r="C221" s="38" t="s">
        <v>266</v>
      </c>
      <c r="D221" s="38" t="s">
        <v>180</v>
      </c>
      <c r="E221" s="38" t="s">
        <v>913</v>
      </c>
      <c r="F221" s="38" t="s">
        <v>914</v>
      </c>
      <c r="G221" s="80" t="s">
        <v>451</v>
      </c>
      <c r="H221" s="80" t="s">
        <v>402</v>
      </c>
      <c r="I221" s="80" t="s">
        <v>915</v>
      </c>
      <c r="J221" s="80">
        <v>0.99</v>
      </c>
      <c r="K221" s="80" t="s">
        <v>186</v>
      </c>
      <c r="L221" s="38">
        <v>7.5999999999999998E-2</v>
      </c>
      <c r="M221" s="38">
        <v>2.5399999999999999E-2</v>
      </c>
      <c r="N221" s="88">
        <v>10308.270895323672</v>
      </c>
      <c r="O221" s="80">
        <v>104.95999999999998</v>
      </c>
      <c r="P221" s="104">
        <v>0</v>
      </c>
      <c r="Q221" s="104">
        <v>10.819561111740567</v>
      </c>
      <c r="R221" s="38">
        <v>2.1374370081901151E-4</v>
      </c>
      <c r="S221" s="38">
        <v>6.7119766691047352E-5</v>
      </c>
      <c r="T221" s="38">
        <v>1.3107116761821896E-5</v>
      </c>
    </row>
    <row r="222" spans="1:20" x14ac:dyDescent="0.2">
      <c r="A222" s="30" t="s">
        <v>1149</v>
      </c>
      <c r="B222" s="38" t="s">
        <v>1150</v>
      </c>
      <c r="C222" s="38" t="s">
        <v>266</v>
      </c>
      <c r="D222" s="38" t="s">
        <v>180</v>
      </c>
      <c r="E222" s="38" t="s">
        <v>449</v>
      </c>
      <c r="F222" s="38" t="s">
        <v>450</v>
      </c>
      <c r="G222" s="80" t="s">
        <v>451</v>
      </c>
      <c r="H222" s="80" t="s">
        <v>402</v>
      </c>
      <c r="I222" s="80" t="s">
        <v>1151</v>
      </c>
      <c r="J222" s="80">
        <v>5.92</v>
      </c>
      <c r="K222" s="80" t="s">
        <v>186</v>
      </c>
      <c r="L222" s="38">
        <v>2.1099999999999997E-2</v>
      </c>
      <c r="M222" s="38">
        <v>3.0800000000000001E-2</v>
      </c>
      <c r="N222" s="88">
        <v>182961.45089523648</v>
      </c>
      <c r="O222" s="80">
        <v>94.67</v>
      </c>
      <c r="P222" s="104">
        <v>0</v>
      </c>
      <c r="Q222" s="104">
        <v>173.20960552402389</v>
      </c>
      <c r="R222" s="38">
        <v>4.6314195607384615E-4</v>
      </c>
      <c r="S222" s="38">
        <v>1.0745157027492922E-3</v>
      </c>
      <c r="T222" s="38">
        <v>2.098309257118533E-4</v>
      </c>
    </row>
    <row r="223" spans="1:20" x14ac:dyDescent="0.2">
      <c r="A223" s="30" t="s">
        <v>1154</v>
      </c>
      <c r="B223" s="38" t="s">
        <v>1155</v>
      </c>
      <c r="C223" s="38" t="s">
        <v>266</v>
      </c>
      <c r="D223" s="38" t="s">
        <v>180</v>
      </c>
      <c r="E223" s="38" t="s">
        <v>1156</v>
      </c>
      <c r="F223" s="38" t="s">
        <v>697</v>
      </c>
      <c r="G223" s="80" t="s">
        <v>507</v>
      </c>
      <c r="H223" s="80" t="s">
        <v>185</v>
      </c>
      <c r="I223" s="80" t="s">
        <v>1157</v>
      </c>
      <c r="J223" s="80">
        <v>4.25</v>
      </c>
      <c r="K223" s="80" t="s">
        <v>186</v>
      </c>
      <c r="L223" s="38">
        <v>2.3900000000000001E-2</v>
      </c>
      <c r="M223" s="38">
        <v>2.1400000000000002E-2</v>
      </c>
      <c r="N223" s="88">
        <v>242621.31908372359</v>
      </c>
      <c r="O223" s="80">
        <v>101.11000000000001</v>
      </c>
      <c r="P223" s="104">
        <v>0</v>
      </c>
      <c r="Q223" s="104">
        <v>245.31441567577764</v>
      </c>
      <c r="R223" s="38">
        <v>1.1966861822015071E-3</v>
      </c>
      <c r="S223" s="38">
        <v>1.5218220199562209E-3</v>
      </c>
      <c r="T223" s="38">
        <v>2.9718069489264763E-4</v>
      </c>
    </row>
    <row r="224" spans="1:20" x14ac:dyDescent="0.2">
      <c r="A224" s="30" t="s">
        <v>1134</v>
      </c>
      <c r="B224" s="38" t="s">
        <v>1135</v>
      </c>
      <c r="C224" s="38" t="s">
        <v>266</v>
      </c>
      <c r="D224" s="38" t="s">
        <v>180</v>
      </c>
      <c r="E224" s="38" t="s">
        <v>400</v>
      </c>
      <c r="F224" s="38" t="s">
        <v>395</v>
      </c>
      <c r="G224" s="80" t="s">
        <v>451</v>
      </c>
      <c r="H224" s="80" t="s">
        <v>402</v>
      </c>
      <c r="I224" s="80" t="s">
        <v>1136</v>
      </c>
      <c r="J224" s="80">
        <v>5.91</v>
      </c>
      <c r="K224" s="80" t="s">
        <v>186</v>
      </c>
      <c r="L224" s="38">
        <v>1.84E-2</v>
      </c>
      <c r="M224" s="38">
        <v>1.8700000000000001E-2</v>
      </c>
      <c r="N224" s="88">
        <v>315326.36085787194</v>
      </c>
      <c r="O224" s="80">
        <v>100.33000000000001</v>
      </c>
      <c r="P224" s="104">
        <v>0</v>
      </c>
      <c r="Q224" s="104">
        <v>316.36693779062051</v>
      </c>
      <c r="R224" s="38">
        <v>1.0510878695262399E-3</v>
      </c>
      <c r="S224" s="38">
        <v>1.962600408090999E-3</v>
      </c>
      <c r="T224" s="38">
        <v>3.8325569312622741E-4</v>
      </c>
    </row>
    <row r="225" spans="1:20" x14ac:dyDescent="0.2">
      <c r="A225" s="30" t="s">
        <v>1070</v>
      </c>
      <c r="B225" s="38" t="s">
        <v>1071</v>
      </c>
      <c r="C225" s="38" t="s">
        <v>266</v>
      </c>
      <c r="D225" s="38" t="s">
        <v>180</v>
      </c>
      <c r="E225" s="38" t="s">
        <v>1009</v>
      </c>
      <c r="F225" s="38" t="s">
        <v>478</v>
      </c>
      <c r="G225" s="80" t="s">
        <v>507</v>
      </c>
      <c r="H225" s="80" t="s">
        <v>185</v>
      </c>
      <c r="I225" s="80" t="s">
        <v>1072</v>
      </c>
      <c r="J225" s="80">
        <v>3.93</v>
      </c>
      <c r="K225" s="80" t="s">
        <v>186</v>
      </c>
      <c r="L225" s="38">
        <v>3.9E-2</v>
      </c>
      <c r="M225" s="38">
        <v>5.2000000000000005E-2</v>
      </c>
      <c r="N225" s="88">
        <v>101744.33130023052</v>
      </c>
      <c r="O225" s="80">
        <v>95.66</v>
      </c>
      <c r="P225" s="104">
        <v>0</v>
      </c>
      <c r="Q225" s="104">
        <v>97.32862726371809</v>
      </c>
      <c r="R225" s="38">
        <v>2.4173615742885439E-4</v>
      </c>
      <c r="S225" s="38">
        <v>6.0378371052518067E-4</v>
      </c>
      <c r="T225" s="38">
        <v>1.1790660162999629E-4</v>
      </c>
    </row>
    <row r="226" spans="1:20" x14ac:dyDescent="0.2">
      <c r="A226" s="30" t="s">
        <v>1172</v>
      </c>
      <c r="B226" s="38" t="s">
        <v>1173</v>
      </c>
      <c r="C226" s="38" t="s">
        <v>266</v>
      </c>
      <c r="D226" s="38" t="s">
        <v>180</v>
      </c>
      <c r="E226" s="38" t="s">
        <v>1053</v>
      </c>
      <c r="F226" s="38" t="s">
        <v>461</v>
      </c>
      <c r="G226" s="80" t="s">
        <v>507</v>
      </c>
      <c r="H226" s="80" t="s">
        <v>185</v>
      </c>
      <c r="I226" s="80" t="s">
        <v>1174</v>
      </c>
      <c r="J226" s="80">
        <v>0.99</v>
      </c>
      <c r="K226" s="80" t="s">
        <v>186</v>
      </c>
      <c r="L226" s="38">
        <v>1.3300000000000001E-2</v>
      </c>
      <c r="M226" s="38">
        <v>1.44E-2</v>
      </c>
      <c r="N226" s="88">
        <v>15022.380182017763</v>
      </c>
      <c r="O226" s="80">
        <v>99.82</v>
      </c>
      <c r="P226" s="104">
        <v>0</v>
      </c>
      <c r="Q226" s="104">
        <v>14.995339844200275</v>
      </c>
      <c r="R226" s="38">
        <v>6.8765907868364656E-5</v>
      </c>
      <c r="S226" s="38">
        <v>9.3024449088191665E-5</v>
      </c>
      <c r="T226" s="38">
        <v>1.8165771068833532E-5</v>
      </c>
    </row>
    <row r="227" spans="1:20" x14ac:dyDescent="0.2">
      <c r="A227" s="30" t="s">
        <v>1051</v>
      </c>
      <c r="B227" s="38" t="s">
        <v>1052</v>
      </c>
      <c r="C227" s="38" t="s">
        <v>266</v>
      </c>
      <c r="D227" s="38" t="s">
        <v>180</v>
      </c>
      <c r="E227" s="38" t="s">
        <v>1053</v>
      </c>
      <c r="F227" s="38" t="s">
        <v>461</v>
      </c>
      <c r="G227" s="80" t="s">
        <v>507</v>
      </c>
      <c r="H227" s="80" t="s">
        <v>185</v>
      </c>
      <c r="I227" s="80" t="s">
        <v>1054</v>
      </c>
      <c r="J227" s="80">
        <v>2.4300000000000002</v>
      </c>
      <c r="K227" s="80" t="s">
        <v>186</v>
      </c>
      <c r="L227" s="38">
        <v>2.1600000000000001E-2</v>
      </c>
      <c r="M227" s="38">
        <v>1.44E-2</v>
      </c>
      <c r="N227" s="88">
        <v>536912.31122878392</v>
      </c>
      <c r="O227" s="80">
        <v>101.79</v>
      </c>
      <c r="P227" s="104">
        <v>0</v>
      </c>
      <c r="Q227" s="104">
        <v>546.52304158032825</v>
      </c>
      <c r="R227" s="38">
        <v>6.5747606399791129E-4</v>
      </c>
      <c r="S227" s="38">
        <v>3.3903869725684286E-3</v>
      </c>
      <c r="T227" s="38">
        <v>6.6207318809321115E-4</v>
      </c>
    </row>
    <row r="228" spans="1:20" x14ac:dyDescent="0.2">
      <c r="A228" s="30" t="s">
        <v>1112</v>
      </c>
      <c r="B228" s="38" t="s">
        <v>1113</v>
      </c>
      <c r="C228" s="38" t="s">
        <v>266</v>
      </c>
      <c r="D228" s="38" t="s">
        <v>180</v>
      </c>
      <c r="E228" s="38" t="s">
        <v>1053</v>
      </c>
      <c r="F228" s="38" t="s">
        <v>461</v>
      </c>
      <c r="G228" s="80" t="s">
        <v>507</v>
      </c>
      <c r="H228" s="80" t="s">
        <v>185</v>
      </c>
      <c r="I228" s="80" t="s">
        <v>1114</v>
      </c>
      <c r="J228" s="80">
        <v>4.95</v>
      </c>
      <c r="K228" s="80" t="s">
        <v>186</v>
      </c>
      <c r="L228" s="38">
        <v>0.04</v>
      </c>
      <c r="M228" s="38">
        <v>2.6499999999999999E-2</v>
      </c>
      <c r="N228" s="88">
        <v>158907.29234163745</v>
      </c>
      <c r="O228" s="80">
        <v>106.69999999999999</v>
      </c>
      <c r="P228" s="104">
        <v>0</v>
      </c>
      <c r="Q228" s="104">
        <v>169.5540808812508</v>
      </c>
      <c r="R228" s="38">
        <v>3.5318680867052151E-4</v>
      </c>
      <c r="S228" s="38">
        <v>1.0518384463779537E-3</v>
      </c>
      <c r="T228" s="38">
        <v>2.0540252165519038E-4</v>
      </c>
    </row>
    <row r="229" spans="1:20" x14ac:dyDescent="0.2">
      <c r="A229" s="30" t="s">
        <v>1158</v>
      </c>
      <c r="B229" s="38" t="s">
        <v>1159</v>
      </c>
      <c r="C229" s="38" t="s">
        <v>266</v>
      </c>
      <c r="D229" s="38" t="s">
        <v>180</v>
      </c>
      <c r="E229" s="38" t="s">
        <v>1053</v>
      </c>
      <c r="F229" s="38" t="s">
        <v>461</v>
      </c>
      <c r="G229" s="80" t="s">
        <v>507</v>
      </c>
      <c r="H229" s="80" t="s">
        <v>185</v>
      </c>
      <c r="I229" s="80" t="s">
        <v>1160</v>
      </c>
      <c r="J229" s="80">
        <v>4.93</v>
      </c>
      <c r="K229" s="80" t="s">
        <v>186</v>
      </c>
      <c r="L229" s="38">
        <v>0.04</v>
      </c>
      <c r="M229" s="38">
        <v>0.04</v>
      </c>
      <c r="N229" s="88">
        <v>251780.53366001454</v>
      </c>
      <c r="O229" s="80">
        <v>105.1</v>
      </c>
      <c r="P229" s="104">
        <v>0</v>
      </c>
      <c r="Q229" s="104">
        <v>264.62134087667528</v>
      </c>
      <c r="R229" s="38">
        <v>5.5960655963830026E-4</v>
      </c>
      <c r="S229" s="38">
        <v>1.6415936356088709E-3</v>
      </c>
      <c r="T229" s="38">
        <v>3.2056964018409089E-4</v>
      </c>
    </row>
    <row r="230" spans="1:20" x14ac:dyDescent="0.2">
      <c r="A230" s="30" t="s">
        <v>1020</v>
      </c>
      <c r="B230" s="38" t="s">
        <v>1021</v>
      </c>
      <c r="C230" s="38" t="s">
        <v>266</v>
      </c>
      <c r="D230" s="38" t="s">
        <v>180</v>
      </c>
      <c r="E230" s="38" t="s">
        <v>1022</v>
      </c>
      <c r="F230" s="38" t="s">
        <v>1023</v>
      </c>
      <c r="G230" s="80" t="s">
        <v>507</v>
      </c>
      <c r="H230" s="80" t="s">
        <v>185</v>
      </c>
      <c r="I230" s="80" t="s">
        <v>1024</v>
      </c>
      <c r="J230" s="80">
        <v>2.64</v>
      </c>
      <c r="K230" s="80" t="s">
        <v>186</v>
      </c>
      <c r="L230" s="38">
        <v>3.3500000000000002E-2</v>
      </c>
      <c r="M230" s="38">
        <v>1.5900000000000001E-2</v>
      </c>
      <c r="N230" s="88">
        <v>584285.34448542295</v>
      </c>
      <c r="O230" s="80">
        <v>105.52</v>
      </c>
      <c r="P230" s="104">
        <v>0</v>
      </c>
      <c r="Q230" s="104">
        <v>616.53789547594818</v>
      </c>
      <c r="R230" s="38">
        <v>1.4171254176184491E-3</v>
      </c>
      <c r="S230" s="38">
        <v>3.8247281265069528E-3</v>
      </c>
      <c r="T230" s="38">
        <v>7.4689112623267781E-4</v>
      </c>
    </row>
    <row r="231" spans="1:20" x14ac:dyDescent="0.2">
      <c r="A231" s="30" t="s">
        <v>1083</v>
      </c>
      <c r="B231" s="38" t="s">
        <v>1084</v>
      </c>
      <c r="C231" s="38" t="s">
        <v>266</v>
      </c>
      <c r="D231" s="38" t="s">
        <v>180</v>
      </c>
      <c r="E231" s="38" t="s">
        <v>1022</v>
      </c>
      <c r="F231" s="38" t="s">
        <v>1023</v>
      </c>
      <c r="G231" s="80" t="s">
        <v>507</v>
      </c>
      <c r="H231" s="80" t="s">
        <v>185</v>
      </c>
      <c r="I231" s="80" t="s">
        <v>1085</v>
      </c>
      <c r="J231" s="80">
        <v>5.15</v>
      </c>
      <c r="K231" s="80" t="s">
        <v>186</v>
      </c>
      <c r="L231" s="38">
        <v>2.6200000000000001E-2</v>
      </c>
      <c r="M231" s="38">
        <v>1.9199999999999998E-2</v>
      </c>
      <c r="N231" s="88">
        <v>494562.45630611875</v>
      </c>
      <c r="O231" s="80">
        <v>103.60000000000001</v>
      </c>
      <c r="P231" s="104">
        <v>51.242850220000001</v>
      </c>
      <c r="Q231" s="104">
        <v>517.23394308103093</v>
      </c>
      <c r="R231" s="38">
        <v>6.928775838958021E-4</v>
      </c>
      <c r="S231" s="38">
        <v>3.2086903734586253E-3</v>
      </c>
      <c r="T231" s="38">
        <v>6.2659156088910786E-4</v>
      </c>
    </row>
    <row r="232" spans="1:20" x14ac:dyDescent="0.2">
      <c r="A232" s="30" t="s">
        <v>1017</v>
      </c>
      <c r="B232" s="38" t="s">
        <v>1018</v>
      </c>
      <c r="C232" s="38" t="s">
        <v>266</v>
      </c>
      <c r="D232" s="38" t="s">
        <v>180</v>
      </c>
      <c r="E232" s="38" t="s">
        <v>1003</v>
      </c>
      <c r="F232" s="38" t="s">
        <v>478</v>
      </c>
      <c r="G232" s="80" t="s">
        <v>479</v>
      </c>
      <c r="H232" s="80" t="s">
        <v>402</v>
      </c>
      <c r="I232" s="80" t="s">
        <v>1019</v>
      </c>
      <c r="J232" s="80">
        <v>3.09</v>
      </c>
      <c r="K232" s="80" t="s">
        <v>186</v>
      </c>
      <c r="L232" s="38">
        <v>4.1599999999999998E-2</v>
      </c>
      <c r="M232" s="38">
        <v>0.1724</v>
      </c>
      <c r="N232" s="88">
        <v>322760.20556283015</v>
      </c>
      <c r="O232" s="80">
        <v>69.7</v>
      </c>
      <c r="P232" s="104">
        <v>0</v>
      </c>
      <c r="Q232" s="104">
        <v>224.9638632695933</v>
      </c>
      <c r="R232" s="38">
        <v>5.4978006182011927E-4</v>
      </c>
      <c r="S232" s="38">
        <v>1.3955762031961651E-3</v>
      </c>
      <c r="T232" s="38">
        <v>2.7252747062590815E-4</v>
      </c>
    </row>
    <row r="233" spans="1:20" x14ac:dyDescent="0.2">
      <c r="A233" s="30" t="s">
        <v>1063</v>
      </c>
      <c r="B233" s="38" t="s">
        <v>1064</v>
      </c>
      <c r="C233" s="38" t="s">
        <v>266</v>
      </c>
      <c r="D233" s="38" t="s">
        <v>180</v>
      </c>
      <c r="E233" s="38" t="s">
        <v>1003</v>
      </c>
      <c r="F233" s="38" t="s">
        <v>478</v>
      </c>
      <c r="G233" s="80" t="s">
        <v>479</v>
      </c>
      <c r="H233" s="80" t="s">
        <v>402</v>
      </c>
      <c r="I233" s="80" t="s">
        <v>1065</v>
      </c>
      <c r="J233" s="80">
        <v>3.66</v>
      </c>
      <c r="K233" s="80" t="s">
        <v>186</v>
      </c>
      <c r="L233" s="38">
        <v>3.2500000000000001E-2</v>
      </c>
      <c r="M233" s="38">
        <v>5.28E-2</v>
      </c>
      <c r="N233" s="88">
        <v>623903.54459940467</v>
      </c>
      <c r="O233" s="80">
        <v>93.51</v>
      </c>
      <c r="P233" s="104">
        <v>0</v>
      </c>
      <c r="Q233" s="104">
        <v>583.41220451167919</v>
      </c>
      <c r="R233" s="38">
        <v>7.6063628357028214E-4</v>
      </c>
      <c r="S233" s="38">
        <v>3.6192310064261006E-3</v>
      </c>
      <c r="T233" s="38">
        <v>7.0676174438431794E-4</v>
      </c>
    </row>
    <row r="234" spans="1:20" x14ac:dyDescent="0.2">
      <c r="A234" s="30" t="s">
        <v>1161</v>
      </c>
      <c r="B234" s="38" t="s">
        <v>1162</v>
      </c>
      <c r="C234" s="38" t="s">
        <v>266</v>
      </c>
      <c r="D234" s="38" t="s">
        <v>180</v>
      </c>
      <c r="E234" s="38" t="s">
        <v>865</v>
      </c>
      <c r="F234" s="38" t="s">
        <v>395</v>
      </c>
      <c r="G234" s="80" t="s">
        <v>479</v>
      </c>
      <c r="H234" s="80" t="s">
        <v>402</v>
      </c>
      <c r="I234" s="80" t="s">
        <v>1163</v>
      </c>
      <c r="J234" s="80">
        <v>1.94</v>
      </c>
      <c r="K234" s="80" t="s">
        <v>186</v>
      </c>
      <c r="L234" s="38">
        <v>4.3499999999999997E-2</v>
      </c>
      <c r="M234" s="38">
        <v>2.1000000000000001E-2</v>
      </c>
      <c r="N234" s="88">
        <v>156680.70279985722</v>
      </c>
      <c r="O234" s="80">
        <v>106.5</v>
      </c>
      <c r="P234" s="104">
        <v>0</v>
      </c>
      <c r="Q234" s="104">
        <v>166.86494848184793</v>
      </c>
      <c r="R234" s="38">
        <v>9.0684822919899998E-4</v>
      </c>
      <c r="S234" s="38">
        <v>1.0351562596066812E-3</v>
      </c>
      <c r="T234" s="38">
        <v>2.0214483199634421E-4</v>
      </c>
    </row>
    <row r="235" spans="1:20" x14ac:dyDescent="0.2">
      <c r="A235" s="30" t="s">
        <v>1164</v>
      </c>
      <c r="B235" s="38" t="s">
        <v>1165</v>
      </c>
      <c r="C235" s="38" t="s">
        <v>266</v>
      </c>
      <c r="D235" s="38" t="s">
        <v>180</v>
      </c>
      <c r="E235" s="38" t="s">
        <v>865</v>
      </c>
      <c r="F235" s="38" t="s">
        <v>395</v>
      </c>
      <c r="G235" s="80" t="s">
        <v>479</v>
      </c>
      <c r="H235" s="80" t="s">
        <v>402</v>
      </c>
      <c r="I235" s="80" t="s">
        <v>1166</v>
      </c>
      <c r="J235" s="80">
        <v>4.97</v>
      </c>
      <c r="K235" s="80" t="s">
        <v>186</v>
      </c>
      <c r="L235" s="38">
        <v>3.27E-2</v>
      </c>
      <c r="M235" s="38">
        <v>2.2700000000000001E-2</v>
      </c>
      <c r="N235" s="88">
        <v>180845.69071390046</v>
      </c>
      <c r="O235" s="80">
        <v>105.5</v>
      </c>
      <c r="P235" s="104">
        <v>0</v>
      </c>
      <c r="Q235" s="104">
        <v>190.792203703165</v>
      </c>
      <c r="R235" s="38">
        <v>8.1096722293228906E-4</v>
      </c>
      <c r="S235" s="38">
        <v>1.1835903570183814E-3</v>
      </c>
      <c r="T235" s="38">
        <v>2.3113097336906603E-4</v>
      </c>
    </row>
    <row r="236" spans="1:20" x14ac:dyDescent="0.2">
      <c r="A236" s="30" t="s">
        <v>970</v>
      </c>
      <c r="B236" s="38" t="s">
        <v>971</v>
      </c>
      <c r="C236" s="38" t="s">
        <v>266</v>
      </c>
      <c r="D236" s="38" t="s">
        <v>180</v>
      </c>
      <c r="E236" s="38" t="s">
        <v>972</v>
      </c>
      <c r="F236" s="38" t="s">
        <v>456</v>
      </c>
      <c r="G236" s="80" t="s">
        <v>479</v>
      </c>
      <c r="H236" s="80" t="s">
        <v>402</v>
      </c>
      <c r="I236" s="80" t="s">
        <v>973</v>
      </c>
      <c r="J236" s="80">
        <v>1.22</v>
      </c>
      <c r="K236" s="80" t="s">
        <v>186</v>
      </c>
      <c r="L236" s="38">
        <v>3.9E-2</v>
      </c>
      <c r="M236" s="38">
        <v>2.9500000000000002E-2</v>
      </c>
      <c r="N236" s="88">
        <v>44864.375968607732</v>
      </c>
      <c r="O236" s="80">
        <v>102.16000000000001</v>
      </c>
      <c r="P236" s="104">
        <v>0</v>
      </c>
      <c r="Q236" s="104">
        <v>45.833446486882181</v>
      </c>
      <c r="R236" s="38">
        <v>1.8975495579507781E-4</v>
      </c>
      <c r="S236" s="38">
        <v>2.8433040888395513E-4</v>
      </c>
      <c r="T236" s="38">
        <v>5.5523909749758528E-5</v>
      </c>
    </row>
    <row r="237" spans="1:20" x14ac:dyDescent="0.2">
      <c r="A237" s="30" t="s">
        <v>1169</v>
      </c>
      <c r="B237" s="38" t="s">
        <v>1170</v>
      </c>
      <c r="C237" s="38" t="s">
        <v>266</v>
      </c>
      <c r="D237" s="38" t="s">
        <v>180</v>
      </c>
      <c r="E237" s="38" t="s">
        <v>790</v>
      </c>
      <c r="F237" s="38" t="s">
        <v>390</v>
      </c>
      <c r="G237" s="80" t="s">
        <v>429</v>
      </c>
      <c r="H237" s="80" t="s">
        <v>185</v>
      </c>
      <c r="I237" s="80" t="s">
        <v>1171</v>
      </c>
      <c r="J237" s="80">
        <v>0.17</v>
      </c>
      <c r="K237" s="80" t="s">
        <v>186</v>
      </c>
      <c r="L237" s="38">
        <v>1.5800000000000002E-2</v>
      </c>
      <c r="M237" s="38">
        <v>1.9699999999999999E-2</v>
      </c>
      <c r="N237" s="88">
        <v>4558.2723323403225</v>
      </c>
      <c r="O237" s="80">
        <v>100.04000000000002</v>
      </c>
      <c r="P237" s="104">
        <v>0</v>
      </c>
      <c r="Q237" s="104">
        <v>4.5600955800030594</v>
      </c>
      <c r="R237" s="38">
        <v>1.3674789647441672E-4</v>
      </c>
      <c r="S237" s="38">
        <v>2.8288813959981692E-5</v>
      </c>
      <c r="T237" s="38">
        <v>5.5242264076045089E-6</v>
      </c>
    </row>
    <row r="238" spans="1:20" x14ac:dyDescent="0.2">
      <c r="A238" s="30" t="s">
        <v>956</v>
      </c>
      <c r="B238" s="38" t="s">
        <v>957</v>
      </c>
      <c r="C238" s="38" t="s">
        <v>266</v>
      </c>
      <c r="D238" s="38" t="s">
        <v>180</v>
      </c>
      <c r="E238" s="38" t="s">
        <v>406</v>
      </c>
      <c r="F238" s="38" t="s">
        <v>407</v>
      </c>
      <c r="G238" s="80" t="s">
        <v>479</v>
      </c>
      <c r="H238" s="80" t="s">
        <v>402</v>
      </c>
      <c r="I238" s="80" t="s">
        <v>958</v>
      </c>
      <c r="J238" s="80">
        <v>2.71</v>
      </c>
      <c r="K238" s="80" t="s">
        <v>186</v>
      </c>
      <c r="L238" s="38">
        <v>7.0499999999999993E-2</v>
      </c>
      <c r="M238" s="38">
        <v>5.91E-2</v>
      </c>
      <c r="N238" s="88">
        <v>239973.75606916175</v>
      </c>
      <c r="O238" s="80">
        <v>103.23</v>
      </c>
      <c r="P238" s="104">
        <v>0</v>
      </c>
      <c r="Q238" s="104">
        <v>247.72490833980578</v>
      </c>
      <c r="R238" s="38">
        <v>6.0546788835281736E-4</v>
      </c>
      <c r="S238" s="38">
        <v>1.5367756491791739E-3</v>
      </c>
      <c r="T238" s="38">
        <v>3.0010083263896047E-4</v>
      </c>
    </row>
    <row r="239" spans="1:20" x14ac:dyDescent="0.2">
      <c r="A239" s="30" t="s">
        <v>1086</v>
      </c>
      <c r="B239" s="38" t="s">
        <v>1087</v>
      </c>
      <c r="C239" s="38" t="s">
        <v>266</v>
      </c>
      <c r="D239" s="38" t="s">
        <v>180</v>
      </c>
      <c r="E239" s="38" t="s">
        <v>406</v>
      </c>
      <c r="F239" s="38" t="s">
        <v>407</v>
      </c>
      <c r="G239" s="80" t="s">
        <v>479</v>
      </c>
      <c r="H239" s="80" t="s">
        <v>402</v>
      </c>
      <c r="I239" s="80" t="s">
        <v>1088</v>
      </c>
      <c r="J239" s="80">
        <v>5.89</v>
      </c>
      <c r="K239" s="80" t="s">
        <v>186</v>
      </c>
      <c r="L239" s="38">
        <v>3.95E-2</v>
      </c>
      <c r="M239" s="38">
        <v>5.5199999999999999E-2</v>
      </c>
      <c r="N239" s="88">
        <v>124951.0710040718</v>
      </c>
      <c r="O239" s="80">
        <v>91.7</v>
      </c>
      <c r="P239" s="104">
        <v>0</v>
      </c>
      <c r="Q239" s="104">
        <v>114.58013208250308</v>
      </c>
      <c r="R239" s="38">
        <v>7.2590612182787015E-5</v>
      </c>
      <c r="S239" s="38">
        <v>7.1080440818082258E-4</v>
      </c>
      <c r="T239" s="38">
        <v>1.3880555359687251E-4</v>
      </c>
    </row>
    <row r="240" spans="1:20" x14ac:dyDescent="0.2">
      <c r="A240" s="30" t="s">
        <v>1011</v>
      </c>
      <c r="B240" s="38" t="s">
        <v>1012</v>
      </c>
      <c r="C240" s="38" t="s">
        <v>266</v>
      </c>
      <c r="D240" s="38" t="s">
        <v>180</v>
      </c>
      <c r="E240" s="38" t="s">
        <v>1009</v>
      </c>
      <c r="F240" s="38" t="s">
        <v>478</v>
      </c>
      <c r="G240" s="80" t="s">
        <v>479</v>
      </c>
      <c r="H240" s="80" t="s">
        <v>402</v>
      </c>
      <c r="I240" s="80" t="s">
        <v>1013</v>
      </c>
      <c r="J240" s="80">
        <v>1.72</v>
      </c>
      <c r="K240" s="80" t="s">
        <v>186</v>
      </c>
      <c r="L240" s="38">
        <v>6.9000000000000006E-2</v>
      </c>
      <c r="M240" s="38">
        <v>0.1192</v>
      </c>
      <c r="N240" s="88">
        <v>224047.21584926132</v>
      </c>
      <c r="O240" s="80">
        <v>93.82</v>
      </c>
      <c r="P240" s="104">
        <v>0</v>
      </c>
      <c r="Q240" s="104">
        <v>210.20109785898862</v>
      </c>
      <c r="R240" s="38">
        <v>6.5066080587786407E-4</v>
      </c>
      <c r="S240" s="38">
        <v>1.3039945429198319E-3</v>
      </c>
      <c r="T240" s="38">
        <v>2.5464344668391916E-4</v>
      </c>
    </row>
    <row r="241" spans="1:20" x14ac:dyDescent="0.2">
      <c r="A241" s="30" t="s">
        <v>1007</v>
      </c>
      <c r="B241" s="38" t="s">
        <v>1008</v>
      </c>
      <c r="C241" s="38" t="s">
        <v>266</v>
      </c>
      <c r="D241" s="38" t="s">
        <v>180</v>
      </c>
      <c r="E241" s="38" t="s">
        <v>1009</v>
      </c>
      <c r="F241" s="38" t="s">
        <v>478</v>
      </c>
      <c r="G241" s="80" t="s">
        <v>479</v>
      </c>
      <c r="H241" s="80" t="s">
        <v>402</v>
      </c>
      <c r="I241" s="80" t="s">
        <v>1010</v>
      </c>
      <c r="J241" s="80">
        <v>3.43</v>
      </c>
      <c r="K241" s="80" t="s">
        <v>186</v>
      </c>
      <c r="L241" s="38">
        <v>5.1500000000000004E-2</v>
      </c>
      <c r="M241" s="38">
        <v>0.111</v>
      </c>
      <c r="N241" s="88">
        <v>213286.1754088809</v>
      </c>
      <c r="O241" s="80">
        <v>83.4</v>
      </c>
      <c r="P241" s="104">
        <v>0</v>
      </c>
      <c r="Q241" s="104">
        <v>177.88067026750355</v>
      </c>
      <c r="R241" s="38">
        <v>6.5066536877677293E-4</v>
      </c>
      <c r="S241" s="38">
        <v>1.1034929202670086E-3</v>
      </c>
      <c r="T241" s="38">
        <v>2.1548958324541829E-4</v>
      </c>
    </row>
    <row r="242" spans="1:20" x14ac:dyDescent="0.2">
      <c r="A242" s="30" t="s">
        <v>1043</v>
      </c>
      <c r="B242" s="38" t="s">
        <v>1044</v>
      </c>
      <c r="C242" s="38" t="s">
        <v>266</v>
      </c>
      <c r="D242" s="38" t="s">
        <v>180</v>
      </c>
      <c r="E242" s="38" t="s">
        <v>794</v>
      </c>
      <c r="F242" s="38" t="s">
        <v>424</v>
      </c>
      <c r="G242" s="80" t="s">
        <v>512</v>
      </c>
      <c r="H242" s="80" t="s">
        <v>402</v>
      </c>
      <c r="I242" s="80" t="s">
        <v>1045</v>
      </c>
      <c r="J242" s="80">
        <v>5.3</v>
      </c>
      <c r="K242" s="80" t="s">
        <v>186</v>
      </c>
      <c r="L242" s="38">
        <v>4.4500000000000005E-2</v>
      </c>
      <c r="M242" s="38">
        <v>2.23E-2</v>
      </c>
      <c r="N242" s="88">
        <v>369414.83074828424</v>
      </c>
      <c r="O242" s="80">
        <v>112.04</v>
      </c>
      <c r="P242" s="104">
        <v>0</v>
      </c>
      <c r="Q242" s="104">
        <v>413.89237631888687</v>
      </c>
      <c r="R242" s="38">
        <v>1.3652097281083115E-3</v>
      </c>
      <c r="S242" s="38">
        <v>2.5676050485616943E-3</v>
      </c>
      <c r="T242" s="38">
        <v>5.0140071738703426E-4</v>
      </c>
    </row>
    <row r="243" spans="1:20" x14ac:dyDescent="0.2">
      <c r="A243" s="30" t="s">
        <v>1001</v>
      </c>
      <c r="B243" s="38" t="s">
        <v>1002</v>
      </c>
      <c r="C243" s="38" t="s">
        <v>266</v>
      </c>
      <c r="D243" s="38" t="s">
        <v>180</v>
      </c>
      <c r="E243" s="38" t="s">
        <v>1003</v>
      </c>
      <c r="F243" s="38" t="s">
        <v>478</v>
      </c>
      <c r="G243" s="80" t="s">
        <v>512</v>
      </c>
      <c r="H243" s="80" t="s">
        <v>402</v>
      </c>
      <c r="I243" s="80" t="s">
        <v>324</v>
      </c>
      <c r="J243" s="80">
        <v>1.43</v>
      </c>
      <c r="K243" s="80" t="s">
        <v>186</v>
      </c>
      <c r="L243" s="38">
        <v>6.8499999999999991E-2</v>
      </c>
      <c r="M243" s="38">
        <v>0.45</v>
      </c>
      <c r="N243" s="88">
        <v>399452.81816193415</v>
      </c>
      <c r="O243" s="80">
        <v>61.22</v>
      </c>
      <c r="P243" s="104">
        <v>0</v>
      </c>
      <c r="Q243" s="104">
        <v>244.5450152252192</v>
      </c>
      <c r="R243" s="38">
        <v>1.047681279631678E-3</v>
      </c>
      <c r="S243" s="38">
        <v>1.5170490002190864E-3</v>
      </c>
      <c r="T243" s="38">
        <v>2.9624862182259264E-4</v>
      </c>
    </row>
    <row r="244" spans="1:20" x14ac:dyDescent="0.2">
      <c r="A244" s="30" t="s">
        <v>1040</v>
      </c>
      <c r="B244" s="38" t="s">
        <v>1041</v>
      </c>
      <c r="C244" s="38" t="s">
        <v>266</v>
      </c>
      <c r="D244" s="38" t="s">
        <v>180</v>
      </c>
      <c r="E244" s="38" t="s">
        <v>1003</v>
      </c>
      <c r="F244" s="38" t="s">
        <v>478</v>
      </c>
      <c r="G244" s="80" t="s">
        <v>512</v>
      </c>
      <c r="H244" s="80" t="s">
        <v>402</v>
      </c>
      <c r="I244" s="80" t="s">
        <v>1042</v>
      </c>
      <c r="J244" s="80">
        <v>2.57</v>
      </c>
      <c r="K244" s="80" t="s">
        <v>186</v>
      </c>
      <c r="L244" s="38">
        <v>6.3500000000000001E-2</v>
      </c>
      <c r="M244" s="38">
        <v>0.33439999999999998</v>
      </c>
      <c r="N244" s="88">
        <v>100507.5100818983</v>
      </c>
      <c r="O244" s="80">
        <v>51.21</v>
      </c>
      <c r="P244" s="104">
        <v>0</v>
      </c>
      <c r="Q244" s="104">
        <v>51.469895878833583</v>
      </c>
      <c r="R244" s="38">
        <v>1.9619413053296366E-4</v>
      </c>
      <c r="S244" s="38">
        <v>3.1929644532910747E-4</v>
      </c>
      <c r="T244" s="38">
        <v>6.2352061052701918E-5</v>
      </c>
    </row>
    <row r="245" spans="1:20" x14ac:dyDescent="0.2">
      <c r="A245" s="30" t="s">
        <v>1137</v>
      </c>
      <c r="B245" s="38" t="s">
        <v>1138</v>
      </c>
      <c r="C245" s="38" t="s">
        <v>266</v>
      </c>
      <c r="D245" s="38" t="s">
        <v>180</v>
      </c>
      <c r="E245" s="38" t="s">
        <v>511</v>
      </c>
      <c r="F245" s="38" t="s">
        <v>478</v>
      </c>
      <c r="G245" s="80" t="s">
        <v>512</v>
      </c>
      <c r="H245" s="80" t="s">
        <v>402</v>
      </c>
      <c r="I245" s="80" t="s">
        <v>1139</v>
      </c>
      <c r="J245" s="80">
        <v>5.92</v>
      </c>
      <c r="K245" s="80" t="s">
        <v>186</v>
      </c>
      <c r="L245" s="38">
        <v>3.2500000000000001E-2</v>
      </c>
      <c r="M245" s="38">
        <v>6.0400000000000002E-2</v>
      </c>
      <c r="N245" s="88">
        <v>145882.49893136174</v>
      </c>
      <c r="O245" s="80">
        <v>86.07</v>
      </c>
      <c r="P245" s="104">
        <v>0</v>
      </c>
      <c r="Q245" s="104">
        <v>125.56106682144315</v>
      </c>
      <c r="R245" s="38">
        <v>5.9039511006528606E-4</v>
      </c>
      <c r="S245" s="38">
        <v>7.7892526540556675E-4</v>
      </c>
      <c r="T245" s="38">
        <v>1.5210816285160961E-4</v>
      </c>
    </row>
    <row r="246" spans="1:20" x14ac:dyDescent="0.2">
      <c r="A246" s="30" t="s">
        <v>949</v>
      </c>
      <c r="B246" s="38" t="s">
        <v>950</v>
      </c>
      <c r="C246" s="38" t="s">
        <v>266</v>
      </c>
      <c r="D246" s="38" t="s">
        <v>180</v>
      </c>
      <c r="E246" s="38" t="s">
        <v>951</v>
      </c>
      <c r="F246" s="38" t="s">
        <v>424</v>
      </c>
      <c r="G246" s="80" t="s">
        <v>408</v>
      </c>
      <c r="H246" s="80" t="s">
        <v>185</v>
      </c>
      <c r="I246" s="80" t="s">
        <v>952</v>
      </c>
      <c r="J246" s="80">
        <v>2.56</v>
      </c>
      <c r="K246" s="80" t="s">
        <v>186</v>
      </c>
      <c r="L246" s="38">
        <v>5.9000000000000004E-2</v>
      </c>
      <c r="M246" s="38">
        <v>0.06</v>
      </c>
      <c r="N246" s="88">
        <v>76662.102174425076</v>
      </c>
      <c r="O246" s="80">
        <v>99.99</v>
      </c>
      <c r="P246" s="104">
        <v>0</v>
      </c>
      <c r="Q246" s="104">
        <v>76.654435902923922</v>
      </c>
      <c r="R246" s="38">
        <v>8.5691323110331503E-5</v>
      </c>
      <c r="S246" s="38">
        <v>4.7553018098443045E-4</v>
      </c>
      <c r="T246" s="38">
        <v>9.2861312147030789E-5</v>
      </c>
    </row>
    <row r="247" spans="1:20" x14ac:dyDescent="0.2">
      <c r="A247" s="30" t="s">
        <v>1031</v>
      </c>
      <c r="B247" s="38" t="s">
        <v>1032</v>
      </c>
      <c r="C247" s="38" t="s">
        <v>266</v>
      </c>
      <c r="D247" s="38" t="s">
        <v>180</v>
      </c>
      <c r="E247" s="38" t="s">
        <v>1033</v>
      </c>
      <c r="F247" s="38" t="s">
        <v>424</v>
      </c>
      <c r="G247" s="80" t="s">
        <v>512</v>
      </c>
      <c r="H247" s="80" t="s">
        <v>402</v>
      </c>
      <c r="I247" s="80" t="s">
        <v>1034</v>
      </c>
      <c r="J247" s="80">
        <v>2.78</v>
      </c>
      <c r="K247" s="80" t="s">
        <v>186</v>
      </c>
      <c r="L247" s="38">
        <v>2.9500000000000002E-2</v>
      </c>
      <c r="M247" s="38">
        <v>3.3300000000000003E-2</v>
      </c>
      <c r="N247" s="88">
        <v>134449.80406578124</v>
      </c>
      <c r="O247" s="80">
        <v>99.29</v>
      </c>
      <c r="P247" s="104">
        <v>0</v>
      </c>
      <c r="Q247" s="104">
        <v>133.49521045542835</v>
      </c>
      <c r="R247" s="38">
        <v>5.8531099839226753E-4</v>
      </c>
      <c r="S247" s="38">
        <v>8.28145179606012E-4</v>
      </c>
      <c r="T247" s="38">
        <v>1.6171980476034322E-4</v>
      </c>
    </row>
    <row r="248" spans="1:20" x14ac:dyDescent="0.2">
      <c r="A248" s="30" t="s">
        <v>1140</v>
      </c>
      <c r="B248" s="38" t="s">
        <v>1141</v>
      </c>
      <c r="C248" s="38" t="s">
        <v>266</v>
      </c>
      <c r="D248" s="38" t="s">
        <v>180</v>
      </c>
      <c r="E248" s="38" t="s">
        <v>1033</v>
      </c>
      <c r="F248" s="38" t="s">
        <v>424</v>
      </c>
      <c r="G248" s="80" t="s">
        <v>512</v>
      </c>
      <c r="H248" s="80" t="s">
        <v>402</v>
      </c>
      <c r="I248" s="80" t="s">
        <v>1142</v>
      </c>
      <c r="J248" s="80">
        <v>0</v>
      </c>
      <c r="K248" s="80" t="s">
        <v>186</v>
      </c>
      <c r="L248" s="38">
        <v>2.9500000000000002E-2</v>
      </c>
      <c r="M248" s="38">
        <v>1.55E-2</v>
      </c>
      <c r="N248" s="88">
        <v>179626.17623298563</v>
      </c>
      <c r="O248" s="80">
        <v>98.71</v>
      </c>
      <c r="P248" s="104">
        <v>0</v>
      </c>
      <c r="Q248" s="104">
        <v>177.30899851356668</v>
      </c>
      <c r="R248" s="38">
        <v>7.819808833404811E-4</v>
      </c>
      <c r="S248" s="38">
        <v>1.0999465218177714E-3</v>
      </c>
      <c r="T248" s="38">
        <v>2.1479704420886205E-4</v>
      </c>
    </row>
    <row r="249" spans="1:20" x14ac:dyDescent="0.2">
      <c r="A249" s="30" t="s">
        <v>1066</v>
      </c>
      <c r="B249" s="38" t="s">
        <v>1067</v>
      </c>
      <c r="C249" s="38" t="s">
        <v>266</v>
      </c>
      <c r="D249" s="38" t="s">
        <v>180</v>
      </c>
      <c r="E249" s="38" t="s">
        <v>1068</v>
      </c>
      <c r="F249" s="38" t="s">
        <v>478</v>
      </c>
      <c r="G249" s="80" t="s">
        <v>408</v>
      </c>
      <c r="H249" s="80" t="s">
        <v>185</v>
      </c>
      <c r="I249" s="80" t="s">
        <v>1069</v>
      </c>
      <c r="J249" s="80">
        <v>2.4</v>
      </c>
      <c r="K249" s="80" t="s">
        <v>186</v>
      </c>
      <c r="L249" s="38">
        <v>6.8000000000000005E-2</v>
      </c>
      <c r="M249" s="38">
        <v>0.1201</v>
      </c>
      <c r="N249" s="88">
        <v>135910.59852187114</v>
      </c>
      <c r="O249" s="80">
        <v>91.74</v>
      </c>
      <c r="P249" s="104">
        <v>0</v>
      </c>
      <c r="Q249" s="104">
        <v>124.68438307721082</v>
      </c>
      <c r="R249" s="38">
        <v>6.4719332629462447E-4</v>
      </c>
      <c r="S249" s="38">
        <v>7.7348670761500575E-4</v>
      </c>
      <c r="T249" s="38">
        <v>1.5104612382062016E-4</v>
      </c>
    </row>
    <row r="250" spans="1:20" x14ac:dyDescent="0.2">
      <c r="A250" s="30" t="s">
        <v>1129</v>
      </c>
      <c r="B250" s="38" t="s">
        <v>1130</v>
      </c>
      <c r="C250" s="38" t="s">
        <v>266</v>
      </c>
      <c r="D250" s="38" t="s">
        <v>180</v>
      </c>
      <c r="E250" s="38" t="s">
        <v>1131</v>
      </c>
      <c r="F250" s="38" t="s">
        <v>395</v>
      </c>
      <c r="G250" s="80" t="s">
        <v>1132</v>
      </c>
      <c r="H250" s="80" t="s">
        <v>402</v>
      </c>
      <c r="I250" s="80" t="s">
        <v>1133</v>
      </c>
      <c r="J250" s="80">
        <v>4.22</v>
      </c>
      <c r="K250" s="80" t="s">
        <v>186</v>
      </c>
      <c r="L250" s="38">
        <v>3.1800000000000002E-2</v>
      </c>
      <c r="M250" s="38">
        <v>6.2600000000000003E-2</v>
      </c>
      <c r="N250" s="88">
        <v>127247.77453563128</v>
      </c>
      <c r="O250" s="80">
        <v>89.53</v>
      </c>
      <c r="P250" s="104">
        <v>0</v>
      </c>
      <c r="Q250" s="104">
        <v>113.92493254175068</v>
      </c>
      <c r="R250" s="38">
        <v>1.1567979503239207E-3</v>
      </c>
      <c r="S250" s="38">
        <v>7.0673984032476947E-4</v>
      </c>
      <c r="T250" s="38">
        <v>1.3801182668001863E-4</v>
      </c>
    </row>
    <row r="251" spans="1:20" x14ac:dyDescent="0.2">
      <c r="A251" s="30" t="s">
        <v>1046</v>
      </c>
      <c r="B251" s="38" t="s">
        <v>1047</v>
      </c>
      <c r="C251" s="38" t="s">
        <v>266</v>
      </c>
      <c r="D251" s="38" t="s">
        <v>180</v>
      </c>
      <c r="E251" s="38" t="s">
        <v>1048</v>
      </c>
      <c r="F251" s="38" t="s">
        <v>478</v>
      </c>
      <c r="G251" s="80" t="s">
        <v>1049</v>
      </c>
      <c r="H251" s="80" t="s">
        <v>185</v>
      </c>
      <c r="I251" s="80" t="s">
        <v>1050</v>
      </c>
      <c r="J251" s="80">
        <v>2.52</v>
      </c>
      <c r="K251" s="80" t="s">
        <v>186</v>
      </c>
      <c r="L251" s="38">
        <v>7.0000000000000007E-2</v>
      </c>
      <c r="M251" s="38">
        <v>0.1704</v>
      </c>
      <c r="N251" s="88">
        <v>277598.29733630951</v>
      </c>
      <c r="O251" s="80">
        <v>80</v>
      </c>
      <c r="P251" s="104">
        <v>0</v>
      </c>
      <c r="Q251" s="104">
        <v>222.07863786904761</v>
      </c>
      <c r="R251" s="38">
        <v>7.7110638148974867E-4</v>
      </c>
      <c r="S251" s="38">
        <v>1.3776775422675281E-3</v>
      </c>
      <c r="T251" s="38">
        <v>2.6903222846048512E-4</v>
      </c>
    </row>
    <row r="252" spans="1:20" x14ac:dyDescent="0.2">
      <c r="A252" s="30" t="s">
        <v>997</v>
      </c>
      <c r="B252" s="38" t="s">
        <v>998</v>
      </c>
      <c r="C252" s="38" t="s">
        <v>266</v>
      </c>
      <c r="D252" s="38" t="s">
        <v>180</v>
      </c>
      <c r="E252" s="38" t="s">
        <v>999</v>
      </c>
      <c r="F252" s="38" t="s">
        <v>456</v>
      </c>
      <c r="G252" s="80" t="s">
        <v>419</v>
      </c>
      <c r="H252" s="80" t="s">
        <v>180</v>
      </c>
      <c r="I252" s="80" t="s">
        <v>1000</v>
      </c>
      <c r="J252" s="80">
        <v>1.89</v>
      </c>
      <c r="K252" s="80" t="s">
        <v>186</v>
      </c>
      <c r="L252" s="38">
        <v>0.01</v>
      </c>
      <c r="M252" s="38">
        <v>0.45</v>
      </c>
      <c r="N252" s="88">
        <v>7747.684682677389</v>
      </c>
      <c r="O252" s="80">
        <v>14.499999999999998</v>
      </c>
      <c r="P252" s="104">
        <v>0</v>
      </c>
      <c r="Q252" s="104">
        <v>1.1234142141520327</v>
      </c>
      <c r="R252" s="38">
        <v>2.7589897593717556E-5</v>
      </c>
      <c r="S252" s="38">
        <v>6.9691643840773533E-6</v>
      </c>
      <c r="T252" s="38">
        <v>1.3609351733133545E-6</v>
      </c>
    </row>
    <row r="253" spans="1:20" x14ac:dyDescent="0.2">
      <c r="A253" s="30" t="s">
        <v>943</v>
      </c>
      <c r="B253" s="38" t="s">
        <v>944</v>
      </c>
      <c r="C253" s="38" t="s">
        <v>266</v>
      </c>
      <c r="D253" s="38" t="s">
        <v>180</v>
      </c>
      <c r="E253" s="38" t="s">
        <v>423</v>
      </c>
      <c r="F253" s="38" t="s">
        <v>424</v>
      </c>
      <c r="G253" s="80" t="s">
        <v>419</v>
      </c>
      <c r="H253" s="80" t="s">
        <v>180</v>
      </c>
      <c r="I253" s="80" t="s">
        <v>945</v>
      </c>
      <c r="J253" s="80">
        <v>3.09</v>
      </c>
      <c r="K253" s="80" t="s">
        <v>186</v>
      </c>
      <c r="L253" s="38">
        <v>7.2000000000000008E-2</v>
      </c>
      <c r="M253" s="38">
        <v>0.45</v>
      </c>
      <c r="N253" s="88">
        <v>40652.827853632589</v>
      </c>
      <c r="O253" s="80">
        <v>7.16</v>
      </c>
      <c r="P253" s="104">
        <v>0</v>
      </c>
      <c r="Q253" s="104">
        <v>2.9107424256119061</v>
      </c>
      <c r="R253" s="38">
        <v>6.9632803096866285E-5</v>
      </c>
      <c r="S253" s="38">
        <v>1.8056957254283213E-5</v>
      </c>
      <c r="T253" s="38">
        <v>3.5261541981296158E-6</v>
      </c>
    </row>
    <row r="254" spans="1:20" x14ac:dyDescent="0.2">
      <c r="A254" s="30" t="s">
        <v>908</v>
      </c>
      <c r="B254" s="38" t="s">
        <v>909</v>
      </c>
      <c r="C254" s="38" t="s">
        <v>266</v>
      </c>
      <c r="D254" s="38" t="s">
        <v>180</v>
      </c>
      <c r="E254" s="38" t="s">
        <v>423</v>
      </c>
      <c r="F254" s="38" t="s">
        <v>424</v>
      </c>
      <c r="G254" s="80" t="s">
        <v>419</v>
      </c>
      <c r="H254" s="80" t="s">
        <v>180</v>
      </c>
      <c r="I254" s="80" t="s">
        <v>910</v>
      </c>
      <c r="J254" s="80">
        <v>3.04</v>
      </c>
      <c r="K254" s="80" t="s">
        <v>186</v>
      </c>
      <c r="L254" s="38">
        <v>3.3799999999999997E-2</v>
      </c>
      <c r="M254" s="38">
        <v>0.45</v>
      </c>
      <c r="N254" s="88">
        <v>88381.292895347127</v>
      </c>
      <c r="O254" s="80">
        <v>27.79</v>
      </c>
      <c r="P254" s="104">
        <v>0</v>
      </c>
      <c r="Q254" s="104">
        <v>24.561161274410129</v>
      </c>
      <c r="R254" s="38">
        <v>8.3806631643075079E-4</v>
      </c>
      <c r="S254" s="38">
        <v>1.5236656989817498E-4</v>
      </c>
      <c r="T254" s="38">
        <v>2.9754072767360419E-5</v>
      </c>
    </row>
    <row r="255" spans="1:20" s="137" customFormat="1" x14ac:dyDescent="0.2">
      <c r="A255" s="112" t="s">
        <v>385</v>
      </c>
      <c r="B255" s="144" t="s">
        <v>180</v>
      </c>
      <c r="C255" s="144" t="s">
        <v>180</v>
      </c>
      <c r="D255" s="144" t="s">
        <v>180</v>
      </c>
      <c r="E255" s="144" t="s">
        <v>180</v>
      </c>
      <c r="F255" s="144" t="s">
        <v>180</v>
      </c>
      <c r="G255" s="145" t="s">
        <v>180</v>
      </c>
      <c r="H255" s="145" t="s">
        <v>180</v>
      </c>
      <c r="I255" s="145" t="s">
        <v>180</v>
      </c>
      <c r="J255" s="145" t="s">
        <v>180</v>
      </c>
      <c r="K255" s="145" t="s">
        <v>180</v>
      </c>
      <c r="L255" s="144" t="s">
        <v>180</v>
      </c>
      <c r="M255" s="144" t="s">
        <v>180</v>
      </c>
      <c r="N255" s="155" t="s">
        <v>180</v>
      </c>
      <c r="O255" s="145" t="s">
        <v>180</v>
      </c>
      <c r="P255" s="146" t="s">
        <v>180</v>
      </c>
      <c r="Q255" s="146">
        <v>1753.8542416009436</v>
      </c>
      <c r="R255" s="144" t="s">
        <v>180</v>
      </c>
      <c r="S255" s="144">
        <v>1.0880135182065766E-2</v>
      </c>
      <c r="T255" s="144">
        <v>2.1246677282441106E-3</v>
      </c>
    </row>
    <row r="256" spans="1:20" x14ac:dyDescent="0.2">
      <c r="A256" s="30" t="s">
        <v>1202</v>
      </c>
      <c r="B256" s="38" t="s">
        <v>1203</v>
      </c>
      <c r="C256" s="38" t="s">
        <v>266</v>
      </c>
      <c r="D256" s="38" t="s">
        <v>180</v>
      </c>
      <c r="E256" s="38" t="s">
        <v>1204</v>
      </c>
      <c r="F256" s="38" t="s">
        <v>1205</v>
      </c>
      <c r="G256" s="80" t="s">
        <v>396</v>
      </c>
      <c r="H256" s="80" t="s">
        <v>185</v>
      </c>
      <c r="I256" s="80" t="s">
        <v>1206</v>
      </c>
      <c r="J256" s="80">
        <v>2.5499999999999998</v>
      </c>
      <c r="K256" s="80" t="s">
        <v>186</v>
      </c>
      <c r="L256" s="38">
        <v>3.49E-2</v>
      </c>
      <c r="M256" s="38">
        <v>6.08E-2</v>
      </c>
      <c r="N256" s="88">
        <v>488751.86981041403</v>
      </c>
      <c r="O256" s="80">
        <v>90.82</v>
      </c>
      <c r="P256" s="104">
        <v>0</v>
      </c>
      <c r="Q256" s="104">
        <v>443.88444809429382</v>
      </c>
      <c r="R256" s="38">
        <v>2.6461044548204261E-4</v>
      </c>
      <c r="S256" s="38">
        <v>2.7536625826295076E-3</v>
      </c>
      <c r="T256" s="38">
        <v>5.3773394593755548E-4</v>
      </c>
    </row>
    <row r="257" spans="1:20" x14ac:dyDescent="0.2">
      <c r="A257" s="30" t="s">
        <v>1207</v>
      </c>
      <c r="B257" s="38" t="s">
        <v>1208</v>
      </c>
      <c r="C257" s="38" t="s">
        <v>266</v>
      </c>
      <c r="D257" s="38" t="s">
        <v>180</v>
      </c>
      <c r="E257" s="38" t="s">
        <v>1209</v>
      </c>
      <c r="F257" s="38" t="s">
        <v>478</v>
      </c>
      <c r="G257" s="80" t="s">
        <v>401</v>
      </c>
      <c r="H257" s="80" t="s">
        <v>402</v>
      </c>
      <c r="I257" s="80" t="s">
        <v>1210</v>
      </c>
      <c r="J257" s="80">
        <v>5.16</v>
      </c>
      <c r="K257" s="80" t="s">
        <v>186</v>
      </c>
      <c r="L257" s="38">
        <v>4.2999999999999997E-2</v>
      </c>
      <c r="M257" s="38">
        <v>7.3300000000000004E-2</v>
      </c>
      <c r="N257" s="88">
        <v>691122.33021586027</v>
      </c>
      <c r="O257" s="80">
        <v>77.58</v>
      </c>
      <c r="P257" s="104">
        <v>0</v>
      </c>
      <c r="Q257" s="104">
        <v>536.17270374995132</v>
      </c>
      <c r="R257" s="38">
        <v>4.8511524554308754E-4</v>
      </c>
      <c r="S257" s="38">
        <v>3.326178059362645E-3</v>
      </c>
      <c r="T257" s="38">
        <v>6.4953450144354273E-4</v>
      </c>
    </row>
    <row r="258" spans="1:20" x14ac:dyDescent="0.2">
      <c r="A258" s="30" t="s">
        <v>1199</v>
      </c>
      <c r="B258" s="38" t="s">
        <v>1200</v>
      </c>
      <c r="C258" s="38" t="s">
        <v>266</v>
      </c>
      <c r="D258" s="38" t="s">
        <v>180</v>
      </c>
      <c r="E258" s="38" t="s">
        <v>428</v>
      </c>
      <c r="F258" s="38" t="s">
        <v>418</v>
      </c>
      <c r="G258" s="80" t="s">
        <v>429</v>
      </c>
      <c r="H258" s="80" t="s">
        <v>185</v>
      </c>
      <c r="I258" s="80" t="s">
        <v>1201</v>
      </c>
      <c r="J258" s="80">
        <v>2.41</v>
      </c>
      <c r="K258" s="80" t="s">
        <v>186</v>
      </c>
      <c r="L258" s="38">
        <v>5.45E-2</v>
      </c>
      <c r="M258" s="38">
        <v>6.08E-2</v>
      </c>
      <c r="N258" s="88">
        <v>145.88142508198268</v>
      </c>
      <c r="O258" s="80">
        <v>89.7</v>
      </c>
      <c r="P258" s="104">
        <v>0</v>
      </c>
      <c r="Q258" s="104">
        <v>0.13085563829853844</v>
      </c>
      <c r="R258" s="38">
        <v>1.4018530367482429E-7</v>
      </c>
      <c r="S258" s="38">
        <v>8.117704426361006E-7</v>
      </c>
      <c r="T258" s="38">
        <v>1.585221537554362E-7</v>
      </c>
    </row>
    <row r="259" spans="1:20" x14ac:dyDescent="0.2">
      <c r="A259" s="30" t="s">
        <v>1197</v>
      </c>
      <c r="B259" s="38" t="s">
        <v>1198</v>
      </c>
      <c r="C259" s="38" t="s">
        <v>266</v>
      </c>
      <c r="D259" s="38" t="s">
        <v>180</v>
      </c>
      <c r="E259" s="38" t="s">
        <v>951</v>
      </c>
      <c r="F259" s="38" t="s">
        <v>424</v>
      </c>
      <c r="G259" s="80" t="s">
        <v>408</v>
      </c>
      <c r="H259" s="80" t="s">
        <v>185</v>
      </c>
      <c r="I259" s="80" t="s">
        <v>289</v>
      </c>
      <c r="J259" s="80">
        <v>2.08</v>
      </c>
      <c r="K259" s="80" t="s">
        <v>186</v>
      </c>
      <c r="L259" s="38">
        <v>6.7000000000000004E-2</v>
      </c>
      <c r="M259" s="38">
        <v>9.2699999999999991E-2</v>
      </c>
      <c r="N259" s="88">
        <v>344899.48873582372</v>
      </c>
      <c r="O259" s="80">
        <v>85.27</v>
      </c>
      <c r="P259" s="104">
        <v>0</v>
      </c>
      <c r="Q259" s="104">
        <v>294.0957940184</v>
      </c>
      <c r="R259" s="38">
        <v>3.3693026221828852E-4</v>
      </c>
      <c r="S259" s="38">
        <v>1.824440092853061E-3</v>
      </c>
      <c r="T259" s="38">
        <v>3.562758111488469E-4</v>
      </c>
    </row>
    <row r="260" spans="1:20" x14ac:dyDescent="0.2">
      <c r="A260" s="30" t="s">
        <v>1211</v>
      </c>
      <c r="B260" s="38" t="s">
        <v>1212</v>
      </c>
      <c r="C260" s="38" t="s">
        <v>266</v>
      </c>
      <c r="D260" s="38" t="s">
        <v>180</v>
      </c>
      <c r="E260" s="38" t="s">
        <v>1213</v>
      </c>
      <c r="F260" s="38" t="s">
        <v>478</v>
      </c>
      <c r="G260" s="80" t="s">
        <v>1214</v>
      </c>
      <c r="H260" s="80" t="s">
        <v>185</v>
      </c>
      <c r="I260" s="80" t="s">
        <v>1215</v>
      </c>
      <c r="J260" s="80">
        <v>2.41</v>
      </c>
      <c r="K260" s="80" t="s">
        <v>186</v>
      </c>
      <c r="L260" s="38">
        <v>5.5E-2</v>
      </c>
      <c r="M260" s="38">
        <v>0.17530000000000001</v>
      </c>
      <c r="N260" s="88">
        <v>6194.4</v>
      </c>
      <c r="O260" s="80">
        <v>7742</v>
      </c>
      <c r="P260" s="104">
        <v>0</v>
      </c>
      <c r="Q260" s="104">
        <v>479.57044000000002</v>
      </c>
      <c r="R260" s="38">
        <v>7.6656345829713608E-4</v>
      </c>
      <c r="S260" s="38">
        <v>2.9750426761575599E-3</v>
      </c>
      <c r="T260" s="38">
        <v>5.8096494743926756E-4</v>
      </c>
    </row>
    <row r="261" spans="1:20" s="137" customFormat="1" x14ac:dyDescent="0.2">
      <c r="A261" s="112" t="s">
        <v>1216</v>
      </c>
      <c r="B261" s="144" t="s">
        <v>180</v>
      </c>
      <c r="C261" s="144" t="s">
        <v>180</v>
      </c>
      <c r="D261" s="144" t="s">
        <v>180</v>
      </c>
      <c r="E261" s="144" t="s">
        <v>180</v>
      </c>
      <c r="F261" s="144" t="s">
        <v>180</v>
      </c>
      <c r="G261" s="145" t="s">
        <v>180</v>
      </c>
      <c r="H261" s="145" t="s">
        <v>180</v>
      </c>
      <c r="I261" s="145" t="s">
        <v>180</v>
      </c>
      <c r="J261" s="145" t="s">
        <v>180</v>
      </c>
      <c r="K261" s="145" t="s">
        <v>180</v>
      </c>
      <c r="L261" s="144" t="s">
        <v>180</v>
      </c>
      <c r="M261" s="144" t="s">
        <v>180</v>
      </c>
      <c r="N261" s="155" t="s">
        <v>180</v>
      </c>
      <c r="O261" s="145" t="s">
        <v>180</v>
      </c>
      <c r="P261" s="146" t="s">
        <v>180</v>
      </c>
      <c r="Q261" s="146">
        <v>0</v>
      </c>
      <c r="R261" s="144" t="s">
        <v>180</v>
      </c>
      <c r="S261" s="144">
        <v>0</v>
      </c>
      <c r="T261" s="144">
        <v>0</v>
      </c>
    </row>
    <row r="262" spans="1:20" s="137" customFormat="1" x14ac:dyDescent="0.2">
      <c r="A262" s="112" t="s">
        <v>357</v>
      </c>
      <c r="B262" s="144" t="s">
        <v>180</v>
      </c>
      <c r="C262" s="144" t="s">
        <v>180</v>
      </c>
      <c r="D262" s="144" t="s">
        <v>180</v>
      </c>
      <c r="E262" s="144" t="s">
        <v>180</v>
      </c>
      <c r="F262" s="144" t="s">
        <v>180</v>
      </c>
      <c r="G262" s="145" t="s">
        <v>180</v>
      </c>
      <c r="H262" s="145" t="s">
        <v>180</v>
      </c>
      <c r="I262" s="145" t="s">
        <v>180</v>
      </c>
      <c r="J262" s="145" t="s">
        <v>180</v>
      </c>
      <c r="K262" s="145" t="s">
        <v>180</v>
      </c>
      <c r="L262" s="144" t="s">
        <v>180</v>
      </c>
      <c r="M262" s="144" t="s">
        <v>180</v>
      </c>
      <c r="N262" s="155" t="s">
        <v>180</v>
      </c>
      <c r="O262" s="145" t="s">
        <v>180</v>
      </c>
      <c r="P262" s="146" t="s">
        <v>180</v>
      </c>
      <c r="Q262" s="146">
        <v>50878.571874577741</v>
      </c>
      <c r="R262" s="144" t="s">
        <v>180</v>
      </c>
      <c r="S262" s="144">
        <v>0.31562813302008047</v>
      </c>
      <c r="T262" s="144">
        <v>6.1635714734417438E-2</v>
      </c>
    </row>
    <row r="263" spans="1:20" s="137" customFormat="1" x14ac:dyDescent="0.2">
      <c r="A263" s="112" t="s">
        <v>146</v>
      </c>
      <c r="B263" s="144" t="s">
        <v>180</v>
      </c>
      <c r="C263" s="144" t="s">
        <v>180</v>
      </c>
      <c r="D263" s="144" t="s">
        <v>180</v>
      </c>
      <c r="E263" s="144" t="s">
        <v>180</v>
      </c>
      <c r="F263" s="144" t="s">
        <v>180</v>
      </c>
      <c r="G263" s="145" t="s">
        <v>180</v>
      </c>
      <c r="H263" s="145" t="s">
        <v>180</v>
      </c>
      <c r="I263" s="145" t="s">
        <v>180</v>
      </c>
      <c r="J263" s="145" t="s">
        <v>180</v>
      </c>
      <c r="K263" s="145" t="s">
        <v>180</v>
      </c>
      <c r="L263" s="144" t="s">
        <v>180</v>
      </c>
      <c r="M263" s="144" t="s">
        <v>180</v>
      </c>
      <c r="N263" s="155" t="s">
        <v>180</v>
      </c>
      <c r="O263" s="145" t="s">
        <v>180</v>
      </c>
      <c r="P263" s="146" t="s">
        <v>180</v>
      </c>
      <c r="Q263" s="146">
        <v>1060.6535792365362</v>
      </c>
      <c r="R263" s="144" t="s">
        <v>180</v>
      </c>
      <c r="S263" s="144">
        <v>6.5798251928287314E-3</v>
      </c>
      <c r="T263" s="144">
        <v>1.2849051974771948E-3</v>
      </c>
    </row>
    <row r="264" spans="1:20" x14ac:dyDescent="0.2">
      <c r="A264" s="30" t="s">
        <v>1226</v>
      </c>
      <c r="B264" s="38" t="s">
        <v>1227</v>
      </c>
      <c r="C264" s="38" t="s">
        <v>361</v>
      </c>
      <c r="D264" s="38" t="s">
        <v>1219</v>
      </c>
      <c r="E264" s="38" t="s">
        <v>737</v>
      </c>
      <c r="F264" s="38" t="s">
        <v>1228</v>
      </c>
      <c r="G264" s="80" t="s">
        <v>1229</v>
      </c>
      <c r="H264" s="80" t="s">
        <v>261</v>
      </c>
      <c r="I264" s="80" t="s">
        <v>791</v>
      </c>
      <c r="J264" s="80">
        <v>4.9539999999999997</v>
      </c>
      <c r="K264" s="80" t="s">
        <v>127</v>
      </c>
      <c r="L264" s="38">
        <v>3.2799999999999996E-2</v>
      </c>
      <c r="M264" s="38">
        <v>2.9569999999999999E-2</v>
      </c>
      <c r="N264" s="88">
        <v>164103.09567787105</v>
      </c>
      <c r="O264" s="80">
        <v>98.804400000000001</v>
      </c>
      <c r="P264" s="104">
        <v>0</v>
      </c>
      <c r="Q264" s="104">
        <v>561.98098000075095</v>
      </c>
      <c r="R264" s="38">
        <v>2.1880412757049474E-4</v>
      </c>
      <c r="S264" s="38">
        <v>3.4862811784043286E-3</v>
      </c>
      <c r="T264" s="38">
        <v>6.8079936392243922E-4</v>
      </c>
    </row>
    <row r="265" spans="1:20" x14ac:dyDescent="0.2">
      <c r="A265" s="30" t="s">
        <v>1217</v>
      </c>
      <c r="B265" s="38" t="s">
        <v>1218</v>
      </c>
      <c r="C265" s="38" t="s">
        <v>361</v>
      </c>
      <c r="D265" s="38" t="s">
        <v>1219</v>
      </c>
      <c r="E265" s="38" t="s">
        <v>180</v>
      </c>
      <c r="F265" s="38" t="s">
        <v>1220</v>
      </c>
      <c r="G265" s="80" t="s">
        <v>1221</v>
      </c>
      <c r="H265" s="80" t="s">
        <v>251</v>
      </c>
      <c r="I265" s="80" t="s">
        <v>1222</v>
      </c>
      <c r="J265" s="80">
        <v>0.47699999999999998</v>
      </c>
      <c r="K265" s="80" t="s">
        <v>127</v>
      </c>
      <c r="L265" s="38">
        <v>4.4299999999999999E-2</v>
      </c>
      <c r="M265" s="38">
        <v>2.8849999999999997E-2</v>
      </c>
      <c r="N265" s="88">
        <v>94714.865988413192</v>
      </c>
      <c r="O265" s="80">
        <v>100.11710000000001</v>
      </c>
      <c r="P265" s="104">
        <v>0</v>
      </c>
      <c r="Q265" s="104">
        <v>328.66614339977787</v>
      </c>
      <c r="R265" s="38">
        <v>2.9598395621379124E-4</v>
      </c>
      <c r="S265" s="38">
        <v>2.0388992341197252E-3</v>
      </c>
      <c r="T265" s="38">
        <v>3.9815529231809765E-4</v>
      </c>
    </row>
    <row r="266" spans="1:20" x14ac:dyDescent="0.2">
      <c r="A266" s="30" t="s">
        <v>1223</v>
      </c>
      <c r="B266" s="38" t="s">
        <v>1224</v>
      </c>
      <c r="C266" s="38" t="s">
        <v>361</v>
      </c>
      <c r="D266" s="38" t="s">
        <v>1219</v>
      </c>
      <c r="E266" s="38" t="s">
        <v>180</v>
      </c>
      <c r="F266" s="38" t="s">
        <v>1220</v>
      </c>
      <c r="G266" s="80" t="s">
        <v>1221</v>
      </c>
      <c r="H266" s="80" t="s">
        <v>251</v>
      </c>
      <c r="I266" s="80" t="s">
        <v>1225</v>
      </c>
      <c r="J266" s="80">
        <v>3.1509999999999998</v>
      </c>
      <c r="K266" s="80" t="s">
        <v>127</v>
      </c>
      <c r="L266" s="38">
        <v>5.0799999999999998E-2</v>
      </c>
      <c r="M266" s="38">
        <v>5.21E-2</v>
      </c>
      <c r="N266" s="88">
        <v>49318.691238841428</v>
      </c>
      <c r="O266" s="80">
        <v>99.454700000000003</v>
      </c>
      <c r="P266" s="104">
        <v>0</v>
      </c>
      <c r="Q266" s="104">
        <v>170.0064557360075</v>
      </c>
      <c r="R266" s="38">
        <v>1.5412091012137946E-4</v>
      </c>
      <c r="S266" s="38">
        <v>1.0546447796843223E-3</v>
      </c>
      <c r="T266" s="38">
        <v>2.0595054111551529E-4</v>
      </c>
    </row>
    <row r="267" spans="1:20" s="137" customFormat="1" x14ac:dyDescent="0.2">
      <c r="A267" s="112" t="s">
        <v>147</v>
      </c>
      <c r="B267" s="144" t="s">
        <v>180</v>
      </c>
      <c r="C267" s="144" t="s">
        <v>180</v>
      </c>
      <c r="D267" s="144" t="s">
        <v>180</v>
      </c>
      <c r="E267" s="144" t="s">
        <v>180</v>
      </c>
      <c r="F267" s="144" t="s">
        <v>180</v>
      </c>
      <c r="G267" s="145" t="s">
        <v>180</v>
      </c>
      <c r="H267" s="145" t="s">
        <v>180</v>
      </c>
      <c r="I267" s="145" t="s">
        <v>180</v>
      </c>
      <c r="J267" s="145" t="s">
        <v>180</v>
      </c>
      <c r="K267" s="145" t="s">
        <v>180</v>
      </c>
      <c r="L267" s="144" t="s">
        <v>180</v>
      </c>
      <c r="M267" s="144" t="s">
        <v>180</v>
      </c>
      <c r="N267" s="155" t="s">
        <v>180</v>
      </c>
      <c r="O267" s="145" t="s">
        <v>180</v>
      </c>
      <c r="P267" s="146" t="s">
        <v>180</v>
      </c>
      <c r="Q267" s="146">
        <v>49817.918295341209</v>
      </c>
      <c r="R267" s="144" t="s">
        <v>180</v>
      </c>
      <c r="S267" s="144">
        <v>0.30904830782725179</v>
      </c>
      <c r="T267" s="144">
        <v>6.0350809536940248E-2</v>
      </c>
    </row>
    <row r="268" spans="1:20" x14ac:dyDescent="0.2">
      <c r="A268" s="30" t="s">
        <v>1230</v>
      </c>
      <c r="B268" s="38" t="s">
        <v>1231</v>
      </c>
      <c r="C268" s="38" t="s">
        <v>361</v>
      </c>
      <c r="D268" s="38" t="s">
        <v>1219</v>
      </c>
      <c r="E268" s="38" t="s">
        <v>180</v>
      </c>
      <c r="F268" s="38" t="s">
        <v>1232</v>
      </c>
      <c r="G268" s="80" t="s">
        <v>1221</v>
      </c>
      <c r="H268" s="80" t="s">
        <v>251</v>
      </c>
      <c r="I268" s="80" t="s">
        <v>1233</v>
      </c>
      <c r="J268" s="80">
        <v>3.8250000000000002</v>
      </c>
      <c r="K268" s="80" t="s">
        <v>127</v>
      </c>
      <c r="L268" s="38">
        <v>5.1500000000000004E-2</v>
      </c>
      <c r="M268" s="38">
        <v>3.5619999999999999E-2</v>
      </c>
      <c r="N268" s="88">
        <v>265037.92197930749</v>
      </c>
      <c r="O268" s="80">
        <v>108.34399999999999</v>
      </c>
      <c r="P268" s="104">
        <v>0</v>
      </c>
      <c r="Q268" s="104">
        <v>995.27121026161217</v>
      </c>
      <c r="R268" s="38">
        <v>5.0546380058073771E-4</v>
      </c>
      <c r="S268" s="38">
        <v>6.1742219242688946E-3</v>
      </c>
      <c r="T268" s="38">
        <v>1.2056991802027117E-3</v>
      </c>
    </row>
    <row r="269" spans="1:20" x14ac:dyDescent="0.2">
      <c r="A269" s="30" t="s">
        <v>1234</v>
      </c>
      <c r="B269" s="38" t="s">
        <v>1235</v>
      </c>
      <c r="C269" s="38" t="s">
        <v>361</v>
      </c>
      <c r="D269" s="38" t="s">
        <v>1219</v>
      </c>
      <c r="E269" s="38" t="s">
        <v>180</v>
      </c>
      <c r="F269" s="38" t="s">
        <v>1236</v>
      </c>
      <c r="G269" s="80" t="s">
        <v>1229</v>
      </c>
      <c r="H269" s="80" t="s">
        <v>261</v>
      </c>
      <c r="I269" s="80" t="s">
        <v>1237</v>
      </c>
      <c r="J269" s="80">
        <v>5.4870000000000001</v>
      </c>
      <c r="K269" s="80" t="s">
        <v>127</v>
      </c>
      <c r="L269" s="38">
        <v>5.1299999999999998E-2</v>
      </c>
      <c r="M269" s="38">
        <v>3.1130000000000001E-2</v>
      </c>
      <c r="N269" s="88">
        <v>329936.43547859084</v>
      </c>
      <c r="O269" s="80">
        <v>114.19589999999999</v>
      </c>
      <c r="P269" s="104">
        <v>0</v>
      </c>
      <c r="Q269" s="104">
        <v>1305.8982746531117</v>
      </c>
      <c r="R269" s="38">
        <v>3.2993643547859082E-4</v>
      </c>
      <c r="S269" s="38">
        <v>8.1012146991660573E-3</v>
      </c>
      <c r="T269" s="38">
        <v>1.5820014313118948E-3</v>
      </c>
    </row>
    <row r="270" spans="1:20" x14ac:dyDescent="0.2">
      <c r="A270" s="30" t="s">
        <v>1238</v>
      </c>
      <c r="B270" s="38" t="s">
        <v>1239</v>
      </c>
      <c r="C270" s="38" t="s">
        <v>361</v>
      </c>
      <c r="D270" s="38" t="s">
        <v>1219</v>
      </c>
      <c r="E270" s="38" t="s">
        <v>180</v>
      </c>
      <c r="F270" s="38" t="s">
        <v>1240</v>
      </c>
      <c r="G270" s="80" t="s">
        <v>1241</v>
      </c>
      <c r="H270" s="80" t="s">
        <v>251</v>
      </c>
      <c r="I270" s="80" t="s">
        <v>1242</v>
      </c>
      <c r="J270" s="80">
        <v>5.2549999999999999</v>
      </c>
      <c r="K270" s="80" t="s">
        <v>127</v>
      </c>
      <c r="L270" s="38">
        <v>3.2500000000000001E-2</v>
      </c>
      <c r="M270" s="38">
        <v>5.6120000000000003E-2</v>
      </c>
      <c r="N270" s="88">
        <v>260877.76085755858</v>
      </c>
      <c r="O270" s="80">
        <v>88.375600000000006</v>
      </c>
      <c r="P270" s="104">
        <v>0</v>
      </c>
      <c r="Q270" s="104">
        <v>799.09422473985649</v>
      </c>
      <c r="R270" s="38">
        <v>4.3479626809593097E-4</v>
      </c>
      <c r="S270" s="38">
        <v>4.9572267650026831E-3</v>
      </c>
      <c r="T270" s="38">
        <v>9.6804493261722503E-4</v>
      </c>
    </row>
    <row r="271" spans="1:20" x14ac:dyDescent="0.2">
      <c r="A271" s="30" t="s">
        <v>1243</v>
      </c>
      <c r="B271" s="38" t="s">
        <v>1244</v>
      </c>
      <c r="C271" s="38" t="s">
        <v>361</v>
      </c>
      <c r="D271" s="38" t="s">
        <v>1219</v>
      </c>
      <c r="E271" s="38" t="s">
        <v>180</v>
      </c>
      <c r="F271" s="38" t="s">
        <v>1245</v>
      </c>
      <c r="G271" s="80" t="s">
        <v>1221</v>
      </c>
      <c r="H271" s="80" t="s">
        <v>251</v>
      </c>
      <c r="I271" s="80" t="s">
        <v>1246</v>
      </c>
      <c r="J271" s="80">
        <v>4.944</v>
      </c>
      <c r="K271" s="80" t="s">
        <v>127</v>
      </c>
      <c r="L271" s="38">
        <v>4.1299999999999996E-2</v>
      </c>
      <c r="M271" s="38">
        <v>3.1309999999999998E-2</v>
      </c>
      <c r="N271" s="88">
        <v>267854.94536746322</v>
      </c>
      <c r="O271" s="80">
        <v>105.65229999999998</v>
      </c>
      <c r="P271" s="104">
        <v>0</v>
      </c>
      <c r="Q271" s="104">
        <v>980.86035959898209</v>
      </c>
      <c r="R271" s="38">
        <v>2.6785494536746323E-4</v>
      </c>
      <c r="S271" s="38">
        <v>6.0848233872759592E-3</v>
      </c>
      <c r="T271" s="38">
        <v>1.188241475558176E-3</v>
      </c>
    </row>
    <row r="272" spans="1:20" x14ac:dyDescent="0.2">
      <c r="A272" s="30" t="s">
        <v>1247</v>
      </c>
      <c r="B272" s="38" t="s">
        <v>1248</v>
      </c>
      <c r="C272" s="38" t="s">
        <v>361</v>
      </c>
      <c r="D272" s="38" t="s">
        <v>1219</v>
      </c>
      <c r="E272" s="38" t="s">
        <v>180</v>
      </c>
      <c r="F272" s="38" t="s">
        <v>1249</v>
      </c>
      <c r="G272" s="80" t="s">
        <v>1250</v>
      </c>
      <c r="H272" s="80" t="s">
        <v>251</v>
      </c>
      <c r="I272" s="80" t="s">
        <v>1251</v>
      </c>
      <c r="J272" s="80">
        <v>5.3310000000000004</v>
      </c>
      <c r="K272" s="80" t="s">
        <v>127</v>
      </c>
      <c r="L272" s="38">
        <v>4.9500000000000002E-2</v>
      </c>
      <c r="M272" s="38">
        <v>7.467E-2</v>
      </c>
      <c r="N272" s="88">
        <v>211668.99787458553</v>
      </c>
      <c r="O272" s="80">
        <v>89.723799999999997</v>
      </c>
      <c r="P272" s="104">
        <v>0</v>
      </c>
      <c r="Q272" s="104">
        <v>658.25394508868521</v>
      </c>
      <c r="R272" s="38">
        <v>5.2917249468646384E-4</v>
      </c>
      <c r="S272" s="38">
        <v>4.0835160281937179E-3</v>
      </c>
      <c r="T272" s="38">
        <v>7.9742710707969924E-4</v>
      </c>
    </row>
    <row r="273" spans="1:20" x14ac:dyDescent="0.2">
      <c r="A273" s="30" t="s">
        <v>1252</v>
      </c>
      <c r="B273" s="38" t="s">
        <v>1253</v>
      </c>
      <c r="C273" s="38" t="s">
        <v>361</v>
      </c>
      <c r="D273" s="38" t="s">
        <v>1219</v>
      </c>
      <c r="E273" s="38" t="s">
        <v>180</v>
      </c>
      <c r="F273" s="38" t="s">
        <v>1236</v>
      </c>
      <c r="G273" s="80" t="s">
        <v>383</v>
      </c>
      <c r="H273" s="80" t="s">
        <v>261</v>
      </c>
      <c r="I273" s="80" t="s">
        <v>1254</v>
      </c>
      <c r="J273" s="80">
        <v>5.6970000000000001</v>
      </c>
      <c r="K273" s="80" t="s">
        <v>127</v>
      </c>
      <c r="L273" s="38">
        <v>0.05</v>
      </c>
      <c r="M273" s="38">
        <v>3.5920000000000001E-2</v>
      </c>
      <c r="N273" s="88">
        <v>262399.19121065532</v>
      </c>
      <c r="O273" s="80">
        <v>108.15870000000001</v>
      </c>
      <c r="P273" s="104">
        <v>0</v>
      </c>
      <c r="Q273" s="104">
        <v>983.67698218532905</v>
      </c>
      <c r="R273" s="38">
        <v>5.247983824213107E-4</v>
      </c>
      <c r="S273" s="38">
        <v>6.1022964667197454E-3</v>
      </c>
      <c r="T273" s="38">
        <v>1.191653610369557E-3</v>
      </c>
    </row>
    <row r="274" spans="1:20" x14ac:dyDescent="0.2">
      <c r="A274" s="30" t="s">
        <v>1255</v>
      </c>
      <c r="B274" s="38" t="s">
        <v>1256</v>
      </c>
      <c r="C274" s="38" t="s">
        <v>361</v>
      </c>
      <c r="D274" s="38" t="s">
        <v>1219</v>
      </c>
      <c r="E274" s="38" t="s">
        <v>180</v>
      </c>
      <c r="F274" s="38" t="s">
        <v>1257</v>
      </c>
      <c r="G274" s="80" t="s">
        <v>1221</v>
      </c>
      <c r="H274" s="80" t="s">
        <v>251</v>
      </c>
      <c r="I274" s="80" t="s">
        <v>1258</v>
      </c>
      <c r="J274" s="80">
        <v>5.8140000000000001</v>
      </c>
      <c r="K274" s="80" t="s">
        <v>127</v>
      </c>
      <c r="L274" s="38">
        <v>4.8499999999999995E-2</v>
      </c>
      <c r="M274" s="38">
        <v>2.9510000000000002E-2</v>
      </c>
      <c r="N274" s="88">
        <v>267510.24630308972</v>
      </c>
      <c r="O274" s="80">
        <v>111.92900000000002</v>
      </c>
      <c r="P274" s="104">
        <v>22.484369920000002</v>
      </c>
      <c r="Q274" s="104">
        <v>1060.279439927883</v>
      </c>
      <c r="R274" s="38">
        <v>2.6751024630308973E-4</v>
      </c>
      <c r="S274" s="38">
        <v>6.577504198210982E-3</v>
      </c>
      <c r="T274" s="38">
        <v>1.2844519547298174E-3</v>
      </c>
    </row>
    <row r="275" spans="1:20" x14ac:dyDescent="0.2">
      <c r="A275" s="30" t="s">
        <v>1259</v>
      </c>
      <c r="B275" s="38" t="s">
        <v>1260</v>
      </c>
      <c r="C275" s="38" t="s">
        <v>361</v>
      </c>
      <c r="D275" s="38" t="s">
        <v>1219</v>
      </c>
      <c r="E275" s="38" t="s">
        <v>180</v>
      </c>
      <c r="F275" s="38" t="s">
        <v>1261</v>
      </c>
      <c r="G275" s="80" t="s">
        <v>383</v>
      </c>
      <c r="H275" s="80" t="s">
        <v>261</v>
      </c>
      <c r="I275" s="80" t="s">
        <v>1262</v>
      </c>
      <c r="J275" s="80">
        <v>5.9509999999999996</v>
      </c>
      <c r="K275" s="80" t="s">
        <v>127</v>
      </c>
      <c r="L275" s="38">
        <v>3.9E-2</v>
      </c>
      <c r="M275" s="38">
        <v>2.9089999999999998E-2</v>
      </c>
      <c r="N275" s="88">
        <v>291389.57114192861</v>
      </c>
      <c r="O275" s="80">
        <v>107.24250000000002</v>
      </c>
      <c r="P275" s="104">
        <v>0</v>
      </c>
      <c r="Q275" s="104">
        <v>1083.1023352343911</v>
      </c>
      <c r="R275" s="38">
        <v>2.3311165691354289E-4</v>
      </c>
      <c r="S275" s="38">
        <v>6.7190873356752874E-3</v>
      </c>
      <c r="T275" s="38">
        <v>1.3121002438365383E-3</v>
      </c>
    </row>
    <row r="276" spans="1:20" x14ac:dyDescent="0.2">
      <c r="A276" s="30" t="s">
        <v>1263</v>
      </c>
      <c r="B276" s="38" t="s">
        <v>1264</v>
      </c>
      <c r="C276" s="38" t="s">
        <v>361</v>
      </c>
      <c r="D276" s="38" t="s">
        <v>1219</v>
      </c>
      <c r="E276" s="38" t="s">
        <v>1265</v>
      </c>
      <c r="F276" s="38" t="s">
        <v>1228</v>
      </c>
      <c r="G276" s="80" t="s">
        <v>1266</v>
      </c>
      <c r="H276" s="80" t="s">
        <v>251</v>
      </c>
      <c r="I276" s="80" t="s">
        <v>1267</v>
      </c>
      <c r="J276" s="80">
        <v>0.10100000000000001</v>
      </c>
      <c r="K276" s="80" t="s">
        <v>127</v>
      </c>
      <c r="L276" s="38">
        <v>2.2499999999999999E-2</v>
      </c>
      <c r="M276" s="38">
        <v>2.9860000000000001E-2</v>
      </c>
      <c r="N276" s="88">
        <v>191854.74476042707</v>
      </c>
      <c r="O276" s="80">
        <v>71.598600000000005</v>
      </c>
      <c r="P276" s="104">
        <v>0</v>
      </c>
      <c r="Q276" s="104">
        <v>476.10816890216881</v>
      </c>
      <c r="R276" s="38">
        <v>3.6543760906748013E-4</v>
      </c>
      <c r="S276" s="38">
        <v>2.9535642792145067E-3</v>
      </c>
      <c r="T276" s="38">
        <v>5.7677065609309532E-4</v>
      </c>
    </row>
    <row r="277" spans="1:20" x14ac:dyDescent="0.2">
      <c r="A277" s="30" t="s">
        <v>1268</v>
      </c>
      <c r="B277" s="38" t="s">
        <v>1269</v>
      </c>
      <c r="C277" s="38" t="s">
        <v>361</v>
      </c>
      <c r="D277" s="38" t="s">
        <v>1219</v>
      </c>
      <c r="E277" s="38" t="s">
        <v>180</v>
      </c>
      <c r="F277" s="38" t="s">
        <v>1270</v>
      </c>
      <c r="G277" s="80" t="s">
        <v>1221</v>
      </c>
      <c r="H277" s="80" t="s">
        <v>251</v>
      </c>
      <c r="I277" s="80" t="s">
        <v>1271</v>
      </c>
      <c r="J277" s="80">
        <v>5.5179999999999998</v>
      </c>
      <c r="K277" s="80" t="s">
        <v>127</v>
      </c>
      <c r="L277" s="38">
        <v>4.8499999999999995E-2</v>
      </c>
      <c r="M277" s="38">
        <v>3.1040000000000002E-2</v>
      </c>
      <c r="N277" s="88">
        <v>309111.85752057901</v>
      </c>
      <c r="O277" s="80">
        <v>111.85070000000002</v>
      </c>
      <c r="P277" s="104">
        <v>0</v>
      </c>
      <c r="Q277" s="104">
        <v>1198.3479290284663</v>
      </c>
      <c r="R277" s="38">
        <v>4.1214914336077204E-4</v>
      </c>
      <c r="S277" s="38">
        <v>7.4340199736762725E-3</v>
      </c>
      <c r="T277" s="38">
        <v>1.4517119562289494E-3</v>
      </c>
    </row>
    <row r="278" spans="1:20" x14ac:dyDescent="0.2">
      <c r="A278" s="30" t="s">
        <v>1272</v>
      </c>
      <c r="B278" s="38" t="s">
        <v>1273</v>
      </c>
      <c r="C278" s="38" t="s">
        <v>361</v>
      </c>
      <c r="D278" s="38" t="s">
        <v>1219</v>
      </c>
      <c r="E278" s="38" t="s">
        <v>1274</v>
      </c>
      <c r="F278" s="38" t="s">
        <v>1275</v>
      </c>
      <c r="G278" s="80" t="s">
        <v>1221</v>
      </c>
      <c r="H278" s="80" t="s">
        <v>251</v>
      </c>
      <c r="I278" s="80" t="s">
        <v>1276</v>
      </c>
      <c r="J278" s="80">
        <v>4.8150000000000004</v>
      </c>
      <c r="K278" s="80" t="s">
        <v>127</v>
      </c>
      <c r="L278" s="38">
        <v>4.3799999999999999E-2</v>
      </c>
      <c r="M278" s="38">
        <v>2.529E-2</v>
      </c>
      <c r="N278" s="88">
        <v>252711.95888429711</v>
      </c>
      <c r="O278" s="80">
        <v>110.379</v>
      </c>
      <c r="P278" s="104">
        <v>0</v>
      </c>
      <c r="Q278" s="104">
        <v>966.80927408365869</v>
      </c>
      <c r="R278" s="38">
        <v>3.6101708412042443E-4</v>
      </c>
      <c r="S278" s="38">
        <v>5.9976566739680529E-3</v>
      </c>
      <c r="T278" s="38">
        <v>1.1712196004028295E-3</v>
      </c>
    </row>
    <row r="279" spans="1:20" x14ac:dyDescent="0.2">
      <c r="A279" s="30" t="s">
        <v>1277</v>
      </c>
      <c r="B279" s="38" t="s">
        <v>1278</v>
      </c>
      <c r="C279" s="38" t="s">
        <v>361</v>
      </c>
      <c r="D279" s="38" t="s">
        <v>1219</v>
      </c>
      <c r="E279" s="38" t="s">
        <v>180</v>
      </c>
      <c r="F279" s="38" t="s">
        <v>1279</v>
      </c>
      <c r="G279" s="80" t="s">
        <v>1221</v>
      </c>
      <c r="H279" s="80" t="s">
        <v>251</v>
      </c>
      <c r="I279" s="80" t="s">
        <v>1280</v>
      </c>
      <c r="J279" s="80">
        <v>1.018</v>
      </c>
      <c r="K279" s="80" t="s">
        <v>127</v>
      </c>
      <c r="L279" s="38">
        <v>5.2499999999999998E-2</v>
      </c>
      <c r="M279" s="38">
        <v>4.1950000000000001E-2</v>
      </c>
      <c r="N279" s="88">
        <v>127609.97086599002</v>
      </c>
      <c r="O279" s="80">
        <v>107.47839999999999</v>
      </c>
      <c r="P279" s="104">
        <v>0</v>
      </c>
      <c r="Q279" s="104">
        <v>475.37283486862424</v>
      </c>
      <c r="R279" s="38">
        <v>2.1268328477665004E-4</v>
      </c>
      <c r="S279" s="38">
        <v>2.9490025924453511E-3</v>
      </c>
      <c r="T279" s="38">
        <v>5.7587985202654671E-4</v>
      </c>
    </row>
    <row r="280" spans="1:20" x14ac:dyDescent="0.2">
      <c r="A280" s="30" t="s">
        <v>1281</v>
      </c>
      <c r="B280" s="38" t="s">
        <v>1282</v>
      </c>
      <c r="C280" s="38" t="s">
        <v>361</v>
      </c>
      <c r="D280" s="38" t="s">
        <v>1219</v>
      </c>
      <c r="E280" s="38" t="s">
        <v>180</v>
      </c>
      <c r="F280" s="38" t="s">
        <v>1283</v>
      </c>
      <c r="G280" s="80" t="s">
        <v>1284</v>
      </c>
      <c r="H280" s="80" t="s">
        <v>251</v>
      </c>
      <c r="I280" s="80" t="s">
        <v>1285</v>
      </c>
      <c r="J280" s="80">
        <v>4.0439999999999996</v>
      </c>
      <c r="K280" s="80" t="s">
        <v>127</v>
      </c>
      <c r="L280" s="38">
        <v>4.4500000000000005E-2</v>
      </c>
      <c r="M280" s="38">
        <v>4.9530000000000005E-2</v>
      </c>
      <c r="N280" s="88">
        <v>278207.80347330129</v>
      </c>
      <c r="O280" s="80">
        <v>99.884900000000002</v>
      </c>
      <c r="P280" s="104">
        <v>0</v>
      </c>
      <c r="Q280" s="104">
        <v>963.15837397457358</v>
      </c>
      <c r="R280" s="38">
        <v>4.6367967245550213E-4</v>
      </c>
      <c r="S280" s="38">
        <v>5.9750081061561659E-3</v>
      </c>
      <c r="T280" s="38">
        <v>1.1667967986346876E-3</v>
      </c>
    </row>
    <row r="281" spans="1:20" x14ac:dyDescent="0.2">
      <c r="A281" s="30" t="s">
        <v>1286</v>
      </c>
      <c r="B281" s="38" t="s">
        <v>1287</v>
      </c>
      <c r="C281" s="38" t="s">
        <v>361</v>
      </c>
      <c r="D281" s="38" t="s">
        <v>1219</v>
      </c>
      <c r="E281" s="38" t="s">
        <v>180</v>
      </c>
      <c r="F281" s="38" t="s">
        <v>1249</v>
      </c>
      <c r="G281" s="80" t="s">
        <v>1288</v>
      </c>
      <c r="H281" s="80" t="s">
        <v>261</v>
      </c>
      <c r="I281" s="80" t="s">
        <v>1289</v>
      </c>
      <c r="J281" s="80">
        <v>6.8019999999999996</v>
      </c>
      <c r="K281" s="80" t="s">
        <v>127</v>
      </c>
      <c r="L281" s="38">
        <v>5.3800000000000001E-2</v>
      </c>
      <c r="M281" s="38">
        <v>3.5920000000000001E-2</v>
      </c>
      <c r="N281" s="88">
        <v>311084.96250975138</v>
      </c>
      <c r="O281" s="80">
        <v>113.92170000000002</v>
      </c>
      <c r="P281" s="104">
        <v>0</v>
      </c>
      <c r="Q281" s="104">
        <v>1228.3271005719034</v>
      </c>
      <c r="R281" s="38">
        <v>5.1847493751625234E-4</v>
      </c>
      <c r="S281" s="38">
        <v>7.6199974804166239E-3</v>
      </c>
      <c r="T281" s="38">
        <v>1.4880295570802566E-3</v>
      </c>
    </row>
    <row r="282" spans="1:20" x14ac:dyDescent="0.2">
      <c r="A282" s="30" t="s">
        <v>1290</v>
      </c>
      <c r="B282" s="38" t="s">
        <v>1291</v>
      </c>
      <c r="C282" s="38" t="s">
        <v>361</v>
      </c>
      <c r="D282" s="38" t="s">
        <v>1219</v>
      </c>
      <c r="E282" s="38" t="s">
        <v>180</v>
      </c>
      <c r="F282" s="38" t="s">
        <v>1292</v>
      </c>
      <c r="G282" s="80" t="s">
        <v>1229</v>
      </c>
      <c r="H282" s="80" t="s">
        <v>261</v>
      </c>
      <c r="I282" s="80" t="s">
        <v>1293</v>
      </c>
      <c r="J282" s="80">
        <v>6.766</v>
      </c>
      <c r="K282" s="80" t="s">
        <v>127</v>
      </c>
      <c r="L282" s="38">
        <v>4.4500000000000005E-2</v>
      </c>
      <c r="M282" s="38">
        <v>2.2860000000000002E-2</v>
      </c>
      <c r="N282" s="88">
        <v>249383.82998689797</v>
      </c>
      <c r="O282" s="80">
        <v>117.0873</v>
      </c>
      <c r="P282" s="104">
        <v>0</v>
      </c>
      <c r="Q282" s="104">
        <v>1012.0608850325045</v>
      </c>
      <c r="R282" s="38">
        <v>4.9876765997379589E-4</v>
      </c>
      <c r="S282" s="38">
        <v>6.2783776327863137E-3</v>
      </c>
      <c r="T282" s="38">
        <v>1.2260386584257519E-3</v>
      </c>
    </row>
    <row r="283" spans="1:20" x14ac:dyDescent="0.2">
      <c r="A283" s="30" t="s">
        <v>1294</v>
      </c>
      <c r="B283" s="38" t="s">
        <v>1295</v>
      </c>
      <c r="C283" s="38" t="s">
        <v>361</v>
      </c>
      <c r="D283" s="38" t="s">
        <v>1219</v>
      </c>
      <c r="E283" s="38" t="s">
        <v>180</v>
      </c>
      <c r="F283" s="38" t="s">
        <v>1296</v>
      </c>
      <c r="G283" s="80" t="s">
        <v>1297</v>
      </c>
      <c r="H283" s="80" t="s">
        <v>251</v>
      </c>
      <c r="I283" s="80" t="s">
        <v>1298</v>
      </c>
      <c r="J283" s="80">
        <v>7.1970000000000001</v>
      </c>
      <c r="K283" s="80" t="s">
        <v>127</v>
      </c>
      <c r="L283" s="38">
        <v>4.2500000000000003E-2</v>
      </c>
      <c r="M283" s="38">
        <v>3.0640000000000001E-2</v>
      </c>
      <c r="N283" s="88">
        <v>221070.96200973811</v>
      </c>
      <c r="O283" s="80">
        <v>109.4635</v>
      </c>
      <c r="P283" s="104">
        <v>0</v>
      </c>
      <c r="Q283" s="104">
        <v>838.74431531041398</v>
      </c>
      <c r="R283" s="38">
        <v>4.9126880446608468E-4</v>
      </c>
      <c r="S283" s="38">
        <v>5.2031983715114596E-3</v>
      </c>
      <c r="T283" s="38">
        <v>1.0160781533142431E-3</v>
      </c>
    </row>
    <row r="284" spans="1:20" x14ac:dyDescent="0.2">
      <c r="A284" s="30" t="s">
        <v>1299</v>
      </c>
      <c r="B284" s="38" t="s">
        <v>1300</v>
      </c>
      <c r="C284" s="38" t="s">
        <v>361</v>
      </c>
      <c r="D284" s="38" t="s">
        <v>1219</v>
      </c>
      <c r="E284" s="38" t="s">
        <v>180</v>
      </c>
      <c r="F284" s="38" t="s">
        <v>1261</v>
      </c>
      <c r="G284" s="80" t="s">
        <v>1250</v>
      </c>
      <c r="H284" s="80" t="s">
        <v>251</v>
      </c>
      <c r="I284" s="80" t="s">
        <v>1301</v>
      </c>
      <c r="J284" s="80">
        <v>1.8859999999999999</v>
      </c>
      <c r="K284" s="80" t="s">
        <v>127</v>
      </c>
      <c r="L284" s="38">
        <v>4.7500000000000001E-2</v>
      </c>
      <c r="M284" s="38">
        <v>3.9280000000000002E-2</v>
      </c>
      <c r="N284" s="88">
        <v>230163.88560441791</v>
      </c>
      <c r="O284" s="80">
        <v>107.3682</v>
      </c>
      <c r="P284" s="104">
        <v>0</v>
      </c>
      <c r="Q284" s="104">
        <v>856.52769757757483</v>
      </c>
      <c r="R284" s="38">
        <v>4.1849196631978005E-4</v>
      </c>
      <c r="S284" s="38">
        <v>5.313518601363882E-3</v>
      </c>
      <c r="T284" s="38">
        <v>1.0376214363909347E-3</v>
      </c>
    </row>
    <row r="285" spans="1:20" x14ac:dyDescent="0.2">
      <c r="A285" s="30" t="s">
        <v>1302</v>
      </c>
      <c r="B285" s="38" t="s">
        <v>1303</v>
      </c>
      <c r="C285" s="38" t="s">
        <v>361</v>
      </c>
      <c r="D285" s="38" t="s">
        <v>1219</v>
      </c>
      <c r="E285" s="38" t="s">
        <v>180</v>
      </c>
      <c r="F285" s="38" t="s">
        <v>1304</v>
      </c>
      <c r="G285" s="80" t="s">
        <v>1266</v>
      </c>
      <c r="H285" s="80" t="s">
        <v>251</v>
      </c>
      <c r="I285" s="80" t="s">
        <v>1305</v>
      </c>
      <c r="J285" s="80">
        <v>7.5279999999999996</v>
      </c>
      <c r="K285" s="80" t="s">
        <v>127</v>
      </c>
      <c r="L285" s="38">
        <v>3.5200000000000002E-2</v>
      </c>
      <c r="M285" s="38">
        <v>2.23E-2</v>
      </c>
      <c r="N285" s="88">
        <v>254732.60857200375</v>
      </c>
      <c r="O285" s="80">
        <v>113.8558</v>
      </c>
      <c r="P285" s="104">
        <v>0</v>
      </c>
      <c r="Q285" s="104">
        <v>1005.2365258243336</v>
      </c>
      <c r="R285" s="38">
        <v>5.0946521714400749E-4</v>
      </c>
      <c r="S285" s="38">
        <v>6.2360423297977948E-3</v>
      </c>
      <c r="T285" s="38">
        <v>1.2177714401862755E-3</v>
      </c>
    </row>
    <row r="286" spans="1:20" x14ac:dyDescent="0.2">
      <c r="A286" s="30" t="s">
        <v>1306</v>
      </c>
      <c r="B286" s="38" t="s">
        <v>1307</v>
      </c>
      <c r="C286" s="38" t="s">
        <v>361</v>
      </c>
      <c r="D286" s="38" t="s">
        <v>1219</v>
      </c>
      <c r="E286" s="38" t="s">
        <v>180</v>
      </c>
      <c r="F286" s="38" t="s">
        <v>1283</v>
      </c>
      <c r="G286" s="80" t="s">
        <v>1221</v>
      </c>
      <c r="H286" s="80" t="s">
        <v>251</v>
      </c>
      <c r="I286" s="80" t="s">
        <v>1308</v>
      </c>
      <c r="J286" s="80">
        <v>7.415</v>
      </c>
      <c r="K286" s="80" t="s">
        <v>127</v>
      </c>
      <c r="L286" s="38">
        <v>4.0199999999999993E-2</v>
      </c>
      <c r="M286" s="38">
        <v>2.6579999999999999E-2</v>
      </c>
      <c r="N286" s="88">
        <v>254970.33206467511</v>
      </c>
      <c r="O286" s="80">
        <v>110.2851</v>
      </c>
      <c r="P286" s="104">
        <v>0</v>
      </c>
      <c r="Q286" s="104">
        <v>974.61939416718519</v>
      </c>
      <c r="R286" s="38">
        <v>5.6660073792150027E-4</v>
      </c>
      <c r="S286" s="38">
        <v>6.0461072009738602E-3</v>
      </c>
      <c r="T286" s="38">
        <v>1.1806809967387262E-3</v>
      </c>
    </row>
    <row r="287" spans="1:20" x14ac:dyDescent="0.2">
      <c r="A287" s="30" t="s">
        <v>1309</v>
      </c>
      <c r="B287" s="38" t="s">
        <v>1310</v>
      </c>
      <c r="C287" s="38" t="s">
        <v>361</v>
      </c>
      <c r="D287" s="38" t="s">
        <v>1219</v>
      </c>
      <c r="E287" s="38" t="s">
        <v>180</v>
      </c>
      <c r="F287" s="38" t="s">
        <v>1228</v>
      </c>
      <c r="G287" s="80" t="s">
        <v>1288</v>
      </c>
      <c r="H287" s="80" t="s">
        <v>261</v>
      </c>
      <c r="I287" s="80" t="s">
        <v>1311</v>
      </c>
      <c r="J287" s="80">
        <v>7.7530000000000001</v>
      </c>
      <c r="K287" s="80" t="s">
        <v>127</v>
      </c>
      <c r="L287" s="38">
        <v>3.61E-2</v>
      </c>
      <c r="M287" s="38">
        <v>2.6669999999999999E-2</v>
      </c>
      <c r="N287" s="88">
        <v>273964.43912911735</v>
      </c>
      <c r="O287" s="80">
        <v>107.3182</v>
      </c>
      <c r="P287" s="104">
        <v>0</v>
      </c>
      <c r="Q287" s="104">
        <v>1019.0515004442982</v>
      </c>
      <c r="R287" s="38">
        <v>2.1917155130329389E-4</v>
      </c>
      <c r="S287" s="38">
        <v>6.3217443156508594E-3</v>
      </c>
      <c r="T287" s="38">
        <v>1.234507284046799E-3</v>
      </c>
    </row>
    <row r="288" spans="1:20" x14ac:dyDescent="0.2">
      <c r="A288" s="30" t="s">
        <v>1312</v>
      </c>
      <c r="B288" s="38" t="s">
        <v>1313</v>
      </c>
      <c r="C288" s="38" t="s">
        <v>361</v>
      </c>
      <c r="D288" s="38" t="s">
        <v>1219</v>
      </c>
      <c r="E288" s="38" t="s">
        <v>180</v>
      </c>
      <c r="F288" s="38" t="s">
        <v>1314</v>
      </c>
      <c r="G288" s="80" t="s">
        <v>1241</v>
      </c>
      <c r="H288" s="80" t="s">
        <v>251</v>
      </c>
      <c r="I288" s="80" t="s">
        <v>1315</v>
      </c>
      <c r="J288" s="80">
        <v>5.9409999999999998</v>
      </c>
      <c r="K288" s="80" t="s">
        <v>127</v>
      </c>
      <c r="L288" s="38">
        <v>3.9599999999999996E-2</v>
      </c>
      <c r="M288" s="38">
        <v>4.4199999999999996E-2</v>
      </c>
      <c r="N288" s="88">
        <v>63234.449050583731</v>
      </c>
      <c r="O288" s="80">
        <v>104.0853</v>
      </c>
      <c r="P288" s="104">
        <v>0</v>
      </c>
      <c r="Q288" s="104">
        <v>228.1243768365907</v>
      </c>
      <c r="R288" s="38">
        <v>2.0732606246093027E-5</v>
      </c>
      <c r="S288" s="38">
        <v>1.4151826300234571E-3</v>
      </c>
      <c r="T288" s="38">
        <v>2.7635620452020682E-4</v>
      </c>
    </row>
    <row r="289" spans="1:20" x14ac:dyDescent="0.2">
      <c r="A289" s="30" t="s">
        <v>1316</v>
      </c>
      <c r="B289" s="38" t="s">
        <v>1317</v>
      </c>
      <c r="C289" s="38" t="s">
        <v>361</v>
      </c>
      <c r="D289" s="38" t="s">
        <v>1219</v>
      </c>
      <c r="E289" s="38" t="s">
        <v>180</v>
      </c>
      <c r="F289" s="38" t="s">
        <v>1318</v>
      </c>
      <c r="G289" s="80" t="s">
        <v>383</v>
      </c>
      <c r="H289" s="80" t="s">
        <v>261</v>
      </c>
      <c r="I289" s="80" t="s">
        <v>1319</v>
      </c>
      <c r="J289" s="80">
        <v>7.4539999999999997</v>
      </c>
      <c r="K289" s="80" t="s">
        <v>127</v>
      </c>
      <c r="L289" s="38">
        <v>3.6499999999999998E-2</v>
      </c>
      <c r="M289" s="38">
        <v>2.7109999999999999E-2</v>
      </c>
      <c r="N289" s="88">
        <v>190891.96461510801</v>
      </c>
      <c r="O289" s="80">
        <v>109.1108</v>
      </c>
      <c r="P289" s="104">
        <v>0</v>
      </c>
      <c r="Q289" s="104">
        <v>721.91147646340175</v>
      </c>
      <c r="R289" s="38">
        <v>3.8178392923021601E-4</v>
      </c>
      <c r="S289" s="38">
        <v>4.4784191679673466E-3</v>
      </c>
      <c r="T289" s="38">
        <v>8.7454360819103907E-4</v>
      </c>
    </row>
    <row r="290" spans="1:20" x14ac:dyDescent="0.2">
      <c r="A290" s="30" t="s">
        <v>1320</v>
      </c>
      <c r="B290" s="38" t="s">
        <v>1321</v>
      </c>
      <c r="C290" s="38" t="s">
        <v>361</v>
      </c>
      <c r="D290" s="38" t="s">
        <v>1219</v>
      </c>
      <c r="E290" s="38" t="s">
        <v>180</v>
      </c>
      <c r="F290" s="38" t="s">
        <v>1228</v>
      </c>
      <c r="G290" s="80" t="s">
        <v>1322</v>
      </c>
      <c r="H290" s="80" t="s">
        <v>261</v>
      </c>
      <c r="I290" s="80" t="s">
        <v>1323</v>
      </c>
      <c r="J290" s="80">
        <v>3.952</v>
      </c>
      <c r="K290" s="80" t="s">
        <v>127</v>
      </c>
      <c r="L290" s="38">
        <v>3.7499999999999999E-2</v>
      </c>
      <c r="M290" s="38">
        <v>2.6389999999999997E-2</v>
      </c>
      <c r="N290" s="88">
        <v>255564.64079635352</v>
      </c>
      <c r="O290" s="80">
        <v>104.02979999999999</v>
      </c>
      <c r="P290" s="104">
        <v>0</v>
      </c>
      <c r="Q290" s="104">
        <v>921.48249128171597</v>
      </c>
      <c r="R290" s="38">
        <v>3.4075285439513802E-4</v>
      </c>
      <c r="S290" s="38">
        <v>5.7164693822561114E-3</v>
      </c>
      <c r="T290" s="38">
        <v>1.1163094771097389E-3</v>
      </c>
    </row>
    <row r="291" spans="1:20" x14ac:dyDescent="0.2">
      <c r="A291" s="30" t="s">
        <v>1324</v>
      </c>
      <c r="B291" s="38" t="s">
        <v>1325</v>
      </c>
      <c r="C291" s="38" t="s">
        <v>361</v>
      </c>
      <c r="D291" s="38" t="s">
        <v>1219</v>
      </c>
      <c r="E291" s="38" t="s">
        <v>180</v>
      </c>
      <c r="F291" s="38" t="s">
        <v>1240</v>
      </c>
      <c r="G291" s="80" t="s">
        <v>1221</v>
      </c>
      <c r="H291" s="80" t="s">
        <v>251</v>
      </c>
      <c r="I291" s="80" t="s">
        <v>1326</v>
      </c>
      <c r="J291" s="80">
        <v>7.6319999999999997</v>
      </c>
      <c r="K291" s="80" t="s">
        <v>127</v>
      </c>
      <c r="L291" s="38">
        <v>3.9E-2</v>
      </c>
      <c r="M291" s="38">
        <v>3.424E-2</v>
      </c>
      <c r="N291" s="88">
        <v>255564.64079635352</v>
      </c>
      <c r="O291" s="80">
        <v>104.57019999999999</v>
      </c>
      <c r="P291" s="104">
        <v>0</v>
      </c>
      <c r="Q291" s="104">
        <v>926.26928451730362</v>
      </c>
      <c r="R291" s="38">
        <v>2.8396071199594835E-4</v>
      </c>
      <c r="S291" s="38">
        <v>5.7461645280991614E-3</v>
      </c>
      <c r="T291" s="38">
        <v>1.1221083313521225E-3</v>
      </c>
    </row>
    <row r="292" spans="1:20" x14ac:dyDescent="0.2">
      <c r="A292" s="30" t="s">
        <v>1327</v>
      </c>
      <c r="B292" s="38" t="s">
        <v>1328</v>
      </c>
      <c r="C292" s="38" t="s">
        <v>361</v>
      </c>
      <c r="D292" s="38" t="s">
        <v>1219</v>
      </c>
      <c r="E292" s="38" t="s">
        <v>180</v>
      </c>
      <c r="F292" s="38" t="s">
        <v>1279</v>
      </c>
      <c r="G292" s="80" t="s">
        <v>1221</v>
      </c>
      <c r="H292" s="80" t="s">
        <v>251</v>
      </c>
      <c r="I292" s="80" t="s">
        <v>1329</v>
      </c>
      <c r="J292" s="80">
        <v>6.1920000000000002</v>
      </c>
      <c r="K292" s="80" t="s">
        <v>127</v>
      </c>
      <c r="L292" s="38">
        <v>4.1799999999999997E-2</v>
      </c>
      <c r="M292" s="38">
        <v>4.231E-2</v>
      </c>
      <c r="N292" s="88">
        <v>223460.08311108535</v>
      </c>
      <c r="O292" s="80">
        <v>100.81040000000002</v>
      </c>
      <c r="P292" s="104">
        <v>0</v>
      </c>
      <c r="Q292" s="104">
        <v>780.78929852488886</v>
      </c>
      <c r="R292" s="38">
        <v>3.724334718518089E-4</v>
      </c>
      <c r="S292" s="38">
        <v>4.8436711074157724E-3</v>
      </c>
      <c r="T292" s="38">
        <v>9.4586983672024204E-4</v>
      </c>
    </row>
    <row r="293" spans="1:20" x14ac:dyDescent="0.2">
      <c r="A293" s="30" t="s">
        <v>1330</v>
      </c>
      <c r="B293" s="38" t="s">
        <v>1331</v>
      </c>
      <c r="C293" s="38" t="s">
        <v>361</v>
      </c>
      <c r="D293" s="38" t="s">
        <v>1219</v>
      </c>
      <c r="E293" s="38" t="s">
        <v>180</v>
      </c>
      <c r="F293" s="38" t="s">
        <v>1332</v>
      </c>
      <c r="G293" s="80" t="s">
        <v>1333</v>
      </c>
      <c r="H293" s="80" t="s">
        <v>251</v>
      </c>
      <c r="I293" s="80" t="s">
        <v>1334</v>
      </c>
      <c r="J293" s="80">
        <v>5.6280000000000001</v>
      </c>
      <c r="K293" s="80" t="s">
        <v>127</v>
      </c>
      <c r="L293" s="38">
        <v>0.04</v>
      </c>
      <c r="M293" s="38">
        <v>4.5789999999999997E-2</v>
      </c>
      <c r="N293" s="88">
        <v>274570.63403542934</v>
      </c>
      <c r="O293" s="80">
        <v>98.724999999999994</v>
      </c>
      <c r="P293" s="104">
        <v>0</v>
      </c>
      <c r="Q293" s="104">
        <v>939.52812939282148</v>
      </c>
      <c r="R293" s="38">
        <v>2.1965650722834346E-4</v>
      </c>
      <c r="S293" s="38">
        <v>5.8284165312485186E-3</v>
      </c>
      <c r="T293" s="38">
        <v>1.1381704641979474E-3</v>
      </c>
    </row>
    <row r="294" spans="1:20" x14ac:dyDescent="0.2">
      <c r="A294" s="30" t="s">
        <v>1335</v>
      </c>
      <c r="B294" s="38" t="s">
        <v>1336</v>
      </c>
      <c r="C294" s="38" t="s">
        <v>361</v>
      </c>
      <c r="D294" s="38" t="s">
        <v>1219</v>
      </c>
      <c r="E294" s="38" t="s">
        <v>180</v>
      </c>
      <c r="F294" s="38" t="s">
        <v>1292</v>
      </c>
      <c r="G294" s="80" t="s">
        <v>1337</v>
      </c>
      <c r="H294" s="80" t="s">
        <v>251</v>
      </c>
      <c r="I294" s="80" t="s">
        <v>345</v>
      </c>
      <c r="J294" s="80">
        <v>7.8029999999999999</v>
      </c>
      <c r="K294" s="80" t="s">
        <v>127</v>
      </c>
      <c r="L294" s="38">
        <v>4.6300000000000001E-2</v>
      </c>
      <c r="M294" s="38">
        <v>2.6000000000000002E-2</v>
      </c>
      <c r="N294" s="88">
        <v>255659.73019342206</v>
      </c>
      <c r="O294" s="80">
        <v>118.8583</v>
      </c>
      <c r="P294" s="104">
        <v>0</v>
      </c>
      <c r="Q294" s="104">
        <v>1053.2231562539209</v>
      </c>
      <c r="R294" s="38">
        <v>1.7043982012894803E-4</v>
      </c>
      <c r="S294" s="38">
        <v>6.5337301385230851E-3</v>
      </c>
      <c r="T294" s="38">
        <v>1.2759037767525426E-3</v>
      </c>
    </row>
    <row r="295" spans="1:20" x14ac:dyDescent="0.2">
      <c r="A295" s="30" t="s">
        <v>1338</v>
      </c>
      <c r="B295" s="38" t="s">
        <v>1339</v>
      </c>
      <c r="C295" s="38" t="s">
        <v>361</v>
      </c>
      <c r="D295" s="38" t="s">
        <v>1219</v>
      </c>
      <c r="E295" s="38" t="s">
        <v>180</v>
      </c>
      <c r="F295" s="38" t="s">
        <v>1332</v>
      </c>
      <c r="G295" s="80" t="s">
        <v>383</v>
      </c>
      <c r="H295" s="80" t="s">
        <v>261</v>
      </c>
      <c r="I295" s="80" t="s">
        <v>791</v>
      </c>
      <c r="J295" s="80">
        <v>8.2260000000000009</v>
      </c>
      <c r="K295" s="80" t="s">
        <v>127</v>
      </c>
      <c r="L295" s="38">
        <v>3.3799999999999997E-2</v>
      </c>
      <c r="M295" s="38">
        <v>3.4689999999999999E-2</v>
      </c>
      <c r="N295" s="88">
        <v>255624.07166952136</v>
      </c>
      <c r="O295" s="80">
        <v>99.131100000000004</v>
      </c>
      <c r="P295" s="104">
        <v>0</v>
      </c>
      <c r="Q295" s="104">
        <v>878.29463891759929</v>
      </c>
      <c r="R295" s="38">
        <v>4.2604011944920225E-4</v>
      </c>
      <c r="S295" s="38">
        <v>5.4485510679520878E-3</v>
      </c>
      <c r="T295" s="38">
        <v>1.0639905135415633E-3</v>
      </c>
    </row>
    <row r="296" spans="1:20" x14ac:dyDescent="0.2">
      <c r="A296" s="30" t="s">
        <v>1340</v>
      </c>
      <c r="B296" s="38" t="s">
        <v>1341</v>
      </c>
      <c r="C296" s="38" t="s">
        <v>361</v>
      </c>
      <c r="D296" s="38" t="s">
        <v>1219</v>
      </c>
      <c r="E296" s="38" t="s">
        <v>180</v>
      </c>
      <c r="F296" s="38" t="s">
        <v>1236</v>
      </c>
      <c r="G296" s="80" t="s">
        <v>1229</v>
      </c>
      <c r="H296" s="80" t="s">
        <v>261</v>
      </c>
      <c r="I296" s="80" t="s">
        <v>1342</v>
      </c>
      <c r="J296" s="80">
        <v>6.53</v>
      </c>
      <c r="K296" s="80" t="s">
        <v>127</v>
      </c>
      <c r="L296" s="38">
        <v>5.7000000000000002E-2</v>
      </c>
      <c r="M296" s="38">
        <v>4.0119999999999996E-2</v>
      </c>
      <c r="N296" s="88">
        <v>243096.0436057403</v>
      </c>
      <c r="O296" s="80">
        <v>113.63350000000001</v>
      </c>
      <c r="P296" s="104">
        <v>0</v>
      </c>
      <c r="Q296" s="104">
        <v>957.44278899116978</v>
      </c>
      <c r="R296" s="38">
        <v>2.4309604360574029E-4</v>
      </c>
      <c r="S296" s="38">
        <v>5.9395511475395513E-3</v>
      </c>
      <c r="T296" s="38">
        <v>1.1598727802788692E-3</v>
      </c>
    </row>
    <row r="297" spans="1:20" x14ac:dyDescent="0.2">
      <c r="A297" s="30" t="s">
        <v>1343</v>
      </c>
      <c r="B297" s="38" t="s">
        <v>1344</v>
      </c>
      <c r="C297" s="38" t="s">
        <v>361</v>
      </c>
      <c r="D297" s="38" t="s">
        <v>1219</v>
      </c>
      <c r="E297" s="38" t="s">
        <v>180</v>
      </c>
      <c r="F297" s="38" t="s">
        <v>1318</v>
      </c>
      <c r="G297" s="80" t="s">
        <v>1250</v>
      </c>
      <c r="H297" s="80" t="s">
        <v>251</v>
      </c>
      <c r="I297" s="80" t="s">
        <v>1345</v>
      </c>
      <c r="J297" s="80">
        <v>3.9990000000000001</v>
      </c>
      <c r="K297" s="80" t="s">
        <v>127</v>
      </c>
      <c r="L297" s="38">
        <v>4.8600000000000004E-2</v>
      </c>
      <c r="M297" s="38">
        <v>3.9E-2</v>
      </c>
      <c r="N297" s="88">
        <v>287930.69432356022</v>
      </c>
      <c r="O297" s="80">
        <v>105.91379999999999</v>
      </c>
      <c r="P297" s="104">
        <v>0</v>
      </c>
      <c r="Q297" s="104">
        <v>1056.9856053781218</v>
      </c>
      <c r="R297" s="38">
        <v>8.2265912663874352E-5</v>
      </c>
      <c r="S297" s="38">
        <v>6.5570707070355429E-3</v>
      </c>
      <c r="T297" s="38">
        <v>1.2804617120950217E-3</v>
      </c>
    </row>
    <row r="298" spans="1:20" x14ac:dyDescent="0.2">
      <c r="A298" s="30" t="s">
        <v>1346</v>
      </c>
      <c r="B298" s="38" t="s">
        <v>1347</v>
      </c>
      <c r="C298" s="38" t="s">
        <v>361</v>
      </c>
      <c r="D298" s="38" t="s">
        <v>1219</v>
      </c>
      <c r="E298" s="38" t="s">
        <v>180</v>
      </c>
      <c r="F298" s="38" t="s">
        <v>1304</v>
      </c>
      <c r="G298" s="80" t="s">
        <v>1221</v>
      </c>
      <c r="H298" s="80" t="s">
        <v>251</v>
      </c>
      <c r="I298" s="80" t="s">
        <v>1345</v>
      </c>
      <c r="J298" s="80">
        <v>4.9470000000000001</v>
      </c>
      <c r="K298" s="80" t="s">
        <v>127</v>
      </c>
      <c r="L298" s="38">
        <v>3.7499999999999999E-2</v>
      </c>
      <c r="M298" s="38">
        <v>2.334E-2</v>
      </c>
      <c r="N298" s="88">
        <v>159999.79674246383</v>
      </c>
      <c r="O298" s="80">
        <v>107.18349999999998</v>
      </c>
      <c r="P298" s="104">
        <v>0</v>
      </c>
      <c r="Q298" s="104">
        <v>594.39606249385679</v>
      </c>
      <c r="R298" s="38">
        <v>3.7647010998226782E-4</v>
      </c>
      <c r="S298" s="38">
        <v>3.6873699981576011E-3</v>
      </c>
      <c r="T298" s="38">
        <v>7.2006789493708387E-4</v>
      </c>
    </row>
    <row r="299" spans="1:20" x14ac:dyDescent="0.2">
      <c r="A299" s="30" t="s">
        <v>1348</v>
      </c>
      <c r="B299" s="38" t="s">
        <v>1349</v>
      </c>
      <c r="C299" s="38" t="s">
        <v>361</v>
      </c>
      <c r="D299" s="38" t="s">
        <v>1219</v>
      </c>
      <c r="E299" s="38" t="s">
        <v>180</v>
      </c>
      <c r="F299" s="38" t="s">
        <v>1283</v>
      </c>
      <c r="G299" s="80" t="s">
        <v>1221</v>
      </c>
      <c r="H299" s="80" t="s">
        <v>251</v>
      </c>
      <c r="I299" s="80" t="s">
        <v>348</v>
      </c>
      <c r="J299" s="80">
        <v>8.14</v>
      </c>
      <c r="K299" s="80" t="s">
        <v>127</v>
      </c>
      <c r="L299" s="38">
        <v>2.7200000000000002E-2</v>
      </c>
      <c r="M299" s="38">
        <v>2.665E-2</v>
      </c>
      <c r="N299" s="88">
        <v>121476.70475506874</v>
      </c>
      <c r="O299" s="80">
        <v>101.1614</v>
      </c>
      <c r="P299" s="104">
        <v>0</v>
      </c>
      <c r="Q299" s="104">
        <v>425.9281969308588</v>
      </c>
      <c r="R299" s="38">
        <v>6.0738352377534372E-5</v>
      </c>
      <c r="S299" s="38">
        <v>2.6422699506836712E-3</v>
      </c>
      <c r="T299" s="38">
        <v>5.1598124467979801E-4</v>
      </c>
    </row>
    <row r="300" spans="1:20" x14ac:dyDescent="0.2">
      <c r="A300" s="30" t="s">
        <v>1350</v>
      </c>
      <c r="B300" s="38" t="s">
        <v>1351</v>
      </c>
      <c r="C300" s="38" t="s">
        <v>361</v>
      </c>
      <c r="D300" s="38" t="s">
        <v>1219</v>
      </c>
      <c r="E300" s="38" t="s">
        <v>180</v>
      </c>
      <c r="F300" s="38" t="s">
        <v>1228</v>
      </c>
      <c r="G300" s="80" t="s">
        <v>1229</v>
      </c>
      <c r="H300" s="80" t="s">
        <v>261</v>
      </c>
      <c r="I300" s="80" t="s">
        <v>1352</v>
      </c>
      <c r="J300" s="80">
        <v>8.3059999999999992</v>
      </c>
      <c r="K300" s="80" t="s">
        <v>127</v>
      </c>
      <c r="L300" s="38">
        <v>3.6200000000000003E-2</v>
      </c>
      <c r="M300" s="38">
        <v>3.0299999999999997E-2</v>
      </c>
      <c r="N300" s="88">
        <v>237485.76917869603</v>
      </c>
      <c r="O300" s="80">
        <v>105.21120000000002</v>
      </c>
      <c r="P300" s="104">
        <v>0</v>
      </c>
      <c r="Q300" s="104">
        <v>866.02040112646546</v>
      </c>
      <c r="R300" s="38">
        <v>3.1664769223826137E-4</v>
      </c>
      <c r="S300" s="38">
        <v>5.3724071312116805E-3</v>
      </c>
      <c r="T300" s="38">
        <v>1.0491211610577382E-3</v>
      </c>
    </row>
    <row r="301" spans="1:20" x14ac:dyDescent="0.2">
      <c r="A301" s="30" t="s">
        <v>1353</v>
      </c>
      <c r="B301" s="38" t="s">
        <v>1354</v>
      </c>
      <c r="C301" s="38" t="s">
        <v>361</v>
      </c>
      <c r="D301" s="38" t="s">
        <v>1219</v>
      </c>
      <c r="E301" s="38" t="s">
        <v>180</v>
      </c>
      <c r="F301" s="38" t="s">
        <v>1332</v>
      </c>
      <c r="G301" s="80" t="s">
        <v>1333</v>
      </c>
      <c r="H301" s="80" t="s">
        <v>251</v>
      </c>
      <c r="I301" s="80" t="s">
        <v>1355</v>
      </c>
      <c r="J301" s="80">
        <v>0.51900000000000002</v>
      </c>
      <c r="K301" s="80" t="s">
        <v>2</v>
      </c>
      <c r="L301" s="38">
        <v>4.8799999999999996E-2</v>
      </c>
      <c r="M301" s="38">
        <v>4.0679999999999994E-2</v>
      </c>
      <c r="N301" s="88">
        <v>187135.93343090042</v>
      </c>
      <c r="O301" s="80">
        <v>106.77499999999999</v>
      </c>
      <c r="P301" s="104">
        <v>0</v>
      </c>
      <c r="Q301" s="104">
        <v>850.0304088104549</v>
      </c>
      <c r="R301" s="38">
        <v>3.5644939701123888E-4</v>
      </c>
      <c r="S301" s="38">
        <v>5.2732122985786204E-3</v>
      </c>
      <c r="T301" s="38">
        <v>1.0297504403656427E-3</v>
      </c>
    </row>
    <row r="302" spans="1:20" x14ac:dyDescent="0.2">
      <c r="A302" s="30" t="s">
        <v>1356</v>
      </c>
      <c r="B302" s="38" t="s">
        <v>1357</v>
      </c>
      <c r="C302" s="38" t="s">
        <v>361</v>
      </c>
      <c r="D302" s="38" t="s">
        <v>1219</v>
      </c>
      <c r="E302" s="38" t="s">
        <v>180</v>
      </c>
      <c r="F302" s="38" t="s">
        <v>1249</v>
      </c>
      <c r="G302" s="80" t="s">
        <v>1322</v>
      </c>
      <c r="H302" s="80" t="s">
        <v>261</v>
      </c>
      <c r="I302" s="80" t="s">
        <v>1358</v>
      </c>
      <c r="J302" s="80">
        <v>4.6959999999999997</v>
      </c>
      <c r="K302" s="80" t="s">
        <v>128</v>
      </c>
      <c r="L302" s="38">
        <v>3.5000000000000003E-2</v>
      </c>
      <c r="M302" s="38">
        <v>5.067E-2</v>
      </c>
      <c r="N302" s="88">
        <v>166406.44486995717</v>
      </c>
      <c r="O302" s="80">
        <v>93.370900000000006</v>
      </c>
      <c r="P302" s="104">
        <v>0</v>
      </c>
      <c r="Q302" s="104">
        <v>603.29080801773284</v>
      </c>
      <c r="R302" s="38">
        <v>5.5468814956652389E-4</v>
      </c>
      <c r="S302" s="38">
        <v>3.7425490611688503E-3</v>
      </c>
      <c r="T302" s="38">
        <v>7.3084323664864622E-4</v>
      </c>
    </row>
    <row r="303" spans="1:20" x14ac:dyDescent="0.2">
      <c r="A303" s="30" t="s">
        <v>1359</v>
      </c>
      <c r="B303" s="38" t="s">
        <v>1360</v>
      </c>
      <c r="C303" s="38" t="s">
        <v>361</v>
      </c>
      <c r="D303" s="38" t="s">
        <v>1219</v>
      </c>
      <c r="E303" s="38" t="s">
        <v>180</v>
      </c>
      <c r="F303" s="38" t="s">
        <v>1236</v>
      </c>
      <c r="G303" s="80" t="s">
        <v>383</v>
      </c>
      <c r="H303" s="80" t="s">
        <v>261</v>
      </c>
      <c r="I303" s="80" t="s">
        <v>1361</v>
      </c>
      <c r="J303" s="80">
        <v>4.3129999999999997</v>
      </c>
      <c r="K303" s="80" t="s">
        <v>127</v>
      </c>
      <c r="L303" s="38">
        <v>5.7500000000000002E-2</v>
      </c>
      <c r="M303" s="38">
        <v>3.7519999999999998E-2</v>
      </c>
      <c r="N303" s="88">
        <v>279289.44536495599</v>
      </c>
      <c r="O303" s="80">
        <v>114.06610000000002</v>
      </c>
      <c r="P303" s="104">
        <v>0</v>
      </c>
      <c r="Q303" s="104">
        <v>1104.179487390523</v>
      </c>
      <c r="R303" s="38">
        <v>3.9898492194993714E-4</v>
      </c>
      <c r="S303" s="38">
        <v>6.8498406555762368E-3</v>
      </c>
      <c r="T303" s="38">
        <v>1.3376336912161487E-3</v>
      </c>
    </row>
    <row r="304" spans="1:20" x14ac:dyDescent="0.2">
      <c r="A304" s="30" t="s">
        <v>1362</v>
      </c>
      <c r="B304" s="38" t="s">
        <v>1363</v>
      </c>
      <c r="C304" s="38" t="s">
        <v>361</v>
      </c>
      <c r="D304" s="38" t="s">
        <v>1219</v>
      </c>
      <c r="E304" s="38" t="s">
        <v>180</v>
      </c>
      <c r="F304" s="38" t="s">
        <v>1220</v>
      </c>
      <c r="G304" s="80" t="s">
        <v>1221</v>
      </c>
      <c r="H304" s="80" t="s">
        <v>251</v>
      </c>
      <c r="I304" s="80" t="s">
        <v>1364</v>
      </c>
      <c r="J304" s="80">
        <v>4.17</v>
      </c>
      <c r="K304" s="80" t="s">
        <v>127</v>
      </c>
      <c r="L304" s="38">
        <v>5.6299999999999996E-2</v>
      </c>
      <c r="M304" s="38">
        <v>5.9699999999999996E-2</v>
      </c>
      <c r="N304" s="88">
        <v>312154.71822677256</v>
      </c>
      <c r="O304" s="80">
        <v>99.181700000000006</v>
      </c>
      <c r="P304" s="104">
        <v>0</v>
      </c>
      <c r="Q304" s="104">
        <v>1073.0748344152539</v>
      </c>
      <c r="R304" s="38">
        <v>4.1620629096903009E-4</v>
      </c>
      <c r="S304" s="38">
        <v>6.656881160348598E-3</v>
      </c>
      <c r="T304" s="38">
        <v>1.2999526509066294E-3</v>
      </c>
    </row>
    <row r="305" spans="1:20" x14ac:dyDescent="0.2">
      <c r="A305" s="30" t="s">
        <v>1365</v>
      </c>
      <c r="B305" s="38" t="s">
        <v>1366</v>
      </c>
      <c r="C305" s="38" t="s">
        <v>361</v>
      </c>
      <c r="D305" s="38" t="s">
        <v>1219</v>
      </c>
      <c r="E305" s="38" t="s">
        <v>180</v>
      </c>
      <c r="F305" s="38" t="s">
        <v>1367</v>
      </c>
      <c r="G305" s="80" t="s">
        <v>1221</v>
      </c>
      <c r="H305" s="80" t="s">
        <v>251</v>
      </c>
      <c r="I305" s="80" t="s">
        <v>1368</v>
      </c>
      <c r="J305" s="80">
        <v>2.0419999999999998</v>
      </c>
      <c r="K305" s="80" t="s">
        <v>127</v>
      </c>
      <c r="L305" s="38">
        <v>4.7500000000000001E-2</v>
      </c>
      <c r="M305" s="38">
        <v>2.9950000000000001E-2</v>
      </c>
      <c r="N305" s="88">
        <v>243761.66938522013</v>
      </c>
      <c r="O305" s="80">
        <v>102.7924</v>
      </c>
      <c r="P305" s="104">
        <v>0</v>
      </c>
      <c r="Q305" s="104">
        <v>868.47031775269022</v>
      </c>
      <c r="R305" s="38">
        <v>2.7084629931691125E-4</v>
      </c>
      <c r="S305" s="38">
        <v>5.3876053292408301E-3</v>
      </c>
      <c r="T305" s="38">
        <v>1.0520890580865568E-3</v>
      </c>
    </row>
    <row r="306" spans="1:20" x14ac:dyDescent="0.2">
      <c r="A306" s="30" t="s">
        <v>1369</v>
      </c>
      <c r="B306" s="38" t="s">
        <v>1370</v>
      </c>
      <c r="C306" s="38" t="s">
        <v>361</v>
      </c>
      <c r="D306" s="38" t="s">
        <v>1219</v>
      </c>
      <c r="E306" s="38" t="s">
        <v>180</v>
      </c>
      <c r="F306" s="38" t="s">
        <v>1220</v>
      </c>
      <c r="G306" s="80" t="s">
        <v>1250</v>
      </c>
      <c r="H306" s="80" t="s">
        <v>251</v>
      </c>
      <c r="I306" s="80" t="s">
        <v>1371</v>
      </c>
      <c r="J306" s="80">
        <v>5.56</v>
      </c>
      <c r="K306" s="80" t="s">
        <v>127</v>
      </c>
      <c r="L306" s="38">
        <v>5.5E-2</v>
      </c>
      <c r="M306" s="38">
        <v>6.3200000000000006E-2</v>
      </c>
      <c r="N306" s="88">
        <v>308422.45939183206</v>
      </c>
      <c r="O306" s="80">
        <v>98.120500000000007</v>
      </c>
      <c r="P306" s="104">
        <v>0</v>
      </c>
      <c r="Q306" s="104">
        <v>1048.9005350161422</v>
      </c>
      <c r="R306" s="38">
        <v>3.0842245939183207E-4</v>
      </c>
      <c r="S306" s="38">
        <v>6.5069145102386204E-3</v>
      </c>
      <c r="T306" s="38">
        <v>1.2706672333571531E-3</v>
      </c>
    </row>
    <row r="307" spans="1:20" x14ac:dyDescent="0.2">
      <c r="A307" s="30" t="s">
        <v>1372</v>
      </c>
      <c r="B307" s="38" t="s">
        <v>1373</v>
      </c>
      <c r="C307" s="38" t="s">
        <v>361</v>
      </c>
      <c r="D307" s="38" t="s">
        <v>1219</v>
      </c>
      <c r="E307" s="38" t="s">
        <v>180</v>
      </c>
      <c r="F307" s="38" t="s">
        <v>1245</v>
      </c>
      <c r="G307" s="80" t="s">
        <v>1250</v>
      </c>
      <c r="H307" s="80" t="s">
        <v>251</v>
      </c>
      <c r="I307" s="80" t="s">
        <v>1374</v>
      </c>
      <c r="J307" s="80">
        <v>2.4790000000000001</v>
      </c>
      <c r="K307" s="80" t="s">
        <v>127</v>
      </c>
      <c r="L307" s="38">
        <v>5.9500000000000004E-2</v>
      </c>
      <c r="M307" s="38">
        <v>3.6979999999999999E-2</v>
      </c>
      <c r="N307" s="88">
        <v>261888.08570141191</v>
      </c>
      <c r="O307" s="80">
        <v>105.93219999999999</v>
      </c>
      <c r="P307" s="104">
        <v>0</v>
      </c>
      <c r="Q307" s="104">
        <v>961.55092789240007</v>
      </c>
      <c r="R307" s="38">
        <v>5.2377617140282379E-4</v>
      </c>
      <c r="S307" s="38">
        <v>5.9650362223718188E-3</v>
      </c>
      <c r="T307" s="38">
        <v>1.1648494938161474E-3</v>
      </c>
    </row>
    <row r="308" spans="1:20" x14ac:dyDescent="0.2">
      <c r="A308" s="30" t="s">
        <v>1375</v>
      </c>
      <c r="B308" s="38" t="s">
        <v>1376</v>
      </c>
      <c r="C308" s="38" t="s">
        <v>361</v>
      </c>
      <c r="D308" s="38" t="s">
        <v>1219</v>
      </c>
      <c r="E308" s="38" t="s">
        <v>180</v>
      </c>
      <c r="F308" s="38" t="s">
        <v>1377</v>
      </c>
      <c r="G308" s="80" t="s">
        <v>383</v>
      </c>
      <c r="H308" s="80" t="s">
        <v>261</v>
      </c>
      <c r="I308" s="80" t="s">
        <v>1378</v>
      </c>
      <c r="J308" s="80">
        <v>5.681</v>
      </c>
      <c r="K308" s="80" t="s">
        <v>127</v>
      </c>
      <c r="L308" s="38">
        <v>5.2499999999999998E-2</v>
      </c>
      <c r="M308" s="38">
        <v>6.3E-2</v>
      </c>
      <c r="N308" s="88">
        <v>280775.21719415206</v>
      </c>
      <c r="O308" s="80">
        <v>95.8797</v>
      </c>
      <c r="P308" s="104">
        <v>0</v>
      </c>
      <c r="Q308" s="104">
        <v>933.06950682723141</v>
      </c>
      <c r="R308" s="38">
        <v>2.8077521719415208E-4</v>
      </c>
      <c r="S308" s="38">
        <v>5.7883500964577821E-3</v>
      </c>
      <c r="T308" s="38">
        <v>1.1303463094828484E-3</v>
      </c>
    </row>
    <row r="309" spans="1:20" x14ac:dyDescent="0.2">
      <c r="A309" s="30" t="s">
        <v>1379</v>
      </c>
      <c r="B309" s="38" t="s">
        <v>1380</v>
      </c>
      <c r="C309" s="38" t="s">
        <v>361</v>
      </c>
      <c r="D309" s="38" t="s">
        <v>1219</v>
      </c>
      <c r="E309" s="38" t="s">
        <v>180</v>
      </c>
      <c r="F309" s="38" t="s">
        <v>1367</v>
      </c>
      <c r="G309" s="80" t="s">
        <v>1284</v>
      </c>
      <c r="H309" s="80" t="s">
        <v>251</v>
      </c>
      <c r="I309" s="80" t="s">
        <v>1381</v>
      </c>
      <c r="J309" s="80">
        <v>3.4550000000000001</v>
      </c>
      <c r="K309" s="80" t="s">
        <v>127</v>
      </c>
      <c r="L309" s="38">
        <v>7.1300000000000002E-2</v>
      </c>
      <c r="M309" s="38">
        <v>5.1900000000000002E-2</v>
      </c>
      <c r="N309" s="88">
        <v>224672.47292370934</v>
      </c>
      <c r="O309" s="80">
        <v>103.51900000000001</v>
      </c>
      <c r="P309" s="104">
        <v>27.741714349999999</v>
      </c>
      <c r="Q309" s="104">
        <v>833.85947896336131</v>
      </c>
      <c r="R309" s="38">
        <v>4.0849540531583519E-4</v>
      </c>
      <c r="S309" s="38">
        <v>5.1728950096142437E-3</v>
      </c>
      <c r="T309" s="38">
        <v>1.0101605269242286E-3</v>
      </c>
    </row>
    <row r="310" spans="1:20" x14ac:dyDescent="0.2">
      <c r="A310" s="30" t="s">
        <v>1382</v>
      </c>
      <c r="B310" s="38" t="s">
        <v>1383</v>
      </c>
      <c r="C310" s="38" t="s">
        <v>361</v>
      </c>
      <c r="D310" s="38" t="s">
        <v>1219</v>
      </c>
      <c r="E310" s="38" t="s">
        <v>180</v>
      </c>
      <c r="F310" s="38" t="s">
        <v>1283</v>
      </c>
      <c r="G310" s="80" t="s">
        <v>1266</v>
      </c>
      <c r="H310" s="80" t="s">
        <v>251</v>
      </c>
      <c r="I310" s="80" t="s">
        <v>1384</v>
      </c>
      <c r="J310" s="80">
        <v>4.1760000000000002</v>
      </c>
      <c r="K310" s="80" t="s">
        <v>127</v>
      </c>
      <c r="L310" s="38">
        <v>0.04</v>
      </c>
      <c r="M310" s="38">
        <v>3.1370000000000002E-2</v>
      </c>
      <c r="N310" s="88">
        <v>274487.43081299437</v>
      </c>
      <c r="O310" s="80">
        <v>101.65819999999999</v>
      </c>
      <c r="P310" s="104">
        <v>0</v>
      </c>
      <c r="Q310" s="104">
        <v>967.14910944423377</v>
      </c>
      <c r="R310" s="38">
        <v>3.6598324108399251E-4</v>
      </c>
      <c r="S310" s="38">
        <v>5.9997648620802695E-3</v>
      </c>
      <c r="T310" s="38">
        <v>1.1716312863949739E-3</v>
      </c>
    </row>
    <row r="311" spans="1:20" x14ac:dyDescent="0.2">
      <c r="A311" s="30" t="s">
        <v>1385</v>
      </c>
      <c r="B311" s="38" t="s">
        <v>1386</v>
      </c>
      <c r="C311" s="38" t="s">
        <v>361</v>
      </c>
      <c r="D311" s="38" t="s">
        <v>1219</v>
      </c>
      <c r="E311" s="38" t="s">
        <v>180</v>
      </c>
      <c r="F311" s="38" t="s">
        <v>1220</v>
      </c>
      <c r="G311" s="80" t="s">
        <v>419</v>
      </c>
      <c r="H311" s="80" t="s">
        <v>180</v>
      </c>
      <c r="I311" s="80" t="s">
        <v>1387</v>
      </c>
      <c r="J311" s="80">
        <v>4.4210000000000003</v>
      </c>
      <c r="K311" s="80" t="s">
        <v>127</v>
      </c>
      <c r="L311" s="38">
        <v>4.3799999999999999E-2</v>
      </c>
      <c r="M311" s="38">
        <v>4.2470000000000001E-2</v>
      </c>
      <c r="N311" s="88">
        <v>256158.94952803195</v>
      </c>
      <c r="O311" s="80">
        <v>101.73010000000001</v>
      </c>
      <c r="P311" s="104">
        <v>0</v>
      </c>
      <c r="Q311" s="104">
        <v>903.20755852095692</v>
      </c>
      <c r="R311" s="38">
        <v>1.0246357981121278E-4</v>
      </c>
      <c r="S311" s="38">
        <v>5.6030997907792722E-3</v>
      </c>
      <c r="T311" s="38">
        <v>1.0941707161160243E-3</v>
      </c>
    </row>
    <row r="312" spans="1:20" x14ac:dyDescent="0.2">
      <c r="A312" s="30" t="s">
        <v>1388</v>
      </c>
      <c r="B312" s="38" t="s">
        <v>1389</v>
      </c>
      <c r="C312" s="38" t="s">
        <v>361</v>
      </c>
      <c r="D312" s="38" t="s">
        <v>1219</v>
      </c>
      <c r="E312" s="38" t="s">
        <v>180</v>
      </c>
      <c r="F312" s="38" t="s">
        <v>1249</v>
      </c>
      <c r="G312" s="80" t="s">
        <v>1250</v>
      </c>
      <c r="H312" s="80" t="s">
        <v>251</v>
      </c>
      <c r="I312" s="80" t="s">
        <v>1384</v>
      </c>
      <c r="J312" s="80">
        <v>5.2389999999999999</v>
      </c>
      <c r="K312" s="80" t="s">
        <v>128</v>
      </c>
      <c r="L312" s="38">
        <v>4.8799999999999996E-2</v>
      </c>
      <c r="M312" s="38">
        <v>4.7539999999999999E-2</v>
      </c>
      <c r="N312" s="88">
        <v>223555.17250815389</v>
      </c>
      <c r="O312" s="80">
        <v>101.0654</v>
      </c>
      <c r="P312" s="104">
        <v>0</v>
      </c>
      <c r="Q312" s="104">
        <v>877.26790913210209</v>
      </c>
      <c r="R312" s="38">
        <v>4.0646395001482524E-4</v>
      </c>
      <c r="S312" s="38">
        <v>5.4421816909555895E-3</v>
      </c>
      <c r="T312" s="38">
        <v>1.0627467045697975E-3</v>
      </c>
    </row>
    <row r="313" spans="1:20" x14ac:dyDescent="0.2">
      <c r="A313" s="30" t="s">
        <v>1390</v>
      </c>
      <c r="B313" s="38" t="s">
        <v>1391</v>
      </c>
      <c r="C313" s="38" t="s">
        <v>361</v>
      </c>
      <c r="D313" s="38" t="s">
        <v>1219</v>
      </c>
      <c r="E313" s="38" t="s">
        <v>180</v>
      </c>
      <c r="F313" s="38" t="s">
        <v>1236</v>
      </c>
      <c r="G313" s="80" t="s">
        <v>1288</v>
      </c>
      <c r="H313" s="80" t="s">
        <v>261</v>
      </c>
      <c r="I313" s="80" t="s">
        <v>1392</v>
      </c>
      <c r="J313" s="80">
        <v>7.5149999999999997</v>
      </c>
      <c r="K313" s="80" t="s">
        <v>2</v>
      </c>
      <c r="L313" s="38">
        <v>4.3799999999999999E-2</v>
      </c>
      <c r="M313" s="38">
        <v>3.3750000000000002E-2</v>
      </c>
      <c r="N313" s="88">
        <v>239482.64651713552</v>
      </c>
      <c r="O313" s="80">
        <v>109.0264</v>
      </c>
      <c r="P313" s="104">
        <v>0</v>
      </c>
      <c r="Q313" s="104">
        <v>1110.7425666096869</v>
      </c>
      <c r="R313" s="38">
        <v>5.9870661629283877E-4</v>
      </c>
      <c r="S313" s="38">
        <v>6.8905550931967364E-3</v>
      </c>
      <c r="T313" s="38">
        <v>1.3455843876218766E-3</v>
      </c>
    </row>
    <row r="314" spans="1:20" x14ac:dyDescent="0.2">
      <c r="A314" s="30" t="s">
        <v>1393</v>
      </c>
      <c r="B314" s="38" t="s">
        <v>1394</v>
      </c>
      <c r="C314" s="38" t="s">
        <v>361</v>
      </c>
      <c r="D314" s="38" t="s">
        <v>1219</v>
      </c>
      <c r="E314" s="38" t="s">
        <v>180</v>
      </c>
      <c r="F314" s="38" t="s">
        <v>1367</v>
      </c>
      <c r="G314" s="80" t="s">
        <v>1250</v>
      </c>
      <c r="H314" s="80" t="s">
        <v>251</v>
      </c>
      <c r="I314" s="80" t="s">
        <v>1395</v>
      </c>
      <c r="J314" s="80">
        <v>4.1230000000000002</v>
      </c>
      <c r="K314" s="80" t="s">
        <v>2</v>
      </c>
      <c r="L314" s="38">
        <v>5.2499999999999998E-2</v>
      </c>
      <c r="M314" s="38">
        <v>4.147E-2</v>
      </c>
      <c r="N314" s="88">
        <v>255956.88455926129</v>
      </c>
      <c r="O314" s="80">
        <v>100.75490000000001</v>
      </c>
      <c r="P314" s="104">
        <v>0</v>
      </c>
      <c r="Q314" s="104">
        <v>1097.0860333901087</v>
      </c>
      <c r="R314" s="38">
        <v>5.6879307679835842E-4</v>
      </c>
      <c r="S314" s="38">
        <v>6.8058360076404863E-3</v>
      </c>
      <c r="T314" s="38">
        <v>1.3290404840732865E-3</v>
      </c>
    </row>
    <row r="315" spans="1:20" x14ac:dyDescent="0.2">
      <c r="A315" s="30" t="s">
        <v>1396</v>
      </c>
      <c r="B315" s="38" t="s">
        <v>1397</v>
      </c>
      <c r="C315" s="38" t="s">
        <v>361</v>
      </c>
      <c r="D315" s="38" t="s">
        <v>1219</v>
      </c>
      <c r="E315" s="38" t="s">
        <v>180</v>
      </c>
      <c r="F315" s="38" t="s">
        <v>1228</v>
      </c>
      <c r="G315" s="80" t="s">
        <v>1250</v>
      </c>
      <c r="H315" s="80" t="s">
        <v>251</v>
      </c>
      <c r="I315" s="80" t="s">
        <v>1398</v>
      </c>
      <c r="J315" s="80">
        <v>4.1959999999999997</v>
      </c>
      <c r="K315" s="80" t="s">
        <v>127</v>
      </c>
      <c r="L315" s="38">
        <v>5.3499999999999999E-2</v>
      </c>
      <c r="M315" s="38">
        <v>4.1110000000000001E-2</v>
      </c>
      <c r="N315" s="88">
        <v>256741.37208507679</v>
      </c>
      <c r="O315" s="80">
        <v>97.8185</v>
      </c>
      <c r="P315" s="104">
        <v>0</v>
      </c>
      <c r="Q315" s="104">
        <v>870.45317760652244</v>
      </c>
      <c r="R315" s="38">
        <v>2.8526819120564087E-4</v>
      </c>
      <c r="S315" s="38">
        <v>5.3999061138471343E-3</v>
      </c>
      <c r="T315" s="38">
        <v>1.0544911495723478E-3</v>
      </c>
    </row>
    <row r="316" spans="1:20" x14ac:dyDescent="0.2">
      <c r="A316" s="30" t="s">
        <v>1399</v>
      </c>
      <c r="B316" s="38" t="s">
        <v>1400</v>
      </c>
      <c r="C316" s="38" t="s">
        <v>361</v>
      </c>
      <c r="D316" s="38" t="s">
        <v>1219</v>
      </c>
      <c r="E316" s="38" t="s">
        <v>180</v>
      </c>
      <c r="F316" s="38" t="s">
        <v>1228</v>
      </c>
      <c r="G316" s="80" t="s">
        <v>1250</v>
      </c>
      <c r="H316" s="80" t="s">
        <v>251</v>
      </c>
      <c r="I316" s="80" t="s">
        <v>785</v>
      </c>
      <c r="J316" s="80">
        <v>3.26</v>
      </c>
      <c r="K316" s="80" t="s">
        <v>127</v>
      </c>
      <c r="L316" s="38">
        <v>6.7500000000000004E-2</v>
      </c>
      <c r="M316" s="38">
        <v>4.7660000000000001E-2</v>
      </c>
      <c r="N316" s="88">
        <v>255980.65690852841</v>
      </c>
      <c r="O316" s="80">
        <v>103.88200000000001</v>
      </c>
      <c r="P316" s="104">
        <v>0</v>
      </c>
      <c r="Q316" s="104">
        <v>921.67118489833263</v>
      </c>
      <c r="R316" s="38">
        <v>2.0478452552682273E-4</v>
      </c>
      <c r="S316" s="38">
        <v>5.7176399539080108E-3</v>
      </c>
      <c r="T316" s="38">
        <v>1.1165380657964391E-3</v>
      </c>
    </row>
    <row r="317" spans="1:20" x14ac:dyDescent="0.2">
      <c r="A317" s="30" t="s">
        <v>1401</v>
      </c>
      <c r="B317" s="38" t="s">
        <v>1402</v>
      </c>
      <c r="C317" s="38" t="s">
        <v>361</v>
      </c>
      <c r="D317" s="38" t="s">
        <v>1219</v>
      </c>
      <c r="E317" s="38" t="s">
        <v>180</v>
      </c>
      <c r="F317" s="38" t="s">
        <v>1270</v>
      </c>
      <c r="G317" s="80" t="s">
        <v>1403</v>
      </c>
      <c r="H317" s="80" t="s">
        <v>261</v>
      </c>
      <c r="I317" s="80" t="s">
        <v>785</v>
      </c>
      <c r="J317" s="80">
        <v>3.0510000000000002</v>
      </c>
      <c r="K317" s="80" t="s">
        <v>127</v>
      </c>
      <c r="L317" s="38">
        <v>7.0000000000000007E-2</v>
      </c>
      <c r="M317" s="38">
        <v>4.8349999999999997E-2</v>
      </c>
      <c r="N317" s="88">
        <v>255279.37260514789</v>
      </c>
      <c r="O317" s="80">
        <v>107.2873</v>
      </c>
      <c r="P317" s="104">
        <v>0</v>
      </c>
      <c r="Q317" s="104">
        <v>949.27621227704572</v>
      </c>
      <c r="R317" s="38">
        <v>1.0211174904205916E-4</v>
      </c>
      <c r="S317" s="38">
        <v>5.8888893214215079E-3</v>
      </c>
      <c r="T317" s="38">
        <v>1.1499795624827936E-3</v>
      </c>
    </row>
    <row r="318" spans="1:20" x14ac:dyDescent="0.2">
      <c r="A318" s="30" t="s">
        <v>1404</v>
      </c>
      <c r="B318" s="38" t="s">
        <v>1405</v>
      </c>
      <c r="C318" s="38" t="s">
        <v>361</v>
      </c>
      <c r="D318" s="38" t="s">
        <v>1219</v>
      </c>
      <c r="E318" s="38" t="s">
        <v>180</v>
      </c>
      <c r="F318" s="38" t="s">
        <v>1406</v>
      </c>
      <c r="G318" s="80" t="s">
        <v>383</v>
      </c>
      <c r="H318" s="80" t="s">
        <v>261</v>
      </c>
      <c r="I318" s="80" t="s">
        <v>1407</v>
      </c>
      <c r="J318" s="80">
        <v>5.7370000000000001</v>
      </c>
      <c r="K318" s="80" t="s">
        <v>128</v>
      </c>
      <c r="L318" s="38">
        <v>3.2500000000000001E-2</v>
      </c>
      <c r="M318" s="38">
        <v>3.6080000000000001E-2</v>
      </c>
      <c r="N318" s="88">
        <v>256741.37208507679</v>
      </c>
      <c r="O318" s="80">
        <v>91.736500000000007</v>
      </c>
      <c r="P318" s="104">
        <v>0</v>
      </c>
      <c r="Q318" s="104">
        <v>914.49860082980649</v>
      </c>
      <c r="R318" s="38">
        <v>2.0539309766806144E-4</v>
      </c>
      <c r="S318" s="38">
        <v>5.6731444180651578E-3</v>
      </c>
      <c r="T318" s="38">
        <v>1.1078489982918301E-3</v>
      </c>
    </row>
    <row r="319" spans="1:20" x14ac:dyDescent="0.2">
      <c r="A319" s="30" t="s">
        <v>1408</v>
      </c>
      <c r="B319" s="38" t="s">
        <v>1409</v>
      </c>
      <c r="C319" s="38" t="s">
        <v>361</v>
      </c>
      <c r="D319" s="38" t="s">
        <v>1219</v>
      </c>
      <c r="E319" s="38" t="s">
        <v>180</v>
      </c>
      <c r="F319" s="38" t="s">
        <v>1228</v>
      </c>
      <c r="G319" s="80" t="s">
        <v>1284</v>
      </c>
      <c r="H319" s="80" t="s">
        <v>251</v>
      </c>
      <c r="I319" s="80" t="s">
        <v>1410</v>
      </c>
      <c r="J319" s="80">
        <v>3.2679999999999998</v>
      </c>
      <c r="K319" s="80" t="s">
        <v>128</v>
      </c>
      <c r="L319" s="38">
        <v>0.06</v>
      </c>
      <c r="M319" s="38">
        <v>5.8129999999999994E-2</v>
      </c>
      <c r="N319" s="88">
        <v>256741.37208507679</v>
      </c>
      <c r="O319" s="80">
        <v>98.369200000000006</v>
      </c>
      <c r="P319" s="104">
        <v>0</v>
      </c>
      <c r="Q319" s="104">
        <v>980.61835541937819</v>
      </c>
      <c r="R319" s="38">
        <v>2.5674137208507678E-4</v>
      </c>
      <c r="S319" s="38">
        <v>6.08332210049496E-3</v>
      </c>
      <c r="T319" s="38">
        <v>1.1879483049751774E-3</v>
      </c>
    </row>
    <row r="320" spans="1:20" x14ac:dyDescent="0.2">
      <c r="A320" s="30" t="s">
        <v>1411</v>
      </c>
      <c r="B320" s="38" t="s">
        <v>1412</v>
      </c>
      <c r="C320" s="38" t="s">
        <v>361</v>
      </c>
      <c r="D320" s="38" t="s">
        <v>1219</v>
      </c>
      <c r="E320" s="38" t="s">
        <v>180</v>
      </c>
      <c r="F320" s="38" t="s">
        <v>1228</v>
      </c>
      <c r="G320" s="80" t="s">
        <v>419</v>
      </c>
      <c r="H320" s="80" t="s">
        <v>180</v>
      </c>
      <c r="I320" s="80" t="s">
        <v>761</v>
      </c>
      <c r="J320" s="80">
        <v>4.2190000000000003</v>
      </c>
      <c r="K320" s="80" t="s">
        <v>128</v>
      </c>
      <c r="L320" s="38">
        <v>1.7600000000000001E-2</v>
      </c>
      <c r="M320" s="38">
        <v>4.5339999999999998E-2</v>
      </c>
      <c r="N320" s="88">
        <v>261495.84193850413</v>
      </c>
      <c r="O320" s="80">
        <v>85.974800000000002</v>
      </c>
      <c r="P320" s="104">
        <v>0</v>
      </c>
      <c r="Q320" s="104">
        <v>872.93314260108264</v>
      </c>
      <c r="R320" s="38">
        <v>3.4866112258467218E-4</v>
      </c>
      <c r="S320" s="38">
        <v>5.4152907186492856E-3</v>
      </c>
      <c r="T320" s="38">
        <v>1.0574954480289331E-3</v>
      </c>
    </row>
    <row r="321" spans="1:20" x14ac:dyDescent="0.2">
      <c r="A321" s="30" t="s">
        <v>1413</v>
      </c>
      <c r="B321" s="38" t="s">
        <v>1414</v>
      </c>
      <c r="C321" s="38" t="s">
        <v>361</v>
      </c>
      <c r="D321" s="38" t="s">
        <v>1219</v>
      </c>
      <c r="E321" s="38" t="s">
        <v>180</v>
      </c>
      <c r="F321" s="38" t="s">
        <v>1228</v>
      </c>
      <c r="G321" s="80" t="s">
        <v>1415</v>
      </c>
      <c r="H321" s="80" t="s">
        <v>261</v>
      </c>
      <c r="I321" s="80" t="s">
        <v>1416</v>
      </c>
      <c r="J321" s="80">
        <v>3.5619999999999998</v>
      </c>
      <c r="K321" s="80" t="s">
        <v>2</v>
      </c>
      <c r="L321" s="38">
        <v>5.8799999999999998E-2</v>
      </c>
      <c r="M321" s="38">
        <v>5.8590000000000003E-2</v>
      </c>
      <c r="N321" s="88">
        <v>235263.05452221874</v>
      </c>
      <c r="O321" s="80">
        <v>90.798400000000001</v>
      </c>
      <c r="P321" s="104">
        <v>0</v>
      </c>
      <c r="Q321" s="104">
        <v>908.73995128481135</v>
      </c>
      <c r="R321" s="38">
        <v>1.8821044361777499E-4</v>
      </c>
      <c r="S321" s="38">
        <v>5.6374203059756057E-3</v>
      </c>
      <c r="T321" s="38">
        <v>1.1008728103303093E-3</v>
      </c>
    </row>
    <row r="322" spans="1:20" x14ac:dyDescent="0.2">
      <c r="A322" s="229" t="s">
        <v>1417</v>
      </c>
      <c r="B322" s="223" t="s">
        <v>1418</v>
      </c>
      <c r="C322" s="223" t="s">
        <v>361</v>
      </c>
      <c r="D322" s="223" t="s">
        <v>1219</v>
      </c>
      <c r="E322" s="223" t="s">
        <v>180</v>
      </c>
      <c r="F322" s="223" t="s">
        <v>1228</v>
      </c>
      <c r="G322" s="225" t="s">
        <v>383</v>
      </c>
      <c r="H322" s="225" t="s">
        <v>261</v>
      </c>
      <c r="I322" s="225" t="s">
        <v>1419</v>
      </c>
      <c r="J322" s="225">
        <v>5.6710000000000003</v>
      </c>
      <c r="K322" s="225" t="s">
        <v>2</v>
      </c>
      <c r="L322" s="223">
        <v>0</v>
      </c>
      <c r="M322" s="223">
        <v>5.5759999999999997E-2</v>
      </c>
      <c r="N322" s="230">
        <v>217564.54049283545</v>
      </c>
      <c r="O322" s="225">
        <v>101.20040000000002</v>
      </c>
      <c r="P322" s="226">
        <v>0</v>
      </c>
      <c r="Q322" s="226">
        <v>936.65150955708521</v>
      </c>
      <c r="R322" s="223">
        <v>2.9008605399044726E-4</v>
      </c>
      <c r="S322" s="223">
        <v>5.8105712554337779E-3</v>
      </c>
      <c r="T322" s="223">
        <v>1.1346856470526886E-3</v>
      </c>
    </row>
    <row r="323" spans="1:20" s="137" customFormat="1" x14ac:dyDescent="0.2">
      <c r="A323" s="97" t="s">
        <v>171</v>
      </c>
      <c r="B323" s="147"/>
      <c r="C323" s="147"/>
      <c r="D323" s="147"/>
      <c r="E323" s="147"/>
      <c r="F323" s="147"/>
      <c r="G323" s="148"/>
      <c r="H323" s="148"/>
      <c r="I323" s="148"/>
      <c r="J323" s="149"/>
      <c r="K323" s="150"/>
      <c r="L323" s="151"/>
      <c r="M323" s="151"/>
      <c r="N323" s="151"/>
      <c r="O323" s="150"/>
      <c r="P323" s="150"/>
      <c r="Q323" s="150"/>
      <c r="R323" s="156"/>
      <c r="S323" s="156"/>
      <c r="T323" s="156"/>
    </row>
    <row r="324" spans="1:20" s="137" customFormat="1" x14ac:dyDescent="0.2">
      <c r="A324" s="97" t="s">
        <v>172</v>
      </c>
      <c r="B324" s="147"/>
      <c r="C324" s="147"/>
      <c r="D324" s="147"/>
      <c r="E324" s="147"/>
      <c r="F324" s="147"/>
      <c r="G324" s="148"/>
      <c r="H324" s="148"/>
      <c r="I324" s="148"/>
      <c r="J324" s="149"/>
      <c r="K324" s="150"/>
      <c r="L324" s="151"/>
      <c r="M324" s="151"/>
      <c r="N324" s="151"/>
      <c r="O324" s="150"/>
      <c r="P324" s="150"/>
      <c r="Q324" s="150"/>
      <c r="R324" s="156"/>
      <c r="S324" s="156"/>
      <c r="T324" s="156"/>
    </row>
    <row r="325" spans="1:20" s="137" customFormat="1" x14ac:dyDescent="0.2">
      <c r="A325" s="97" t="s">
        <v>173</v>
      </c>
      <c r="B325" s="147"/>
      <c r="C325" s="147"/>
      <c r="D325" s="147"/>
      <c r="E325" s="147"/>
      <c r="F325" s="147"/>
      <c r="G325" s="148"/>
      <c r="H325" s="148"/>
      <c r="I325" s="148"/>
      <c r="J325" s="149"/>
      <c r="K325" s="150"/>
      <c r="L325" s="151"/>
      <c r="M325" s="151"/>
      <c r="N325" s="151"/>
      <c r="O325" s="150"/>
      <c r="P325" s="150"/>
      <c r="Q325" s="150"/>
      <c r="R325" s="156"/>
      <c r="S325" s="156"/>
      <c r="T325" s="156"/>
    </row>
    <row r="326" spans="1:20" s="137" customFormat="1" x14ac:dyDescent="0.2">
      <c r="A326" s="97" t="s">
        <v>174</v>
      </c>
      <c r="B326" s="147"/>
      <c r="C326" s="147"/>
      <c r="D326" s="147"/>
      <c r="E326" s="147"/>
      <c r="F326" s="147"/>
      <c r="G326" s="148"/>
      <c r="H326" s="148"/>
      <c r="I326" s="148"/>
      <c r="J326" s="149"/>
      <c r="K326" s="150"/>
      <c r="L326" s="151"/>
      <c r="M326" s="151"/>
      <c r="N326" s="151"/>
      <c r="O326" s="150"/>
      <c r="P326" s="150"/>
      <c r="Q326" s="150"/>
      <c r="R326" s="156"/>
      <c r="S326" s="156"/>
      <c r="T326" s="156"/>
    </row>
    <row r="327" spans="1:20" s="137" customFormat="1" x14ac:dyDescent="0.2">
      <c r="A327" s="97" t="s">
        <v>175</v>
      </c>
      <c r="B327" s="147"/>
      <c r="C327" s="147"/>
      <c r="D327" s="147"/>
      <c r="E327" s="147"/>
      <c r="F327" s="147"/>
      <c r="G327" s="148"/>
      <c r="H327" s="148"/>
      <c r="I327" s="148"/>
      <c r="J327" s="149"/>
      <c r="K327" s="150"/>
      <c r="L327" s="151"/>
      <c r="M327" s="151"/>
      <c r="N327" s="151"/>
      <c r="O327" s="150"/>
      <c r="P327" s="150"/>
      <c r="Q327" s="150"/>
      <c r="R327" s="156"/>
      <c r="S327" s="156"/>
      <c r="T327" s="156"/>
    </row>
  </sheetData>
  <sortState ref="A264:AA266">
    <sortCondition ref="A264:A266" customList="א,ב,ג,ד,ה,ו,ז,ח,ט,י,כ,ל,מ,נ,ס,ע,פ,צ,ק,ר,ש,ת"/>
  </sortState>
  <mergeCells count="2">
    <mergeCell ref="A6:T6"/>
    <mergeCell ref="A5:T5"/>
  </mergeCells>
  <conditionalFormatting sqref="B11:I322 K11:K322 S11:T322">
    <cfRule type="expression" dxfId="128" priority="101" stopIfTrue="1">
      <formula>OR(LEFT(#REF!,3)="TIR",LEFT(#REF!,2)="IR")</formula>
    </cfRule>
  </conditionalFormatting>
  <conditionalFormatting sqref="A11:A322 P11:Q322">
    <cfRule type="expression" dxfId="127" priority="104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62" fitToHeight="0" orientation="landscape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E8925-1787-4393-A800-3853C7453CEC}">
  <sheetPr codeName="גיליון6">
    <pageSetUpPr fitToPage="1"/>
  </sheetPr>
  <dimension ref="A1:S25"/>
  <sheetViews>
    <sheetView rightToLeft="1" zoomScale="80" zoomScaleNormal="80" workbookViewId="0">
      <selection activeCell="A7" sqref="A7:N20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1.5703125" style="22" customWidth="1"/>
    <col min="7" max="7" width="11.28515625" style="79" customWidth="1"/>
    <col min="8" max="8" width="10.5703125" style="79" customWidth="1"/>
    <col min="9" max="9" width="8.85546875" style="79" bestFit="1" customWidth="1"/>
    <col min="10" max="10" width="16.5703125" style="79" customWidth="1"/>
    <col min="11" max="11" width="10.42578125" style="50" customWidth="1"/>
    <col min="12" max="12" width="22" style="81" customWidth="1"/>
    <col min="13" max="13" width="25.42578125" style="81" customWidth="1"/>
    <col min="14" max="14" width="20.7109375" style="83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166</v>
      </c>
      <c r="B1" s="22" t="s">
        <v>176</v>
      </c>
      <c r="C1" s="22"/>
      <c r="D1" s="22"/>
      <c r="E1" s="22"/>
      <c r="F1" s="22"/>
      <c r="G1" s="79"/>
      <c r="H1" s="79"/>
      <c r="I1" s="79"/>
      <c r="J1" s="79"/>
      <c r="K1" s="50"/>
      <c r="L1" s="81"/>
      <c r="M1" s="81"/>
      <c r="N1" s="82"/>
      <c r="O1" s="27"/>
      <c r="P1" s="27"/>
      <c r="Q1" s="26"/>
      <c r="R1" s="26"/>
      <c r="S1" s="28"/>
    </row>
    <row r="2" spans="1:19" s="20" customFormat="1" x14ac:dyDescent="0.2">
      <c r="A2" s="23" t="s">
        <v>167</v>
      </c>
      <c r="B2" s="22" t="s">
        <v>153</v>
      </c>
      <c r="C2" s="22"/>
      <c r="D2" s="22"/>
      <c r="E2" s="22"/>
      <c r="F2" s="22"/>
      <c r="G2" s="79"/>
      <c r="H2" s="79"/>
      <c r="I2" s="79"/>
      <c r="J2" s="79"/>
      <c r="K2" s="50"/>
      <c r="L2" s="81"/>
      <c r="M2" s="81"/>
      <c r="N2" s="82"/>
      <c r="O2" s="27"/>
      <c r="P2" s="27"/>
      <c r="Q2" s="26"/>
      <c r="R2" s="26"/>
      <c r="S2" s="28"/>
    </row>
    <row r="3" spans="1:19" s="20" customFormat="1" x14ac:dyDescent="0.2">
      <c r="A3" s="23" t="s">
        <v>168</v>
      </c>
      <c r="B3" s="22" t="s">
        <v>169</v>
      </c>
      <c r="C3" s="22"/>
      <c r="D3" s="22"/>
      <c r="E3" s="22"/>
      <c r="F3" s="22"/>
      <c r="G3" s="79"/>
      <c r="H3" s="79"/>
      <c r="I3" s="79"/>
      <c r="J3" s="79"/>
      <c r="K3" s="50"/>
      <c r="L3" s="81"/>
      <c r="M3" s="81"/>
      <c r="N3" s="82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170</v>
      </c>
      <c r="B4" s="22" t="s">
        <v>178</v>
      </c>
      <c r="C4" s="22"/>
      <c r="D4" s="22"/>
      <c r="E4" s="22"/>
      <c r="F4" s="22"/>
      <c r="G4" s="79"/>
      <c r="H4" s="79"/>
      <c r="I4" s="79"/>
      <c r="J4" s="79"/>
      <c r="K4" s="50"/>
      <c r="L4" s="81"/>
      <c r="M4" s="81"/>
      <c r="N4" s="82"/>
      <c r="O4" s="27"/>
      <c r="P4" s="27"/>
      <c r="Q4" s="26"/>
      <c r="R4" s="26"/>
      <c r="S4" s="28"/>
    </row>
    <row r="5" spans="1:19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/>
      <c r="N5" s="1"/>
      <c r="O5" s="27"/>
      <c r="P5" s="27"/>
      <c r="Q5" s="26"/>
      <c r="R5" s="26"/>
      <c r="S5" s="28"/>
    </row>
    <row r="6" spans="1:19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</row>
    <row r="7" spans="1:19" s="20" customFormat="1" x14ac:dyDescent="0.2">
      <c r="A7" s="106" t="s">
        <v>160</v>
      </c>
      <c r="B7" s="107" t="s">
        <v>69</v>
      </c>
      <c r="C7" s="107" t="s">
        <v>76</v>
      </c>
      <c r="D7" s="107" t="s">
        <v>77</v>
      </c>
      <c r="E7" s="107" t="s">
        <v>74</v>
      </c>
      <c r="F7" s="107" t="s">
        <v>19</v>
      </c>
      <c r="G7" s="107" t="s">
        <v>6</v>
      </c>
      <c r="H7" s="108" t="s">
        <v>67</v>
      </c>
      <c r="I7" s="108" t="s">
        <v>68</v>
      </c>
      <c r="J7" s="108" t="s">
        <v>137</v>
      </c>
      <c r="K7" s="108" t="s">
        <v>7</v>
      </c>
      <c r="L7" s="108" t="s">
        <v>17</v>
      </c>
      <c r="M7" s="109" t="s">
        <v>75</v>
      </c>
      <c r="N7" s="110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43"/>
      <c r="H8" s="15" t="s">
        <v>136</v>
      </c>
      <c r="I8" s="68"/>
      <c r="J8" s="15" t="s">
        <v>138</v>
      </c>
      <c r="K8" s="15" t="s">
        <v>138</v>
      </c>
      <c r="L8" s="68" t="s">
        <v>9</v>
      </c>
      <c r="M8" s="72" t="s">
        <v>9</v>
      </c>
      <c r="N8" s="69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77">
        <v>12</v>
      </c>
      <c r="N9" s="61">
        <v>13</v>
      </c>
    </row>
    <row r="10" spans="1:19" s="137" customFormat="1" ht="12.75" customHeight="1" thickBot="1" x14ac:dyDescent="0.25">
      <c r="A10" s="169" t="s">
        <v>59</v>
      </c>
      <c r="B10" s="89" t="s">
        <v>180</v>
      </c>
      <c r="C10" s="89" t="s">
        <v>180</v>
      </c>
      <c r="D10" s="89" t="s">
        <v>180</v>
      </c>
      <c r="E10" s="89" t="s">
        <v>180</v>
      </c>
      <c r="F10" s="89" t="s">
        <v>180</v>
      </c>
      <c r="G10" s="170" t="s">
        <v>180</v>
      </c>
      <c r="H10" s="171" t="s">
        <v>180</v>
      </c>
      <c r="I10" s="170" t="s">
        <v>180</v>
      </c>
      <c r="J10" s="170" t="s">
        <v>180</v>
      </c>
      <c r="K10" s="128">
        <v>6.9999999999999997E-7</v>
      </c>
      <c r="L10" s="89" t="s">
        <v>180</v>
      </c>
      <c r="M10" s="89">
        <v>1</v>
      </c>
      <c r="N10" s="102">
        <v>0</v>
      </c>
    </row>
    <row r="11" spans="1:19" s="137" customFormat="1" x14ac:dyDescent="0.2">
      <c r="A11" s="111" t="s">
        <v>140</v>
      </c>
      <c r="B11" s="140" t="s">
        <v>180</v>
      </c>
      <c r="C11" s="140" t="s">
        <v>180</v>
      </c>
      <c r="D11" s="140" t="s">
        <v>180</v>
      </c>
      <c r="E11" s="140" t="s">
        <v>180</v>
      </c>
      <c r="F11" s="140" t="s">
        <v>180</v>
      </c>
      <c r="G11" s="141" t="s">
        <v>180</v>
      </c>
      <c r="H11" s="153" t="s">
        <v>180</v>
      </c>
      <c r="I11" s="141" t="s">
        <v>180</v>
      </c>
      <c r="J11" s="141" t="s">
        <v>180</v>
      </c>
      <c r="K11" s="154">
        <v>0</v>
      </c>
      <c r="L11" s="140" t="s">
        <v>180</v>
      </c>
      <c r="M11" s="140">
        <v>0</v>
      </c>
      <c r="N11" s="140">
        <v>0</v>
      </c>
    </row>
    <row r="12" spans="1:19" s="137" customFormat="1" x14ac:dyDescent="0.2">
      <c r="A12" s="112" t="s">
        <v>1420</v>
      </c>
      <c r="B12" s="144" t="s">
        <v>180</v>
      </c>
      <c r="C12" s="144" t="s">
        <v>180</v>
      </c>
      <c r="D12" s="144" t="s">
        <v>180</v>
      </c>
      <c r="E12" s="144" t="s">
        <v>180</v>
      </c>
      <c r="F12" s="144" t="s">
        <v>180</v>
      </c>
      <c r="G12" s="145" t="s">
        <v>180</v>
      </c>
      <c r="H12" s="155" t="s">
        <v>180</v>
      </c>
      <c r="I12" s="141" t="s">
        <v>180</v>
      </c>
      <c r="J12" s="141" t="s">
        <v>180</v>
      </c>
      <c r="K12" s="172">
        <v>0</v>
      </c>
      <c r="L12" s="144" t="s">
        <v>180</v>
      </c>
      <c r="M12" s="140">
        <v>0</v>
      </c>
      <c r="N12" s="140">
        <v>0</v>
      </c>
    </row>
    <row r="13" spans="1:19" s="137" customFormat="1" x14ac:dyDescent="0.2">
      <c r="A13" s="112" t="s">
        <v>1421</v>
      </c>
      <c r="B13" s="144" t="s">
        <v>180</v>
      </c>
      <c r="C13" s="144" t="s">
        <v>180</v>
      </c>
      <c r="D13" s="144" t="s">
        <v>180</v>
      </c>
      <c r="E13" s="144" t="s">
        <v>180</v>
      </c>
      <c r="F13" s="144" t="s">
        <v>180</v>
      </c>
      <c r="G13" s="145" t="s">
        <v>180</v>
      </c>
      <c r="H13" s="155" t="s">
        <v>180</v>
      </c>
      <c r="I13" s="141" t="s">
        <v>180</v>
      </c>
      <c r="J13" s="155" t="s">
        <v>180</v>
      </c>
      <c r="K13" s="172">
        <v>0</v>
      </c>
      <c r="L13" s="144" t="s">
        <v>180</v>
      </c>
      <c r="M13" s="140">
        <v>0</v>
      </c>
      <c r="N13" s="140">
        <v>0</v>
      </c>
    </row>
    <row r="14" spans="1:19" s="137" customFormat="1" x14ac:dyDescent="0.2">
      <c r="A14" s="112" t="s">
        <v>1422</v>
      </c>
      <c r="B14" s="144" t="s">
        <v>180</v>
      </c>
      <c r="C14" s="144" t="s">
        <v>180</v>
      </c>
      <c r="D14" s="144" t="s">
        <v>180</v>
      </c>
      <c r="E14" s="144" t="s">
        <v>180</v>
      </c>
      <c r="F14" s="144" t="s">
        <v>180</v>
      </c>
      <c r="G14" s="145" t="s">
        <v>180</v>
      </c>
      <c r="H14" s="155" t="s">
        <v>180</v>
      </c>
      <c r="I14" s="141" t="s">
        <v>180</v>
      </c>
      <c r="J14" s="141" t="s">
        <v>180</v>
      </c>
      <c r="K14" s="172">
        <v>0</v>
      </c>
      <c r="L14" s="144" t="s">
        <v>180</v>
      </c>
      <c r="M14" s="140">
        <v>0</v>
      </c>
      <c r="N14" s="140">
        <v>0</v>
      </c>
    </row>
    <row r="15" spans="1:19" s="137" customFormat="1" x14ac:dyDescent="0.2">
      <c r="A15" s="112" t="s">
        <v>1423</v>
      </c>
      <c r="B15" s="144" t="s">
        <v>180</v>
      </c>
      <c r="C15" s="144" t="s">
        <v>180</v>
      </c>
      <c r="D15" s="144" t="s">
        <v>180</v>
      </c>
      <c r="E15" s="144" t="s">
        <v>180</v>
      </c>
      <c r="F15" s="144" t="s">
        <v>180</v>
      </c>
      <c r="G15" s="145" t="s">
        <v>180</v>
      </c>
      <c r="H15" s="155" t="s">
        <v>180</v>
      </c>
      <c r="I15" s="141" t="s">
        <v>180</v>
      </c>
      <c r="J15" s="141" t="s">
        <v>180</v>
      </c>
      <c r="K15" s="172">
        <v>0</v>
      </c>
      <c r="L15" s="144" t="s">
        <v>180</v>
      </c>
      <c r="M15" s="140">
        <v>0</v>
      </c>
      <c r="N15" s="140">
        <v>0</v>
      </c>
    </row>
    <row r="16" spans="1:19" s="137" customFormat="1" x14ac:dyDescent="0.2">
      <c r="A16" s="112" t="s">
        <v>1424</v>
      </c>
      <c r="B16" s="144" t="s">
        <v>180</v>
      </c>
      <c r="C16" s="144" t="s">
        <v>180</v>
      </c>
      <c r="D16" s="144" t="s">
        <v>180</v>
      </c>
      <c r="E16" s="144" t="s">
        <v>180</v>
      </c>
      <c r="F16" s="144" t="s">
        <v>180</v>
      </c>
      <c r="G16" s="145" t="s">
        <v>180</v>
      </c>
      <c r="H16" s="155" t="s">
        <v>180</v>
      </c>
      <c r="I16" s="141" t="s">
        <v>180</v>
      </c>
      <c r="J16" s="141" t="s">
        <v>180</v>
      </c>
      <c r="K16" s="172">
        <v>0</v>
      </c>
      <c r="L16" s="144" t="s">
        <v>180</v>
      </c>
      <c r="M16" s="140">
        <v>0</v>
      </c>
      <c r="N16" s="140">
        <v>0</v>
      </c>
    </row>
    <row r="17" spans="1:18" s="137" customFormat="1" x14ac:dyDescent="0.2">
      <c r="A17" s="112" t="s">
        <v>1425</v>
      </c>
      <c r="B17" s="144" t="s">
        <v>180</v>
      </c>
      <c r="C17" s="144" t="s">
        <v>180</v>
      </c>
      <c r="D17" s="144" t="s">
        <v>180</v>
      </c>
      <c r="E17" s="144" t="s">
        <v>180</v>
      </c>
      <c r="F17" s="144" t="s">
        <v>180</v>
      </c>
      <c r="G17" s="145" t="s">
        <v>180</v>
      </c>
      <c r="H17" s="155" t="s">
        <v>180</v>
      </c>
      <c r="I17" s="141" t="s">
        <v>180</v>
      </c>
      <c r="J17" s="141" t="s">
        <v>180</v>
      </c>
      <c r="K17" s="172">
        <v>0</v>
      </c>
      <c r="L17" s="144" t="s">
        <v>180</v>
      </c>
      <c r="M17" s="140">
        <v>0</v>
      </c>
      <c r="N17" s="140">
        <v>0</v>
      </c>
    </row>
    <row r="18" spans="1:18" s="137" customFormat="1" x14ac:dyDescent="0.2">
      <c r="A18" s="112" t="s">
        <v>357</v>
      </c>
      <c r="B18" s="144" t="s">
        <v>180</v>
      </c>
      <c r="C18" s="144" t="s">
        <v>180</v>
      </c>
      <c r="D18" s="144" t="s">
        <v>180</v>
      </c>
      <c r="E18" s="144" t="s">
        <v>180</v>
      </c>
      <c r="F18" s="144" t="s">
        <v>180</v>
      </c>
      <c r="G18" s="145" t="s">
        <v>180</v>
      </c>
      <c r="H18" s="155" t="s">
        <v>180</v>
      </c>
      <c r="I18" s="141" t="s">
        <v>180</v>
      </c>
      <c r="J18" s="141" t="s">
        <v>180</v>
      </c>
      <c r="K18" s="172">
        <v>0</v>
      </c>
      <c r="L18" s="144" t="s">
        <v>180</v>
      </c>
      <c r="M18" s="140">
        <v>0</v>
      </c>
      <c r="N18" s="140">
        <v>0</v>
      </c>
    </row>
    <row r="19" spans="1:18" s="137" customFormat="1" x14ac:dyDescent="0.2">
      <c r="A19" s="112" t="s">
        <v>146</v>
      </c>
      <c r="B19" s="144" t="s">
        <v>180</v>
      </c>
      <c r="C19" s="144" t="s">
        <v>180</v>
      </c>
      <c r="D19" s="144" t="s">
        <v>180</v>
      </c>
      <c r="E19" s="144" t="s">
        <v>180</v>
      </c>
      <c r="F19" s="144" t="s">
        <v>180</v>
      </c>
      <c r="G19" s="145" t="s">
        <v>180</v>
      </c>
      <c r="H19" s="155" t="s">
        <v>180</v>
      </c>
      <c r="I19" s="141" t="s">
        <v>180</v>
      </c>
      <c r="J19" s="141" t="s">
        <v>180</v>
      </c>
      <c r="K19" s="172">
        <v>0</v>
      </c>
      <c r="L19" s="144" t="s">
        <v>180</v>
      </c>
      <c r="M19" s="140">
        <v>0</v>
      </c>
      <c r="N19" s="140">
        <v>0</v>
      </c>
    </row>
    <row r="20" spans="1:18" s="137" customFormat="1" x14ac:dyDescent="0.2">
      <c r="A20" s="231" t="s">
        <v>147</v>
      </c>
      <c r="B20" s="232" t="s">
        <v>180</v>
      </c>
      <c r="C20" s="232" t="s">
        <v>180</v>
      </c>
      <c r="D20" s="232" t="s">
        <v>180</v>
      </c>
      <c r="E20" s="232" t="s">
        <v>180</v>
      </c>
      <c r="F20" s="232" t="s">
        <v>180</v>
      </c>
      <c r="G20" s="239" t="s">
        <v>180</v>
      </c>
      <c r="H20" s="240" t="s">
        <v>180</v>
      </c>
      <c r="I20" s="241" t="s">
        <v>180</v>
      </c>
      <c r="J20" s="241" t="s">
        <v>180</v>
      </c>
      <c r="K20" s="242">
        <v>0</v>
      </c>
      <c r="L20" s="232" t="s">
        <v>180</v>
      </c>
      <c r="M20" s="238">
        <v>0</v>
      </c>
      <c r="N20" s="238">
        <v>0</v>
      </c>
    </row>
    <row r="21" spans="1:18" s="137" customFormat="1" x14ac:dyDescent="0.2">
      <c r="A21" s="97" t="s">
        <v>171</v>
      </c>
      <c r="B21" s="147"/>
      <c r="C21" s="147"/>
      <c r="D21" s="147"/>
      <c r="E21" s="147"/>
      <c r="F21" s="147"/>
      <c r="G21" s="148"/>
      <c r="H21" s="148"/>
      <c r="I21" s="148"/>
      <c r="J21" s="148"/>
      <c r="K21" s="149"/>
      <c r="L21" s="150"/>
      <c r="M21" s="150"/>
      <c r="N21" s="151"/>
      <c r="O21" s="168"/>
      <c r="P21" s="168"/>
      <c r="Q21" s="152"/>
      <c r="R21" s="152"/>
    </row>
    <row r="22" spans="1:18" s="137" customFormat="1" x14ac:dyDescent="0.2">
      <c r="A22" s="97" t="s">
        <v>172</v>
      </c>
      <c r="B22" s="147"/>
      <c r="C22" s="147"/>
      <c r="D22" s="147"/>
      <c r="E22" s="147"/>
      <c r="F22" s="147"/>
      <c r="G22" s="148"/>
      <c r="H22" s="148"/>
      <c r="I22" s="148"/>
      <c r="J22" s="148"/>
      <c r="K22" s="149"/>
      <c r="L22" s="150"/>
      <c r="M22" s="150"/>
      <c r="N22" s="151"/>
      <c r="O22" s="168"/>
      <c r="P22" s="168"/>
      <c r="Q22" s="152"/>
      <c r="R22" s="152"/>
    </row>
    <row r="23" spans="1:18" s="137" customFormat="1" x14ac:dyDescent="0.2">
      <c r="A23" s="97" t="s">
        <v>173</v>
      </c>
      <c r="B23" s="147"/>
      <c r="C23" s="147"/>
      <c r="D23" s="147"/>
      <c r="E23" s="147"/>
      <c r="F23" s="147"/>
      <c r="G23" s="148"/>
      <c r="H23" s="148"/>
      <c r="I23" s="148"/>
      <c r="J23" s="148"/>
      <c r="K23" s="149"/>
      <c r="L23" s="150"/>
      <c r="M23" s="150"/>
      <c r="N23" s="151"/>
      <c r="O23" s="168"/>
      <c r="P23" s="168"/>
      <c r="Q23" s="152"/>
      <c r="R23" s="152"/>
    </row>
    <row r="24" spans="1:18" s="137" customFormat="1" x14ac:dyDescent="0.2">
      <c r="A24" s="97" t="s">
        <v>174</v>
      </c>
      <c r="B24" s="147"/>
      <c r="C24" s="147"/>
      <c r="D24" s="147"/>
      <c r="E24" s="147"/>
      <c r="F24" s="147"/>
      <c r="G24" s="148"/>
      <c r="H24" s="148"/>
      <c r="I24" s="148"/>
      <c r="J24" s="148"/>
      <c r="K24" s="149"/>
      <c r="L24" s="150"/>
      <c r="M24" s="150"/>
      <c r="N24" s="151"/>
      <c r="O24" s="168"/>
      <c r="P24" s="168"/>
      <c r="Q24" s="152"/>
      <c r="R24" s="152"/>
    </row>
    <row r="25" spans="1:18" s="137" customFormat="1" x14ac:dyDescent="0.2">
      <c r="A25" s="97" t="s">
        <v>175</v>
      </c>
      <c r="B25" s="147"/>
      <c r="C25" s="147"/>
      <c r="D25" s="147"/>
      <c r="E25" s="147"/>
      <c r="F25" s="147"/>
      <c r="G25" s="148"/>
      <c r="H25" s="148"/>
      <c r="I25" s="148"/>
      <c r="J25" s="148"/>
      <c r="K25" s="149"/>
      <c r="L25" s="150"/>
      <c r="M25" s="150"/>
      <c r="N25" s="151"/>
      <c r="O25" s="168"/>
      <c r="P25" s="168"/>
      <c r="Q25" s="152"/>
      <c r="R25" s="152"/>
    </row>
  </sheetData>
  <mergeCells count="2">
    <mergeCell ref="A6:N6"/>
    <mergeCell ref="A5:N5"/>
  </mergeCells>
  <conditionalFormatting sqref="B10:G20 M10:N20">
    <cfRule type="expression" dxfId="126" priority="112" stopIfTrue="1">
      <formula>LEFT(#REF!,3)="TIR"</formula>
    </cfRule>
  </conditionalFormatting>
  <conditionalFormatting sqref="L1:M4 H10:J20 L10:M55555">
    <cfRule type="expression" dxfId="125" priority="114" stopIfTrue="1">
      <formula>LEFT(#REF!,3)="TIR"</formula>
    </cfRule>
  </conditionalFormatting>
  <conditionalFormatting sqref="A10:A20 K10:K20">
    <cfRule type="expression" dxfId="124" priority="117" stopIfTrue="1">
      <formula>#REF!&gt;0</formula>
    </cfRule>
    <cfRule type="expression" dxfId="123" priority="11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1" fitToHeight="0" orientation="landscape"/>
  <headerFooter alignWithMargin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37B51-BB55-4098-A8BA-D6B8B43B4E50}">
  <sheetPr codeName="גיליון7">
    <pageSetUpPr fitToPage="1"/>
  </sheetPr>
  <dimension ref="A1:S52"/>
  <sheetViews>
    <sheetView rightToLeft="1" zoomScale="80" zoomScaleNormal="80" workbookViewId="0">
      <selection activeCell="A7" sqref="A7:M47"/>
    </sheetView>
  </sheetViews>
  <sheetFormatPr defaultRowHeight="12.75" x14ac:dyDescent="0.2"/>
  <cols>
    <col min="1" max="1" width="36.5703125" style="23" bestFit="1" customWidth="1"/>
    <col min="2" max="2" width="1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12" style="22" bestFit="1" customWidth="1"/>
    <col min="7" max="7" width="10.85546875" style="79" bestFit="1" customWidth="1"/>
    <col min="8" max="8" width="9.28515625" style="79" bestFit="1" customWidth="1"/>
    <col min="9" max="9" width="16.5703125" style="79" customWidth="1"/>
    <col min="10" max="10" width="10.85546875" style="79" bestFit="1" customWidth="1"/>
    <col min="11" max="11" width="22" style="50" customWidth="1"/>
    <col min="12" max="12" width="25.42578125" style="50" customWidth="1"/>
    <col min="13" max="13" width="20.7109375" style="81" customWidth="1"/>
    <col min="14" max="14" width="10" style="33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166</v>
      </c>
      <c r="B1" s="22" t="s">
        <v>176</v>
      </c>
      <c r="C1" s="22"/>
      <c r="D1" s="22"/>
      <c r="E1" s="22"/>
      <c r="F1" s="22"/>
      <c r="G1" s="79"/>
      <c r="H1" s="79"/>
      <c r="I1" s="79"/>
      <c r="J1" s="79"/>
      <c r="K1" s="50"/>
      <c r="L1" s="50"/>
      <c r="M1" s="81"/>
      <c r="N1" s="27"/>
      <c r="O1" s="27"/>
      <c r="P1" s="27"/>
      <c r="Q1" s="26"/>
      <c r="R1" s="26"/>
      <c r="S1" s="28"/>
    </row>
    <row r="2" spans="1:19" s="20" customFormat="1" x14ac:dyDescent="0.2">
      <c r="A2" s="23" t="s">
        <v>167</v>
      </c>
      <c r="B2" s="22" t="s">
        <v>153</v>
      </c>
      <c r="C2" s="22"/>
      <c r="D2" s="22"/>
      <c r="E2" s="22"/>
      <c r="F2" s="22"/>
      <c r="G2" s="79"/>
      <c r="H2" s="79"/>
      <c r="I2" s="79"/>
      <c r="J2" s="79"/>
      <c r="K2" s="50"/>
      <c r="L2" s="50"/>
      <c r="M2" s="81"/>
      <c r="N2" s="27"/>
      <c r="O2" s="27"/>
      <c r="P2" s="27"/>
      <c r="Q2" s="26"/>
      <c r="R2" s="26"/>
      <c r="S2" s="28"/>
    </row>
    <row r="3" spans="1:19" s="20" customFormat="1" x14ac:dyDescent="0.2">
      <c r="A3" s="23" t="s">
        <v>168</v>
      </c>
      <c r="B3" s="22" t="s">
        <v>169</v>
      </c>
      <c r="C3" s="22"/>
      <c r="D3" s="22"/>
      <c r="E3" s="22"/>
      <c r="F3" s="22"/>
      <c r="G3" s="79"/>
      <c r="H3" s="79"/>
      <c r="I3" s="79"/>
      <c r="J3" s="79"/>
      <c r="K3" s="50"/>
      <c r="L3" s="50"/>
      <c r="M3" s="81"/>
      <c r="N3" s="27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170</v>
      </c>
      <c r="B4" s="22" t="s">
        <v>178</v>
      </c>
      <c r="C4" s="22"/>
      <c r="D4" s="22"/>
      <c r="E4" s="22"/>
      <c r="F4" s="22"/>
      <c r="G4" s="79"/>
      <c r="H4" s="79"/>
      <c r="I4" s="79"/>
      <c r="J4" s="79"/>
      <c r="K4" s="50"/>
      <c r="L4" s="50"/>
      <c r="M4" s="81"/>
      <c r="N4" s="27"/>
      <c r="O4" s="27"/>
      <c r="P4" s="27"/>
      <c r="Q4" s="26"/>
      <c r="R4" s="26"/>
      <c r="S4" s="28"/>
    </row>
    <row r="5" spans="1:19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8"/>
      <c r="N5" s="27"/>
      <c r="O5" s="27"/>
      <c r="P5" s="27"/>
      <c r="Q5" s="26"/>
      <c r="R5" s="26"/>
      <c r="S5" s="28"/>
    </row>
    <row r="6" spans="1:19" s="20" customFormat="1" x14ac:dyDescent="0.2">
      <c r="A6" s="7" t="s">
        <v>161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27"/>
    </row>
    <row r="7" spans="1:19" s="20" customFormat="1" x14ac:dyDescent="0.2">
      <c r="A7" s="106" t="s">
        <v>160</v>
      </c>
      <c r="B7" s="107" t="s">
        <v>69</v>
      </c>
      <c r="C7" s="107" t="s">
        <v>76</v>
      </c>
      <c r="D7" s="107" t="s">
        <v>74</v>
      </c>
      <c r="E7" s="107" t="s">
        <v>19</v>
      </c>
      <c r="F7" s="107" t="s">
        <v>6</v>
      </c>
      <c r="G7" s="108" t="s">
        <v>67</v>
      </c>
      <c r="H7" s="108" t="s">
        <v>68</v>
      </c>
      <c r="I7" s="108" t="s">
        <v>137</v>
      </c>
      <c r="J7" s="108" t="s">
        <v>7</v>
      </c>
      <c r="K7" s="108" t="s">
        <v>17</v>
      </c>
      <c r="L7" s="109" t="s">
        <v>75</v>
      </c>
      <c r="M7" s="110" t="s">
        <v>8</v>
      </c>
    </row>
    <row r="8" spans="1:19" s="20" customFormat="1" x14ac:dyDescent="0.2">
      <c r="A8" s="40"/>
      <c r="B8" s="16"/>
      <c r="C8" s="16"/>
      <c r="D8" s="16"/>
      <c r="E8" s="16"/>
      <c r="F8" s="43"/>
      <c r="G8" s="15" t="s">
        <v>136</v>
      </c>
      <c r="H8" s="67"/>
      <c r="I8" s="15" t="s">
        <v>138</v>
      </c>
      <c r="J8" s="15" t="s">
        <v>138</v>
      </c>
      <c r="K8" s="67" t="s">
        <v>9</v>
      </c>
      <c r="L8" s="67" t="s">
        <v>9</v>
      </c>
      <c r="M8" s="73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77">
        <v>11</v>
      </c>
      <c r="M9" s="61">
        <v>12</v>
      </c>
    </row>
    <row r="10" spans="1:19" s="137" customFormat="1" ht="12.75" customHeight="1" thickBot="1" x14ac:dyDescent="0.25">
      <c r="A10" s="169" t="s">
        <v>162</v>
      </c>
      <c r="B10" s="89"/>
      <c r="C10" s="89"/>
      <c r="D10" s="89"/>
      <c r="E10" s="89"/>
      <c r="F10" s="170"/>
      <c r="G10" s="171"/>
      <c r="H10" s="170"/>
      <c r="I10" s="173" t="s">
        <v>180</v>
      </c>
      <c r="J10" s="128">
        <v>17490.56948819293</v>
      </c>
      <c r="K10" s="89" t="s">
        <v>180</v>
      </c>
      <c r="L10" s="89">
        <v>1</v>
      </c>
      <c r="M10" s="102">
        <v>2.1188561545600813E-2</v>
      </c>
    </row>
    <row r="11" spans="1:19" s="137" customFormat="1" x14ac:dyDescent="0.2">
      <c r="A11" s="111" t="s">
        <v>140</v>
      </c>
      <c r="B11" s="140" t="s">
        <v>180</v>
      </c>
      <c r="C11" s="140" t="s">
        <v>180</v>
      </c>
      <c r="D11" s="140" t="s">
        <v>180</v>
      </c>
      <c r="E11" s="140" t="s">
        <v>180</v>
      </c>
      <c r="F11" s="141" t="s">
        <v>180</v>
      </c>
      <c r="G11" s="153" t="s">
        <v>180</v>
      </c>
      <c r="H11" s="141" t="s">
        <v>180</v>
      </c>
      <c r="I11" s="142" t="s">
        <v>180</v>
      </c>
      <c r="J11" s="174">
        <v>8318.6004002451555</v>
      </c>
      <c r="K11" s="140" t="s">
        <v>180</v>
      </c>
      <c r="L11" s="140">
        <v>0.47560489130217604</v>
      </c>
      <c r="M11" s="140">
        <v>1.0077383510744942E-2</v>
      </c>
    </row>
    <row r="12" spans="1:19" s="137" customFormat="1" x14ac:dyDescent="0.2">
      <c r="A12" s="112" t="s">
        <v>1426</v>
      </c>
      <c r="B12" s="144" t="s">
        <v>180</v>
      </c>
      <c r="C12" s="144" t="s">
        <v>180</v>
      </c>
      <c r="D12" s="144" t="s">
        <v>180</v>
      </c>
      <c r="E12" s="144" t="s">
        <v>180</v>
      </c>
      <c r="F12" s="145" t="s">
        <v>180</v>
      </c>
      <c r="G12" s="155" t="s">
        <v>180</v>
      </c>
      <c r="H12" s="141" t="s">
        <v>180</v>
      </c>
      <c r="I12" s="146" t="s">
        <v>180</v>
      </c>
      <c r="J12" s="146">
        <v>0</v>
      </c>
      <c r="K12" s="144" t="s">
        <v>180</v>
      </c>
      <c r="L12" s="140">
        <v>0</v>
      </c>
      <c r="M12" s="140">
        <v>0</v>
      </c>
    </row>
    <row r="13" spans="1:19" s="137" customFormat="1" x14ac:dyDescent="0.2">
      <c r="A13" s="112" t="s">
        <v>1427</v>
      </c>
      <c r="B13" s="144" t="s">
        <v>180</v>
      </c>
      <c r="C13" s="144" t="s">
        <v>180</v>
      </c>
      <c r="D13" s="144" t="s">
        <v>180</v>
      </c>
      <c r="E13" s="144" t="s">
        <v>180</v>
      </c>
      <c r="F13" s="145" t="s">
        <v>180</v>
      </c>
      <c r="G13" s="155" t="s">
        <v>180</v>
      </c>
      <c r="H13" s="141" t="s">
        <v>180</v>
      </c>
      <c r="I13" s="146" t="s">
        <v>180</v>
      </c>
      <c r="J13" s="146">
        <v>0</v>
      </c>
      <c r="K13" s="144" t="s">
        <v>180</v>
      </c>
      <c r="L13" s="140">
        <v>0</v>
      </c>
      <c r="M13" s="140">
        <v>0</v>
      </c>
    </row>
    <row r="14" spans="1:19" s="137" customFormat="1" x14ac:dyDescent="0.2">
      <c r="A14" s="112" t="s">
        <v>1428</v>
      </c>
      <c r="B14" s="144" t="s">
        <v>180</v>
      </c>
      <c r="C14" s="144" t="s">
        <v>180</v>
      </c>
      <c r="D14" s="144" t="s">
        <v>180</v>
      </c>
      <c r="E14" s="144" t="s">
        <v>180</v>
      </c>
      <c r="F14" s="145" t="s">
        <v>180</v>
      </c>
      <c r="G14" s="155" t="s">
        <v>180</v>
      </c>
      <c r="H14" s="141" t="s">
        <v>180</v>
      </c>
      <c r="I14" s="146" t="s">
        <v>180</v>
      </c>
      <c r="J14" s="146">
        <v>8318.6003997451535</v>
      </c>
      <c r="K14" s="144" t="s">
        <v>180</v>
      </c>
      <c r="L14" s="140">
        <v>0.47560489127358907</v>
      </c>
      <c r="M14" s="140">
        <v>1.0077383510139225E-2</v>
      </c>
    </row>
    <row r="15" spans="1:19" x14ac:dyDescent="0.2">
      <c r="A15" s="30" t="s">
        <v>1455</v>
      </c>
      <c r="B15" s="38" t="s">
        <v>1456</v>
      </c>
      <c r="C15" s="38" t="s">
        <v>266</v>
      </c>
      <c r="D15" s="38" t="s">
        <v>1457</v>
      </c>
      <c r="E15" s="74" t="s">
        <v>1432</v>
      </c>
      <c r="F15" s="80" t="s">
        <v>186</v>
      </c>
      <c r="G15" s="88">
        <v>136278.21295930806</v>
      </c>
      <c r="H15" s="85">
        <v>335</v>
      </c>
      <c r="I15" s="104">
        <v>0</v>
      </c>
      <c r="J15" s="104">
        <v>456.53201341368202</v>
      </c>
      <c r="K15" s="38">
        <v>1.0125975531190138E-3</v>
      </c>
      <c r="L15" s="46">
        <v>2.6101609425688826E-2</v>
      </c>
      <c r="M15" s="46">
        <v>5.5305555775544209E-4</v>
      </c>
      <c r="N15" s="28"/>
      <c r="O15" s="28"/>
      <c r="P15" s="28"/>
      <c r="Q15" s="28"/>
      <c r="R15" s="28"/>
    </row>
    <row r="16" spans="1:19" x14ac:dyDescent="0.2">
      <c r="A16" s="30" t="s">
        <v>1458</v>
      </c>
      <c r="B16" s="38" t="s">
        <v>1459</v>
      </c>
      <c r="C16" s="38" t="s">
        <v>266</v>
      </c>
      <c r="D16" s="38" t="s">
        <v>1457</v>
      </c>
      <c r="E16" s="74" t="s">
        <v>1432</v>
      </c>
      <c r="F16" s="80" t="s">
        <v>186</v>
      </c>
      <c r="G16" s="88">
        <v>135432.41136723783</v>
      </c>
      <c r="H16" s="85">
        <v>325.79000000000002</v>
      </c>
      <c r="I16" s="104">
        <v>0</v>
      </c>
      <c r="J16" s="104">
        <v>441.22525292713721</v>
      </c>
      <c r="K16" s="38">
        <v>5.8196635710474178E-4</v>
      </c>
      <c r="L16" s="46">
        <v>2.5226465794895233E-2</v>
      </c>
      <c r="M16" s="46">
        <v>5.3451252307313137E-4</v>
      </c>
      <c r="N16" s="28"/>
      <c r="O16" s="28"/>
      <c r="P16" s="28"/>
      <c r="Q16" s="28"/>
      <c r="R16" s="28"/>
    </row>
    <row r="17" spans="1:18" x14ac:dyDescent="0.2">
      <c r="A17" s="30" t="s">
        <v>1460</v>
      </c>
      <c r="B17" s="38" t="s">
        <v>1461</v>
      </c>
      <c r="C17" s="38" t="s">
        <v>266</v>
      </c>
      <c r="D17" s="38" t="s">
        <v>1457</v>
      </c>
      <c r="E17" s="74" t="s">
        <v>1432</v>
      </c>
      <c r="F17" s="80" t="s">
        <v>186</v>
      </c>
      <c r="G17" s="88">
        <v>164619.33357087994</v>
      </c>
      <c r="H17" s="85">
        <v>330.94</v>
      </c>
      <c r="I17" s="104">
        <v>0</v>
      </c>
      <c r="J17" s="104">
        <v>544.7912224667906</v>
      </c>
      <c r="K17" s="38">
        <v>1.6024453595350201E-3</v>
      </c>
      <c r="L17" s="46">
        <v>3.1147712076187901E-2</v>
      </c>
      <c r="M17" s="46">
        <v>6.59975214330961E-4</v>
      </c>
      <c r="N17" s="28"/>
      <c r="O17" s="28"/>
      <c r="P17" s="28"/>
      <c r="Q17" s="28"/>
      <c r="R17" s="28"/>
    </row>
    <row r="18" spans="1:18" x14ac:dyDescent="0.2">
      <c r="A18" s="30" t="s">
        <v>1472</v>
      </c>
      <c r="B18" s="38" t="s">
        <v>1473</v>
      </c>
      <c r="C18" s="38" t="s">
        <v>266</v>
      </c>
      <c r="D18" s="38" t="s">
        <v>1457</v>
      </c>
      <c r="E18" s="74" t="s">
        <v>1432</v>
      </c>
      <c r="F18" s="80" t="s">
        <v>186</v>
      </c>
      <c r="G18" s="88">
        <v>69472.982745168687</v>
      </c>
      <c r="H18" s="85">
        <v>357.54</v>
      </c>
      <c r="I18" s="104">
        <v>0</v>
      </c>
      <c r="J18" s="104">
        <v>248.3937024760088</v>
      </c>
      <c r="K18" s="38">
        <v>5.1633268648602437E-4</v>
      </c>
      <c r="L18" s="46">
        <v>1.4201578893339511E-2</v>
      </c>
      <c r="M18" s="46">
        <v>3.0091102842622975E-4</v>
      </c>
      <c r="N18" s="28"/>
      <c r="O18" s="28"/>
      <c r="P18" s="28"/>
      <c r="Q18" s="28"/>
      <c r="R18" s="28"/>
    </row>
    <row r="19" spans="1:18" x14ac:dyDescent="0.2">
      <c r="A19" s="30" t="s">
        <v>1446</v>
      </c>
      <c r="B19" s="38" t="s">
        <v>1447</v>
      </c>
      <c r="C19" s="38" t="s">
        <v>266</v>
      </c>
      <c r="D19" s="38" t="s">
        <v>1448</v>
      </c>
      <c r="E19" s="74" t="s">
        <v>1432</v>
      </c>
      <c r="F19" s="80" t="s">
        <v>186</v>
      </c>
      <c r="G19" s="88">
        <v>263805.24222858105</v>
      </c>
      <c r="H19" s="85">
        <v>332.53</v>
      </c>
      <c r="I19" s="104">
        <v>0</v>
      </c>
      <c r="J19" s="104">
        <v>877.2315719374908</v>
      </c>
      <c r="K19" s="38">
        <v>1.1009464547118693E-3</v>
      </c>
      <c r="L19" s="46">
        <v>5.0154545998611938E-2</v>
      </c>
      <c r="M19" s="46">
        <v>1.0627026846832561E-3</v>
      </c>
      <c r="N19" s="28"/>
      <c r="O19" s="28"/>
      <c r="P19" s="28"/>
      <c r="Q19" s="28"/>
      <c r="R19" s="28"/>
    </row>
    <row r="20" spans="1:18" x14ac:dyDescent="0.2">
      <c r="A20" s="30" t="s">
        <v>1449</v>
      </c>
      <c r="B20" s="38" t="s">
        <v>1450</v>
      </c>
      <c r="C20" s="38" t="s">
        <v>266</v>
      </c>
      <c r="D20" s="38" t="s">
        <v>1448</v>
      </c>
      <c r="E20" s="74" t="s">
        <v>1432</v>
      </c>
      <c r="F20" s="80" t="s">
        <v>186</v>
      </c>
      <c r="G20" s="88">
        <v>47503.464150362379</v>
      </c>
      <c r="H20" s="85">
        <v>316.7</v>
      </c>
      <c r="I20" s="104">
        <v>0</v>
      </c>
      <c r="J20" s="104">
        <v>150.44347094805613</v>
      </c>
      <c r="K20" s="38">
        <v>1.116279007722475E-3</v>
      </c>
      <c r="L20" s="46">
        <v>8.6014049485131708E-3</v>
      </c>
      <c r="M20" s="46">
        <v>1.822513981302067E-4</v>
      </c>
      <c r="N20" s="28"/>
      <c r="O20" s="28"/>
      <c r="P20" s="28"/>
      <c r="Q20" s="28"/>
      <c r="R20" s="28"/>
    </row>
    <row r="21" spans="1:18" x14ac:dyDescent="0.2">
      <c r="A21" s="30" t="s">
        <v>1451</v>
      </c>
      <c r="B21" s="38" t="s">
        <v>1452</v>
      </c>
      <c r="C21" s="38" t="s">
        <v>266</v>
      </c>
      <c r="D21" s="38" t="s">
        <v>1448</v>
      </c>
      <c r="E21" s="74" t="s">
        <v>1432</v>
      </c>
      <c r="F21" s="80" t="s">
        <v>186</v>
      </c>
      <c r="G21" s="88">
        <v>236534.1674080767</v>
      </c>
      <c r="H21" s="85">
        <v>326.35000000000002</v>
      </c>
      <c r="I21" s="104">
        <v>0</v>
      </c>
      <c r="J21" s="104">
        <v>771.92925528695571</v>
      </c>
      <c r="K21" s="38">
        <v>6.1686983547674424E-4</v>
      </c>
      <c r="L21" s="46">
        <v>4.4134026385364365E-2</v>
      </c>
      <c r="M21" s="46">
        <v>9.3513653432146309E-4</v>
      </c>
      <c r="N21" s="28"/>
      <c r="O21" s="28"/>
      <c r="P21" s="28"/>
      <c r="Q21" s="28"/>
      <c r="R21" s="28"/>
    </row>
    <row r="22" spans="1:18" x14ac:dyDescent="0.2">
      <c r="A22" s="30" t="s">
        <v>1453</v>
      </c>
      <c r="B22" s="38" t="s">
        <v>1454</v>
      </c>
      <c r="C22" s="38" t="s">
        <v>266</v>
      </c>
      <c r="D22" s="38" t="s">
        <v>1448</v>
      </c>
      <c r="E22" s="74" t="s">
        <v>1432</v>
      </c>
      <c r="F22" s="80" t="s">
        <v>186</v>
      </c>
      <c r="G22" s="88">
        <v>8556.7425258804906</v>
      </c>
      <c r="H22" s="85">
        <v>3296.7</v>
      </c>
      <c r="I22" s="104">
        <v>0</v>
      </c>
      <c r="J22" s="104">
        <v>282.09013081017952</v>
      </c>
      <c r="K22" s="38">
        <v>2.1190808518878369E-3</v>
      </c>
      <c r="L22" s="46">
        <v>1.6128127274563898E-2</v>
      </c>
      <c r="M22" s="46">
        <v>3.4173181737238024E-4</v>
      </c>
      <c r="N22" s="28"/>
      <c r="O22" s="28"/>
      <c r="P22" s="28"/>
      <c r="Q22" s="28"/>
      <c r="R22" s="28"/>
    </row>
    <row r="23" spans="1:18" x14ac:dyDescent="0.2">
      <c r="A23" s="30" t="s">
        <v>1468</v>
      </c>
      <c r="B23" s="38" t="s">
        <v>1469</v>
      </c>
      <c r="C23" s="38" t="s">
        <v>266</v>
      </c>
      <c r="D23" s="38" t="s">
        <v>1448</v>
      </c>
      <c r="E23" s="74" t="s">
        <v>1432</v>
      </c>
      <c r="F23" s="80" t="s">
        <v>186</v>
      </c>
      <c r="G23" s="88">
        <v>88066.927541884521</v>
      </c>
      <c r="H23" s="85">
        <v>355.27</v>
      </c>
      <c r="I23" s="104">
        <v>0</v>
      </c>
      <c r="J23" s="104">
        <v>312.87537353637197</v>
      </c>
      <c r="K23" s="38">
        <v>3.9956382070730607E-4</v>
      </c>
      <c r="L23" s="46">
        <v>1.7888232498523251E-2</v>
      </c>
      <c r="M23" s="46">
        <v>3.7902591523697649E-4</v>
      </c>
      <c r="N23" s="28"/>
      <c r="O23" s="28"/>
      <c r="P23" s="28"/>
      <c r="Q23" s="28"/>
      <c r="R23" s="28"/>
    </row>
    <row r="24" spans="1:18" x14ac:dyDescent="0.2">
      <c r="A24" s="30" t="s">
        <v>1470</v>
      </c>
      <c r="B24" s="38" t="s">
        <v>1471</v>
      </c>
      <c r="C24" s="38" t="s">
        <v>266</v>
      </c>
      <c r="D24" s="38" t="s">
        <v>1448</v>
      </c>
      <c r="E24" s="74" t="s">
        <v>1432</v>
      </c>
      <c r="F24" s="80" t="s">
        <v>186</v>
      </c>
      <c r="G24" s="88">
        <v>883.66322489475056</v>
      </c>
      <c r="H24" s="85">
        <v>3240</v>
      </c>
      <c r="I24" s="104">
        <v>0</v>
      </c>
      <c r="J24" s="104">
        <v>28.630688486589918</v>
      </c>
      <c r="K24" s="38">
        <v>3.2874339236033237E-4</v>
      </c>
      <c r="L24" s="46">
        <v>1.6369214567837351E-3</v>
      </c>
      <c r="M24" s="46">
        <v>3.4684011032376708E-5</v>
      </c>
      <c r="N24" s="28"/>
      <c r="O24" s="28"/>
      <c r="P24" s="28"/>
      <c r="Q24" s="28"/>
      <c r="R24" s="28"/>
    </row>
    <row r="25" spans="1:18" x14ac:dyDescent="0.2">
      <c r="A25" s="30" t="s">
        <v>1437</v>
      </c>
      <c r="B25" s="38" t="s">
        <v>1438</v>
      </c>
      <c r="C25" s="38" t="s">
        <v>266</v>
      </c>
      <c r="D25" s="38" t="s">
        <v>1439</v>
      </c>
      <c r="E25" s="74" t="s">
        <v>1432</v>
      </c>
      <c r="F25" s="80" t="s">
        <v>186</v>
      </c>
      <c r="G25" s="88">
        <v>13915.223912389543</v>
      </c>
      <c r="H25" s="85">
        <v>3321.7</v>
      </c>
      <c r="I25" s="104">
        <v>0</v>
      </c>
      <c r="J25" s="104">
        <v>462.22199264381334</v>
      </c>
      <c r="K25" s="38">
        <v>6.0800309315840587E-4</v>
      </c>
      <c r="L25" s="46">
        <v>2.6426926404874231E-2</v>
      </c>
      <c r="M25" s="46">
        <v>5.5994855659074094E-4</v>
      </c>
      <c r="N25" s="28"/>
      <c r="O25" s="28"/>
      <c r="P25" s="28"/>
      <c r="Q25" s="28"/>
      <c r="R25" s="28"/>
    </row>
    <row r="26" spans="1:18" x14ac:dyDescent="0.2">
      <c r="A26" s="30" t="s">
        <v>1440</v>
      </c>
      <c r="B26" s="38" t="s">
        <v>1441</v>
      </c>
      <c r="C26" s="38" t="s">
        <v>266</v>
      </c>
      <c r="D26" s="38" t="s">
        <v>1439</v>
      </c>
      <c r="E26" s="74" t="s">
        <v>1432</v>
      </c>
      <c r="F26" s="80" t="s">
        <v>186</v>
      </c>
      <c r="G26" s="88">
        <v>6670.9549559086763</v>
      </c>
      <c r="H26" s="85">
        <v>3144.8</v>
      </c>
      <c r="I26" s="104">
        <v>0</v>
      </c>
      <c r="J26" s="104">
        <v>209.78819142640097</v>
      </c>
      <c r="K26" s="38">
        <v>1.2399544527711293E-3</v>
      </c>
      <c r="L26" s="46">
        <v>1.1994360250420617E-2</v>
      </c>
      <c r="M26" s="46">
        <v>2.5414324036614525E-4</v>
      </c>
      <c r="N26" s="28"/>
      <c r="O26" s="28"/>
      <c r="P26" s="28"/>
      <c r="Q26" s="28"/>
      <c r="R26" s="28"/>
    </row>
    <row r="27" spans="1:18" x14ac:dyDescent="0.2">
      <c r="A27" s="30" t="s">
        <v>1442</v>
      </c>
      <c r="B27" s="38" t="s">
        <v>1443</v>
      </c>
      <c r="C27" s="38" t="s">
        <v>266</v>
      </c>
      <c r="D27" s="38" t="s">
        <v>1439</v>
      </c>
      <c r="E27" s="74" t="s">
        <v>1432</v>
      </c>
      <c r="F27" s="80" t="s">
        <v>186</v>
      </c>
      <c r="G27" s="88">
        <v>19247.406119765761</v>
      </c>
      <c r="H27" s="85">
        <v>3245.7000000000003</v>
      </c>
      <c r="I27" s="104">
        <v>0</v>
      </c>
      <c r="J27" s="104">
        <v>624.71306041572973</v>
      </c>
      <c r="K27" s="38">
        <v>5.240723946821936E-4</v>
      </c>
      <c r="L27" s="46">
        <v>3.5717136645404511E-2</v>
      </c>
      <c r="M27" s="46">
        <v>7.5679474804378759E-4</v>
      </c>
      <c r="N27" s="28"/>
      <c r="O27" s="28"/>
      <c r="P27" s="28"/>
      <c r="Q27" s="28"/>
      <c r="R27" s="28"/>
    </row>
    <row r="28" spans="1:18" x14ac:dyDescent="0.2">
      <c r="A28" s="30" t="s">
        <v>1444</v>
      </c>
      <c r="B28" s="38" t="s">
        <v>1445</v>
      </c>
      <c r="C28" s="38" t="s">
        <v>266</v>
      </c>
      <c r="D28" s="38" t="s">
        <v>1439</v>
      </c>
      <c r="E28" s="74" t="s">
        <v>1432</v>
      </c>
      <c r="F28" s="80" t="s">
        <v>186</v>
      </c>
      <c r="G28" s="88">
        <v>11662.247392470636</v>
      </c>
      <c r="H28" s="85">
        <v>3294.6</v>
      </c>
      <c r="I28" s="104">
        <v>0</v>
      </c>
      <c r="J28" s="104">
        <v>384.22440255181493</v>
      </c>
      <c r="K28" s="38">
        <v>3.2199919632976844E-3</v>
      </c>
      <c r="L28" s="46">
        <v>2.1967518142344475E-2</v>
      </c>
      <c r="M28" s="46">
        <v>4.6546011016316836E-4</v>
      </c>
      <c r="N28" s="28"/>
      <c r="O28" s="28"/>
      <c r="P28" s="28"/>
      <c r="Q28" s="28"/>
      <c r="R28" s="28"/>
    </row>
    <row r="29" spans="1:18" x14ac:dyDescent="0.2">
      <c r="A29" s="30" t="s">
        <v>1462</v>
      </c>
      <c r="B29" s="38" t="s">
        <v>1463</v>
      </c>
      <c r="C29" s="38" t="s">
        <v>266</v>
      </c>
      <c r="D29" s="38" t="s">
        <v>1439</v>
      </c>
      <c r="E29" s="74" t="s">
        <v>1432</v>
      </c>
      <c r="F29" s="80" t="s">
        <v>186</v>
      </c>
      <c r="G29" s="88">
        <v>1916.6995737958998</v>
      </c>
      <c r="H29" s="85">
        <v>3160.7</v>
      </c>
      <c r="I29" s="104">
        <v>0</v>
      </c>
      <c r="J29" s="104">
        <v>60.581123368183079</v>
      </c>
      <c r="K29" s="38">
        <v>7.3120888643728708E-4</v>
      </c>
      <c r="L29" s="46">
        <v>3.4636449893228789E-3</v>
      </c>
      <c r="M29" s="46">
        <v>7.3389655028379693E-5</v>
      </c>
      <c r="N29" s="28"/>
      <c r="O29" s="28"/>
      <c r="P29" s="28"/>
      <c r="Q29" s="28"/>
      <c r="R29" s="28"/>
    </row>
    <row r="30" spans="1:18" x14ac:dyDescent="0.2">
      <c r="A30" s="30" t="s">
        <v>1466</v>
      </c>
      <c r="B30" s="38" t="s">
        <v>1467</v>
      </c>
      <c r="C30" s="38" t="s">
        <v>266</v>
      </c>
      <c r="D30" s="38" t="s">
        <v>1439</v>
      </c>
      <c r="E30" s="74" t="s">
        <v>1432</v>
      </c>
      <c r="F30" s="80" t="s">
        <v>186</v>
      </c>
      <c r="G30" s="88">
        <v>3277.921852743752</v>
      </c>
      <c r="H30" s="85">
        <v>3563.9</v>
      </c>
      <c r="I30" s="104">
        <v>0</v>
      </c>
      <c r="J30" s="104">
        <v>116.82185688967327</v>
      </c>
      <c r="K30" s="38">
        <v>2.2072901249988651E-4</v>
      </c>
      <c r="L30" s="46">
        <v>6.6791339737985247E-3</v>
      </c>
      <c r="M30" s="46">
        <v>1.4152124127514337E-4</v>
      </c>
      <c r="N30" s="28"/>
      <c r="O30" s="28"/>
      <c r="P30" s="28"/>
      <c r="Q30" s="28"/>
      <c r="R30" s="28"/>
    </row>
    <row r="31" spans="1:18" x14ac:dyDescent="0.2">
      <c r="A31" s="30" t="s">
        <v>1429</v>
      </c>
      <c r="B31" s="38" t="s">
        <v>1430</v>
      </c>
      <c r="C31" s="38" t="s">
        <v>266</v>
      </c>
      <c r="D31" s="38" t="s">
        <v>1431</v>
      </c>
      <c r="E31" s="74" t="s">
        <v>1432</v>
      </c>
      <c r="F31" s="80" t="s">
        <v>186</v>
      </c>
      <c r="G31" s="88">
        <v>316617.43227145809</v>
      </c>
      <c r="H31" s="85">
        <v>332.26</v>
      </c>
      <c r="I31" s="104">
        <v>0</v>
      </c>
      <c r="J31" s="104">
        <v>1051.9930804056596</v>
      </c>
      <c r="K31" s="38">
        <v>1.0105609559866017E-3</v>
      </c>
      <c r="L31" s="46">
        <v>6.0146302332569047E-2</v>
      </c>
      <c r="M31" s="46">
        <v>1.2744136287139531E-3</v>
      </c>
      <c r="N31" s="28"/>
      <c r="O31" s="28"/>
      <c r="P31" s="28"/>
      <c r="Q31" s="28"/>
      <c r="R31" s="28"/>
    </row>
    <row r="32" spans="1:18" x14ac:dyDescent="0.2">
      <c r="A32" s="30" t="s">
        <v>1433</v>
      </c>
      <c r="B32" s="38" t="s">
        <v>1434</v>
      </c>
      <c r="C32" s="38" t="s">
        <v>266</v>
      </c>
      <c r="D32" s="38" t="s">
        <v>1431</v>
      </c>
      <c r="E32" s="74" t="s">
        <v>1432</v>
      </c>
      <c r="F32" s="80" t="s">
        <v>186</v>
      </c>
      <c r="G32" s="88">
        <v>26183.274787240549</v>
      </c>
      <c r="H32" s="85">
        <v>316.33</v>
      </c>
      <c r="I32" s="104">
        <v>0</v>
      </c>
      <c r="J32" s="104">
        <v>82.825553077199302</v>
      </c>
      <c r="K32" s="38">
        <v>5.2364679108143355E-4</v>
      </c>
      <c r="L32" s="46">
        <v>4.7354406117600103E-3</v>
      </c>
      <c r="M32" s="46">
        <v>1.0033717484781454E-4</v>
      </c>
      <c r="N32" s="28"/>
      <c r="O32" s="28"/>
      <c r="P32" s="28"/>
      <c r="Q32" s="28"/>
      <c r="R32" s="28"/>
    </row>
    <row r="33" spans="1:18" x14ac:dyDescent="0.2">
      <c r="A33" s="30" t="s">
        <v>1435</v>
      </c>
      <c r="B33" s="38" t="s">
        <v>1436</v>
      </c>
      <c r="C33" s="38" t="s">
        <v>266</v>
      </c>
      <c r="D33" s="38" t="s">
        <v>1431</v>
      </c>
      <c r="E33" s="74" t="s">
        <v>1432</v>
      </c>
      <c r="F33" s="80" t="s">
        <v>186</v>
      </c>
      <c r="G33" s="88">
        <v>264404.96407644026</v>
      </c>
      <c r="H33" s="85">
        <v>326</v>
      </c>
      <c r="I33" s="104">
        <v>0</v>
      </c>
      <c r="J33" s="104">
        <v>861.96018283381432</v>
      </c>
      <c r="K33" s="38">
        <v>6.681192886006461E-4</v>
      </c>
      <c r="L33" s="46">
        <v>4.9281424679492765E-2</v>
      </c>
      <c r="M33" s="46">
        <v>1.0442024998763234E-3</v>
      </c>
      <c r="N33" s="28"/>
      <c r="O33" s="28"/>
      <c r="P33" s="28"/>
      <c r="Q33" s="28"/>
      <c r="R33" s="28"/>
    </row>
    <row r="34" spans="1:18" x14ac:dyDescent="0.2">
      <c r="A34" s="30" t="s">
        <v>1464</v>
      </c>
      <c r="B34" s="38" t="s">
        <v>1465</v>
      </c>
      <c r="C34" s="38" t="s">
        <v>266</v>
      </c>
      <c r="D34" s="38" t="s">
        <v>1431</v>
      </c>
      <c r="E34" s="74" t="s">
        <v>1432</v>
      </c>
      <c r="F34" s="80" t="s">
        <v>186</v>
      </c>
      <c r="G34" s="88">
        <v>97542.309715077106</v>
      </c>
      <c r="H34" s="85">
        <v>358.13</v>
      </c>
      <c r="I34" s="104">
        <v>0</v>
      </c>
      <c r="J34" s="104">
        <v>349.32827374360261</v>
      </c>
      <c r="K34" s="38">
        <v>4.2496376224134637E-4</v>
      </c>
      <c r="L34" s="46">
        <v>1.997237848541283E-2</v>
      </c>
      <c r="M34" s="46">
        <v>4.2318597075020333E-4</v>
      </c>
      <c r="N34" s="28"/>
      <c r="O34" s="28"/>
      <c r="P34" s="28"/>
      <c r="Q34" s="28"/>
      <c r="R34" s="28"/>
    </row>
    <row r="35" spans="1:18" s="137" customFormat="1" x14ac:dyDescent="0.2">
      <c r="A35" s="112" t="s">
        <v>1474</v>
      </c>
      <c r="B35" s="144" t="s">
        <v>180</v>
      </c>
      <c r="C35" s="144" t="s">
        <v>180</v>
      </c>
      <c r="D35" s="144" t="s">
        <v>180</v>
      </c>
      <c r="E35" s="144" t="s">
        <v>180</v>
      </c>
      <c r="F35" s="145" t="s">
        <v>180</v>
      </c>
      <c r="G35" s="155" t="s">
        <v>180</v>
      </c>
      <c r="H35" s="141" t="s">
        <v>180</v>
      </c>
      <c r="I35" s="146" t="s">
        <v>180</v>
      </c>
      <c r="J35" s="146">
        <v>0</v>
      </c>
      <c r="K35" s="144" t="s">
        <v>180</v>
      </c>
      <c r="L35" s="140">
        <v>0</v>
      </c>
      <c r="M35" s="140">
        <v>0</v>
      </c>
    </row>
    <row r="36" spans="1:18" s="137" customFormat="1" x14ac:dyDescent="0.2">
      <c r="A36" s="112" t="s">
        <v>1475</v>
      </c>
      <c r="B36" s="144" t="s">
        <v>180</v>
      </c>
      <c r="C36" s="144" t="s">
        <v>180</v>
      </c>
      <c r="D36" s="144" t="s">
        <v>180</v>
      </c>
      <c r="E36" s="144" t="s">
        <v>180</v>
      </c>
      <c r="F36" s="145" t="s">
        <v>180</v>
      </c>
      <c r="G36" s="155" t="s">
        <v>180</v>
      </c>
      <c r="H36" s="141" t="s">
        <v>180</v>
      </c>
      <c r="I36" s="146" t="s">
        <v>180</v>
      </c>
      <c r="J36" s="146">
        <v>0</v>
      </c>
      <c r="K36" s="144" t="s">
        <v>180</v>
      </c>
      <c r="L36" s="140">
        <v>0</v>
      </c>
      <c r="M36" s="140">
        <v>0</v>
      </c>
    </row>
    <row r="37" spans="1:18" s="137" customFormat="1" x14ac:dyDescent="0.2">
      <c r="A37" s="112" t="s">
        <v>144</v>
      </c>
      <c r="B37" s="144" t="s">
        <v>180</v>
      </c>
      <c r="C37" s="144" t="s">
        <v>180</v>
      </c>
      <c r="D37" s="144" t="s">
        <v>180</v>
      </c>
      <c r="E37" s="144" t="s">
        <v>180</v>
      </c>
      <c r="F37" s="145" t="s">
        <v>180</v>
      </c>
      <c r="G37" s="155" t="s">
        <v>180</v>
      </c>
      <c r="H37" s="141" t="s">
        <v>180</v>
      </c>
      <c r="I37" s="146" t="s">
        <v>180</v>
      </c>
      <c r="J37" s="146">
        <v>0</v>
      </c>
      <c r="K37" s="144" t="s">
        <v>180</v>
      </c>
      <c r="L37" s="140">
        <v>0</v>
      </c>
      <c r="M37" s="140">
        <v>0</v>
      </c>
    </row>
    <row r="38" spans="1:18" s="137" customFormat="1" x14ac:dyDescent="0.2">
      <c r="A38" s="112" t="s">
        <v>357</v>
      </c>
      <c r="B38" s="144" t="s">
        <v>180</v>
      </c>
      <c r="C38" s="144" t="s">
        <v>180</v>
      </c>
      <c r="D38" s="144" t="s">
        <v>180</v>
      </c>
      <c r="E38" s="144" t="s">
        <v>180</v>
      </c>
      <c r="F38" s="145" t="s">
        <v>180</v>
      </c>
      <c r="G38" s="155" t="s">
        <v>180</v>
      </c>
      <c r="H38" s="141" t="s">
        <v>180</v>
      </c>
      <c r="I38" s="146" t="s">
        <v>180</v>
      </c>
      <c r="J38" s="146">
        <v>9171.9690879477766</v>
      </c>
      <c r="K38" s="144" t="s">
        <v>180</v>
      </c>
      <c r="L38" s="140">
        <v>0.52439510869782402</v>
      </c>
      <c r="M38" s="140">
        <v>1.1111178034855873E-2</v>
      </c>
    </row>
    <row r="39" spans="1:18" s="137" customFormat="1" x14ac:dyDescent="0.2">
      <c r="A39" s="112" t="s">
        <v>1476</v>
      </c>
      <c r="B39" s="144" t="s">
        <v>180</v>
      </c>
      <c r="C39" s="144" t="s">
        <v>180</v>
      </c>
      <c r="D39" s="144" t="s">
        <v>180</v>
      </c>
      <c r="E39" s="144" t="s">
        <v>180</v>
      </c>
      <c r="F39" s="145" t="s">
        <v>180</v>
      </c>
      <c r="G39" s="155" t="s">
        <v>180</v>
      </c>
      <c r="H39" s="141" t="s">
        <v>180</v>
      </c>
      <c r="I39" s="146" t="s">
        <v>180</v>
      </c>
      <c r="J39" s="146">
        <v>0</v>
      </c>
      <c r="K39" s="144" t="s">
        <v>180</v>
      </c>
      <c r="L39" s="140">
        <v>0</v>
      </c>
      <c r="M39" s="140">
        <v>0</v>
      </c>
    </row>
    <row r="40" spans="1:18" s="137" customFormat="1" x14ac:dyDescent="0.2">
      <c r="A40" s="112" t="s">
        <v>1477</v>
      </c>
      <c r="B40" s="144" t="s">
        <v>180</v>
      </c>
      <c r="C40" s="144" t="s">
        <v>180</v>
      </c>
      <c r="D40" s="144" t="s">
        <v>180</v>
      </c>
      <c r="E40" s="144" t="s">
        <v>180</v>
      </c>
      <c r="F40" s="145" t="s">
        <v>180</v>
      </c>
      <c r="G40" s="155" t="s">
        <v>180</v>
      </c>
      <c r="H40" s="141" t="s">
        <v>180</v>
      </c>
      <c r="I40" s="146" t="s">
        <v>180</v>
      </c>
      <c r="J40" s="146">
        <v>9171.9690876477762</v>
      </c>
      <c r="K40" s="144" t="s">
        <v>180</v>
      </c>
      <c r="L40" s="140">
        <v>0.52439510868067196</v>
      </c>
      <c r="M40" s="140">
        <v>1.1111178034492445E-2</v>
      </c>
    </row>
    <row r="41" spans="1:18" x14ac:dyDescent="0.2">
      <c r="A41" s="30" t="s">
        <v>1478</v>
      </c>
      <c r="B41" s="38" t="s">
        <v>1479</v>
      </c>
      <c r="C41" s="38" t="s">
        <v>1480</v>
      </c>
      <c r="D41" s="38" t="s">
        <v>180</v>
      </c>
      <c r="E41" s="74" t="s">
        <v>1481</v>
      </c>
      <c r="F41" s="80" t="s">
        <v>127</v>
      </c>
      <c r="G41" s="88">
        <v>182215.05713260311</v>
      </c>
      <c r="H41" s="85">
        <v>560.29999999999995</v>
      </c>
      <c r="I41" s="104">
        <v>0</v>
      </c>
      <c r="J41" s="104">
        <v>3538.616045085038</v>
      </c>
      <c r="K41" s="38">
        <v>1.0284036002067153E-3</v>
      </c>
      <c r="L41" s="46">
        <v>0.20231565630117379</v>
      </c>
      <c r="M41" s="46">
        <v>4.2867777351760419E-3</v>
      </c>
      <c r="N41" s="28"/>
      <c r="O41" s="28"/>
      <c r="P41" s="28"/>
      <c r="Q41" s="28"/>
      <c r="R41" s="28"/>
    </row>
    <row r="42" spans="1:18" x14ac:dyDescent="0.2">
      <c r="A42" s="30" t="s">
        <v>1482</v>
      </c>
      <c r="B42" s="38" t="s">
        <v>1483</v>
      </c>
      <c r="C42" s="38" t="s">
        <v>1480</v>
      </c>
      <c r="D42" s="38" t="s">
        <v>180</v>
      </c>
      <c r="E42" s="74" t="s">
        <v>1481</v>
      </c>
      <c r="F42" s="80" t="s">
        <v>127</v>
      </c>
      <c r="G42" s="88">
        <v>5305.4891370903106</v>
      </c>
      <c r="H42" s="85">
        <v>9968</v>
      </c>
      <c r="I42" s="104">
        <v>0</v>
      </c>
      <c r="J42" s="104">
        <v>1832.9981107438657</v>
      </c>
      <c r="K42" s="38">
        <v>1.51392961834808E-3</v>
      </c>
      <c r="L42" s="46">
        <v>0.10479922406078529</v>
      </c>
      <c r="M42" s="46">
        <v>2.2205448089431586E-3</v>
      </c>
      <c r="N42" s="28"/>
      <c r="O42" s="28"/>
      <c r="P42" s="28"/>
      <c r="Q42" s="28"/>
      <c r="R42" s="28"/>
    </row>
    <row r="43" spans="1:18" x14ac:dyDescent="0.2">
      <c r="A43" s="30" t="s">
        <v>1486</v>
      </c>
      <c r="B43" s="38" t="s">
        <v>1487</v>
      </c>
      <c r="C43" s="38" t="s">
        <v>1480</v>
      </c>
      <c r="D43" s="38" t="s">
        <v>180</v>
      </c>
      <c r="E43" s="74" t="s">
        <v>1481</v>
      </c>
      <c r="F43" s="80" t="s">
        <v>127</v>
      </c>
      <c r="G43" s="88">
        <v>10186.451660968092</v>
      </c>
      <c r="H43" s="85">
        <v>5594</v>
      </c>
      <c r="I43" s="104">
        <v>0</v>
      </c>
      <c r="J43" s="104">
        <v>1975.0311470998481</v>
      </c>
      <c r="K43" s="38">
        <v>9.6065429001281015E-5</v>
      </c>
      <c r="L43" s="46">
        <v>0.11291977362047015</v>
      </c>
      <c r="M43" s="46">
        <v>2.3926075730726429E-3</v>
      </c>
      <c r="N43" s="28"/>
      <c r="O43" s="28"/>
      <c r="P43" s="28"/>
      <c r="Q43" s="28"/>
      <c r="R43" s="28"/>
    </row>
    <row r="44" spans="1:18" x14ac:dyDescent="0.2">
      <c r="A44" s="30" t="s">
        <v>1488</v>
      </c>
      <c r="B44" s="38" t="s">
        <v>1489</v>
      </c>
      <c r="C44" s="38" t="s">
        <v>1480</v>
      </c>
      <c r="D44" s="38" t="s">
        <v>180</v>
      </c>
      <c r="E44" s="74" t="s">
        <v>1481</v>
      </c>
      <c r="F44" s="80" t="s">
        <v>127</v>
      </c>
      <c r="G44" s="88">
        <v>2534.1324318767765</v>
      </c>
      <c r="H44" s="85">
        <v>10842</v>
      </c>
      <c r="I44" s="104">
        <v>0</v>
      </c>
      <c r="J44" s="104">
        <v>952.28571217575688</v>
      </c>
      <c r="K44" s="38">
        <v>2.9109349079091925E-5</v>
      </c>
      <c r="L44" s="46">
        <v>5.4445666438625723E-2</v>
      </c>
      <c r="M44" s="46">
        <v>1.1536253542260737E-3</v>
      </c>
      <c r="N44" s="28"/>
      <c r="O44" s="28"/>
      <c r="P44" s="28"/>
      <c r="Q44" s="28"/>
      <c r="R44" s="28"/>
    </row>
    <row r="45" spans="1:18" x14ac:dyDescent="0.2">
      <c r="A45" s="30" t="s">
        <v>1484</v>
      </c>
      <c r="B45" s="38" t="s">
        <v>1485</v>
      </c>
      <c r="C45" s="38" t="s">
        <v>1480</v>
      </c>
      <c r="D45" s="38" t="s">
        <v>180</v>
      </c>
      <c r="E45" s="74" t="s">
        <v>1481</v>
      </c>
      <c r="F45" s="80" t="s">
        <v>127</v>
      </c>
      <c r="G45" s="88">
        <v>3696.6003110397633</v>
      </c>
      <c r="H45" s="85">
        <v>6814</v>
      </c>
      <c r="I45" s="104">
        <v>0</v>
      </c>
      <c r="J45" s="104">
        <v>873.03807244326856</v>
      </c>
      <c r="K45" s="38">
        <v>8.1413650399158618E-5</v>
      </c>
      <c r="L45" s="46">
        <v>4.9914788253899681E-2</v>
      </c>
      <c r="M45" s="46">
        <v>1.0576225629533858E-3</v>
      </c>
      <c r="N45" s="28"/>
      <c r="O45" s="28"/>
      <c r="P45" s="28"/>
      <c r="Q45" s="28"/>
      <c r="R45" s="28"/>
    </row>
    <row r="46" spans="1:18" s="137" customFormat="1" x14ac:dyDescent="0.2">
      <c r="A46" s="112" t="s">
        <v>144</v>
      </c>
      <c r="B46" s="144" t="s">
        <v>180</v>
      </c>
      <c r="C46" s="144" t="s">
        <v>180</v>
      </c>
      <c r="D46" s="144" t="s">
        <v>180</v>
      </c>
      <c r="E46" s="144" t="s">
        <v>180</v>
      </c>
      <c r="F46" s="145" t="s">
        <v>180</v>
      </c>
      <c r="G46" s="155" t="s">
        <v>180</v>
      </c>
      <c r="H46" s="141" t="s">
        <v>180</v>
      </c>
      <c r="I46" s="146" t="s">
        <v>180</v>
      </c>
      <c r="J46" s="146">
        <v>0</v>
      </c>
      <c r="K46" s="144" t="s">
        <v>180</v>
      </c>
      <c r="L46" s="140">
        <v>0</v>
      </c>
      <c r="M46" s="140">
        <v>0</v>
      </c>
    </row>
    <row r="47" spans="1:18" s="137" customFormat="1" x14ac:dyDescent="0.2">
      <c r="A47" s="231" t="s">
        <v>1475</v>
      </c>
      <c r="B47" s="232" t="s">
        <v>180</v>
      </c>
      <c r="C47" s="232" t="s">
        <v>180</v>
      </c>
      <c r="D47" s="232" t="s">
        <v>180</v>
      </c>
      <c r="E47" s="232" t="s">
        <v>180</v>
      </c>
      <c r="F47" s="239" t="s">
        <v>180</v>
      </c>
      <c r="G47" s="240" t="s">
        <v>180</v>
      </c>
      <c r="H47" s="241" t="s">
        <v>180</v>
      </c>
      <c r="I47" s="237" t="s">
        <v>180</v>
      </c>
      <c r="J47" s="237">
        <v>0</v>
      </c>
      <c r="K47" s="232" t="s">
        <v>180</v>
      </c>
      <c r="L47" s="238">
        <v>0</v>
      </c>
      <c r="M47" s="238">
        <v>0</v>
      </c>
    </row>
    <row r="48" spans="1:18" s="137" customFormat="1" x14ac:dyDescent="0.2">
      <c r="A48" s="97" t="s">
        <v>171</v>
      </c>
      <c r="B48" s="147"/>
      <c r="C48" s="147"/>
      <c r="D48" s="147"/>
      <c r="E48" s="147"/>
      <c r="F48" s="147"/>
      <c r="G48" s="148"/>
      <c r="H48" s="148"/>
      <c r="I48" s="148"/>
      <c r="J48" s="148"/>
      <c r="K48" s="149"/>
      <c r="L48" s="149"/>
      <c r="M48" s="150"/>
      <c r="N48" s="168"/>
      <c r="O48" s="168"/>
      <c r="P48" s="168"/>
      <c r="Q48" s="152"/>
      <c r="R48" s="152"/>
    </row>
    <row r="49" spans="1:18" s="137" customFormat="1" x14ac:dyDescent="0.2">
      <c r="A49" s="97" t="s">
        <v>172</v>
      </c>
      <c r="B49" s="147"/>
      <c r="C49" s="147"/>
      <c r="D49" s="147"/>
      <c r="E49" s="147"/>
      <c r="F49" s="147"/>
      <c r="G49" s="148"/>
      <c r="H49" s="148"/>
      <c r="I49" s="148"/>
      <c r="J49" s="148"/>
      <c r="K49" s="149"/>
      <c r="L49" s="149"/>
      <c r="M49" s="150"/>
      <c r="N49" s="168"/>
      <c r="O49" s="168"/>
      <c r="P49" s="168"/>
      <c r="Q49" s="152"/>
      <c r="R49" s="152"/>
    </row>
    <row r="50" spans="1:18" s="137" customFormat="1" x14ac:dyDescent="0.2">
      <c r="A50" s="97" t="s">
        <v>173</v>
      </c>
      <c r="B50" s="147"/>
      <c r="C50" s="147"/>
      <c r="D50" s="147"/>
      <c r="E50" s="147"/>
      <c r="F50" s="147"/>
      <c r="G50" s="148"/>
      <c r="H50" s="148"/>
      <c r="I50" s="148"/>
      <c r="J50" s="148"/>
      <c r="K50" s="149"/>
      <c r="L50" s="149"/>
      <c r="M50" s="150"/>
      <c r="N50" s="168"/>
      <c r="O50" s="168"/>
      <c r="P50" s="168"/>
      <c r="Q50" s="152"/>
      <c r="R50" s="152"/>
    </row>
    <row r="51" spans="1:18" s="137" customFormat="1" x14ac:dyDescent="0.2">
      <c r="A51" s="97" t="s">
        <v>174</v>
      </c>
      <c r="B51" s="147"/>
      <c r="C51" s="147"/>
      <c r="D51" s="147"/>
      <c r="E51" s="147"/>
      <c r="F51" s="147"/>
      <c r="G51" s="148"/>
      <c r="H51" s="148"/>
      <c r="I51" s="148"/>
      <c r="J51" s="148"/>
      <c r="K51" s="149"/>
      <c r="L51" s="149"/>
      <c r="M51" s="150"/>
      <c r="N51" s="168"/>
      <c r="O51" s="168"/>
      <c r="P51" s="168"/>
      <c r="Q51" s="152"/>
      <c r="R51" s="152"/>
    </row>
    <row r="52" spans="1:18" s="137" customFormat="1" x14ac:dyDescent="0.2">
      <c r="A52" s="97" t="s">
        <v>175</v>
      </c>
      <c r="B52" s="147"/>
      <c r="C52" s="147"/>
      <c r="D52" s="147"/>
      <c r="E52" s="147"/>
      <c r="F52" s="147"/>
      <c r="G52" s="148"/>
      <c r="H52" s="148"/>
      <c r="I52" s="148"/>
      <c r="J52" s="148"/>
      <c r="K52" s="149"/>
      <c r="L52" s="149"/>
      <c r="M52" s="150"/>
      <c r="N52" s="168"/>
      <c r="O52" s="168"/>
      <c r="P52" s="168"/>
      <c r="Q52" s="152"/>
      <c r="R52" s="152"/>
    </row>
  </sheetData>
  <mergeCells count="2">
    <mergeCell ref="A6:M6"/>
    <mergeCell ref="A5:M5"/>
  </mergeCells>
  <conditionalFormatting sqref="C10:E47">
    <cfRule type="expression" dxfId="122" priority="11" stopIfTrue="1">
      <formula>LEFT($IC10,3)="TIR"</formula>
    </cfRule>
  </conditionalFormatting>
  <conditionalFormatting sqref="M1:M4 G10:H47 K10:K47 M48:M55582">
    <cfRule type="expression" dxfId="121" priority="130" stopIfTrue="1">
      <formula>LEFT(#REF!,3)="TIR"</formula>
    </cfRule>
  </conditionalFormatting>
  <conditionalFormatting sqref="B10:F47 L10:M47">
    <cfRule type="expression" dxfId="120" priority="134" stopIfTrue="1">
      <formula>OR(LEFT(#REF!,3)="TIR",LEFT(#REF!,2)="IR")</formula>
    </cfRule>
  </conditionalFormatting>
  <conditionalFormatting sqref="A10:A47 I10:J47">
    <cfRule type="expression" dxfId="119" priority="136" stopIfTrue="1">
      <formula>#REF!&gt;0</formula>
    </cfRule>
    <cfRule type="expression" dxfId="118" priority="137" stopIfTrue="1">
      <formula>LEFT(#REF!,3)="TIR"</formula>
    </cfRule>
  </conditionalFormatting>
  <conditionalFormatting sqref="C10:D47">
    <cfRule type="expression" dxfId="117" priority="14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6" fitToHeight="0" orientation="landscape"/>
  <headerFooter alignWithMargin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53B8D-5852-4693-B6ED-22F25DA4A2E4}">
  <sheetPr codeName="גיליון8">
    <pageSetUpPr fitToPage="1"/>
  </sheetPr>
  <dimension ref="A1:S38"/>
  <sheetViews>
    <sheetView rightToLeft="1" zoomScale="80" zoomScaleNormal="80" workbookViewId="0">
      <selection activeCell="A7" sqref="A7:N33"/>
    </sheetView>
  </sheetViews>
  <sheetFormatPr defaultRowHeight="12.75" x14ac:dyDescent="0.2"/>
  <cols>
    <col min="1" max="1" width="33.85546875" style="23" bestFit="1" customWidth="1"/>
    <col min="2" max="2" width="15.285156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8.5703125" style="79" bestFit="1" customWidth="1"/>
    <col min="7" max="7" width="11.140625" style="79" customWidth="1"/>
    <col min="8" max="8" width="12.7109375" style="79" bestFit="1" customWidth="1"/>
    <col min="9" max="9" width="12.42578125" style="50" bestFit="1" customWidth="1"/>
    <col min="10" max="10" width="10.28515625" style="81" bestFit="1" customWidth="1"/>
    <col min="11" max="11" width="10.42578125" style="83" customWidth="1"/>
    <col min="12" max="12" width="22" style="83" customWidth="1"/>
    <col min="13" max="13" width="25.42578125" style="83" customWidth="1"/>
    <col min="14" max="14" width="20.7109375" style="8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9" s="20" customFormat="1" x14ac:dyDescent="0.2">
      <c r="A1" s="20" t="s">
        <v>166</v>
      </c>
      <c r="B1" s="22" t="s">
        <v>176</v>
      </c>
      <c r="C1" s="22"/>
      <c r="D1" s="22"/>
      <c r="E1" s="22"/>
      <c r="F1" s="79"/>
      <c r="G1" s="79"/>
      <c r="H1" s="79"/>
      <c r="I1" s="50"/>
      <c r="J1" s="81"/>
      <c r="K1" s="82"/>
      <c r="L1" s="82"/>
      <c r="M1" s="82"/>
      <c r="N1" s="82"/>
      <c r="O1" s="26"/>
      <c r="P1" s="26"/>
      <c r="Q1" s="28"/>
    </row>
    <row r="2" spans="1:19" s="20" customFormat="1" x14ac:dyDescent="0.2">
      <c r="A2" s="23" t="s">
        <v>167</v>
      </c>
      <c r="B2" s="22" t="s">
        <v>153</v>
      </c>
      <c r="C2" s="22"/>
      <c r="D2" s="22"/>
      <c r="E2" s="22"/>
      <c r="F2" s="79"/>
      <c r="G2" s="79"/>
      <c r="H2" s="79"/>
      <c r="I2" s="50"/>
      <c r="J2" s="81"/>
      <c r="K2" s="82"/>
      <c r="L2" s="82"/>
      <c r="M2" s="82"/>
      <c r="N2" s="82"/>
      <c r="O2" s="26"/>
      <c r="P2" s="26"/>
      <c r="Q2" s="28"/>
    </row>
    <row r="3" spans="1:19" s="20" customFormat="1" x14ac:dyDescent="0.2">
      <c r="A3" s="23" t="s">
        <v>168</v>
      </c>
      <c r="B3" s="22" t="s">
        <v>169</v>
      </c>
      <c r="C3" s="22"/>
      <c r="D3" s="22"/>
      <c r="E3" s="22"/>
      <c r="F3" s="79"/>
      <c r="G3" s="79"/>
      <c r="H3" s="79"/>
      <c r="I3" s="50"/>
      <c r="J3" s="81"/>
      <c r="K3" s="82"/>
      <c r="L3" s="82"/>
      <c r="M3" s="82"/>
      <c r="N3" s="82"/>
      <c r="O3" s="26"/>
      <c r="P3" s="26"/>
      <c r="Q3" s="28"/>
    </row>
    <row r="4" spans="1:19" s="20" customFormat="1" ht="13.5" thickBot="1" x14ac:dyDescent="0.25">
      <c r="A4" s="23" t="s">
        <v>170</v>
      </c>
      <c r="B4" s="22" t="s">
        <v>178</v>
      </c>
      <c r="C4" s="22"/>
      <c r="D4" s="22"/>
      <c r="E4" s="22"/>
      <c r="F4" s="79"/>
      <c r="G4" s="79"/>
      <c r="H4" s="79"/>
      <c r="I4" s="50"/>
      <c r="J4" s="81"/>
      <c r="K4" s="82"/>
      <c r="L4" s="82"/>
      <c r="M4" s="82"/>
      <c r="N4" s="82"/>
      <c r="O4" s="26"/>
      <c r="P4" s="26"/>
      <c r="Q4" s="28"/>
    </row>
    <row r="5" spans="1:19" s="20" customFormat="1" ht="15.75" customHeight="1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  <c r="R5" s="26"/>
      <c r="S5" s="26"/>
    </row>
    <row r="6" spans="1:19" s="20" customFormat="1" x14ac:dyDescent="0.2">
      <c r="A6" s="7" t="s">
        <v>22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  <c r="O6" s="26"/>
      <c r="P6" s="26"/>
      <c r="Q6" s="26"/>
      <c r="R6" s="26"/>
      <c r="S6" s="26"/>
    </row>
    <row r="7" spans="1:19" s="20" customFormat="1" ht="30.75" customHeight="1" x14ac:dyDescent="0.2">
      <c r="A7" s="106" t="s">
        <v>160</v>
      </c>
      <c r="B7" s="107" t="s">
        <v>69</v>
      </c>
      <c r="C7" s="107" t="s">
        <v>76</v>
      </c>
      <c r="D7" s="107" t="s">
        <v>74</v>
      </c>
      <c r="E7" s="107" t="s">
        <v>19</v>
      </c>
      <c r="F7" s="107" t="s">
        <v>70</v>
      </c>
      <c r="G7" s="107" t="s">
        <v>5</v>
      </c>
      <c r="H7" s="107" t="s">
        <v>6</v>
      </c>
      <c r="I7" s="108" t="s">
        <v>67</v>
      </c>
      <c r="J7" s="108" t="s">
        <v>68</v>
      </c>
      <c r="K7" s="108" t="s">
        <v>7</v>
      </c>
      <c r="L7" s="109" t="s">
        <v>17</v>
      </c>
      <c r="M7" s="109" t="s">
        <v>75</v>
      </c>
      <c r="N7" s="110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71"/>
      <c r="H8" s="43"/>
      <c r="I8" s="15" t="s">
        <v>136</v>
      </c>
      <c r="J8" s="67"/>
      <c r="K8" s="15" t="s">
        <v>138</v>
      </c>
      <c r="L8" s="75" t="s">
        <v>9</v>
      </c>
      <c r="M8" s="75" t="s">
        <v>9</v>
      </c>
      <c r="N8" s="73" t="s">
        <v>9</v>
      </c>
    </row>
    <row r="9" spans="1:19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6">
        <v>13</v>
      </c>
    </row>
    <row r="10" spans="1:19" s="137" customFormat="1" ht="12.75" customHeight="1" thickBot="1" x14ac:dyDescent="0.25">
      <c r="A10" s="120" t="s">
        <v>54</v>
      </c>
      <c r="B10" s="86"/>
      <c r="C10" s="86"/>
      <c r="D10" s="86"/>
      <c r="E10" s="86"/>
      <c r="F10" s="121"/>
      <c r="G10" s="121"/>
      <c r="H10" s="121"/>
      <c r="I10" s="124"/>
      <c r="J10" s="121"/>
      <c r="K10" s="123">
        <v>37863.373301097155</v>
      </c>
      <c r="L10" s="86"/>
      <c r="M10" s="86">
        <v>1</v>
      </c>
      <c r="N10" s="101">
        <v>4.5868741784304459E-2</v>
      </c>
    </row>
    <row r="11" spans="1:19" s="137" customFormat="1" x14ac:dyDescent="0.2">
      <c r="A11" s="111" t="s">
        <v>140</v>
      </c>
      <c r="B11" s="140" t="s">
        <v>180</v>
      </c>
      <c r="C11" s="140" t="s">
        <v>180</v>
      </c>
      <c r="D11" s="140" t="s">
        <v>180</v>
      </c>
      <c r="E11" s="140" t="s">
        <v>180</v>
      </c>
      <c r="F11" s="141" t="s">
        <v>180</v>
      </c>
      <c r="G11" s="141" t="s">
        <v>180</v>
      </c>
      <c r="H11" s="141" t="s">
        <v>180</v>
      </c>
      <c r="I11" s="153" t="s">
        <v>180</v>
      </c>
      <c r="J11" s="141" t="s">
        <v>180</v>
      </c>
      <c r="K11" s="142">
        <v>0</v>
      </c>
      <c r="L11" s="140" t="s">
        <v>180</v>
      </c>
      <c r="M11" s="140">
        <v>0</v>
      </c>
      <c r="N11" s="140">
        <v>0</v>
      </c>
    </row>
    <row r="12" spans="1:19" s="137" customFormat="1" x14ac:dyDescent="0.2">
      <c r="A12" s="112" t="s">
        <v>58</v>
      </c>
      <c r="B12" s="144" t="s">
        <v>180</v>
      </c>
      <c r="C12" s="144" t="s">
        <v>180</v>
      </c>
      <c r="D12" s="144" t="s">
        <v>180</v>
      </c>
      <c r="E12" s="144" t="s">
        <v>180</v>
      </c>
      <c r="F12" s="141" t="s">
        <v>180</v>
      </c>
      <c r="G12" s="145" t="s">
        <v>180</v>
      </c>
      <c r="H12" s="145" t="s">
        <v>180</v>
      </c>
      <c r="I12" s="155" t="s">
        <v>180</v>
      </c>
      <c r="J12" s="145" t="s">
        <v>180</v>
      </c>
      <c r="K12" s="146">
        <v>0</v>
      </c>
      <c r="L12" s="144" t="s">
        <v>180</v>
      </c>
      <c r="M12" s="144">
        <v>0</v>
      </c>
      <c r="N12" s="140">
        <v>0</v>
      </c>
    </row>
    <row r="13" spans="1:19" s="137" customFormat="1" x14ac:dyDescent="0.2">
      <c r="A13" s="112" t="s">
        <v>1490</v>
      </c>
      <c r="B13" s="144" t="s">
        <v>180</v>
      </c>
      <c r="C13" s="144" t="s">
        <v>180</v>
      </c>
      <c r="D13" s="144" t="s">
        <v>180</v>
      </c>
      <c r="E13" s="144" t="s">
        <v>180</v>
      </c>
      <c r="F13" s="141" t="s">
        <v>180</v>
      </c>
      <c r="G13" s="145" t="s">
        <v>180</v>
      </c>
      <c r="H13" s="145" t="s">
        <v>180</v>
      </c>
      <c r="I13" s="155" t="s">
        <v>180</v>
      </c>
      <c r="J13" s="145" t="s">
        <v>180</v>
      </c>
      <c r="K13" s="146">
        <v>0</v>
      </c>
      <c r="L13" s="144" t="s">
        <v>180</v>
      </c>
      <c r="M13" s="144">
        <v>0</v>
      </c>
      <c r="N13" s="140">
        <v>0</v>
      </c>
    </row>
    <row r="14" spans="1:19" s="137" customFormat="1" x14ac:dyDescent="0.2">
      <c r="A14" s="112" t="s">
        <v>59</v>
      </c>
      <c r="B14" s="144" t="s">
        <v>180</v>
      </c>
      <c r="C14" s="144" t="s">
        <v>180</v>
      </c>
      <c r="D14" s="144" t="s">
        <v>180</v>
      </c>
      <c r="E14" s="144" t="s">
        <v>180</v>
      </c>
      <c r="F14" s="141" t="s">
        <v>180</v>
      </c>
      <c r="G14" s="145" t="s">
        <v>180</v>
      </c>
      <c r="H14" s="145" t="s">
        <v>180</v>
      </c>
      <c r="I14" s="155" t="s">
        <v>180</v>
      </c>
      <c r="J14" s="145" t="s">
        <v>180</v>
      </c>
      <c r="K14" s="146">
        <v>0</v>
      </c>
      <c r="L14" s="144" t="s">
        <v>180</v>
      </c>
      <c r="M14" s="144">
        <v>0</v>
      </c>
      <c r="N14" s="140">
        <v>0</v>
      </c>
    </row>
    <row r="15" spans="1:19" s="137" customFormat="1" x14ac:dyDescent="0.2">
      <c r="A15" s="112" t="s">
        <v>144</v>
      </c>
      <c r="B15" s="144" t="s">
        <v>180</v>
      </c>
      <c r="C15" s="144" t="s">
        <v>180</v>
      </c>
      <c r="D15" s="144" t="s">
        <v>180</v>
      </c>
      <c r="E15" s="144" t="s">
        <v>180</v>
      </c>
      <c r="F15" s="141" t="s">
        <v>180</v>
      </c>
      <c r="G15" s="145" t="s">
        <v>180</v>
      </c>
      <c r="H15" s="145" t="s">
        <v>180</v>
      </c>
      <c r="I15" s="155" t="s">
        <v>180</v>
      </c>
      <c r="J15" s="145" t="s">
        <v>180</v>
      </c>
      <c r="K15" s="146">
        <v>0</v>
      </c>
      <c r="L15" s="144" t="s">
        <v>180</v>
      </c>
      <c r="M15" s="144">
        <v>0</v>
      </c>
      <c r="N15" s="140">
        <v>0</v>
      </c>
    </row>
    <row r="16" spans="1:19" s="137" customFormat="1" x14ac:dyDescent="0.2">
      <c r="A16" s="112" t="s">
        <v>357</v>
      </c>
      <c r="B16" s="144" t="s">
        <v>180</v>
      </c>
      <c r="C16" s="144" t="s">
        <v>180</v>
      </c>
      <c r="D16" s="144" t="s">
        <v>180</v>
      </c>
      <c r="E16" s="144" t="s">
        <v>180</v>
      </c>
      <c r="F16" s="141" t="s">
        <v>180</v>
      </c>
      <c r="G16" s="145" t="s">
        <v>180</v>
      </c>
      <c r="H16" s="145" t="s">
        <v>180</v>
      </c>
      <c r="I16" s="155" t="s">
        <v>180</v>
      </c>
      <c r="J16" s="145" t="s">
        <v>180</v>
      </c>
      <c r="K16" s="146">
        <v>37863.373300697152</v>
      </c>
      <c r="L16" s="144" t="s">
        <v>180</v>
      </c>
      <c r="M16" s="144">
        <v>0.99999999998943567</v>
      </c>
      <c r="N16" s="140">
        <v>0</v>
      </c>
    </row>
    <row r="17" spans="1:16" s="137" customFormat="1" x14ac:dyDescent="0.2">
      <c r="A17" s="112" t="s">
        <v>58</v>
      </c>
      <c r="B17" s="144" t="s">
        <v>180</v>
      </c>
      <c r="C17" s="144" t="s">
        <v>180</v>
      </c>
      <c r="D17" s="144" t="s">
        <v>180</v>
      </c>
      <c r="E17" s="144" t="s">
        <v>180</v>
      </c>
      <c r="F17" s="141" t="s">
        <v>180</v>
      </c>
      <c r="G17" s="145" t="s">
        <v>180</v>
      </c>
      <c r="H17" s="145" t="s">
        <v>180</v>
      </c>
      <c r="I17" s="155" t="s">
        <v>180</v>
      </c>
      <c r="J17" s="145" t="s">
        <v>180</v>
      </c>
      <c r="K17" s="146">
        <v>19870.61950339123</v>
      </c>
      <c r="L17" s="144" t="s">
        <v>180</v>
      </c>
      <c r="M17" s="144">
        <v>0.52479791870037751</v>
      </c>
      <c r="N17" s="140">
        <v>2.4071820221808021E-2</v>
      </c>
    </row>
    <row r="18" spans="1:16" x14ac:dyDescent="0.2">
      <c r="A18" s="30" t="s">
        <v>1491</v>
      </c>
      <c r="B18" s="38" t="s">
        <v>1492</v>
      </c>
      <c r="C18" s="38" t="s">
        <v>361</v>
      </c>
      <c r="D18" s="38" t="s">
        <v>180</v>
      </c>
      <c r="E18" s="38" t="s">
        <v>180</v>
      </c>
      <c r="F18" s="85" t="s">
        <v>1493</v>
      </c>
      <c r="G18" s="80" t="s">
        <v>261</v>
      </c>
      <c r="H18" s="80" t="s">
        <v>127</v>
      </c>
      <c r="I18" s="88">
        <v>2839.9637051984905</v>
      </c>
      <c r="J18" s="80">
        <v>24152.04</v>
      </c>
      <c r="K18" s="104">
        <v>2377.3611834435578</v>
      </c>
      <c r="L18" s="38">
        <v>1.502745326017881E-4</v>
      </c>
      <c r="M18" s="38">
        <v>6.2787886450008143E-2</v>
      </c>
      <c r="N18" s="46">
        <v>2.8800013507576517E-3</v>
      </c>
      <c r="O18" s="28"/>
      <c r="P18" s="28"/>
    </row>
    <row r="19" spans="1:16" x14ac:dyDescent="0.2">
      <c r="A19" s="30" t="s">
        <v>1498</v>
      </c>
      <c r="B19" s="38" t="s">
        <v>1499</v>
      </c>
      <c r="C19" s="38" t="s">
        <v>361</v>
      </c>
      <c r="D19" s="38" t="s">
        <v>180</v>
      </c>
      <c r="E19" s="38" t="s">
        <v>180</v>
      </c>
      <c r="F19" s="85" t="s">
        <v>419</v>
      </c>
      <c r="G19" s="80" t="s">
        <v>180</v>
      </c>
      <c r="H19" s="80" t="s">
        <v>127</v>
      </c>
      <c r="I19" s="88">
        <v>2304.8481231952428</v>
      </c>
      <c r="J19" s="80">
        <v>16480</v>
      </c>
      <c r="K19" s="104">
        <v>1316.521872360039</v>
      </c>
      <c r="L19" s="38">
        <v>2.9870337645121969E-4</v>
      </c>
      <c r="M19" s="38">
        <v>3.4770327035861082E-2</v>
      </c>
      <c r="N19" s="46">
        <v>1.5948711525637321E-3</v>
      </c>
      <c r="O19" s="28"/>
      <c r="P19" s="28"/>
    </row>
    <row r="20" spans="1:16" x14ac:dyDescent="0.2">
      <c r="A20" s="30" t="s">
        <v>1504</v>
      </c>
      <c r="B20" s="38" t="s">
        <v>1505</v>
      </c>
      <c r="C20" s="38" t="s">
        <v>361</v>
      </c>
      <c r="D20" s="38" t="s">
        <v>180</v>
      </c>
      <c r="E20" s="38" t="s">
        <v>180</v>
      </c>
      <c r="F20" s="85" t="s">
        <v>419</v>
      </c>
      <c r="G20" s="80" t="s">
        <v>180</v>
      </c>
      <c r="H20" s="80" t="s">
        <v>127</v>
      </c>
      <c r="I20" s="88">
        <v>640.35791172029644</v>
      </c>
      <c r="J20" s="80">
        <v>125825.70000000001</v>
      </c>
      <c r="K20" s="104">
        <v>2792.676903134753</v>
      </c>
      <c r="L20" s="38">
        <v>4.7184876351044444E-7</v>
      </c>
      <c r="M20" s="38">
        <v>7.375668514600707E-2</v>
      </c>
      <c r="N20" s="46">
        <v>3.383126345828442E-3</v>
      </c>
      <c r="O20" s="28"/>
      <c r="P20" s="28"/>
    </row>
    <row r="21" spans="1:16" x14ac:dyDescent="0.2">
      <c r="A21" s="30" t="s">
        <v>1496</v>
      </c>
      <c r="B21" s="38" t="s">
        <v>1497</v>
      </c>
      <c r="C21" s="38" t="s">
        <v>361</v>
      </c>
      <c r="D21" s="38" t="s">
        <v>180</v>
      </c>
      <c r="E21" s="38" t="s">
        <v>180</v>
      </c>
      <c r="F21" s="85" t="s">
        <v>1266</v>
      </c>
      <c r="G21" s="80" t="s">
        <v>251</v>
      </c>
      <c r="H21" s="80" t="s">
        <v>127</v>
      </c>
      <c r="I21" s="88">
        <v>461.69468129169621</v>
      </c>
      <c r="J21" s="80">
        <v>121833</v>
      </c>
      <c r="K21" s="104">
        <v>1949.6128033409984</v>
      </c>
      <c r="L21" s="38">
        <v>6.840853587328883E-4</v>
      </c>
      <c r="M21" s="38">
        <v>5.1490731896423642E-2</v>
      </c>
      <c r="N21" s="46">
        <v>2.3618150856419052E-3</v>
      </c>
      <c r="O21" s="28"/>
      <c r="P21" s="28"/>
    </row>
    <row r="22" spans="1:16" x14ac:dyDescent="0.2">
      <c r="A22" s="30" t="s">
        <v>1502</v>
      </c>
      <c r="B22" s="38" t="s">
        <v>1503</v>
      </c>
      <c r="C22" s="38" t="s">
        <v>361</v>
      </c>
      <c r="D22" s="38" t="s">
        <v>180</v>
      </c>
      <c r="E22" s="38" t="s">
        <v>180</v>
      </c>
      <c r="F22" s="85" t="s">
        <v>1266</v>
      </c>
      <c r="G22" s="80" t="s">
        <v>251</v>
      </c>
      <c r="H22" s="80" t="s">
        <v>127</v>
      </c>
      <c r="I22" s="88">
        <v>767.8468813285167</v>
      </c>
      <c r="J22" s="80">
        <v>129748</v>
      </c>
      <c r="K22" s="104">
        <v>3453.057857422416</v>
      </c>
      <c r="L22" s="38">
        <v>1.8713868848319601E-4</v>
      </c>
      <c r="M22" s="38">
        <v>9.1197839927335739E-2</v>
      </c>
      <c r="N22" s="46">
        <v>4.1831301709132941E-3</v>
      </c>
      <c r="O22" s="28"/>
      <c r="P22" s="28"/>
    </row>
    <row r="23" spans="1:16" x14ac:dyDescent="0.2">
      <c r="A23" s="30" t="s">
        <v>1510</v>
      </c>
      <c r="B23" s="38" t="s">
        <v>1511</v>
      </c>
      <c r="C23" s="38" t="s">
        <v>361</v>
      </c>
      <c r="D23" s="38" t="s">
        <v>180</v>
      </c>
      <c r="E23" s="38" t="s">
        <v>180</v>
      </c>
      <c r="F23" s="85" t="s">
        <v>419</v>
      </c>
      <c r="G23" s="80" t="s">
        <v>180</v>
      </c>
      <c r="H23" s="80" t="s">
        <v>127</v>
      </c>
      <c r="I23" s="88">
        <v>26173.356543117552</v>
      </c>
      <c r="J23" s="80">
        <v>1329.3</v>
      </c>
      <c r="K23" s="104">
        <v>1205.8991372055582</v>
      </c>
      <c r="L23" s="38">
        <v>6.1508864396616085E-4</v>
      </c>
      <c r="M23" s="38">
        <v>3.1848697885843553E-2</v>
      </c>
      <c r="N23" s="46">
        <v>1.4608596994920811E-3</v>
      </c>
      <c r="O23" s="28"/>
      <c r="P23" s="28"/>
    </row>
    <row r="24" spans="1:16" x14ac:dyDescent="0.2">
      <c r="A24" s="30" t="s">
        <v>1512</v>
      </c>
      <c r="B24" s="38" t="s">
        <v>1513</v>
      </c>
      <c r="C24" s="38" t="s">
        <v>361</v>
      </c>
      <c r="D24" s="38" t="s">
        <v>180</v>
      </c>
      <c r="E24" s="38" t="s">
        <v>180</v>
      </c>
      <c r="F24" s="85" t="s">
        <v>419</v>
      </c>
      <c r="G24" s="80" t="s">
        <v>180</v>
      </c>
      <c r="H24" s="80" t="s">
        <v>127</v>
      </c>
      <c r="I24" s="88">
        <v>30690.102903873532</v>
      </c>
      <c r="J24" s="80">
        <v>1038</v>
      </c>
      <c r="K24" s="104">
        <v>1104.1402873808904</v>
      </c>
      <c r="L24" s="38">
        <v>1.1806190663944058E-3</v>
      </c>
      <c r="M24" s="38">
        <v>2.9161170575071189E-2</v>
      </c>
      <c r="N24" s="46">
        <v>1.3375862032359975E-3</v>
      </c>
      <c r="O24" s="28"/>
      <c r="P24" s="28"/>
    </row>
    <row r="25" spans="1:16" x14ac:dyDescent="0.2">
      <c r="A25" s="30" t="s">
        <v>1506</v>
      </c>
      <c r="B25" s="38" t="s">
        <v>1507</v>
      </c>
      <c r="C25" s="38" t="s">
        <v>361</v>
      </c>
      <c r="D25" s="38" t="s">
        <v>180</v>
      </c>
      <c r="E25" s="38" t="s">
        <v>180</v>
      </c>
      <c r="F25" s="85" t="s">
        <v>419</v>
      </c>
      <c r="G25" s="80" t="s">
        <v>180</v>
      </c>
      <c r="H25" s="80" t="s">
        <v>128</v>
      </c>
      <c r="I25" s="88">
        <v>3732.2588349404682</v>
      </c>
      <c r="J25" s="80">
        <v>9958</v>
      </c>
      <c r="K25" s="104">
        <v>1443.0749822255589</v>
      </c>
      <c r="L25" s="38">
        <v>3.9145241691369024E-4</v>
      </c>
      <c r="M25" s="38">
        <v>3.8112689293421813E-2</v>
      </c>
      <c r="N25" s="46">
        <v>1.7481811039053903E-3</v>
      </c>
      <c r="O25" s="28"/>
      <c r="P25" s="28"/>
    </row>
    <row r="26" spans="1:16" x14ac:dyDescent="0.2">
      <c r="A26" s="30" t="s">
        <v>1494</v>
      </c>
      <c r="B26" s="38" t="s">
        <v>1495</v>
      </c>
      <c r="C26" s="38" t="s">
        <v>361</v>
      </c>
      <c r="D26" s="38" t="s">
        <v>180</v>
      </c>
      <c r="E26" s="38" t="s">
        <v>180</v>
      </c>
      <c r="F26" s="85" t="s">
        <v>419</v>
      </c>
      <c r="G26" s="80" t="s">
        <v>180</v>
      </c>
      <c r="H26" s="80" t="s">
        <v>127</v>
      </c>
      <c r="I26" s="88">
        <v>6418.53430212692</v>
      </c>
      <c r="J26" s="80">
        <v>4754</v>
      </c>
      <c r="K26" s="104">
        <v>1057.6052604263123</v>
      </c>
      <c r="L26" s="38">
        <v>5.7831032799124252E-5</v>
      </c>
      <c r="M26" s="38">
        <v>2.7932145718132999E-2</v>
      </c>
      <c r="N26" s="46">
        <v>1.2812123794266081E-3</v>
      </c>
      <c r="O26" s="28"/>
      <c r="P26" s="28"/>
    </row>
    <row r="27" spans="1:16" x14ac:dyDescent="0.2">
      <c r="A27" s="30" t="s">
        <v>1500</v>
      </c>
      <c r="B27" s="38" t="s">
        <v>1501</v>
      </c>
      <c r="C27" s="38" t="s">
        <v>361</v>
      </c>
      <c r="D27" s="38" t="s">
        <v>180</v>
      </c>
      <c r="E27" s="38" t="s">
        <v>180</v>
      </c>
      <c r="F27" s="85" t="s">
        <v>419</v>
      </c>
      <c r="G27" s="80" t="s">
        <v>180</v>
      </c>
      <c r="H27" s="80" t="s">
        <v>128</v>
      </c>
      <c r="I27" s="88">
        <v>10103.248438533115</v>
      </c>
      <c r="J27" s="80">
        <v>3654</v>
      </c>
      <c r="K27" s="104">
        <v>1433.423751576963</v>
      </c>
      <c r="L27" s="38">
        <v>8.0491597080948484E-5</v>
      </c>
      <c r="M27" s="38">
        <v>3.7857793075595496E-2</v>
      </c>
      <c r="N27" s="46">
        <v>1.7364893351081189E-3</v>
      </c>
      <c r="O27" s="28"/>
      <c r="P27" s="28"/>
    </row>
    <row r="28" spans="1:16" x14ac:dyDescent="0.2">
      <c r="A28" s="30" t="s">
        <v>1508</v>
      </c>
      <c r="B28" s="38" t="s">
        <v>1509</v>
      </c>
      <c r="C28" s="38" t="s">
        <v>361</v>
      </c>
      <c r="D28" s="38" t="s">
        <v>180</v>
      </c>
      <c r="E28" s="38" t="s">
        <v>180</v>
      </c>
      <c r="F28" s="85" t="s">
        <v>419</v>
      </c>
      <c r="G28" s="80" t="s">
        <v>180</v>
      </c>
      <c r="H28" s="80" t="s">
        <v>127</v>
      </c>
      <c r="I28" s="88">
        <v>9829.8664219610419</v>
      </c>
      <c r="J28" s="80">
        <v>5099</v>
      </c>
      <c r="K28" s="104">
        <v>1737.2454647741804</v>
      </c>
      <c r="L28" s="38">
        <v>1.4713414962454674E-4</v>
      </c>
      <c r="M28" s="38">
        <v>4.5881951694035694E-2</v>
      </c>
      <c r="N28" s="46">
        <v>2.1045473948136536E-3</v>
      </c>
      <c r="O28" s="28"/>
      <c r="P28" s="28"/>
    </row>
    <row r="29" spans="1:16" s="137" customFormat="1" x14ac:dyDescent="0.2">
      <c r="A29" s="112" t="s">
        <v>1490</v>
      </c>
      <c r="B29" s="144" t="s">
        <v>180</v>
      </c>
      <c r="C29" s="144" t="s">
        <v>180</v>
      </c>
      <c r="D29" s="144" t="s">
        <v>180</v>
      </c>
      <c r="E29" s="144" t="s">
        <v>180</v>
      </c>
      <c r="F29" s="141" t="s">
        <v>180</v>
      </c>
      <c r="G29" s="145" t="s">
        <v>180</v>
      </c>
      <c r="H29" s="145" t="s">
        <v>180</v>
      </c>
      <c r="I29" s="155" t="s">
        <v>180</v>
      </c>
      <c r="J29" s="145" t="s">
        <v>180</v>
      </c>
      <c r="K29" s="146">
        <v>0</v>
      </c>
      <c r="L29" s="144" t="s">
        <v>180</v>
      </c>
      <c r="M29" s="144">
        <v>0</v>
      </c>
      <c r="N29" s="140">
        <v>0</v>
      </c>
    </row>
    <row r="30" spans="1:16" s="137" customFormat="1" x14ac:dyDescent="0.2">
      <c r="A30" s="112" t="s">
        <v>59</v>
      </c>
      <c r="B30" s="144" t="s">
        <v>180</v>
      </c>
      <c r="C30" s="144" t="s">
        <v>180</v>
      </c>
      <c r="D30" s="144" t="s">
        <v>180</v>
      </c>
      <c r="E30" s="144" t="s">
        <v>180</v>
      </c>
      <c r="F30" s="141" t="s">
        <v>180</v>
      </c>
      <c r="G30" s="145" t="s">
        <v>180</v>
      </c>
      <c r="H30" s="145" t="s">
        <v>180</v>
      </c>
      <c r="I30" s="155" t="s">
        <v>180</v>
      </c>
      <c r="J30" s="145" t="s">
        <v>180</v>
      </c>
      <c r="K30" s="146">
        <v>0</v>
      </c>
      <c r="L30" s="144" t="s">
        <v>180</v>
      </c>
      <c r="M30" s="144">
        <v>0</v>
      </c>
      <c r="N30" s="140">
        <v>0</v>
      </c>
    </row>
    <row r="31" spans="1:16" s="137" customFormat="1" x14ac:dyDescent="0.2">
      <c r="A31" s="112" t="s">
        <v>144</v>
      </c>
      <c r="B31" s="144" t="s">
        <v>180</v>
      </c>
      <c r="C31" s="144" t="s">
        <v>180</v>
      </c>
      <c r="D31" s="144" t="s">
        <v>180</v>
      </c>
      <c r="E31" s="144" t="s">
        <v>180</v>
      </c>
      <c r="F31" s="141" t="s">
        <v>180</v>
      </c>
      <c r="G31" s="145" t="s">
        <v>180</v>
      </c>
      <c r="H31" s="145" t="s">
        <v>180</v>
      </c>
      <c r="I31" s="155" t="s">
        <v>180</v>
      </c>
      <c r="J31" s="145" t="s">
        <v>180</v>
      </c>
      <c r="K31" s="146">
        <v>17992.753797105936</v>
      </c>
      <c r="L31" s="144" t="s">
        <v>180</v>
      </c>
      <c r="M31" s="144">
        <v>0.47520208128377628</v>
      </c>
      <c r="N31" s="140">
        <v>0</v>
      </c>
    </row>
    <row r="32" spans="1:16" x14ac:dyDescent="0.2">
      <c r="A32" s="30" t="s">
        <v>1514</v>
      </c>
      <c r="B32" s="38" t="s">
        <v>1515</v>
      </c>
      <c r="C32" s="38" t="s">
        <v>361</v>
      </c>
      <c r="D32" s="38" t="s">
        <v>1516</v>
      </c>
      <c r="E32" s="38" t="s">
        <v>180</v>
      </c>
      <c r="F32" s="85" t="s">
        <v>1517</v>
      </c>
      <c r="G32" s="80" t="s">
        <v>251</v>
      </c>
      <c r="H32" s="80" t="s">
        <v>127</v>
      </c>
      <c r="I32" s="88">
        <v>5117970.869126955</v>
      </c>
      <c r="J32" s="80">
        <v>100</v>
      </c>
      <c r="K32" s="104">
        <v>17738.887029693407</v>
      </c>
      <c r="L32" s="38" t="s">
        <v>180</v>
      </c>
      <c r="M32" s="38">
        <v>0.46849727013571163</v>
      </c>
      <c r="N32" s="46">
        <v>2.1489380310506491E-2</v>
      </c>
      <c r="O32" s="28"/>
      <c r="P32" s="28"/>
    </row>
    <row r="33" spans="1:16" x14ac:dyDescent="0.2">
      <c r="A33" s="229" t="s">
        <v>1518</v>
      </c>
      <c r="B33" s="223" t="s">
        <v>1519</v>
      </c>
      <c r="C33" s="223" t="s">
        <v>361</v>
      </c>
      <c r="D33" s="223" t="s">
        <v>1516</v>
      </c>
      <c r="E33" s="223" t="s">
        <v>180</v>
      </c>
      <c r="F33" s="224" t="s">
        <v>1520</v>
      </c>
      <c r="G33" s="225" t="s">
        <v>261</v>
      </c>
      <c r="H33" s="225" t="s">
        <v>2</v>
      </c>
      <c r="I33" s="230">
        <v>59675.787439581291</v>
      </c>
      <c r="J33" s="225">
        <v>100</v>
      </c>
      <c r="K33" s="226">
        <v>253.86676731252624</v>
      </c>
      <c r="L33" s="223" t="s">
        <v>180</v>
      </c>
      <c r="M33" s="223">
        <v>6.7048111454234855E-3</v>
      </c>
      <c r="N33" s="227">
        <v>3.0754125114195645E-4</v>
      </c>
      <c r="O33" s="28"/>
      <c r="P33" s="28"/>
    </row>
    <row r="34" spans="1:16" s="137" customFormat="1" x14ac:dyDescent="0.2">
      <c r="A34" s="97" t="s">
        <v>171</v>
      </c>
      <c r="B34" s="147"/>
      <c r="C34" s="147"/>
      <c r="D34" s="147"/>
      <c r="E34" s="147"/>
      <c r="F34" s="148"/>
      <c r="G34" s="148"/>
      <c r="H34" s="148"/>
      <c r="I34" s="149"/>
      <c r="J34" s="150"/>
      <c r="K34" s="151"/>
      <c r="L34" s="151"/>
      <c r="M34" s="151"/>
      <c r="N34" s="151"/>
      <c r="O34" s="152"/>
      <c r="P34" s="152"/>
    </row>
    <row r="35" spans="1:16" s="137" customFormat="1" x14ac:dyDescent="0.2">
      <c r="A35" s="97" t="s">
        <v>172</v>
      </c>
      <c r="B35" s="147"/>
      <c r="C35" s="147"/>
      <c r="D35" s="147"/>
      <c r="E35" s="147"/>
      <c r="F35" s="148"/>
      <c r="G35" s="148"/>
      <c r="H35" s="148"/>
      <c r="I35" s="149"/>
      <c r="J35" s="150"/>
      <c r="K35" s="151"/>
      <c r="L35" s="151"/>
      <c r="M35" s="151"/>
      <c r="N35" s="151"/>
      <c r="O35" s="152"/>
      <c r="P35" s="152"/>
    </row>
    <row r="36" spans="1:16" s="137" customFormat="1" x14ac:dyDescent="0.2">
      <c r="A36" s="97" t="s">
        <v>173</v>
      </c>
      <c r="B36" s="147"/>
      <c r="C36" s="147"/>
      <c r="D36" s="147"/>
      <c r="E36" s="147"/>
      <c r="F36" s="148"/>
      <c r="G36" s="148"/>
      <c r="H36" s="148"/>
      <c r="I36" s="149"/>
      <c r="J36" s="150"/>
      <c r="K36" s="151"/>
      <c r="L36" s="151"/>
      <c r="M36" s="151"/>
      <c r="N36" s="151"/>
      <c r="O36" s="152"/>
      <c r="P36" s="152"/>
    </row>
    <row r="37" spans="1:16" s="137" customFormat="1" x14ac:dyDescent="0.2">
      <c r="A37" s="97" t="s">
        <v>174</v>
      </c>
      <c r="B37" s="147"/>
      <c r="C37" s="147"/>
      <c r="D37" s="147"/>
      <c r="E37" s="147"/>
      <c r="F37" s="148"/>
      <c r="G37" s="148"/>
      <c r="H37" s="148"/>
      <c r="I37" s="149"/>
      <c r="J37" s="150"/>
      <c r="K37" s="151"/>
      <c r="L37" s="151"/>
      <c r="M37" s="151"/>
      <c r="N37" s="151"/>
      <c r="O37" s="152"/>
      <c r="P37" s="152"/>
    </row>
    <row r="38" spans="1:16" s="137" customFormat="1" x14ac:dyDescent="0.2">
      <c r="A38" s="97" t="s">
        <v>175</v>
      </c>
      <c r="B38" s="147"/>
      <c r="C38" s="147"/>
      <c r="D38" s="147"/>
      <c r="E38" s="147"/>
      <c r="F38" s="148"/>
      <c r="G38" s="148"/>
      <c r="H38" s="148"/>
      <c r="I38" s="149"/>
      <c r="J38" s="150"/>
      <c r="K38" s="151"/>
      <c r="L38" s="151"/>
      <c r="M38" s="151"/>
      <c r="N38" s="151"/>
      <c r="O38" s="152"/>
      <c r="P38" s="152"/>
    </row>
  </sheetData>
  <mergeCells count="2">
    <mergeCell ref="A6:N6"/>
    <mergeCell ref="A5:N5"/>
  </mergeCells>
  <conditionalFormatting sqref="C10:D33">
    <cfRule type="expression" dxfId="116" priority="9" stopIfTrue="1">
      <formula>LEFT($IB10,3)="TIR"</formula>
    </cfRule>
  </conditionalFormatting>
  <conditionalFormatting sqref="J1:J4 I10:J33 L10:L33 J34:J55568">
    <cfRule type="expression" dxfId="115" priority="152" stopIfTrue="1">
      <formula>LEFT(#REF!,3)="TIR"</formula>
    </cfRule>
  </conditionalFormatting>
  <conditionalFormatting sqref="B10:H33 M10:N33">
    <cfRule type="expression" dxfId="114" priority="156" stopIfTrue="1">
      <formula>OR(LEFT(#REF!,3)="TIR",LEFT(#REF!,2)="IR")</formula>
    </cfRule>
  </conditionalFormatting>
  <conditionalFormatting sqref="A10:A33 K10:K33">
    <cfRule type="expression" dxfId="113" priority="158" stopIfTrue="1">
      <formula>#REF!&gt;0</formula>
    </cfRule>
    <cfRule type="expression" dxfId="112" priority="159" stopIfTrue="1">
      <formula>LEFT(#REF!,3)="TIR"</formula>
    </cfRule>
  </conditionalFormatting>
  <conditionalFormatting sqref="C10:D33">
    <cfRule type="expression" dxfId="111" priority="16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3" fitToHeight="0" orientation="landscape"/>
  <headerFooter alignWithMargins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552DB-AB3B-49F0-BD6F-F6C316BB56A1}">
  <sheetPr codeName="גיליון9">
    <pageSetUpPr fitToPage="1"/>
  </sheetPr>
  <dimension ref="A1:P19"/>
  <sheetViews>
    <sheetView rightToLeft="1" zoomScale="85" zoomScaleNormal="85" workbookViewId="0">
      <selection activeCell="A7" sqref="A7:K14"/>
    </sheetView>
  </sheetViews>
  <sheetFormatPr defaultRowHeight="12.75" x14ac:dyDescent="0.2"/>
  <cols>
    <col min="1" max="1" width="22" style="23" customWidth="1"/>
    <col min="2" max="2" width="12.7109375" style="22" bestFit="1" customWidth="1"/>
    <col min="3" max="3" width="11.7109375" style="22" customWidth="1"/>
    <col min="4" max="4" width="11.140625" style="22" customWidth="1"/>
    <col min="5" max="5" width="10.7109375" style="79" customWidth="1"/>
    <col min="6" max="6" width="10.140625" style="79" customWidth="1"/>
    <col min="7" max="7" width="8.5703125" style="79" bestFit="1" customWidth="1"/>
    <col min="8" max="8" width="9.85546875" style="50" customWidth="1"/>
    <col min="9" max="9" width="20.85546875" style="81" customWidth="1"/>
    <col min="10" max="10" width="24" style="81" customWidth="1"/>
    <col min="11" max="11" width="19.7109375" style="8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166</v>
      </c>
      <c r="B1" s="22" t="s">
        <v>176</v>
      </c>
      <c r="C1" s="22"/>
      <c r="D1" s="22"/>
      <c r="E1" s="79"/>
      <c r="F1" s="79"/>
      <c r="G1" s="79"/>
      <c r="H1" s="50"/>
      <c r="I1" s="81"/>
      <c r="J1" s="81"/>
      <c r="K1" s="82"/>
      <c r="L1" s="27"/>
      <c r="M1" s="27"/>
      <c r="N1" s="26"/>
      <c r="O1" s="26"/>
      <c r="P1" s="28"/>
    </row>
    <row r="2" spans="1:16" s="20" customFormat="1" x14ac:dyDescent="0.2">
      <c r="A2" s="23" t="s">
        <v>167</v>
      </c>
      <c r="B2" s="22" t="s">
        <v>153</v>
      </c>
      <c r="C2" s="22"/>
      <c r="D2" s="22"/>
      <c r="E2" s="79"/>
      <c r="F2" s="79"/>
      <c r="G2" s="79"/>
      <c r="H2" s="50"/>
      <c r="I2" s="81"/>
      <c r="J2" s="81"/>
      <c r="K2" s="82"/>
      <c r="L2" s="27"/>
      <c r="M2" s="27"/>
      <c r="N2" s="26"/>
      <c r="O2" s="26"/>
      <c r="P2" s="28"/>
    </row>
    <row r="3" spans="1:16" s="20" customFormat="1" x14ac:dyDescent="0.2">
      <c r="A3" s="23" t="s">
        <v>168</v>
      </c>
      <c r="B3" s="22" t="s">
        <v>169</v>
      </c>
      <c r="C3" s="22"/>
      <c r="D3" s="22"/>
      <c r="E3" s="79"/>
      <c r="F3" s="79"/>
      <c r="G3" s="79"/>
      <c r="H3" s="50"/>
      <c r="I3" s="81"/>
      <c r="J3" s="81"/>
      <c r="K3" s="82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170</v>
      </c>
      <c r="B4" s="22" t="s">
        <v>178</v>
      </c>
      <c r="C4" s="22"/>
      <c r="D4" s="22"/>
      <c r="E4" s="79"/>
      <c r="F4" s="79"/>
      <c r="G4" s="79"/>
      <c r="H4" s="50"/>
      <c r="I4" s="81"/>
      <c r="J4" s="81"/>
      <c r="K4" s="82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2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23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6" t="s">
        <v>160</v>
      </c>
      <c r="B7" s="107" t="s">
        <v>69</v>
      </c>
      <c r="C7" s="107" t="s">
        <v>76</v>
      </c>
      <c r="D7" s="107" t="s">
        <v>19</v>
      </c>
      <c r="E7" s="107" t="s">
        <v>6</v>
      </c>
      <c r="F7" s="108" t="s">
        <v>67</v>
      </c>
      <c r="G7" s="108" t="s">
        <v>68</v>
      </c>
      <c r="H7" s="108" t="s">
        <v>7</v>
      </c>
      <c r="I7" s="108" t="s">
        <v>17</v>
      </c>
      <c r="J7" s="109" t="s">
        <v>75</v>
      </c>
      <c r="K7" s="110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136</v>
      </c>
      <c r="G8" s="67"/>
      <c r="H8" s="15" t="s">
        <v>138</v>
      </c>
      <c r="I8" s="67" t="s">
        <v>9</v>
      </c>
      <c r="J8" s="67" t="s">
        <v>9</v>
      </c>
      <c r="K8" s="73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7">
        <v>9</v>
      </c>
      <c r="K9" s="61">
        <v>10</v>
      </c>
    </row>
    <row r="10" spans="1:16" s="137" customFormat="1" ht="12.75" customHeight="1" thickBot="1" x14ac:dyDescent="0.25">
      <c r="A10" s="169" t="s">
        <v>55</v>
      </c>
      <c r="B10" s="89"/>
      <c r="C10" s="89"/>
      <c r="D10" s="89"/>
      <c r="E10" s="170"/>
      <c r="F10" s="175"/>
      <c r="G10" s="170"/>
      <c r="H10" s="173">
        <v>2.0000000000000002E-7</v>
      </c>
      <c r="I10" s="89"/>
      <c r="J10" s="103">
        <v>1</v>
      </c>
      <c r="K10" s="102">
        <v>0</v>
      </c>
    </row>
    <row r="11" spans="1:16" s="137" customFormat="1" x14ac:dyDescent="0.2">
      <c r="A11" s="111" t="s">
        <v>140</v>
      </c>
      <c r="B11" s="140" t="s">
        <v>180</v>
      </c>
      <c r="C11" s="140" t="s">
        <v>180</v>
      </c>
      <c r="D11" s="140" t="s">
        <v>180</v>
      </c>
      <c r="E11" s="141" t="s">
        <v>180</v>
      </c>
      <c r="F11" s="153" t="s">
        <v>180</v>
      </c>
      <c r="G11" s="141" t="s">
        <v>180</v>
      </c>
      <c r="H11" s="142">
        <v>0</v>
      </c>
      <c r="I11" s="140" t="s">
        <v>180</v>
      </c>
      <c r="J11" s="140">
        <v>0</v>
      </c>
      <c r="K11" s="140">
        <v>0</v>
      </c>
    </row>
    <row r="12" spans="1:16" s="137" customFormat="1" x14ac:dyDescent="0.2">
      <c r="A12" s="112" t="s">
        <v>1521</v>
      </c>
      <c r="B12" s="140" t="s">
        <v>180</v>
      </c>
      <c r="C12" s="144" t="s">
        <v>180</v>
      </c>
      <c r="D12" s="144" t="s">
        <v>180</v>
      </c>
      <c r="E12" s="145" t="s">
        <v>180</v>
      </c>
      <c r="F12" s="155" t="s">
        <v>180</v>
      </c>
      <c r="G12" s="141" t="s">
        <v>180</v>
      </c>
      <c r="H12" s="146">
        <v>0</v>
      </c>
      <c r="I12" s="144" t="s">
        <v>180</v>
      </c>
      <c r="J12" s="140">
        <v>0</v>
      </c>
      <c r="K12" s="140">
        <v>0</v>
      </c>
    </row>
    <row r="13" spans="1:16" s="137" customFormat="1" x14ac:dyDescent="0.2">
      <c r="A13" s="112" t="s">
        <v>357</v>
      </c>
      <c r="B13" s="140" t="s">
        <v>180</v>
      </c>
      <c r="C13" s="144" t="s">
        <v>180</v>
      </c>
      <c r="D13" s="144" t="s">
        <v>180</v>
      </c>
      <c r="E13" s="145" t="s">
        <v>180</v>
      </c>
      <c r="F13" s="155" t="s">
        <v>180</v>
      </c>
      <c r="G13" s="141" t="s">
        <v>180</v>
      </c>
      <c r="H13" s="146">
        <v>0</v>
      </c>
      <c r="I13" s="144" t="s">
        <v>180</v>
      </c>
      <c r="J13" s="140">
        <v>0</v>
      </c>
      <c r="K13" s="140">
        <v>0</v>
      </c>
    </row>
    <row r="14" spans="1:16" s="137" customFormat="1" x14ac:dyDescent="0.2">
      <c r="A14" s="231" t="s">
        <v>1522</v>
      </c>
      <c r="B14" s="238" t="s">
        <v>180</v>
      </c>
      <c r="C14" s="232" t="s">
        <v>180</v>
      </c>
      <c r="D14" s="232" t="s">
        <v>180</v>
      </c>
      <c r="E14" s="239" t="s">
        <v>180</v>
      </c>
      <c r="F14" s="240" t="s">
        <v>180</v>
      </c>
      <c r="G14" s="241" t="s">
        <v>180</v>
      </c>
      <c r="H14" s="237">
        <v>0</v>
      </c>
      <c r="I14" s="232" t="s">
        <v>180</v>
      </c>
      <c r="J14" s="238">
        <v>0</v>
      </c>
      <c r="K14" s="238">
        <v>0</v>
      </c>
    </row>
    <row r="15" spans="1:16" s="137" customFormat="1" x14ac:dyDescent="0.2">
      <c r="A15" s="97" t="s">
        <v>171</v>
      </c>
      <c r="B15" s="147"/>
      <c r="C15" s="147"/>
      <c r="D15" s="147"/>
      <c r="E15" s="148"/>
      <c r="F15" s="148"/>
      <c r="G15" s="148"/>
      <c r="H15" s="149"/>
      <c r="I15" s="150"/>
      <c r="J15" s="150"/>
      <c r="K15" s="151"/>
      <c r="L15" s="168"/>
      <c r="M15" s="168"/>
      <c r="N15" s="152"/>
      <c r="O15" s="152"/>
    </row>
    <row r="16" spans="1:16" s="137" customFormat="1" x14ac:dyDescent="0.2">
      <c r="A16" s="97" t="s">
        <v>172</v>
      </c>
      <c r="B16" s="147"/>
      <c r="C16" s="147"/>
      <c r="D16" s="147"/>
      <c r="E16" s="148"/>
      <c r="F16" s="148"/>
      <c r="G16" s="148"/>
      <c r="H16" s="149"/>
      <c r="I16" s="150"/>
      <c r="J16" s="150"/>
      <c r="K16" s="151"/>
      <c r="L16" s="168"/>
      <c r="M16" s="168"/>
      <c r="N16" s="152"/>
      <c r="O16" s="152"/>
    </row>
    <row r="17" spans="1:15" s="137" customFormat="1" x14ac:dyDescent="0.2">
      <c r="A17" s="97" t="s">
        <v>173</v>
      </c>
      <c r="B17" s="147"/>
      <c r="C17" s="147"/>
      <c r="D17" s="147"/>
      <c r="E17" s="148"/>
      <c r="F17" s="148"/>
      <c r="G17" s="148"/>
      <c r="H17" s="149"/>
      <c r="I17" s="150"/>
      <c r="J17" s="150"/>
      <c r="K17" s="151"/>
      <c r="L17" s="168"/>
      <c r="M17" s="168"/>
      <c r="N17" s="152"/>
      <c r="O17" s="152"/>
    </row>
    <row r="18" spans="1:15" s="137" customFormat="1" x14ac:dyDescent="0.2">
      <c r="A18" s="97" t="s">
        <v>174</v>
      </c>
      <c r="B18" s="147"/>
      <c r="C18" s="147"/>
      <c r="D18" s="147"/>
      <c r="E18" s="148"/>
      <c r="F18" s="148"/>
      <c r="G18" s="148"/>
      <c r="H18" s="149"/>
      <c r="I18" s="150"/>
      <c r="J18" s="150"/>
      <c r="K18" s="151"/>
      <c r="L18" s="168"/>
      <c r="M18" s="168"/>
      <c r="N18" s="152"/>
      <c r="O18" s="152"/>
    </row>
    <row r="19" spans="1:15" s="137" customFormat="1" x14ac:dyDescent="0.2">
      <c r="A19" s="97" t="s">
        <v>175</v>
      </c>
      <c r="B19" s="147"/>
      <c r="C19" s="147"/>
      <c r="D19" s="147"/>
      <c r="E19" s="148"/>
      <c r="F19" s="148"/>
      <c r="G19" s="148"/>
      <c r="H19" s="149"/>
      <c r="I19" s="150"/>
      <c r="J19" s="150"/>
      <c r="K19" s="151"/>
      <c r="L19" s="168"/>
      <c r="M19" s="168"/>
      <c r="N19" s="152"/>
      <c r="O19" s="152"/>
    </row>
  </sheetData>
  <mergeCells count="2">
    <mergeCell ref="A6:K6"/>
    <mergeCell ref="A5:K5"/>
  </mergeCells>
  <conditionalFormatting sqref="B11:E14 J11:K14">
    <cfRule type="expression" dxfId="110" priority="168" stopIfTrue="1">
      <formula>OR(LEFT(#REF!,3)="TIR",LEFT(#REF!,2)="IR")</formula>
    </cfRule>
  </conditionalFormatting>
  <conditionalFormatting sqref="A10:A14 H10:H14">
    <cfRule type="expression" dxfId="109" priority="170" stopIfTrue="1">
      <formula>#REF!&gt;0</formula>
    </cfRule>
  </conditionalFormatting>
  <conditionalFormatting sqref="G11:G14">
    <cfRule type="expression" dxfId="108" priority="17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  <headerFooter alignWithMargins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4EEEB-111D-4435-BD41-4715842574CB}">
  <sheetPr codeName="גיליון10">
    <pageSetUpPr fitToPage="1"/>
  </sheetPr>
  <dimension ref="A1:P26"/>
  <sheetViews>
    <sheetView rightToLeft="1" zoomScale="90" zoomScaleNormal="90" workbookViewId="0">
      <selection activeCell="A7" sqref="A7:K21"/>
    </sheetView>
  </sheetViews>
  <sheetFormatPr defaultRowHeight="12.75" x14ac:dyDescent="0.2"/>
  <cols>
    <col min="1" max="1" width="21.7109375" style="23" customWidth="1"/>
    <col min="2" max="2" width="12.7109375" style="22" bestFit="1" customWidth="1"/>
    <col min="3" max="3" width="11.5703125" style="22" customWidth="1"/>
    <col min="4" max="4" width="11.140625" style="22" customWidth="1"/>
    <col min="5" max="5" width="11" style="22" customWidth="1"/>
    <col min="6" max="6" width="10.140625" style="79" customWidth="1"/>
    <col min="7" max="7" width="8.7109375" style="79" bestFit="1" customWidth="1"/>
    <col min="8" max="8" width="9.5703125" style="79" customWidth="1"/>
    <col min="9" max="9" width="21.140625" style="50" customWidth="1"/>
    <col min="10" max="10" width="24" style="81" customWidth="1"/>
    <col min="11" max="11" width="19.5703125" style="8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166</v>
      </c>
      <c r="B1" s="22" t="s">
        <v>176</v>
      </c>
      <c r="C1" s="22"/>
      <c r="D1" s="22"/>
      <c r="E1" s="22"/>
      <c r="F1" s="79"/>
      <c r="G1" s="79"/>
      <c r="H1" s="79"/>
      <c r="I1" s="50"/>
      <c r="J1" s="81"/>
      <c r="K1" s="82"/>
      <c r="L1" s="27"/>
      <c r="M1" s="27"/>
      <c r="N1" s="26"/>
      <c r="O1" s="26"/>
      <c r="P1" s="28"/>
    </row>
    <row r="2" spans="1:16" s="20" customFormat="1" x14ac:dyDescent="0.2">
      <c r="A2" s="23" t="s">
        <v>167</v>
      </c>
      <c r="B2" s="22" t="s">
        <v>153</v>
      </c>
      <c r="C2" s="22"/>
      <c r="D2" s="22"/>
      <c r="E2" s="22"/>
      <c r="F2" s="79"/>
      <c r="G2" s="79"/>
      <c r="H2" s="79"/>
      <c r="I2" s="50"/>
      <c r="J2" s="81"/>
      <c r="K2" s="82"/>
      <c r="L2" s="27"/>
      <c r="M2" s="27"/>
      <c r="N2" s="26"/>
      <c r="O2" s="26"/>
      <c r="P2" s="28"/>
    </row>
    <row r="3" spans="1:16" s="20" customFormat="1" x14ac:dyDescent="0.2">
      <c r="A3" s="23" t="s">
        <v>168</v>
      </c>
      <c r="B3" s="22" t="s">
        <v>169</v>
      </c>
      <c r="C3" s="22"/>
      <c r="D3" s="22"/>
      <c r="E3" s="22"/>
      <c r="F3" s="79"/>
      <c r="G3" s="79"/>
      <c r="H3" s="79"/>
      <c r="I3" s="50"/>
      <c r="J3" s="81"/>
      <c r="K3" s="82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170</v>
      </c>
      <c r="B4" s="22" t="s">
        <v>178</v>
      </c>
      <c r="C4" s="22"/>
      <c r="D4" s="22"/>
      <c r="E4" s="22"/>
      <c r="F4" s="79"/>
      <c r="G4" s="79"/>
      <c r="H4" s="79"/>
      <c r="I4" s="50"/>
      <c r="J4" s="81"/>
      <c r="K4" s="82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24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6" t="s">
        <v>160</v>
      </c>
      <c r="B7" s="107" t="s">
        <v>69</v>
      </c>
      <c r="C7" s="107" t="s">
        <v>76</v>
      </c>
      <c r="D7" s="107" t="s">
        <v>19</v>
      </c>
      <c r="E7" s="107" t="s">
        <v>6</v>
      </c>
      <c r="F7" s="108" t="s">
        <v>67</v>
      </c>
      <c r="G7" s="108" t="s">
        <v>68</v>
      </c>
      <c r="H7" s="108" t="s">
        <v>7</v>
      </c>
      <c r="I7" s="108" t="s">
        <v>17</v>
      </c>
      <c r="J7" s="109" t="s">
        <v>75</v>
      </c>
      <c r="K7" s="110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136</v>
      </c>
      <c r="G8" s="67"/>
      <c r="H8" s="15" t="s">
        <v>138</v>
      </c>
      <c r="I8" s="67" t="s">
        <v>9</v>
      </c>
      <c r="J8" s="75"/>
      <c r="K8" s="73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7">
        <v>9</v>
      </c>
      <c r="K9" s="61">
        <v>10</v>
      </c>
    </row>
    <row r="10" spans="1:16" s="137" customFormat="1" ht="12.75" customHeight="1" thickBot="1" x14ac:dyDescent="0.25">
      <c r="A10" s="169" t="s">
        <v>56</v>
      </c>
      <c r="B10" s="89"/>
      <c r="C10" s="89"/>
      <c r="D10" s="89"/>
      <c r="E10" s="170"/>
      <c r="F10" s="171"/>
      <c r="G10" s="175"/>
      <c r="H10" s="128">
        <v>9.0000000000000007E-7</v>
      </c>
      <c r="I10" s="89"/>
      <c r="J10" s="89">
        <v>1</v>
      </c>
      <c r="K10" s="102">
        <v>0</v>
      </c>
    </row>
    <row r="11" spans="1:16" s="137" customFormat="1" x14ac:dyDescent="0.2">
      <c r="A11" s="111" t="s">
        <v>140</v>
      </c>
      <c r="B11" s="140" t="s">
        <v>180</v>
      </c>
      <c r="C11" s="140" t="s">
        <v>180</v>
      </c>
      <c r="D11" s="140" t="s">
        <v>180</v>
      </c>
      <c r="E11" s="141" t="s">
        <v>180</v>
      </c>
      <c r="F11" s="153" t="s">
        <v>180</v>
      </c>
      <c r="G11" s="141" t="s">
        <v>180</v>
      </c>
      <c r="H11" s="142">
        <v>0</v>
      </c>
      <c r="I11" s="140" t="s">
        <v>180</v>
      </c>
      <c r="J11" s="140">
        <v>0</v>
      </c>
      <c r="K11" s="140">
        <v>0</v>
      </c>
    </row>
    <row r="12" spans="1:16" s="137" customFormat="1" x14ac:dyDescent="0.2">
      <c r="A12" s="112" t="s">
        <v>1523</v>
      </c>
      <c r="B12" s="140" t="s">
        <v>180</v>
      </c>
      <c r="C12" s="140" t="s">
        <v>180</v>
      </c>
      <c r="D12" s="140" t="s">
        <v>180</v>
      </c>
      <c r="E12" s="141" t="s">
        <v>180</v>
      </c>
      <c r="F12" s="155" t="s">
        <v>180</v>
      </c>
      <c r="G12" s="141" t="s">
        <v>180</v>
      </c>
      <c r="H12" s="146">
        <v>0</v>
      </c>
      <c r="I12" s="144" t="s">
        <v>180</v>
      </c>
      <c r="J12" s="140">
        <v>0</v>
      </c>
      <c r="K12" s="144">
        <v>0</v>
      </c>
    </row>
    <row r="13" spans="1:16" s="137" customFormat="1" x14ac:dyDescent="0.2">
      <c r="A13" s="112" t="s">
        <v>1524</v>
      </c>
      <c r="B13" s="140" t="s">
        <v>180</v>
      </c>
      <c r="C13" s="140" t="s">
        <v>180</v>
      </c>
      <c r="D13" s="140" t="s">
        <v>180</v>
      </c>
      <c r="E13" s="141" t="s">
        <v>180</v>
      </c>
      <c r="F13" s="155" t="s">
        <v>180</v>
      </c>
      <c r="G13" s="141" t="s">
        <v>180</v>
      </c>
      <c r="H13" s="146">
        <v>0</v>
      </c>
      <c r="I13" s="144" t="s">
        <v>180</v>
      </c>
      <c r="J13" s="140">
        <v>0</v>
      </c>
      <c r="K13" s="144">
        <v>0</v>
      </c>
    </row>
    <row r="14" spans="1:16" s="137" customFormat="1" x14ac:dyDescent="0.2">
      <c r="A14" s="112" t="s">
        <v>1525</v>
      </c>
      <c r="B14" s="140" t="s">
        <v>180</v>
      </c>
      <c r="C14" s="140" t="s">
        <v>180</v>
      </c>
      <c r="D14" s="140" t="s">
        <v>180</v>
      </c>
      <c r="E14" s="141" t="s">
        <v>180</v>
      </c>
      <c r="F14" s="155" t="s">
        <v>180</v>
      </c>
      <c r="G14" s="141" t="s">
        <v>180</v>
      </c>
      <c r="H14" s="146">
        <v>0</v>
      </c>
      <c r="I14" s="144" t="s">
        <v>180</v>
      </c>
      <c r="J14" s="140">
        <v>0</v>
      </c>
      <c r="K14" s="144">
        <v>0</v>
      </c>
    </row>
    <row r="15" spans="1:16" s="137" customFormat="1" x14ac:dyDescent="0.2">
      <c r="A15" s="112" t="s">
        <v>144</v>
      </c>
      <c r="B15" s="140" t="s">
        <v>180</v>
      </c>
      <c r="C15" s="140" t="s">
        <v>180</v>
      </c>
      <c r="D15" s="140" t="s">
        <v>180</v>
      </c>
      <c r="E15" s="141" t="s">
        <v>180</v>
      </c>
      <c r="F15" s="155" t="s">
        <v>180</v>
      </c>
      <c r="G15" s="141" t="s">
        <v>180</v>
      </c>
      <c r="H15" s="146">
        <v>0</v>
      </c>
      <c r="I15" s="144" t="s">
        <v>180</v>
      </c>
      <c r="J15" s="140">
        <v>0</v>
      </c>
      <c r="K15" s="144">
        <v>0</v>
      </c>
    </row>
    <row r="16" spans="1:16" s="137" customFormat="1" x14ac:dyDescent="0.2">
      <c r="A16" s="112" t="s">
        <v>357</v>
      </c>
      <c r="B16" s="140" t="s">
        <v>180</v>
      </c>
      <c r="C16" s="140" t="s">
        <v>180</v>
      </c>
      <c r="D16" s="140" t="s">
        <v>180</v>
      </c>
      <c r="E16" s="141" t="s">
        <v>180</v>
      </c>
      <c r="F16" s="155" t="s">
        <v>180</v>
      </c>
      <c r="G16" s="141" t="s">
        <v>180</v>
      </c>
      <c r="H16" s="146">
        <v>0</v>
      </c>
      <c r="I16" s="144" t="s">
        <v>180</v>
      </c>
      <c r="J16" s="140">
        <v>0</v>
      </c>
      <c r="K16" s="144">
        <v>0</v>
      </c>
    </row>
    <row r="17" spans="1:15" s="137" customFormat="1" x14ac:dyDescent="0.2">
      <c r="A17" s="112" t="s">
        <v>1523</v>
      </c>
      <c r="B17" s="140" t="s">
        <v>180</v>
      </c>
      <c r="C17" s="140" t="s">
        <v>180</v>
      </c>
      <c r="D17" s="140" t="s">
        <v>180</v>
      </c>
      <c r="E17" s="141" t="s">
        <v>180</v>
      </c>
      <c r="F17" s="155" t="s">
        <v>180</v>
      </c>
      <c r="G17" s="141" t="s">
        <v>180</v>
      </c>
      <c r="H17" s="146">
        <v>0</v>
      </c>
      <c r="I17" s="144" t="s">
        <v>180</v>
      </c>
      <c r="J17" s="140">
        <v>0</v>
      </c>
      <c r="K17" s="144">
        <v>0</v>
      </c>
    </row>
    <row r="18" spans="1:15" s="137" customFormat="1" x14ac:dyDescent="0.2">
      <c r="A18" s="112" t="s">
        <v>1526</v>
      </c>
      <c r="B18" s="140" t="s">
        <v>180</v>
      </c>
      <c r="C18" s="140" t="s">
        <v>180</v>
      </c>
      <c r="D18" s="140" t="s">
        <v>180</v>
      </c>
      <c r="E18" s="141" t="s">
        <v>180</v>
      </c>
      <c r="F18" s="155" t="s">
        <v>180</v>
      </c>
      <c r="G18" s="141" t="s">
        <v>180</v>
      </c>
      <c r="H18" s="146">
        <v>0</v>
      </c>
      <c r="I18" s="144" t="s">
        <v>180</v>
      </c>
      <c r="J18" s="140">
        <v>0</v>
      </c>
      <c r="K18" s="144">
        <v>0</v>
      </c>
    </row>
    <row r="19" spans="1:15" s="137" customFormat="1" x14ac:dyDescent="0.2">
      <c r="A19" s="112" t="s">
        <v>1525</v>
      </c>
      <c r="B19" s="140" t="s">
        <v>180</v>
      </c>
      <c r="C19" s="140" t="s">
        <v>180</v>
      </c>
      <c r="D19" s="140" t="s">
        <v>180</v>
      </c>
      <c r="E19" s="141" t="s">
        <v>180</v>
      </c>
      <c r="F19" s="155" t="s">
        <v>180</v>
      </c>
      <c r="G19" s="141" t="s">
        <v>180</v>
      </c>
      <c r="H19" s="146">
        <v>0</v>
      </c>
      <c r="I19" s="144" t="s">
        <v>180</v>
      </c>
      <c r="J19" s="140">
        <v>0</v>
      </c>
      <c r="K19" s="144">
        <v>0</v>
      </c>
    </row>
    <row r="20" spans="1:15" s="137" customFormat="1" x14ac:dyDescent="0.2">
      <c r="A20" s="112" t="s">
        <v>1527</v>
      </c>
      <c r="B20" s="140" t="s">
        <v>180</v>
      </c>
      <c r="C20" s="140" t="s">
        <v>180</v>
      </c>
      <c r="D20" s="140" t="s">
        <v>180</v>
      </c>
      <c r="E20" s="141" t="s">
        <v>180</v>
      </c>
      <c r="F20" s="155" t="s">
        <v>180</v>
      </c>
      <c r="G20" s="141" t="s">
        <v>180</v>
      </c>
      <c r="H20" s="146">
        <v>0</v>
      </c>
      <c r="I20" s="144" t="s">
        <v>180</v>
      </c>
      <c r="J20" s="140">
        <v>0</v>
      </c>
      <c r="K20" s="144">
        <v>0</v>
      </c>
    </row>
    <row r="21" spans="1:15" s="137" customFormat="1" x14ac:dyDescent="0.2">
      <c r="A21" s="231" t="s">
        <v>144</v>
      </c>
      <c r="B21" s="238" t="s">
        <v>180</v>
      </c>
      <c r="C21" s="238" t="s">
        <v>180</v>
      </c>
      <c r="D21" s="238" t="s">
        <v>180</v>
      </c>
      <c r="E21" s="241" t="s">
        <v>180</v>
      </c>
      <c r="F21" s="240" t="s">
        <v>180</v>
      </c>
      <c r="G21" s="241" t="s">
        <v>180</v>
      </c>
      <c r="H21" s="237">
        <v>0</v>
      </c>
      <c r="I21" s="232" t="s">
        <v>180</v>
      </c>
      <c r="J21" s="238">
        <v>0</v>
      </c>
      <c r="K21" s="232">
        <v>0</v>
      </c>
    </row>
    <row r="22" spans="1:15" s="137" customFormat="1" x14ac:dyDescent="0.2">
      <c r="A22" s="97" t="s">
        <v>171</v>
      </c>
      <c r="B22" s="147"/>
      <c r="C22" s="147"/>
      <c r="D22" s="147"/>
      <c r="E22" s="147"/>
      <c r="F22" s="148"/>
      <c r="G22" s="148"/>
      <c r="H22" s="148"/>
      <c r="I22" s="149"/>
      <c r="J22" s="150"/>
      <c r="K22" s="151"/>
      <c r="L22" s="168"/>
      <c r="M22" s="168"/>
      <c r="N22" s="152"/>
      <c r="O22" s="152"/>
    </row>
    <row r="23" spans="1:15" s="137" customFormat="1" x14ac:dyDescent="0.2">
      <c r="A23" s="97" t="s">
        <v>172</v>
      </c>
      <c r="B23" s="147"/>
      <c r="C23" s="147"/>
      <c r="D23" s="147"/>
      <c r="E23" s="147"/>
      <c r="F23" s="148"/>
      <c r="G23" s="148"/>
      <c r="H23" s="148"/>
      <c r="I23" s="149"/>
      <c r="J23" s="150"/>
      <c r="K23" s="151"/>
      <c r="L23" s="168"/>
      <c r="M23" s="168"/>
      <c r="N23" s="152"/>
      <c r="O23" s="152"/>
    </row>
    <row r="24" spans="1:15" s="137" customFormat="1" x14ac:dyDescent="0.2">
      <c r="A24" s="97" t="s">
        <v>173</v>
      </c>
      <c r="B24" s="147"/>
      <c r="C24" s="147"/>
      <c r="D24" s="147"/>
      <c r="E24" s="147"/>
      <c r="F24" s="148"/>
      <c r="G24" s="148"/>
      <c r="H24" s="148"/>
      <c r="I24" s="149"/>
      <c r="J24" s="150"/>
      <c r="K24" s="151"/>
      <c r="L24" s="168"/>
      <c r="M24" s="168"/>
      <c r="N24" s="152"/>
      <c r="O24" s="152"/>
    </row>
    <row r="25" spans="1:15" s="137" customFormat="1" x14ac:dyDescent="0.2">
      <c r="A25" s="97" t="s">
        <v>174</v>
      </c>
      <c r="B25" s="147"/>
      <c r="C25" s="147"/>
      <c r="D25" s="147"/>
      <c r="E25" s="147"/>
      <c r="F25" s="148"/>
      <c r="G25" s="148"/>
      <c r="H25" s="148"/>
      <c r="I25" s="149"/>
      <c r="J25" s="150"/>
      <c r="K25" s="151"/>
      <c r="L25" s="168"/>
      <c r="M25" s="168"/>
      <c r="N25" s="152"/>
      <c r="O25" s="152"/>
    </row>
    <row r="26" spans="1:15" s="137" customFormat="1" x14ac:dyDescent="0.2">
      <c r="A26" s="97" t="s">
        <v>175</v>
      </c>
      <c r="B26" s="147"/>
      <c r="C26" s="147"/>
      <c r="D26" s="147"/>
      <c r="E26" s="147"/>
      <c r="F26" s="148"/>
      <c r="G26" s="148"/>
      <c r="H26" s="148"/>
      <c r="I26" s="149"/>
      <c r="J26" s="150"/>
      <c r="K26" s="151"/>
      <c r="L26" s="168"/>
      <c r="M26" s="168"/>
      <c r="N26" s="152"/>
      <c r="O26" s="152"/>
    </row>
  </sheetData>
  <mergeCells count="2">
    <mergeCell ref="A6:K6"/>
    <mergeCell ref="A5:K5"/>
  </mergeCells>
  <conditionalFormatting sqref="J1:J4 F10:I21 I22:I55556">
    <cfRule type="expression" dxfId="107" priority="183" stopIfTrue="1">
      <formula>LEFT(#REF!,3)="TIR"</formula>
    </cfRule>
  </conditionalFormatting>
  <conditionalFormatting sqref="B10:F21 J10:K21">
    <cfRule type="expression" dxfId="106" priority="186" stopIfTrue="1">
      <formula>LEFT(#REF!,3)="TIR"</formula>
    </cfRule>
  </conditionalFormatting>
  <conditionalFormatting sqref="A10:A21 I10:I21">
    <cfRule type="expression" dxfId="105" priority="188" stopIfTrue="1">
      <formula>#REF!&gt;0</formula>
    </cfRule>
    <cfRule type="expression" dxfId="104" priority="189" stopIfTrue="1">
      <formula>LEFT(#REF!,3)="TIR"</formula>
    </cfRule>
  </conditionalFormatting>
  <conditionalFormatting sqref="H11:H21 J11:K21">
    <cfRule type="expression" dxfId="103" priority="192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91" fitToHeight="0" orientation="landscape"/>
  <headerFooter alignWithMargins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282D-66FF-4ED1-921D-71A978932923}">
  <sheetPr codeName="גיליון11">
    <pageSetUpPr fitToPage="1"/>
  </sheetPr>
  <dimension ref="A1:P19"/>
  <sheetViews>
    <sheetView rightToLeft="1" workbookViewId="0">
      <selection activeCell="A7" sqref="A7:J14"/>
    </sheetView>
  </sheetViews>
  <sheetFormatPr defaultRowHeight="12.75" x14ac:dyDescent="0.2"/>
  <cols>
    <col min="1" max="1" width="33" style="23" bestFit="1" customWidth="1"/>
    <col min="2" max="2" width="12.140625" style="22" bestFit="1" customWidth="1"/>
    <col min="3" max="3" width="11.7109375" style="23" customWidth="1"/>
    <col min="4" max="4" width="11" style="23" customWidth="1"/>
    <col min="5" max="5" width="10.85546875" style="79" bestFit="1" customWidth="1"/>
    <col min="6" max="6" width="10.140625" style="24" bestFit="1" customWidth="1"/>
    <col min="7" max="7" width="6.5703125" style="24" bestFit="1" customWidth="1"/>
    <col min="8" max="8" width="10" style="25" customWidth="1"/>
    <col min="9" max="9" width="24.28515625" style="25" customWidth="1"/>
    <col min="10" max="10" width="19.7109375" style="26" customWidth="1"/>
    <col min="11" max="11" width="10" style="3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166</v>
      </c>
      <c r="B1" s="22" t="s">
        <v>176</v>
      </c>
      <c r="C1" s="23"/>
      <c r="D1" s="23"/>
      <c r="E1" s="79"/>
      <c r="F1" s="24"/>
      <c r="G1" s="24"/>
      <c r="H1" s="25"/>
      <c r="I1" s="25"/>
      <c r="J1" s="26"/>
      <c r="K1" s="27"/>
      <c r="L1" s="27"/>
      <c r="M1" s="27"/>
      <c r="N1" s="26"/>
      <c r="O1" s="26"/>
      <c r="P1" s="28"/>
    </row>
    <row r="2" spans="1:16" s="20" customFormat="1" x14ac:dyDescent="0.2">
      <c r="A2" s="23" t="s">
        <v>167</v>
      </c>
      <c r="B2" s="22" t="s">
        <v>153</v>
      </c>
      <c r="C2" s="23"/>
      <c r="D2" s="23"/>
      <c r="E2" s="79"/>
      <c r="F2" s="24"/>
      <c r="G2" s="24"/>
      <c r="H2" s="25"/>
      <c r="I2" s="25"/>
      <c r="J2" s="26"/>
      <c r="K2" s="27"/>
      <c r="L2" s="27"/>
      <c r="M2" s="27"/>
      <c r="N2" s="26"/>
      <c r="O2" s="26"/>
      <c r="P2" s="28"/>
    </row>
    <row r="3" spans="1:16" s="20" customFormat="1" x14ac:dyDescent="0.2">
      <c r="A3" s="23" t="s">
        <v>168</v>
      </c>
      <c r="B3" s="22" t="s">
        <v>169</v>
      </c>
      <c r="C3" s="23"/>
      <c r="D3" s="23"/>
      <c r="E3" s="79"/>
      <c r="F3" s="24"/>
      <c r="G3" s="24"/>
      <c r="H3" s="25"/>
      <c r="I3" s="25"/>
      <c r="J3" s="26"/>
      <c r="K3" s="27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170</v>
      </c>
      <c r="B4" s="22" t="s">
        <v>178</v>
      </c>
      <c r="C4" s="23"/>
      <c r="D4" s="23"/>
      <c r="E4" s="79"/>
      <c r="F4" s="24"/>
      <c r="G4" s="24"/>
      <c r="H4" s="25"/>
      <c r="I4" s="25"/>
      <c r="J4" s="26"/>
      <c r="K4" s="27"/>
      <c r="L4" s="27"/>
      <c r="M4" s="27"/>
      <c r="N4" s="26"/>
      <c r="O4" s="26"/>
      <c r="P4" s="2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7"/>
      <c r="N5" s="26"/>
      <c r="O5" s="26"/>
      <c r="P5" s="28"/>
    </row>
    <row r="6" spans="1:16" s="20" customFormat="1" x14ac:dyDescent="0.2">
      <c r="A6" s="7" t="s">
        <v>25</v>
      </c>
      <c r="B6" s="6"/>
      <c r="C6" s="6"/>
      <c r="D6" s="6"/>
      <c r="E6" s="6"/>
      <c r="F6" s="6"/>
      <c r="G6" s="6"/>
      <c r="H6" s="6"/>
      <c r="I6" s="6"/>
      <c r="J6" s="5"/>
      <c r="K6" s="25"/>
      <c r="L6" s="25"/>
    </row>
    <row r="7" spans="1:16" s="20" customFormat="1" ht="38.25" x14ac:dyDescent="0.2">
      <c r="A7" s="106" t="s">
        <v>160</v>
      </c>
      <c r="B7" s="107" t="s">
        <v>69</v>
      </c>
      <c r="C7" s="107" t="s">
        <v>76</v>
      </c>
      <c r="D7" s="107" t="s">
        <v>19</v>
      </c>
      <c r="E7" s="107" t="s">
        <v>6</v>
      </c>
      <c r="F7" s="108" t="s">
        <v>67</v>
      </c>
      <c r="G7" s="108" t="s">
        <v>68</v>
      </c>
      <c r="H7" s="108" t="s">
        <v>7</v>
      </c>
      <c r="I7" s="109" t="s">
        <v>75</v>
      </c>
      <c r="J7" s="110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136</v>
      </c>
      <c r="G8" s="15"/>
      <c r="H8" s="15" t="s">
        <v>138</v>
      </c>
      <c r="I8" s="44" t="s">
        <v>9</v>
      </c>
      <c r="J8" s="19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77">
        <v>8</v>
      </c>
      <c r="J9" s="61">
        <v>9</v>
      </c>
    </row>
    <row r="10" spans="1:16" s="137" customFormat="1" ht="12.75" customHeight="1" thickBot="1" x14ac:dyDescent="0.25">
      <c r="A10" s="169" t="s">
        <v>62</v>
      </c>
      <c r="B10" s="89"/>
      <c r="C10" s="89"/>
      <c r="D10" s="89"/>
      <c r="E10" s="170"/>
      <c r="F10" s="171"/>
      <c r="G10" s="170"/>
      <c r="H10" s="173">
        <v>7.5915268757576122</v>
      </c>
      <c r="I10" s="89">
        <v>1</v>
      </c>
      <c r="J10" s="102">
        <v>9.1965864542408161E-6</v>
      </c>
    </row>
    <row r="11" spans="1:16" s="137" customFormat="1" x14ac:dyDescent="0.2">
      <c r="A11" s="111" t="s">
        <v>140</v>
      </c>
      <c r="B11" s="140" t="s">
        <v>180</v>
      </c>
      <c r="C11" s="140" t="s">
        <v>180</v>
      </c>
      <c r="D11" s="140"/>
      <c r="E11" s="141" t="s">
        <v>180</v>
      </c>
      <c r="F11" s="153" t="s">
        <v>180</v>
      </c>
      <c r="G11" s="141" t="s">
        <v>180</v>
      </c>
      <c r="H11" s="142">
        <v>0</v>
      </c>
      <c r="I11" s="140">
        <v>0</v>
      </c>
      <c r="J11" s="140">
        <v>0</v>
      </c>
    </row>
    <row r="12" spans="1:16" s="137" customFormat="1" x14ac:dyDescent="0.2">
      <c r="A12" s="112" t="s">
        <v>357</v>
      </c>
      <c r="B12" s="140" t="s">
        <v>180</v>
      </c>
      <c r="C12" s="144" t="s">
        <v>180</v>
      </c>
      <c r="D12" s="144"/>
      <c r="E12" s="145" t="s">
        <v>180</v>
      </c>
      <c r="F12" s="155" t="s">
        <v>180</v>
      </c>
      <c r="G12" s="145" t="s">
        <v>180</v>
      </c>
      <c r="H12" s="146">
        <v>7.5915267757573162</v>
      </c>
      <c r="I12" s="140">
        <v>0.99999998682738034</v>
      </c>
      <c r="J12" s="140">
        <v>9.1965863330976812E-6</v>
      </c>
    </row>
    <row r="13" spans="1:16" x14ac:dyDescent="0.2">
      <c r="A13" s="30" t="s">
        <v>1528</v>
      </c>
      <c r="B13" s="46" t="s">
        <v>1529</v>
      </c>
      <c r="C13" s="38" t="s">
        <v>361</v>
      </c>
      <c r="D13" s="38" t="s">
        <v>1530</v>
      </c>
      <c r="E13" s="80" t="s">
        <v>127</v>
      </c>
      <c r="F13" s="88">
        <v>-3.7916897081083101</v>
      </c>
      <c r="G13" s="80">
        <v>218.15620000000001</v>
      </c>
      <c r="H13" s="104">
        <v>-2867.0086800385429</v>
      </c>
      <c r="I13" s="46">
        <v>-377.65903051649593</v>
      </c>
      <c r="J13" s="46">
        <v>-3.4731739243697253E-3</v>
      </c>
      <c r="K13" s="28"/>
      <c r="L13" s="28"/>
      <c r="M13" s="28"/>
      <c r="N13" s="28"/>
      <c r="O13" s="28"/>
    </row>
    <row r="14" spans="1:16" x14ac:dyDescent="0.2">
      <c r="A14" s="229" t="s">
        <v>1531</v>
      </c>
      <c r="B14" s="227" t="s">
        <v>1532</v>
      </c>
      <c r="C14" s="223" t="s">
        <v>361</v>
      </c>
      <c r="D14" s="223" t="s">
        <v>1530</v>
      </c>
      <c r="E14" s="225" t="s">
        <v>127</v>
      </c>
      <c r="F14" s="230">
        <v>829371.09253983409</v>
      </c>
      <c r="G14" s="225">
        <v>1</v>
      </c>
      <c r="H14" s="226">
        <v>2874.6002067143004</v>
      </c>
      <c r="I14" s="227">
        <v>378.65903049015071</v>
      </c>
      <c r="J14" s="227">
        <v>3.4823705105816805E-3</v>
      </c>
      <c r="K14" s="28"/>
      <c r="L14" s="28"/>
      <c r="M14" s="28"/>
      <c r="N14" s="28"/>
      <c r="O14" s="28"/>
    </row>
    <row r="15" spans="1:16" s="137" customFormat="1" x14ac:dyDescent="0.2">
      <c r="A15" s="97" t="s">
        <v>171</v>
      </c>
      <c r="B15" s="147"/>
      <c r="C15" s="97"/>
      <c r="D15" s="97"/>
      <c r="E15" s="148"/>
      <c r="F15" s="166"/>
      <c r="G15" s="166"/>
      <c r="H15" s="167"/>
      <c r="I15" s="167"/>
      <c r="J15" s="152"/>
      <c r="K15" s="168"/>
      <c r="L15" s="168"/>
      <c r="M15" s="168"/>
      <c r="N15" s="152"/>
      <c r="O15" s="152"/>
    </row>
    <row r="16" spans="1:16" s="137" customFormat="1" x14ac:dyDescent="0.2">
      <c r="A16" s="97" t="s">
        <v>172</v>
      </c>
      <c r="B16" s="147"/>
      <c r="C16" s="97"/>
      <c r="D16" s="97"/>
      <c r="E16" s="148"/>
      <c r="F16" s="166"/>
      <c r="G16" s="166"/>
      <c r="H16" s="167"/>
      <c r="I16" s="167"/>
      <c r="J16" s="152"/>
      <c r="K16" s="168"/>
      <c r="L16" s="168"/>
      <c r="M16" s="168"/>
      <c r="N16" s="152"/>
      <c r="O16" s="152"/>
    </row>
    <row r="17" spans="1:15" s="137" customFormat="1" x14ac:dyDescent="0.2">
      <c r="A17" s="97" t="s">
        <v>173</v>
      </c>
      <c r="B17" s="147"/>
      <c r="C17" s="97"/>
      <c r="D17" s="97"/>
      <c r="E17" s="148"/>
      <c r="F17" s="166"/>
      <c r="G17" s="166"/>
      <c r="H17" s="167"/>
      <c r="I17" s="167"/>
      <c r="J17" s="152"/>
      <c r="K17" s="168"/>
      <c r="L17" s="168"/>
      <c r="M17" s="168"/>
      <c r="N17" s="152"/>
      <c r="O17" s="152"/>
    </row>
    <row r="18" spans="1:15" s="137" customFormat="1" x14ac:dyDescent="0.2">
      <c r="A18" s="97" t="s">
        <v>174</v>
      </c>
      <c r="B18" s="147"/>
      <c r="C18" s="97"/>
      <c r="D18" s="97"/>
      <c r="E18" s="148"/>
      <c r="F18" s="166"/>
      <c r="G18" s="166"/>
      <c r="H18" s="167"/>
      <c r="I18" s="167"/>
      <c r="J18" s="152"/>
      <c r="K18" s="168"/>
      <c r="L18" s="168"/>
      <c r="M18" s="168"/>
      <c r="N18" s="152"/>
      <c r="O18" s="152"/>
    </row>
    <row r="19" spans="1:15" s="137" customFormat="1" x14ac:dyDescent="0.2">
      <c r="A19" s="97" t="s">
        <v>175</v>
      </c>
      <c r="B19" s="147"/>
      <c r="C19" s="97"/>
      <c r="D19" s="97"/>
      <c r="E19" s="148"/>
      <c r="F19" s="166"/>
      <c r="G19" s="166"/>
      <c r="H19" s="167"/>
      <c r="I19" s="167"/>
      <c r="J19" s="152"/>
      <c r="K19" s="168"/>
      <c r="L19" s="168"/>
      <c r="M19" s="168"/>
      <c r="N19" s="152"/>
      <c r="O19" s="152"/>
    </row>
  </sheetData>
  <mergeCells count="2">
    <mergeCell ref="A6:J6"/>
    <mergeCell ref="A5:J5"/>
  </mergeCells>
  <conditionalFormatting sqref="J1:J4 F10:G14 J15:J55549">
    <cfRule type="expression" dxfId="102" priority="209" stopIfTrue="1">
      <formula>LEFT(#REF!,3)="TIR"</formula>
    </cfRule>
  </conditionalFormatting>
  <conditionalFormatting sqref="B10:E14 I10:J14">
    <cfRule type="expression" dxfId="101" priority="212" stopIfTrue="1">
      <formula>LEFT(#REF!,3)="TIR"</formula>
    </cfRule>
  </conditionalFormatting>
  <conditionalFormatting sqref="A10:A14 H10:I10 I11:I14">
    <cfRule type="expression" dxfId="100" priority="214" stopIfTrue="1">
      <formula>#REF!&gt;0</formula>
    </cfRule>
    <cfRule type="expression" dxfId="99" priority="215" stopIfTrue="1">
      <formula>LEFT(#REF!,3)="TIR"</formula>
    </cfRule>
  </conditionalFormatting>
  <conditionalFormatting sqref="J11:J14">
    <cfRule type="expression" dxfId="98" priority="220" stopIfTrue="1">
      <formula>OR(LEFT(#REF!,3)="TIR",LEFT(#REF!,2)="IR")</formula>
    </cfRule>
  </conditionalFormatting>
  <conditionalFormatting sqref="H11:I14">
    <cfRule type="expression" dxfId="97" priority="221" stopIfTrue="1">
      <formula>#REF!&gt;0</formula>
    </cfRule>
    <cfRule type="expression" dxfId="96" priority="222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85D71-F820-4D90-ACE0-340BDE06DAF9}">
  <sheetPr codeName="גיליון12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23" bestFit="1" customWidth="1"/>
    <col min="2" max="2" width="13.5703125" style="22" bestFit="1" customWidth="1"/>
    <col min="3" max="3" width="12" style="23" customWidth="1"/>
    <col min="4" max="4" width="7.5703125" style="79" customWidth="1"/>
    <col min="5" max="5" width="11.140625" style="79" customWidth="1"/>
    <col min="6" max="6" width="14.140625" style="79" customWidth="1"/>
    <col min="7" max="7" width="7.85546875" style="50" customWidth="1"/>
    <col min="8" max="8" width="11.28515625" style="81" customWidth="1"/>
    <col min="9" max="9" width="12.5703125" style="83" customWidth="1"/>
    <col min="10" max="10" width="14.140625" style="83" customWidth="1"/>
    <col min="11" max="11" width="10.5703125" style="83" customWidth="1"/>
    <col min="12" max="12" width="8.85546875" style="81" bestFit="1" customWidth="1"/>
    <col min="13" max="13" width="10.42578125" style="81" customWidth="1"/>
    <col min="14" max="14" width="22" style="84" customWidth="1"/>
    <col min="15" max="15" width="25.42578125" style="84" customWidth="1"/>
    <col min="16" max="16" width="20.7109375" style="84" customWidth="1"/>
    <col min="17" max="16384" width="9.140625" style="28"/>
  </cols>
  <sheetData>
    <row r="1" spans="1:16" s="20" customFormat="1" x14ac:dyDescent="0.2">
      <c r="A1" s="20" t="s">
        <v>166</v>
      </c>
      <c r="B1" s="22" t="s">
        <v>176</v>
      </c>
      <c r="D1" s="79"/>
      <c r="E1" s="79"/>
      <c r="F1" s="79"/>
      <c r="G1" s="50"/>
      <c r="H1" s="81"/>
      <c r="I1" s="82"/>
      <c r="J1" s="82"/>
      <c r="K1" s="82"/>
      <c r="L1" s="81"/>
      <c r="M1" s="81"/>
      <c r="N1" s="84"/>
      <c r="O1" s="84"/>
      <c r="P1" s="58"/>
    </row>
    <row r="2" spans="1:16" s="20" customFormat="1" x14ac:dyDescent="0.2">
      <c r="A2" s="23" t="s">
        <v>167</v>
      </c>
      <c r="B2" s="22" t="s">
        <v>153</v>
      </c>
      <c r="D2" s="79"/>
      <c r="E2" s="79"/>
      <c r="F2" s="79"/>
      <c r="G2" s="50"/>
      <c r="H2" s="81"/>
      <c r="I2" s="82"/>
      <c r="J2" s="82"/>
      <c r="K2" s="82"/>
      <c r="L2" s="81"/>
      <c r="M2" s="81"/>
      <c r="N2" s="84"/>
      <c r="O2" s="84"/>
      <c r="P2" s="58"/>
    </row>
    <row r="3" spans="1:16" s="20" customFormat="1" x14ac:dyDescent="0.2">
      <c r="A3" s="23" t="s">
        <v>168</v>
      </c>
      <c r="B3" s="22" t="s">
        <v>169</v>
      </c>
      <c r="D3" s="79"/>
      <c r="E3" s="79"/>
      <c r="F3" s="79"/>
      <c r="G3" s="50"/>
      <c r="H3" s="81"/>
      <c r="I3" s="82"/>
      <c r="J3" s="82"/>
      <c r="K3" s="82"/>
      <c r="L3" s="81"/>
      <c r="M3" s="81"/>
      <c r="N3" s="84"/>
      <c r="O3" s="84"/>
      <c r="P3" s="58"/>
    </row>
    <row r="4" spans="1:16" s="20" customFormat="1" ht="13.5" thickBot="1" x14ac:dyDescent="0.25">
      <c r="A4" s="23" t="s">
        <v>170</v>
      </c>
      <c r="B4" s="22" t="s">
        <v>178</v>
      </c>
      <c r="D4" s="79"/>
      <c r="E4" s="79"/>
      <c r="F4" s="79"/>
      <c r="G4" s="50"/>
      <c r="H4" s="81"/>
      <c r="I4" s="82"/>
      <c r="J4" s="82"/>
      <c r="K4" s="82"/>
      <c r="L4" s="81"/>
      <c r="M4" s="81"/>
      <c r="N4" s="84"/>
      <c r="O4" s="84"/>
      <c r="P4" s="5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26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6" t="s">
        <v>160</v>
      </c>
      <c r="B7" s="107" t="s">
        <v>69</v>
      </c>
      <c r="C7" s="107" t="s">
        <v>27</v>
      </c>
      <c r="D7" s="107" t="s">
        <v>70</v>
      </c>
      <c r="E7" s="107" t="s">
        <v>5</v>
      </c>
      <c r="F7" s="107" t="s">
        <v>13</v>
      </c>
      <c r="G7" s="107" t="s">
        <v>14</v>
      </c>
      <c r="H7" s="107" t="s">
        <v>6</v>
      </c>
      <c r="I7" s="108" t="s">
        <v>66</v>
      </c>
      <c r="J7" s="108" t="s">
        <v>71</v>
      </c>
      <c r="K7" s="108" t="s">
        <v>67</v>
      </c>
      <c r="L7" s="108" t="s">
        <v>68</v>
      </c>
      <c r="M7" s="108" t="s">
        <v>7</v>
      </c>
      <c r="N7" s="109" t="s">
        <v>17</v>
      </c>
      <c r="O7" s="109" t="s">
        <v>75</v>
      </c>
      <c r="P7" s="110" t="s">
        <v>8</v>
      </c>
    </row>
    <row r="8" spans="1:16" s="20" customFormat="1" x14ac:dyDescent="0.2">
      <c r="A8" s="40"/>
      <c r="B8" s="16"/>
      <c r="C8" s="16"/>
      <c r="D8" s="16"/>
      <c r="E8" s="71"/>
      <c r="F8" s="71" t="s">
        <v>40</v>
      </c>
      <c r="G8" s="71" t="s">
        <v>16</v>
      </c>
      <c r="H8" s="43"/>
      <c r="I8" s="67" t="s">
        <v>9</v>
      </c>
      <c r="J8" s="67" t="s">
        <v>9</v>
      </c>
      <c r="K8" s="15" t="s">
        <v>136</v>
      </c>
      <c r="L8" s="67"/>
      <c r="M8" s="15" t="s">
        <v>138</v>
      </c>
      <c r="N8" s="75" t="s">
        <v>9</v>
      </c>
      <c r="O8" s="75" t="s">
        <v>9</v>
      </c>
      <c r="P8" s="73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6">
        <v>15</v>
      </c>
    </row>
    <row r="10" spans="1:16" s="137" customFormat="1" ht="12.75" customHeight="1" thickBot="1" x14ac:dyDescent="0.25">
      <c r="A10" s="120" t="s">
        <v>57</v>
      </c>
      <c r="B10" s="86"/>
      <c r="C10" s="86"/>
      <c r="D10" s="121"/>
      <c r="E10" s="121"/>
      <c r="F10" s="121"/>
      <c r="G10" s="121"/>
      <c r="H10" s="121"/>
      <c r="I10" s="86"/>
      <c r="J10" s="86"/>
      <c r="K10" s="122"/>
      <c r="L10" s="121"/>
      <c r="M10" s="125">
        <v>1.2000000000000002E-6</v>
      </c>
      <c r="N10" s="86"/>
      <c r="O10" s="86">
        <v>1</v>
      </c>
      <c r="P10" s="101">
        <v>0</v>
      </c>
    </row>
    <row r="11" spans="1:16" s="137" customFormat="1" x14ac:dyDescent="0.2">
      <c r="A11" s="111" t="s">
        <v>140</v>
      </c>
      <c r="B11" s="140" t="s">
        <v>180</v>
      </c>
      <c r="C11" s="140" t="s">
        <v>180</v>
      </c>
      <c r="D11" s="141" t="s">
        <v>180</v>
      </c>
      <c r="E11" s="141" t="s">
        <v>180</v>
      </c>
      <c r="F11" s="141" t="s">
        <v>180</v>
      </c>
      <c r="G11" s="141" t="s">
        <v>180</v>
      </c>
      <c r="H11" s="141" t="s">
        <v>180</v>
      </c>
      <c r="I11" s="140" t="s">
        <v>180</v>
      </c>
      <c r="J11" s="140" t="s">
        <v>180</v>
      </c>
      <c r="K11" s="153" t="s">
        <v>180</v>
      </c>
      <c r="L11" s="141" t="s">
        <v>180</v>
      </c>
      <c r="M11" s="142">
        <v>0</v>
      </c>
      <c r="N11" s="140" t="s">
        <v>180</v>
      </c>
      <c r="O11" s="140">
        <v>0</v>
      </c>
      <c r="P11" s="140">
        <v>0</v>
      </c>
    </row>
    <row r="12" spans="1:16" s="137" customFormat="1" x14ac:dyDescent="0.2">
      <c r="A12" s="112" t="s">
        <v>1533</v>
      </c>
      <c r="B12" s="140" t="s">
        <v>180</v>
      </c>
      <c r="C12" s="144" t="s">
        <v>180</v>
      </c>
      <c r="D12" s="145" t="s">
        <v>180</v>
      </c>
      <c r="E12" s="145" t="s">
        <v>180</v>
      </c>
      <c r="F12" s="145" t="s">
        <v>180</v>
      </c>
      <c r="G12" s="145" t="s">
        <v>180</v>
      </c>
      <c r="H12" s="145" t="s">
        <v>180</v>
      </c>
      <c r="I12" s="144" t="s">
        <v>180</v>
      </c>
      <c r="J12" s="144" t="s">
        <v>180</v>
      </c>
      <c r="K12" s="155" t="s">
        <v>180</v>
      </c>
      <c r="L12" s="145" t="s">
        <v>180</v>
      </c>
      <c r="M12" s="146">
        <v>0</v>
      </c>
      <c r="N12" s="144" t="s">
        <v>180</v>
      </c>
      <c r="O12" s="144">
        <v>0</v>
      </c>
      <c r="P12" s="144">
        <v>0</v>
      </c>
    </row>
    <row r="13" spans="1:16" s="137" customFormat="1" x14ac:dyDescent="0.2">
      <c r="A13" s="112" t="s">
        <v>1534</v>
      </c>
      <c r="B13" s="140" t="s">
        <v>180</v>
      </c>
      <c r="C13" s="144" t="s">
        <v>180</v>
      </c>
      <c r="D13" s="145" t="s">
        <v>180</v>
      </c>
      <c r="E13" s="145" t="s">
        <v>180</v>
      </c>
      <c r="F13" s="145" t="s">
        <v>180</v>
      </c>
      <c r="G13" s="145" t="s">
        <v>180</v>
      </c>
      <c r="H13" s="145" t="s">
        <v>180</v>
      </c>
      <c r="I13" s="144" t="s">
        <v>180</v>
      </c>
      <c r="J13" s="144" t="s">
        <v>180</v>
      </c>
      <c r="K13" s="155" t="s">
        <v>180</v>
      </c>
      <c r="L13" s="145" t="s">
        <v>180</v>
      </c>
      <c r="M13" s="146">
        <v>0</v>
      </c>
      <c r="N13" s="144" t="s">
        <v>180</v>
      </c>
      <c r="O13" s="144">
        <v>0</v>
      </c>
      <c r="P13" s="144">
        <v>0</v>
      </c>
    </row>
    <row r="14" spans="1:16" s="137" customFormat="1" x14ac:dyDescent="0.2">
      <c r="A14" s="112" t="s">
        <v>1535</v>
      </c>
      <c r="B14" s="140" t="s">
        <v>180</v>
      </c>
      <c r="C14" s="144" t="s">
        <v>180</v>
      </c>
      <c r="D14" s="145" t="s">
        <v>180</v>
      </c>
      <c r="E14" s="145" t="s">
        <v>180</v>
      </c>
      <c r="F14" s="145" t="s">
        <v>180</v>
      </c>
      <c r="G14" s="145" t="s">
        <v>180</v>
      </c>
      <c r="H14" s="145" t="s">
        <v>180</v>
      </c>
      <c r="I14" s="144" t="s">
        <v>180</v>
      </c>
      <c r="J14" s="144" t="s">
        <v>180</v>
      </c>
      <c r="K14" s="155" t="s">
        <v>180</v>
      </c>
      <c r="L14" s="145" t="s">
        <v>180</v>
      </c>
      <c r="M14" s="146">
        <v>0</v>
      </c>
      <c r="N14" s="144" t="s">
        <v>180</v>
      </c>
      <c r="O14" s="144">
        <v>0</v>
      </c>
      <c r="P14" s="144">
        <v>0</v>
      </c>
    </row>
    <row r="15" spans="1:16" s="137" customFormat="1" x14ac:dyDescent="0.2">
      <c r="A15" s="112" t="s">
        <v>1536</v>
      </c>
      <c r="B15" s="140" t="s">
        <v>180</v>
      </c>
      <c r="C15" s="144" t="s">
        <v>180</v>
      </c>
      <c r="D15" s="145" t="s">
        <v>180</v>
      </c>
      <c r="E15" s="145" t="s">
        <v>180</v>
      </c>
      <c r="F15" s="145" t="s">
        <v>180</v>
      </c>
      <c r="G15" s="145" t="s">
        <v>180</v>
      </c>
      <c r="H15" s="145" t="s">
        <v>180</v>
      </c>
      <c r="I15" s="144" t="s">
        <v>180</v>
      </c>
      <c r="J15" s="144" t="s">
        <v>180</v>
      </c>
      <c r="K15" s="155" t="s">
        <v>180</v>
      </c>
      <c r="L15" s="145" t="s">
        <v>180</v>
      </c>
      <c r="M15" s="146">
        <v>0</v>
      </c>
      <c r="N15" s="144" t="s">
        <v>180</v>
      </c>
      <c r="O15" s="144">
        <v>0</v>
      </c>
      <c r="P15" s="144">
        <v>0</v>
      </c>
    </row>
    <row r="16" spans="1:16" s="137" customFormat="1" x14ac:dyDescent="0.2">
      <c r="A16" s="112" t="s">
        <v>1537</v>
      </c>
      <c r="B16" s="140" t="s">
        <v>180</v>
      </c>
      <c r="C16" s="144" t="s">
        <v>180</v>
      </c>
      <c r="D16" s="145" t="s">
        <v>180</v>
      </c>
      <c r="E16" s="145" t="s">
        <v>180</v>
      </c>
      <c r="F16" s="145" t="s">
        <v>180</v>
      </c>
      <c r="G16" s="145" t="s">
        <v>180</v>
      </c>
      <c r="H16" s="145" t="s">
        <v>180</v>
      </c>
      <c r="I16" s="144" t="s">
        <v>180</v>
      </c>
      <c r="J16" s="144" t="s">
        <v>180</v>
      </c>
      <c r="K16" s="155" t="s">
        <v>180</v>
      </c>
      <c r="L16" s="145" t="s">
        <v>180</v>
      </c>
      <c r="M16" s="146">
        <v>0</v>
      </c>
      <c r="N16" s="144" t="s">
        <v>180</v>
      </c>
      <c r="O16" s="144">
        <v>0</v>
      </c>
      <c r="P16" s="144">
        <v>0</v>
      </c>
    </row>
    <row r="17" spans="1:16" s="137" customFormat="1" x14ac:dyDescent="0.2">
      <c r="A17" s="112" t="s">
        <v>1538</v>
      </c>
      <c r="B17" s="140" t="s">
        <v>180</v>
      </c>
      <c r="C17" s="144" t="s">
        <v>180</v>
      </c>
      <c r="D17" s="145" t="s">
        <v>180</v>
      </c>
      <c r="E17" s="145" t="s">
        <v>180</v>
      </c>
      <c r="F17" s="145" t="s">
        <v>180</v>
      </c>
      <c r="G17" s="145" t="s">
        <v>180</v>
      </c>
      <c r="H17" s="145" t="s">
        <v>180</v>
      </c>
      <c r="I17" s="144" t="s">
        <v>180</v>
      </c>
      <c r="J17" s="144" t="s">
        <v>180</v>
      </c>
      <c r="K17" s="155" t="s">
        <v>180</v>
      </c>
      <c r="L17" s="145" t="s">
        <v>180</v>
      </c>
      <c r="M17" s="146">
        <v>0</v>
      </c>
      <c r="N17" s="144" t="s">
        <v>180</v>
      </c>
      <c r="O17" s="144">
        <v>0</v>
      </c>
      <c r="P17" s="144">
        <v>0</v>
      </c>
    </row>
    <row r="18" spans="1:16" s="137" customFormat="1" x14ac:dyDescent="0.2">
      <c r="A18" s="112" t="s">
        <v>1539</v>
      </c>
      <c r="B18" s="140" t="s">
        <v>180</v>
      </c>
      <c r="C18" s="144" t="s">
        <v>180</v>
      </c>
      <c r="D18" s="145" t="s">
        <v>180</v>
      </c>
      <c r="E18" s="145" t="s">
        <v>180</v>
      </c>
      <c r="F18" s="145" t="s">
        <v>180</v>
      </c>
      <c r="G18" s="145" t="s">
        <v>180</v>
      </c>
      <c r="H18" s="145" t="s">
        <v>180</v>
      </c>
      <c r="I18" s="144" t="s">
        <v>180</v>
      </c>
      <c r="J18" s="144" t="s">
        <v>180</v>
      </c>
      <c r="K18" s="155" t="s">
        <v>180</v>
      </c>
      <c r="L18" s="145" t="s">
        <v>180</v>
      </c>
      <c r="M18" s="146">
        <v>0</v>
      </c>
      <c r="N18" s="144" t="s">
        <v>180</v>
      </c>
      <c r="O18" s="144">
        <v>0</v>
      </c>
      <c r="P18" s="144">
        <v>0</v>
      </c>
    </row>
    <row r="19" spans="1:16" s="137" customFormat="1" x14ac:dyDescent="0.2">
      <c r="A19" s="112" t="s">
        <v>357</v>
      </c>
      <c r="B19" s="140" t="s">
        <v>180</v>
      </c>
      <c r="C19" s="144" t="s">
        <v>180</v>
      </c>
      <c r="D19" s="145" t="s">
        <v>180</v>
      </c>
      <c r="E19" s="145" t="s">
        <v>180</v>
      </c>
      <c r="F19" s="145" t="s">
        <v>180</v>
      </c>
      <c r="G19" s="145" t="s">
        <v>180</v>
      </c>
      <c r="H19" s="145" t="s">
        <v>180</v>
      </c>
      <c r="I19" s="144" t="s">
        <v>180</v>
      </c>
      <c r="J19" s="144" t="s">
        <v>180</v>
      </c>
      <c r="K19" s="155" t="s">
        <v>180</v>
      </c>
      <c r="L19" s="145" t="s">
        <v>180</v>
      </c>
      <c r="M19" s="146">
        <v>0</v>
      </c>
      <c r="N19" s="144" t="s">
        <v>180</v>
      </c>
      <c r="O19" s="144">
        <v>0</v>
      </c>
      <c r="P19" s="144">
        <v>0</v>
      </c>
    </row>
    <row r="20" spans="1:16" s="137" customFormat="1" x14ac:dyDescent="0.2">
      <c r="A20" s="112" t="s">
        <v>1540</v>
      </c>
      <c r="B20" s="140" t="s">
        <v>180</v>
      </c>
      <c r="C20" s="144" t="s">
        <v>180</v>
      </c>
      <c r="D20" s="145" t="s">
        <v>180</v>
      </c>
      <c r="E20" s="145" t="s">
        <v>180</v>
      </c>
      <c r="F20" s="145" t="s">
        <v>180</v>
      </c>
      <c r="G20" s="145" t="s">
        <v>180</v>
      </c>
      <c r="H20" s="145" t="s">
        <v>180</v>
      </c>
      <c r="I20" s="144" t="s">
        <v>180</v>
      </c>
      <c r="J20" s="144" t="s">
        <v>180</v>
      </c>
      <c r="K20" s="155" t="s">
        <v>180</v>
      </c>
      <c r="L20" s="145" t="s">
        <v>180</v>
      </c>
      <c r="M20" s="146">
        <v>0</v>
      </c>
      <c r="N20" s="144" t="s">
        <v>180</v>
      </c>
      <c r="O20" s="144">
        <v>0</v>
      </c>
      <c r="P20" s="144">
        <v>0</v>
      </c>
    </row>
    <row r="21" spans="1:16" s="137" customFormat="1" x14ac:dyDescent="0.2">
      <c r="A21" s="112" t="s">
        <v>1541</v>
      </c>
      <c r="B21" s="140" t="s">
        <v>180</v>
      </c>
      <c r="C21" s="144" t="s">
        <v>180</v>
      </c>
      <c r="D21" s="145" t="s">
        <v>180</v>
      </c>
      <c r="E21" s="145" t="s">
        <v>180</v>
      </c>
      <c r="F21" s="145" t="s">
        <v>180</v>
      </c>
      <c r="G21" s="145" t="s">
        <v>180</v>
      </c>
      <c r="H21" s="145" t="s">
        <v>180</v>
      </c>
      <c r="I21" s="144" t="s">
        <v>180</v>
      </c>
      <c r="J21" s="144" t="s">
        <v>180</v>
      </c>
      <c r="K21" s="155" t="s">
        <v>180</v>
      </c>
      <c r="L21" s="145" t="s">
        <v>180</v>
      </c>
      <c r="M21" s="146">
        <v>0</v>
      </c>
      <c r="N21" s="144" t="s">
        <v>180</v>
      </c>
      <c r="O21" s="144">
        <v>0</v>
      </c>
      <c r="P21" s="144">
        <v>0</v>
      </c>
    </row>
    <row r="22" spans="1:16" s="137" customFormat="1" x14ac:dyDescent="0.2">
      <c r="A22" s="112" t="s">
        <v>1542</v>
      </c>
      <c r="B22" s="140" t="s">
        <v>180</v>
      </c>
      <c r="C22" s="144" t="s">
        <v>180</v>
      </c>
      <c r="D22" s="145" t="s">
        <v>180</v>
      </c>
      <c r="E22" s="145" t="s">
        <v>180</v>
      </c>
      <c r="F22" s="145" t="s">
        <v>180</v>
      </c>
      <c r="G22" s="145" t="s">
        <v>180</v>
      </c>
      <c r="H22" s="145" t="s">
        <v>180</v>
      </c>
      <c r="I22" s="144" t="s">
        <v>180</v>
      </c>
      <c r="J22" s="144" t="s">
        <v>180</v>
      </c>
      <c r="K22" s="155" t="s">
        <v>180</v>
      </c>
      <c r="L22" s="145" t="s">
        <v>180</v>
      </c>
      <c r="M22" s="146">
        <v>0</v>
      </c>
      <c r="N22" s="144" t="s">
        <v>180</v>
      </c>
      <c r="O22" s="144">
        <v>0</v>
      </c>
      <c r="P22" s="144">
        <v>0</v>
      </c>
    </row>
    <row r="23" spans="1:16" s="137" customFormat="1" x14ac:dyDescent="0.2">
      <c r="A23" s="112" t="s">
        <v>1536</v>
      </c>
      <c r="B23" s="140" t="s">
        <v>180</v>
      </c>
      <c r="C23" s="144" t="s">
        <v>180</v>
      </c>
      <c r="D23" s="145" t="s">
        <v>180</v>
      </c>
      <c r="E23" s="145" t="s">
        <v>180</v>
      </c>
      <c r="F23" s="145" t="s">
        <v>180</v>
      </c>
      <c r="G23" s="145" t="s">
        <v>180</v>
      </c>
      <c r="H23" s="145" t="s">
        <v>180</v>
      </c>
      <c r="I23" s="144" t="s">
        <v>180</v>
      </c>
      <c r="J23" s="144" t="s">
        <v>180</v>
      </c>
      <c r="K23" s="155" t="s">
        <v>180</v>
      </c>
      <c r="L23" s="145" t="s">
        <v>180</v>
      </c>
      <c r="M23" s="146">
        <v>0</v>
      </c>
      <c r="N23" s="144" t="s">
        <v>180</v>
      </c>
      <c r="O23" s="144">
        <v>0</v>
      </c>
      <c r="P23" s="144">
        <v>0</v>
      </c>
    </row>
    <row r="24" spans="1:16" s="137" customFormat="1" x14ac:dyDescent="0.2">
      <c r="A24" s="112" t="s">
        <v>1537</v>
      </c>
      <c r="B24" s="140" t="s">
        <v>180</v>
      </c>
      <c r="C24" s="144" t="s">
        <v>180</v>
      </c>
      <c r="D24" s="145" t="s">
        <v>180</v>
      </c>
      <c r="E24" s="145" t="s">
        <v>180</v>
      </c>
      <c r="F24" s="145" t="s">
        <v>180</v>
      </c>
      <c r="G24" s="145" t="s">
        <v>180</v>
      </c>
      <c r="H24" s="145" t="s">
        <v>180</v>
      </c>
      <c r="I24" s="144" t="s">
        <v>180</v>
      </c>
      <c r="J24" s="144" t="s">
        <v>180</v>
      </c>
      <c r="K24" s="155" t="s">
        <v>180</v>
      </c>
      <c r="L24" s="145" t="s">
        <v>180</v>
      </c>
      <c r="M24" s="146">
        <v>0</v>
      </c>
      <c r="N24" s="144" t="s">
        <v>180</v>
      </c>
      <c r="O24" s="144">
        <v>0</v>
      </c>
      <c r="P24" s="144">
        <v>0</v>
      </c>
    </row>
    <row r="25" spans="1:16" s="137" customFormat="1" x14ac:dyDescent="0.2">
      <c r="A25" s="112" t="s">
        <v>1538</v>
      </c>
      <c r="B25" s="140" t="s">
        <v>180</v>
      </c>
      <c r="C25" s="144" t="s">
        <v>180</v>
      </c>
      <c r="D25" s="145" t="s">
        <v>180</v>
      </c>
      <c r="E25" s="145" t="s">
        <v>180</v>
      </c>
      <c r="F25" s="145" t="s">
        <v>180</v>
      </c>
      <c r="G25" s="145" t="s">
        <v>180</v>
      </c>
      <c r="H25" s="145" t="s">
        <v>180</v>
      </c>
      <c r="I25" s="144" t="s">
        <v>180</v>
      </c>
      <c r="J25" s="144" t="s">
        <v>180</v>
      </c>
      <c r="K25" s="155" t="s">
        <v>180</v>
      </c>
      <c r="L25" s="145" t="s">
        <v>180</v>
      </c>
      <c r="M25" s="146">
        <v>0</v>
      </c>
      <c r="N25" s="144" t="s">
        <v>180</v>
      </c>
      <c r="O25" s="144">
        <v>0</v>
      </c>
      <c r="P25" s="144">
        <v>0</v>
      </c>
    </row>
    <row r="26" spans="1:16" s="137" customFormat="1" x14ac:dyDescent="0.2">
      <c r="A26" s="231" t="s">
        <v>1539</v>
      </c>
      <c r="B26" s="238" t="s">
        <v>180</v>
      </c>
      <c r="C26" s="232" t="s">
        <v>180</v>
      </c>
      <c r="D26" s="239" t="s">
        <v>180</v>
      </c>
      <c r="E26" s="239" t="s">
        <v>180</v>
      </c>
      <c r="F26" s="239" t="s">
        <v>180</v>
      </c>
      <c r="G26" s="239" t="s">
        <v>180</v>
      </c>
      <c r="H26" s="239" t="s">
        <v>180</v>
      </c>
      <c r="I26" s="232" t="s">
        <v>180</v>
      </c>
      <c r="J26" s="232" t="s">
        <v>180</v>
      </c>
      <c r="K26" s="240" t="s">
        <v>180</v>
      </c>
      <c r="L26" s="239" t="s">
        <v>180</v>
      </c>
      <c r="M26" s="237">
        <v>0</v>
      </c>
      <c r="N26" s="232" t="s">
        <v>180</v>
      </c>
      <c r="O26" s="232">
        <v>0</v>
      </c>
      <c r="P26" s="232">
        <v>0</v>
      </c>
    </row>
    <row r="27" spans="1:16" s="137" customFormat="1" x14ac:dyDescent="0.2">
      <c r="A27" s="97" t="s">
        <v>171</v>
      </c>
      <c r="B27" s="147"/>
      <c r="C27" s="97"/>
      <c r="D27" s="148"/>
      <c r="E27" s="148"/>
      <c r="F27" s="148"/>
      <c r="G27" s="149"/>
      <c r="H27" s="150"/>
      <c r="I27" s="151"/>
      <c r="J27" s="151"/>
      <c r="K27" s="151"/>
      <c r="L27" s="150"/>
      <c r="M27" s="150"/>
      <c r="N27" s="156"/>
      <c r="O27" s="156"/>
      <c r="P27" s="156"/>
    </row>
    <row r="28" spans="1:16" s="137" customFormat="1" x14ac:dyDescent="0.2">
      <c r="A28" s="97" t="s">
        <v>172</v>
      </c>
      <c r="B28" s="147"/>
      <c r="C28" s="97"/>
      <c r="D28" s="148"/>
      <c r="E28" s="148"/>
      <c r="F28" s="148"/>
      <c r="G28" s="149"/>
      <c r="H28" s="150"/>
      <c r="I28" s="151"/>
      <c r="J28" s="151"/>
      <c r="K28" s="151"/>
      <c r="L28" s="150"/>
      <c r="M28" s="150"/>
      <c r="N28" s="156"/>
      <c r="O28" s="156"/>
      <c r="P28" s="156"/>
    </row>
    <row r="29" spans="1:16" s="137" customFormat="1" x14ac:dyDescent="0.2">
      <c r="A29" s="97" t="s">
        <v>173</v>
      </c>
      <c r="B29" s="147"/>
      <c r="C29" s="97"/>
      <c r="D29" s="148"/>
      <c r="E29" s="148"/>
      <c r="F29" s="148"/>
      <c r="G29" s="149"/>
      <c r="H29" s="150"/>
      <c r="I29" s="151"/>
      <c r="J29" s="151"/>
      <c r="K29" s="151"/>
      <c r="L29" s="150"/>
      <c r="M29" s="150"/>
      <c r="N29" s="156"/>
      <c r="O29" s="156"/>
      <c r="P29" s="156"/>
    </row>
    <row r="30" spans="1:16" s="137" customFormat="1" x14ac:dyDescent="0.2">
      <c r="A30" s="97" t="s">
        <v>174</v>
      </c>
      <c r="B30" s="147"/>
      <c r="C30" s="97"/>
      <c r="D30" s="148"/>
      <c r="E30" s="148"/>
      <c r="F30" s="148"/>
      <c r="G30" s="149"/>
      <c r="H30" s="150"/>
      <c r="I30" s="151"/>
      <c r="J30" s="151"/>
      <c r="K30" s="151"/>
      <c r="L30" s="150"/>
      <c r="M30" s="150"/>
      <c r="N30" s="156"/>
      <c r="O30" s="156"/>
      <c r="P30" s="156"/>
    </row>
    <row r="31" spans="1:16" s="137" customFormat="1" x14ac:dyDescent="0.2">
      <c r="A31" s="97" t="s">
        <v>175</v>
      </c>
      <c r="B31" s="147"/>
      <c r="C31" s="97"/>
      <c r="D31" s="148"/>
      <c r="E31" s="148"/>
      <c r="F31" s="148"/>
      <c r="G31" s="149"/>
      <c r="H31" s="150"/>
      <c r="I31" s="151"/>
      <c r="J31" s="151"/>
      <c r="K31" s="151"/>
      <c r="L31" s="150"/>
      <c r="M31" s="150"/>
      <c r="N31" s="156"/>
      <c r="O31" s="156"/>
      <c r="P31" s="156"/>
    </row>
  </sheetData>
  <mergeCells count="2">
    <mergeCell ref="A6:P6"/>
    <mergeCell ref="A5:P5"/>
  </mergeCells>
  <conditionalFormatting sqref="B11:F26 H11:H26 O11:P26">
    <cfRule type="expression" dxfId="95" priority="227" stopIfTrue="1">
      <formula>OR(LEFT(#REF!,3)="TIR",LEFT(#REF!,2)="IR")</formula>
    </cfRule>
  </conditionalFormatting>
  <conditionalFormatting sqref="A11:A26 M11:M26">
    <cfRule type="expression" dxfId="94" priority="230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59" fitToHeight="0" orientation="landscape"/>
  <headerFooter alignWithMargins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26038-6A33-460B-82C8-9858E7C61FEA}">
  <sheetPr codeName="גיליון13">
    <pageSetUpPr fitToPage="1"/>
  </sheetPr>
  <dimension ref="A1:O24"/>
  <sheetViews>
    <sheetView rightToLeft="1" zoomScale="80" zoomScaleNormal="80" workbookViewId="0">
      <selection activeCell="A7" sqref="A7:O19"/>
    </sheetView>
  </sheetViews>
  <sheetFormatPr defaultRowHeight="12.75" x14ac:dyDescent="0.2"/>
  <cols>
    <col min="1" max="1" width="43" style="23" bestFit="1" customWidth="1"/>
    <col min="2" max="2" width="13.5703125" style="22" bestFit="1" customWidth="1"/>
    <col min="3" max="3" width="7.5703125" style="23" customWidth="1"/>
    <col min="4" max="4" width="11.140625" style="24" customWidth="1"/>
    <col min="5" max="5" width="14.140625" style="24" customWidth="1"/>
    <col min="6" max="6" width="7.85546875" style="24" customWidth="1"/>
    <col min="7" max="7" width="11.28515625" style="25" customWidth="1"/>
    <col min="8" max="8" width="12.5703125" style="26" customWidth="1"/>
    <col min="9" max="9" width="14.140625" style="33" customWidth="1"/>
    <col min="10" max="10" width="10.5703125" style="33" customWidth="1"/>
    <col min="11" max="11" width="7" style="33" customWidth="1"/>
    <col min="12" max="12" width="10.42578125" style="26" customWidth="1"/>
    <col min="13" max="13" width="22" style="26" customWidth="1"/>
    <col min="14" max="14" width="25.42578125" style="26" customWidth="1"/>
    <col min="15" max="15" width="20.7109375" style="28" customWidth="1"/>
    <col min="16" max="16" width="15.42578125" style="28" customWidth="1"/>
    <col min="17" max="16384" width="9.140625" style="28"/>
  </cols>
  <sheetData>
    <row r="1" spans="1:15" s="20" customFormat="1" x14ac:dyDescent="0.2">
      <c r="A1" s="20" t="s">
        <v>166</v>
      </c>
      <c r="B1" s="22" t="s">
        <v>176</v>
      </c>
      <c r="C1" s="23"/>
      <c r="D1" s="24"/>
      <c r="E1" s="24"/>
      <c r="F1" s="24"/>
      <c r="G1" s="25"/>
      <c r="H1" s="26"/>
      <c r="I1" s="27"/>
      <c r="J1" s="27"/>
      <c r="K1" s="27"/>
      <c r="L1" s="26"/>
      <c r="M1" s="26"/>
      <c r="N1" s="26"/>
      <c r="O1" s="28"/>
    </row>
    <row r="2" spans="1:15" s="20" customFormat="1" x14ac:dyDescent="0.2">
      <c r="A2" s="23" t="s">
        <v>167</v>
      </c>
      <c r="B2" s="22" t="s">
        <v>153</v>
      </c>
      <c r="C2" s="23"/>
      <c r="D2" s="24"/>
      <c r="E2" s="24"/>
      <c r="F2" s="24"/>
      <c r="G2" s="25"/>
      <c r="H2" s="26"/>
      <c r="I2" s="27"/>
      <c r="J2" s="27"/>
      <c r="K2" s="27"/>
      <c r="L2" s="26"/>
      <c r="M2" s="26"/>
      <c r="N2" s="26"/>
      <c r="O2" s="28"/>
    </row>
    <row r="3" spans="1:15" s="20" customFormat="1" x14ac:dyDescent="0.2">
      <c r="A3" s="23" t="s">
        <v>168</v>
      </c>
      <c r="B3" s="22" t="s">
        <v>169</v>
      </c>
      <c r="C3" s="23"/>
      <c r="D3" s="24"/>
      <c r="E3" s="24"/>
      <c r="F3" s="24"/>
      <c r="G3" s="25"/>
      <c r="H3" s="26"/>
      <c r="I3" s="27"/>
      <c r="J3" s="27"/>
      <c r="K3" s="27"/>
      <c r="L3" s="26"/>
      <c r="M3" s="26"/>
      <c r="N3" s="26"/>
      <c r="O3" s="28"/>
    </row>
    <row r="4" spans="1:15" s="20" customFormat="1" ht="13.5" thickBot="1" x14ac:dyDescent="0.25">
      <c r="A4" s="23" t="s">
        <v>170</v>
      </c>
      <c r="B4" s="22" t="s">
        <v>178</v>
      </c>
      <c r="C4" s="23"/>
      <c r="D4" s="24"/>
      <c r="E4" s="24"/>
      <c r="F4" s="24"/>
      <c r="G4" s="25"/>
      <c r="H4" s="26"/>
      <c r="I4" s="27"/>
      <c r="J4" s="27"/>
      <c r="K4" s="27"/>
      <c r="L4" s="26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8"/>
    </row>
    <row r="6" spans="1:15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</row>
    <row r="7" spans="1:15" s="20" customFormat="1" ht="31.5" customHeight="1" x14ac:dyDescent="0.2">
      <c r="A7" s="106" t="s">
        <v>160</v>
      </c>
      <c r="B7" s="107" t="s">
        <v>69</v>
      </c>
      <c r="C7" s="107" t="s">
        <v>70</v>
      </c>
      <c r="D7" s="107" t="s">
        <v>5</v>
      </c>
      <c r="E7" s="107" t="s">
        <v>13</v>
      </c>
      <c r="F7" s="107" t="s">
        <v>14</v>
      </c>
      <c r="G7" s="107" t="s">
        <v>6</v>
      </c>
      <c r="H7" s="108" t="s">
        <v>66</v>
      </c>
      <c r="I7" s="108" t="s">
        <v>71</v>
      </c>
      <c r="J7" s="108" t="s">
        <v>67</v>
      </c>
      <c r="K7" s="108" t="s">
        <v>68</v>
      </c>
      <c r="L7" s="108" t="s">
        <v>29</v>
      </c>
      <c r="M7" s="109" t="s">
        <v>17</v>
      </c>
      <c r="N7" s="109" t="s">
        <v>75</v>
      </c>
      <c r="O7" s="110" t="s">
        <v>8</v>
      </c>
    </row>
    <row r="8" spans="1:15" s="20" customFormat="1" x14ac:dyDescent="0.2">
      <c r="A8" s="40"/>
      <c r="B8" s="16"/>
      <c r="C8" s="16"/>
      <c r="D8" s="41"/>
      <c r="E8" s="42" t="s">
        <v>15</v>
      </c>
      <c r="F8" s="42" t="s">
        <v>16</v>
      </c>
      <c r="G8" s="43"/>
      <c r="H8" s="15" t="s">
        <v>9</v>
      </c>
      <c r="I8" s="15" t="s">
        <v>9</v>
      </c>
      <c r="J8" s="15" t="s">
        <v>136</v>
      </c>
      <c r="K8" s="15"/>
      <c r="L8" s="15" t="s">
        <v>138</v>
      </c>
      <c r="M8" s="44" t="s">
        <v>9</v>
      </c>
      <c r="N8" s="44" t="s">
        <v>9</v>
      </c>
      <c r="O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6">
        <v>14</v>
      </c>
    </row>
    <row r="10" spans="1:15" s="137" customFormat="1" ht="12.75" customHeight="1" thickBot="1" x14ac:dyDescent="0.25">
      <c r="A10" s="91" t="s">
        <v>52</v>
      </c>
      <c r="B10" s="138" t="s">
        <v>180</v>
      </c>
      <c r="C10" s="138"/>
      <c r="D10" s="138"/>
      <c r="E10" s="138" t="s">
        <v>180</v>
      </c>
      <c r="F10" s="138" t="s">
        <v>180</v>
      </c>
      <c r="G10" s="138" t="s">
        <v>180</v>
      </c>
      <c r="H10" s="138" t="s">
        <v>180</v>
      </c>
      <c r="I10" s="138" t="s">
        <v>180</v>
      </c>
      <c r="J10" s="176" t="s">
        <v>180</v>
      </c>
      <c r="K10" s="138" t="s">
        <v>180</v>
      </c>
      <c r="L10" s="127">
        <v>6.9999999999999997E-7</v>
      </c>
      <c r="M10" s="138" t="s">
        <v>180</v>
      </c>
      <c r="N10" s="126">
        <v>1</v>
      </c>
      <c r="O10" s="78">
        <v>0</v>
      </c>
    </row>
    <row r="11" spans="1:15" s="137" customFormat="1" x14ac:dyDescent="0.2">
      <c r="A11" s="111" t="s">
        <v>140</v>
      </c>
      <c r="B11" s="140" t="s">
        <v>180</v>
      </c>
      <c r="C11" s="160" t="s">
        <v>180</v>
      </c>
      <c r="D11" s="160" t="s">
        <v>180</v>
      </c>
      <c r="E11" s="160" t="s">
        <v>180</v>
      </c>
      <c r="F11" s="160" t="s">
        <v>180</v>
      </c>
      <c r="G11" s="160" t="s">
        <v>180</v>
      </c>
      <c r="H11" s="161" t="s">
        <v>180</v>
      </c>
      <c r="I11" s="161" t="s">
        <v>180</v>
      </c>
      <c r="J11" s="162" t="s">
        <v>180</v>
      </c>
      <c r="K11" s="160" t="s">
        <v>180</v>
      </c>
      <c r="L11" s="142">
        <v>0</v>
      </c>
      <c r="M11" s="161" t="s">
        <v>180</v>
      </c>
      <c r="N11" s="140">
        <v>0</v>
      </c>
      <c r="O11" s="140">
        <v>0</v>
      </c>
    </row>
    <row r="12" spans="1:15" s="137" customFormat="1" x14ac:dyDescent="0.2">
      <c r="A12" s="112" t="s">
        <v>1543</v>
      </c>
      <c r="B12" s="140" t="s">
        <v>180</v>
      </c>
      <c r="C12" s="163" t="s">
        <v>180</v>
      </c>
      <c r="D12" s="163" t="s">
        <v>180</v>
      </c>
      <c r="E12" s="163" t="s">
        <v>180</v>
      </c>
      <c r="F12" s="163" t="s">
        <v>180</v>
      </c>
      <c r="G12" s="163" t="s">
        <v>180</v>
      </c>
      <c r="H12" s="164" t="s">
        <v>180</v>
      </c>
      <c r="I12" s="164" t="s">
        <v>180</v>
      </c>
      <c r="J12" s="165" t="s">
        <v>180</v>
      </c>
      <c r="K12" s="163" t="s">
        <v>180</v>
      </c>
      <c r="L12" s="146">
        <v>0</v>
      </c>
      <c r="M12" s="164" t="s">
        <v>180</v>
      </c>
      <c r="N12" s="144">
        <v>0</v>
      </c>
      <c r="O12" s="144">
        <v>0</v>
      </c>
    </row>
    <row r="13" spans="1:15" s="137" customFormat="1" x14ac:dyDescent="0.2">
      <c r="A13" s="112" t="s">
        <v>1544</v>
      </c>
      <c r="B13" s="140" t="s">
        <v>180</v>
      </c>
      <c r="C13" s="163" t="s">
        <v>180</v>
      </c>
      <c r="D13" s="163" t="s">
        <v>180</v>
      </c>
      <c r="E13" s="163" t="s">
        <v>180</v>
      </c>
      <c r="F13" s="163" t="s">
        <v>180</v>
      </c>
      <c r="G13" s="163" t="s">
        <v>180</v>
      </c>
      <c r="H13" s="164" t="s">
        <v>180</v>
      </c>
      <c r="I13" s="164" t="s">
        <v>180</v>
      </c>
      <c r="J13" s="165" t="s">
        <v>180</v>
      </c>
      <c r="K13" s="163" t="s">
        <v>180</v>
      </c>
      <c r="L13" s="146">
        <v>0</v>
      </c>
      <c r="M13" s="164" t="s">
        <v>180</v>
      </c>
      <c r="N13" s="144">
        <v>0</v>
      </c>
      <c r="O13" s="144">
        <v>0</v>
      </c>
    </row>
    <row r="14" spans="1:15" s="137" customFormat="1" x14ac:dyDescent="0.2">
      <c r="A14" s="112" t="s">
        <v>1545</v>
      </c>
      <c r="B14" s="140" t="s">
        <v>180</v>
      </c>
      <c r="C14" s="163" t="s">
        <v>180</v>
      </c>
      <c r="D14" s="163" t="s">
        <v>180</v>
      </c>
      <c r="E14" s="163" t="s">
        <v>180</v>
      </c>
      <c r="F14" s="163" t="s">
        <v>180</v>
      </c>
      <c r="G14" s="163" t="s">
        <v>180</v>
      </c>
      <c r="H14" s="164" t="s">
        <v>180</v>
      </c>
      <c r="I14" s="164" t="s">
        <v>180</v>
      </c>
      <c r="J14" s="165" t="s">
        <v>180</v>
      </c>
      <c r="K14" s="163" t="s">
        <v>180</v>
      </c>
      <c r="L14" s="146">
        <v>0</v>
      </c>
      <c r="M14" s="164" t="s">
        <v>180</v>
      </c>
      <c r="N14" s="144">
        <v>0</v>
      </c>
      <c r="O14" s="144">
        <v>0</v>
      </c>
    </row>
    <row r="15" spans="1:15" s="137" customFormat="1" x14ac:dyDescent="0.2">
      <c r="A15" s="112" t="s">
        <v>1546</v>
      </c>
      <c r="B15" s="140" t="s">
        <v>180</v>
      </c>
      <c r="C15" s="163" t="s">
        <v>180</v>
      </c>
      <c r="D15" s="163" t="s">
        <v>180</v>
      </c>
      <c r="E15" s="163" t="s">
        <v>180</v>
      </c>
      <c r="F15" s="163" t="s">
        <v>180</v>
      </c>
      <c r="G15" s="163" t="s">
        <v>180</v>
      </c>
      <c r="H15" s="164" t="s">
        <v>180</v>
      </c>
      <c r="I15" s="164" t="s">
        <v>180</v>
      </c>
      <c r="J15" s="165" t="s">
        <v>180</v>
      </c>
      <c r="K15" s="163" t="s">
        <v>180</v>
      </c>
      <c r="L15" s="146">
        <v>0</v>
      </c>
      <c r="M15" s="164" t="s">
        <v>180</v>
      </c>
      <c r="N15" s="144">
        <v>0</v>
      </c>
      <c r="O15" s="144">
        <v>0</v>
      </c>
    </row>
    <row r="16" spans="1:15" s="137" customFormat="1" x14ac:dyDescent="0.2">
      <c r="A16" s="112" t="s">
        <v>361</v>
      </c>
      <c r="B16" s="140" t="s">
        <v>180</v>
      </c>
      <c r="C16" s="163" t="s">
        <v>180</v>
      </c>
      <c r="D16" s="163" t="s">
        <v>180</v>
      </c>
      <c r="E16" s="163" t="s">
        <v>180</v>
      </c>
      <c r="F16" s="163" t="s">
        <v>180</v>
      </c>
      <c r="G16" s="163" t="s">
        <v>180</v>
      </c>
      <c r="H16" s="164" t="s">
        <v>180</v>
      </c>
      <c r="I16" s="164" t="s">
        <v>180</v>
      </c>
      <c r="J16" s="165" t="s">
        <v>180</v>
      </c>
      <c r="K16" s="163" t="s">
        <v>180</v>
      </c>
      <c r="L16" s="146">
        <v>0</v>
      </c>
      <c r="M16" s="164" t="s">
        <v>180</v>
      </c>
      <c r="N16" s="144">
        <v>0</v>
      </c>
      <c r="O16" s="144">
        <v>0</v>
      </c>
    </row>
    <row r="17" spans="1:15" s="137" customFormat="1" x14ac:dyDescent="0.2">
      <c r="A17" s="112" t="s">
        <v>357</v>
      </c>
      <c r="B17" s="140" t="s">
        <v>180</v>
      </c>
      <c r="C17" s="163" t="s">
        <v>180</v>
      </c>
      <c r="D17" s="163" t="s">
        <v>180</v>
      </c>
      <c r="E17" s="163" t="s">
        <v>180</v>
      </c>
      <c r="F17" s="163" t="s">
        <v>180</v>
      </c>
      <c r="G17" s="163" t="s">
        <v>180</v>
      </c>
      <c r="H17" s="164" t="s">
        <v>180</v>
      </c>
      <c r="I17" s="164" t="s">
        <v>180</v>
      </c>
      <c r="J17" s="165" t="s">
        <v>180</v>
      </c>
      <c r="K17" s="163" t="s">
        <v>180</v>
      </c>
      <c r="L17" s="146">
        <v>0</v>
      </c>
      <c r="M17" s="164" t="s">
        <v>180</v>
      </c>
      <c r="N17" s="144">
        <v>0</v>
      </c>
      <c r="O17" s="144">
        <v>0</v>
      </c>
    </row>
    <row r="18" spans="1:15" s="137" customFormat="1" x14ac:dyDescent="0.2">
      <c r="A18" s="112" t="s">
        <v>1547</v>
      </c>
      <c r="B18" s="140" t="s">
        <v>180</v>
      </c>
      <c r="C18" s="163" t="s">
        <v>180</v>
      </c>
      <c r="D18" s="163" t="s">
        <v>180</v>
      </c>
      <c r="E18" s="163" t="s">
        <v>180</v>
      </c>
      <c r="F18" s="163" t="s">
        <v>180</v>
      </c>
      <c r="G18" s="163" t="s">
        <v>180</v>
      </c>
      <c r="H18" s="164" t="s">
        <v>180</v>
      </c>
      <c r="I18" s="164" t="s">
        <v>180</v>
      </c>
      <c r="J18" s="165" t="s">
        <v>180</v>
      </c>
      <c r="K18" s="163" t="s">
        <v>180</v>
      </c>
      <c r="L18" s="146">
        <v>0</v>
      </c>
      <c r="M18" s="164" t="s">
        <v>180</v>
      </c>
      <c r="N18" s="144">
        <v>0</v>
      </c>
      <c r="O18" s="144">
        <v>0</v>
      </c>
    </row>
    <row r="19" spans="1:15" s="137" customFormat="1" x14ac:dyDescent="0.2">
      <c r="A19" s="231" t="s">
        <v>1548</v>
      </c>
      <c r="B19" s="238" t="s">
        <v>180</v>
      </c>
      <c r="C19" s="234" t="s">
        <v>180</v>
      </c>
      <c r="D19" s="234" t="s">
        <v>180</v>
      </c>
      <c r="E19" s="234" t="s">
        <v>180</v>
      </c>
      <c r="F19" s="234" t="s">
        <v>180</v>
      </c>
      <c r="G19" s="234" t="s">
        <v>180</v>
      </c>
      <c r="H19" s="235" t="s">
        <v>180</v>
      </c>
      <c r="I19" s="235" t="s">
        <v>180</v>
      </c>
      <c r="J19" s="236" t="s">
        <v>180</v>
      </c>
      <c r="K19" s="234" t="s">
        <v>180</v>
      </c>
      <c r="L19" s="237">
        <v>0</v>
      </c>
      <c r="M19" s="235" t="s">
        <v>180</v>
      </c>
      <c r="N19" s="232">
        <v>0</v>
      </c>
      <c r="O19" s="232">
        <v>0</v>
      </c>
    </row>
    <row r="20" spans="1:15" s="137" customFormat="1" x14ac:dyDescent="0.2">
      <c r="A20" s="97" t="s">
        <v>171</v>
      </c>
      <c r="B20" s="147"/>
      <c r="C20" s="97"/>
      <c r="D20" s="166"/>
      <c r="E20" s="166"/>
      <c r="F20" s="166"/>
      <c r="G20" s="167"/>
      <c r="H20" s="152"/>
      <c r="I20" s="168"/>
      <c r="J20" s="168"/>
      <c r="K20" s="168"/>
      <c r="L20" s="152"/>
      <c r="M20" s="152"/>
      <c r="N20" s="152"/>
    </row>
    <row r="21" spans="1:15" s="137" customFormat="1" x14ac:dyDescent="0.2">
      <c r="A21" s="97" t="s">
        <v>172</v>
      </c>
      <c r="B21" s="147"/>
      <c r="C21" s="97"/>
      <c r="D21" s="166"/>
      <c r="E21" s="166"/>
      <c r="F21" s="166"/>
      <c r="G21" s="167"/>
      <c r="H21" s="152"/>
      <c r="I21" s="168"/>
      <c r="J21" s="168"/>
      <c r="K21" s="168"/>
      <c r="L21" s="152"/>
      <c r="M21" s="152"/>
      <c r="N21" s="152"/>
    </row>
    <row r="22" spans="1:15" s="137" customFormat="1" x14ac:dyDescent="0.2">
      <c r="A22" s="97" t="s">
        <v>173</v>
      </c>
      <c r="B22" s="147"/>
      <c r="C22" s="97"/>
      <c r="D22" s="166"/>
      <c r="E22" s="166"/>
      <c r="F22" s="166"/>
      <c r="G22" s="167"/>
      <c r="H22" s="152"/>
      <c r="I22" s="168"/>
      <c r="J22" s="168"/>
      <c r="K22" s="168"/>
      <c r="L22" s="152"/>
      <c r="M22" s="152"/>
      <c r="N22" s="152"/>
    </row>
    <row r="23" spans="1:15" s="137" customFormat="1" x14ac:dyDescent="0.2">
      <c r="A23" s="97" t="s">
        <v>174</v>
      </c>
      <c r="B23" s="147"/>
      <c r="C23" s="97"/>
      <c r="D23" s="166"/>
      <c r="E23" s="166"/>
      <c r="F23" s="166"/>
      <c r="G23" s="167"/>
      <c r="H23" s="152"/>
      <c r="I23" s="168"/>
      <c r="J23" s="168"/>
      <c r="K23" s="168"/>
      <c r="L23" s="152"/>
      <c r="M23" s="152"/>
      <c r="N23" s="152"/>
    </row>
    <row r="24" spans="1:15" s="137" customFormat="1" x14ac:dyDescent="0.2">
      <c r="A24" s="97" t="s">
        <v>175</v>
      </c>
      <c r="B24" s="147"/>
      <c r="C24" s="97"/>
      <c r="D24" s="166"/>
      <c r="E24" s="166"/>
      <c r="F24" s="166"/>
      <c r="G24" s="167"/>
      <c r="H24" s="152"/>
      <c r="I24" s="168"/>
      <c r="J24" s="168"/>
      <c r="K24" s="168"/>
      <c r="L24" s="152"/>
      <c r="M24" s="152"/>
      <c r="N24" s="152"/>
    </row>
  </sheetData>
  <mergeCells count="2">
    <mergeCell ref="A6:O6"/>
    <mergeCell ref="A5:O5"/>
  </mergeCells>
  <conditionalFormatting sqref="H1:H4 F11:F19 H11:K19 M11:N19 H20:H55554">
    <cfRule type="expression" dxfId="93" priority="242" stopIfTrue="1">
      <formula>LEFT(#REF!,3)="TIR"</formula>
    </cfRule>
  </conditionalFormatting>
  <conditionalFormatting sqref="H7">
    <cfRule type="expression" dxfId="92" priority="247" stopIfTrue="1">
      <formula>LEFT(#REF!,3)="TIR"</formula>
    </cfRule>
  </conditionalFormatting>
  <conditionalFormatting sqref="B11:E19 G11:G19 N11:O19">
    <cfRule type="expression" dxfId="91" priority="248" stopIfTrue="1">
      <formula>OR(LEFT(#REF!,3)="TIR",LEFT(#REF!,2)="IR")</formula>
    </cfRule>
  </conditionalFormatting>
  <conditionalFormatting sqref="A11:A19 L11:L19">
    <cfRule type="expression" dxfId="90" priority="251" stopIfTrue="1">
      <formula>#REF!&gt;0</formula>
    </cfRule>
    <cfRule type="expression" dxfId="89" priority="25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1C008-FC6E-4359-AFA1-14896595FB3B}">
  <sheetPr codeName="גיליון14">
    <pageSetUpPr fitToPage="1"/>
  </sheetPr>
  <dimension ref="A1:R23"/>
  <sheetViews>
    <sheetView rightToLeft="1" zoomScale="80" zoomScaleNormal="80" workbookViewId="0">
      <selection activeCell="A7" sqref="A7:R18"/>
    </sheetView>
  </sheetViews>
  <sheetFormatPr defaultRowHeight="12.75" x14ac:dyDescent="0.2"/>
  <cols>
    <col min="1" max="1" width="40.710937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1.5703125" style="23" customWidth="1"/>
    <col min="6" max="6" width="7.5703125" style="24" customWidth="1"/>
    <col min="7" max="7" width="11.140625" style="24" customWidth="1"/>
    <col min="8" max="8" width="14.140625" style="24" customWidth="1"/>
    <col min="9" max="9" width="7.85546875" style="25" customWidth="1"/>
    <col min="10" max="10" width="11.28515625" style="26" customWidth="1"/>
    <col min="11" max="11" width="12.5703125" style="33" customWidth="1"/>
    <col min="12" max="12" width="14.140625" style="33" customWidth="1"/>
    <col min="13" max="13" width="10.5703125" style="33" customWidth="1"/>
    <col min="14" max="14" width="7" style="26" customWidth="1"/>
    <col min="15" max="15" width="10.42578125" style="26" customWidth="1"/>
    <col min="16" max="16" width="22" style="28" customWidth="1"/>
    <col min="17" max="17" width="25.42578125" style="28" customWidth="1"/>
    <col min="18" max="18" width="20.7109375" style="28" customWidth="1"/>
    <col min="19" max="16384" width="9.140625" style="28"/>
  </cols>
  <sheetData>
    <row r="1" spans="1:18" s="20" customFormat="1" x14ac:dyDescent="0.2">
      <c r="A1" s="20" t="s">
        <v>166</v>
      </c>
      <c r="B1" s="22" t="s">
        <v>176</v>
      </c>
      <c r="C1" s="22"/>
      <c r="D1" s="22"/>
      <c r="E1" s="23"/>
      <c r="F1" s="24"/>
      <c r="G1" s="24"/>
      <c r="H1" s="24"/>
      <c r="I1" s="25"/>
      <c r="J1" s="26"/>
      <c r="K1" s="27"/>
      <c r="L1" s="27"/>
      <c r="M1" s="27"/>
      <c r="N1" s="26"/>
      <c r="O1" s="26"/>
      <c r="P1" s="28"/>
      <c r="Q1" s="28"/>
    </row>
    <row r="2" spans="1:18" s="20" customFormat="1" x14ac:dyDescent="0.2">
      <c r="A2" s="23" t="s">
        <v>167</v>
      </c>
      <c r="B2" s="22" t="s">
        <v>153</v>
      </c>
      <c r="C2" s="22"/>
      <c r="D2" s="22"/>
      <c r="E2" s="23"/>
      <c r="F2" s="24"/>
      <c r="G2" s="24"/>
      <c r="H2" s="24"/>
      <c r="I2" s="25"/>
      <c r="J2" s="26"/>
      <c r="K2" s="27"/>
      <c r="L2" s="27"/>
      <c r="M2" s="27"/>
      <c r="N2" s="26"/>
      <c r="O2" s="26"/>
      <c r="P2" s="28"/>
      <c r="Q2" s="28"/>
    </row>
    <row r="3" spans="1:18" s="20" customFormat="1" x14ac:dyDescent="0.2">
      <c r="A3" s="23" t="s">
        <v>168</v>
      </c>
      <c r="B3" s="22" t="s">
        <v>169</v>
      </c>
      <c r="C3" s="22"/>
      <c r="D3" s="22"/>
      <c r="E3" s="23"/>
      <c r="F3" s="24"/>
      <c r="G3" s="24"/>
      <c r="H3" s="24"/>
      <c r="I3" s="25"/>
      <c r="J3" s="26"/>
      <c r="K3" s="27"/>
      <c r="L3" s="27"/>
      <c r="M3" s="27"/>
      <c r="N3" s="26"/>
      <c r="O3" s="26"/>
      <c r="P3" s="28"/>
      <c r="Q3" s="28"/>
    </row>
    <row r="4" spans="1:18" s="20" customFormat="1" ht="13.5" thickBot="1" x14ac:dyDescent="0.25">
      <c r="A4" s="23" t="s">
        <v>170</v>
      </c>
      <c r="B4" s="22" t="s">
        <v>178</v>
      </c>
      <c r="C4" s="22"/>
      <c r="D4" s="22"/>
      <c r="E4" s="23"/>
      <c r="F4" s="24"/>
      <c r="G4" s="24"/>
      <c r="H4" s="24"/>
      <c r="I4" s="25"/>
      <c r="J4" s="26"/>
      <c r="K4" s="27"/>
      <c r="L4" s="27"/>
      <c r="M4" s="27"/>
      <c r="N4" s="26"/>
      <c r="O4" s="26"/>
      <c r="P4" s="28"/>
      <c r="Q4" s="28"/>
    </row>
    <row r="5" spans="1:18" s="20" customFormat="1" ht="13.5" thickBot="1" x14ac:dyDescent="0.25">
      <c r="A5" s="193" t="s">
        <v>28</v>
      </c>
      <c r="B5" s="194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5"/>
    </row>
    <row r="6" spans="1:18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6" t="s">
        <v>160</v>
      </c>
      <c r="B7" s="107" t="s">
        <v>69</v>
      </c>
      <c r="C7" s="107" t="s">
        <v>79</v>
      </c>
      <c r="D7" s="107" t="s">
        <v>74</v>
      </c>
      <c r="E7" s="107" t="s">
        <v>19</v>
      </c>
      <c r="F7" s="107" t="s">
        <v>70</v>
      </c>
      <c r="G7" s="107" t="s">
        <v>5</v>
      </c>
      <c r="H7" s="107" t="s">
        <v>13</v>
      </c>
      <c r="I7" s="107" t="s">
        <v>14</v>
      </c>
      <c r="J7" s="107" t="s">
        <v>6</v>
      </c>
      <c r="K7" s="108" t="s">
        <v>66</v>
      </c>
      <c r="L7" s="108" t="s">
        <v>71</v>
      </c>
      <c r="M7" s="108" t="s">
        <v>67</v>
      </c>
      <c r="N7" s="108" t="s">
        <v>68</v>
      </c>
      <c r="O7" s="108" t="s">
        <v>29</v>
      </c>
      <c r="P7" s="109" t="s">
        <v>17</v>
      </c>
      <c r="Q7" s="109" t="s">
        <v>75</v>
      </c>
      <c r="R7" s="110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40</v>
      </c>
      <c r="I8" s="42" t="s">
        <v>16</v>
      </c>
      <c r="J8" s="43"/>
      <c r="K8" s="15" t="s">
        <v>9</v>
      </c>
      <c r="L8" s="15" t="s">
        <v>9</v>
      </c>
      <c r="M8" s="15" t="s">
        <v>136</v>
      </c>
      <c r="N8" s="15"/>
      <c r="O8" s="15" t="s">
        <v>138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6">
        <v>16</v>
      </c>
      <c r="R9" s="36">
        <v>17</v>
      </c>
    </row>
    <row r="10" spans="1:18" s="137" customFormat="1" ht="12.75" customHeight="1" thickBot="1" x14ac:dyDescent="0.25">
      <c r="A10" s="120" t="s">
        <v>61</v>
      </c>
      <c r="B10" s="86" t="s">
        <v>180</v>
      </c>
      <c r="C10" s="86" t="s">
        <v>180</v>
      </c>
      <c r="D10" s="86" t="s">
        <v>180</v>
      </c>
      <c r="E10" s="86" t="s">
        <v>180</v>
      </c>
      <c r="F10" s="121"/>
      <c r="G10" s="157" t="s">
        <v>180</v>
      </c>
      <c r="H10" s="157" t="s">
        <v>180</v>
      </c>
      <c r="I10" s="157" t="s">
        <v>180</v>
      </c>
      <c r="J10" s="157" t="s">
        <v>180</v>
      </c>
      <c r="K10" s="158" t="s">
        <v>180</v>
      </c>
      <c r="L10" s="158" t="s">
        <v>180</v>
      </c>
      <c r="M10" s="122" t="s">
        <v>180</v>
      </c>
      <c r="N10" s="157" t="s">
        <v>180</v>
      </c>
      <c r="O10" s="123">
        <v>6.0000000000000008E-7</v>
      </c>
      <c r="P10" s="138" t="s">
        <v>180</v>
      </c>
      <c r="Q10" s="126">
        <v>1</v>
      </c>
      <c r="R10" s="78">
        <v>0</v>
      </c>
    </row>
    <row r="11" spans="1:18" s="137" customFormat="1" x14ac:dyDescent="0.2">
      <c r="A11" s="111" t="s">
        <v>140</v>
      </c>
      <c r="B11" s="140" t="s">
        <v>180</v>
      </c>
      <c r="C11" s="140" t="s">
        <v>180</v>
      </c>
      <c r="D11" s="140" t="s">
        <v>180</v>
      </c>
      <c r="E11" s="140" t="s">
        <v>180</v>
      </c>
      <c r="F11" s="141" t="s">
        <v>180</v>
      </c>
      <c r="G11" s="160" t="s">
        <v>180</v>
      </c>
      <c r="H11" s="160" t="s">
        <v>180</v>
      </c>
      <c r="I11" s="160" t="s">
        <v>180</v>
      </c>
      <c r="J11" s="160" t="s">
        <v>180</v>
      </c>
      <c r="K11" s="161" t="s">
        <v>180</v>
      </c>
      <c r="L11" s="161" t="s">
        <v>180</v>
      </c>
      <c r="M11" s="153" t="s">
        <v>180</v>
      </c>
      <c r="N11" s="160" t="s">
        <v>180</v>
      </c>
      <c r="O11" s="142">
        <v>0</v>
      </c>
      <c r="P11" s="161" t="s">
        <v>180</v>
      </c>
      <c r="Q11" s="140">
        <v>0</v>
      </c>
      <c r="R11" s="140">
        <v>0</v>
      </c>
    </row>
    <row r="12" spans="1:18" s="137" customFormat="1" x14ac:dyDescent="0.2">
      <c r="A12" s="112" t="s">
        <v>1549</v>
      </c>
      <c r="B12" s="140" t="s">
        <v>180</v>
      </c>
      <c r="C12" s="144" t="s">
        <v>180</v>
      </c>
      <c r="D12" s="144" t="s">
        <v>180</v>
      </c>
      <c r="E12" s="144" t="s">
        <v>180</v>
      </c>
      <c r="F12" s="145" t="s">
        <v>180</v>
      </c>
      <c r="G12" s="163" t="s">
        <v>180</v>
      </c>
      <c r="H12" s="163" t="s">
        <v>180</v>
      </c>
      <c r="I12" s="163" t="s">
        <v>180</v>
      </c>
      <c r="J12" s="163" t="s">
        <v>180</v>
      </c>
      <c r="K12" s="164" t="s">
        <v>180</v>
      </c>
      <c r="L12" s="164" t="s">
        <v>180</v>
      </c>
      <c r="M12" s="155" t="s">
        <v>180</v>
      </c>
      <c r="N12" s="163" t="s">
        <v>180</v>
      </c>
      <c r="O12" s="146">
        <v>0</v>
      </c>
      <c r="P12" s="164" t="s">
        <v>180</v>
      </c>
      <c r="Q12" s="144">
        <v>0</v>
      </c>
      <c r="R12" s="144">
        <v>0</v>
      </c>
    </row>
    <row r="13" spans="1:18" s="137" customFormat="1" x14ac:dyDescent="0.2">
      <c r="A13" s="112" t="s">
        <v>1550</v>
      </c>
      <c r="B13" s="140" t="s">
        <v>180</v>
      </c>
      <c r="C13" s="144" t="s">
        <v>180</v>
      </c>
      <c r="D13" s="144" t="s">
        <v>180</v>
      </c>
      <c r="E13" s="144" t="s">
        <v>180</v>
      </c>
      <c r="F13" s="145" t="s">
        <v>180</v>
      </c>
      <c r="G13" s="163" t="s">
        <v>180</v>
      </c>
      <c r="H13" s="163" t="s">
        <v>180</v>
      </c>
      <c r="I13" s="163" t="s">
        <v>180</v>
      </c>
      <c r="J13" s="163" t="s">
        <v>180</v>
      </c>
      <c r="K13" s="164" t="s">
        <v>180</v>
      </c>
      <c r="L13" s="164" t="s">
        <v>180</v>
      </c>
      <c r="M13" s="155" t="s">
        <v>180</v>
      </c>
      <c r="N13" s="163" t="s">
        <v>180</v>
      </c>
      <c r="O13" s="146">
        <v>0</v>
      </c>
      <c r="P13" s="164" t="s">
        <v>180</v>
      </c>
      <c r="Q13" s="144">
        <v>0</v>
      </c>
      <c r="R13" s="144">
        <v>0</v>
      </c>
    </row>
    <row r="14" spans="1:18" s="137" customFormat="1" x14ac:dyDescent="0.2">
      <c r="A14" s="112" t="s">
        <v>385</v>
      </c>
      <c r="B14" s="140" t="s">
        <v>180</v>
      </c>
      <c r="C14" s="144" t="s">
        <v>180</v>
      </c>
      <c r="D14" s="144" t="s">
        <v>180</v>
      </c>
      <c r="E14" s="144" t="s">
        <v>180</v>
      </c>
      <c r="F14" s="145" t="s">
        <v>180</v>
      </c>
      <c r="G14" s="163" t="s">
        <v>180</v>
      </c>
      <c r="H14" s="163" t="s">
        <v>180</v>
      </c>
      <c r="I14" s="163" t="s">
        <v>180</v>
      </c>
      <c r="J14" s="163" t="s">
        <v>180</v>
      </c>
      <c r="K14" s="164" t="s">
        <v>180</v>
      </c>
      <c r="L14" s="164" t="s">
        <v>180</v>
      </c>
      <c r="M14" s="155" t="s">
        <v>180</v>
      </c>
      <c r="N14" s="145" t="s">
        <v>180</v>
      </c>
      <c r="O14" s="146">
        <v>0</v>
      </c>
      <c r="P14" s="164" t="s">
        <v>180</v>
      </c>
      <c r="Q14" s="144">
        <v>0</v>
      </c>
      <c r="R14" s="144">
        <v>0</v>
      </c>
    </row>
    <row r="15" spans="1:18" s="137" customFormat="1" x14ac:dyDescent="0.2">
      <c r="A15" s="112" t="s">
        <v>144</v>
      </c>
      <c r="B15" s="140" t="s">
        <v>180</v>
      </c>
      <c r="C15" s="144" t="s">
        <v>180</v>
      </c>
      <c r="D15" s="144" t="s">
        <v>180</v>
      </c>
      <c r="E15" s="144" t="s">
        <v>180</v>
      </c>
      <c r="F15" s="145" t="s">
        <v>180</v>
      </c>
      <c r="G15" s="163" t="s">
        <v>180</v>
      </c>
      <c r="H15" s="163" t="s">
        <v>180</v>
      </c>
      <c r="I15" s="163" t="s">
        <v>180</v>
      </c>
      <c r="J15" s="163" t="s">
        <v>180</v>
      </c>
      <c r="K15" s="164" t="s">
        <v>180</v>
      </c>
      <c r="L15" s="164" t="s">
        <v>180</v>
      </c>
      <c r="M15" s="155" t="s">
        <v>180</v>
      </c>
      <c r="N15" s="163" t="s">
        <v>180</v>
      </c>
      <c r="O15" s="146">
        <v>0</v>
      </c>
      <c r="P15" s="164" t="s">
        <v>180</v>
      </c>
      <c r="Q15" s="144">
        <v>0</v>
      </c>
      <c r="R15" s="144">
        <v>0</v>
      </c>
    </row>
    <row r="16" spans="1:18" s="137" customFormat="1" x14ac:dyDescent="0.2">
      <c r="A16" s="112" t="s">
        <v>357</v>
      </c>
      <c r="B16" s="140" t="s">
        <v>180</v>
      </c>
      <c r="C16" s="144" t="s">
        <v>180</v>
      </c>
      <c r="D16" s="144" t="s">
        <v>180</v>
      </c>
      <c r="E16" s="144" t="s">
        <v>180</v>
      </c>
      <c r="F16" s="145" t="s">
        <v>180</v>
      </c>
      <c r="G16" s="163" t="s">
        <v>180</v>
      </c>
      <c r="H16" s="163" t="s">
        <v>180</v>
      </c>
      <c r="I16" s="163" t="s">
        <v>180</v>
      </c>
      <c r="J16" s="163" t="s">
        <v>180</v>
      </c>
      <c r="K16" s="164" t="s">
        <v>180</v>
      </c>
      <c r="L16" s="164" t="s">
        <v>180</v>
      </c>
      <c r="M16" s="155" t="s">
        <v>180</v>
      </c>
      <c r="N16" s="163" t="s">
        <v>180</v>
      </c>
      <c r="O16" s="146">
        <v>0</v>
      </c>
      <c r="P16" s="164" t="s">
        <v>180</v>
      </c>
      <c r="Q16" s="144">
        <v>0</v>
      </c>
      <c r="R16" s="144">
        <v>0</v>
      </c>
    </row>
    <row r="17" spans="1:18" s="137" customFormat="1" x14ac:dyDescent="0.2">
      <c r="A17" s="112" t="s">
        <v>1551</v>
      </c>
      <c r="B17" s="140" t="s">
        <v>180</v>
      </c>
      <c r="C17" s="144" t="s">
        <v>180</v>
      </c>
      <c r="D17" s="144" t="s">
        <v>180</v>
      </c>
      <c r="E17" s="144" t="s">
        <v>180</v>
      </c>
      <c r="F17" s="145" t="s">
        <v>180</v>
      </c>
      <c r="G17" s="163" t="s">
        <v>180</v>
      </c>
      <c r="H17" s="163" t="s">
        <v>180</v>
      </c>
      <c r="I17" s="163" t="s">
        <v>180</v>
      </c>
      <c r="J17" s="163" t="s">
        <v>180</v>
      </c>
      <c r="K17" s="164" t="s">
        <v>180</v>
      </c>
      <c r="L17" s="164" t="s">
        <v>180</v>
      </c>
      <c r="M17" s="155" t="s">
        <v>180</v>
      </c>
      <c r="N17" s="163" t="s">
        <v>180</v>
      </c>
      <c r="O17" s="146">
        <v>0</v>
      </c>
      <c r="P17" s="164" t="s">
        <v>180</v>
      </c>
      <c r="Q17" s="144">
        <v>0</v>
      </c>
      <c r="R17" s="144">
        <v>0</v>
      </c>
    </row>
    <row r="18" spans="1:18" s="137" customFormat="1" x14ac:dyDescent="0.2">
      <c r="A18" s="231" t="s">
        <v>1552</v>
      </c>
      <c r="B18" s="238" t="s">
        <v>180</v>
      </c>
      <c r="C18" s="232" t="s">
        <v>180</v>
      </c>
      <c r="D18" s="232" t="s">
        <v>180</v>
      </c>
      <c r="E18" s="232" t="s">
        <v>180</v>
      </c>
      <c r="F18" s="239" t="s">
        <v>180</v>
      </c>
      <c r="G18" s="234" t="s">
        <v>180</v>
      </c>
      <c r="H18" s="234" t="s">
        <v>180</v>
      </c>
      <c r="I18" s="234" t="s">
        <v>180</v>
      </c>
      <c r="J18" s="234" t="s">
        <v>180</v>
      </c>
      <c r="K18" s="235" t="s">
        <v>180</v>
      </c>
      <c r="L18" s="235" t="s">
        <v>180</v>
      </c>
      <c r="M18" s="240" t="s">
        <v>180</v>
      </c>
      <c r="N18" s="234" t="s">
        <v>180</v>
      </c>
      <c r="O18" s="237">
        <v>0</v>
      </c>
      <c r="P18" s="235" t="s">
        <v>180</v>
      </c>
      <c r="Q18" s="232">
        <v>0</v>
      </c>
      <c r="R18" s="232">
        <v>0</v>
      </c>
    </row>
    <row r="19" spans="1:18" s="137" customFormat="1" x14ac:dyDescent="0.2">
      <c r="A19" s="97" t="s">
        <v>171</v>
      </c>
      <c r="B19" s="147"/>
      <c r="C19" s="147"/>
      <c r="D19" s="147"/>
      <c r="E19" s="97"/>
      <c r="F19" s="166"/>
      <c r="G19" s="166"/>
      <c r="H19" s="166"/>
      <c r="I19" s="167"/>
      <c r="J19" s="152"/>
      <c r="K19" s="168"/>
      <c r="L19" s="168"/>
      <c r="M19" s="168"/>
      <c r="N19" s="152"/>
      <c r="O19" s="152"/>
    </row>
    <row r="20" spans="1:18" s="137" customFormat="1" x14ac:dyDescent="0.2">
      <c r="A20" s="97" t="s">
        <v>172</v>
      </c>
      <c r="B20" s="147"/>
      <c r="C20" s="147"/>
      <c r="D20" s="147"/>
      <c r="E20" s="97"/>
      <c r="F20" s="166"/>
      <c r="G20" s="166"/>
      <c r="H20" s="166"/>
      <c r="I20" s="167"/>
      <c r="J20" s="152"/>
      <c r="K20" s="168"/>
      <c r="L20" s="168"/>
      <c r="M20" s="168"/>
      <c r="N20" s="152"/>
      <c r="O20" s="152"/>
    </row>
    <row r="21" spans="1:18" s="137" customFormat="1" x14ac:dyDescent="0.2">
      <c r="A21" s="97" t="s">
        <v>173</v>
      </c>
      <c r="B21" s="147"/>
      <c r="C21" s="147"/>
      <c r="D21" s="147"/>
      <c r="E21" s="97"/>
      <c r="F21" s="166"/>
      <c r="G21" s="166"/>
      <c r="H21" s="166"/>
      <c r="I21" s="167"/>
      <c r="J21" s="152"/>
      <c r="K21" s="168"/>
      <c r="L21" s="168"/>
      <c r="M21" s="168"/>
      <c r="N21" s="152"/>
      <c r="O21" s="152"/>
    </row>
    <row r="22" spans="1:18" s="137" customFormat="1" x14ac:dyDescent="0.2">
      <c r="A22" s="97" t="s">
        <v>174</v>
      </c>
      <c r="B22" s="147"/>
      <c r="C22" s="147"/>
      <c r="D22" s="147"/>
      <c r="E22" s="97"/>
      <c r="F22" s="166"/>
      <c r="G22" s="166"/>
      <c r="H22" s="166"/>
      <c r="I22" s="167"/>
      <c r="J22" s="152"/>
      <c r="K22" s="168"/>
      <c r="L22" s="168"/>
      <c r="M22" s="168"/>
      <c r="N22" s="152"/>
      <c r="O22" s="152"/>
    </row>
    <row r="23" spans="1:18" s="137" customFormat="1" x14ac:dyDescent="0.2">
      <c r="A23" s="97" t="s">
        <v>175</v>
      </c>
      <c r="B23" s="147"/>
      <c r="C23" s="147"/>
      <c r="D23" s="147"/>
      <c r="E23" s="97"/>
      <c r="F23" s="166"/>
      <c r="G23" s="166"/>
      <c r="H23" s="166"/>
      <c r="I23" s="167"/>
      <c r="J23" s="152"/>
      <c r="K23" s="168"/>
      <c r="L23" s="168"/>
      <c r="M23" s="168"/>
      <c r="N23" s="152"/>
      <c r="O23" s="152"/>
    </row>
  </sheetData>
  <mergeCells count="2">
    <mergeCell ref="A6:R6"/>
    <mergeCell ref="A5:R5"/>
  </mergeCells>
  <conditionalFormatting sqref="J1:J4 I10:I18 K10:N18 P11:Q18 J19:J55553">
    <cfRule type="expression" dxfId="88" priority="266" stopIfTrue="1">
      <formula>LEFT(#REF!,3)="TIR"</formula>
    </cfRule>
  </conditionalFormatting>
  <conditionalFormatting sqref="K7">
    <cfRule type="expression" dxfId="87" priority="271" stopIfTrue="1">
      <formula>LEFT(#REF!,3)="TIR"</formula>
    </cfRule>
  </conditionalFormatting>
  <conditionalFormatting sqref="B10:H18 J10:J18">
    <cfRule type="expression" dxfId="86" priority="272" stopIfTrue="1">
      <formula>LEFT(#REF!,3)="TIR"</formula>
    </cfRule>
  </conditionalFormatting>
  <conditionalFormatting sqref="A10:A18 O11:O18">
    <cfRule type="expression" dxfId="85" priority="274" stopIfTrue="1">
      <formula>#REF!&gt;0</formula>
    </cfRule>
    <cfRule type="expression" dxfId="84" priority="275" stopIfTrue="1">
      <formula>LEFT(#REF!,3)="TIR"</formula>
    </cfRule>
  </conditionalFormatting>
  <conditionalFormatting sqref="Q11:R18">
    <cfRule type="expression" dxfId="83" priority="278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57" fitToHeight="0" orientation="landscape"/>
  <headerFooter alignWithMargins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528F1-338A-4768-9012-9D1A5CA4129B}">
  <sheetPr codeName="גיליון15">
    <pageSetUpPr fitToPage="1"/>
  </sheetPr>
  <dimension ref="A1:R46"/>
  <sheetViews>
    <sheetView rightToLeft="1" zoomScale="80" zoomScaleNormal="80" workbookViewId="0">
      <selection activeCell="A7" sqref="A7:R41"/>
    </sheetView>
  </sheetViews>
  <sheetFormatPr defaultRowHeight="12.75" x14ac:dyDescent="0.2"/>
  <cols>
    <col min="1" max="1" width="34.4257812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5.7109375" style="23" bestFit="1" customWidth="1"/>
    <col min="6" max="6" width="8.5703125" style="79" bestFit="1" customWidth="1"/>
    <col min="7" max="7" width="11.140625" style="79" customWidth="1"/>
    <col min="8" max="8" width="14.140625" style="79" customWidth="1"/>
    <col min="9" max="9" width="7.85546875" style="50" customWidth="1"/>
    <col min="10" max="10" width="12" style="81" bestFit="1" customWidth="1"/>
    <col min="11" max="11" width="12.5703125" style="83" customWidth="1"/>
    <col min="12" max="12" width="14.140625" style="83" customWidth="1"/>
    <col min="13" max="13" width="13.5703125" style="83" bestFit="1" customWidth="1"/>
    <col min="14" max="14" width="8.85546875" style="81" bestFit="1" customWidth="1"/>
    <col min="15" max="15" width="10.85546875" style="81" bestFit="1" customWidth="1"/>
    <col min="16" max="16" width="22" style="84" customWidth="1"/>
    <col min="17" max="17" width="25.42578125" style="84" customWidth="1"/>
    <col min="18" max="18" width="20.7109375" style="84" customWidth="1"/>
    <col min="19" max="16384" width="9.140625" style="28"/>
  </cols>
  <sheetData>
    <row r="1" spans="1:18" s="20" customFormat="1" x14ac:dyDescent="0.2">
      <c r="A1" s="20" t="s">
        <v>166</v>
      </c>
      <c r="B1" s="22" t="s">
        <v>176</v>
      </c>
      <c r="C1" s="22"/>
      <c r="D1" s="22"/>
      <c r="E1" s="23"/>
      <c r="F1" s="79"/>
      <c r="G1" s="79"/>
      <c r="H1" s="79"/>
      <c r="I1" s="50"/>
      <c r="J1" s="81"/>
      <c r="K1" s="82"/>
      <c r="L1" s="82"/>
      <c r="M1" s="82"/>
      <c r="N1" s="81"/>
      <c r="O1" s="81"/>
      <c r="P1" s="84"/>
      <c r="Q1" s="84"/>
      <c r="R1" s="58"/>
    </row>
    <row r="2" spans="1:18" s="20" customFormat="1" x14ac:dyDescent="0.2">
      <c r="A2" s="23" t="s">
        <v>167</v>
      </c>
      <c r="B2" s="22" t="s">
        <v>153</v>
      </c>
      <c r="C2" s="22"/>
      <c r="D2" s="22"/>
      <c r="E2" s="23"/>
      <c r="F2" s="79"/>
      <c r="G2" s="79"/>
      <c r="H2" s="79"/>
      <c r="I2" s="50"/>
      <c r="J2" s="81"/>
      <c r="K2" s="82"/>
      <c r="L2" s="82"/>
      <c r="M2" s="82"/>
      <c r="N2" s="81"/>
      <c r="O2" s="81"/>
      <c r="P2" s="84"/>
      <c r="Q2" s="84"/>
      <c r="R2" s="58"/>
    </row>
    <row r="3" spans="1:18" s="20" customFormat="1" x14ac:dyDescent="0.2">
      <c r="A3" s="23" t="s">
        <v>168</v>
      </c>
      <c r="B3" s="22" t="s">
        <v>169</v>
      </c>
      <c r="C3" s="22"/>
      <c r="D3" s="22"/>
      <c r="E3" s="23"/>
      <c r="F3" s="79"/>
      <c r="G3" s="79"/>
      <c r="H3" s="79"/>
      <c r="I3" s="50"/>
      <c r="J3" s="81"/>
      <c r="K3" s="82"/>
      <c r="L3" s="82"/>
      <c r="M3" s="82"/>
      <c r="N3" s="81"/>
      <c r="O3" s="81"/>
      <c r="P3" s="84"/>
      <c r="Q3" s="84"/>
      <c r="R3" s="58"/>
    </row>
    <row r="4" spans="1:18" s="20" customFormat="1" ht="13.5" thickBot="1" x14ac:dyDescent="0.25">
      <c r="A4" s="23" t="s">
        <v>170</v>
      </c>
      <c r="B4" s="22" t="s">
        <v>178</v>
      </c>
      <c r="C4" s="22"/>
      <c r="D4" s="22"/>
      <c r="E4" s="23"/>
      <c r="F4" s="79"/>
      <c r="G4" s="79"/>
      <c r="H4" s="79"/>
      <c r="I4" s="50"/>
      <c r="J4" s="81"/>
      <c r="K4" s="82"/>
      <c r="L4" s="82"/>
      <c r="M4" s="82"/>
      <c r="N4" s="81"/>
      <c r="O4" s="81"/>
      <c r="P4" s="84"/>
      <c r="Q4" s="84"/>
      <c r="R4" s="58"/>
    </row>
    <row r="5" spans="1:18" s="20" customFormat="1" ht="13.5" thickBot="1" x14ac:dyDescent="0.25">
      <c r="A5" s="193" t="s">
        <v>28</v>
      </c>
      <c r="B5" s="194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5"/>
    </row>
    <row r="6" spans="1:18" s="20" customFormat="1" x14ac:dyDescent="0.2">
      <c r="A6" s="7" t="s">
        <v>20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6" t="s">
        <v>160</v>
      </c>
      <c r="B7" s="107" t="s">
        <v>69</v>
      </c>
      <c r="C7" s="107" t="s">
        <v>79</v>
      </c>
      <c r="D7" s="107" t="s">
        <v>74</v>
      </c>
      <c r="E7" s="107" t="s">
        <v>19</v>
      </c>
      <c r="F7" s="107" t="s">
        <v>70</v>
      </c>
      <c r="G7" s="107" t="s">
        <v>5</v>
      </c>
      <c r="H7" s="107" t="s">
        <v>13</v>
      </c>
      <c r="I7" s="107" t="s">
        <v>14</v>
      </c>
      <c r="J7" s="107" t="s">
        <v>6</v>
      </c>
      <c r="K7" s="108" t="s">
        <v>66</v>
      </c>
      <c r="L7" s="108" t="s">
        <v>71</v>
      </c>
      <c r="M7" s="108" t="s">
        <v>67</v>
      </c>
      <c r="N7" s="108" t="s">
        <v>68</v>
      </c>
      <c r="O7" s="108" t="s">
        <v>29</v>
      </c>
      <c r="P7" s="109" t="s">
        <v>17</v>
      </c>
      <c r="Q7" s="109" t="s">
        <v>75</v>
      </c>
      <c r="R7" s="110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15</v>
      </c>
      <c r="I8" s="42" t="s">
        <v>16</v>
      </c>
      <c r="J8" s="43"/>
      <c r="K8" s="15" t="s">
        <v>9</v>
      </c>
      <c r="L8" s="15" t="s">
        <v>9</v>
      </c>
      <c r="M8" s="15" t="s">
        <v>136</v>
      </c>
      <c r="N8" s="15"/>
      <c r="O8" s="15" t="s">
        <v>138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6">
        <v>16</v>
      </c>
      <c r="R9" s="36">
        <v>17</v>
      </c>
    </row>
    <row r="10" spans="1:18" s="137" customFormat="1" ht="12.75" customHeight="1" thickBot="1" x14ac:dyDescent="0.25">
      <c r="A10" s="120" t="s">
        <v>58</v>
      </c>
      <c r="B10" s="86"/>
      <c r="C10" s="86"/>
      <c r="D10" s="86"/>
      <c r="E10" s="86"/>
      <c r="F10" s="121"/>
      <c r="G10" s="121"/>
      <c r="H10" s="121"/>
      <c r="I10" s="121"/>
      <c r="J10" s="121"/>
      <c r="K10" s="86"/>
      <c r="L10" s="86"/>
      <c r="M10" s="122"/>
      <c r="N10" s="121"/>
      <c r="O10" s="125">
        <v>50006.570170599996</v>
      </c>
      <c r="P10" s="86"/>
      <c r="Q10" s="86">
        <v>1</v>
      </c>
      <c r="R10" s="101">
        <v>6.0579347657000439E-2</v>
      </c>
    </row>
    <row r="11" spans="1:18" s="137" customFormat="1" x14ac:dyDescent="0.2">
      <c r="A11" s="111" t="s">
        <v>140</v>
      </c>
      <c r="B11" s="140" t="s">
        <v>180</v>
      </c>
      <c r="C11" s="140" t="s">
        <v>180</v>
      </c>
      <c r="D11" s="140" t="s">
        <v>180</v>
      </c>
      <c r="E11" s="140" t="s">
        <v>180</v>
      </c>
      <c r="F11" s="141" t="s">
        <v>180</v>
      </c>
      <c r="G11" s="141" t="s">
        <v>180</v>
      </c>
      <c r="H11" s="141" t="s">
        <v>180</v>
      </c>
      <c r="I11" s="153" t="s">
        <v>180</v>
      </c>
      <c r="J11" s="141" t="s">
        <v>180</v>
      </c>
      <c r="K11" s="140" t="s">
        <v>180</v>
      </c>
      <c r="L11" s="140" t="s">
        <v>180</v>
      </c>
      <c r="M11" s="153" t="s">
        <v>180</v>
      </c>
      <c r="N11" s="141" t="s">
        <v>180</v>
      </c>
      <c r="O11" s="154">
        <v>50006.570170400002</v>
      </c>
      <c r="P11" s="140" t="s">
        <v>180</v>
      </c>
      <c r="Q11" s="140">
        <v>0.99999999999600064</v>
      </c>
      <c r="R11" s="140">
        <v>6.057934765675816E-2</v>
      </c>
    </row>
    <row r="12" spans="1:18" s="137" customFormat="1" x14ac:dyDescent="0.2">
      <c r="A12" s="112" t="s">
        <v>1549</v>
      </c>
      <c r="B12" s="144" t="s">
        <v>180</v>
      </c>
      <c r="C12" s="144" t="s">
        <v>180</v>
      </c>
      <c r="D12" s="144" t="s">
        <v>180</v>
      </c>
      <c r="E12" s="144" t="s">
        <v>180</v>
      </c>
      <c r="F12" s="141" t="s">
        <v>180</v>
      </c>
      <c r="G12" s="145" t="s">
        <v>180</v>
      </c>
      <c r="H12" s="145" t="s">
        <v>180</v>
      </c>
      <c r="I12" s="153" t="s">
        <v>180</v>
      </c>
      <c r="J12" s="145" t="s">
        <v>180</v>
      </c>
      <c r="K12" s="144" t="s">
        <v>180</v>
      </c>
      <c r="L12" s="144" t="s">
        <v>180</v>
      </c>
      <c r="M12" s="155" t="s">
        <v>180</v>
      </c>
      <c r="N12" s="141" t="s">
        <v>180</v>
      </c>
      <c r="O12" s="146">
        <v>44736.445710100001</v>
      </c>
      <c r="P12" s="144" t="s">
        <v>180</v>
      </c>
      <c r="Q12" s="140">
        <v>0.89461135921698498</v>
      </c>
      <c r="R12" s="140">
        <v>5.4194972547907443E-2</v>
      </c>
    </row>
    <row r="13" spans="1:18" x14ac:dyDescent="0.2">
      <c r="A13" s="30" t="s">
        <v>1567</v>
      </c>
      <c r="B13" s="38" t="s">
        <v>1568</v>
      </c>
      <c r="C13" s="38" t="s">
        <v>180</v>
      </c>
      <c r="D13" s="38" t="s">
        <v>751</v>
      </c>
      <c r="E13" s="38" t="s">
        <v>629</v>
      </c>
      <c r="F13" s="85" t="s">
        <v>184</v>
      </c>
      <c r="G13" s="80" t="s">
        <v>185</v>
      </c>
      <c r="H13" s="80" t="s">
        <v>1569</v>
      </c>
      <c r="I13" s="119">
        <v>7.4999999999999991</v>
      </c>
      <c r="J13" s="80" t="s">
        <v>186</v>
      </c>
      <c r="K13" s="38">
        <v>4.9000000000000002E-2</v>
      </c>
      <c r="L13" s="38">
        <v>7.4000000000000003E-3</v>
      </c>
      <c r="M13" s="88">
        <v>4715003</v>
      </c>
      <c r="N13" s="85">
        <v>164.46000000000004</v>
      </c>
      <c r="O13" s="104">
        <v>7754.2939299999998</v>
      </c>
      <c r="P13" s="38">
        <v>2.4018200468278305E-3</v>
      </c>
      <c r="Q13" s="46">
        <v>0.15506550246389275</v>
      </c>
      <c r="R13" s="46">
        <v>9.3937669833676178E-3</v>
      </c>
    </row>
    <row r="14" spans="1:18" x14ac:dyDescent="0.2">
      <c r="A14" s="30" t="s">
        <v>1584</v>
      </c>
      <c r="B14" s="38" t="s">
        <v>1585</v>
      </c>
      <c r="C14" s="38" t="s">
        <v>180</v>
      </c>
      <c r="D14" s="38" t="s">
        <v>751</v>
      </c>
      <c r="E14" s="38" t="s">
        <v>629</v>
      </c>
      <c r="F14" s="85" t="s">
        <v>184</v>
      </c>
      <c r="G14" s="80" t="s">
        <v>185</v>
      </c>
      <c r="H14" s="80" t="s">
        <v>1586</v>
      </c>
      <c r="I14" s="119">
        <v>11.43</v>
      </c>
      <c r="J14" s="80" t="s">
        <v>186</v>
      </c>
      <c r="K14" s="38">
        <v>4.0999999999999995E-2</v>
      </c>
      <c r="L14" s="38">
        <v>1.2800000000000001E-2</v>
      </c>
      <c r="M14" s="88">
        <v>5796451.4500000002</v>
      </c>
      <c r="N14" s="85">
        <v>143.93</v>
      </c>
      <c r="O14" s="104">
        <v>8342.8325700000005</v>
      </c>
      <c r="P14" s="38">
        <v>1.3760816187967093E-3</v>
      </c>
      <c r="Q14" s="46">
        <v>0.16683472874740252</v>
      </c>
      <c r="R14" s="46">
        <v>1.0106739034050263E-2</v>
      </c>
    </row>
    <row r="15" spans="1:18" x14ac:dyDescent="0.2">
      <c r="A15" s="30" t="s">
        <v>1605</v>
      </c>
      <c r="B15" s="38" t="s">
        <v>1606</v>
      </c>
      <c r="C15" s="38" t="s">
        <v>180</v>
      </c>
      <c r="D15" s="38" t="s">
        <v>1607</v>
      </c>
      <c r="E15" s="38" t="s">
        <v>1599</v>
      </c>
      <c r="F15" s="85" t="s">
        <v>184</v>
      </c>
      <c r="G15" s="80" t="s">
        <v>185</v>
      </c>
      <c r="H15" s="80" t="s">
        <v>1608</v>
      </c>
      <c r="I15" s="119">
        <v>0.22</v>
      </c>
      <c r="J15" s="80" t="s">
        <v>186</v>
      </c>
      <c r="K15" s="38">
        <v>5.7500000000000002E-2</v>
      </c>
      <c r="L15" s="38">
        <v>-8.0000000000000004E-4</v>
      </c>
      <c r="M15" s="88">
        <v>3456.3</v>
      </c>
      <c r="N15" s="85">
        <v>123.87000000000002</v>
      </c>
      <c r="O15" s="104">
        <v>4.2813100000000004</v>
      </c>
      <c r="P15" s="38">
        <v>6.7179618353371449E-4</v>
      </c>
      <c r="Q15" s="46">
        <v>8.5614949903464491E-5</v>
      </c>
      <c r="R15" s="46">
        <v>5.1864978148386517E-6</v>
      </c>
    </row>
    <row r="16" spans="1:18" x14ac:dyDescent="0.2">
      <c r="A16" s="30" t="s">
        <v>1563</v>
      </c>
      <c r="B16" s="38" t="s">
        <v>1564</v>
      </c>
      <c r="C16" s="38" t="s">
        <v>180</v>
      </c>
      <c r="D16" s="38" t="s">
        <v>1565</v>
      </c>
      <c r="E16" s="38" t="s">
        <v>629</v>
      </c>
      <c r="F16" s="85" t="s">
        <v>184</v>
      </c>
      <c r="G16" s="80" t="s">
        <v>185</v>
      </c>
      <c r="H16" s="80" t="s">
        <v>1566</v>
      </c>
      <c r="I16" s="119">
        <v>0.62</v>
      </c>
      <c r="J16" s="80" t="s">
        <v>186</v>
      </c>
      <c r="K16" s="38">
        <v>0.05</v>
      </c>
      <c r="L16" s="38">
        <v>5.1000000000000004E-3</v>
      </c>
      <c r="M16" s="88">
        <v>23797.82</v>
      </c>
      <c r="N16" s="85">
        <v>122.05000000000001</v>
      </c>
      <c r="O16" s="104">
        <v>29.04523</v>
      </c>
      <c r="P16" s="38">
        <v>3.0975907257447819E-3</v>
      </c>
      <c r="Q16" s="46">
        <v>5.8082827718259212E-4</v>
      </c>
      <c r="R16" s="46">
        <v>3.5186198132460869E-5</v>
      </c>
    </row>
    <row r="17" spans="1:18" x14ac:dyDescent="0.2">
      <c r="A17" s="30" t="s">
        <v>1570</v>
      </c>
      <c r="B17" s="38" t="s">
        <v>1571</v>
      </c>
      <c r="C17" s="38" t="s">
        <v>180</v>
      </c>
      <c r="D17" s="38" t="s">
        <v>696</v>
      </c>
      <c r="E17" s="38" t="s">
        <v>629</v>
      </c>
      <c r="F17" s="85" t="s">
        <v>606</v>
      </c>
      <c r="G17" s="80" t="s">
        <v>402</v>
      </c>
      <c r="H17" s="80" t="s">
        <v>1572</v>
      </c>
      <c r="I17" s="119">
        <v>3.54</v>
      </c>
      <c r="J17" s="80" t="s">
        <v>186</v>
      </c>
      <c r="K17" s="38">
        <v>5.5999999999999994E-2</v>
      </c>
      <c r="L17" s="38">
        <v>2E-3</v>
      </c>
      <c r="M17" s="88">
        <v>1718928.94</v>
      </c>
      <c r="N17" s="85">
        <v>145.07</v>
      </c>
      <c r="O17" s="104">
        <v>2493.6502099999998</v>
      </c>
      <c r="P17" s="38">
        <v>2.432315201642186E-3</v>
      </c>
      <c r="Q17" s="46">
        <v>4.9866451578118302E-2</v>
      </c>
      <c r="R17" s="46">
        <v>3.0208771065718069E-3</v>
      </c>
    </row>
    <row r="18" spans="1:18" x14ac:dyDescent="0.2">
      <c r="A18" s="30" t="s">
        <v>1590</v>
      </c>
      <c r="B18" s="38" t="s">
        <v>1591</v>
      </c>
      <c r="C18" s="38" t="s">
        <v>180</v>
      </c>
      <c r="D18" s="38" t="s">
        <v>696</v>
      </c>
      <c r="E18" s="38" t="s">
        <v>629</v>
      </c>
      <c r="F18" s="85" t="s">
        <v>606</v>
      </c>
      <c r="G18" s="80" t="s">
        <v>402</v>
      </c>
      <c r="H18" s="80" t="s">
        <v>1592</v>
      </c>
      <c r="I18" s="119">
        <v>6.75</v>
      </c>
      <c r="J18" s="80" t="s">
        <v>186</v>
      </c>
      <c r="K18" s="38">
        <v>4.9299999999999997E-2</v>
      </c>
      <c r="L18" s="38">
        <v>2.5000000000000001E-3</v>
      </c>
      <c r="M18" s="88">
        <v>1757244.36</v>
      </c>
      <c r="N18" s="85">
        <v>138.46</v>
      </c>
      <c r="O18" s="104">
        <v>2433.0805399999999</v>
      </c>
      <c r="P18" s="38">
        <v>2.3220479480753923E-3</v>
      </c>
      <c r="Q18" s="46">
        <v>4.8655217338430132E-2</v>
      </c>
      <c r="R18" s="46">
        <v>2.9475013264716743E-3</v>
      </c>
    </row>
    <row r="19" spans="1:18" x14ac:dyDescent="0.2">
      <c r="A19" s="30" t="s">
        <v>1573</v>
      </c>
      <c r="B19" s="38" t="s">
        <v>1574</v>
      </c>
      <c r="C19" s="38" t="s">
        <v>180</v>
      </c>
      <c r="D19" s="38" t="s">
        <v>1575</v>
      </c>
      <c r="E19" s="38" t="s">
        <v>629</v>
      </c>
      <c r="F19" s="85" t="s">
        <v>569</v>
      </c>
      <c r="G19" s="80" t="s">
        <v>185</v>
      </c>
      <c r="H19" s="80" t="s">
        <v>1576</v>
      </c>
      <c r="I19" s="119">
        <v>2.4</v>
      </c>
      <c r="J19" s="80" t="s">
        <v>186</v>
      </c>
      <c r="K19" s="38">
        <v>4.9000000000000002E-2</v>
      </c>
      <c r="L19" s="38">
        <v>-2.9999999999999997E-4</v>
      </c>
      <c r="M19" s="88">
        <v>553912.6</v>
      </c>
      <c r="N19" s="85">
        <v>136.09</v>
      </c>
      <c r="O19" s="104">
        <v>757.83893</v>
      </c>
      <c r="P19" s="38">
        <v>2.5066983302664426E-3</v>
      </c>
      <c r="Q19" s="46">
        <v>1.5154787209252573E-2</v>
      </c>
      <c r="R19" s="46">
        <v>9.1806712301717496E-4</v>
      </c>
    </row>
    <row r="20" spans="1:18" x14ac:dyDescent="0.2">
      <c r="A20" s="30" t="s">
        <v>1577</v>
      </c>
      <c r="B20" s="38" t="s">
        <v>1578</v>
      </c>
      <c r="C20" s="38" t="s">
        <v>180</v>
      </c>
      <c r="D20" s="38" t="s">
        <v>585</v>
      </c>
      <c r="E20" s="38" t="s">
        <v>424</v>
      </c>
      <c r="F20" s="85" t="s">
        <v>413</v>
      </c>
      <c r="G20" s="80" t="s">
        <v>402</v>
      </c>
      <c r="H20" s="80" t="s">
        <v>1579</v>
      </c>
      <c r="I20" s="119">
        <v>1.25</v>
      </c>
      <c r="J20" s="80" t="s">
        <v>186</v>
      </c>
      <c r="K20" s="38">
        <v>0.06</v>
      </c>
      <c r="L20" s="38">
        <v>1.09E-2</v>
      </c>
      <c r="M20" s="88">
        <v>13083000</v>
      </c>
      <c r="N20" s="85">
        <v>114.9</v>
      </c>
      <c r="O20" s="104">
        <v>15032.367</v>
      </c>
      <c r="P20" s="38">
        <v>3.5352305031951278E-3</v>
      </c>
      <c r="Q20" s="46">
        <v>0.30060783910426775</v>
      </c>
      <c r="R20" s="46">
        <v>1.8210626793517089E-2</v>
      </c>
    </row>
    <row r="21" spans="1:18" x14ac:dyDescent="0.2">
      <c r="A21" s="30" t="s">
        <v>1559</v>
      </c>
      <c r="B21" s="38" t="s">
        <v>1560</v>
      </c>
      <c r="C21" s="38" t="s">
        <v>180</v>
      </c>
      <c r="D21" s="38" t="s">
        <v>1561</v>
      </c>
      <c r="E21" s="38" t="s">
        <v>390</v>
      </c>
      <c r="F21" s="85" t="s">
        <v>413</v>
      </c>
      <c r="G21" s="80" t="s">
        <v>402</v>
      </c>
      <c r="H21" s="80" t="s">
        <v>1562</v>
      </c>
      <c r="I21" s="119">
        <v>2.14</v>
      </c>
      <c r="J21" s="80" t="s">
        <v>186</v>
      </c>
      <c r="K21" s="38">
        <v>3.7999999999999999E-2</v>
      </c>
      <c r="L21" s="38">
        <v>4.5999999999999999E-3</v>
      </c>
      <c r="M21" s="88">
        <v>1040000</v>
      </c>
      <c r="N21" s="85">
        <v>113.81000000000002</v>
      </c>
      <c r="O21" s="104">
        <v>1183.624</v>
      </c>
      <c r="P21" s="38" t="s">
        <v>180</v>
      </c>
      <c r="Q21" s="46">
        <v>2.3669369764053115E-2</v>
      </c>
      <c r="R21" s="46">
        <v>1.4338749797586682E-3</v>
      </c>
    </row>
    <row r="22" spans="1:18" x14ac:dyDescent="0.2">
      <c r="A22" s="30" t="s">
        <v>1601</v>
      </c>
      <c r="B22" s="38" t="s">
        <v>1602</v>
      </c>
      <c r="C22" s="38" t="s">
        <v>180</v>
      </c>
      <c r="D22" s="38" t="s">
        <v>1603</v>
      </c>
      <c r="E22" s="38" t="s">
        <v>395</v>
      </c>
      <c r="F22" s="85" t="s">
        <v>413</v>
      </c>
      <c r="G22" s="80" t="s">
        <v>402</v>
      </c>
      <c r="H22" s="80" t="s">
        <v>1604</v>
      </c>
      <c r="I22" s="119">
        <v>0.83</v>
      </c>
      <c r="J22" s="80" t="s">
        <v>186</v>
      </c>
      <c r="K22" s="38">
        <v>2.4E-2</v>
      </c>
      <c r="L22" s="38">
        <v>3.15E-2</v>
      </c>
      <c r="M22" s="88">
        <v>109324.83</v>
      </c>
      <c r="N22" s="85">
        <v>99.93</v>
      </c>
      <c r="O22" s="104">
        <v>109.2483</v>
      </c>
      <c r="P22" s="38">
        <v>2.9751850808843387E-3</v>
      </c>
      <c r="Q22" s="46">
        <v>2.184678925735034E-3</v>
      </c>
      <c r="R22" s="46">
        <v>1.3234642416102486E-4</v>
      </c>
    </row>
    <row r="23" spans="1:18" x14ac:dyDescent="0.2">
      <c r="A23" s="30" t="s">
        <v>1593</v>
      </c>
      <c r="B23" s="38" t="s">
        <v>1594</v>
      </c>
      <c r="C23" s="38" t="s">
        <v>180</v>
      </c>
      <c r="D23" s="38" t="s">
        <v>986</v>
      </c>
      <c r="E23" s="38" t="s">
        <v>395</v>
      </c>
      <c r="F23" s="85" t="s">
        <v>413</v>
      </c>
      <c r="G23" s="80" t="s">
        <v>402</v>
      </c>
      <c r="H23" s="80" t="s">
        <v>1595</v>
      </c>
      <c r="I23" s="119">
        <v>1.48</v>
      </c>
      <c r="J23" s="80" t="s">
        <v>186</v>
      </c>
      <c r="K23" s="38">
        <v>4.4999999999999998E-2</v>
      </c>
      <c r="L23" s="38">
        <v>1.3300000000000001E-2</v>
      </c>
      <c r="M23" s="88">
        <v>162800</v>
      </c>
      <c r="N23" s="85">
        <v>112.83000000000001</v>
      </c>
      <c r="O23" s="104">
        <v>183.68724</v>
      </c>
      <c r="P23" s="38">
        <v>1.6280000000000001E-3</v>
      </c>
      <c r="Q23" s="46">
        <v>3.6732621208241533E-3</v>
      </c>
      <c r="R23" s="46">
        <v>2.2252382305269715E-4</v>
      </c>
    </row>
    <row r="24" spans="1:18" x14ac:dyDescent="0.2">
      <c r="A24" s="30" t="s">
        <v>1553</v>
      </c>
      <c r="B24" s="38" t="s">
        <v>1554</v>
      </c>
      <c r="C24" s="38" t="s">
        <v>180</v>
      </c>
      <c r="D24" s="38" t="s">
        <v>400</v>
      </c>
      <c r="E24" s="38" t="s">
        <v>395</v>
      </c>
      <c r="F24" s="85" t="s">
        <v>451</v>
      </c>
      <c r="G24" s="80" t="s">
        <v>402</v>
      </c>
      <c r="H24" s="80" t="s">
        <v>1555</v>
      </c>
      <c r="I24" s="119">
        <v>1.24</v>
      </c>
      <c r="J24" s="80" t="s">
        <v>186</v>
      </c>
      <c r="K24" s="38">
        <v>4.6500000000000007E-2</v>
      </c>
      <c r="L24" s="38">
        <v>6.1999999999999998E-3</v>
      </c>
      <c r="M24" s="88">
        <v>860000</v>
      </c>
      <c r="N24" s="85">
        <v>111.68</v>
      </c>
      <c r="O24" s="104">
        <v>960.44799999999998</v>
      </c>
      <c r="P24" s="38">
        <v>4.3E-3</v>
      </c>
      <c r="Q24" s="46">
        <v>1.9206436208749809E-2</v>
      </c>
      <c r="R24" s="46">
        <v>1.1635133763418563E-3</v>
      </c>
    </row>
    <row r="25" spans="1:18" x14ac:dyDescent="0.2">
      <c r="A25" s="30" t="s">
        <v>1556</v>
      </c>
      <c r="B25" s="38" t="s">
        <v>1557</v>
      </c>
      <c r="C25" s="38" t="s">
        <v>180</v>
      </c>
      <c r="D25" s="38" t="s">
        <v>400</v>
      </c>
      <c r="E25" s="38" t="s">
        <v>395</v>
      </c>
      <c r="F25" s="85" t="s">
        <v>451</v>
      </c>
      <c r="G25" s="80" t="s">
        <v>402</v>
      </c>
      <c r="H25" s="80" t="s">
        <v>1558</v>
      </c>
      <c r="I25" s="119">
        <v>6.5600000000000005</v>
      </c>
      <c r="J25" s="80" t="s">
        <v>186</v>
      </c>
      <c r="K25" s="38">
        <v>3.3000000000000002E-2</v>
      </c>
      <c r="L25" s="38">
        <v>5.9999999999999995E-4</v>
      </c>
      <c r="M25" s="88">
        <v>1174000</v>
      </c>
      <c r="N25" s="85">
        <v>124.88</v>
      </c>
      <c r="O25" s="104">
        <v>1466.0911999999998</v>
      </c>
      <c r="P25" s="38">
        <v>5.7832512315270932E-3</v>
      </c>
      <c r="Q25" s="46">
        <v>2.9317971518509549E-2</v>
      </c>
      <c r="R25" s="46">
        <v>1.7760635892178269E-3</v>
      </c>
    </row>
    <row r="26" spans="1:18" x14ac:dyDescent="0.2">
      <c r="A26" s="30" t="s">
        <v>1587</v>
      </c>
      <c r="B26" s="38" t="s">
        <v>1588</v>
      </c>
      <c r="C26" s="38" t="s">
        <v>180</v>
      </c>
      <c r="D26" s="38" t="s">
        <v>1582</v>
      </c>
      <c r="E26" s="38" t="s">
        <v>361</v>
      </c>
      <c r="F26" s="85" t="s">
        <v>479</v>
      </c>
      <c r="G26" s="80" t="s">
        <v>402</v>
      </c>
      <c r="H26" s="80" t="s">
        <v>1589</v>
      </c>
      <c r="I26" s="119">
        <v>0.38</v>
      </c>
      <c r="J26" s="80" t="s">
        <v>186</v>
      </c>
      <c r="K26" s="38">
        <v>7.0900000000000005E-2</v>
      </c>
      <c r="L26" s="38">
        <v>6.5000000000000006E-3</v>
      </c>
      <c r="M26" s="88">
        <v>77828.94</v>
      </c>
      <c r="N26" s="85">
        <v>126.93</v>
      </c>
      <c r="O26" s="104">
        <v>98.788269999999997</v>
      </c>
      <c r="P26" s="38" t="s">
        <v>180</v>
      </c>
      <c r="Q26" s="46">
        <v>1.9755058117959046E-3</v>
      </c>
      <c r="R26" s="46">
        <v>1.1967485337120896E-4</v>
      </c>
    </row>
    <row r="27" spans="1:18" x14ac:dyDescent="0.2">
      <c r="A27" s="30" t="s">
        <v>1580</v>
      </c>
      <c r="B27" s="38" t="s">
        <v>1581</v>
      </c>
      <c r="C27" s="38" t="s">
        <v>180</v>
      </c>
      <c r="D27" s="38" t="s">
        <v>1582</v>
      </c>
      <c r="E27" s="38" t="s">
        <v>361</v>
      </c>
      <c r="F27" s="85" t="s">
        <v>479</v>
      </c>
      <c r="G27" s="80" t="s">
        <v>402</v>
      </c>
      <c r="H27" s="80" t="s">
        <v>1583</v>
      </c>
      <c r="I27" s="119">
        <v>2.76</v>
      </c>
      <c r="J27" s="80" t="s">
        <v>186</v>
      </c>
      <c r="K27" s="38">
        <v>7.1500000000000008E-2</v>
      </c>
      <c r="L27" s="38">
        <v>5.6000000000000008E-3</v>
      </c>
      <c r="M27" s="88">
        <v>2509281.89</v>
      </c>
      <c r="N27" s="85">
        <v>128.5</v>
      </c>
      <c r="O27" s="104">
        <v>3224.42722</v>
      </c>
      <c r="P27" s="38" t="s">
        <v>180</v>
      </c>
      <c r="Q27" s="46">
        <v>6.4480071498599092E-2</v>
      </c>
      <c r="R27" s="46">
        <v>3.9061606682618795E-3</v>
      </c>
    </row>
    <row r="28" spans="1:18" x14ac:dyDescent="0.2">
      <c r="A28" s="30" t="s">
        <v>1596</v>
      </c>
      <c r="B28" s="38" t="s">
        <v>1597</v>
      </c>
      <c r="C28" s="38" t="s">
        <v>180</v>
      </c>
      <c r="D28" s="38" t="s">
        <v>1598</v>
      </c>
      <c r="E28" s="38" t="s">
        <v>1599</v>
      </c>
      <c r="F28" s="85" t="s">
        <v>479</v>
      </c>
      <c r="G28" s="80" t="s">
        <v>402</v>
      </c>
      <c r="H28" s="80" t="s">
        <v>1600</v>
      </c>
      <c r="I28" s="119">
        <v>1.6400000000000001</v>
      </c>
      <c r="J28" s="80" t="s">
        <v>186</v>
      </c>
      <c r="K28" s="38">
        <v>3.15E-2</v>
      </c>
      <c r="L28" s="38">
        <v>0.1278</v>
      </c>
      <c r="M28" s="88">
        <v>760810.2</v>
      </c>
      <c r="N28" s="85">
        <v>87.11</v>
      </c>
      <c r="O28" s="104">
        <v>662.74176</v>
      </c>
      <c r="P28" s="38">
        <v>2.1864602813778016E-3</v>
      </c>
      <c r="Q28" s="46">
        <v>1.3253093698268492E-2</v>
      </c>
      <c r="R28" s="46">
        <v>8.0286377067820866E-4</v>
      </c>
    </row>
    <row r="29" spans="1:18" s="137" customFormat="1" x14ac:dyDescent="0.2">
      <c r="A29" s="112" t="s">
        <v>1550</v>
      </c>
      <c r="B29" s="144" t="s">
        <v>180</v>
      </c>
      <c r="C29" s="144" t="s">
        <v>180</v>
      </c>
      <c r="D29" s="144" t="s">
        <v>180</v>
      </c>
      <c r="E29" s="144" t="s">
        <v>180</v>
      </c>
      <c r="F29" s="141" t="s">
        <v>180</v>
      </c>
      <c r="G29" s="145" t="s">
        <v>180</v>
      </c>
      <c r="H29" s="145" t="s">
        <v>180</v>
      </c>
      <c r="I29" s="153" t="s">
        <v>180</v>
      </c>
      <c r="J29" s="145" t="s">
        <v>180</v>
      </c>
      <c r="K29" s="144" t="s">
        <v>180</v>
      </c>
      <c r="L29" s="144" t="s">
        <v>180</v>
      </c>
      <c r="M29" s="155" t="s">
        <v>180</v>
      </c>
      <c r="N29" s="141" t="s">
        <v>180</v>
      </c>
      <c r="O29" s="146">
        <v>2664.6523701000001</v>
      </c>
      <c r="P29" s="144" t="s">
        <v>180</v>
      </c>
      <c r="Q29" s="140">
        <v>5.3286045433818013E-2</v>
      </c>
      <c r="R29" s="140">
        <v>3.2280338716019824E-3</v>
      </c>
    </row>
    <row r="30" spans="1:18" x14ac:dyDescent="0.2">
      <c r="A30" s="30" t="s">
        <v>1613</v>
      </c>
      <c r="B30" s="38" t="s">
        <v>1614</v>
      </c>
      <c r="C30" s="38" t="s">
        <v>180</v>
      </c>
      <c r="D30" s="38" t="s">
        <v>1615</v>
      </c>
      <c r="E30" s="38" t="s">
        <v>1616</v>
      </c>
      <c r="F30" s="85" t="s">
        <v>466</v>
      </c>
      <c r="G30" s="80" t="s">
        <v>402</v>
      </c>
      <c r="H30" s="80" t="s">
        <v>1617</v>
      </c>
      <c r="I30" s="119">
        <v>6.37</v>
      </c>
      <c r="J30" s="80" t="s">
        <v>186</v>
      </c>
      <c r="K30" s="38">
        <v>3.7400000000000003E-2</v>
      </c>
      <c r="L30" s="38">
        <v>1.9400000000000001E-2</v>
      </c>
      <c r="M30" s="88">
        <v>852000</v>
      </c>
      <c r="N30" s="85">
        <v>112.94999999999999</v>
      </c>
      <c r="O30" s="104">
        <v>962.33399999999995</v>
      </c>
      <c r="P30" s="38">
        <v>1.6541826357419941E-3</v>
      </c>
      <c r="Q30" s="46">
        <v>1.9244151252864331E-2</v>
      </c>
      <c r="R30" s="46">
        <v>1.1657981291111688E-3</v>
      </c>
    </row>
    <row r="31" spans="1:18" x14ac:dyDescent="0.2">
      <c r="A31" s="30" t="s">
        <v>1618</v>
      </c>
      <c r="B31" s="38" t="s">
        <v>1619</v>
      </c>
      <c r="C31" s="38" t="s">
        <v>180</v>
      </c>
      <c r="D31" s="38" t="s">
        <v>1615</v>
      </c>
      <c r="E31" s="38" t="s">
        <v>1616</v>
      </c>
      <c r="F31" s="85" t="s">
        <v>466</v>
      </c>
      <c r="G31" s="80" t="s">
        <v>402</v>
      </c>
      <c r="H31" s="80" t="s">
        <v>1617</v>
      </c>
      <c r="I31" s="119">
        <v>3.09</v>
      </c>
      <c r="J31" s="80" t="s">
        <v>186</v>
      </c>
      <c r="K31" s="38">
        <v>2.5000000000000001E-2</v>
      </c>
      <c r="L31" s="38">
        <v>1.01E-2</v>
      </c>
      <c r="M31" s="88">
        <v>575971.19999999995</v>
      </c>
      <c r="N31" s="85">
        <v>105.42</v>
      </c>
      <c r="O31" s="104">
        <v>607.18882999999994</v>
      </c>
      <c r="P31" s="38">
        <v>9.2651827757025431E-4</v>
      </c>
      <c r="Q31" s="46">
        <v>1.2142181075977495E-2</v>
      </c>
      <c r="R31" s="46">
        <v>7.3556540871589228E-4</v>
      </c>
    </row>
    <row r="32" spans="1:18" x14ac:dyDescent="0.2">
      <c r="A32" s="30" t="s">
        <v>1620</v>
      </c>
      <c r="B32" s="38" t="s">
        <v>1621</v>
      </c>
      <c r="C32" s="38" t="s">
        <v>180</v>
      </c>
      <c r="D32" s="38" t="s">
        <v>1622</v>
      </c>
      <c r="E32" s="38" t="s">
        <v>418</v>
      </c>
      <c r="F32" s="85" t="s">
        <v>396</v>
      </c>
      <c r="G32" s="80" t="s">
        <v>185</v>
      </c>
      <c r="H32" s="80" t="s">
        <v>1623</v>
      </c>
      <c r="I32" s="119">
        <v>3.44</v>
      </c>
      <c r="J32" s="80" t="s">
        <v>127</v>
      </c>
      <c r="K32" s="38">
        <v>7.9699999999999993E-2</v>
      </c>
      <c r="L32" s="38">
        <v>1.5300000000000001E-2</v>
      </c>
      <c r="M32" s="88">
        <v>13447.77</v>
      </c>
      <c r="N32" s="85">
        <v>127.86</v>
      </c>
      <c r="O32" s="104">
        <v>59.595500000000001</v>
      </c>
      <c r="P32" s="38">
        <v>1.8887351105247057E-4</v>
      </c>
      <c r="Q32" s="46">
        <v>1.1917533995370383E-3</v>
      </c>
      <c r="R32" s="46">
        <v>7.2195643511966393E-5</v>
      </c>
    </row>
    <row r="33" spans="1:18" x14ac:dyDescent="0.2">
      <c r="A33" s="30" t="s">
        <v>1609</v>
      </c>
      <c r="B33" s="38" t="s">
        <v>1610</v>
      </c>
      <c r="C33" s="38" t="s">
        <v>180</v>
      </c>
      <c r="D33" s="38" t="s">
        <v>1611</v>
      </c>
      <c r="E33" s="38" t="s">
        <v>418</v>
      </c>
      <c r="F33" s="85" t="s">
        <v>479</v>
      </c>
      <c r="G33" s="80" t="s">
        <v>402</v>
      </c>
      <c r="H33" s="80" t="s">
        <v>1612</v>
      </c>
      <c r="I33" s="119">
        <v>4.51</v>
      </c>
      <c r="J33" s="80" t="s">
        <v>186</v>
      </c>
      <c r="K33" s="38">
        <v>4.5999999999999999E-2</v>
      </c>
      <c r="L33" s="38">
        <v>6.3099999999999989E-2</v>
      </c>
      <c r="M33" s="88">
        <v>1112640</v>
      </c>
      <c r="N33" s="85">
        <v>93.07</v>
      </c>
      <c r="O33" s="104">
        <v>1035.53404</v>
      </c>
      <c r="P33" s="38">
        <v>1.9362580656667068E-3</v>
      </c>
      <c r="Q33" s="46">
        <v>2.0707959703439412E-2</v>
      </c>
      <c r="R33" s="46">
        <v>1.2544746901418118E-3</v>
      </c>
    </row>
    <row r="34" spans="1:18" s="137" customFormat="1" x14ac:dyDescent="0.2">
      <c r="A34" s="112" t="s">
        <v>385</v>
      </c>
      <c r="B34" s="144" t="s">
        <v>180</v>
      </c>
      <c r="C34" s="144" t="s">
        <v>180</v>
      </c>
      <c r="D34" s="144" t="s">
        <v>180</v>
      </c>
      <c r="E34" s="144" t="s">
        <v>180</v>
      </c>
      <c r="F34" s="141" t="s">
        <v>180</v>
      </c>
      <c r="G34" s="145" t="s">
        <v>180</v>
      </c>
      <c r="H34" s="145" t="s">
        <v>180</v>
      </c>
      <c r="I34" s="153" t="s">
        <v>180</v>
      </c>
      <c r="J34" s="145" t="s">
        <v>180</v>
      </c>
      <c r="K34" s="144" t="s">
        <v>180</v>
      </c>
      <c r="L34" s="144" t="s">
        <v>180</v>
      </c>
      <c r="M34" s="155" t="s">
        <v>180</v>
      </c>
      <c r="N34" s="141" t="s">
        <v>180</v>
      </c>
      <c r="O34" s="146">
        <v>2605.4720901000001</v>
      </c>
      <c r="P34" s="144" t="s">
        <v>180</v>
      </c>
      <c r="Q34" s="140">
        <v>5.2102595343197854E-2</v>
      </c>
      <c r="R34" s="140">
        <v>3.1563412371275949E-3</v>
      </c>
    </row>
    <row r="35" spans="1:18" x14ac:dyDescent="0.2">
      <c r="A35" s="30" t="s">
        <v>1628</v>
      </c>
      <c r="B35" s="38" t="s">
        <v>1629</v>
      </c>
      <c r="C35" s="38" t="s">
        <v>180</v>
      </c>
      <c r="D35" s="38" t="s">
        <v>1630</v>
      </c>
      <c r="E35" s="38" t="s">
        <v>1631</v>
      </c>
      <c r="F35" s="85" t="s">
        <v>435</v>
      </c>
      <c r="G35" s="80" t="s">
        <v>185</v>
      </c>
      <c r="H35" s="80" t="s">
        <v>1632</v>
      </c>
      <c r="I35" s="119">
        <v>0.21</v>
      </c>
      <c r="J35" s="80" t="s">
        <v>127</v>
      </c>
      <c r="K35" s="38">
        <v>3.7000000000000005E-2</v>
      </c>
      <c r="L35" s="38">
        <v>1.9799999999999998E-2</v>
      </c>
      <c r="M35" s="88">
        <v>280745</v>
      </c>
      <c r="N35" s="85">
        <v>101.42999999999999</v>
      </c>
      <c r="O35" s="104">
        <v>986.97694999999999</v>
      </c>
      <c r="P35" s="38">
        <v>4.1775043152193318E-3</v>
      </c>
      <c r="Q35" s="46">
        <v>1.9736945498019104E-2</v>
      </c>
      <c r="R35" s="46">
        <v>1.195651283011769E-3</v>
      </c>
    </row>
    <row r="36" spans="1:18" x14ac:dyDescent="0.2">
      <c r="A36" s="30" t="s">
        <v>1633</v>
      </c>
      <c r="B36" s="38" t="s">
        <v>1634</v>
      </c>
      <c r="C36" s="38" t="s">
        <v>180</v>
      </c>
      <c r="D36" s="38" t="s">
        <v>1630</v>
      </c>
      <c r="E36" s="38" t="s">
        <v>1631</v>
      </c>
      <c r="F36" s="85" t="s">
        <v>435</v>
      </c>
      <c r="G36" s="80" t="s">
        <v>185</v>
      </c>
      <c r="H36" s="80" t="s">
        <v>1632</v>
      </c>
      <c r="I36" s="119">
        <v>2.1</v>
      </c>
      <c r="J36" s="80" t="s">
        <v>127</v>
      </c>
      <c r="K36" s="38">
        <v>4.4500000000000005E-2</v>
      </c>
      <c r="L36" s="38">
        <v>7.0099999999999996E-2</v>
      </c>
      <c r="M36" s="88">
        <v>482382</v>
      </c>
      <c r="N36" s="85">
        <v>96.35</v>
      </c>
      <c r="O36" s="104">
        <v>1610.9103400000001</v>
      </c>
      <c r="P36" s="38">
        <v>2.2125193999990396E-3</v>
      </c>
      <c r="Q36" s="46">
        <v>3.2213973773932029E-2</v>
      </c>
      <c r="R36" s="46">
        <v>1.951501516664523E-3</v>
      </c>
    </row>
    <row r="37" spans="1:18" x14ac:dyDescent="0.2">
      <c r="A37" s="30" t="s">
        <v>1624</v>
      </c>
      <c r="B37" s="38" t="s">
        <v>1625</v>
      </c>
      <c r="C37" s="38" t="s">
        <v>180</v>
      </c>
      <c r="D37" s="38" t="s">
        <v>1626</v>
      </c>
      <c r="E37" s="38" t="s">
        <v>629</v>
      </c>
      <c r="F37" s="85" t="s">
        <v>419</v>
      </c>
      <c r="G37" s="80" t="s">
        <v>180</v>
      </c>
      <c r="H37" s="80" t="s">
        <v>1627</v>
      </c>
      <c r="I37" s="119">
        <v>0.78</v>
      </c>
      <c r="J37" s="80" t="s">
        <v>127</v>
      </c>
      <c r="K37" s="38">
        <v>3.0961299523162841E-2</v>
      </c>
      <c r="L37" s="38">
        <v>1.8200000000000001E-2</v>
      </c>
      <c r="M37" s="88">
        <v>2165.8200000000002</v>
      </c>
      <c r="N37" s="85">
        <v>101.04000000000002</v>
      </c>
      <c r="O37" s="104">
        <v>7.5848000000000004</v>
      </c>
      <c r="P37" s="38">
        <v>1.5717230062985179E-4</v>
      </c>
      <c r="Q37" s="46">
        <v>1.516760692469822E-4</v>
      </c>
      <c r="R37" s="46">
        <v>9.1884373301602083E-6</v>
      </c>
    </row>
    <row r="38" spans="1:18" s="137" customFormat="1" x14ac:dyDescent="0.2">
      <c r="A38" s="112" t="s">
        <v>144</v>
      </c>
      <c r="B38" s="144" t="s">
        <v>180</v>
      </c>
      <c r="C38" s="144" t="s">
        <v>180</v>
      </c>
      <c r="D38" s="144" t="s">
        <v>180</v>
      </c>
      <c r="E38" s="144" t="s">
        <v>180</v>
      </c>
      <c r="F38" s="141" t="s">
        <v>180</v>
      </c>
      <c r="G38" s="145" t="s">
        <v>180</v>
      </c>
      <c r="H38" s="145" t="s">
        <v>180</v>
      </c>
      <c r="I38" s="153" t="s">
        <v>180</v>
      </c>
      <c r="J38" s="145" t="s">
        <v>180</v>
      </c>
      <c r="K38" s="144" t="s">
        <v>180</v>
      </c>
      <c r="L38" s="144" t="s">
        <v>180</v>
      </c>
      <c r="M38" s="155" t="s">
        <v>180</v>
      </c>
      <c r="N38" s="141" t="s">
        <v>180</v>
      </c>
      <c r="O38" s="146">
        <v>0</v>
      </c>
      <c r="P38" s="144" t="s">
        <v>180</v>
      </c>
      <c r="Q38" s="140">
        <v>0</v>
      </c>
      <c r="R38" s="140">
        <v>0</v>
      </c>
    </row>
    <row r="39" spans="1:18" s="137" customFormat="1" x14ac:dyDescent="0.2">
      <c r="A39" s="112" t="s">
        <v>357</v>
      </c>
      <c r="B39" s="144" t="s">
        <v>180</v>
      </c>
      <c r="C39" s="144" t="s">
        <v>180</v>
      </c>
      <c r="D39" s="144" t="s">
        <v>180</v>
      </c>
      <c r="E39" s="144" t="s">
        <v>180</v>
      </c>
      <c r="F39" s="141" t="s">
        <v>180</v>
      </c>
      <c r="G39" s="145" t="s">
        <v>180</v>
      </c>
      <c r="H39" s="145" t="s">
        <v>180</v>
      </c>
      <c r="I39" s="153" t="s">
        <v>180</v>
      </c>
      <c r="J39" s="145" t="s">
        <v>180</v>
      </c>
      <c r="K39" s="144" t="s">
        <v>180</v>
      </c>
      <c r="L39" s="144" t="s">
        <v>180</v>
      </c>
      <c r="M39" s="155" t="s">
        <v>180</v>
      </c>
      <c r="N39" s="141" t="s">
        <v>180</v>
      </c>
      <c r="O39" s="146">
        <v>0</v>
      </c>
      <c r="P39" s="144" t="s">
        <v>180</v>
      </c>
      <c r="Q39" s="140">
        <v>0</v>
      </c>
      <c r="R39" s="140">
        <v>0</v>
      </c>
    </row>
    <row r="40" spans="1:18" s="137" customFormat="1" x14ac:dyDescent="0.2">
      <c r="A40" s="112" t="s">
        <v>1635</v>
      </c>
      <c r="B40" s="144" t="s">
        <v>180</v>
      </c>
      <c r="C40" s="144" t="s">
        <v>180</v>
      </c>
      <c r="D40" s="144" t="s">
        <v>180</v>
      </c>
      <c r="E40" s="144" t="s">
        <v>180</v>
      </c>
      <c r="F40" s="141" t="s">
        <v>180</v>
      </c>
      <c r="G40" s="145" t="s">
        <v>180</v>
      </c>
      <c r="H40" s="145" t="s">
        <v>180</v>
      </c>
      <c r="I40" s="153" t="s">
        <v>180</v>
      </c>
      <c r="J40" s="145" t="s">
        <v>180</v>
      </c>
      <c r="K40" s="144" t="s">
        <v>180</v>
      </c>
      <c r="L40" s="144" t="s">
        <v>180</v>
      </c>
      <c r="M40" s="155" t="s">
        <v>180</v>
      </c>
      <c r="N40" s="141" t="s">
        <v>180</v>
      </c>
      <c r="O40" s="146">
        <v>0</v>
      </c>
      <c r="P40" s="144" t="s">
        <v>180</v>
      </c>
      <c r="Q40" s="140">
        <v>0</v>
      </c>
      <c r="R40" s="140">
        <v>0</v>
      </c>
    </row>
    <row r="41" spans="1:18" s="137" customFormat="1" x14ac:dyDescent="0.2">
      <c r="A41" s="231" t="s">
        <v>1636</v>
      </c>
      <c r="B41" s="232" t="s">
        <v>180</v>
      </c>
      <c r="C41" s="232" t="s">
        <v>180</v>
      </c>
      <c r="D41" s="232" t="s">
        <v>180</v>
      </c>
      <c r="E41" s="232" t="s">
        <v>180</v>
      </c>
      <c r="F41" s="241" t="s">
        <v>180</v>
      </c>
      <c r="G41" s="239" t="s">
        <v>180</v>
      </c>
      <c r="H41" s="239" t="s">
        <v>180</v>
      </c>
      <c r="I41" s="243" t="s">
        <v>180</v>
      </c>
      <c r="J41" s="239" t="s">
        <v>180</v>
      </c>
      <c r="K41" s="232" t="s">
        <v>180</v>
      </c>
      <c r="L41" s="232" t="s">
        <v>180</v>
      </c>
      <c r="M41" s="240" t="s">
        <v>180</v>
      </c>
      <c r="N41" s="241" t="s">
        <v>180</v>
      </c>
      <c r="O41" s="237">
        <v>0</v>
      </c>
      <c r="P41" s="232" t="s">
        <v>180</v>
      </c>
      <c r="Q41" s="238">
        <v>0</v>
      </c>
      <c r="R41" s="238">
        <v>0</v>
      </c>
    </row>
    <row r="42" spans="1:18" s="137" customFormat="1" x14ac:dyDescent="0.2">
      <c r="A42" s="97" t="s">
        <v>171</v>
      </c>
      <c r="B42" s="147"/>
      <c r="C42" s="147"/>
      <c r="D42" s="147"/>
      <c r="E42" s="97"/>
      <c r="F42" s="148"/>
      <c r="G42" s="148"/>
      <c r="H42" s="148"/>
      <c r="I42" s="149"/>
      <c r="J42" s="150"/>
      <c r="K42" s="151"/>
      <c r="L42" s="151"/>
      <c r="M42" s="151"/>
      <c r="N42" s="150"/>
      <c r="O42" s="150"/>
      <c r="P42" s="156"/>
      <c r="Q42" s="156"/>
      <c r="R42" s="156"/>
    </row>
    <row r="43" spans="1:18" s="137" customFormat="1" x14ac:dyDescent="0.2">
      <c r="A43" s="97" t="s">
        <v>172</v>
      </c>
      <c r="B43" s="147"/>
      <c r="C43" s="147"/>
      <c r="D43" s="147"/>
      <c r="E43" s="97"/>
      <c r="F43" s="148"/>
      <c r="G43" s="148"/>
      <c r="H43" s="148"/>
      <c r="I43" s="149"/>
      <c r="J43" s="150"/>
      <c r="K43" s="151"/>
      <c r="L43" s="151"/>
      <c r="M43" s="151"/>
      <c r="N43" s="150"/>
      <c r="O43" s="150"/>
      <c r="P43" s="156"/>
      <c r="Q43" s="156"/>
      <c r="R43" s="156"/>
    </row>
    <row r="44" spans="1:18" s="137" customFormat="1" x14ac:dyDescent="0.2">
      <c r="A44" s="97" t="s">
        <v>173</v>
      </c>
      <c r="B44" s="147"/>
      <c r="C44" s="147"/>
      <c r="D44" s="147"/>
      <c r="E44" s="97"/>
      <c r="F44" s="148"/>
      <c r="G44" s="148"/>
      <c r="H44" s="148"/>
      <c r="I44" s="149"/>
      <c r="J44" s="150"/>
      <c r="K44" s="151"/>
      <c r="L44" s="151"/>
      <c r="M44" s="151"/>
      <c r="N44" s="150"/>
      <c r="O44" s="150"/>
      <c r="P44" s="156"/>
      <c r="Q44" s="156"/>
      <c r="R44" s="156"/>
    </row>
    <row r="45" spans="1:18" s="137" customFormat="1" x14ac:dyDescent="0.2">
      <c r="A45" s="97" t="s">
        <v>174</v>
      </c>
      <c r="B45" s="147"/>
      <c r="C45" s="147"/>
      <c r="D45" s="147"/>
      <c r="E45" s="97"/>
      <c r="F45" s="148"/>
      <c r="G45" s="148"/>
      <c r="H45" s="148"/>
      <c r="I45" s="149"/>
      <c r="J45" s="150"/>
      <c r="K45" s="151"/>
      <c r="L45" s="151"/>
      <c r="M45" s="151"/>
      <c r="N45" s="150"/>
      <c r="O45" s="150"/>
      <c r="P45" s="156"/>
      <c r="Q45" s="156"/>
      <c r="R45" s="156"/>
    </row>
    <row r="46" spans="1:18" s="137" customFormat="1" x14ac:dyDescent="0.2">
      <c r="A46" s="97" t="s">
        <v>175</v>
      </c>
      <c r="B46" s="147"/>
      <c r="C46" s="147"/>
      <c r="D46" s="147"/>
      <c r="E46" s="97"/>
      <c r="F46" s="148"/>
      <c r="G46" s="148"/>
      <c r="H46" s="148"/>
      <c r="I46" s="149"/>
      <c r="J46" s="150"/>
      <c r="K46" s="151"/>
      <c r="L46" s="151"/>
      <c r="M46" s="151"/>
      <c r="N46" s="150"/>
      <c r="O46" s="150"/>
      <c r="P46" s="156"/>
      <c r="Q46" s="156"/>
      <c r="R46" s="156"/>
    </row>
  </sheetData>
  <sortState ref="A35:AA37">
    <sortCondition ref="A35:A37" customList="א,ב,ג,ד,ה,ו,ז,ח,ט,י,כ,ל,מ,נ,ס,ע,פ,צ,ק,ר,ש,ת"/>
  </sortState>
  <mergeCells count="2">
    <mergeCell ref="A6:R6"/>
    <mergeCell ref="A5:R5"/>
  </mergeCells>
  <conditionalFormatting sqref="B10:H41 J10:J41 Q10:R41">
    <cfRule type="expression" dxfId="82" priority="290" stopIfTrue="1">
      <formula>OR(LEFT(#REF!,3)="TIR",LEFT(#REF!,2)="IR")</formula>
    </cfRule>
  </conditionalFormatting>
  <conditionalFormatting sqref="J1:J4 I10:I41 K10:N41 P10:Q41 J42:J55576">
    <cfRule type="expression" dxfId="81" priority="293" stopIfTrue="1">
      <formula>LEFT(#REF!,3)="TIR"</formula>
    </cfRule>
  </conditionalFormatting>
  <conditionalFormatting sqref="K7">
    <cfRule type="expression" dxfId="80" priority="298" stopIfTrue="1">
      <formula>LEFT(#REF!,3)="TIR"</formula>
    </cfRule>
  </conditionalFormatting>
  <conditionalFormatting sqref="A10:A41 O10:O41">
    <cfRule type="expression" dxfId="79" priority="299" stopIfTrue="1">
      <formula>#REF!&gt;0</formula>
    </cfRule>
    <cfRule type="expression" dxfId="78" priority="30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6" fitToHeight="0" orientation="landscape"/>
  <headerFooter alignWithMargins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2EADB-B23D-46AF-B4A3-2CCFAA44992E}">
  <sheetPr codeName="גיליון16">
    <pageSetUpPr fitToPage="1"/>
  </sheetPr>
  <dimension ref="A1:Q20"/>
  <sheetViews>
    <sheetView rightToLeft="1" zoomScale="80" zoomScaleNormal="80" workbookViewId="0">
      <selection activeCell="A7" sqref="A7:L15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1.5703125" style="23" customWidth="1"/>
    <col min="6" max="6" width="12" style="79" bestFit="1" customWidth="1"/>
    <col min="7" max="7" width="10.5703125" style="79" customWidth="1"/>
    <col min="8" max="8" width="8.85546875" style="79" bestFit="1" customWidth="1"/>
    <col min="9" max="9" width="10.42578125" style="50" customWidth="1"/>
    <col min="10" max="10" width="22" style="81" customWidth="1"/>
    <col min="11" max="11" width="25.42578125" style="81" customWidth="1"/>
    <col min="12" max="12" width="20.7109375" style="8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166</v>
      </c>
      <c r="B1" s="22" t="s">
        <v>176</v>
      </c>
      <c r="C1" s="22"/>
      <c r="D1" s="22"/>
      <c r="E1" s="23"/>
      <c r="F1" s="79"/>
      <c r="G1" s="79"/>
      <c r="H1" s="79"/>
      <c r="I1" s="50"/>
      <c r="J1" s="81"/>
      <c r="K1" s="81"/>
      <c r="L1" s="82"/>
      <c r="M1" s="27"/>
      <c r="N1" s="27"/>
      <c r="O1" s="26"/>
      <c r="P1" s="26"/>
      <c r="Q1" s="28"/>
    </row>
    <row r="2" spans="1:17" s="20" customFormat="1" x14ac:dyDescent="0.2">
      <c r="A2" s="23" t="s">
        <v>167</v>
      </c>
      <c r="B2" s="22" t="s">
        <v>153</v>
      </c>
      <c r="C2" s="22"/>
      <c r="D2" s="22"/>
      <c r="E2" s="23"/>
      <c r="F2" s="79"/>
      <c r="G2" s="79"/>
      <c r="H2" s="79"/>
      <c r="I2" s="50"/>
      <c r="J2" s="81"/>
      <c r="K2" s="81"/>
      <c r="L2" s="82"/>
      <c r="M2" s="27"/>
      <c r="N2" s="27"/>
      <c r="O2" s="26"/>
      <c r="P2" s="26"/>
      <c r="Q2" s="28"/>
    </row>
    <row r="3" spans="1:17" s="20" customFormat="1" x14ac:dyDescent="0.2">
      <c r="A3" s="23" t="s">
        <v>168</v>
      </c>
      <c r="B3" s="22" t="s">
        <v>169</v>
      </c>
      <c r="C3" s="22"/>
      <c r="D3" s="22"/>
      <c r="E3" s="23"/>
      <c r="F3" s="79"/>
      <c r="G3" s="79"/>
      <c r="H3" s="79"/>
      <c r="I3" s="50"/>
      <c r="J3" s="81"/>
      <c r="K3" s="81"/>
      <c r="L3" s="82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170</v>
      </c>
      <c r="B4" s="22" t="s">
        <v>178</v>
      </c>
      <c r="C4" s="22"/>
      <c r="D4" s="22"/>
      <c r="E4" s="23"/>
      <c r="F4" s="79"/>
      <c r="G4" s="79"/>
      <c r="H4" s="79"/>
      <c r="I4" s="50"/>
      <c r="J4" s="81"/>
      <c r="K4" s="81"/>
      <c r="L4" s="82"/>
      <c r="M4" s="27"/>
      <c r="N4" s="27"/>
      <c r="O4" s="26"/>
      <c r="P4" s="26"/>
      <c r="Q4" s="28"/>
    </row>
    <row r="5" spans="1:17" s="20" customFormat="1" ht="13.5" thickBot="1" x14ac:dyDescent="0.25">
      <c r="A5" s="4" t="s">
        <v>28</v>
      </c>
      <c r="B5" s="3"/>
      <c r="C5" s="3"/>
      <c r="D5" s="3"/>
      <c r="E5" s="3"/>
      <c r="F5" s="3"/>
      <c r="G5" s="3"/>
      <c r="H5" s="3"/>
      <c r="I5" s="3"/>
      <c r="J5" s="3"/>
      <c r="K5" s="2"/>
      <c r="L5" s="1"/>
      <c r="M5" s="27"/>
      <c r="N5" s="27"/>
      <c r="O5" s="26"/>
      <c r="P5" s="26"/>
      <c r="Q5" s="28"/>
    </row>
    <row r="6" spans="1:17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5"/>
    </row>
    <row r="7" spans="1:17" s="20" customFormat="1" ht="33.75" customHeight="1" x14ac:dyDescent="0.2">
      <c r="A7" s="106" t="s">
        <v>160</v>
      </c>
      <c r="B7" s="107" t="s">
        <v>69</v>
      </c>
      <c r="C7" s="107" t="s">
        <v>79</v>
      </c>
      <c r="D7" s="107" t="s">
        <v>74</v>
      </c>
      <c r="E7" s="107" t="s">
        <v>19</v>
      </c>
      <c r="F7" s="107" t="s">
        <v>6</v>
      </c>
      <c r="G7" s="108" t="s">
        <v>67</v>
      </c>
      <c r="H7" s="108" t="s">
        <v>68</v>
      </c>
      <c r="I7" s="108" t="s">
        <v>7</v>
      </c>
      <c r="J7" s="108" t="s">
        <v>17</v>
      </c>
      <c r="K7" s="109" t="s">
        <v>75</v>
      </c>
      <c r="L7" s="110" t="s">
        <v>8</v>
      </c>
    </row>
    <row r="8" spans="1:17" s="20" customFormat="1" x14ac:dyDescent="0.2">
      <c r="A8" s="40"/>
      <c r="B8" s="16"/>
      <c r="C8" s="16"/>
      <c r="D8" s="16"/>
      <c r="E8" s="16"/>
      <c r="F8" s="43"/>
      <c r="G8" s="15" t="s">
        <v>136</v>
      </c>
      <c r="H8" s="15"/>
      <c r="I8" s="15" t="s">
        <v>138</v>
      </c>
      <c r="J8" s="15" t="s">
        <v>9</v>
      </c>
      <c r="K8" s="44" t="s">
        <v>9</v>
      </c>
      <c r="L8" s="19" t="s">
        <v>9</v>
      </c>
    </row>
    <row r="9" spans="1:17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77">
        <v>10</v>
      </c>
      <c r="L9" s="61">
        <v>11</v>
      </c>
    </row>
    <row r="10" spans="1:17" s="137" customFormat="1" ht="12.75" customHeight="1" thickBot="1" x14ac:dyDescent="0.25">
      <c r="A10" s="120" t="s">
        <v>59</v>
      </c>
      <c r="B10" s="86"/>
      <c r="C10" s="86"/>
      <c r="D10" s="86"/>
      <c r="E10" s="86"/>
      <c r="F10" s="121"/>
      <c r="G10" s="122"/>
      <c r="H10" s="121"/>
      <c r="I10" s="125">
        <v>18.0789103</v>
      </c>
      <c r="J10" s="86"/>
      <c r="K10" s="86">
        <v>1</v>
      </c>
      <c r="L10" s="78">
        <v>2.1901293941717367E-5</v>
      </c>
    </row>
    <row r="11" spans="1:17" s="137" customFormat="1" x14ac:dyDescent="0.2">
      <c r="A11" s="111" t="s">
        <v>140</v>
      </c>
      <c r="B11" s="140" t="s">
        <v>180</v>
      </c>
      <c r="C11" s="140" t="s">
        <v>180</v>
      </c>
      <c r="D11" s="140" t="s">
        <v>180</v>
      </c>
      <c r="E11" s="140" t="s">
        <v>180</v>
      </c>
      <c r="F11" s="141" t="s">
        <v>180</v>
      </c>
      <c r="G11" s="153" t="s">
        <v>180</v>
      </c>
      <c r="H11" s="141" t="s">
        <v>180</v>
      </c>
      <c r="I11" s="154">
        <v>18.078910100000002</v>
      </c>
      <c r="J11" s="140" t="s">
        <v>180</v>
      </c>
      <c r="K11" s="140">
        <v>0.9999999889373864</v>
      </c>
      <c r="L11" s="140">
        <v>2.1901293699431816E-5</v>
      </c>
    </row>
    <row r="12" spans="1:17" x14ac:dyDescent="0.2">
      <c r="A12" s="30" t="s">
        <v>1637</v>
      </c>
      <c r="B12" s="38" t="s">
        <v>1638</v>
      </c>
      <c r="C12" s="38" t="s">
        <v>180</v>
      </c>
      <c r="D12" s="38" t="s">
        <v>1626</v>
      </c>
      <c r="E12" s="38" t="s">
        <v>629</v>
      </c>
      <c r="F12" s="80" t="s">
        <v>127</v>
      </c>
      <c r="G12" s="88">
        <v>321.98</v>
      </c>
      <c r="H12" s="85">
        <v>1620</v>
      </c>
      <c r="I12" s="105">
        <v>18.07891</v>
      </c>
      <c r="J12" s="46">
        <v>3.2745102021037701E-5</v>
      </c>
      <c r="K12" s="46">
        <v>0.99999998340607954</v>
      </c>
      <c r="L12" s="46">
        <v>2.1901293578289038E-5</v>
      </c>
      <c r="M12" s="28"/>
      <c r="N12" s="28"/>
      <c r="O12" s="28"/>
      <c r="P12" s="28"/>
    </row>
    <row r="13" spans="1:17" s="137" customFormat="1" x14ac:dyDescent="0.2">
      <c r="A13" s="112" t="s">
        <v>357</v>
      </c>
      <c r="B13" s="144" t="s">
        <v>180</v>
      </c>
      <c r="C13" s="144" t="s">
        <v>180</v>
      </c>
      <c r="D13" s="144" t="s">
        <v>180</v>
      </c>
      <c r="E13" s="144" t="s">
        <v>180</v>
      </c>
      <c r="F13" s="145" t="s">
        <v>180</v>
      </c>
      <c r="G13" s="155" t="s">
        <v>180</v>
      </c>
      <c r="H13" s="141" t="s">
        <v>180</v>
      </c>
      <c r="I13" s="142">
        <v>0</v>
      </c>
      <c r="J13" s="140" t="s">
        <v>180</v>
      </c>
      <c r="K13" s="140">
        <v>0</v>
      </c>
      <c r="L13" s="140">
        <v>0</v>
      </c>
    </row>
    <row r="14" spans="1:17" s="137" customFormat="1" x14ac:dyDescent="0.2">
      <c r="A14" s="112" t="s">
        <v>146</v>
      </c>
      <c r="B14" s="144" t="s">
        <v>180</v>
      </c>
      <c r="C14" s="144" t="s">
        <v>180</v>
      </c>
      <c r="D14" s="144" t="s">
        <v>180</v>
      </c>
      <c r="E14" s="144" t="s">
        <v>180</v>
      </c>
      <c r="F14" s="145" t="s">
        <v>180</v>
      </c>
      <c r="G14" s="155" t="s">
        <v>180</v>
      </c>
      <c r="H14" s="141" t="s">
        <v>180</v>
      </c>
      <c r="I14" s="142">
        <v>0</v>
      </c>
      <c r="J14" s="140" t="s">
        <v>180</v>
      </c>
      <c r="K14" s="140">
        <v>0</v>
      </c>
      <c r="L14" s="140">
        <v>0</v>
      </c>
    </row>
    <row r="15" spans="1:17" s="137" customFormat="1" x14ac:dyDescent="0.2">
      <c r="A15" s="231" t="s">
        <v>147</v>
      </c>
      <c r="B15" s="232" t="s">
        <v>180</v>
      </c>
      <c r="C15" s="232" t="s">
        <v>180</v>
      </c>
      <c r="D15" s="232" t="s">
        <v>180</v>
      </c>
      <c r="E15" s="232" t="s">
        <v>180</v>
      </c>
      <c r="F15" s="239" t="s">
        <v>180</v>
      </c>
      <c r="G15" s="240" t="s">
        <v>180</v>
      </c>
      <c r="H15" s="241" t="s">
        <v>180</v>
      </c>
      <c r="I15" s="244">
        <v>0</v>
      </c>
      <c r="J15" s="238" t="s">
        <v>180</v>
      </c>
      <c r="K15" s="238">
        <v>0</v>
      </c>
      <c r="L15" s="238">
        <v>0</v>
      </c>
    </row>
    <row r="16" spans="1:17" s="137" customFormat="1" x14ac:dyDescent="0.2">
      <c r="A16" s="97" t="s">
        <v>171</v>
      </c>
      <c r="B16" s="147"/>
      <c r="C16" s="147"/>
      <c r="D16" s="147"/>
      <c r="E16" s="97"/>
      <c r="F16" s="148"/>
      <c r="G16" s="148"/>
      <c r="H16" s="148"/>
      <c r="I16" s="149"/>
      <c r="J16" s="150"/>
      <c r="K16" s="150"/>
      <c r="L16" s="151"/>
      <c r="M16" s="168"/>
      <c r="N16" s="168"/>
      <c r="O16" s="152"/>
      <c r="P16" s="152"/>
    </row>
    <row r="17" spans="1:16" s="137" customFormat="1" x14ac:dyDescent="0.2">
      <c r="A17" s="97" t="s">
        <v>172</v>
      </c>
      <c r="B17" s="147"/>
      <c r="C17" s="147"/>
      <c r="D17" s="147"/>
      <c r="E17" s="97"/>
      <c r="F17" s="148"/>
      <c r="G17" s="148"/>
      <c r="H17" s="148"/>
      <c r="I17" s="149"/>
      <c r="J17" s="150"/>
      <c r="K17" s="150"/>
      <c r="L17" s="151"/>
      <c r="M17" s="168"/>
      <c r="N17" s="168"/>
      <c r="O17" s="152"/>
      <c r="P17" s="152"/>
    </row>
    <row r="18" spans="1:16" s="137" customFormat="1" x14ac:dyDescent="0.2">
      <c r="A18" s="97" t="s">
        <v>173</v>
      </c>
      <c r="B18" s="147"/>
      <c r="C18" s="147"/>
      <c r="D18" s="147"/>
      <c r="E18" s="97"/>
      <c r="F18" s="148"/>
      <c r="G18" s="148"/>
      <c r="H18" s="148"/>
      <c r="I18" s="149"/>
      <c r="J18" s="150"/>
      <c r="K18" s="150"/>
      <c r="L18" s="151"/>
      <c r="M18" s="168"/>
      <c r="N18" s="168"/>
      <c r="O18" s="152"/>
      <c r="P18" s="152"/>
    </row>
    <row r="19" spans="1:16" s="137" customFormat="1" x14ac:dyDescent="0.2">
      <c r="A19" s="97" t="s">
        <v>174</v>
      </c>
      <c r="B19" s="147"/>
      <c r="C19" s="147"/>
      <c r="D19" s="147"/>
      <c r="E19" s="97"/>
      <c r="F19" s="148"/>
      <c r="G19" s="148"/>
      <c r="H19" s="148"/>
      <c r="I19" s="149"/>
      <c r="J19" s="150"/>
      <c r="K19" s="150"/>
      <c r="L19" s="151"/>
      <c r="M19" s="168"/>
      <c r="N19" s="168"/>
      <c r="O19" s="152"/>
      <c r="P19" s="152"/>
    </row>
    <row r="20" spans="1:16" s="137" customFormat="1" x14ac:dyDescent="0.2">
      <c r="A20" s="97" t="s">
        <v>175</v>
      </c>
      <c r="B20" s="147"/>
      <c r="C20" s="147"/>
      <c r="D20" s="147"/>
      <c r="E20" s="97"/>
      <c r="F20" s="148"/>
      <c r="G20" s="148"/>
      <c r="H20" s="148"/>
      <c r="I20" s="149"/>
      <c r="J20" s="150"/>
      <c r="K20" s="150"/>
      <c r="L20" s="151"/>
      <c r="M20" s="168"/>
      <c r="N20" s="168"/>
      <c r="O20" s="152"/>
      <c r="P20" s="152"/>
    </row>
  </sheetData>
  <mergeCells count="2">
    <mergeCell ref="A6:L6"/>
    <mergeCell ref="A5:L5"/>
  </mergeCells>
  <conditionalFormatting sqref="J1:K4 G10:H15 J10:J55550">
    <cfRule type="expression" dxfId="77" priority="312" stopIfTrue="1">
      <formula>LEFT(#REF!,3)="TIR"</formula>
    </cfRule>
  </conditionalFormatting>
  <conditionalFormatting sqref="B10:F15 K10:K15 L11:L15">
    <cfRule type="expression" dxfId="76" priority="315" stopIfTrue="1">
      <formula>OR(LEFT(#REF!,3)="TIR",LEFT(#REF!,2)="IR")</formula>
    </cfRule>
  </conditionalFormatting>
  <conditionalFormatting sqref="A10:A15 I10:I15">
    <cfRule type="expression" dxfId="75" priority="318" stopIfTrue="1">
      <formula>#REF!&gt;0</formula>
    </cfRule>
    <cfRule type="expression" dxfId="74" priority="319" stopIfTrue="1">
      <formula>LEFT(#REF!,3)="TIR"</formula>
    </cfRule>
  </conditionalFormatting>
  <conditionalFormatting sqref="C10:D15">
    <cfRule type="expression" dxfId="73" priority="32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524AE-8D6D-41D8-B52B-A49B41D252C3}">
  <sheetPr codeName="גיליון17">
    <pageSetUpPr fitToPage="1"/>
  </sheetPr>
  <dimension ref="A1:Q30"/>
  <sheetViews>
    <sheetView rightToLeft="1" zoomScale="80" zoomScaleNormal="80" workbookViewId="0">
      <selection activeCell="A7" sqref="A7:J25"/>
    </sheetView>
  </sheetViews>
  <sheetFormatPr defaultRowHeight="12.75" x14ac:dyDescent="0.2"/>
  <cols>
    <col min="1" max="1" width="33" style="23" bestFit="1" customWidth="1"/>
    <col min="2" max="2" width="13.5703125" style="22" bestFit="1" customWidth="1"/>
    <col min="3" max="3" width="12" style="79" bestFit="1" customWidth="1"/>
    <col min="4" max="4" width="14.140625" style="79" customWidth="1"/>
    <col min="5" max="5" width="10.85546875" style="79" bestFit="1" customWidth="1"/>
    <col min="6" max="6" width="7" style="50" customWidth="1"/>
    <col min="7" max="7" width="10.42578125" style="81" customWidth="1"/>
    <col min="8" max="8" width="22" style="83" customWidth="1"/>
    <col min="9" max="9" width="25.42578125" style="83" customWidth="1"/>
    <col min="10" max="10" width="20.7109375" style="83" customWidth="1"/>
    <col min="11" max="11" width="7.28515625" style="33" customWidth="1"/>
    <col min="12" max="13" width="10.5703125" style="26" customWidth="1"/>
    <col min="14" max="14" width="11.42578125" style="28" customWidth="1"/>
    <col min="15" max="15" width="15.42578125" style="28" customWidth="1"/>
    <col min="16" max="16384" width="9.140625" style="28"/>
  </cols>
  <sheetData>
    <row r="1" spans="1:17" s="20" customFormat="1" x14ac:dyDescent="0.2">
      <c r="A1" s="20" t="s">
        <v>166</v>
      </c>
      <c r="B1" s="22" t="s">
        <v>176</v>
      </c>
      <c r="C1" s="79"/>
      <c r="D1" s="79"/>
      <c r="E1" s="79"/>
      <c r="F1" s="50"/>
      <c r="G1" s="81"/>
      <c r="H1" s="82"/>
      <c r="I1" s="82"/>
      <c r="J1" s="82"/>
      <c r="K1" s="27"/>
      <c r="L1" s="26"/>
      <c r="M1" s="26"/>
      <c r="N1" s="28"/>
    </row>
    <row r="2" spans="1:17" s="20" customFormat="1" x14ac:dyDescent="0.2">
      <c r="A2" s="23" t="s">
        <v>167</v>
      </c>
      <c r="B2" s="22" t="s">
        <v>153</v>
      </c>
      <c r="C2" s="79"/>
      <c r="D2" s="79"/>
      <c r="E2" s="79"/>
      <c r="F2" s="50"/>
      <c r="G2" s="81"/>
      <c r="H2" s="82"/>
      <c r="I2" s="82"/>
      <c r="J2" s="82"/>
      <c r="K2" s="27"/>
      <c r="L2" s="26"/>
      <c r="M2" s="26"/>
      <c r="N2" s="28"/>
    </row>
    <row r="3" spans="1:17" s="20" customFormat="1" x14ac:dyDescent="0.2">
      <c r="A3" s="23" t="s">
        <v>168</v>
      </c>
      <c r="B3" s="22" t="s">
        <v>169</v>
      </c>
      <c r="C3" s="79"/>
      <c r="D3" s="79"/>
      <c r="E3" s="79"/>
      <c r="F3" s="50"/>
      <c r="G3" s="81"/>
      <c r="H3" s="82"/>
      <c r="I3" s="82"/>
      <c r="J3" s="82"/>
      <c r="K3" s="27"/>
      <c r="L3" s="26"/>
      <c r="M3" s="26"/>
      <c r="N3" s="28"/>
    </row>
    <row r="4" spans="1:17" s="20" customFormat="1" ht="13.5" thickBot="1" x14ac:dyDescent="0.25">
      <c r="A4" s="23" t="s">
        <v>170</v>
      </c>
      <c r="B4" s="22" t="s">
        <v>178</v>
      </c>
      <c r="C4" s="79"/>
      <c r="D4" s="79"/>
      <c r="E4" s="79"/>
      <c r="F4" s="50"/>
      <c r="G4" s="81"/>
      <c r="H4" s="82"/>
      <c r="I4" s="82"/>
      <c r="J4" s="82"/>
      <c r="K4" s="27"/>
      <c r="L4" s="26"/>
      <c r="M4" s="26"/>
      <c r="N4" s="28"/>
    </row>
    <row r="5" spans="1:17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6"/>
      <c r="M5" s="26"/>
      <c r="N5" s="26"/>
      <c r="O5" s="26"/>
      <c r="P5" s="26"/>
      <c r="Q5" s="26"/>
    </row>
    <row r="6" spans="1:17" s="20" customFormat="1" x14ac:dyDescent="0.2">
      <c r="A6" s="7" t="s">
        <v>30</v>
      </c>
      <c r="B6" s="6"/>
      <c r="C6" s="6"/>
      <c r="D6" s="6"/>
      <c r="E6" s="6"/>
      <c r="F6" s="6"/>
      <c r="G6" s="6"/>
      <c r="H6" s="6"/>
      <c r="I6" s="6"/>
      <c r="J6" s="5"/>
      <c r="K6" s="27"/>
      <c r="L6" s="26"/>
      <c r="M6" s="26"/>
      <c r="N6" s="26"/>
      <c r="O6" s="26"/>
      <c r="P6" s="26"/>
      <c r="Q6" s="26"/>
    </row>
    <row r="7" spans="1:17" s="20" customFormat="1" x14ac:dyDescent="0.2">
      <c r="A7" s="106" t="s">
        <v>160</v>
      </c>
      <c r="B7" s="107" t="s">
        <v>69</v>
      </c>
      <c r="C7" s="107" t="s">
        <v>6</v>
      </c>
      <c r="D7" s="107" t="s">
        <v>13</v>
      </c>
      <c r="E7" s="108" t="s">
        <v>67</v>
      </c>
      <c r="F7" s="108" t="s">
        <v>68</v>
      </c>
      <c r="G7" s="108" t="s">
        <v>29</v>
      </c>
      <c r="H7" s="109" t="s">
        <v>17</v>
      </c>
      <c r="I7" s="109" t="s">
        <v>75</v>
      </c>
      <c r="J7" s="110" t="s">
        <v>8</v>
      </c>
      <c r="K7" s="27"/>
    </row>
    <row r="8" spans="1:17" s="20" customFormat="1" x14ac:dyDescent="0.2">
      <c r="A8" s="40"/>
      <c r="B8" s="16"/>
      <c r="C8" s="43"/>
      <c r="D8" s="42" t="s">
        <v>15</v>
      </c>
      <c r="E8" s="15" t="s">
        <v>136</v>
      </c>
      <c r="F8" s="15"/>
      <c r="G8" s="15" t="s">
        <v>138</v>
      </c>
      <c r="H8" s="44" t="s">
        <v>9</v>
      </c>
      <c r="I8" s="44" t="s">
        <v>9</v>
      </c>
      <c r="J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7" s="137" customFormat="1" ht="12.75" customHeight="1" thickBot="1" x14ac:dyDescent="0.25">
      <c r="A10" s="120" t="s">
        <v>60</v>
      </c>
      <c r="B10" s="86" t="s">
        <v>180</v>
      </c>
      <c r="C10" s="121" t="s">
        <v>180</v>
      </c>
      <c r="D10" s="121" t="s">
        <v>180</v>
      </c>
      <c r="E10" s="122" t="s">
        <v>180</v>
      </c>
      <c r="F10" s="121" t="s">
        <v>180</v>
      </c>
      <c r="G10" s="125">
        <v>3649.4992508</v>
      </c>
      <c r="H10" s="86" t="s">
        <v>180</v>
      </c>
      <c r="I10" s="86">
        <v>1</v>
      </c>
      <c r="J10" s="101">
        <v>4.421104729517249E-3</v>
      </c>
    </row>
    <row r="11" spans="1:17" s="137" customFormat="1" x14ac:dyDescent="0.2">
      <c r="A11" s="111" t="s">
        <v>1639</v>
      </c>
      <c r="B11" s="140" t="s">
        <v>180</v>
      </c>
      <c r="C11" s="141" t="s">
        <v>180</v>
      </c>
      <c r="D11" s="141" t="s">
        <v>180</v>
      </c>
      <c r="E11" s="153" t="s">
        <v>180</v>
      </c>
      <c r="F11" s="141" t="s">
        <v>180</v>
      </c>
      <c r="G11" s="154">
        <v>0</v>
      </c>
      <c r="H11" s="140" t="s">
        <v>180</v>
      </c>
      <c r="I11" s="140">
        <v>0</v>
      </c>
      <c r="J11" s="140">
        <v>0</v>
      </c>
    </row>
    <row r="12" spans="1:17" s="137" customFormat="1" x14ac:dyDescent="0.2">
      <c r="A12" s="112" t="s">
        <v>1640</v>
      </c>
      <c r="B12" s="144" t="s">
        <v>180</v>
      </c>
      <c r="C12" s="145" t="s">
        <v>180</v>
      </c>
      <c r="D12" s="145" t="s">
        <v>180</v>
      </c>
      <c r="E12" s="155" t="s">
        <v>180</v>
      </c>
      <c r="F12" s="145" t="s">
        <v>180</v>
      </c>
      <c r="G12" s="146">
        <v>0</v>
      </c>
      <c r="H12" s="144" t="s">
        <v>180</v>
      </c>
      <c r="I12" s="144">
        <v>0</v>
      </c>
      <c r="J12" s="144">
        <v>0</v>
      </c>
    </row>
    <row r="13" spans="1:17" s="137" customFormat="1" x14ac:dyDescent="0.2">
      <c r="A13" s="112" t="s">
        <v>1641</v>
      </c>
      <c r="B13" s="144" t="s">
        <v>180</v>
      </c>
      <c r="C13" s="145" t="s">
        <v>180</v>
      </c>
      <c r="D13" s="145" t="s">
        <v>180</v>
      </c>
      <c r="E13" s="155" t="s">
        <v>180</v>
      </c>
      <c r="F13" s="145" t="s">
        <v>180</v>
      </c>
      <c r="G13" s="146">
        <v>0</v>
      </c>
      <c r="H13" s="144" t="s">
        <v>180</v>
      </c>
      <c r="I13" s="144">
        <v>0</v>
      </c>
      <c r="J13" s="144">
        <v>0</v>
      </c>
    </row>
    <row r="14" spans="1:17" s="137" customFormat="1" x14ac:dyDescent="0.2">
      <c r="A14" s="112" t="s">
        <v>1642</v>
      </c>
      <c r="B14" s="144" t="s">
        <v>180</v>
      </c>
      <c r="C14" s="145" t="s">
        <v>180</v>
      </c>
      <c r="D14" s="145" t="s">
        <v>180</v>
      </c>
      <c r="E14" s="155" t="s">
        <v>180</v>
      </c>
      <c r="F14" s="145" t="s">
        <v>180</v>
      </c>
      <c r="G14" s="146">
        <v>0</v>
      </c>
      <c r="H14" s="144" t="s">
        <v>180</v>
      </c>
      <c r="I14" s="144">
        <v>0</v>
      </c>
      <c r="J14" s="144">
        <v>0</v>
      </c>
    </row>
    <row r="15" spans="1:17" s="137" customFormat="1" x14ac:dyDescent="0.2">
      <c r="A15" s="112" t="s">
        <v>1643</v>
      </c>
      <c r="B15" s="144" t="s">
        <v>180</v>
      </c>
      <c r="C15" s="145" t="s">
        <v>180</v>
      </c>
      <c r="D15" s="145" t="s">
        <v>180</v>
      </c>
      <c r="E15" s="155" t="s">
        <v>180</v>
      </c>
      <c r="F15" s="145" t="s">
        <v>180</v>
      </c>
      <c r="G15" s="146">
        <v>0</v>
      </c>
      <c r="H15" s="144" t="s">
        <v>180</v>
      </c>
      <c r="I15" s="144">
        <v>0</v>
      </c>
      <c r="J15" s="144">
        <v>0</v>
      </c>
    </row>
    <row r="16" spans="1:17" s="137" customFormat="1" x14ac:dyDescent="0.2">
      <c r="A16" s="112" t="s">
        <v>1644</v>
      </c>
      <c r="B16" s="144" t="s">
        <v>180</v>
      </c>
      <c r="C16" s="145" t="s">
        <v>180</v>
      </c>
      <c r="D16" s="145" t="s">
        <v>180</v>
      </c>
      <c r="E16" s="155" t="s">
        <v>180</v>
      </c>
      <c r="F16" s="145" t="s">
        <v>180</v>
      </c>
      <c r="G16" s="146">
        <v>3649.4992504000002</v>
      </c>
      <c r="H16" s="144" t="s">
        <v>180</v>
      </c>
      <c r="I16" s="144">
        <v>0.99999999989039601</v>
      </c>
      <c r="J16" s="144">
        <v>4.4211047290326783E-3</v>
      </c>
    </row>
    <row r="17" spans="1:13" s="137" customFormat="1" x14ac:dyDescent="0.2">
      <c r="A17" s="112" t="s">
        <v>1640</v>
      </c>
      <c r="B17" s="144" t="s">
        <v>180</v>
      </c>
      <c r="C17" s="145" t="s">
        <v>180</v>
      </c>
      <c r="D17" s="145" t="s">
        <v>180</v>
      </c>
      <c r="E17" s="155" t="s">
        <v>180</v>
      </c>
      <c r="F17" s="145" t="s">
        <v>180</v>
      </c>
      <c r="G17" s="146">
        <v>0</v>
      </c>
      <c r="H17" s="144" t="s">
        <v>180</v>
      </c>
      <c r="I17" s="144">
        <v>0</v>
      </c>
      <c r="J17" s="144">
        <v>0</v>
      </c>
    </row>
    <row r="18" spans="1:13" s="137" customFormat="1" x14ac:dyDescent="0.2">
      <c r="A18" s="112" t="s">
        <v>1641</v>
      </c>
      <c r="B18" s="144" t="s">
        <v>180</v>
      </c>
      <c r="C18" s="145" t="s">
        <v>180</v>
      </c>
      <c r="D18" s="145" t="s">
        <v>180</v>
      </c>
      <c r="E18" s="155" t="s">
        <v>180</v>
      </c>
      <c r="F18" s="145" t="s">
        <v>180</v>
      </c>
      <c r="G18" s="146">
        <v>0</v>
      </c>
      <c r="H18" s="144" t="s">
        <v>180</v>
      </c>
      <c r="I18" s="144">
        <v>0</v>
      </c>
      <c r="J18" s="144">
        <v>0</v>
      </c>
    </row>
    <row r="19" spans="1:13" s="137" customFormat="1" x14ac:dyDescent="0.2">
      <c r="A19" s="112" t="s">
        <v>1642</v>
      </c>
      <c r="B19" s="144" t="s">
        <v>180</v>
      </c>
      <c r="C19" s="145" t="s">
        <v>180</v>
      </c>
      <c r="D19" s="145" t="s">
        <v>180</v>
      </c>
      <c r="E19" s="155" t="s">
        <v>180</v>
      </c>
      <c r="F19" s="145" t="s">
        <v>180</v>
      </c>
      <c r="G19" s="146">
        <v>370.52708010000003</v>
      </c>
      <c r="H19" s="144" t="s">
        <v>180</v>
      </c>
      <c r="I19" s="144">
        <v>0.10152819733249088</v>
      </c>
      <c r="J19" s="144">
        <v>4.4886679340603599E-4</v>
      </c>
    </row>
    <row r="20" spans="1:13" x14ac:dyDescent="0.2">
      <c r="A20" s="30" t="s">
        <v>1645</v>
      </c>
      <c r="B20" s="38" t="s">
        <v>1646</v>
      </c>
      <c r="C20" s="80" t="s">
        <v>127</v>
      </c>
      <c r="D20" s="80" t="s">
        <v>1647</v>
      </c>
      <c r="E20" s="88">
        <v>114187.75</v>
      </c>
      <c r="F20" s="80">
        <v>0.93620000000000003</v>
      </c>
      <c r="G20" s="104">
        <v>370.52708000000001</v>
      </c>
      <c r="H20" s="38" t="s">
        <v>180</v>
      </c>
      <c r="I20" s="38">
        <v>0.10152819730508986</v>
      </c>
      <c r="J20" s="38">
        <v>4.488667932848932E-4</v>
      </c>
      <c r="K20" s="28"/>
      <c r="L20" s="28"/>
      <c r="M20" s="28"/>
    </row>
    <row r="21" spans="1:13" s="137" customFormat="1" x14ac:dyDescent="0.2">
      <c r="A21" s="112" t="s">
        <v>1643</v>
      </c>
      <c r="B21" s="144" t="s">
        <v>180</v>
      </c>
      <c r="C21" s="145" t="s">
        <v>180</v>
      </c>
      <c r="D21" s="145" t="s">
        <v>180</v>
      </c>
      <c r="E21" s="155" t="s">
        <v>180</v>
      </c>
      <c r="F21" s="145" t="s">
        <v>180</v>
      </c>
      <c r="G21" s="146">
        <v>3278.9721701000003</v>
      </c>
      <c r="H21" s="144" t="s">
        <v>180</v>
      </c>
      <c r="I21" s="144">
        <v>0.8984718025031031</v>
      </c>
      <c r="J21" s="144">
        <v>3.9722379353843568E-3</v>
      </c>
    </row>
    <row r="22" spans="1:13" x14ac:dyDescent="0.2">
      <c r="A22" s="30" t="s">
        <v>1648</v>
      </c>
      <c r="B22" s="38" t="s">
        <v>1649</v>
      </c>
      <c r="C22" s="80" t="s">
        <v>127</v>
      </c>
      <c r="D22" s="80" t="s">
        <v>1650</v>
      </c>
      <c r="E22" s="88">
        <v>195922.55</v>
      </c>
      <c r="F22" s="80">
        <v>1.1731</v>
      </c>
      <c r="G22" s="104">
        <v>796.62568999999996</v>
      </c>
      <c r="H22" s="38" t="s">
        <v>180</v>
      </c>
      <c r="I22" s="38">
        <v>0.21828356036115723</v>
      </c>
      <c r="J22" s="38">
        <v>9.6505448108857622E-4</v>
      </c>
      <c r="K22" s="28"/>
      <c r="L22" s="28"/>
      <c r="M22" s="28"/>
    </row>
    <row r="23" spans="1:13" x14ac:dyDescent="0.2">
      <c r="A23" s="30" t="s">
        <v>1651</v>
      </c>
      <c r="B23" s="38" t="s">
        <v>1652</v>
      </c>
      <c r="C23" s="80" t="s">
        <v>127</v>
      </c>
      <c r="D23" s="80" t="s">
        <v>1653</v>
      </c>
      <c r="E23" s="88">
        <v>362708.11</v>
      </c>
      <c r="F23" s="80">
        <v>0.9788</v>
      </c>
      <c r="G23" s="104">
        <v>1230.6117199999999</v>
      </c>
      <c r="H23" s="38" t="s">
        <v>180</v>
      </c>
      <c r="I23" s="38">
        <v>0.3372001569065235</v>
      </c>
      <c r="J23" s="38">
        <v>1.4907972084933895E-3</v>
      </c>
      <c r="K23" s="28"/>
      <c r="L23" s="28"/>
      <c r="M23" s="28"/>
    </row>
    <row r="24" spans="1:13" x14ac:dyDescent="0.2">
      <c r="A24" s="30" t="s">
        <v>1654</v>
      </c>
      <c r="B24" s="38" t="s">
        <v>1655</v>
      </c>
      <c r="C24" s="80" t="s">
        <v>127</v>
      </c>
      <c r="D24" s="80" t="s">
        <v>1656</v>
      </c>
      <c r="E24" s="88">
        <v>241628.5</v>
      </c>
      <c r="F24" s="80">
        <v>0.89119999999999999</v>
      </c>
      <c r="G24" s="104">
        <v>746.43391000000008</v>
      </c>
      <c r="H24" s="38" t="s">
        <v>180</v>
      </c>
      <c r="I24" s="38">
        <v>0.2045305009547202</v>
      </c>
      <c r="J24" s="38">
        <v>9.0425076510144574E-4</v>
      </c>
      <c r="K24" s="28"/>
      <c r="L24" s="28"/>
      <c r="M24" s="28"/>
    </row>
    <row r="25" spans="1:13" x14ac:dyDescent="0.2">
      <c r="A25" s="229" t="s">
        <v>1657</v>
      </c>
      <c r="B25" s="223" t="s">
        <v>1658</v>
      </c>
      <c r="C25" s="225" t="s">
        <v>127</v>
      </c>
      <c r="D25" s="225" t="s">
        <v>1659</v>
      </c>
      <c r="E25" s="230">
        <v>143303.87</v>
      </c>
      <c r="F25" s="225">
        <v>1.0173000000000001</v>
      </c>
      <c r="G25" s="226">
        <v>505.30084999999997</v>
      </c>
      <c r="H25" s="223" t="s">
        <v>180</v>
      </c>
      <c r="I25" s="223">
        <v>0.13845758425330101</v>
      </c>
      <c r="J25" s="223">
        <v>6.1213548057980217E-4</v>
      </c>
      <c r="K25" s="28"/>
      <c r="L25" s="28"/>
      <c r="M25" s="28"/>
    </row>
    <row r="26" spans="1:13" s="137" customFormat="1" x14ac:dyDescent="0.2">
      <c r="A26" s="97" t="s">
        <v>171</v>
      </c>
      <c r="B26" s="147"/>
      <c r="C26" s="148"/>
      <c r="D26" s="148"/>
      <c r="E26" s="148"/>
      <c r="F26" s="149"/>
      <c r="G26" s="150"/>
      <c r="H26" s="151"/>
      <c r="I26" s="151"/>
      <c r="J26" s="151"/>
      <c r="K26" s="168"/>
      <c r="L26" s="152"/>
      <c r="M26" s="152"/>
    </row>
    <row r="27" spans="1:13" s="137" customFormat="1" x14ac:dyDescent="0.2">
      <c r="A27" s="97" t="s">
        <v>172</v>
      </c>
      <c r="B27" s="147"/>
      <c r="C27" s="148"/>
      <c r="D27" s="148"/>
      <c r="E27" s="148"/>
      <c r="F27" s="149"/>
      <c r="G27" s="150"/>
      <c r="H27" s="151"/>
      <c r="I27" s="151"/>
      <c r="J27" s="151"/>
      <c r="K27" s="168"/>
      <c r="L27" s="152"/>
      <c r="M27" s="152"/>
    </row>
    <row r="28" spans="1:13" s="137" customFormat="1" x14ac:dyDescent="0.2">
      <c r="A28" s="97" t="s">
        <v>173</v>
      </c>
      <c r="B28" s="147"/>
      <c r="C28" s="148"/>
      <c r="D28" s="148"/>
      <c r="E28" s="148"/>
      <c r="F28" s="149"/>
      <c r="G28" s="150"/>
      <c r="H28" s="151"/>
      <c r="I28" s="151"/>
      <c r="J28" s="151"/>
      <c r="K28" s="168"/>
      <c r="L28" s="152"/>
      <c r="M28" s="152"/>
    </row>
    <row r="29" spans="1:13" s="137" customFormat="1" x14ac:dyDescent="0.2">
      <c r="A29" s="97" t="s">
        <v>174</v>
      </c>
      <c r="B29" s="147"/>
      <c r="C29" s="148"/>
      <c r="D29" s="148"/>
      <c r="E29" s="148"/>
      <c r="F29" s="149"/>
      <c r="G29" s="150"/>
      <c r="H29" s="151"/>
      <c r="I29" s="151"/>
      <c r="J29" s="151"/>
      <c r="K29" s="168"/>
      <c r="L29" s="152"/>
      <c r="M29" s="152"/>
    </row>
    <row r="30" spans="1:13" s="137" customFormat="1" x14ac:dyDescent="0.2">
      <c r="A30" s="97" t="s">
        <v>175</v>
      </c>
      <c r="B30" s="147"/>
      <c r="C30" s="148"/>
      <c r="D30" s="148"/>
      <c r="E30" s="148"/>
      <c r="F30" s="149"/>
      <c r="G30" s="150"/>
      <c r="H30" s="151"/>
      <c r="I30" s="151"/>
      <c r="J30" s="151"/>
      <c r="K30" s="168"/>
      <c r="L30" s="152"/>
      <c r="M30" s="152"/>
    </row>
  </sheetData>
  <mergeCells count="2">
    <mergeCell ref="A6:J6"/>
    <mergeCell ref="A5:J5"/>
  </mergeCells>
  <conditionalFormatting sqref="B11:D25 I11:J25">
    <cfRule type="expression" dxfId="72" priority="326" stopIfTrue="1">
      <formula>OR(LEFT(#REF!,3)="TIR",LEFT(#REF!,2)="IR")</formula>
    </cfRule>
  </conditionalFormatting>
  <conditionalFormatting sqref="A11:A25 G11:G25">
    <cfRule type="expression" dxfId="71" priority="328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A4D4E-8D28-4019-A423-25D57C4A8538}">
  <sheetPr codeName="גיליון18">
    <pageSetUpPr fitToPage="1"/>
  </sheetPr>
  <dimension ref="A1:R17"/>
  <sheetViews>
    <sheetView rightToLeft="1" zoomScale="80" zoomScaleNormal="80" workbookViewId="0">
      <selection activeCell="A7" sqref="A7:K12"/>
    </sheetView>
  </sheetViews>
  <sheetFormatPr defaultRowHeight="12.75" x14ac:dyDescent="0.2"/>
  <cols>
    <col min="1" max="1" width="23.7109375" style="23" bestFit="1" customWidth="1"/>
    <col min="2" max="2" width="13.5703125" style="22" bestFit="1" customWidth="1"/>
    <col min="3" max="3" width="11.5703125" style="23" customWidth="1"/>
    <col min="4" max="4" width="11.28515625" style="24" customWidth="1"/>
    <col min="5" max="5" width="14.140625" style="24" customWidth="1"/>
    <col min="6" max="6" width="10.5703125" style="24" customWidth="1"/>
    <col min="7" max="7" width="7" style="25" customWidth="1"/>
    <col min="8" max="8" width="10.42578125" style="26" customWidth="1"/>
    <col min="9" max="9" width="22" style="33" customWidth="1"/>
    <col min="10" max="10" width="25.42578125" style="33" customWidth="1"/>
    <col min="11" max="11" width="20.7109375" style="33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166</v>
      </c>
      <c r="B1" s="22" t="s">
        <v>176</v>
      </c>
      <c r="C1" s="23"/>
      <c r="D1" s="24"/>
      <c r="E1" s="24"/>
      <c r="F1" s="24"/>
      <c r="G1" s="25"/>
      <c r="H1" s="26"/>
      <c r="I1" s="27"/>
      <c r="J1" s="27"/>
      <c r="K1" s="27"/>
      <c r="L1" s="27"/>
      <c r="M1" s="26"/>
      <c r="N1" s="26"/>
      <c r="O1" s="28"/>
    </row>
    <row r="2" spans="1:18" s="20" customFormat="1" x14ac:dyDescent="0.2">
      <c r="A2" s="23" t="s">
        <v>167</v>
      </c>
      <c r="B2" s="22" t="s">
        <v>153</v>
      </c>
      <c r="C2" s="23"/>
      <c r="D2" s="24"/>
      <c r="E2" s="24"/>
      <c r="F2" s="24"/>
      <c r="G2" s="25"/>
      <c r="H2" s="26"/>
      <c r="I2" s="27"/>
      <c r="J2" s="27"/>
      <c r="K2" s="27"/>
      <c r="L2" s="27"/>
      <c r="M2" s="26"/>
      <c r="N2" s="26"/>
      <c r="O2" s="28"/>
    </row>
    <row r="3" spans="1:18" s="20" customFormat="1" x14ac:dyDescent="0.2">
      <c r="A3" s="23" t="s">
        <v>168</v>
      </c>
      <c r="B3" s="22" t="s">
        <v>169</v>
      </c>
      <c r="C3" s="23"/>
      <c r="D3" s="24"/>
      <c r="E3" s="24"/>
      <c r="F3" s="24"/>
      <c r="G3" s="25"/>
      <c r="H3" s="26"/>
      <c r="I3" s="27"/>
      <c r="J3" s="27"/>
      <c r="K3" s="27"/>
      <c r="L3" s="27"/>
      <c r="M3" s="26"/>
      <c r="N3" s="26"/>
      <c r="O3" s="28"/>
    </row>
    <row r="4" spans="1:18" s="20" customFormat="1" ht="13.5" thickBot="1" x14ac:dyDescent="0.25">
      <c r="A4" s="23" t="s">
        <v>170</v>
      </c>
      <c r="B4" s="22" t="s">
        <v>178</v>
      </c>
      <c r="C4" s="23"/>
      <c r="D4" s="24"/>
      <c r="E4" s="24"/>
      <c r="F4" s="24"/>
      <c r="G4" s="25"/>
      <c r="H4" s="26"/>
      <c r="I4" s="27"/>
      <c r="J4" s="27"/>
      <c r="K4" s="27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31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x14ac:dyDescent="0.2">
      <c r="A7" s="106" t="s">
        <v>160</v>
      </c>
      <c r="B7" s="107" t="s">
        <v>69</v>
      </c>
      <c r="C7" s="107" t="s">
        <v>19</v>
      </c>
      <c r="D7" s="107" t="s">
        <v>6</v>
      </c>
      <c r="E7" s="107" t="s">
        <v>13</v>
      </c>
      <c r="F7" s="108" t="s">
        <v>67</v>
      </c>
      <c r="G7" s="108" t="s">
        <v>68</v>
      </c>
      <c r="H7" s="108" t="s">
        <v>29</v>
      </c>
      <c r="I7" s="109" t="s">
        <v>17</v>
      </c>
      <c r="J7" s="109" t="s">
        <v>75</v>
      </c>
      <c r="K7" s="110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136</v>
      </c>
      <c r="G8" s="15"/>
      <c r="H8" s="15" t="s">
        <v>138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16">
        <v>7</v>
      </c>
      <c r="I9" s="16">
        <v>8</v>
      </c>
      <c r="J9" s="16">
        <v>9</v>
      </c>
      <c r="K9" s="61">
        <v>10</v>
      </c>
    </row>
    <row r="10" spans="1:18" s="137" customFormat="1" ht="12.75" customHeight="1" thickBot="1" x14ac:dyDescent="0.25">
      <c r="A10" s="120" t="s">
        <v>55</v>
      </c>
      <c r="B10" s="86" t="s">
        <v>180</v>
      </c>
      <c r="C10" s="86" t="s">
        <v>180</v>
      </c>
      <c r="D10" s="157" t="s">
        <v>180</v>
      </c>
      <c r="E10" s="157" t="s">
        <v>180</v>
      </c>
      <c r="F10" s="159" t="s">
        <v>180</v>
      </c>
      <c r="G10" s="157" t="s">
        <v>180</v>
      </c>
      <c r="H10" s="173">
        <v>2.0000000000000002E-7</v>
      </c>
      <c r="I10" s="89"/>
      <c r="J10" s="103">
        <v>1</v>
      </c>
      <c r="K10" s="102">
        <v>0</v>
      </c>
    </row>
    <row r="11" spans="1:18" s="137" customFormat="1" x14ac:dyDescent="0.2">
      <c r="A11" s="111" t="s">
        <v>1660</v>
      </c>
      <c r="B11" s="140" t="s">
        <v>180</v>
      </c>
      <c r="C11" s="140" t="s">
        <v>180</v>
      </c>
      <c r="D11" s="160" t="s">
        <v>180</v>
      </c>
      <c r="E11" s="160" t="s">
        <v>180</v>
      </c>
      <c r="F11" s="162" t="s">
        <v>180</v>
      </c>
      <c r="G11" s="160" t="s">
        <v>180</v>
      </c>
      <c r="H11" s="142">
        <v>0</v>
      </c>
      <c r="I11" s="140" t="s">
        <v>180</v>
      </c>
      <c r="J11" s="140">
        <v>0</v>
      </c>
      <c r="K11" s="140">
        <v>0</v>
      </c>
    </row>
    <row r="12" spans="1:18" s="137" customFormat="1" x14ac:dyDescent="0.2">
      <c r="A12" s="231" t="s">
        <v>1661</v>
      </c>
      <c r="B12" s="232" t="s">
        <v>180</v>
      </c>
      <c r="C12" s="232" t="s">
        <v>180</v>
      </c>
      <c r="D12" s="234" t="s">
        <v>180</v>
      </c>
      <c r="E12" s="234" t="s">
        <v>180</v>
      </c>
      <c r="F12" s="236" t="s">
        <v>180</v>
      </c>
      <c r="G12" s="234" t="s">
        <v>180</v>
      </c>
      <c r="H12" s="237">
        <v>0</v>
      </c>
      <c r="I12" s="232" t="s">
        <v>180</v>
      </c>
      <c r="J12" s="238">
        <v>0</v>
      </c>
      <c r="K12" s="238">
        <v>0</v>
      </c>
    </row>
    <row r="13" spans="1:18" s="137" customFormat="1" x14ac:dyDescent="0.2">
      <c r="A13" s="97" t="s">
        <v>171</v>
      </c>
      <c r="B13" s="147"/>
      <c r="C13" s="97"/>
      <c r="D13" s="166"/>
      <c r="E13" s="166"/>
      <c r="F13" s="166"/>
      <c r="G13" s="167"/>
      <c r="H13" s="152"/>
      <c r="I13" s="168"/>
      <c r="J13" s="168"/>
      <c r="K13" s="168"/>
      <c r="L13" s="168"/>
      <c r="M13" s="152"/>
      <c r="N13" s="152"/>
    </row>
    <row r="14" spans="1:18" s="137" customFormat="1" x14ac:dyDescent="0.2">
      <c r="A14" s="97" t="s">
        <v>172</v>
      </c>
      <c r="B14" s="147"/>
      <c r="C14" s="97"/>
      <c r="D14" s="166"/>
      <c r="E14" s="166"/>
      <c r="F14" s="166"/>
      <c r="G14" s="167"/>
      <c r="H14" s="152"/>
      <c r="I14" s="168"/>
      <c r="J14" s="168"/>
      <c r="K14" s="168"/>
      <c r="L14" s="168"/>
      <c r="M14" s="152"/>
      <c r="N14" s="152"/>
    </row>
    <row r="15" spans="1:18" s="137" customFormat="1" x14ac:dyDescent="0.2">
      <c r="A15" s="97" t="s">
        <v>173</v>
      </c>
      <c r="B15" s="147"/>
      <c r="C15" s="97"/>
      <c r="D15" s="166"/>
      <c r="E15" s="166"/>
      <c r="F15" s="166"/>
      <c r="G15" s="167"/>
      <c r="H15" s="152"/>
      <c r="I15" s="168"/>
      <c r="J15" s="168"/>
      <c r="K15" s="168"/>
      <c r="L15" s="168"/>
      <c r="M15" s="152"/>
      <c r="N15" s="152"/>
    </row>
    <row r="16" spans="1:18" s="137" customFormat="1" x14ac:dyDescent="0.2">
      <c r="A16" s="97" t="s">
        <v>174</v>
      </c>
      <c r="B16" s="147"/>
      <c r="C16" s="97"/>
      <c r="D16" s="166"/>
      <c r="E16" s="166"/>
      <c r="F16" s="166"/>
      <c r="G16" s="167"/>
      <c r="H16" s="152"/>
      <c r="I16" s="168"/>
      <c r="J16" s="168"/>
      <c r="K16" s="168"/>
      <c r="L16" s="168"/>
      <c r="M16" s="152"/>
      <c r="N16" s="152"/>
    </row>
    <row r="17" spans="1:14" s="137" customFormat="1" x14ac:dyDescent="0.2">
      <c r="A17" s="97" t="s">
        <v>175</v>
      </c>
      <c r="B17" s="147"/>
      <c r="C17" s="97"/>
      <c r="D17" s="166"/>
      <c r="E17" s="166"/>
      <c r="F17" s="166"/>
      <c r="G17" s="167"/>
      <c r="H17" s="152"/>
      <c r="I17" s="168"/>
      <c r="J17" s="168"/>
      <c r="K17" s="168"/>
      <c r="L17" s="168"/>
      <c r="M17" s="152"/>
      <c r="N17" s="152"/>
    </row>
  </sheetData>
  <mergeCells count="2">
    <mergeCell ref="A6:K6"/>
    <mergeCell ref="A5:K5"/>
  </mergeCells>
  <conditionalFormatting sqref="A10:A12 H10:H12">
    <cfRule type="expression" dxfId="70" priority="332" stopIfTrue="1">
      <formula>#REF!&gt;0</formula>
    </cfRule>
  </conditionalFormatting>
  <conditionalFormatting sqref="J10:K12">
    <cfRule type="expression" dxfId="69" priority="33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76" fitToHeight="0" orientation="landscape"/>
  <headerFooter alignWithMargins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5EAA0-A686-43EA-AEE8-47ACC9EF558A}">
  <sheetPr codeName="גיליון19">
    <pageSetUpPr fitToPage="1"/>
  </sheetPr>
  <dimension ref="A1:R41"/>
  <sheetViews>
    <sheetView rightToLeft="1" zoomScale="80" zoomScaleNormal="80" workbookViewId="0">
      <selection activeCell="A7" sqref="A7:K36"/>
    </sheetView>
  </sheetViews>
  <sheetFormatPr defaultRowHeight="12.75" x14ac:dyDescent="0.2"/>
  <cols>
    <col min="1" max="1" width="29.42578125" style="23" bestFit="1" customWidth="1"/>
    <col min="2" max="2" width="13.5703125" style="22" bestFit="1" customWidth="1"/>
    <col min="3" max="3" width="11.5703125" style="22" customWidth="1"/>
    <col min="4" max="4" width="12" style="79" bestFit="1" customWidth="1"/>
    <col min="5" max="5" width="14.140625" style="79" customWidth="1"/>
    <col min="6" max="6" width="13.140625" style="79" bestFit="1" customWidth="1"/>
    <col min="7" max="7" width="7" style="50" customWidth="1"/>
    <col min="8" max="8" width="10.42578125" style="81" customWidth="1"/>
    <col min="9" max="9" width="22" style="83" customWidth="1"/>
    <col min="10" max="10" width="25.42578125" style="83" customWidth="1"/>
    <col min="11" max="11" width="20.7109375" style="83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166</v>
      </c>
      <c r="B1" s="22" t="s">
        <v>176</v>
      </c>
      <c r="C1" s="22"/>
      <c r="D1" s="79"/>
      <c r="E1" s="79"/>
      <c r="F1" s="79"/>
      <c r="G1" s="50"/>
      <c r="H1" s="81"/>
      <c r="I1" s="82"/>
      <c r="J1" s="82"/>
      <c r="K1" s="82"/>
      <c r="L1" s="27"/>
      <c r="M1" s="26"/>
      <c r="N1" s="26"/>
      <c r="O1" s="28"/>
    </row>
    <row r="2" spans="1:18" s="20" customFormat="1" x14ac:dyDescent="0.2">
      <c r="A2" s="23" t="s">
        <v>167</v>
      </c>
      <c r="B2" s="22" t="s">
        <v>153</v>
      </c>
      <c r="C2" s="22"/>
      <c r="D2" s="79"/>
      <c r="E2" s="79"/>
      <c r="F2" s="79"/>
      <c r="G2" s="50"/>
      <c r="H2" s="81"/>
      <c r="I2" s="82"/>
      <c r="J2" s="82"/>
      <c r="K2" s="82"/>
      <c r="L2" s="27"/>
      <c r="M2" s="26"/>
      <c r="N2" s="26"/>
      <c r="O2" s="28"/>
    </row>
    <row r="3" spans="1:18" s="20" customFormat="1" x14ac:dyDescent="0.2">
      <c r="A3" s="23" t="s">
        <v>168</v>
      </c>
      <c r="B3" s="22" t="s">
        <v>169</v>
      </c>
      <c r="C3" s="22"/>
      <c r="D3" s="79"/>
      <c r="E3" s="79"/>
      <c r="F3" s="79"/>
      <c r="G3" s="50"/>
      <c r="H3" s="81"/>
      <c r="I3" s="82"/>
      <c r="J3" s="82"/>
      <c r="K3" s="82"/>
      <c r="L3" s="27"/>
      <c r="M3" s="26"/>
      <c r="N3" s="26"/>
      <c r="O3" s="28"/>
    </row>
    <row r="4" spans="1:18" s="20" customFormat="1" ht="13.5" thickBot="1" x14ac:dyDescent="0.25">
      <c r="A4" s="23" t="s">
        <v>170</v>
      </c>
      <c r="B4" s="22" t="s">
        <v>178</v>
      </c>
      <c r="C4" s="22"/>
      <c r="D4" s="79"/>
      <c r="E4" s="79"/>
      <c r="F4" s="79"/>
      <c r="G4" s="50"/>
      <c r="H4" s="81"/>
      <c r="I4" s="82"/>
      <c r="J4" s="82"/>
      <c r="K4" s="82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32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ht="32.25" customHeight="1" x14ac:dyDescent="0.2">
      <c r="A7" s="106" t="s">
        <v>160</v>
      </c>
      <c r="B7" s="107" t="s">
        <v>69</v>
      </c>
      <c r="C7" s="107" t="s">
        <v>19</v>
      </c>
      <c r="D7" s="107" t="s">
        <v>6</v>
      </c>
      <c r="E7" s="107" t="s">
        <v>13</v>
      </c>
      <c r="F7" s="108" t="s">
        <v>67</v>
      </c>
      <c r="G7" s="108" t="s">
        <v>68</v>
      </c>
      <c r="H7" s="108" t="s">
        <v>29</v>
      </c>
      <c r="I7" s="109" t="s">
        <v>17</v>
      </c>
      <c r="J7" s="109" t="s">
        <v>75</v>
      </c>
      <c r="K7" s="110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136</v>
      </c>
      <c r="G8" s="15"/>
      <c r="H8" s="15" t="s">
        <v>138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6">
        <v>10</v>
      </c>
    </row>
    <row r="10" spans="1:18" s="137" customFormat="1" ht="12.75" customHeight="1" thickBot="1" x14ac:dyDescent="0.25">
      <c r="A10" s="120" t="s">
        <v>56</v>
      </c>
      <c r="B10" s="86" t="s">
        <v>180</v>
      </c>
      <c r="C10" s="86" t="s">
        <v>180</v>
      </c>
      <c r="D10" s="121" t="s">
        <v>180</v>
      </c>
      <c r="E10" s="121" t="s">
        <v>180</v>
      </c>
      <c r="F10" s="122" t="s">
        <v>180</v>
      </c>
      <c r="G10" s="121" t="s">
        <v>180</v>
      </c>
      <c r="H10" s="129">
        <v>29.507521000000004</v>
      </c>
      <c r="I10" s="86" t="s">
        <v>180</v>
      </c>
      <c r="J10" s="86">
        <v>1</v>
      </c>
      <c r="K10" s="101">
        <v>3.5746230286479054E-5</v>
      </c>
    </row>
    <row r="11" spans="1:18" s="137" customFormat="1" x14ac:dyDescent="0.2">
      <c r="A11" s="111" t="s">
        <v>1662</v>
      </c>
      <c r="B11" s="140" t="s">
        <v>180</v>
      </c>
      <c r="C11" s="140" t="s">
        <v>180</v>
      </c>
      <c r="D11" s="141" t="s">
        <v>180</v>
      </c>
      <c r="E11" s="141" t="s">
        <v>180</v>
      </c>
      <c r="F11" s="153" t="s">
        <v>180</v>
      </c>
      <c r="G11" s="141" t="s">
        <v>180</v>
      </c>
      <c r="H11" s="142">
        <v>29.507520500000002</v>
      </c>
      <c r="I11" s="140" t="s">
        <v>180</v>
      </c>
      <c r="J11" s="140">
        <v>0.99999998305516746</v>
      </c>
      <c r="K11" s="140">
        <v>3.5746229680765163E-5</v>
      </c>
    </row>
    <row r="12" spans="1:18" s="137" customFormat="1" x14ac:dyDescent="0.2">
      <c r="A12" s="112" t="s">
        <v>1523</v>
      </c>
      <c r="B12" s="144" t="s">
        <v>180</v>
      </c>
      <c r="C12" s="144" t="s">
        <v>180</v>
      </c>
      <c r="D12" s="145" t="s">
        <v>180</v>
      </c>
      <c r="E12" s="145" t="s">
        <v>180</v>
      </c>
      <c r="F12" s="155" t="s">
        <v>180</v>
      </c>
      <c r="G12" s="145" t="s">
        <v>180</v>
      </c>
      <c r="H12" s="146">
        <v>0</v>
      </c>
      <c r="I12" s="144" t="s">
        <v>180</v>
      </c>
      <c r="J12" s="144">
        <v>0</v>
      </c>
      <c r="K12" s="144">
        <v>0</v>
      </c>
    </row>
    <row r="13" spans="1:18" s="137" customFormat="1" x14ac:dyDescent="0.2">
      <c r="A13" s="112" t="s">
        <v>1663</v>
      </c>
      <c r="B13" s="144" t="s">
        <v>180</v>
      </c>
      <c r="C13" s="144" t="s">
        <v>180</v>
      </c>
      <c r="D13" s="145" t="s">
        <v>180</v>
      </c>
      <c r="E13" s="145" t="s">
        <v>180</v>
      </c>
      <c r="F13" s="155" t="s">
        <v>180</v>
      </c>
      <c r="G13" s="145" t="s">
        <v>180</v>
      </c>
      <c r="H13" s="146">
        <v>29.507520100000004</v>
      </c>
      <c r="I13" s="144" t="s">
        <v>180</v>
      </c>
      <c r="J13" s="144">
        <v>0.99999996949930159</v>
      </c>
      <c r="K13" s="144">
        <v>3.574622919619406E-5</v>
      </c>
    </row>
    <row r="14" spans="1:18" x14ac:dyDescent="0.2">
      <c r="A14" s="30" t="s">
        <v>1664</v>
      </c>
      <c r="B14" s="38" t="s">
        <v>1669</v>
      </c>
      <c r="C14" s="38" t="s">
        <v>180</v>
      </c>
      <c r="D14" s="80" t="s">
        <v>127</v>
      </c>
      <c r="E14" s="80" t="s">
        <v>1670</v>
      </c>
      <c r="F14" s="88">
        <v>619000</v>
      </c>
      <c r="G14" s="80">
        <v>5.1499999999999997E-2</v>
      </c>
      <c r="H14" s="104">
        <v>1.1061300000000001</v>
      </c>
      <c r="I14" s="38" t="s">
        <v>180</v>
      </c>
      <c r="J14" s="38">
        <v>3.748637508383032E-2</v>
      </c>
      <c r="K14" s="38">
        <v>1.3399965963519291E-6</v>
      </c>
      <c r="L14" s="28"/>
      <c r="M14" s="28"/>
      <c r="N14" s="28"/>
    </row>
    <row r="15" spans="1:18" x14ac:dyDescent="0.2">
      <c r="A15" s="30" t="s">
        <v>1667</v>
      </c>
      <c r="B15" s="38" t="s">
        <v>1671</v>
      </c>
      <c r="C15" s="38" t="s">
        <v>180</v>
      </c>
      <c r="D15" s="80" t="s">
        <v>127</v>
      </c>
      <c r="E15" s="80" t="s">
        <v>1670</v>
      </c>
      <c r="F15" s="88">
        <v>-619000</v>
      </c>
      <c r="G15" s="80">
        <v>2.9999999999999997E-4</v>
      </c>
      <c r="H15" s="104">
        <v>-7.6299999999999996E-3</v>
      </c>
      <c r="I15" s="38" t="s">
        <v>180</v>
      </c>
      <c r="J15" s="38">
        <v>-2.5857814351805424E-4</v>
      </c>
      <c r="K15" s="38">
        <v>-9.2431938652465966E-9</v>
      </c>
      <c r="L15" s="28"/>
      <c r="M15" s="28"/>
      <c r="N15" s="28"/>
    </row>
    <row r="16" spans="1:18" x14ac:dyDescent="0.2">
      <c r="A16" s="30" t="s">
        <v>1672</v>
      </c>
      <c r="B16" s="38" t="s">
        <v>1673</v>
      </c>
      <c r="C16" s="38" t="s">
        <v>180</v>
      </c>
      <c r="D16" s="80" t="s">
        <v>127</v>
      </c>
      <c r="E16" s="80" t="s">
        <v>1674</v>
      </c>
      <c r="F16" s="88">
        <v>-619000</v>
      </c>
      <c r="G16" s="80">
        <v>4.1999999999999997E-3</v>
      </c>
      <c r="H16" s="104">
        <v>-9.0749999999999997E-2</v>
      </c>
      <c r="I16" s="38" t="s">
        <v>180</v>
      </c>
      <c r="J16" s="38">
        <v>-3.0754870936125062E-3</v>
      </c>
      <c r="K16" s="38">
        <v>-1.099370698913668E-7</v>
      </c>
      <c r="L16" s="28"/>
      <c r="M16" s="28"/>
      <c r="N16" s="28"/>
    </row>
    <row r="17" spans="1:14" x14ac:dyDescent="0.2">
      <c r="A17" s="30" t="s">
        <v>1675</v>
      </c>
      <c r="B17" s="38" t="s">
        <v>1676</v>
      </c>
      <c r="C17" s="38" t="s">
        <v>180</v>
      </c>
      <c r="D17" s="80" t="s">
        <v>127</v>
      </c>
      <c r="E17" s="80" t="s">
        <v>1674</v>
      </c>
      <c r="F17" s="88">
        <v>619000</v>
      </c>
      <c r="G17" s="80">
        <v>0.1409</v>
      </c>
      <c r="H17" s="104">
        <v>3.0246300000000002</v>
      </c>
      <c r="I17" s="38" t="s">
        <v>180</v>
      </c>
      <c r="J17" s="38">
        <v>0.10250369727772116</v>
      </c>
      <c r="K17" s="38">
        <v>3.664120768104956E-6</v>
      </c>
      <c r="L17" s="28"/>
      <c r="M17" s="28"/>
      <c r="N17" s="28"/>
    </row>
    <row r="18" spans="1:14" x14ac:dyDescent="0.2">
      <c r="A18" s="30" t="s">
        <v>1677</v>
      </c>
      <c r="B18" s="38" t="s">
        <v>1678</v>
      </c>
      <c r="C18" s="38" t="s">
        <v>180</v>
      </c>
      <c r="D18" s="80" t="s">
        <v>127</v>
      </c>
      <c r="E18" s="80" t="s">
        <v>1679</v>
      </c>
      <c r="F18" s="88">
        <v>-619000</v>
      </c>
      <c r="G18" s="80">
        <v>2.2100000000000002E-2</v>
      </c>
      <c r="H18" s="104">
        <v>-0.47579000000000005</v>
      </c>
      <c r="I18" s="38" t="s">
        <v>180</v>
      </c>
      <c r="J18" s="38">
        <v>-1.6124363683414814E-2</v>
      </c>
      <c r="K18" s="38">
        <v>-5.7638521745028552E-7</v>
      </c>
      <c r="L18" s="28"/>
      <c r="M18" s="28"/>
      <c r="N18" s="28"/>
    </row>
    <row r="19" spans="1:14" x14ac:dyDescent="0.2">
      <c r="A19" s="30" t="s">
        <v>1680</v>
      </c>
      <c r="B19" s="38" t="s">
        <v>1681</v>
      </c>
      <c r="C19" s="38" t="s">
        <v>180</v>
      </c>
      <c r="D19" s="80" t="s">
        <v>127</v>
      </c>
      <c r="E19" s="80" t="s">
        <v>1679</v>
      </c>
      <c r="F19" s="88">
        <v>619000</v>
      </c>
      <c r="G19" s="80">
        <v>0.2213</v>
      </c>
      <c r="H19" s="104">
        <v>4.7486600000000001</v>
      </c>
      <c r="I19" s="38" t="s">
        <v>180</v>
      </c>
      <c r="J19" s="38">
        <v>0.1609304963300712</v>
      </c>
      <c r="K19" s="38">
        <v>5.7526585819320975E-6</v>
      </c>
      <c r="L19" s="28"/>
      <c r="M19" s="28"/>
      <c r="N19" s="28"/>
    </row>
    <row r="20" spans="1:14" x14ac:dyDescent="0.2">
      <c r="A20" s="30" t="s">
        <v>1691</v>
      </c>
      <c r="B20" s="38" t="s">
        <v>1692</v>
      </c>
      <c r="C20" s="38" t="s">
        <v>180</v>
      </c>
      <c r="D20" s="80" t="s">
        <v>127</v>
      </c>
      <c r="E20" s="80" t="s">
        <v>1693</v>
      </c>
      <c r="F20" s="88">
        <v>614500</v>
      </c>
      <c r="G20" s="80">
        <v>0.59819999999999995</v>
      </c>
      <c r="H20" s="104">
        <v>12.741370000000002</v>
      </c>
      <c r="I20" s="38" t="s">
        <v>180</v>
      </c>
      <c r="J20" s="38">
        <v>0.4318007602197419</v>
      </c>
      <c r="K20" s="38">
        <v>1.5435249412691618E-5</v>
      </c>
      <c r="L20" s="28"/>
      <c r="M20" s="28"/>
      <c r="N20" s="28"/>
    </row>
    <row r="21" spans="1:14" x14ac:dyDescent="0.2">
      <c r="A21" s="30" t="s">
        <v>1694</v>
      </c>
      <c r="B21" s="38" t="s">
        <v>1695</v>
      </c>
      <c r="C21" s="38" t="s">
        <v>180</v>
      </c>
      <c r="D21" s="80" t="s">
        <v>127</v>
      </c>
      <c r="E21" s="80" t="s">
        <v>1693</v>
      </c>
      <c r="F21" s="88">
        <v>-614500</v>
      </c>
      <c r="G21" s="80">
        <v>0.18890000000000001</v>
      </c>
      <c r="H21" s="104">
        <v>-4.0253399999999999</v>
      </c>
      <c r="I21" s="38" t="s">
        <v>180</v>
      </c>
      <c r="J21" s="38">
        <v>-0.13641742388321945</v>
      </c>
      <c r="K21" s="38">
        <v>-4.8764086492177899E-6</v>
      </c>
      <c r="L21" s="28"/>
      <c r="M21" s="28"/>
      <c r="N21" s="28"/>
    </row>
    <row r="22" spans="1:14" x14ac:dyDescent="0.2">
      <c r="A22" s="30" t="s">
        <v>1664</v>
      </c>
      <c r="B22" s="38" t="s">
        <v>1665</v>
      </c>
      <c r="C22" s="38" t="s">
        <v>180</v>
      </c>
      <c r="D22" s="80" t="s">
        <v>127</v>
      </c>
      <c r="E22" s="80" t="s">
        <v>1666</v>
      </c>
      <c r="F22" s="88">
        <v>1235830</v>
      </c>
      <c r="G22" s="80">
        <v>5.1900000000000002E-2</v>
      </c>
      <c r="H22" s="104">
        <v>2.2261100000000003</v>
      </c>
      <c r="I22" s="38" t="s">
        <v>180</v>
      </c>
      <c r="J22" s="38">
        <v>7.5442122027126565E-2</v>
      </c>
      <c r="K22" s="38">
        <v>2.6967714672823204E-6</v>
      </c>
      <c r="L22" s="28"/>
      <c r="M22" s="28"/>
      <c r="N22" s="28"/>
    </row>
    <row r="23" spans="1:14" x14ac:dyDescent="0.2">
      <c r="A23" s="30" t="s">
        <v>1667</v>
      </c>
      <c r="B23" s="38" t="s">
        <v>1668</v>
      </c>
      <c r="C23" s="38" t="s">
        <v>180</v>
      </c>
      <c r="D23" s="80" t="s">
        <v>127</v>
      </c>
      <c r="E23" s="80" t="s">
        <v>1666</v>
      </c>
      <c r="F23" s="88">
        <v>-1235830</v>
      </c>
      <c r="G23" s="80">
        <v>2.0000000000000001E-4</v>
      </c>
      <c r="H23" s="104">
        <v>-1.0699999999999999E-2</v>
      </c>
      <c r="I23" s="38" t="s">
        <v>180</v>
      </c>
      <c r="J23" s="38">
        <v>-3.6261941489425687E-4</v>
      </c>
      <c r="K23" s="38">
        <v>-1.2962277111158398E-8</v>
      </c>
      <c r="L23" s="28"/>
      <c r="M23" s="28"/>
      <c r="N23" s="28"/>
    </row>
    <row r="24" spans="1:14" x14ac:dyDescent="0.2">
      <c r="A24" s="30" t="s">
        <v>1680</v>
      </c>
      <c r="B24" s="38" t="s">
        <v>1682</v>
      </c>
      <c r="C24" s="38" t="s">
        <v>180</v>
      </c>
      <c r="D24" s="80" t="s">
        <v>127</v>
      </c>
      <c r="E24" s="80" t="s">
        <v>1683</v>
      </c>
      <c r="F24" s="88">
        <v>619000</v>
      </c>
      <c r="G24" s="80">
        <v>0.2218</v>
      </c>
      <c r="H24" s="104">
        <v>4.7587399999999995</v>
      </c>
      <c r="I24" s="38" t="s">
        <v>180</v>
      </c>
      <c r="J24" s="38">
        <v>0.16127210415270057</v>
      </c>
      <c r="K24" s="38">
        <v>5.764869773827469E-6</v>
      </c>
      <c r="L24" s="28"/>
      <c r="M24" s="28"/>
      <c r="N24" s="28"/>
    </row>
    <row r="25" spans="1:14" x14ac:dyDescent="0.2">
      <c r="A25" s="30" t="s">
        <v>1684</v>
      </c>
      <c r="B25" s="38" t="s">
        <v>1685</v>
      </c>
      <c r="C25" s="38" t="s">
        <v>180</v>
      </c>
      <c r="D25" s="80" t="s">
        <v>127</v>
      </c>
      <c r="E25" s="80" t="s">
        <v>1683</v>
      </c>
      <c r="F25" s="88">
        <v>-619000</v>
      </c>
      <c r="G25" s="80">
        <v>8.0000000000000002E-3</v>
      </c>
      <c r="H25" s="104">
        <v>-0.17194999999999999</v>
      </c>
      <c r="I25" s="38" t="s">
        <v>180</v>
      </c>
      <c r="J25" s="38">
        <v>-5.8273278870156512E-3</v>
      </c>
      <c r="K25" s="38">
        <v>-2.0830500460408285E-7</v>
      </c>
      <c r="L25" s="28"/>
      <c r="M25" s="28"/>
      <c r="N25" s="28"/>
    </row>
    <row r="26" spans="1:14" x14ac:dyDescent="0.2">
      <c r="A26" s="30" t="s">
        <v>1686</v>
      </c>
      <c r="B26" s="38" t="s">
        <v>1687</v>
      </c>
      <c r="C26" s="38" t="s">
        <v>180</v>
      </c>
      <c r="D26" s="80" t="s">
        <v>127</v>
      </c>
      <c r="E26" s="80" t="s">
        <v>1688</v>
      </c>
      <c r="F26" s="88">
        <v>619000</v>
      </c>
      <c r="G26" s="80">
        <v>0.29730000000000001</v>
      </c>
      <c r="H26" s="104">
        <v>6.3784300000000007</v>
      </c>
      <c r="I26" s="38" t="s">
        <v>180</v>
      </c>
      <c r="J26" s="38">
        <v>0.21616285556485748</v>
      </c>
      <c r="K26" s="38">
        <v>7.7270072144043066E-6</v>
      </c>
      <c r="L26" s="28"/>
      <c r="M26" s="28"/>
      <c r="N26" s="28"/>
    </row>
    <row r="27" spans="1:14" x14ac:dyDescent="0.2">
      <c r="A27" s="30" t="s">
        <v>1689</v>
      </c>
      <c r="B27" s="38" t="s">
        <v>1690</v>
      </c>
      <c r="C27" s="38" t="s">
        <v>180</v>
      </c>
      <c r="D27" s="80" t="s">
        <v>127</v>
      </c>
      <c r="E27" s="80" t="s">
        <v>1688</v>
      </c>
      <c r="F27" s="88">
        <v>-619000</v>
      </c>
      <c r="G27" s="80">
        <v>3.2300000000000002E-2</v>
      </c>
      <c r="H27" s="104">
        <v>-0.69438999999999995</v>
      </c>
      <c r="I27" s="38" t="s">
        <v>180</v>
      </c>
      <c r="J27" s="38">
        <v>-2.3532644440039538E-2</v>
      </c>
      <c r="K27" s="38">
        <v>-8.4120332740348413E-7</v>
      </c>
      <c r="L27" s="28"/>
      <c r="M27" s="28"/>
      <c r="N27" s="28"/>
    </row>
    <row r="28" spans="1:14" s="137" customFormat="1" x14ac:dyDescent="0.2">
      <c r="A28" s="112" t="s">
        <v>1696</v>
      </c>
      <c r="B28" s="144" t="s">
        <v>180</v>
      </c>
      <c r="C28" s="144" t="s">
        <v>180</v>
      </c>
      <c r="D28" s="145" t="s">
        <v>180</v>
      </c>
      <c r="E28" s="145" t="s">
        <v>180</v>
      </c>
      <c r="F28" s="155" t="s">
        <v>180</v>
      </c>
      <c r="G28" s="145" t="s">
        <v>180</v>
      </c>
      <c r="H28" s="146">
        <v>0</v>
      </c>
      <c r="I28" s="144" t="s">
        <v>180</v>
      </c>
      <c r="J28" s="144">
        <v>0</v>
      </c>
      <c r="K28" s="144">
        <v>0</v>
      </c>
    </row>
    <row r="29" spans="1:14" s="137" customFormat="1" x14ac:dyDescent="0.2">
      <c r="A29" s="112" t="s">
        <v>1525</v>
      </c>
      <c r="B29" s="144" t="s">
        <v>180</v>
      </c>
      <c r="C29" s="144" t="s">
        <v>180</v>
      </c>
      <c r="D29" s="145" t="s">
        <v>180</v>
      </c>
      <c r="E29" s="145" t="s">
        <v>180</v>
      </c>
      <c r="F29" s="155" t="s">
        <v>180</v>
      </c>
      <c r="G29" s="145" t="s">
        <v>180</v>
      </c>
      <c r="H29" s="146">
        <v>0</v>
      </c>
      <c r="I29" s="144" t="s">
        <v>180</v>
      </c>
      <c r="J29" s="144">
        <v>0</v>
      </c>
      <c r="K29" s="144">
        <v>0</v>
      </c>
    </row>
    <row r="30" spans="1:14" s="137" customFormat="1" x14ac:dyDescent="0.2">
      <c r="A30" s="112" t="s">
        <v>144</v>
      </c>
      <c r="B30" s="144" t="s">
        <v>180</v>
      </c>
      <c r="C30" s="144" t="s">
        <v>180</v>
      </c>
      <c r="D30" s="145" t="s">
        <v>180</v>
      </c>
      <c r="E30" s="145" t="s">
        <v>180</v>
      </c>
      <c r="F30" s="155" t="s">
        <v>180</v>
      </c>
      <c r="G30" s="145" t="s">
        <v>180</v>
      </c>
      <c r="H30" s="146">
        <v>0</v>
      </c>
      <c r="I30" s="144" t="s">
        <v>180</v>
      </c>
      <c r="J30" s="144">
        <v>0</v>
      </c>
      <c r="K30" s="144">
        <v>0</v>
      </c>
    </row>
    <row r="31" spans="1:14" s="137" customFormat="1" x14ac:dyDescent="0.2">
      <c r="A31" s="112" t="s">
        <v>1697</v>
      </c>
      <c r="B31" s="144" t="s">
        <v>180</v>
      </c>
      <c r="C31" s="144" t="s">
        <v>180</v>
      </c>
      <c r="D31" s="145" t="s">
        <v>180</v>
      </c>
      <c r="E31" s="145" t="s">
        <v>180</v>
      </c>
      <c r="F31" s="155" t="s">
        <v>180</v>
      </c>
      <c r="G31" s="145" t="s">
        <v>180</v>
      </c>
      <c r="H31" s="146">
        <v>0</v>
      </c>
      <c r="I31" s="144" t="s">
        <v>180</v>
      </c>
      <c r="J31" s="144">
        <v>0</v>
      </c>
      <c r="K31" s="144">
        <v>0</v>
      </c>
    </row>
    <row r="32" spans="1:14" s="137" customFormat="1" x14ac:dyDescent="0.2">
      <c r="A32" s="112" t="s">
        <v>1523</v>
      </c>
      <c r="B32" s="144" t="s">
        <v>180</v>
      </c>
      <c r="C32" s="144" t="s">
        <v>180</v>
      </c>
      <c r="D32" s="145" t="s">
        <v>180</v>
      </c>
      <c r="E32" s="145" t="s">
        <v>180</v>
      </c>
      <c r="F32" s="155" t="s">
        <v>180</v>
      </c>
      <c r="G32" s="145" t="s">
        <v>180</v>
      </c>
      <c r="H32" s="146">
        <v>0</v>
      </c>
      <c r="I32" s="144" t="s">
        <v>180</v>
      </c>
      <c r="J32" s="144">
        <v>0</v>
      </c>
      <c r="K32" s="144">
        <v>0</v>
      </c>
    </row>
    <row r="33" spans="1:14" s="137" customFormat="1" x14ac:dyDescent="0.2">
      <c r="A33" s="112" t="s">
        <v>1526</v>
      </c>
      <c r="B33" s="144" t="s">
        <v>180</v>
      </c>
      <c r="C33" s="144" t="s">
        <v>180</v>
      </c>
      <c r="D33" s="145" t="s">
        <v>180</v>
      </c>
      <c r="E33" s="145" t="s">
        <v>180</v>
      </c>
      <c r="F33" s="155" t="s">
        <v>180</v>
      </c>
      <c r="G33" s="145" t="s">
        <v>180</v>
      </c>
      <c r="H33" s="146">
        <v>0</v>
      </c>
      <c r="I33" s="144" t="s">
        <v>180</v>
      </c>
      <c r="J33" s="144">
        <v>0</v>
      </c>
      <c r="K33" s="144">
        <v>0</v>
      </c>
    </row>
    <row r="34" spans="1:14" s="137" customFormat="1" x14ac:dyDescent="0.2">
      <c r="A34" s="112" t="s">
        <v>1525</v>
      </c>
      <c r="B34" s="144" t="s">
        <v>180</v>
      </c>
      <c r="C34" s="144" t="s">
        <v>180</v>
      </c>
      <c r="D34" s="145" t="s">
        <v>180</v>
      </c>
      <c r="E34" s="145" t="s">
        <v>180</v>
      </c>
      <c r="F34" s="155" t="s">
        <v>180</v>
      </c>
      <c r="G34" s="145" t="s">
        <v>180</v>
      </c>
      <c r="H34" s="146">
        <v>0</v>
      </c>
      <c r="I34" s="144" t="s">
        <v>180</v>
      </c>
      <c r="J34" s="144">
        <v>0</v>
      </c>
      <c r="K34" s="144">
        <v>0</v>
      </c>
    </row>
    <row r="35" spans="1:14" s="137" customFormat="1" x14ac:dyDescent="0.2">
      <c r="A35" s="112" t="s">
        <v>1527</v>
      </c>
      <c r="B35" s="144" t="s">
        <v>180</v>
      </c>
      <c r="C35" s="144" t="s">
        <v>180</v>
      </c>
      <c r="D35" s="145" t="s">
        <v>180</v>
      </c>
      <c r="E35" s="145" t="s">
        <v>180</v>
      </c>
      <c r="F35" s="155" t="s">
        <v>180</v>
      </c>
      <c r="G35" s="145" t="s">
        <v>180</v>
      </c>
      <c r="H35" s="146">
        <v>0</v>
      </c>
      <c r="I35" s="144" t="s">
        <v>180</v>
      </c>
      <c r="J35" s="144">
        <v>0</v>
      </c>
      <c r="K35" s="144">
        <v>0</v>
      </c>
    </row>
    <row r="36" spans="1:14" s="137" customFormat="1" x14ac:dyDescent="0.2">
      <c r="A36" s="231" t="s">
        <v>144</v>
      </c>
      <c r="B36" s="232" t="s">
        <v>180</v>
      </c>
      <c r="C36" s="232" t="s">
        <v>180</v>
      </c>
      <c r="D36" s="239" t="s">
        <v>180</v>
      </c>
      <c r="E36" s="239" t="s">
        <v>180</v>
      </c>
      <c r="F36" s="240" t="s">
        <v>180</v>
      </c>
      <c r="G36" s="239" t="s">
        <v>180</v>
      </c>
      <c r="H36" s="237">
        <v>0</v>
      </c>
      <c r="I36" s="232" t="s">
        <v>180</v>
      </c>
      <c r="J36" s="232">
        <v>0</v>
      </c>
      <c r="K36" s="232">
        <v>0</v>
      </c>
    </row>
    <row r="37" spans="1:14" s="137" customFormat="1" x14ac:dyDescent="0.2">
      <c r="A37" s="97" t="s">
        <v>171</v>
      </c>
      <c r="B37" s="147"/>
      <c r="C37" s="147"/>
      <c r="D37" s="148"/>
      <c r="E37" s="148"/>
      <c r="F37" s="148"/>
      <c r="G37" s="149"/>
      <c r="H37" s="150"/>
      <c r="I37" s="151"/>
      <c r="J37" s="151"/>
      <c r="K37" s="151"/>
      <c r="L37" s="168"/>
      <c r="M37" s="152"/>
      <c r="N37" s="152"/>
    </row>
    <row r="38" spans="1:14" s="137" customFormat="1" x14ac:dyDescent="0.2">
      <c r="A38" s="97" t="s">
        <v>172</v>
      </c>
      <c r="B38" s="147"/>
      <c r="C38" s="147"/>
      <c r="D38" s="148"/>
      <c r="E38" s="148"/>
      <c r="F38" s="148"/>
      <c r="G38" s="149"/>
      <c r="H38" s="150"/>
      <c r="I38" s="151"/>
      <c r="J38" s="151"/>
      <c r="K38" s="151"/>
      <c r="L38" s="168"/>
      <c r="M38" s="152"/>
      <c r="N38" s="152"/>
    </row>
    <row r="39" spans="1:14" s="137" customFormat="1" x14ac:dyDescent="0.2">
      <c r="A39" s="97" t="s">
        <v>173</v>
      </c>
      <c r="B39" s="147"/>
      <c r="C39" s="147"/>
      <c r="D39" s="148"/>
      <c r="E39" s="148"/>
      <c r="F39" s="148"/>
      <c r="G39" s="149"/>
      <c r="H39" s="150"/>
      <c r="I39" s="151"/>
      <c r="J39" s="151"/>
      <c r="K39" s="151"/>
      <c r="L39" s="168"/>
      <c r="M39" s="152"/>
      <c r="N39" s="152"/>
    </row>
    <row r="40" spans="1:14" s="137" customFormat="1" x14ac:dyDescent="0.2">
      <c r="A40" s="97" t="s">
        <v>174</v>
      </c>
      <c r="B40" s="147"/>
      <c r="C40" s="147"/>
      <c r="D40" s="148"/>
      <c r="E40" s="148"/>
      <c r="F40" s="148"/>
      <c r="G40" s="149"/>
      <c r="H40" s="150"/>
      <c r="I40" s="151"/>
      <c r="J40" s="151"/>
      <c r="K40" s="151"/>
      <c r="L40" s="168"/>
      <c r="M40" s="152"/>
      <c r="N40" s="152"/>
    </row>
    <row r="41" spans="1:14" s="137" customFormat="1" x14ac:dyDescent="0.2">
      <c r="A41" s="97" t="s">
        <v>175</v>
      </c>
      <c r="B41" s="147"/>
      <c r="C41" s="147"/>
      <c r="D41" s="148"/>
      <c r="E41" s="148"/>
      <c r="F41" s="148"/>
      <c r="G41" s="149"/>
      <c r="H41" s="150"/>
      <c r="I41" s="151"/>
      <c r="J41" s="151"/>
      <c r="K41" s="151"/>
      <c r="L41" s="168"/>
      <c r="M41" s="152"/>
      <c r="N41" s="152"/>
    </row>
  </sheetData>
  <mergeCells count="2">
    <mergeCell ref="A6:K6"/>
    <mergeCell ref="A5:K5"/>
  </mergeCells>
  <conditionalFormatting sqref="B11:E36 J11:K36">
    <cfRule type="expression" dxfId="68" priority="338" stopIfTrue="1">
      <formula>OR(LEFT(#REF!,3)="TIR",LEFT(#REF!,2)="IR")</formula>
    </cfRule>
  </conditionalFormatting>
  <conditionalFormatting sqref="A11:A36 H11:H36">
    <cfRule type="expression" dxfId="67" priority="340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8" fitToHeight="0" orientation="landscape"/>
  <headerFooter alignWithMargins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32CD6-615C-4D75-92EE-8C20367AD7DE}">
  <sheetPr codeName="גיליון20">
    <pageSetUpPr fitToPage="1"/>
  </sheetPr>
  <dimension ref="A1:O108"/>
  <sheetViews>
    <sheetView rightToLeft="1" topLeftCell="A7" zoomScale="85" zoomScaleNormal="85" workbookViewId="0">
      <selection activeCell="A7" sqref="A7:J103"/>
    </sheetView>
  </sheetViews>
  <sheetFormatPr defaultRowHeight="12.75" x14ac:dyDescent="0.2"/>
  <cols>
    <col min="1" max="1" width="41.140625" style="23" bestFit="1" customWidth="1"/>
    <col min="2" max="2" width="12.7109375" style="22" bestFit="1" customWidth="1"/>
    <col min="3" max="3" width="11.140625" style="23" customWidth="1"/>
    <col min="4" max="4" width="11.85546875" style="79" bestFit="1" customWidth="1"/>
    <col min="5" max="5" width="13.42578125" style="79" customWidth="1"/>
    <col min="6" max="6" width="12.7109375" style="79" bestFit="1" customWidth="1"/>
    <col min="7" max="7" width="6.7109375" style="50" bestFit="1" customWidth="1"/>
    <col min="8" max="8" width="9.85546875" style="81" bestFit="1" customWidth="1"/>
    <col min="9" max="9" width="24" style="81" customWidth="1"/>
    <col min="10" max="10" width="19.7109375" style="83" customWidth="1"/>
    <col min="11" max="11" width="11.42578125" style="33" bestFit="1" customWidth="1"/>
    <col min="12" max="12" width="7.28515625" style="33" customWidth="1"/>
    <col min="13" max="14" width="10.5703125" style="26" customWidth="1"/>
    <col min="15" max="15" width="11.42578125" style="28" customWidth="1"/>
    <col min="16" max="16384" width="9.140625" style="28"/>
  </cols>
  <sheetData>
    <row r="1" spans="1:15" s="20" customFormat="1" x14ac:dyDescent="0.2">
      <c r="A1" s="20" t="s">
        <v>166</v>
      </c>
      <c r="B1" s="22" t="s">
        <v>176</v>
      </c>
      <c r="C1" s="23"/>
      <c r="D1" s="79"/>
      <c r="E1" s="79"/>
      <c r="F1" s="79"/>
      <c r="G1" s="50"/>
      <c r="H1" s="81"/>
      <c r="I1" s="81"/>
      <c r="J1" s="82"/>
      <c r="K1" s="27"/>
      <c r="L1" s="27"/>
      <c r="M1" s="26"/>
      <c r="N1" s="26"/>
      <c r="O1" s="28"/>
    </row>
    <row r="2" spans="1:15" s="20" customFormat="1" x14ac:dyDescent="0.2">
      <c r="A2" s="23" t="s">
        <v>167</v>
      </c>
      <c r="B2" s="22" t="s">
        <v>153</v>
      </c>
      <c r="C2" s="23"/>
      <c r="D2" s="79"/>
      <c r="E2" s="79"/>
      <c r="F2" s="79"/>
      <c r="G2" s="50"/>
      <c r="H2" s="81"/>
      <c r="I2" s="81"/>
      <c r="J2" s="82"/>
      <c r="K2" s="27"/>
      <c r="L2" s="27"/>
      <c r="M2" s="26"/>
      <c r="N2" s="26"/>
      <c r="O2" s="28"/>
    </row>
    <row r="3" spans="1:15" s="20" customFormat="1" x14ac:dyDescent="0.2">
      <c r="A3" s="23" t="s">
        <v>168</v>
      </c>
      <c r="B3" s="22" t="s">
        <v>169</v>
      </c>
      <c r="C3" s="23"/>
      <c r="D3" s="79"/>
      <c r="E3" s="79"/>
      <c r="F3" s="79"/>
      <c r="G3" s="50"/>
      <c r="H3" s="81"/>
      <c r="I3" s="81"/>
      <c r="J3" s="82"/>
      <c r="K3" s="27"/>
      <c r="L3" s="27"/>
      <c r="M3" s="26"/>
      <c r="N3" s="26"/>
      <c r="O3" s="28"/>
    </row>
    <row r="4" spans="1:15" s="20" customFormat="1" ht="13.5" thickBot="1" x14ac:dyDescent="0.25">
      <c r="A4" s="23" t="s">
        <v>170</v>
      </c>
      <c r="B4" s="22" t="s">
        <v>178</v>
      </c>
      <c r="C4" s="23"/>
      <c r="D4" s="79"/>
      <c r="E4" s="79"/>
      <c r="F4" s="79"/>
      <c r="G4" s="50"/>
      <c r="H4" s="81"/>
      <c r="I4" s="81"/>
      <c r="J4" s="82"/>
      <c r="K4" s="27"/>
      <c r="L4" s="27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7"/>
      <c r="M5" s="26"/>
      <c r="N5" s="26"/>
      <c r="O5" s="26"/>
    </row>
    <row r="6" spans="1:15" s="20" customFormat="1" x14ac:dyDescent="0.2">
      <c r="A6" s="7" t="s">
        <v>33</v>
      </c>
      <c r="B6" s="6"/>
      <c r="C6" s="6"/>
      <c r="D6" s="6"/>
      <c r="E6" s="6"/>
      <c r="F6" s="6"/>
      <c r="G6" s="6"/>
      <c r="H6" s="6"/>
      <c r="I6" s="6"/>
      <c r="J6" s="5"/>
      <c r="K6" s="27"/>
      <c r="L6" s="27"/>
      <c r="M6" s="26"/>
      <c r="N6" s="26"/>
      <c r="O6" s="26"/>
    </row>
    <row r="7" spans="1:15" s="20" customFormat="1" ht="25.5" x14ac:dyDescent="0.2">
      <c r="A7" s="106" t="s">
        <v>160</v>
      </c>
      <c r="B7" s="107" t="s">
        <v>69</v>
      </c>
      <c r="C7" s="107" t="s">
        <v>19</v>
      </c>
      <c r="D7" s="107" t="s">
        <v>6</v>
      </c>
      <c r="E7" s="107" t="s">
        <v>13</v>
      </c>
      <c r="F7" s="108" t="s">
        <v>67</v>
      </c>
      <c r="G7" s="108" t="s">
        <v>68</v>
      </c>
      <c r="H7" s="108" t="s">
        <v>29</v>
      </c>
      <c r="I7" s="109" t="s">
        <v>75</v>
      </c>
      <c r="J7" s="110" t="s">
        <v>8</v>
      </c>
      <c r="K7" s="27"/>
    </row>
    <row r="8" spans="1:15" s="20" customFormat="1" x14ac:dyDescent="0.2">
      <c r="A8" s="40"/>
      <c r="B8" s="16"/>
      <c r="C8" s="16"/>
      <c r="D8" s="43"/>
      <c r="E8" s="42" t="s">
        <v>15</v>
      </c>
      <c r="F8" s="15" t="s">
        <v>136</v>
      </c>
      <c r="G8" s="15"/>
      <c r="H8" s="15" t="s">
        <v>138</v>
      </c>
      <c r="I8" s="44" t="s">
        <v>9</v>
      </c>
      <c r="J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5" s="137" customFormat="1" ht="12.75" customHeight="1" thickBot="1" x14ac:dyDescent="0.25">
      <c r="A10" s="120" t="s">
        <v>62</v>
      </c>
      <c r="B10" s="86"/>
      <c r="C10" s="86"/>
      <c r="D10" s="121"/>
      <c r="E10" s="121"/>
      <c r="F10" s="122"/>
      <c r="G10" s="121"/>
      <c r="H10" s="123">
        <v>908.96946773429011</v>
      </c>
      <c r="I10" s="86">
        <v>1</v>
      </c>
      <c r="J10" s="101">
        <v>1.1011508529302824E-3</v>
      </c>
    </row>
    <row r="11" spans="1:15" s="137" customFormat="1" x14ac:dyDescent="0.2">
      <c r="A11" s="111" t="s">
        <v>1698</v>
      </c>
      <c r="B11" s="140" t="s">
        <v>180</v>
      </c>
      <c r="C11" s="140" t="s">
        <v>180</v>
      </c>
      <c r="D11" s="141" t="s">
        <v>180</v>
      </c>
      <c r="E11" s="141" t="s">
        <v>180</v>
      </c>
      <c r="F11" s="153" t="s">
        <v>180</v>
      </c>
      <c r="G11" s="141" t="s">
        <v>180</v>
      </c>
      <c r="H11" s="142">
        <v>118.53454762915197</v>
      </c>
      <c r="I11" s="140">
        <v>0.13040542266464994</v>
      </c>
      <c r="J11" s="140">
        <v>1.4359604239391323E-4</v>
      </c>
    </row>
    <row r="12" spans="1:15" s="137" customFormat="1" x14ac:dyDescent="0.2">
      <c r="A12" s="112" t="s">
        <v>1523</v>
      </c>
      <c r="B12" s="144" t="s">
        <v>180</v>
      </c>
      <c r="C12" s="144" t="s">
        <v>180</v>
      </c>
      <c r="D12" s="145" t="s">
        <v>180</v>
      </c>
      <c r="E12" s="145" t="s">
        <v>180</v>
      </c>
      <c r="F12" s="155" t="s">
        <v>180</v>
      </c>
      <c r="G12" s="145" t="s">
        <v>180</v>
      </c>
      <c r="H12" s="146">
        <v>0</v>
      </c>
      <c r="I12" s="144">
        <v>0</v>
      </c>
      <c r="J12" s="144">
        <v>0</v>
      </c>
    </row>
    <row r="13" spans="1:15" s="137" customFormat="1" x14ac:dyDescent="0.2">
      <c r="A13" s="112" t="s">
        <v>1525</v>
      </c>
      <c r="B13" s="144" t="s">
        <v>180</v>
      </c>
      <c r="C13" s="144" t="s">
        <v>180</v>
      </c>
      <c r="D13" s="145" t="s">
        <v>180</v>
      </c>
      <c r="E13" s="145" t="s">
        <v>180</v>
      </c>
      <c r="F13" s="155" t="s">
        <v>180</v>
      </c>
      <c r="G13" s="145" t="s">
        <v>180</v>
      </c>
      <c r="H13" s="146">
        <v>0</v>
      </c>
      <c r="I13" s="144">
        <v>0</v>
      </c>
      <c r="J13" s="144">
        <v>0</v>
      </c>
    </row>
    <row r="14" spans="1:15" s="137" customFormat="1" x14ac:dyDescent="0.2">
      <c r="A14" s="112" t="s">
        <v>1699</v>
      </c>
      <c r="B14" s="144" t="s">
        <v>180</v>
      </c>
      <c r="C14" s="144" t="s">
        <v>180</v>
      </c>
      <c r="D14" s="145" t="s">
        <v>180</v>
      </c>
      <c r="E14" s="145" t="s">
        <v>180</v>
      </c>
      <c r="F14" s="155" t="s">
        <v>180</v>
      </c>
      <c r="G14" s="145" t="s">
        <v>180</v>
      </c>
      <c r="H14" s="146">
        <v>0</v>
      </c>
      <c r="I14" s="144">
        <v>0</v>
      </c>
      <c r="J14" s="144">
        <v>0</v>
      </c>
    </row>
    <row r="15" spans="1:15" s="137" customFormat="1" x14ac:dyDescent="0.2">
      <c r="A15" s="112" t="s">
        <v>1696</v>
      </c>
      <c r="B15" s="144" t="s">
        <v>180</v>
      </c>
      <c r="C15" s="144" t="s">
        <v>180</v>
      </c>
      <c r="D15" s="145" t="s">
        <v>180</v>
      </c>
      <c r="E15" s="145" t="s">
        <v>180</v>
      </c>
      <c r="F15" s="155" t="s">
        <v>180</v>
      </c>
      <c r="G15" s="145" t="s">
        <v>180</v>
      </c>
      <c r="H15" s="146">
        <v>52.769810867719059</v>
      </c>
      <c r="I15" s="144">
        <v>5.8054547199757792E-2</v>
      </c>
      <c r="J15" s="144">
        <v>6.3926814165494623E-5</v>
      </c>
    </row>
    <row r="16" spans="1:15" x14ac:dyDescent="0.2">
      <c r="A16" s="30" t="s">
        <v>1702</v>
      </c>
      <c r="B16" s="38" t="s">
        <v>1707</v>
      </c>
      <c r="C16" s="38" t="s">
        <v>390</v>
      </c>
      <c r="D16" s="80" t="s">
        <v>128</v>
      </c>
      <c r="E16" s="80" t="s">
        <v>1705</v>
      </c>
      <c r="F16" s="88">
        <v>671730.84</v>
      </c>
      <c r="G16" s="80">
        <v>1.0002</v>
      </c>
      <c r="H16" s="104">
        <v>2608.8511600000002</v>
      </c>
      <c r="I16" s="38">
        <v>2.8701196823506723</v>
      </c>
      <c r="J16" s="38">
        <v>3.1604347362324337E-3</v>
      </c>
      <c r="K16" s="28"/>
      <c r="L16" s="28"/>
      <c r="M16" s="28"/>
      <c r="N16" s="28"/>
    </row>
    <row r="17" spans="1:14" x14ac:dyDescent="0.2">
      <c r="A17" s="30" t="s">
        <v>1700</v>
      </c>
      <c r="B17" s="38" t="s">
        <v>1708</v>
      </c>
      <c r="C17" s="38" t="s">
        <v>390</v>
      </c>
      <c r="D17" s="80" t="s">
        <v>127</v>
      </c>
      <c r="E17" s="80" t="s">
        <v>1705</v>
      </c>
      <c r="F17" s="88">
        <v>-736922.32</v>
      </c>
      <c r="G17" s="80">
        <v>0.99990000000000001</v>
      </c>
      <c r="H17" s="104">
        <v>-2554.1267799999996</v>
      </c>
      <c r="I17" s="38">
        <v>-2.8099148218547447</v>
      </c>
      <c r="J17" s="38">
        <v>-3.0941401027467941E-3</v>
      </c>
      <c r="K17" s="28"/>
      <c r="L17" s="28"/>
      <c r="M17" s="28"/>
      <c r="N17" s="28"/>
    </row>
    <row r="18" spans="1:14" x14ac:dyDescent="0.2">
      <c r="A18" s="30" t="s">
        <v>1702</v>
      </c>
      <c r="B18" s="38" t="s">
        <v>1709</v>
      </c>
      <c r="C18" s="38" t="s">
        <v>390</v>
      </c>
      <c r="D18" s="80" t="s">
        <v>128</v>
      </c>
      <c r="E18" s="80" t="s">
        <v>1710</v>
      </c>
      <c r="F18" s="88">
        <v>118267.43760400529</v>
      </c>
      <c r="G18" s="80">
        <v>1.0002</v>
      </c>
      <c r="H18" s="104">
        <v>459.32406803400914</v>
      </c>
      <c r="I18" s="38">
        <v>0.505323978789878</v>
      </c>
      <c r="J18" s="38">
        <v>5.5643793025059814E-4</v>
      </c>
      <c r="K18" s="28"/>
      <c r="L18" s="28"/>
      <c r="M18" s="28"/>
      <c r="N18" s="28"/>
    </row>
    <row r="19" spans="1:14" x14ac:dyDescent="0.2">
      <c r="A19" s="30" t="s">
        <v>1700</v>
      </c>
      <c r="B19" s="38" t="s">
        <v>1711</v>
      </c>
      <c r="C19" s="38" t="s">
        <v>390</v>
      </c>
      <c r="D19" s="80" t="s">
        <v>127</v>
      </c>
      <c r="E19" s="80" t="s">
        <v>1710</v>
      </c>
      <c r="F19" s="88">
        <v>-133189.24020650264</v>
      </c>
      <c r="G19" s="80">
        <v>0.99990000000000001</v>
      </c>
      <c r="H19" s="104">
        <v>-461.62559706179974</v>
      </c>
      <c r="I19" s="38">
        <v>-0.50785599896160882</v>
      </c>
      <c r="J19" s="38">
        <v>-5.5922606642233618E-4</v>
      </c>
      <c r="K19" s="28"/>
      <c r="L19" s="28"/>
      <c r="M19" s="28"/>
      <c r="N19" s="28"/>
    </row>
    <row r="20" spans="1:14" x14ac:dyDescent="0.2">
      <c r="A20" s="30" t="s">
        <v>1700</v>
      </c>
      <c r="B20" s="38" t="s">
        <v>1701</v>
      </c>
      <c r="C20" s="38" t="s">
        <v>390</v>
      </c>
      <c r="D20" s="80" t="s">
        <v>127</v>
      </c>
      <c r="E20" s="80" t="s">
        <v>1693</v>
      </c>
      <c r="F20" s="88">
        <v>106.76637502856452</v>
      </c>
      <c r="G20" s="80">
        <v>0.99990000000000001</v>
      </c>
      <c r="H20" s="104">
        <v>0.37004549974734297</v>
      </c>
      <c r="I20" s="38">
        <v>4.0710443296816505E-4</v>
      </c>
      <c r="J20" s="38">
        <v>4.482833935945939E-7</v>
      </c>
      <c r="K20" s="28"/>
      <c r="L20" s="28"/>
      <c r="M20" s="28"/>
      <c r="N20" s="28"/>
    </row>
    <row r="21" spans="1:14" x14ac:dyDescent="0.2">
      <c r="A21" s="30" t="s">
        <v>1702</v>
      </c>
      <c r="B21" s="38" t="s">
        <v>1703</v>
      </c>
      <c r="C21" s="38" t="s">
        <v>390</v>
      </c>
      <c r="D21" s="80" t="s">
        <v>128</v>
      </c>
      <c r="E21" s="80" t="s">
        <v>1693</v>
      </c>
      <c r="F21" s="88">
        <v>-95.089397068546958</v>
      </c>
      <c r="G21" s="80">
        <v>1.0002</v>
      </c>
      <c r="H21" s="104">
        <v>-0.36930570423814962</v>
      </c>
      <c r="I21" s="38">
        <v>-4.0629054918498656E-4</v>
      </c>
      <c r="J21" s="38">
        <v>-4.4738718477256079E-7</v>
      </c>
      <c r="K21" s="28"/>
      <c r="L21" s="28"/>
      <c r="M21" s="28"/>
      <c r="N21" s="28"/>
    </row>
    <row r="22" spans="1:14" x14ac:dyDescent="0.2">
      <c r="A22" s="30" t="s">
        <v>1702</v>
      </c>
      <c r="B22" s="38" t="s">
        <v>1704</v>
      </c>
      <c r="C22" s="38" t="s">
        <v>390</v>
      </c>
      <c r="D22" s="80" t="s">
        <v>128</v>
      </c>
      <c r="E22" s="80" t="s">
        <v>1705</v>
      </c>
      <c r="F22" s="88">
        <v>4213.9399999999996</v>
      </c>
      <c r="G22" s="80">
        <v>1.0002</v>
      </c>
      <c r="H22" s="104">
        <v>16.36599</v>
      </c>
      <c r="I22" s="38">
        <v>1.8004994206014525E-2</v>
      </c>
      <c r="J22" s="38">
        <v>1.9826214726957687E-5</v>
      </c>
      <c r="K22" s="28"/>
      <c r="L22" s="28"/>
      <c r="M22" s="28"/>
      <c r="N22" s="28"/>
    </row>
    <row r="23" spans="1:14" x14ac:dyDescent="0.2">
      <c r="A23" s="30" t="s">
        <v>1700</v>
      </c>
      <c r="B23" s="38" t="s">
        <v>1706</v>
      </c>
      <c r="C23" s="38" t="s">
        <v>390</v>
      </c>
      <c r="D23" s="80" t="s">
        <v>127</v>
      </c>
      <c r="E23" s="80" t="s">
        <v>1705</v>
      </c>
      <c r="F23" s="88">
        <v>-4622.0600000000004</v>
      </c>
      <c r="G23" s="80">
        <v>0.99990000000000001</v>
      </c>
      <c r="H23" s="104">
        <v>-16.019770000000001</v>
      </c>
      <c r="I23" s="38">
        <v>-1.762410132425141E-2</v>
      </c>
      <c r="J23" s="38">
        <v>-1.9406794205329161E-5</v>
      </c>
      <c r="K23" s="28"/>
      <c r="L23" s="28"/>
      <c r="M23" s="28"/>
      <c r="N23" s="28"/>
    </row>
    <row r="24" spans="1:14" s="137" customFormat="1" x14ac:dyDescent="0.2">
      <c r="A24" s="112" t="s">
        <v>1663</v>
      </c>
      <c r="B24" s="144" t="s">
        <v>180</v>
      </c>
      <c r="C24" s="144" t="s">
        <v>180</v>
      </c>
      <c r="D24" s="145" t="s">
        <v>180</v>
      </c>
      <c r="E24" s="145" t="s">
        <v>180</v>
      </c>
      <c r="F24" s="155" t="s">
        <v>180</v>
      </c>
      <c r="G24" s="145" t="s">
        <v>180</v>
      </c>
      <c r="H24" s="146">
        <v>65.764736461433017</v>
      </c>
      <c r="I24" s="144">
        <v>7.2350875134848155E-2</v>
      </c>
      <c r="J24" s="144">
        <v>7.9669227864990412E-5</v>
      </c>
    </row>
    <row r="25" spans="1:14" x14ac:dyDescent="0.2">
      <c r="A25" s="30" t="s">
        <v>1712</v>
      </c>
      <c r="B25" s="38" t="s">
        <v>1716</v>
      </c>
      <c r="C25" s="38" t="s">
        <v>390</v>
      </c>
      <c r="D25" s="80" t="s">
        <v>186</v>
      </c>
      <c r="E25" s="80" t="s">
        <v>1670</v>
      </c>
      <c r="F25" s="88">
        <v>1064061</v>
      </c>
      <c r="G25" s="80">
        <v>1.0001</v>
      </c>
      <c r="H25" s="104">
        <v>1064.1705900000002</v>
      </c>
      <c r="I25" s="38">
        <v>1.1707440434193752</v>
      </c>
      <c r="J25" s="38">
        <v>1.2891658019742926E-3</v>
      </c>
      <c r="K25" s="28"/>
      <c r="L25" s="28"/>
      <c r="M25" s="28"/>
      <c r="N25" s="28"/>
    </row>
    <row r="26" spans="1:14" x14ac:dyDescent="0.2">
      <c r="A26" s="30" t="s">
        <v>1714</v>
      </c>
      <c r="B26" s="38" t="s">
        <v>1717</v>
      </c>
      <c r="C26" s="38" t="s">
        <v>390</v>
      </c>
      <c r="D26" s="80" t="s">
        <v>127</v>
      </c>
      <c r="E26" s="80" t="s">
        <v>1670</v>
      </c>
      <c r="F26" s="88">
        <v>-309500</v>
      </c>
      <c r="G26" s="80">
        <v>0.99990000000000001</v>
      </c>
      <c r="H26" s="104">
        <v>-1072.7151999999999</v>
      </c>
      <c r="I26" s="38">
        <v>-1.1801443701666512</v>
      </c>
      <c r="J26" s="38">
        <v>-1.2995169797898787E-3</v>
      </c>
      <c r="K26" s="28"/>
      <c r="L26" s="28"/>
      <c r="M26" s="28"/>
      <c r="N26" s="28"/>
    </row>
    <row r="27" spans="1:14" x14ac:dyDescent="0.2">
      <c r="A27" s="30" t="s">
        <v>1718</v>
      </c>
      <c r="B27" s="38" t="s">
        <v>1719</v>
      </c>
      <c r="C27" s="38" t="s">
        <v>390</v>
      </c>
      <c r="D27" s="80" t="s">
        <v>186</v>
      </c>
      <c r="E27" s="80" t="s">
        <v>1674</v>
      </c>
      <c r="F27" s="88">
        <v>1060656.5</v>
      </c>
      <c r="G27" s="80">
        <v>1.0002</v>
      </c>
      <c r="H27" s="104">
        <v>1060.94075</v>
      </c>
      <c r="I27" s="38">
        <v>1.1671907447502232</v>
      </c>
      <c r="J27" s="38">
        <v>1.2852530841140398E-3</v>
      </c>
      <c r="K27" s="28"/>
      <c r="L27" s="28"/>
      <c r="M27" s="28"/>
      <c r="N27" s="28"/>
    </row>
    <row r="28" spans="1:14" x14ac:dyDescent="0.2">
      <c r="A28" s="30" t="s">
        <v>1720</v>
      </c>
      <c r="B28" s="38" t="s">
        <v>1721</v>
      </c>
      <c r="C28" s="38" t="s">
        <v>390</v>
      </c>
      <c r="D28" s="80" t="s">
        <v>127</v>
      </c>
      <c r="E28" s="80" t="s">
        <v>1674</v>
      </c>
      <c r="F28" s="88">
        <v>-309500</v>
      </c>
      <c r="G28" s="80">
        <v>0.99990000000000001</v>
      </c>
      <c r="H28" s="104">
        <v>-1072.70769</v>
      </c>
      <c r="I28" s="38">
        <v>-1.180136108062954</v>
      </c>
      <c r="J28" s="38">
        <v>-1.2995078819673458E-3</v>
      </c>
      <c r="K28" s="28"/>
      <c r="L28" s="28"/>
      <c r="M28" s="28"/>
      <c r="N28" s="28"/>
    </row>
    <row r="29" spans="1:14" x14ac:dyDescent="0.2">
      <c r="A29" s="30" t="s">
        <v>1727</v>
      </c>
      <c r="B29" s="38" t="s">
        <v>1728</v>
      </c>
      <c r="C29" s="38" t="s">
        <v>390</v>
      </c>
      <c r="D29" s="80" t="s">
        <v>186</v>
      </c>
      <c r="E29" s="80" t="s">
        <v>1729</v>
      </c>
      <c r="F29" s="88">
        <v>513505.9</v>
      </c>
      <c r="G29" s="80">
        <v>1.0033000000000001</v>
      </c>
      <c r="H29" s="104">
        <v>515.2133</v>
      </c>
      <c r="I29" s="38">
        <v>0.56681034763931937</v>
      </c>
      <c r="J29" s="38">
        <v>6.2414369775274639E-4</v>
      </c>
      <c r="K29" s="28"/>
      <c r="L29" s="28"/>
      <c r="M29" s="28"/>
      <c r="N29" s="28"/>
    </row>
    <row r="30" spans="1:14" x14ac:dyDescent="0.2">
      <c r="A30" s="30" t="s">
        <v>1730</v>
      </c>
      <c r="B30" s="38" t="s">
        <v>1731</v>
      </c>
      <c r="C30" s="38" t="s">
        <v>390</v>
      </c>
      <c r="D30" s="80" t="s">
        <v>127</v>
      </c>
      <c r="E30" s="80" t="s">
        <v>1729</v>
      </c>
      <c r="F30" s="88">
        <v>-145000</v>
      </c>
      <c r="G30" s="80">
        <v>0.99970000000000003</v>
      </c>
      <c r="H30" s="104">
        <v>-502.46546000000001</v>
      </c>
      <c r="I30" s="38">
        <v>-0.55278585016992088</v>
      </c>
      <c r="J30" s="38">
        <v>-6.0870061040239963E-4</v>
      </c>
      <c r="K30" s="28"/>
      <c r="L30" s="28"/>
      <c r="M30" s="28"/>
      <c r="N30" s="28"/>
    </row>
    <row r="31" spans="1:14" x14ac:dyDescent="0.2">
      <c r="A31" s="30" t="s">
        <v>1727</v>
      </c>
      <c r="B31" s="38" t="s">
        <v>1732</v>
      </c>
      <c r="C31" s="38" t="s">
        <v>390</v>
      </c>
      <c r="D31" s="80" t="s">
        <v>186</v>
      </c>
      <c r="E31" s="80" t="s">
        <v>345</v>
      </c>
      <c r="F31" s="88">
        <v>510265.15</v>
      </c>
      <c r="G31" s="80">
        <v>1.0033000000000001</v>
      </c>
      <c r="H31" s="104">
        <v>511.96178000000003</v>
      </c>
      <c r="I31" s="38">
        <v>0.56323319778399494</v>
      </c>
      <c r="J31" s="38">
        <v>6.2020471613849644E-4</v>
      </c>
      <c r="K31" s="28"/>
      <c r="L31" s="28"/>
      <c r="M31" s="28"/>
      <c r="N31" s="28"/>
    </row>
    <row r="32" spans="1:14" x14ac:dyDescent="0.2">
      <c r="A32" s="30" t="s">
        <v>1730</v>
      </c>
      <c r="B32" s="38" t="s">
        <v>1733</v>
      </c>
      <c r="C32" s="38" t="s">
        <v>390</v>
      </c>
      <c r="D32" s="80" t="s">
        <v>127</v>
      </c>
      <c r="E32" s="80" t="s">
        <v>345</v>
      </c>
      <c r="F32" s="88">
        <v>-145000</v>
      </c>
      <c r="G32" s="80">
        <v>0.99970000000000003</v>
      </c>
      <c r="H32" s="104">
        <v>-502.46546000000001</v>
      </c>
      <c r="I32" s="38">
        <v>-0.55278585016992088</v>
      </c>
      <c r="J32" s="38">
        <v>-6.0870061040239963E-4</v>
      </c>
      <c r="K32" s="28"/>
      <c r="L32" s="28"/>
      <c r="M32" s="28"/>
      <c r="N32" s="28"/>
    </row>
    <row r="33" spans="1:14" x14ac:dyDescent="0.2">
      <c r="A33" s="30" t="s">
        <v>1740</v>
      </c>
      <c r="B33" s="38" t="s">
        <v>1741</v>
      </c>
      <c r="C33" s="38" t="s">
        <v>390</v>
      </c>
      <c r="D33" s="80" t="s">
        <v>186</v>
      </c>
      <c r="E33" s="80" t="s">
        <v>1742</v>
      </c>
      <c r="F33" s="88">
        <v>14152000</v>
      </c>
      <c r="G33" s="80">
        <v>1.0027999999999999</v>
      </c>
      <c r="H33" s="104">
        <v>14192.771909999999</v>
      </c>
      <c r="I33" s="38">
        <v>15.614134922900217</v>
      </c>
      <c r="J33" s="38">
        <v>1.7193517988120081E-2</v>
      </c>
      <c r="K33" s="28"/>
      <c r="L33" s="28"/>
      <c r="M33" s="28"/>
      <c r="N33" s="28"/>
    </row>
    <row r="34" spans="1:14" x14ac:dyDescent="0.2">
      <c r="A34" s="30" t="s">
        <v>1743</v>
      </c>
      <c r="B34" s="38" t="s">
        <v>1744</v>
      </c>
      <c r="C34" s="38" t="s">
        <v>390</v>
      </c>
      <c r="D34" s="80" t="s">
        <v>127</v>
      </c>
      <c r="E34" s="80" t="s">
        <v>1742</v>
      </c>
      <c r="F34" s="88">
        <v>-4000000</v>
      </c>
      <c r="G34" s="80">
        <v>0.99980000000000002</v>
      </c>
      <c r="H34" s="104">
        <v>-13861.39356</v>
      </c>
      <c r="I34" s="38">
        <v>-15.249570037320508</v>
      </c>
      <c r="J34" s="38">
        <v>-1.6792077053415556E-2</v>
      </c>
      <c r="K34" s="28"/>
      <c r="L34" s="28"/>
      <c r="M34" s="28"/>
      <c r="N34" s="28"/>
    </row>
    <row r="35" spans="1:14" x14ac:dyDescent="0.2">
      <c r="A35" s="30" t="s">
        <v>1736</v>
      </c>
      <c r="B35" s="38" t="s">
        <v>1745</v>
      </c>
      <c r="C35" s="38" t="s">
        <v>390</v>
      </c>
      <c r="D35" s="80" t="s">
        <v>186</v>
      </c>
      <c r="E35" s="80" t="s">
        <v>376</v>
      </c>
      <c r="F35" s="88">
        <v>4536480</v>
      </c>
      <c r="G35" s="80">
        <v>1.0022</v>
      </c>
      <c r="H35" s="104">
        <v>4546.8866799999996</v>
      </c>
      <c r="I35" s="38">
        <v>5.0022435751704979</v>
      </c>
      <c r="J35" s="38">
        <v>5.5082247793640186E-3</v>
      </c>
      <c r="K35" s="28"/>
      <c r="L35" s="28"/>
      <c r="M35" s="28"/>
      <c r="N35" s="28"/>
    </row>
    <row r="36" spans="1:14" x14ac:dyDescent="0.2">
      <c r="A36" s="30" t="s">
        <v>1738</v>
      </c>
      <c r="B36" s="38" t="s">
        <v>1746</v>
      </c>
      <c r="C36" s="38" t="s">
        <v>390</v>
      </c>
      <c r="D36" s="80" t="s">
        <v>127</v>
      </c>
      <c r="E36" s="80" t="s">
        <v>376</v>
      </c>
      <c r="F36" s="88">
        <v>-1300000</v>
      </c>
      <c r="G36" s="80">
        <v>0.99980000000000002</v>
      </c>
      <c r="H36" s="104">
        <v>-4505.0835700000007</v>
      </c>
      <c r="I36" s="38">
        <v>-4.9562540106318798</v>
      </c>
      <c r="J36" s="38">
        <v>-5.4575833311464273E-3</v>
      </c>
      <c r="K36" s="28"/>
      <c r="L36" s="28"/>
      <c r="M36" s="28"/>
      <c r="N36" s="28"/>
    </row>
    <row r="37" spans="1:14" x14ac:dyDescent="0.2">
      <c r="A37" s="30" t="s">
        <v>1747</v>
      </c>
      <c r="B37" s="38" t="s">
        <v>1748</v>
      </c>
      <c r="C37" s="38" t="s">
        <v>390</v>
      </c>
      <c r="D37" s="80" t="s">
        <v>186</v>
      </c>
      <c r="E37" s="80" t="s">
        <v>1342</v>
      </c>
      <c r="F37" s="88">
        <v>1023709</v>
      </c>
      <c r="G37" s="80">
        <v>1.0089999999999999</v>
      </c>
      <c r="H37" s="104">
        <v>1032.9479699999999</v>
      </c>
      <c r="I37" s="38">
        <v>1.1363945728284366</v>
      </c>
      <c r="J37" s="38">
        <v>1.2513418531353768E-3</v>
      </c>
      <c r="K37" s="28"/>
      <c r="L37" s="28"/>
      <c r="M37" s="28"/>
      <c r="N37" s="28"/>
    </row>
    <row r="38" spans="1:14" x14ac:dyDescent="0.2">
      <c r="A38" s="30" t="s">
        <v>1749</v>
      </c>
      <c r="B38" s="38" t="s">
        <v>1750</v>
      </c>
      <c r="C38" s="38" t="s">
        <v>390</v>
      </c>
      <c r="D38" s="80" t="s">
        <v>127</v>
      </c>
      <c r="E38" s="80" t="s">
        <v>1342</v>
      </c>
      <c r="F38" s="88">
        <v>-295000</v>
      </c>
      <c r="G38" s="80">
        <v>0.99960000000000004</v>
      </c>
      <c r="H38" s="104">
        <v>-1022.14383</v>
      </c>
      <c r="I38" s="38">
        <v>-1.1245084310123308</v>
      </c>
      <c r="J38" s="38">
        <v>-1.2382534179365217E-3</v>
      </c>
      <c r="K38" s="28"/>
      <c r="L38" s="28"/>
      <c r="M38" s="28"/>
      <c r="N38" s="28"/>
    </row>
    <row r="39" spans="1:14" x14ac:dyDescent="0.2">
      <c r="A39" s="30" t="s">
        <v>1747</v>
      </c>
      <c r="B39" s="38" t="s">
        <v>1751</v>
      </c>
      <c r="C39" s="38" t="s">
        <v>390</v>
      </c>
      <c r="D39" s="80" t="s">
        <v>186</v>
      </c>
      <c r="E39" s="80" t="s">
        <v>1752</v>
      </c>
      <c r="F39" s="88">
        <v>3077890</v>
      </c>
      <c r="G39" s="80">
        <v>1.0089999999999999</v>
      </c>
      <c r="H39" s="104">
        <v>3105.6741099999999</v>
      </c>
      <c r="I39" s="38">
        <v>3.4166979422765942</v>
      </c>
      <c r="J39" s="38">
        <v>3.7622998533430123E-3</v>
      </c>
      <c r="K39" s="28"/>
      <c r="L39" s="28"/>
      <c r="M39" s="28"/>
      <c r="N39" s="28"/>
    </row>
    <row r="40" spans="1:14" x14ac:dyDescent="0.2">
      <c r="A40" s="30" t="s">
        <v>1749</v>
      </c>
      <c r="B40" s="38" t="s">
        <v>1753</v>
      </c>
      <c r="C40" s="38" t="s">
        <v>390</v>
      </c>
      <c r="D40" s="80" t="s">
        <v>127</v>
      </c>
      <c r="E40" s="80" t="s">
        <v>1752</v>
      </c>
      <c r="F40" s="88">
        <v>-887000</v>
      </c>
      <c r="G40" s="80">
        <v>0.99960000000000004</v>
      </c>
      <c r="H40" s="104">
        <v>-3073.3674300000002</v>
      </c>
      <c r="I40" s="38">
        <v>-3.3811558463682156</v>
      </c>
      <c r="J40" s="38">
        <v>-3.7231626441185718E-3</v>
      </c>
      <c r="K40" s="28"/>
      <c r="L40" s="28"/>
      <c r="M40" s="28"/>
      <c r="N40" s="28"/>
    </row>
    <row r="41" spans="1:14" x14ac:dyDescent="0.2">
      <c r="A41" s="30" t="s">
        <v>1736</v>
      </c>
      <c r="B41" s="38" t="s">
        <v>1754</v>
      </c>
      <c r="C41" s="38" t="s">
        <v>390</v>
      </c>
      <c r="D41" s="80" t="s">
        <v>186</v>
      </c>
      <c r="E41" s="80" t="s">
        <v>176</v>
      </c>
      <c r="F41" s="88">
        <v>100369.32457736637</v>
      </c>
      <c r="G41" s="80">
        <v>1.0022</v>
      </c>
      <c r="H41" s="104">
        <v>100.59957179700574</v>
      </c>
      <c r="I41" s="38">
        <v>0.11067431345935262</v>
      </c>
      <c r="J41" s="38">
        <v>1.2186911466323958E-4</v>
      </c>
      <c r="K41" s="28"/>
      <c r="L41" s="28"/>
      <c r="M41" s="28"/>
      <c r="N41" s="28"/>
    </row>
    <row r="42" spans="1:14" x14ac:dyDescent="0.2">
      <c r="A42" s="30" t="s">
        <v>1738</v>
      </c>
      <c r="B42" s="38" t="s">
        <v>1755</v>
      </c>
      <c r="C42" s="38" t="s">
        <v>390</v>
      </c>
      <c r="D42" s="80" t="s">
        <v>127</v>
      </c>
      <c r="E42" s="80" t="s">
        <v>176</v>
      </c>
      <c r="F42" s="88">
        <v>-29041.209622802107</v>
      </c>
      <c r="G42" s="80">
        <v>0.99980000000000002</v>
      </c>
      <c r="H42" s="104">
        <v>-100.64082807708436</v>
      </c>
      <c r="I42" s="38">
        <v>-0.11071970143061362</v>
      </c>
      <c r="J42" s="38">
        <v>-1.2191909366650638E-4</v>
      </c>
      <c r="K42" s="28"/>
      <c r="L42" s="28"/>
      <c r="M42" s="28"/>
      <c r="N42" s="28"/>
    </row>
    <row r="43" spans="1:14" x14ac:dyDescent="0.2">
      <c r="A43" s="30" t="s">
        <v>1712</v>
      </c>
      <c r="B43" s="38" t="s">
        <v>1713</v>
      </c>
      <c r="C43" s="38" t="s">
        <v>390</v>
      </c>
      <c r="D43" s="80" t="s">
        <v>186</v>
      </c>
      <c r="E43" s="80" t="s">
        <v>1666</v>
      </c>
      <c r="F43" s="88">
        <v>1992803.96</v>
      </c>
      <c r="G43" s="80">
        <v>1.0001</v>
      </c>
      <c r="H43" s="104">
        <v>1993.0092099999999</v>
      </c>
      <c r="I43" s="38">
        <v>2.1926030309552669</v>
      </c>
      <c r="J43" s="38">
        <v>2.4143866976739144E-3</v>
      </c>
      <c r="K43" s="28"/>
      <c r="L43" s="28"/>
      <c r="M43" s="28"/>
      <c r="N43" s="28"/>
    </row>
    <row r="44" spans="1:14" x14ac:dyDescent="0.2">
      <c r="A44" s="30" t="s">
        <v>1714</v>
      </c>
      <c r="B44" s="38" t="s">
        <v>1715</v>
      </c>
      <c r="C44" s="38" t="s">
        <v>390</v>
      </c>
      <c r="D44" s="80" t="s">
        <v>127</v>
      </c>
      <c r="E44" s="80" t="s">
        <v>1666</v>
      </c>
      <c r="F44" s="88">
        <v>-580840</v>
      </c>
      <c r="G44" s="80">
        <v>0.99990000000000001</v>
      </c>
      <c r="H44" s="104">
        <v>-2013.16929</v>
      </c>
      <c r="I44" s="38">
        <v>-2.2147820817546862</v>
      </c>
      <c r="J44" s="38">
        <v>-2.4388091783788791E-3</v>
      </c>
      <c r="K44" s="28"/>
      <c r="L44" s="28"/>
      <c r="M44" s="28"/>
      <c r="N44" s="28"/>
    </row>
    <row r="45" spans="1:14" x14ac:dyDescent="0.2">
      <c r="A45" s="30" t="s">
        <v>1722</v>
      </c>
      <c r="B45" s="38" t="s">
        <v>1723</v>
      </c>
      <c r="C45" s="38" t="s">
        <v>390</v>
      </c>
      <c r="D45" s="80" t="s">
        <v>186</v>
      </c>
      <c r="E45" s="80" t="s">
        <v>1724</v>
      </c>
      <c r="F45" s="88">
        <v>20431800</v>
      </c>
      <c r="G45" s="80">
        <v>1.0004999999999999</v>
      </c>
      <c r="H45" s="104">
        <v>20443.507420000002</v>
      </c>
      <c r="I45" s="38">
        <v>22.490862614954242</v>
      </c>
      <c r="J45" s="38">
        <v>2.4765832551594667E-2</v>
      </c>
      <c r="K45" s="28"/>
      <c r="L45" s="28"/>
      <c r="M45" s="28"/>
      <c r="N45" s="28"/>
    </row>
    <row r="46" spans="1:14" x14ac:dyDescent="0.2">
      <c r="A46" s="30" t="s">
        <v>1725</v>
      </c>
      <c r="B46" s="38" t="s">
        <v>1726</v>
      </c>
      <c r="C46" s="38" t="s">
        <v>390</v>
      </c>
      <c r="D46" s="80" t="s">
        <v>127</v>
      </c>
      <c r="E46" s="80" t="s">
        <v>1724</v>
      </c>
      <c r="F46" s="88">
        <v>-6000000</v>
      </c>
      <c r="G46" s="80">
        <v>0.99990000000000001</v>
      </c>
      <c r="H46" s="104">
        <v>-20795.064180000001</v>
      </c>
      <c r="I46" s="38">
        <v>-22.877626717027212</v>
      </c>
      <c r="J46" s="38">
        <v>-2.5191718172475133E-2</v>
      </c>
      <c r="K46" s="28"/>
      <c r="L46" s="28"/>
      <c r="M46" s="28"/>
      <c r="N46" s="28"/>
    </row>
    <row r="47" spans="1:14" x14ac:dyDescent="0.2">
      <c r="A47" s="30" t="s">
        <v>1727</v>
      </c>
      <c r="B47" s="38" t="s">
        <v>1734</v>
      </c>
      <c r="C47" s="38" t="s">
        <v>390</v>
      </c>
      <c r="D47" s="80" t="s">
        <v>186</v>
      </c>
      <c r="E47" s="80" t="s">
        <v>345</v>
      </c>
      <c r="F47" s="88">
        <v>511232.3</v>
      </c>
      <c r="G47" s="80">
        <v>1.0033000000000001</v>
      </c>
      <c r="H47" s="104">
        <v>512.93163000000004</v>
      </c>
      <c r="I47" s="38">
        <v>0.56430017531671395</v>
      </c>
      <c r="J47" s="38">
        <v>6.2137961935870747E-4</v>
      </c>
      <c r="K47" s="28"/>
      <c r="L47" s="28"/>
      <c r="M47" s="28"/>
      <c r="N47" s="28"/>
    </row>
    <row r="48" spans="1:14" x14ac:dyDescent="0.2">
      <c r="A48" s="30" t="s">
        <v>1730</v>
      </c>
      <c r="B48" s="38" t="s">
        <v>1735</v>
      </c>
      <c r="C48" s="38" t="s">
        <v>390</v>
      </c>
      <c r="D48" s="80" t="s">
        <v>127</v>
      </c>
      <c r="E48" s="80" t="s">
        <v>345</v>
      </c>
      <c r="F48" s="88">
        <v>-145000</v>
      </c>
      <c r="G48" s="80">
        <v>0.99970000000000003</v>
      </c>
      <c r="H48" s="104">
        <v>-502.46546000000001</v>
      </c>
      <c r="I48" s="38">
        <v>-0.55278585016992088</v>
      </c>
      <c r="J48" s="38">
        <v>-6.0870061040239963E-4</v>
      </c>
      <c r="K48" s="28"/>
      <c r="L48" s="28"/>
      <c r="M48" s="28"/>
      <c r="N48" s="28"/>
    </row>
    <row r="49" spans="1:14" x14ac:dyDescent="0.2">
      <c r="A49" s="30" t="s">
        <v>1736</v>
      </c>
      <c r="B49" s="38" t="s">
        <v>1737</v>
      </c>
      <c r="C49" s="38" t="s">
        <v>390</v>
      </c>
      <c r="D49" s="80" t="s">
        <v>186</v>
      </c>
      <c r="E49" s="80" t="s">
        <v>791</v>
      </c>
      <c r="F49" s="88">
        <v>429134.52544949902</v>
      </c>
      <c r="G49" s="80">
        <v>1.0022</v>
      </c>
      <c r="H49" s="104">
        <v>430.11896005088016</v>
      </c>
      <c r="I49" s="38">
        <v>0.47319406791847546</v>
      </c>
      <c r="J49" s="38">
        <v>5.2105805148997919E-4</v>
      </c>
      <c r="K49" s="28"/>
      <c r="L49" s="28"/>
      <c r="M49" s="28"/>
      <c r="N49" s="28"/>
    </row>
    <row r="50" spans="1:14" x14ac:dyDescent="0.2">
      <c r="A50" s="30" t="s">
        <v>1738</v>
      </c>
      <c r="B50" s="38" t="s">
        <v>1739</v>
      </c>
      <c r="C50" s="38" t="s">
        <v>390</v>
      </c>
      <c r="D50" s="80" t="s">
        <v>127</v>
      </c>
      <c r="E50" s="80" t="s">
        <v>791</v>
      </c>
      <c r="F50" s="88">
        <v>-121567.85423498556</v>
      </c>
      <c r="G50" s="80">
        <v>0.99980000000000002</v>
      </c>
      <c r="H50" s="104">
        <v>-421.28718740936802</v>
      </c>
      <c r="I50" s="38">
        <v>-0.46347782006305921</v>
      </c>
      <c r="J50" s="38">
        <v>-5.1035899687670557E-4</v>
      </c>
      <c r="K50" s="28"/>
      <c r="L50" s="28"/>
      <c r="M50" s="28"/>
      <c r="N50" s="28"/>
    </row>
    <row r="51" spans="1:14" s="137" customFormat="1" x14ac:dyDescent="0.2">
      <c r="A51" s="112" t="s">
        <v>1756</v>
      </c>
      <c r="B51" s="144" t="s">
        <v>180</v>
      </c>
      <c r="C51" s="144" t="s">
        <v>180</v>
      </c>
      <c r="D51" s="145" t="s">
        <v>180</v>
      </c>
      <c r="E51" s="145" t="s">
        <v>180</v>
      </c>
      <c r="F51" s="155" t="s">
        <v>180</v>
      </c>
      <c r="G51" s="145" t="s">
        <v>180</v>
      </c>
      <c r="H51" s="146">
        <v>790.43492010513614</v>
      </c>
      <c r="I51" s="144">
        <v>0.86959457733534795</v>
      </c>
      <c r="J51" s="144">
        <v>9.5755481053636676E-4</v>
      </c>
    </row>
    <row r="52" spans="1:14" s="137" customFormat="1" x14ac:dyDescent="0.2">
      <c r="A52" s="112" t="s">
        <v>1523</v>
      </c>
      <c r="B52" s="144" t="s">
        <v>180</v>
      </c>
      <c r="C52" s="144" t="s">
        <v>180</v>
      </c>
      <c r="D52" s="145" t="s">
        <v>180</v>
      </c>
      <c r="E52" s="145" t="s">
        <v>180</v>
      </c>
      <c r="F52" s="155" t="s">
        <v>180</v>
      </c>
      <c r="G52" s="145" t="s">
        <v>180</v>
      </c>
      <c r="H52" s="146">
        <v>0</v>
      </c>
      <c r="I52" s="144">
        <v>0</v>
      </c>
      <c r="J52" s="144">
        <v>0</v>
      </c>
    </row>
    <row r="53" spans="1:14" s="137" customFormat="1" x14ac:dyDescent="0.2">
      <c r="A53" s="112" t="s">
        <v>1526</v>
      </c>
      <c r="B53" s="144" t="s">
        <v>180</v>
      </c>
      <c r="C53" s="144" t="s">
        <v>180</v>
      </c>
      <c r="D53" s="145" t="s">
        <v>180</v>
      </c>
      <c r="E53" s="145" t="s">
        <v>180</v>
      </c>
      <c r="F53" s="155" t="s">
        <v>180</v>
      </c>
      <c r="G53" s="145" t="s">
        <v>180</v>
      </c>
      <c r="H53" s="146">
        <v>101.10959958316455</v>
      </c>
      <c r="I53" s="144">
        <v>0.11123541897968449</v>
      </c>
      <c r="J53" s="144">
        <v>1.224869764855369E-4</v>
      </c>
    </row>
    <row r="54" spans="1:14" x14ac:dyDescent="0.2">
      <c r="A54" s="30" t="s">
        <v>1700</v>
      </c>
      <c r="B54" s="38" t="s">
        <v>1757</v>
      </c>
      <c r="C54" s="38" t="s">
        <v>390</v>
      </c>
      <c r="D54" s="80" t="s">
        <v>127</v>
      </c>
      <c r="E54" s="80" t="s">
        <v>1758</v>
      </c>
      <c r="F54" s="88">
        <v>850964.94</v>
      </c>
      <c r="G54" s="80">
        <v>0.99990000000000001</v>
      </c>
      <c r="H54" s="104">
        <v>2949.3913900000002</v>
      </c>
      <c r="I54" s="38">
        <v>3.2447639823939238</v>
      </c>
      <c r="J54" s="38">
        <v>3.5729746267705287E-3</v>
      </c>
      <c r="K54" s="28"/>
      <c r="L54" s="28"/>
      <c r="M54" s="28"/>
      <c r="N54" s="28"/>
    </row>
    <row r="55" spans="1:14" x14ac:dyDescent="0.2">
      <c r="A55" s="30" t="s">
        <v>1702</v>
      </c>
      <c r="B55" s="38" t="s">
        <v>1759</v>
      </c>
      <c r="C55" s="38" t="s">
        <v>390</v>
      </c>
      <c r="D55" s="80" t="s">
        <v>128</v>
      </c>
      <c r="E55" s="80" t="s">
        <v>1758</v>
      </c>
      <c r="F55" s="88">
        <v>-756315.8</v>
      </c>
      <c r="G55" s="80">
        <v>1.0002</v>
      </c>
      <c r="H55" s="104">
        <v>-2937.3600799999999</v>
      </c>
      <c r="I55" s="38">
        <v>-3.2315277732284065</v>
      </c>
      <c r="J55" s="38">
        <v>-3.5583995637583554E-3</v>
      </c>
      <c r="K55" s="28"/>
      <c r="L55" s="28"/>
      <c r="M55" s="28"/>
      <c r="N55" s="28"/>
    </row>
    <row r="56" spans="1:14" x14ac:dyDescent="0.2">
      <c r="A56" s="30" t="s">
        <v>1702</v>
      </c>
      <c r="B56" s="38" t="s">
        <v>1760</v>
      </c>
      <c r="C56" s="38" t="s">
        <v>390</v>
      </c>
      <c r="D56" s="80" t="s">
        <v>128</v>
      </c>
      <c r="E56" s="80" t="s">
        <v>1683</v>
      </c>
      <c r="F56" s="88">
        <v>127182.06857918156</v>
      </c>
      <c r="G56" s="80">
        <v>1.0002</v>
      </c>
      <c r="H56" s="104">
        <v>493.94648526491028</v>
      </c>
      <c r="I56" s="38">
        <v>0.54341372598149873</v>
      </c>
      <c r="J56" s="38">
        <v>5.9838048785855013E-4</v>
      </c>
      <c r="K56" s="28"/>
      <c r="L56" s="28"/>
      <c r="M56" s="28"/>
      <c r="N56" s="28"/>
    </row>
    <row r="57" spans="1:14" x14ac:dyDescent="0.2">
      <c r="A57" s="30" t="s">
        <v>1700</v>
      </c>
      <c r="B57" s="38" t="s">
        <v>1761</v>
      </c>
      <c r="C57" s="38" t="s">
        <v>390</v>
      </c>
      <c r="D57" s="80" t="s">
        <v>127</v>
      </c>
      <c r="E57" s="80" t="s">
        <v>1683</v>
      </c>
      <c r="F57" s="88">
        <v>-142512.59512571609</v>
      </c>
      <c r="G57" s="80">
        <v>0.99990000000000001</v>
      </c>
      <c r="H57" s="104">
        <v>-493.93976351429325</v>
      </c>
      <c r="I57" s="38">
        <v>-0.54340633106796687</v>
      </c>
      <c r="J57" s="38">
        <v>-5.9837234494320715E-4</v>
      </c>
      <c r="K57" s="28"/>
      <c r="L57" s="28"/>
      <c r="M57" s="28"/>
      <c r="N57" s="28"/>
    </row>
    <row r="58" spans="1:14" x14ac:dyDescent="0.2">
      <c r="A58" s="30" t="s">
        <v>1700</v>
      </c>
      <c r="B58" s="38" t="s">
        <v>1762</v>
      </c>
      <c r="C58" s="38" t="s">
        <v>390</v>
      </c>
      <c r="D58" s="80" t="s">
        <v>127</v>
      </c>
      <c r="E58" s="80" t="s">
        <v>1763</v>
      </c>
      <c r="F58" s="88">
        <v>52168.368405286681</v>
      </c>
      <c r="G58" s="80">
        <v>0.99990000000000001</v>
      </c>
      <c r="H58" s="104">
        <v>180.8123101143608</v>
      </c>
      <c r="I58" s="38">
        <v>0.19892011396714576</v>
      </c>
      <c r="J58" s="38">
        <v>2.1904105315991154E-4</v>
      </c>
      <c r="K58" s="28"/>
      <c r="L58" s="28"/>
      <c r="M58" s="28"/>
      <c r="N58" s="28"/>
    </row>
    <row r="59" spans="1:14" x14ac:dyDescent="0.2">
      <c r="A59" s="30" t="s">
        <v>1702</v>
      </c>
      <c r="B59" s="38" t="s">
        <v>1764</v>
      </c>
      <c r="C59" s="38" t="s">
        <v>390</v>
      </c>
      <c r="D59" s="80" t="s">
        <v>128</v>
      </c>
      <c r="E59" s="80" t="s">
        <v>1763</v>
      </c>
      <c r="F59" s="88">
        <v>-46732.031265636702</v>
      </c>
      <c r="G59" s="80">
        <v>1.0002</v>
      </c>
      <c r="H59" s="104">
        <v>-181.49667516132092</v>
      </c>
      <c r="I59" s="38">
        <v>-0.19967301609560337</v>
      </c>
      <c r="J59" s="38">
        <v>-2.1987011198083565E-4</v>
      </c>
      <c r="K59" s="28"/>
      <c r="L59" s="28"/>
      <c r="M59" s="28"/>
      <c r="N59" s="28"/>
    </row>
    <row r="60" spans="1:14" x14ac:dyDescent="0.2">
      <c r="A60" s="30" t="s">
        <v>1702</v>
      </c>
      <c r="B60" s="38" t="s">
        <v>1765</v>
      </c>
      <c r="C60" s="38" t="s">
        <v>390</v>
      </c>
      <c r="D60" s="80" t="s">
        <v>128</v>
      </c>
      <c r="E60" s="80" t="s">
        <v>1766</v>
      </c>
      <c r="F60" s="88">
        <v>95089.397068546954</v>
      </c>
      <c r="G60" s="80">
        <v>1.0002</v>
      </c>
      <c r="H60" s="104">
        <v>369.3057834000727</v>
      </c>
      <c r="I60" s="38">
        <v>0.40629063627473588</v>
      </c>
      <c r="J60" s="38">
        <v>4.473872806715125E-4</v>
      </c>
      <c r="K60" s="28"/>
      <c r="L60" s="28"/>
      <c r="M60" s="28"/>
      <c r="N60" s="28"/>
    </row>
    <row r="61" spans="1:14" x14ac:dyDescent="0.2">
      <c r="A61" s="30" t="s">
        <v>1700</v>
      </c>
      <c r="B61" s="38" t="s">
        <v>1767</v>
      </c>
      <c r="C61" s="38" t="s">
        <v>390</v>
      </c>
      <c r="D61" s="80" t="s">
        <v>127</v>
      </c>
      <c r="E61" s="80" t="s">
        <v>1766</v>
      </c>
      <c r="F61" s="88">
        <v>-103766.30455105187</v>
      </c>
      <c r="G61" s="80">
        <v>0.99990000000000001</v>
      </c>
      <c r="H61" s="104">
        <v>-359.64753776893161</v>
      </c>
      <c r="I61" s="38">
        <v>-0.39566514666922098</v>
      </c>
      <c r="J61" s="38">
        <v>-4.3568701372959795E-4</v>
      </c>
      <c r="K61" s="28"/>
      <c r="L61" s="28"/>
      <c r="M61" s="28"/>
      <c r="N61" s="28"/>
    </row>
    <row r="62" spans="1:14" x14ac:dyDescent="0.2">
      <c r="A62" s="30" t="s">
        <v>1700</v>
      </c>
      <c r="B62" s="38" t="s">
        <v>1768</v>
      </c>
      <c r="C62" s="38" t="s">
        <v>390</v>
      </c>
      <c r="D62" s="80" t="s">
        <v>127</v>
      </c>
      <c r="E62" s="80" t="s">
        <v>1769</v>
      </c>
      <c r="F62" s="88">
        <v>99834.060827901616</v>
      </c>
      <c r="G62" s="80">
        <v>0.99990000000000001</v>
      </c>
      <c r="H62" s="104">
        <v>346.01862635513726</v>
      </c>
      <c r="I62" s="38">
        <v>0.38067134115915696</v>
      </c>
      <c r="J62" s="38">
        <v>4.1917657200352018E-4</v>
      </c>
      <c r="K62" s="28"/>
      <c r="L62" s="28"/>
      <c r="M62" s="28"/>
      <c r="N62" s="28"/>
    </row>
    <row r="63" spans="1:14" x14ac:dyDescent="0.2">
      <c r="A63" s="30" t="s">
        <v>1702</v>
      </c>
      <c r="B63" s="38" t="s">
        <v>1770</v>
      </c>
      <c r="C63" s="38" t="s">
        <v>390</v>
      </c>
      <c r="D63" s="80" t="s">
        <v>128</v>
      </c>
      <c r="E63" s="80" t="s">
        <v>1769</v>
      </c>
      <c r="F63" s="88">
        <v>-89146.309751762776</v>
      </c>
      <c r="G63" s="80">
        <v>1.0002</v>
      </c>
      <c r="H63" s="104">
        <v>-346.22417195242588</v>
      </c>
      <c r="I63" s="38">
        <v>-0.38089747152391051</v>
      </c>
      <c r="J63" s="38">
        <v>-4.1942557564754202E-4</v>
      </c>
      <c r="K63" s="28"/>
      <c r="L63" s="28"/>
      <c r="M63" s="28"/>
      <c r="N63" s="28"/>
    </row>
    <row r="64" spans="1:14" x14ac:dyDescent="0.2">
      <c r="A64" s="30" t="s">
        <v>1700</v>
      </c>
      <c r="B64" s="38" t="s">
        <v>1771</v>
      </c>
      <c r="C64" s="38" t="s">
        <v>390</v>
      </c>
      <c r="D64" s="80" t="s">
        <v>127</v>
      </c>
      <c r="E64" s="80" t="s">
        <v>1772</v>
      </c>
      <c r="F64" s="88">
        <v>62764.350843826098</v>
      </c>
      <c r="G64" s="80">
        <v>0.99990000000000001</v>
      </c>
      <c r="H64" s="104">
        <v>217.53732424332998</v>
      </c>
      <c r="I64" s="38">
        <v>0.23932302675200581</v>
      </c>
      <c r="J64" s="38">
        <v>2.6353075503382799E-4</v>
      </c>
      <c r="K64" s="28"/>
      <c r="L64" s="28"/>
      <c r="M64" s="28"/>
      <c r="N64" s="28"/>
    </row>
    <row r="65" spans="1:14" x14ac:dyDescent="0.2">
      <c r="A65" s="30" t="s">
        <v>1702</v>
      </c>
      <c r="B65" s="38" t="s">
        <v>1773</v>
      </c>
      <c r="C65" s="38" t="s">
        <v>390</v>
      </c>
      <c r="D65" s="80" t="s">
        <v>128</v>
      </c>
      <c r="E65" s="80" t="s">
        <v>1772</v>
      </c>
      <c r="F65" s="88">
        <v>-55865.020777771337</v>
      </c>
      <c r="G65" s="80">
        <v>1.0002</v>
      </c>
      <c r="H65" s="104">
        <v>-216.96714765542487</v>
      </c>
      <c r="I65" s="38">
        <v>-0.23869574871006416</v>
      </c>
      <c r="J65" s="38">
        <v>-2.6284002728291949E-4</v>
      </c>
      <c r="K65" s="28"/>
      <c r="L65" s="28"/>
      <c r="M65" s="28"/>
      <c r="N65" s="28"/>
    </row>
    <row r="66" spans="1:14" x14ac:dyDescent="0.2">
      <c r="A66" s="30" t="s">
        <v>1702</v>
      </c>
      <c r="B66" s="38" t="s">
        <v>1774</v>
      </c>
      <c r="C66" s="38" t="s">
        <v>390</v>
      </c>
      <c r="D66" s="80" t="s">
        <v>128</v>
      </c>
      <c r="E66" s="80" t="s">
        <v>1775</v>
      </c>
      <c r="F66" s="88">
        <v>217000</v>
      </c>
      <c r="G66" s="80">
        <v>1.0002</v>
      </c>
      <c r="H66" s="104">
        <v>842.77907999999991</v>
      </c>
      <c r="I66" s="38">
        <v>0.92718084590973426</v>
      </c>
      <c r="J66" s="38">
        <v>1.0209659792941245E-3</v>
      </c>
      <c r="K66" s="28"/>
      <c r="L66" s="28"/>
      <c r="M66" s="28"/>
      <c r="N66" s="28"/>
    </row>
    <row r="67" spans="1:14" x14ac:dyDescent="0.2">
      <c r="A67" s="30" t="s">
        <v>1700</v>
      </c>
      <c r="B67" s="38" t="s">
        <v>1776</v>
      </c>
      <c r="C67" s="38" t="s">
        <v>390</v>
      </c>
      <c r="D67" s="80" t="s">
        <v>127</v>
      </c>
      <c r="E67" s="80" t="s">
        <v>1775</v>
      </c>
      <c r="F67" s="88">
        <v>-246746.36</v>
      </c>
      <c r="G67" s="80">
        <v>0.99990000000000001</v>
      </c>
      <c r="H67" s="104">
        <v>-855.20748000000003</v>
      </c>
      <c r="I67" s="38">
        <v>-0.94085391243305683</v>
      </c>
      <c r="J67" s="38">
        <v>-1.0360220881584538E-3</v>
      </c>
      <c r="K67" s="28"/>
      <c r="L67" s="28"/>
      <c r="M67" s="28"/>
      <c r="N67" s="28"/>
    </row>
    <row r="68" spans="1:14" x14ac:dyDescent="0.2">
      <c r="A68" s="30" t="s">
        <v>1700</v>
      </c>
      <c r="B68" s="38" t="s">
        <v>1777</v>
      </c>
      <c r="C68" s="38" t="s">
        <v>390</v>
      </c>
      <c r="D68" s="80" t="s">
        <v>127</v>
      </c>
      <c r="E68" s="80" t="s">
        <v>785</v>
      </c>
      <c r="F68" s="88">
        <v>38124.049332596929</v>
      </c>
      <c r="G68" s="80">
        <v>0.99990000000000001</v>
      </c>
      <c r="H68" s="104">
        <v>132.13557646814741</v>
      </c>
      <c r="I68" s="38">
        <v>0.14536855324470949</v>
      </c>
      <c r="J68" s="38">
        <v>1.6007270639465304E-4</v>
      </c>
      <c r="K68" s="28"/>
      <c r="L68" s="28"/>
      <c r="M68" s="28"/>
      <c r="N68" s="28"/>
    </row>
    <row r="69" spans="1:14" x14ac:dyDescent="0.2">
      <c r="A69" s="30" t="s">
        <v>1702</v>
      </c>
      <c r="B69" s="38" t="s">
        <v>1778</v>
      </c>
      <c r="C69" s="38" t="s">
        <v>390</v>
      </c>
      <c r="D69" s="80" t="s">
        <v>128</v>
      </c>
      <c r="E69" s="80" t="s">
        <v>785</v>
      </c>
      <c r="F69" s="88">
        <v>-33281.288973991439</v>
      </c>
      <c r="G69" s="80">
        <v>1.0002</v>
      </c>
      <c r="H69" s="104">
        <v>-129.25702417813926</v>
      </c>
      <c r="I69" s="38">
        <v>-0.14220172268308098</v>
      </c>
      <c r="J69" s="38">
        <v>-1.5658554822063013E-4</v>
      </c>
      <c r="K69" s="28"/>
      <c r="L69" s="28"/>
      <c r="M69" s="28"/>
      <c r="N69" s="28"/>
    </row>
    <row r="70" spans="1:14" x14ac:dyDescent="0.2">
      <c r="A70" s="30" t="s">
        <v>1700</v>
      </c>
      <c r="B70" s="38" t="s">
        <v>1779</v>
      </c>
      <c r="C70" s="38" t="s">
        <v>390</v>
      </c>
      <c r="D70" s="80" t="s">
        <v>127</v>
      </c>
      <c r="E70" s="80" t="s">
        <v>1098</v>
      </c>
      <c r="F70" s="88">
        <v>40543.741675101708</v>
      </c>
      <c r="G70" s="80">
        <v>0.99990000000000001</v>
      </c>
      <c r="H70" s="104">
        <v>140.52207914907876</v>
      </c>
      <c r="I70" s="38">
        <v>0.15459493870497767</v>
      </c>
      <c r="J70" s="38">
        <v>1.702323486136909E-4</v>
      </c>
      <c r="K70" s="28"/>
      <c r="L70" s="28"/>
      <c r="M70" s="28"/>
      <c r="N70" s="28"/>
    </row>
    <row r="71" spans="1:14" x14ac:dyDescent="0.2">
      <c r="A71" s="30" t="s">
        <v>1702</v>
      </c>
      <c r="B71" s="38" t="s">
        <v>1780</v>
      </c>
      <c r="C71" s="38" t="s">
        <v>390</v>
      </c>
      <c r="D71" s="80" t="s">
        <v>128</v>
      </c>
      <c r="E71" s="80" t="s">
        <v>1098</v>
      </c>
      <c r="F71" s="88">
        <v>-35658.523900705113</v>
      </c>
      <c r="G71" s="80">
        <v>1.0002</v>
      </c>
      <c r="H71" s="104">
        <v>-138.48966868588096</v>
      </c>
      <c r="I71" s="38">
        <v>-0.15235898850495191</v>
      </c>
      <c r="J71" s="38">
        <v>-1.6777023014382289E-4</v>
      </c>
      <c r="K71" s="28"/>
      <c r="L71" s="28"/>
      <c r="M71" s="28"/>
      <c r="N71" s="28"/>
    </row>
    <row r="72" spans="1:14" x14ac:dyDescent="0.2">
      <c r="A72" s="30" t="s">
        <v>1700</v>
      </c>
      <c r="B72" s="38" t="s">
        <v>1781</v>
      </c>
      <c r="C72" s="38" t="s">
        <v>390</v>
      </c>
      <c r="D72" s="80" t="s">
        <v>127</v>
      </c>
      <c r="E72" s="80" t="s">
        <v>1782</v>
      </c>
      <c r="F72" s="88">
        <v>28843.728308644288</v>
      </c>
      <c r="G72" s="80">
        <v>0.99990000000000001</v>
      </c>
      <c r="H72" s="104">
        <v>99.970562727149229</v>
      </c>
      <c r="I72" s="38">
        <v>0.10998231104102676</v>
      </c>
      <c r="J72" s="38">
        <v>1.2110711561007023E-4</v>
      </c>
      <c r="K72" s="28"/>
      <c r="L72" s="28"/>
      <c r="M72" s="28"/>
      <c r="N72" s="28"/>
    </row>
    <row r="73" spans="1:14" x14ac:dyDescent="0.2">
      <c r="A73" s="30" t="s">
        <v>1702</v>
      </c>
      <c r="B73" s="38" t="s">
        <v>1783</v>
      </c>
      <c r="C73" s="38" t="s">
        <v>390</v>
      </c>
      <c r="D73" s="80" t="s">
        <v>128</v>
      </c>
      <c r="E73" s="80" t="s">
        <v>1782</v>
      </c>
      <c r="F73" s="88">
        <v>-25555.275462171994</v>
      </c>
      <c r="G73" s="80">
        <v>1.0002</v>
      </c>
      <c r="H73" s="104">
        <v>-99.250929260539863</v>
      </c>
      <c r="I73" s="38">
        <v>-0.10919060846777848</v>
      </c>
      <c r="J73" s="38">
        <v>-1.2023533164627078E-4</v>
      </c>
      <c r="K73" s="28"/>
      <c r="L73" s="28"/>
      <c r="M73" s="28"/>
      <c r="N73" s="28"/>
    </row>
    <row r="74" spans="1:14" x14ac:dyDescent="0.2">
      <c r="A74" s="30" t="s">
        <v>1784</v>
      </c>
      <c r="B74" s="38" t="s">
        <v>1785</v>
      </c>
      <c r="C74" s="38" t="s">
        <v>390</v>
      </c>
      <c r="D74" s="80" t="s">
        <v>127</v>
      </c>
      <c r="E74" s="80" t="s">
        <v>1786</v>
      </c>
      <c r="F74" s="88">
        <v>479105.54989494715</v>
      </c>
      <c r="G74" s="80">
        <v>0.99980000000000002</v>
      </c>
      <c r="H74" s="104">
        <v>1660.3888692072333</v>
      </c>
      <c r="I74" s="38">
        <v>1.8266717729759852</v>
      </c>
      <c r="J74" s="38">
        <v>2.0114411808361773E-3</v>
      </c>
      <c r="K74" s="28"/>
      <c r="L74" s="28"/>
      <c r="M74" s="28"/>
      <c r="N74" s="28"/>
    </row>
    <row r="75" spans="1:14" x14ac:dyDescent="0.2">
      <c r="A75" s="30" t="s">
        <v>1787</v>
      </c>
      <c r="B75" s="38" t="s">
        <v>1788</v>
      </c>
      <c r="C75" s="38" t="s">
        <v>390</v>
      </c>
      <c r="D75" s="80" t="s">
        <v>2</v>
      </c>
      <c r="E75" s="80" t="s">
        <v>1786</v>
      </c>
      <c r="F75" s="88">
        <v>-386300.67559097201</v>
      </c>
      <c r="G75" s="80">
        <v>1.0002</v>
      </c>
      <c r="H75" s="104">
        <v>-1643.7561108405218</v>
      </c>
      <c r="I75" s="38">
        <v>-1.8083732943613289</v>
      </c>
      <c r="J75" s="38">
        <v>-1.9912917955023221E-3</v>
      </c>
      <c r="K75" s="28"/>
      <c r="L75" s="28"/>
      <c r="M75" s="28"/>
      <c r="N75" s="28"/>
    </row>
    <row r="76" spans="1:14" x14ac:dyDescent="0.2">
      <c r="A76" s="30" t="s">
        <v>1784</v>
      </c>
      <c r="B76" s="38" t="s">
        <v>1789</v>
      </c>
      <c r="C76" s="38" t="s">
        <v>390</v>
      </c>
      <c r="D76" s="80" t="s">
        <v>127</v>
      </c>
      <c r="E76" s="80" t="s">
        <v>1786</v>
      </c>
      <c r="F76" s="88">
        <v>586633.52</v>
      </c>
      <c r="G76" s="80">
        <v>0.99980000000000002</v>
      </c>
      <c r="H76" s="104">
        <v>2033.0379499999999</v>
      </c>
      <c r="I76" s="38">
        <v>2.2366405277259518</v>
      </c>
      <c r="J76" s="38">
        <v>2.4628786248038683E-3</v>
      </c>
      <c r="K76" s="28"/>
      <c r="L76" s="28"/>
      <c r="M76" s="28"/>
      <c r="N76" s="28"/>
    </row>
    <row r="77" spans="1:14" x14ac:dyDescent="0.2">
      <c r="A77" s="30" t="s">
        <v>1787</v>
      </c>
      <c r="B77" s="38" t="s">
        <v>1790</v>
      </c>
      <c r="C77" s="38" t="s">
        <v>390</v>
      </c>
      <c r="D77" s="80" t="s">
        <v>2</v>
      </c>
      <c r="E77" s="80" t="s">
        <v>1786</v>
      </c>
      <c r="F77" s="88">
        <v>-473000</v>
      </c>
      <c r="G77" s="80">
        <v>1.0002</v>
      </c>
      <c r="H77" s="104">
        <v>-2012.6661799999999</v>
      </c>
      <c r="I77" s="38">
        <v>-2.2142285868157923</v>
      </c>
      <c r="J77" s="38">
        <v>-2.4381996969548235E-3</v>
      </c>
      <c r="K77" s="28"/>
      <c r="L77" s="28"/>
      <c r="M77" s="28"/>
      <c r="N77" s="28"/>
    </row>
    <row r="78" spans="1:14" x14ac:dyDescent="0.2">
      <c r="A78" s="30" t="s">
        <v>1702</v>
      </c>
      <c r="B78" s="38" t="s">
        <v>1791</v>
      </c>
      <c r="C78" s="38" t="s">
        <v>390</v>
      </c>
      <c r="D78" s="80" t="s">
        <v>128</v>
      </c>
      <c r="E78" s="80" t="s">
        <v>1792</v>
      </c>
      <c r="F78" s="88">
        <v>208000</v>
      </c>
      <c r="G78" s="80">
        <v>1.0002</v>
      </c>
      <c r="H78" s="104">
        <v>807.82511</v>
      </c>
      <c r="I78" s="38">
        <v>0.88872634194589184</v>
      </c>
      <c r="J78" s="38">
        <v>9.7862176945532871E-4</v>
      </c>
      <c r="K78" s="28"/>
      <c r="L78" s="28"/>
      <c r="M78" s="28"/>
      <c r="N78" s="28"/>
    </row>
    <row r="79" spans="1:14" x14ac:dyDescent="0.2">
      <c r="A79" s="30" t="s">
        <v>1700</v>
      </c>
      <c r="B79" s="38" t="s">
        <v>1793</v>
      </c>
      <c r="C79" s="38" t="s">
        <v>390</v>
      </c>
      <c r="D79" s="80" t="s">
        <v>127</v>
      </c>
      <c r="E79" s="80" t="s">
        <v>1792</v>
      </c>
      <c r="F79" s="88">
        <v>-226632.64</v>
      </c>
      <c r="G79" s="80">
        <v>0.99990000000000001</v>
      </c>
      <c r="H79" s="104">
        <v>-785.49459000000002</v>
      </c>
      <c r="I79" s="38">
        <v>-0.86415948817063648</v>
      </c>
      <c r="J79" s="38">
        <v>-9.5156995746689265E-4</v>
      </c>
      <c r="K79" s="28"/>
      <c r="L79" s="28"/>
      <c r="M79" s="28"/>
      <c r="N79" s="28"/>
    </row>
    <row r="80" spans="1:14" x14ac:dyDescent="0.2">
      <c r="A80" s="30" t="s">
        <v>1784</v>
      </c>
      <c r="B80" s="38" t="s">
        <v>1794</v>
      </c>
      <c r="C80" s="38" t="s">
        <v>390</v>
      </c>
      <c r="D80" s="80" t="s">
        <v>127</v>
      </c>
      <c r="E80" s="80" t="s">
        <v>1419</v>
      </c>
      <c r="F80" s="88">
        <v>25538.6</v>
      </c>
      <c r="G80" s="80">
        <v>0.99980000000000002</v>
      </c>
      <c r="H80" s="104">
        <v>88.506600000000006</v>
      </c>
      <c r="I80" s="38">
        <v>9.7370267255084797E-2</v>
      </c>
      <c r="J80" s="38">
        <v>1.0721935283798617E-4</v>
      </c>
      <c r="K80" s="28"/>
      <c r="L80" s="28"/>
      <c r="M80" s="28"/>
      <c r="N80" s="28"/>
    </row>
    <row r="81" spans="1:14" x14ac:dyDescent="0.2">
      <c r="A81" s="30" t="s">
        <v>1787</v>
      </c>
      <c r="B81" s="38" t="s">
        <v>1795</v>
      </c>
      <c r="C81" s="38" t="s">
        <v>390</v>
      </c>
      <c r="D81" s="80" t="s">
        <v>2</v>
      </c>
      <c r="E81" s="80" t="s">
        <v>1419</v>
      </c>
      <c r="F81" s="88">
        <v>-20000</v>
      </c>
      <c r="G81" s="80">
        <v>1.0002</v>
      </c>
      <c r="H81" s="104">
        <v>-85.102410000000006</v>
      </c>
      <c r="I81" s="38">
        <v>-9.3625157962816341E-2</v>
      </c>
      <c r="J81" s="38">
        <v>-1.0309542254648764E-4</v>
      </c>
      <c r="K81" s="28"/>
      <c r="L81" s="28"/>
      <c r="M81" s="28"/>
      <c r="N81" s="28"/>
    </row>
    <row r="82" spans="1:14" x14ac:dyDescent="0.2">
      <c r="A82" s="30" t="s">
        <v>1784</v>
      </c>
      <c r="B82" s="38" t="s">
        <v>1796</v>
      </c>
      <c r="C82" s="38" t="s">
        <v>390</v>
      </c>
      <c r="D82" s="80" t="s">
        <v>127</v>
      </c>
      <c r="E82" s="80" t="s">
        <v>1797</v>
      </c>
      <c r="F82" s="88">
        <v>123348.8961216021</v>
      </c>
      <c r="G82" s="80">
        <v>0.99980000000000002</v>
      </c>
      <c r="H82" s="104">
        <v>427.47810822244202</v>
      </c>
      <c r="I82" s="38">
        <v>0.47028874279790711</v>
      </c>
      <c r="J82" s="38">
        <v>5.1785885025542558E-4</v>
      </c>
      <c r="K82" s="28"/>
      <c r="L82" s="28"/>
      <c r="M82" s="28"/>
      <c r="N82" s="28"/>
    </row>
    <row r="83" spans="1:14" x14ac:dyDescent="0.2">
      <c r="A83" s="30" t="s">
        <v>1787</v>
      </c>
      <c r="B83" s="38" t="s">
        <v>1798</v>
      </c>
      <c r="C83" s="38" t="s">
        <v>390</v>
      </c>
      <c r="D83" s="80" t="s">
        <v>2</v>
      </c>
      <c r="E83" s="80" t="s">
        <v>1797</v>
      </c>
      <c r="F83" s="88">
        <v>-97466.631995260628</v>
      </c>
      <c r="G83" s="80">
        <v>1.0002</v>
      </c>
      <c r="H83" s="104">
        <v>-414.73314023664517</v>
      </c>
      <c r="I83" s="38">
        <v>-0.45626740496621387</v>
      </c>
      <c r="J83" s="38">
        <v>-5.0241924214283295E-4</v>
      </c>
      <c r="K83" s="28"/>
      <c r="L83" s="28"/>
      <c r="M83" s="28"/>
      <c r="N83" s="28"/>
    </row>
    <row r="84" spans="1:14" x14ac:dyDescent="0.2">
      <c r="A84" s="30" t="s">
        <v>1784</v>
      </c>
      <c r="B84" s="38" t="s">
        <v>1799</v>
      </c>
      <c r="C84" s="38" t="s">
        <v>390</v>
      </c>
      <c r="D84" s="80" t="s">
        <v>127</v>
      </c>
      <c r="E84" s="80" t="s">
        <v>1800</v>
      </c>
      <c r="F84" s="88">
        <v>74530.475113595428</v>
      </c>
      <c r="G84" s="80">
        <v>0.99980000000000002</v>
      </c>
      <c r="H84" s="104">
        <v>258.29291962746009</v>
      </c>
      <c r="I84" s="38">
        <v>0.28416017126657139</v>
      </c>
      <c r="J84" s="38">
        <v>3.1290321495900021E-4</v>
      </c>
      <c r="K84" s="28"/>
      <c r="L84" s="28"/>
      <c r="M84" s="28"/>
      <c r="N84" s="28"/>
    </row>
    <row r="85" spans="1:14" x14ac:dyDescent="0.2">
      <c r="A85" s="30" t="s">
        <v>1787</v>
      </c>
      <c r="B85" s="38" t="s">
        <v>1801</v>
      </c>
      <c r="C85" s="38" t="s">
        <v>390</v>
      </c>
      <c r="D85" s="80" t="s">
        <v>2</v>
      </c>
      <c r="E85" s="80" t="s">
        <v>1800</v>
      </c>
      <c r="F85" s="88">
        <v>-59430.873167841848</v>
      </c>
      <c r="G85" s="80">
        <v>1.0002</v>
      </c>
      <c r="H85" s="104">
        <v>-252.88580833286088</v>
      </c>
      <c r="I85" s="38">
        <v>-0.27821155419357219</v>
      </c>
      <c r="J85" s="38">
        <v>-3.0635289019531148E-4</v>
      </c>
      <c r="K85" s="28"/>
      <c r="L85" s="28"/>
      <c r="M85" s="28"/>
      <c r="N85" s="28"/>
    </row>
    <row r="86" spans="1:14" x14ac:dyDescent="0.2">
      <c r="A86" s="30" t="s">
        <v>1784</v>
      </c>
      <c r="B86" s="38" t="s">
        <v>1802</v>
      </c>
      <c r="C86" s="38" t="s">
        <v>390</v>
      </c>
      <c r="D86" s="80" t="s">
        <v>127</v>
      </c>
      <c r="E86" s="80" t="s">
        <v>1710</v>
      </c>
      <c r="F86" s="88">
        <v>44636.983633663651</v>
      </c>
      <c r="G86" s="80">
        <v>0.99980000000000002</v>
      </c>
      <c r="H86" s="104">
        <v>154.69399333491623</v>
      </c>
      <c r="I86" s="38">
        <v>0.17018612706597133</v>
      </c>
      <c r="J86" s="38">
        <v>1.8740059897559577E-4</v>
      </c>
      <c r="K86" s="28"/>
      <c r="L86" s="28"/>
      <c r="M86" s="28"/>
      <c r="N86" s="28"/>
    </row>
    <row r="87" spans="1:14" x14ac:dyDescent="0.2">
      <c r="A87" s="30" t="s">
        <v>1787</v>
      </c>
      <c r="B87" s="38" t="s">
        <v>1803</v>
      </c>
      <c r="C87" s="38" t="s">
        <v>390</v>
      </c>
      <c r="D87" s="80" t="s">
        <v>2</v>
      </c>
      <c r="E87" s="80" t="s">
        <v>1710</v>
      </c>
      <c r="F87" s="88">
        <v>-35658.523900705113</v>
      </c>
      <c r="G87" s="80">
        <v>1.0002</v>
      </c>
      <c r="H87" s="104">
        <v>-151.73163661976014</v>
      </c>
      <c r="I87" s="38">
        <v>-0.16692709932047389</v>
      </c>
      <c r="J87" s="38">
        <v>-1.838119177939178E-4</v>
      </c>
      <c r="K87" s="28"/>
      <c r="L87" s="28"/>
      <c r="M87" s="28"/>
      <c r="N87" s="28"/>
    </row>
    <row r="88" spans="1:14" x14ac:dyDescent="0.2">
      <c r="A88" s="30" t="s">
        <v>1784</v>
      </c>
      <c r="B88" s="38" t="s">
        <v>1804</v>
      </c>
      <c r="C88" s="38" t="s">
        <v>390</v>
      </c>
      <c r="D88" s="80" t="s">
        <v>127</v>
      </c>
      <c r="E88" s="80" t="s">
        <v>1805</v>
      </c>
      <c r="F88" s="88">
        <v>37174.902629582597</v>
      </c>
      <c r="G88" s="80">
        <v>0.99980000000000002</v>
      </c>
      <c r="H88" s="104">
        <v>128.83339485224982</v>
      </c>
      <c r="I88" s="38">
        <v>0.14173566816648059</v>
      </c>
      <c r="J88" s="38">
        <v>1.5607235189216357E-4</v>
      </c>
      <c r="K88" s="28"/>
      <c r="L88" s="28"/>
      <c r="M88" s="28"/>
      <c r="N88" s="28"/>
    </row>
    <row r="89" spans="1:14" x14ac:dyDescent="0.2">
      <c r="A89" s="30" t="s">
        <v>1787</v>
      </c>
      <c r="B89" s="38" t="s">
        <v>1806</v>
      </c>
      <c r="C89" s="38" t="s">
        <v>390</v>
      </c>
      <c r="D89" s="80" t="s">
        <v>2</v>
      </c>
      <c r="E89" s="80" t="s">
        <v>1805</v>
      </c>
      <c r="F89" s="88">
        <v>-29715.436583920924</v>
      </c>
      <c r="G89" s="80">
        <v>1.0002</v>
      </c>
      <c r="H89" s="104">
        <v>-126.44303057589767</v>
      </c>
      <c r="I89" s="38">
        <v>-0.13910591616577761</v>
      </c>
      <c r="J89" s="38">
        <v>-1.5317659823359437E-4</v>
      </c>
      <c r="K89" s="28"/>
      <c r="L89" s="28"/>
      <c r="M89" s="28"/>
      <c r="N89" s="28"/>
    </row>
    <row r="90" spans="1:14" x14ac:dyDescent="0.2">
      <c r="A90" s="30" t="s">
        <v>1784</v>
      </c>
      <c r="B90" s="38" t="s">
        <v>1807</v>
      </c>
      <c r="C90" s="38" t="s">
        <v>390</v>
      </c>
      <c r="D90" s="80" t="s">
        <v>127</v>
      </c>
      <c r="E90" s="80" t="s">
        <v>1808</v>
      </c>
      <c r="F90" s="88">
        <v>59142.276847738809</v>
      </c>
      <c r="G90" s="80">
        <v>0.99980000000000002</v>
      </c>
      <c r="H90" s="104">
        <v>204.96355794183546</v>
      </c>
      <c r="I90" s="38">
        <v>0.22549003593347364</v>
      </c>
      <c r="J90" s="38">
        <v>2.482985453954245E-4</v>
      </c>
      <c r="K90" s="28"/>
      <c r="L90" s="28"/>
      <c r="M90" s="28"/>
      <c r="N90" s="28"/>
    </row>
    <row r="91" spans="1:14" x14ac:dyDescent="0.2">
      <c r="A91" s="30" t="s">
        <v>1787</v>
      </c>
      <c r="B91" s="38" t="s">
        <v>1809</v>
      </c>
      <c r="C91" s="38" t="s">
        <v>390</v>
      </c>
      <c r="D91" s="80" t="s">
        <v>2</v>
      </c>
      <c r="E91" s="80" t="s">
        <v>1808</v>
      </c>
      <c r="F91" s="88">
        <v>-47544.698534273477</v>
      </c>
      <c r="G91" s="80">
        <v>1.0002</v>
      </c>
      <c r="H91" s="104">
        <v>-202.30864664251635</v>
      </c>
      <c r="I91" s="38">
        <v>-0.22256924332870465</v>
      </c>
      <c r="J91" s="38">
        <v>-2.4508231212745066E-4</v>
      </c>
      <c r="K91" s="28"/>
      <c r="L91" s="28"/>
      <c r="M91" s="28"/>
      <c r="N91" s="28"/>
    </row>
    <row r="92" spans="1:14" x14ac:dyDescent="0.2">
      <c r="A92" s="30" t="s">
        <v>1702</v>
      </c>
      <c r="B92" s="38" t="s">
        <v>1810</v>
      </c>
      <c r="C92" s="38" t="s">
        <v>390</v>
      </c>
      <c r="D92" s="80" t="s">
        <v>128</v>
      </c>
      <c r="E92" s="80" t="s">
        <v>1811</v>
      </c>
      <c r="F92" s="88">
        <v>144000</v>
      </c>
      <c r="G92" s="80">
        <v>1.0002</v>
      </c>
      <c r="H92" s="104">
        <v>559.26353000000006</v>
      </c>
      <c r="I92" s="38">
        <v>0.61527207442294851</v>
      </c>
      <c r="J92" s="38">
        <v>6.7750736953501396E-4</v>
      </c>
      <c r="K92" s="28"/>
      <c r="L92" s="28"/>
      <c r="M92" s="28"/>
      <c r="N92" s="28"/>
    </row>
    <row r="93" spans="1:14" x14ac:dyDescent="0.2">
      <c r="A93" s="30" t="s">
        <v>1700</v>
      </c>
      <c r="B93" s="38" t="s">
        <v>1812</v>
      </c>
      <c r="C93" s="38" t="s">
        <v>390</v>
      </c>
      <c r="D93" s="80" t="s">
        <v>127</v>
      </c>
      <c r="E93" s="80" t="s">
        <v>1811</v>
      </c>
      <c r="F93" s="88">
        <v>-162043.20000000001</v>
      </c>
      <c r="G93" s="80">
        <v>0.99990000000000001</v>
      </c>
      <c r="H93" s="104">
        <v>-561.63162</v>
      </c>
      <c r="I93" s="38">
        <v>-0.61787732144615459</v>
      </c>
      <c r="J93" s="38">
        <v>-6.8037613951671134E-4</v>
      </c>
      <c r="K93" s="28"/>
      <c r="L93" s="28"/>
      <c r="M93" s="28"/>
      <c r="N93" s="28"/>
    </row>
    <row r="94" spans="1:14" s="137" customFormat="1" x14ac:dyDescent="0.2">
      <c r="A94" s="112" t="s">
        <v>1525</v>
      </c>
      <c r="B94" s="144" t="s">
        <v>180</v>
      </c>
      <c r="C94" s="144" t="s">
        <v>180</v>
      </c>
      <c r="D94" s="145" t="s">
        <v>180</v>
      </c>
      <c r="E94" s="145" t="s">
        <v>180</v>
      </c>
      <c r="F94" s="155" t="s">
        <v>180</v>
      </c>
      <c r="G94" s="145" t="s">
        <v>180</v>
      </c>
      <c r="H94" s="146">
        <v>689.32532032197059</v>
      </c>
      <c r="I94" s="144">
        <v>0.75835915813563304</v>
      </c>
      <c r="J94" s="144">
        <v>8.3506783380854314E-4</v>
      </c>
    </row>
    <row r="95" spans="1:14" x14ac:dyDescent="0.2">
      <c r="A95" s="30" t="s">
        <v>1813</v>
      </c>
      <c r="B95" s="38" t="s">
        <v>1814</v>
      </c>
      <c r="C95" s="38" t="s">
        <v>390</v>
      </c>
      <c r="D95" s="80" t="s">
        <v>127</v>
      </c>
      <c r="E95" s="80" t="s">
        <v>1098</v>
      </c>
      <c r="F95" s="88">
        <v>2044.4220369737595</v>
      </c>
      <c r="G95" s="80">
        <v>338.62</v>
      </c>
      <c r="H95" s="104">
        <v>2399.4500710947491</v>
      </c>
      <c r="I95" s="38">
        <v>2.6397477102015885</v>
      </c>
      <c r="J95" s="38">
        <v>2.9067604426092392E-3</v>
      </c>
      <c r="K95" s="28"/>
      <c r="L95" s="28"/>
      <c r="M95" s="28"/>
      <c r="N95" s="28"/>
    </row>
    <row r="96" spans="1:14" x14ac:dyDescent="0.2">
      <c r="A96" s="30" t="s">
        <v>1815</v>
      </c>
      <c r="B96" s="38" t="s">
        <v>1816</v>
      </c>
      <c r="C96" s="38" t="s">
        <v>390</v>
      </c>
      <c r="D96" s="80" t="s">
        <v>127</v>
      </c>
      <c r="E96" s="80" t="s">
        <v>1098</v>
      </c>
      <c r="F96" s="88">
        <v>-2044.4220369737595</v>
      </c>
      <c r="G96" s="80">
        <v>322.49</v>
      </c>
      <c r="H96" s="104">
        <v>-2285.1534269309122</v>
      </c>
      <c r="I96" s="38">
        <v>-2.5140046041666477</v>
      </c>
      <c r="J96" s="38">
        <v>-2.768298314148761E-3</v>
      </c>
      <c r="K96" s="28"/>
      <c r="L96" s="28"/>
      <c r="M96" s="28"/>
      <c r="N96" s="28"/>
    </row>
    <row r="97" spans="1:14" x14ac:dyDescent="0.2">
      <c r="A97" s="30" t="s">
        <v>1813</v>
      </c>
      <c r="B97" s="38" t="s">
        <v>1817</v>
      </c>
      <c r="C97" s="38" t="s">
        <v>390</v>
      </c>
      <c r="D97" s="80" t="s">
        <v>127</v>
      </c>
      <c r="E97" s="80" t="s">
        <v>1818</v>
      </c>
      <c r="F97" s="88">
        <v>1200.5036379904054</v>
      </c>
      <c r="G97" s="80">
        <v>338.62</v>
      </c>
      <c r="H97" s="104">
        <v>1408.9794022126141</v>
      </c>
      <c r="I97" s="38">
        <v>1.5500844112230259</v>
      </c>
      <c r="J97" s="38">
        <v>1.7068767715321693E-3</v>
      </c>
      <c r="K97" s="28"/>
      <c r="L97" s="28"/>
      <c r="M97" s="28"/>
      <c r="N97" s="28"/>
    </row>
    <row r="98" spans="1:14" x14ac:dyDescent="0.2">
      <c r="A98" s="30" t="s">
        <v>1815</v>
      </c>
      <c r="B98" s="38" t="s">
        <v>1819</v>
      </c>
      <c r="C98" s="38" t="s">
        <v>390</v>
      </c>
      <c r="D98" s="80" t="s">
        <v>127</v>
      </c>
      <c r="E98" s="80" t="s">
        <v>1818</v>
      </c>
      <c r="F98" s="88">
        <v>-1200.5036379904054</v>
      </c>
      <c r="G98" s="80">
        <v>275.02</v>
      </c>
      <c r="H98" s="104">
        <v>-1144.3432614627404</v>
      </c>
      <c r="I98" s="38">
        <v>-1.2589457644987199</v>
      </c>
      <c r="J98" s="38">
        <v>-1.3862892023707319E-3</v>
      </c>
      <c r="K98" s="28"/>
      <c r="L98" s="28"/>
      <c r="M98" s="28"/>
      <c r="N98" s="28"/>
    </row>
    <row r="99" spans="1:14" x14ac:dyDescent="0.2">
      <c r="A99" s="30" t="s">
        <v>1820</v>
      </c>
      <c r="B99" s="38" t="s">
        <v>1821</v>
      </c>
      <c r="C99" s="38" t="s">
        <v>390</v>
      </c>
      <c r="D99" s="80" t="s">
        <v>127</v>
      </c>
      <c r="E99" s="80" t="s">
        <v>1818</v>
      </c>
      <c r="F99" s="88">
        <v>1295.5930350589524</v>
      </c>
      <c r="G99" s="80">
        <v>288.26</v>
      </c>
      <c r="H99" s="104">
        <v>1294.4388689596003</v>
      </c>
      <c r="I99" s="38">
        <v>1.4240729913471535</v>
      </c>
      <c r="J99" s="38">
        <v>1.5681191890568966E-3</v>
      </c>
      <c r="K99" s="32"/>
      <c r="L99" s="32"/>
    </row>
    <row r="100" spans="1:14" x14ac:dyDescent="0.2">
      <c r="A100" s="30" t="s">
        <v>1822</v>
      </c>
      <c r="B100" s="38" t="s">
        <v>1823</v>
      </c>
      <c r="C100" s="38" t="s">
        <v>390</v>
      </c>
      <c r="D100" s="80" t="s">
        <v>127</v>
      </c>
      <c r="E100" s="80" t="s">
        <v>1818</v>
      </c>
      <c r="F100" s="88">
        <v>-1295.5930350589524</v>
      </c>
      <c r="G100" s="80">
        <v>249.02</v>
      </c>
      <c r="H100" s="104">
        <v>-1118.2306499282583</v>
      </c>
      <c r="I100" s="38">
        <v>-1.2302180542054679</v>
      </c>
      <c r="J100" s="38">
        <v>-1.3546556596785836E-3</v>
      </c>
      <c r="K100" s="32"/>
      <c r="L100" s="32"/>
    </row>
    <row r="101" spans="1:14" x14ac:dyDescent="0.2">
      <c r="A101" s="30" t="s">
        <v>1813</v>
      </c>
      <c r="B101" s="38" t="s">
        <v>1824</v>
      </c>
      <c r="C101" s="38" t="s">
        <v>390</v>
      </c>
      <c r="D101" s="80" t="s">
        <v>127</v>
      </c>
      <c r="E101" s="80" t="s">
        <v>1825</v>
      </c>
      <c r="F101" s="88">
        <v>2745.7063403542934</v>
      </c>
      <c r="G101" s="80">
        <v>338.62</v>
      </c>
      <c r="H101" s="104">
        <v>3222.5172466446916</v>
      </c>
      <c r="I101" s="38">
        <v>3.5452425642823657</v>
      </c>
      <c r="J101" s="38">
        <v>3.9038468735042684E-3</v>
      </c>
      <c r="K101" s="32"/>
      <c r="L101" s="32"/>
    </row>
    <row r="102" spans="1:14" x14ac:dyDescent="0.2">
      <c r="A102" s="30" t="s">
        <v>1815</v>
      </c>
      <c r="B102" s="38" t="s">
        <v>1826</v>
      </c>
      <c r="C102" s="38" t="s">
        <v>390</v>
      </c>
      <c r="D102" s="80" t="s">
        <v>127</v>
      </c>
      <c r="E102" s="80" t="s">
        <v>1825</v>
      </c>
      <c r="F102" s="88">
        <v>-2745.7063403542934</v>
      </c>
      <c r="G102" s="80">
        <v>324.52</v>
      </c>
      <c r="H102" s="104">
        <v>-3088.3329303677733</v>
      </c>
      <c r="I102" s="38">
        <v>-3.3976200961576795</v>
      </c>
      <c r="J102" s="38">
        <v>-3.7412922668170969E-3</v>
      </c>
      <c r="K102" s="32"/>
      <c r="L102" s="32"/>
    </row>
    <row r="103" spans="1:14" s="137" customFormat="1" x14ac:dyDescent="0.2">
      <c r="A103" s="231" t="s">
        <v>144</v>
      </c>
      <c r="B103" s="232" t="s">
        <v>180</v>
      </c>
      <c r="C103" s="232" t="s">
        <v>180</v>
      </c>
      <c r="D103" s="239" t="s">
        <v>180</v>
      </c>
      <c r="E103" s="239" t="s">
        <v>180</v>
      </c>
      <c r="F103" s="240" t="s">
        <v>180</v>
      </c>
      <c r="G103" s="239" t="s">
        <v>180</v>
      </c>
      <c r="H103" s="237">
        <v>0</v>
      </c>
      <c r="I103" s="232">
        <v>0</v>
      </c>
      <c r="J103" s="232">
        <v>0</v>
      </c>
      <c r="K103" s="177"/>
      <c r="L103" s="177"/>
      <c r="M103" s="152"/>
      <c r="N103" s="152"/>
    </row>
    <row r="104" spans="1:14" s="137" customFormat="1" x14ac:dyDescent="0.2">
      <c r="A104" s="97" t="s">
        <v>171</v>
      </c>
      <c r="B104" s="147"/>
      <c r="C104" s="97"/>
      <c r="D104" s="148"/>
      <c r="E104" s="148"/>
      <c r="F104" s="148"/>
      <c r="G104" s="149"/>
      <c r="H104" s="150"/>
      <c r="I104" s="150"/>
      <c r="J104" s="151"/>
      <c r="K104" s="168"/>
      <c r="L104" s="168"/>
      <c r="M104" s="152"/>
      <c r="N104" s="152"/>
    </row>
    <row r="105" spans="1:14" s="137" customFormat="1" x14ac:dyDescent="0.2">
      <c r="A105" s="97" t="s">
        <v>172</v>
      </c>
      <c r="B105" s="147"/>
      <c r="C105" s="97"/>
      <c r="D105" s="148"/>
      <c r="E105" s="148"/>
      <c r="F105" s="148"/>
      <c r="G105" s="149"/>
      <c r="H105" s="150"/>
      <c r="I105" s="150"/>
      <c r="J105" s="151"/>
      <c r="K105" s="168"/>
      <c r="L105" s="168"/>
      <c r="M105" s="152"/>
      <c r="N105" s="152"/>
    </row>
    <row r="106" spans="1:14" s="137" customFormat="1" x14ac:dyDescent="0.2">
      <c r="A106" s="97" t="s">
        <v>173</v>
      </c>
      <c r="B106" s="147"/>
      <c r="C106" s="97"/>
      <c r="D106" s="148"/>
      <c r="E106" s="148"/>
      <c r="F106" s="148"/>
      <c r="G106" s="149"/>
      <c r="H106" s="150"/>
      <c r="I106" s="150"/>
      <c r="J106" s="151"/>
      <c r="K106" s="168"/>
      <c r="L106" s="168"/>
      <c r="M106" s="152"/>
      <c r="N106" s="152"/>
    </row>
    <row r="107" spans="1:14" s="137" customFormat="1" x14ac:dyDescent="0.2">
      <c r="A107" s="97" t="s">
        <v>174</v>
      </c>
      <c r="B107" s="147"/>
      <c r="C107" s="97"/>
      <c r="D107" s="148"/>
      <c r="E107" s="148"/>
      <c r="F107" s="148"/>
      <c r="G107" s="149"/>
      <c r="H107" s="150"/>
      <c r="I107" s="150"/>
      <c r="J107" s="151"/>
      <c r="K107" s="168"/>
      <c r="L107" s="168"/>
      <c r="M107" s="152"/>
      <c r="N107" s="152"/>
    </row>
    <row r="108" spans="1:14" s="137" customFormat="1" x14ac:dyDescent="0.2">
      <c r="A108" s="97" t="s">
        <v>175</v>
      </c>
      <c r="B108" s="147"/>
      <c r="C108" s="97"/>
      <c r="D108" s="148"/>
      <c r="E108" s="148"/>
      <c r="F108" s="148"/>
      <c r="G108" s="149"/>
      <c r="H108" s="150"/>
      <c r="I108" s="150"/>
      <c r="J108" s="151"/>
      <c r="K108" s="168"/>
      <c r="L108" s="168"/>
      <c r="M108" s="152"/>
      <c r="N108" s="152"/>
    </row>
  </sheetData>
  <mergeCells count="2">
    <mergeCell ref="A6:J6"/>
    <mergeCell ref="A5:J5"/>
  </mergeCells>
  <conditionalFormatting sqref="B11:E103 I11:J103">
    <cfRule type="expression" dxfId="66" priority="344" stopIfTrue="1">
      <formula>OR(LEFT(#REF!,3)="TIR",LEFT(#REF!,2)="IR")</formula>
    </cfRule>
  </conditionalFormatting>
  <conditionalFormatting sqref="A11:A103 H11:I103">
    <cfRule type="expression" dxfId="65" priority="346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84" fitToHeight="0" orientation="landscape"/>
  <headerFooter alignWithMargins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A41EA-A960-41E2-AB0A-A105A2361EE5}">
  <sheetPr codeName="גיליון21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23" bestFit="1" customWidth="1"/>
    <col min="2" max="2" width="13.5703125" style="22" bestFit="1" customWidth="1"/>
    <col min="3" max="3" width="12" style="23" customWidth="1"/>
    <col min="4" max="4" width="7.5703125" style="79" customWidth="1"/>
    <col min="5" max="5" width="11.140625" style="79" customWidth="1"/>
    <col min="6" max="6" width="14.140625" style="79" customWidth="1"/>
    <col min="7" max="7" width="7.85546875" style="50" customWidth="1"/>
    <col min="8" max="8" width="11.28515625" style="81" customWidth="1"/>
    <col min="9" max="9" width="12.5703125" style="83" customWidth="1"/>
    <col min="10" max="10" width="14.140625" style="83" customWidth="1"/>
    <col min="11" max="11" width="10.5703125" style="83" customWidth="1"/>
    <col min="12" max="12" width="8.85546875" style="81" bestFit="1" customWidth="1"/>
    <col min="13" max="13" width="10.42578125" style="81" customWidth="1"/>
    <col min="14" max="14" width="22" style="84" customWidth="1"/>
    <col min="15" max="15" width="25.42578125" style="84" customWidth="1"/>
    <col min="16" max="16" width="20.7109375" style="84" customWidth="1"/>
    <col min="17" max="17" width="14.7109375" style="28" customWidth="1"/>
    <col min="18" max="16384" width="9.140625" style="28"/>
  </cols>
  <sheetData>
    <row r="1" spans="1:16" s="20" customFormat="1" x14ac:dyDescent="0.2">
      <c r="A1" s="20" t="s">
        <v>166</v>
      </c>
      <c r="B1" s="22" t="s">
        <v>176</v>
      </c>
      <c r="D1" s="79"/>
      <c r="E1" s="79"/>
      <c r="F1" s="79"/>
      <c r="G1" s="50"/>
      <c r="H1" s="81"/>
      <c r="I1" s="82"/>
      <c r="J1" s="82"/>
      <c r="K1" s="82"/>
      <c r="L1" s="81"/>
      <c r="M1" s="81"/>
      <c r="N1" s="84"/>
      <c r="O1" s="84"/>
      <c r="P1" s="58"/>
    </row>
    <row r="2" spans="1:16" s="20" customFormat="1" x14ac:dyDescent="0.2">
      <c r="A2" s="23" t="s">
        <v>167</v>
      </c>
      <c r="B2" s="22" t="s">
        <v>153</v>
      </c>
      <c r="D2" s="79"/>
      <c r="E2" s="79"/>
      <c r="F2" s="79"/>
      <c r="G2" s="50"/>
      <c r="H2" s="81"/>
      <c r="I2" s="82"/>
      <c r="J2" s="82"/>
      <c r="K2" s="82"/>
      <c r="L2" s="81"/>
      <c r="M2" s="81"/>
      <c r="N2" s="84"/>
      <c r="O2" s="84"/>
      <c r="P2" s="58"/>
    </row>
    <row r="3" spans="1:16" s="20" customFormat="1" x14ac:dyDescent="0.2">
      <c r="A3" s="23" t="s">
        <v>168</v>
      </c>
      <c r="B3" s="22" t="s">
        <v>169</v>
      </c>
      <c r="D3" s="79"/>
      <c r="E3" s="79"/>
      <c r="F3" s="79"/>
      <c r="G3" s="50"/>
      <c r="H3" s="81"/>
      <c r="I3" s="82"/>
      <c r="J3" s="82"/>
      <c r="K3" s="82"/>
      <c r="L3" s="81"/>
      <c r="M3" s="81"/>
      <c r="N3" s="84"/>
      <c r="O3" s="84"/>
      <c r="P3" s="58"/>
    </row>
    <row r="4" spans="1:16" s="20" customFormat="1" ht="13.5" thickBot="1" x14ac:dyDescent="0.25">
      <c r="A4" s="23" t="s">
        <v>170</v>
      </c>
      <c r="B4" s="22" t="s">
        <v>178</v>
      </c>
      <c r="D4" s="79"/>
      <c r="E4" s="79"/>
      <c r="F4" s="79"/>
      <c r="G4" s="50"/>
      <c r="H4" s="81"/>
      <c r="I4" s="82"/>
      <c r="J4" s="82"/>
      <c r="K4" s="82"/>
      <c r="L4" s="81"/>
      <c r="M4" s="81"/>
      <c r="N4" s="84"/>
      <c r="O4" s="84"/>
      <c r="P4" s="58"/>
    </row>
    <row r="5" spans="1:16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6" t="s">
        <v>160</v>
      </c>
      <c r="B7" s="107" t="s">
        <v>69</v>
      </c>
      <c r="C7" s="107" t="s">
        <v>27</v>
      </c>
      <c r="D7" s="107" t="s">
        <v>70</v>
      </c>
      <c r="E7" s="107" t="s">
        <v>5</v>
      </c>
      <c r="F7" s="107" t="s">
        <v>13</v>
      </c>
      <c r="G7" s="107" t="s">
        <v>14</v>
      </c>
      <c r="H7" s="107" t="s">
        <v>6</v>
      </c>
      <c r="I7" s="108" t="s">
        <v>66</v>
      </c>
      <c r="J7" s="108" t="s">
        <v>71</v>
      </c>
      <c r="K7" s="108" t="s">
        <v>67</v>
      </c>
      <c r="L7" s="108" t="s">
        <v>68</v>
      </c>
      <c r="M7" s="108" t="s">
        <v>7</v>
      </c>
      <c r="N7" s="109" t="s">
        <v>17</v>
      </c>
      <c r="O7" s="109" t="s">
        <v>75</v>
      </c>
      <c r="P7" s="110" t="s">
        <v>8</v>
      </c>
    </row>
    <row r="8" spans="1:16" s="20" customFormat="1" x14ac:dyDescent="0.2">
      <c r="A8" s="40"/>
      <c r="B8" s="16"/>
      <c r="C8" s="16"/>
      <c r="D8" s="16"/>
      <c r="E8" s="41"/>
      <c r="F8" s="42" t="s">
        <v>15</v>
      </c>
      <c r="G8" s="42" t="s">
        <v>16</v>
      </c>
      <c r="H8" s="43"/>
      <c r="I8" s="15" t="s">
        <v>9</v>
      </c>
      <c r="J8" s="15" t="s">
        <v>9</v>
      </c>
      <c r="K8" s="15" t="s">
        <v>136</v>
      </c>
      <c r="L8" s="15"/>
      <c r="M8" s="15" t="s">
        <v>138</v>
      </c>
      <c r="N8" s="44" t="s">
        <v>9</v>
      </c>
      <c r="O8" s="75" t="s">
        <v>9</v>
      </c>
      <c r="P8" s="19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76">
        <v>14</v>
      </c>
      <c r="P9" s="36">
        <v>15</v>
      </c>
    </row>
    <row r="10" spans="1:16" s="137" customFormat="1" ht="12.75" customHeight="1" thickBot="1" x14ac:dyDescent="0.25">
      <c r="A10" s="120" t="s">
        <v>57</v>
      </c>
      <c r="B10" s="86" t="s">
        <v>180</v>
      </c>
      <c r="C10" s="86" t="s">
        <v>180</v>
      </c>
      <c r="D10" s="121"/>
      <c r="E10" s="121" t="s">
        <v>180</v>
      </c>
      <c r="F10" s="121" t="s">
        <v>180</v>
      </c>
      <c r="G10" s="121" t="s">
        <v>180</v>
      </c>
      <c r="H10" s="121" t="s">
        <v>180</v>
      </c>
      <c r="I10" s="86" t="s">
        <v>180</v>
      </c>
      <c r="J10" s="86" t="s">
        <v>180</v>
      </c>
      <c r="K10" s="122" t="s">
        <v>180</v>
      </c>
      <c r="L10" s="121" t="s">
        <v>180</v>
      </c>
      <c r="M10" s="123">
        <v>1.2000000000000002E-6</v>
      </c>
      <c r="N10" s="86" t="s">
        <v>180</v>
      </c>
      <c r="O10" s="86">
        <v>0</v>
      </c>
      <c r="P10" s="101">
        <v>0</v>
      </c>
    </row>
    <row r="11" spans="1:16" s="137" customFormat="1" x14ac:dyDescent="0.2">
      <c r="A11" s="111" t="s">
        <v>140</v>
      </c>
      <c r="B11" s="140" t="s">
        <v>180</v>
      </c>
      <c r="C11" s="140" t="s">
        <v>180</v>
      </c>
      <c r="D11" s="141" t="s">
        <v>180</v>
      </c>
      <c r="E11" s="141" t="s">
        <v>180</v>
      </c>
      <c r="F11" s="141" t="s">
        <v>180</v>
      </c>
      <c r="G11" s="141" t="s">
        <v>180</v>
      </c>
      <c r="H11" s="141" t="s">
        <v>180</v>
      </c>
      <c r="I11" s="140" t="s">
        <v>180</v>
      </c>
      <c r="J11" s="140" t="s">
        <v>180</v>
      </c>
      <c r="K11" s="153" t="s">
        <v>180</v>
      </c>
      <c r="L11" s="141" t="s">
        <v>180</v>
      </c>
      <c r="M11" s="142">
        <v>0</v>
      </c>
      <c r="N11" s="140" t="s">
        <v>180</v>
      </c>
      <c r="O11" s="140">
        <v>0</v>
      </c>
      <c r="P11" s="140">
        <v>0</v>
      </c>
    </row>
    <row r="12" spans="1:16" s="137" customFormat="1" x14ac:dyDescent="0.2">
      <c r="A12" s="112" t="s">
        <v>1533</v>
      </c>
      <c r="B12" s="144" t="s">
        <v>180</v>
      </c>
      <c r="C12" s="144" t="s">
        <v>180</v>
      </c>
      <c r="D12" s="145" t="s">
        <v>180</v>
      </c>
      <c r="E12" s="145" t="s">
        <v>180</v>
      </c>
      <c r="F12" s="145" t="s">
        <v>180</v>
      </c>
      <c r="G12" s="145" t="s">
        <v>180</v>
      </c>
      <c r="H12" s="145" t="s">
        <v>180</v>
      </c>
      <c r="I12" s="144" t="s">
        <v>180</v>
      </c>
      <c r="J12" s="144" t="s">
        <v>180</v>
      </c>
      <c r="K12" s="155" t="s">
        <v>180</v>
      </c>
      <c r="L12" s="141" t="s">
        <v>180</v>
      </c>
      <c r="M12" s="146">
        <v>0</v>
      </c>
      <c r="N12" s="144" t="s">
        <v>180</v>
      </c>
      <c r="O12" s="144">
        <v>0</v>
      </c>
      <c r="P12" s="144">
        <v>0</v>
      </c>
    </row>
    <row r="13" spans="1:16" s="137" customFormat="1" x14ac:dyDescent="0.2">
      <c r="A13" s="112" t="s">
        <v>1534</v>
      </c>
      <c r="B13" s="144" t="s">
        <v>180</v>
      </c>
      <c r="C13" s="144" t="s">
        <v>180</v>
      </c>
      <c r="D13" s="145" t="s">
        <v>180</v>
      </c>
      <c r="E13" s="145" t="s">
        <v>180</v>
      </c>
      <c r="F13" s="145" t="s">
        <v>180</v>
      </c>
      <c r="G13" s="145" t="s">
        <v>180</v>
      </c>
      <c r="H13" s="145" t="s">
        <v>180</v>
      </c>
      <c r="I13" s="144" t="s">
        <v>180</v>
      </c>
      <c r="J13" s="144" t="s">
        <v>180</v>
      </c>
      <c r="K13" s="155" t="s">
        <v>180</v>
      </c>
      <c r="L13" s="141" t="s">
        <v>180</v>
      </c>
      <c r="M13" s="146">
        <v>0</v>
      </c>
      <c r="N13" s="144" t="s">
        <v>180</v>
      </c>
      <c r="O13" s="144">
        <v>0</v>
      </c>
      <c r="P13" s="144">
        <v>0</v>
      </c>
    </row>
    <row r="14" spans="1:16" s="137" customFormat="1" x14ac:dyDescent="0.2">
      <c r="A14" s="112" t="s">
        <v>1535</v>
      </c>
      <c r="B14" s="144" t="s">
        <v>180</v>
      </c>
      <c r="C14" s="144" t="s">
        <v>180</v>
      </c>
      <c r="D14" s="145" t="s">
        <v>180</v>
      </c>
      <c r="E14" s="145" t="s">
        <v>180</v>
      </c>
      <c r="F14" s="145" t="s">
        <v>180</v>
      </c>
      <c r="G14" s="145" t="s">
        <v>180</v>
      </c>
      <c r="H14" s="145" t="s">
        <v>180</v>
      </c>
      <c r="I14" s="144" t="s">
        <v>180</v>
      </c>
      <c r="J14" s="144" t="s">
        <v>180</v>
      </c>
      <c r="K14" s="155" t="s">
        <v>180</v>
      </c>
      <c r="L14" s="141" t="s">
        <v>180</v>
      </c>
      <c r="M14" s="146">
        <v>0</v>
      </c>
      <c r="N14" s="144" t="s">
        <v>180</v>
      </c>
      <c r="O14" s="144">
        <v>0</v>
      </c>
      <c r="P14" s="144">
        <v>0</v>
      </c>
    </row>
    <row r="15" spans="1:16" s="137" customFormat="1" x14ac:dyDescent="0.2">
      <c r="A15" s="112" t="s">
        <v>1536</v>
      </c>
      <c r="B15" s="144" t="s">
        <v>180</v>
      </c>
      <c r="C15" s="144" t="s">
        <v>180</v>
      </c>
      <c r="D15" s="145" t="s">
        <v>180</v>
      </c>
      <c r="E15" s="145" t="s">
        <v>180</v>
      </c>
      <c r="F15" s="145" t="s">
        <v>180</v>
      </c>
      <c r="G15" s="145" t="s">
        <v>180</v>
      </c>
      <c r="H15" s="145" t="s">
        <v>180</v>
      </c>
      <c r="I15" s="144" t="s">
        <v>180</v>
      </c>
      <c r="J15" s="144" t="s">
        <v>180</v>
      </c>
      <c r="K15" s="155" t="s">
        <v>180</v>
      </c>
      <c r="L15" s="141" t="s">
        <v>180</v>
      </c>
      <c r="M15" s="146">
        <v>0</v>
      </c>
      <c r="N15" s="144" t="s">
        <v>180</v>
      </c>
      <c r="O15" s="144">
        <v>0</v>
      </c>
      <c r="P15" s="144">
        <v>0</v>
      </c>
    </row>
    <row r="16" spans="1:16" s="137" customFormat="1" x14ac:dyDescent="0.2">
      <c r="A16" s="112" t="s">
        <v>1537</v>
      </c>
      <c r="B16" s="144" t="s">
        <v>180</v>
      </c>
      <c r="C16" s="144" t="s">
        <v>180</v>
      </c>
      <c r="D16" s="145" t="s">
        <v>180</v>
      </c>
      <c r="E16" s="145" t="s">
        <v>180</v>
      </c>
      <c r="F16" s="145" t="s">
        <v>180</v>
      </c>
      <c r="G16" s="145" t="s">
        <v>180</v>
      </c>
      <c r="H16" s="145" t="s">
        <v>180</v>
      </c>
      <c r="I16" s="144" t="s">
        <v>180</v>
      </c>
      <c r="J16" s="144" t="s">
        <v>180</v>
      </c>
      <c r="K16" s="155" t="s">
        <v>180</v>
      </c>
      <c r="L16" s="141" t="s">
        <v>180</v>
      </c>
      <c r="M16" s="146">
        <v>0</v>
      </c>
      <c r="N16" s="144" t="s">
        <v>180</v>
      </c>
      <c r="O16" s="144">
        <v>0</v>
      </c>
      <c r="P16" s="144">
        <v>0</v>
      </c>
    </row>
    <row r="17" spans="1:16" s="137" customFormat="1" x14ac:dyDescent="0.2">
      <c r="A17" s="112" t="s">
        <v>1538</v>
      </c>
      <c r="B17" s="144" t="s">
        <v>180</v>
      </c>
      <c r="C17" s="144" t="s">
        <v>180</v>
      </c>
      <c r="D17" s="145" t="s">
        <v>180</v>
      </c>
      <c r="E17" s="145" t="s">
        <v>180</v>
      </c>
      <c r="F17" s="145" t="s">
        <v>180</v>
      </c>
      <c r="G17" s="145" t="s">
        <v>180</v>
      </c>
      <c r="H17" s="145" t="s">
        <v>180</v>
      </c>
      <c r="I17" s="144" t="s">
        <v>180</v>
      </c>
      <c r="J17" s="144" t="s">
        <v>180</v>
      </c>
      <c r="K17" s="155" t="s">
        <v>180</v>
      </c>
      <c r="L17" s="141" t="s">
        <v>180</v>
      </c>
      <c r="M17" s="146">
        <v>0</v>
      </c>
      <c r="N17" s="144" t="s">
        <v>180</v>
      </c>
      <c r="O17" s="144">
        <v>0</v>
      </c>
      <c r="P17" s="144">
        <v>0</v>
      </c>
    </row>
    <row r="18" spans="1:16" s="137" customFormat="1" x14ac:dyDescent="0.2">
      <c r="A18" s="112" t="s">
        <v>1539</v>
      </c>
      <c r="B18" s="144" t="s">
        <v>180</v>
      </c>
      <c r="C18" s="144" t="s">
        <v>180</v>
      </c>
      <c r="D18" s="145" t="s">
        <v>180</v>
      </c>
      <c r="E18" s="145" t="s">
        <v>180</v>
      </c>
      <c r="F18" s="145" t="s">
        <v>180</v>
      </c>
      <c r="G18" s="145" t="s">
        <v>180</v>
      </c>
      <c r="H18" s="145" t="s">
        <v>180</v>
      </c>
      <c r="I18" s="144" t="s">
        <v>180</v>
      </c>
      <c r="J18" s="144" t="s">
        <v>180</v>
      </c>
      <c r="K18" s="155" t="s">
        <v>180</v>
      </c>
      <c r="L18" s="141" t="s">
        <v>180</v>
      </c>
      <c r="M18" s="146">
        <v>0</v>
      </c>
      <c r="N18" s="144" t="s">
        <v>180</v>
      </c>
      <c r="O18" s="144">
        <v>0</v>
      </c>
      <c r="P18" s="144">
        <v>0</v>
      </c>
    </row>
    <row r="19" spans="1:16" s="137" customFormat="1" x14ac:dyDescent="0.2">
      <c r="A19" s="112" t="s">
        <v>357</v>
      </c>
      <c r="B19" s="144" t="s">
        <v>180</v>
      </c>
      <c r="C19" s="144" t="s">
        <v>180</v>
      </c>
      <c r="D19" s="145" t="s">
        <v>180</v>
      </c>
      <c r="E19" s="145" t="s">
        <v>180</v>
      </c>
      <c r="F19" s="145" t="s">
        <v>180</v>
      </c>
      <c r="G19" s="145" t="s">
        <v>180</v>
      </c>
      <c r="H19" s="145" t="s">
        <v>180</v>
      </c>
      <c r="I19" s="144" t="s">
        <v>180</v>
      </c>
      <c r="J19" s="144" t="s">
        <v>180</v>
      </c>
      <c r="K19" s="155" t="s">
        <v>180</v>
      </c>
      <c r="L19" s="141" t="s">
        <v>180</v>
      </c>
      <c r="M19" s="146">
        <v>0</v>
      </c>
      <c r="N19" s="144" t="s">
        <v>180</v>
      </c>
      <c r="O19" s="144">
        <v>0</v>
      </c>
      <c r="P19" s="144">
        <v>0</v>
      </c>
    </row>
    <row r="20" spans="1:16" s="137" customFormat="1" x14ac:dyDescent="0.2">
      <c r="A20" s="112" t="s">
        <v>1533</v>
      </c>
      <c r="B20" s="144" t="s">
        <v>180</v>
      </c>
      <c r="C20" s="144" t="s">
        <v>180</v>
      </c>
      <c r="D20" s="145" t="s">
        <v>180</v>
      </c>
      <c r="E20" s="145" t="s">
        <v>180</v>
      </c>
      <c r="F20" s="145" t="s">
        <v>180</v>
      </c>
      <c r="G20" s="145" t="s">
        <v>180</v>
      </c>
      <c r="H20" s="145" t="s">
        <v>180</v>
      </c>
      <c r="I20" s="144" t="s">
        <v>180</v>
      </c>
      <c r="J20" s="144" t="s">
        <v>180</v>
      </c>
      <c r="K20" s="155" t="s">
        <v>180</v>
      </c>
      <c r="L20" s="141" t="s">
        <v>180</v>
      </c>
      <c r="M20" s="146">
        <v>0</v>
      </c>
      <c r="N20" s="144" t="s">
        <v>180</v>
      </c>
      <c r="O20" s="144">
        <v>0</v>
      </c>
      <c r="P20" s="144">
        <v>0</v>
      </c>
    </row>
    <row r="21" spans="1:16" s="137" customFormat="1" x14ac:dyDescent="0.2">
      <c r="A21" s="112" t="s">
        <v>1534</v>
      </c>
      <c r="B21" s="144" t="s">
        <v>180</v>
      </c>
      <c r="C21" s="144" t="s">
        <v>180</v>
      </c>
      <c r="D21" s="145" t="s">
        <v>180</v>
      </c>
      <c r="E21" s="145" t="s">
        <v>180</v>
      </c>
      <c r="F21" s="145" t="s">
        <v>180</v>
      </c>
      <c r="G21" s="145" t="s">
        <v>180</v>
      </c>
      <c r="H21" s="145" t="s">
        <v>180</v>
      </c>
      <c r="I21" s="144" t="s">
        <v>180</v>
      </c>
      <c r="J21" s="144" t="s">
        <v>180</v>
      </c>
      <c r="K21" s="155" t="s">
        <v>180</v>
      </c>
      <c r="L21" s="141" t="s">
        <v>180</v>
      </c>
      <c r="M21" s="146">
        <v>0</v>
      </c>
      <c r="N21" s="144" t="s">
        <v>180</v>
      </c>
      <c r="O21" s="144">
        <v>0</v>
      </c>
      <c r="P21" s="144">
        <v>0</v>
      </c>
    </row>
    <row r="22" spans="1:16" s="137" customFormat="1" x14ac:dyDescent="0.2">
      <c r="A22" s="112" t="s">
        <v>1535</v>
      </c>
      <c r="B22" s="144" t="s">
        <v>180</v>
      </c>
      <c r="C22" s="144" t="s">
        <v>180</v>
      </c>
      <c r="D22" s="145" t="s">
        <v>180</v>
      </c>
      <c r="E22" s="145" t="s">
        <v>180</v>
      </c>
      <c r="F22" s="145" t="s">
        <v>180</v>
      </c>
      <c r="G22" s="145" t="s">
        <v>180</v>
      </c>
      <c r="H22" s="145" t="s">
        <v>180</v>
      </c>
      <c r="I22" s="144" t="s">
        <v>180</v>
      </c>
      <c r="J22" s="144" t="s">
        <v>180</v>
      </c>
      <c r="K22" s="155" t="s">
        <v>180</v>
      </c>
      <c r="L22" s="141" t="s">
        <v>180</v>
      </c>
      <c r="M22" s="146">
        <v>0</v>
      </c>
      <c r="N22" s="144" t="s">
        <v>180</v>
      </c>
      <c r="O22" s="144">
        <v>0</v>
      </c>
      <c r="P22" s="144">
        <v>0</v>
      </c>
    </row>
    <row r="23" spans="1:16" s="137" customFormat="1" x14ac:dyDescent="0.2">
      <c r="A23" s="112" t="s">
        <v>1536</v>
      </c>
      <c r="B23" s="144" t="s">
        <v>180</v>
      </c>
      <c r="C23" s="144" t="s">
        <v>180</v>
      </c>
      <c r="D23" s="145" t="s">
        <v>180</v>
      </c>
      <c r="E23" s="145" t="s">
        <v>180</v>
      </c>
      <c r="F23" s="145" t="s">
        <v>180</v>
      </c>
      <c r="G23" s="145" t="s">
        <v>180</v>
      </c>
      <c r="H23" s="145" t="s">
        <v>180</v>
      </c>
      <c r="I23" s="144" t="s">
        <v>180</v>
      </c>
      <c r="J23" s="144" t="s">
        <v>180</v>
      </c>
      <c r="K23" s="155" t="s">
        <v>180</v>
      </c>
      <c r="L23" s="141" t="s">
        <v>180</v>
      </c>
      <c r="M23" s="146">
        <v>0</v>
      </c>
      <c r="N23" s="144" t="s">
        <v>180</v>
      </c>
      <c r="O23" s="144">
        <v>0</v>
      </c>
      <c r="P23" s="144">
        <v>0</v>
      </c>
    </row>
    <row r="24" spans="1:16" s="137" customFormat="1" x14ac:dyDescent="0.2">
      <c r="A24" s="112" t="s">
        <v>1537</v>
      </c>
      <c r="B24" s="144" t="s">
        <v>180</v>
      </c>
      <c r="C24" s="144" t="s">
        <v>180</v>
      </c>
      <c r="D24" s="145" t="s">
        <v>180</v>
      </c>
      <c r="E24" s="145" t="s">
        <v>180</v>
      </c>
      <c r="F24" s="145" t="s">
        <v>180</v>
      </c>
      <c r="G24" s="145" t="s">
        <v>180</v>
      </c>
      <c r="H24" s="145" t="s">
        <v>180</v>
      </c>
      <c r="I24" s="144" t="s">
        <v>180</v>
      </c>
      <c r="J24" s="144" t="s">
        <v>180</v>
      </c>
      <c r="K24" s="155" t="s">
        <v>180</v>
      </c>
      <c r="L24" s="141" t="s">
        <v>180</v>
      </c>
      <c r="M24" s="146">
        <v>0</v>
      </c>
      <c r="N24" s="144" t="s">
        <v>180</v>
      </c>
      <c r="O24" s="144">
        <v>0</v>
      </c>
      <c r="P24" s="144">
        <v>0</v>
      </c>
    </row>
    <row r="25" spans="1:16" s="137" customFormat="1" x14ac:dyDescent="0.2">
      <c r="A25" s="112" t="s">
        <v>1538</v>
      </c>
      <c r="B25" s="144" t="s">
        <v>180</v>
      </c>
      <c r="C25" s="144" t="s">
        <v>180</v>
      </c>
      <c r="D25" s="145" t="s">
        <v>180</v>
      </c>
      <c r="E25" s="145" t="s">
        <v>180</v>
      </c>
      <c r="F25" s="145" t="s">
        <v>180</v>
      </c>
      <c r="G25" s="145" t="s">
        <v>180</v>
      </c>
      <c r="H25" s="145" t="s">
        <v>180</v>
      </c>
      <c r="I25" s="144" t="s">
        <v>180</v>
      </c>
      <c r="J25" s="144" t="s">
        <v>180</v>
      </c>
      <c r="K25" s="155" t="s">
        <v>180</v>
      </c>
      <c r="L25" s="141" t="s">
        <v>180</v>
      </c>
      <c r="M25" s="146">
        <v>0</v>
      </c>
      <c r="N25" s="144" t="s">
        <v>180</v>
      </c>
      <c r="O25" s="144">
        <v>0</v>
      </c>
      <c r="P25" s="144">
        <v>0</v>
      </c>
    </row>
    <row r="26" spans="1:16" s="137" customFormat="1" x14ac:dyDescent="0.2">
      <c r="A26" s="231" t="s">
        <v>1539</v>
      </c>
      <c r="B26" s="232" t="s">
        <v>180</v>
      </c>
      <c r="C26" s="232" t="s">
        <v>180</v>
      </c>
      <c r="D26" s="239" t="s">
        <v>180</v>
      </c>
      <c r="E26" s="239" t="s">
        <v>180</v>
      </c>
      <c r="F26" s="239" t="s">
        <v>180</v>
      </c>
      <c r="G26" s="239" t="s">
        <v>180</v>
      </c>
      <c r="H26" s="239" t="s">
        <v>180</v>
      </c>
      <c r="I26" s="232" t="s">
        <v>180</v>
      </c>
      <c r="J26" s="232" t="s">
        <v>180</v>
      </c>
      <c r="K26" s="240" t="s">
        <v>180</v>
      </c>
      <c r="L26" s="241" t="s">
        <v>180</v>
      </c>
      <c r="M26" s="237">
        <v>0</v>
      </c>
      <c r="N26" s="232" t="s">
        <v>180</v>
      </c>
      <c r="O26" s="232">
        <v>0</v>
      </c>
      <c r="P26" s="232">
        <v>0</v>
      </c>
    </row>
    <row r="27" spans="1:16" s="137" customFormat="1" x14ac:dyDescent="0.2">
      <c r="A27" s="97" t="s">
        <v>171</v>
      </c>
      <c r="B27" s="147"/>
      <c r="C27" s="97"/>
      <c r="D27" s="148"/>
      <c r="E27" s="148"/>
      <c r="F27" s="148"/>
      <c r="G27" s="149"/>
      <c r="H27" s="150"/>
      <c r="I27" s="151"/>
      <c r="J27" s="151"/>
      <c r="K27" s="151"/>
      <c r="L27" s="150"/>
      <c r="M27" s="150"/>
      <c r="N27" s="156"/>
      <c r="O27" s="156"/>
      <c r="P27" s="156"/>
    </row>
    <row r="28" spans="1:16" s="137" customFormat="1" x14ac:dyDescent="0.2">
      <c r="A28" s="97" t="s">
        <v>172</v>
      </c>
      <c r="B28" s="147"/>
      <c r="C28" s="97"/>
      <c r="D28" s="148"/>
      <c r="E28" s="148"/>
      <c r="F28" s="148"/>
      <c r="G28" s="149"/>
      <c r="H28" s="150"/>
      <c r="I28" s="151"/>
      <c r="J28" s="151"/>
      <c r="K28" s="151"/>
      <c r="L28" s="150"/>
      <c r="M28" s="150"/>
      <c r="N28" s="156"/>
      <c r="O28" s="156"/>
      <c r="P28" s="156"/>
    </row>
    <row r="29" spans="1:16" s="137" customFormat="1" x14ac:dyDescent="0.2">
      <c r="A29" s="97" t="s">
        <v>173</v>
      </c>
      <c r="B29" s="147"/>
      <c r="C29" s="97"/>
      <c r="D29" s="148"/>
      <c r="E29" s="148"/>
      <c r="F29" s="148"/>
      <c r="G29" s="149"/>
      <c r="H29" s="150"/>
      <c r="I29" s="151"/>
      <c r="J29" s="151"/>
      <c r="K29" s="151"/>
      <c r="L29" s="150"/>
      <c r="M29" s="150"/>
      <c r="N29" s="156"/>
      <c r="O29" s="156"/>
      <c r="P29" s="156"/>
    </row>
    <row r="30" spans="1:16" s="137" customFormat="1" x14ac:dyDescent="0.2">
      <c r="A30" s="97" t="s">
        <v>174</v>
      </c>
      <c r="B30" s="147"/>
      <c r="C30" s="97"/>
      <c r="D30" s="148"/>
      <c r="E30" s="148"/>
      <c r="F30" s="148"/>
      <c r="G30" s="149"/>
      <c r="H30" s="150"/>
      <c r="I30" s="151"/>
      <c r="J30" s="151"/>
      <c r="K30" s="151"/>
      <c r="L30" s="150"/>
      <c r="M30" s="150"/>
      <c r="N30" s="156"/>
      <c r="O30" s="156"/>
      <c r="P30" s="156"/>
    </row>
    <row r="31" spans="1:16" s="137" customFormat="1" x14ac:dyDescent="0.2">
      <c r="A31" s="97" t="s">
        <v>175</v>
      </c>
      <c r="B31" s="147"/>
      <c r="C31" s="97"/>
      <c r="D31" s="148"/>
      <c r="E31" s="148"/>
      <c r="F31" s="148"/>
      <c r="G31" s="149"/>
      <c r="H31" s="150"/>
      <c r="I31" s="151"/>
      <c r="J31" s="151"/>
      <c r="K31" s="151"/>
      <c r="L31" s="150"/>
      <c r="M31" s="150"/>
      <c r="N31" s="156"/>
      <c r="O31" s="156"/>
      <c r="P31" s="156"/>
    </row>
  </sheetData>
  <mergeCells count="2">
    <mergeCell ref="A6:P6"/>
    <mergeCell ref="A5:P5"/>
  </mergeCells>
  <conditionalFormatting sqref="B11:F26 H11:H26 O11:P26">
    <cfRule type="expression" dxfId="64" priority="351" stopIfTrue="1">
      <formula>OR(LEFT(#REF!,3)="TIR",LEFT(#REF!,2)="IR")</formula>
    </cfRule>
  </conditionalFormatting>
  <conditionalFormatting sqref="A11:A26 M11:M26">
    <cfRule type="expression" dxfId="63" priority="354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58" fitToHeight="0" orientation="landscape"/>
  <headerFooter alignWithMargins="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D2CC9-4A66-4874-B83A-E58E481322A7}">
  <sheetPr codeName="גיליון22">
    <pageSetUpPr fitToPage="1"/>
  </sheetPr>
  <dimension ref="A1:S247"/>
  <sheetViews>
    <sheetView rightToLeft="1" topLeftCell="A6" zoomScale="80" zoomScaleNormal="80" workbookViewId="0">
      <selection activeCell="A6" sqref="A6:Q241"/>
    </sheetView>
  </sheetViews>
  <sheetFormatPr defaultRowHeight="12.75" x14ac:dyDescent="0.2"/>
  <cols>
    <col min="1" max="1" width="45.85546875" style="23" bestFit="1" customWidth="1"/>
    <col min="2" max="2" width="13.5703125" style="23" bestFit="1" customWidth="1"/>
    <col min="3" max="3" width="11.140625" style="22" customWidth="1"/>
    <col min="4" max="4" width="13.28515625" style="22" customWidth="1"/>
    <col min="5" max="5" width="10.42578125" style="22" bestFit="1" customWidth="1"/>
    <col min="6" max="6" width="14.140625" style="79" customWidth="1"/>
    <col min="7" max="7" width="11.140625" style="79" customWidth="1"/>
    <col min="8" max="8" width="7.85546875" style="79" customWidth="1"/>
    <col min="9" max="9" width="15.7109375" style="79" bestFit="1" customWidth="1"/>
    <col min="10" max="10" width="12" style="79" bestFit="1" customWidth="1"/>
    <col min="11" max="11" width="18.28515625" style="50" customWidth="1"/>
    <col min="12" max="12" width="14.140625" style="81" customWidth="1"/>
    <col min="13" max="13" width="13" style="83" bestFit="1" customWidth="1"/>
    <col min="14" max="14" width="9.28515625" style="83" bestFit="1" customWidth="1"/>
    <col min="15" max="15" width="10.42578125" style="83" customWidth="1"/>
    <col min="16" max="16" width="25.42578125" style="83" customWidth="1"/>
    <col min="17" max="17" width="20.7109375" style="81" customWidth="1"/>
    <col min="18" max="18" width="11.42578125" style="28" customWidth="1"/>
    <col min="19" max="19" width="15.42578125" style="28" customWidth="1"/>
    <col min="20" max="16384" width="9.140625" style="28"/>
  </cols>
  <sheetData>
    <row r="1" spans="1:19" s="20" customFormat="1" x14ac:dyDescent="0.2">
      <c r="A1" s="20" t="s">
        <v>166</v>
      </c>
      <c r="B1" s="21" t="s">
        <v>176</v>
      </c>
      <c r="C1" s="22"/>
      <c r="D1" s="22"/>
      <c r="E1" s="58"/>
      <c r="F1" s="79"/>
      <c r="G1" s="79"/>
      <c r="H1" s="79"/>
      <c r="I1" s="79"/>
      <c r="J1" s="79"/>
      <c r="K1" s="50"/>
      <c r="L1" s="81"/>
      <c r="M1" s="82"/>
      <c r="N1" s="82"/>
      <c r="O1" s="82"/>
      <c r="P1" s="82"/>
      <c r="Q1" s="81"/>
      <c r="R1" s="28"/>
    </row>
    <row r="2" spans="1:19" s="20" customFormat="1" x14ac:dyDescent="0.2">
      <c r="A2" s="23" t="s">
        <v>167</v>
      </c>
      <c r="B2" s="23" t="s">
        <v>153</v>
      </c>
      <c r="C2" s="22"/>
      <c r="D2" s="22"/>
      <c r="E2" s="58"/>
      <c r="F2" s="79"/>
      <c r="G2" s="79"/>
      <c r="H2" s="79"/>
      <c r="I2" s="79"/>
      <c r="J2" s="79"/>
      <c r="K2" s="50"/>
      <c r="L2" s="81"/>
      <c r="M2" s="82"/>
      <c r="N2" s="82"/>
      <c r="O2" s="82"/>
      <c r="P2" s="82"/>
      <c r="Q2" s="81"/>
      <c r="R2" s="28"/>
    </row>
    <row r="3" spans="1:19" s="20" customFormat="1" x14ac:dyDescent="0.2">
      <c r="A3" s="23" t="s">
        <v>168</v>
      </c>
      <c r="B3" s="22" t="s">
        <v>169</v>
      </c>
      <c r="C3" s="22"/>
      <c r="D3" s="22"/>
      <c r="E3" s="58"/>
      <c r="F3" s="79"/>
      <c r="G3" s="79"/>
      <c r="H3" s="79"/>
      <c r="I3" s="79"/>
      <c r="J3" s="79"/>
      <c r="K3" s="50"/>
      <c r="L3" s="81"/>
      <c r="M3" s="82"/>
      <c r="N3" s="82"/>
      <c r="O3" s="82"/>
      <c r="P3" s="82"/>
      <c r="Q3" s="81"/>
      <c r="R3" s="28"/>
    </row>
    <row r="4" spans="1:19" s="20" customFormat="1" ht="13.5" thickBot="1" x14ac:dyDescent="0.25">
      <c r="A4" s="23" t="s">
        <v>170</v>
      </c>
      <c r="B4" s="22" t="s">
        <v>178</v>
      </c>
      <c r="C4" s="22"/>
      <c r="D4" s="22"/>
      <c r="E4" s="58"/>
      <c r="F4" s="79"/>
      <c r="G4" s="79"/>
      <c r="H4" s="79"/>
      <c r="I4" s="79"/>
      <c r="J4" s="79"/>
      <c r="K4" s="50"/>
      <c r="L4" s="81"/>
      <c r="M4" s="82"/>
      <c r="N4" s="82"/>
      <c r="O4" s="82"/>
      <c r="P4" s="82"/>
      <c r="Q4" s="81"/>
      <c r="R4" s="28"/>
    </row>
    <row r="5" spans="1:19" s="20" customFormat="1" x14ac:dyDescent="0.2">
      <c r="A5" s="10" t="s">
        <v>35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  <c r="R5" s="26"/>
      <c r="S5" s="26"/>
    </row>
    <row r="6" spans="1:19" s="20" customFormat="1" ht="33.75" customHeight="1" x14ac:dyDescent="0.2">
      <c r="A6" s="106" t="s">
        <v>160</v>
      </c>
      <c r="B6" s="107" t="s">
        <v>80</v>
      </c>
      <c r="C6" s="107" t="s">
        <v>69</v>
      </c>
      <c r="D6" s="107" t="s">
        <v>74</v>
      </c>
      <c r="E6" s="107" t="s">
        <v>70</v>
      </c>
      <c r="F6" s="107" t="s">
        <v>13</v>
      </c>
      <c r="G6" s="107" t="s">
        <v>5</v>
      </c>
      <c r="H6" s="107" t="s">
        <v>14</v>
      </c>
      <c r="I6" s="107" t="s">
        <v>163</v>
      </c>
      <c r="J6" s="107" t="s">
        <v>6</v>
      </c>
      <c r="K6" s="108" t="s">
        <v>36</v>
      </c>
      <c r="L6" s="108" t="s">
        <v>71</v>
      </c>
      <c r="M6" s="108" t="s">
        <v>67</v>
      </c>
      <c r="N6" s="108" t="s">
        <v>68</v>
      </c>
      <c r="O6" s="108" t="s">
        <v>29</v>
      </c>
      <c r="P6" s="109" t="s">
        <v>75</v>
      </c>
      <c r="Q6" s="110" t="s">
        <v>8</v>
      </c>
    </row>
    <row r="7" spans="1:19" s="20" customFormat="1" x14ac:dyDescent="0.2">
      <c r="A7" s="40"/>
      <c r="B7" s="16"/>
      <c r="C7" s="16"/>
      <c r="D7" s="16"/>
      <c r="E7" s="16"/>
      <c r="F7" s="41" t="s">
        <v>40</v>
      </c>
      <c r="G7" s="41"/>
      <c r="H7" s="42" t="s">
        <v>16</v>
      </c>
      <c r="I7" s="42"/>
      <c r="J7" s="43"/>
      <c r="K7" s="15" t="s">
        <v>9</v>
      </c>
      <c r="L7" s="15" t="s">
        <v>9</v>
      </c>
      <c r="M7" s="15" t="s">
        <v>136</v>
      </c>
      <c r="N7" s="15"/>
      <c r="O7" s="15" t="s">
        <v>138</v>
      </c>
      <c r="P7" s="44" t="s">
        <v>9</v>
      </c>
      <c r="Q7" s="19" t="s">
        <v>9</v>
      </c>
    </row>
    <row r="8" spans="1:19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35">
        <v>12</v>
      </c>
      <c r="N8" s="35">
        <v>13</v>
      </c>
      <c r="O8" s="35">
        <v>14</v>
      </c>
      <c r="P8" s="76">
        <v>15</v>
      </c>
      <c r="Q8" s="49">
        <v>16</v>
      </c>
    </row>
    <row r="9" spans="1:19" s="137" customFormat="1" ht="12.75" customHeight="1" thickBot="1" x14ac:dyDescent="0.25">
      <c r="A9" s="120" t="s">
        <v>123</v>
      </c>
      <c r="B9" s="86" t="s">
        <v>180</v>
      </c>
      <c r="C9" s="86" t="s">
        <v>180</v>
      </c>
      <c r="D9" s="86"/>
      <c r="E9" s="121" t="s">
        <v>180</v>
      </c>
      <c r="F9" s="121"/>
      <c r="G9" s="121" t="s">
        <v>180</v>
      </c>
      <c r="H9" s="122" t="s">
        <v>180</v>
      </c>
      <c r="I9" s="122"/>
      <c r="J9" s="121" t="s">
        <v>180</v>
      </c>
      <c r="K9" s="86" t="s">
        <v>180</v>
      </c>
      <c r="L9" s="86" t="s">
        <v>180</v>
      </c>
      <c r="M9" s="131" t="s">
        <v>180</v>
      </c>
      <c r="N9" s="121" t="s">
        <v>180</v>
      </c>
      <c r="O9" s="123">
        <v>87608.216251299993</v>
      </c>
      <c r="P9" s="86">
        <v>1</v>
      </c>
      <c r="Q9" s="101">
        <v>0.10613102581903189</v>
      </c>
    </row>
    <row r="10" spans="1:19" s="137" customFormat="1" x14ac:dyDescent="0.2">
      <c r="A10" s="111" t="s">
        <v>140</v>
      </c>
      <c r="B10" s="140" t="s">
        <v>180</v>
      </c>
      <c r="C10" s="140" t="s">
        <v>180</v>
      </c>
      <c r="D10" s="140" t="s">
        <v>180</v>
      </c>
      <c r="E10" s="141" t="s">
        <v>180</v>
      </c>
      <c r="F10" s="141" t="s">
        <v>180</v>
      </c>
      <c r="G10" s="141" t="s">
        <v>180</v>
      </c>
      <c r="H10" s="153" t="s">
        <v>180</v>
      </c>
      <c r="I10" s="178"/>
      <c r="J10" s="141" t="s">
        <v>180</v>
      </c>
      <c r="K10" s="140" t="s">
        <v>180</v>
      </c>
      <c r="L10" s="140" t="s">
        <v>180</v>
      </c>
      <c r="M10" s="179" t="s">
        <v>180</v>
      </c>
      <c r="N10" s="141" t="s">
        <v>180</v>
      </c>
      <c r="O10" s="142">
        <v>86371.594480899992</v>
      </c>
      <c r="P10" s="140">
        <v>0.98588463704302787</v>
      </c>
      <c r="Q10" s="140">
        <v>0.10463294786860047</v>
      </c>
    </row>
    <row r="11" spans="1:19" s="137" customFormat="1" x14ac:dyDescent="0.2">
      <c r="A11" s="112" t="s">
        <v>1827</v>
      </c>
      <c r="B11" s="144" t="s">
        <v>180</v>
      </c>
      <c r="C11" s="144" t="s">
        <v>180</v>
      </c>
      <c r="D11" s="144" t="s">
        <v>180</v>
      </c>
      <c r="E11" s="145" t="s">
        <v>180</v>
      </c>
      <c r="F11" s="145" t="s">
        <v>180</v>
      </c>
      <c r="G11" s="145" t="s">
        <v>180</v>
      </c>
      <c r="H11" s="155"/>
      <c r="I11" s="145" t="s">
        <v>180</v>
      </c>
      <c r="J11" s="145" t="s">
        <v>180</v>
      </c>
      <c r="K11" s="144" t="s">
        <v>180</v>
      </c>
      <c r="L11" s="144" t="s">
        <v>180</v>
      </c>
      <c r="M11" s="180" t="s">
        <v>180</v>
      </c>
      <c r="N11" s="145" t="s">
        <v>180</v>
      </c>
      <c r="O11" s="146">
        <v>12756.8396101</v>
      </c>
      <c r="P11" s="144">
        <v>0.14561236555150961</v>
      </c>
      <c r="Q11" s="144">
        <v>1.5453989727917576E-2</v>
      </c>
    </row>
    <row r="12" spans="1:19" x14ac:dyDescent="0.2">
      <c r="A12" s="30" t="s">
        <v>1828</v>
      </c>
      <c r="B12" s="38" t="s">
        <v>180</v>
      </c>
      <c r="C12" s="38" t="s">
        <v>1829</v>
      </c>
      <c r="D12" s="38" t="s">
        <v>180</v>
      </c>
      <c r="E12" s="80" t="s">
        <v>419</v>
      </c>
      <c r="F12" s="80"/>
      <c r="G12" s="80"/>
      <c r="H12" s="88">
        <v>2.2440680271666222</v>
      </c>
      <c r="I12" s="80" t="s">
        <v>361</v>
      </c>
      <c r="J12" s="80" t="s">
        <v>186</v>
      </c>
      <c r="K12" s="38">
        <v>1.30556718948959E-2</v>
      </c>
      <c r="L12" s="38">
        <v>1.30556718948959E-2</v>
      </c>
      <c r="M12" s="132">
        <v>-97924.31</v>
      </c>
      <c r="N12" s="80">
        <v>100</v>
      </c>
      <c r="O12" s="104">
        <v>12756.839609999999</v>
      </c>
      <c r="P12" s="38">
        <v>0.14561236555036816</v>
      </c>
      <c r="Q12" s="38">
        <v>1.5453989727796432E-2</v>
      </c>
    </row>
    <row r="13" spans="1:19" s="137" customFormat="1" x14ac:dyDescent="0.2">
      <c r="A13" s="112" t="s">
        <v>1831</v>
      </c>
      <c r="B13" s="144" t="s">
        <v>180</v>
      </c>
      <c r="C13" s="144" t="s">
        <v>180</v>
      </c>
      <c r="D13" s="144" t="s">
        <v>180</v>
      </c>
      <c r="E13" s="145" t="s">
        <v>180</v>
      </c>
      <c r="F13" s="145" t="s">
        <v>180</v>
      </c>
      <c r="G13" s="145" t="s">
        <v>180</v>
      </c>
      <c r="H13" s="155" t="s">
        <v>180</v>
      </c>
      <c r="I13" s="145" t="s">
        <v>180</v>
      </c>
      <c r="J13" s="145" t="s">
        <v>180</v>
      </c>
      <c r="K13" s="144" t="s">
        <v>180</v>
      </c>
      <c r="L13" s="144" t="s">
        <v>180</v>
      </c>
      <c r="M13" s="180" t="s">
        <v>180</v>
      </c>
      <c r="N13" s="145" t="s">
        <v>180</v>
      </c>
      <c r="O13" s="146">
        <v>0</v>
      </c>
      <c r="P13" s="144">
        <v>0</v>
      </c>
      <c r="Q13" s="144">
        <v>0</v>
      </c>
    </row>
    <row r="14" spans="1:19" s="137" customFormat="1" x14ac:dyDescent="0.2">
      <c r="A14" s="112" t="s">
        <v>1832</v>
      </c>
      <c r="B14" s="144" t="s">
        <v>180</v>
      </c>
      <c r="C14" s="144" t="s">
        <v>180</v>
      </c>
      <c r="D14" s="144" t="s">
        <v>180</v>
      </c>
      <c r="E14" s="145" t="s">
        <v>180</v>
      </c>
      <c r="F14" s="145" t="s">
        <v>180</v>
      </c>
      <c r="G14" s="145" t="s">
        <v>180</v>
      </c>
      <c r="H14" s="155" t="s">
        <v>180</v>
      </c>
      <c r="I14" s="145" t="s">
        <v>180</v>
      </c>
      <c r="J14" s="145" t="s">
        <v>180</v>
      </c>
      <c r="K14" s="144" t="s">
        <v>180</v>
      </c>
      <c r="L14" s="144" t="s">
        <v>180</v>
      </c>
      <c r="M14" s="180" t="s">
        <v>180</v>
      </c>
      <c r="N14" s="145" t="s">
        <v>180</v>
      </c>
      <c r="O14" s="146">
        <v>0</v>
      </c>
      <c r="P14" s="144">
        <v>0</v>
      </c>
      <c r="Q14" s="144">
        <v>0</v>
      </c>
    </row>
    <row r="15" spans="1:19" s="137" customFormat="1" x14ac:dyDescent="0.2">
      <c r="A15" s="112" t="s">
        <v>1833</v>
      </c>
      <c r="B15" s="144" t="s">
        <v>180</v>
      </c>
      <c r="C15" s="144" t="s">
        <v>180</v>
      </c>
      <c r="D15" s="144" t="s">
        <v>180</v>
      </c>
      <c r="E15" s="145" t="s">
        <v>180</v>
      </c>
      <c r="F15" s="145" t="s">
        <v>180</v>
      </c>
      <c r="G15" s="145" t="s">
        <v>180</v>
      </c>
      <c r="H15" s="155" t="s">
        <v>180</v>
      </c>
      <c r="I15" s="145" t="s">
        <v>180</v>
      </c>
      <c r="J15" s="145" t="s">
        <v>180</v>
      </c>
      <c r="K15" s="144" t="s">
        <v>180</v>
      </c>
      <c r="L15" s="144" t="s">
        <v>180</v>
      </c>
      <c r="M15" s="180" t="s">
        <v>180</v>
      </c>
      <c r="N15" s="145" t="s">
        <v>180</v>
      </c>
      <c r="O15" s="146">
        <v>72975.848980099996</v>
      </c>
      <c r="P15" s="144">
        <v>0.83297950925940833</v>
      </c>
      <c r="Q15" s="144">
        <v>8.840496980393478E-2</v>
      </c>
    </row>
    <row r="16" spans="1:19" x14ac:dyDescent="0.2">
      <c r="A16" s="30" t="s">
        <v>2275</v>
      </c>
      <c r="B16" s="38" t="s">
        <v>180</v>
      </c>
      <c r="C16" s="38" t="s">
        <v>1858</v>
      </c>
      <c r="D16" s="38" t="s">
        <v>1859</v>
      </c>
      <c r="E16" s="80" t="s">
        <v>184</v>
      </c>
      <c r="F16" s="80" t="s">
        <v>1860</v>
      </c>
      <c r="G16" s="80" t="s">
        <v>185</v>
      </c>
      <c r="H16" s="88">
        <v>7.76</v>
      </c>
      <c r="I16" s="80" t="s">
        <v>1854</v>
      </c>
      <c r="J16" s="80" t="s">
        <v>186</v>
      </c>
      <c r="K16" s="38">
        <v>3.0899999999999997E-2</v>
      </c>
      <c r="L16" s="38">
        <v>2.1600000000000001E-2</v>
      </c>
      <c r="M16" s="132">
        <v>4874020.5999999996</v>
      </c>
      <c r="N16" s="80">
        <v>107.56</v>
      </c>
      <c r="O16" s="104">
        <v>5242.4965499999998</v>
      </c>
      <c r="P16" s="38">
        <v>5.9840238442501199E-2</v>
      </c>
      <c r="Q16" s="38">
        <v>6.3509058911581191E-3</v>
      </c>
    </row>
    <row r="17" spans="1:17" x14ac:dyDescent="0.2">
      <c r="A17" s="30" t="s">
        <v>2276</v>
      </c>
      <c r="B17" s="38" t="s">
        <v>1834</v>
      </c>
      <c r="C17" s="38" t="s">
        <v>2158</v>
      </c>
      <c r="D17" s="38" t="s">
        <v>1582</v>
      </c>
      <c r="E17" s="80" t="s">
        <v>413</v>
      </c>
      <c r="F17" s="80" t="s">
        <v>2159</v>
      </c>
      <c r="G17" s="80" t="s">
        <v>402</v>
      </c>
      <c r="H17" s="88">
        <v>3.69</v>
      </c>
      <c r="I17" s="80" t="s">
        <v>361</v>
      </c>
      <c r="J17" s="80" t="s">
        <v>127</v>
      </c>
      <c r="K17" s="38">
        <v>9.849999999999999E-2</v>
      </c>
      <c r="L17" s="38">
        <v>1.5900000000000001E-2</v>
      </c>
      <c r="M17" s="132">
        <v>175338.96</v>
      </c>
      <c r="N17" s="80">
        <v>132.72999999999999</v>
      </c>
      <c r="O17" s="104">
        <v>806.63317000000006</v>
      </c>
      <c r="P17" s="38">
        <v>9.2072776334837271E-3</v>
      </c>
      <c r="Q17" s="38">
        <v>9.7717782024225636E-4</v>
      </c>
    </row>
    <row r="18" spans="1:17" x14ac:dyDescent="0.2">
      <c r="A18" s="30" t="s">
        <v>2276</v>
      </c>
      <c r="B18" s="38" t="s">
        <v>1834</v>
      </c>
      <c r="C18" s="38" t="s">
        <v>2071</v>
      </c>
      <c r="D18" s="38" t="s">
        <v>1582</v>
      </c>
      <c r="E18" s="80" t="s">
        <v>413</v>
      </c>
      <c r="F18" s="80" t="s">
        <v>2070</v>
      </c>
      <c r="G18" s="80" t="s">
        <v>402</v>
      </c>
      <c r="H18" s="88">
        <v>3.6</v>
      </c>
      <c r="I18" s="80" t="s">
        <v>361</v>
      </c>
      <c r="J18" s="80" t="s">
        <v>186</v>
      </c>
      <c r="K18" s="38">
        <v>3.85E-2</v>
      </c>
      <c r="L18" s="38">
        <v>3.8999999999999994E-3</v>
      </c>
      <c r="M18" s="132">
        <v>3424.72</v>
      </c>
      <c r="N18" s="80">
        <v>149.35</v>
      </c>
      <c r="O18" s="104">
        <v>5.1148100000000003</v>
      </c>
      <c r="P18" s="38">
        <v>5.8382766124679584E-5</v>
      </c>
      <c r="Q18" s="38">
        <v>6.1962228589648685E-6</v>
      </c>
    </row>
    <row r="19" spans="1:17" x14ac:dyDescent="0.2">
      <c r="A19" s="30" t="s">
        <v>2276</v>
      </c>
      <c r="B19" s="38" t="s">
        <v>1834</v>
      </c>
      <c r="C19" s="38" t="s">
        <v>2091</v>
      </c>
      <c r="D19" s="38" t="s">
        <v>1582</v>
      </c>
      <c r="E19" s="80" t="s">
        <v>413</v>
      </c>
      <c r="F19" s="80" t="s">
        <v>2090</v>
      </c>
      <c r="G19" s="80" t="s">
        <v>402</v>
      </c>
      <c r="H19" s="88">
        <v>3.56</v>
      </c>
      <c r="I19" s="80" t="s">
        <v>361</v>
      </c>
      <c r="J19" s="80" t="s">
        <v>186</v>
      </c>
      <c r="K19" s="38">
        <v>5.1699999999999996E-2</v>
      </c>
      <c r="L19" s="38">
        <v>3.8E-3</v>
      </c>
      <c r="M19" s="132">
        <v>3424.73</v>
      </c>
      <c r="N19" s="80">
        <v>155.91</v>
      </c>
      <c r="O19" s="104">
        <v>5.3394899999999996</v>
      </c>
      <c r="P19" s="38">
        <v>6.0947365766287576E-5</v>
      </c>
      <c r="Q19" s="38">
        <v>6.4684064497438463E-6</v>
      </c>
    </row>
    <row r="20" spans="1:17" x14ac:dyDescent="0.2">
      <c r="A20" s="30" t="s">
        <v>2276</v>
      </c>
      <c r="B20" s="38" t="s">
        <v>1834</v>
      </c>
      <c r="C20" s="38" t="s">
        <v>2074</v>
      </c>
      <c r="D20" s="38" t="s">
        <v>1582</v>
      </c>
      <c r="E20" s="80" t="s">
        <v>413</v>
      </c>
      <c r="F20" s="80" t="s">
        <v>2070</v>
      </c>
      <c r="G20" s="80" t="s">
        <v>402</v>
      </c>
      <c r="H20" s="88">
        <v>3.6</v>
      </c>
      <c r="I20" s="80" t="s">
        <v>361</v>
      </c>
      <c r="J20" s="80" t="s">
        <v>186</v>
      </c>
      <c r="K20" s="38">
        <v>3.85E-2</v>
      </c>
      <c r="L20" s="38">
        <v>3.8999999999999998E-3</v>
      </c>
      <c r="M20" s="132">
        <v>51528.03</v>
      </c>
      <c r="N20" s="80">
        <v>149.21</v>
      </c>
      <c r="O20" s="104">
        <v>76.884969999999996</v>
      </c>
      <c r="P20" s="38">
        <v>8.7759999335517954E-4</v>
      </c>
      <c r="Q20" s="38">
        <v>9.3140587553560756E-5</v>
      </c>
    </row>
    <row r="21" spans="1:17" x14ac:dyDescent="0.2">
      <c r="A21" s="30" t="s">
        <v>2276</v>
      </c>
      <c r="B21" s="38" t="s">
        <v>1834</v>
      </c>
      <c r="C21" s="38" t="s">
        <v>2094</v>
      </c>
      <c r="D21" s="38" t="s">
        <v>1582</v>
      </c>
      <c r="E21" s="80" t="s">
        <v>413</v>
      </c>
      <c r="F21" s="80" t="s">
        <v>2090</v>
      </c>
      <c r="G21" s="80" t="s">
        <v>402</v>
      </c>
      <c r="H21" s="88">
        <v>3.56</v>
      </c>
      <c r="I21" s="80" t="s">
        <v>361</v>
      </c>
      <c r="J21" s="80" t="s">
        <v>186</v>
      </c>
      <c r="K21" s="38">
        <v>5.1699999999999996E-2</v>
      </c>
      <c r="L21" s="38">
        <v>3.8E-3</v>
      </c>
      <c r="M21" s="132">
        <v>51528.08</v>
      </c>
      <c r="N21" s="80">
        <v>155.76</v>
      </c>
      <c r="O21" s="104">
        <v>80.260130000000004</v>
      </c>
      <c r="P21" s="38">
        <v>9.161256036737199E-4</v>
      </c>
      <c r="Q21" s="38">
        <v>9.7229350096971745E-5</v>
      </c>
    </row>
    <row r="22" spans="1:17" x14ac:dyDescent="0.2">
      <c r="A22" s="30" t="s">
        <v>2276</v>
      </c>
      <c r="B22" s="38" t="s">
        <v>1834</v>
      </c>
      <c r="C22" s="38" t="s">
        <v>2073</v>
      </c>
      <c r="D22" s="38" t="s">
        <v>1582</v>
      </c>
      <c r="E22" s="80" t="s">
        <v>413</v>
      </c>
      <c r="F22" s="80" t="s">
        <v>2070</v>
      </c>
      <c r="G22" s="80" t="s">
        <v>402</v>
      </c>
      <c r="H22" s="88">
        <v>3.6</v>
      </c>
      <c r="I22" s="80" t="s">
        <v>361</v>
      </c>
      <c r="J22" s="80" t="s">
        <v>186</v>
      </c>
      <c r="K22" s="38">
        <v>3.85E-2</v>
      </c>
      <c r="L22" s="38">
        <v>3.9000000000000007E-3</v>
      </c>
      <c r="M22" s="132">
        <v>44154.64</v>
      </c>
      <c r="N22" s="80">
        <v>149.21</v>
      </c>
      <c r="O22" s="104">
        <v>65.883130000000008</v>
      </c>
      <c r="P22" s="38">
        <v>7.52019991036199E-4</v>
      </c>
      <c r="Q22" s="38">
        <v>7.9812653085090972E-5</v>
      </c>
    </row>
    <row r="23" spans="1:17" x14ac:dyDescent="0.2">
      <c r="A23" s="30" t="s">
        <v>2276</v>
      </c>
      <c r="B23" s="38" t="s">
        <v>1834</v>
      </c>
      <c r="C23" s="38" t="s">
        <v>2093</v>
      </c>
      <c r="D23" s="38" t="s">
        <v>1582</v>
      </c>
      <c r="E23" s="80" t="s">
        <v>413</v>
      </c>
      <c r="F23" s="80" t="s">
        <v>2090</v>
      </c>
      <c r="G23" s="80" t="s">
        <v>402</v>
      </c>
      <c r="H23" s="88">
        <v>3.56</v>
      </c>
      <c r="I23" s="80" t="s">
        <v>361</v>
      </c>
      <c r="J23" s="80" t="s">
        <v>186</v>
      </c>
      <c r="K23" s="38">
        <v>5.1699999999999996E-2</v>
      </c>
      <c r="L23" s="38">
        <v>3.8000000000000004E-3</v>
      </c>
      <c r="M23" s="132">
        <v>44154.71</v>
      </c>
      <c r="N23" s="80">
        <v>155.76</v>
      </c>
      <c r="O23" s="104">
        <v>68.775369999999995</v>
      </c>
      <c r="P23" s="38">
        <v>7.85033332977824E-4</v>
      </c>
      <c r="Q23" s="38">
        <v>8.3316392931070087E-5</v>
      </c>
    </row>
    <row r="24" spans="1:17" x14ac:dyDescent="0.2">
      <c r="A24" s="30" t="s">
        <v>2276</v>
      </c>
      <c r="B24" s="38" t="s">
        <v>1834</v>
      </c>
      <c r="C24" s="38" t="s">
        <v>2088</v>
      </c>
      <c r="D24" s="38" t="s">
        <v>1582</v>
      </c>
      <c r="E24" s="80" t="s">
        <v>413</v>
      </c>
      <c r="F24" s="80" t="s">
        <v>2070</v>
      </c>
      <c r="G24" s="80" t="s">
        <v>402</v>
      </c>
      <c r="H24" s="88">
        <v>3.6</v>
      </c>
      <c r="I24" s="80" t="s">
        <v>361</v>
      </c>
      <c r="J24" s="80" t="s">
        <v>186</v>
      </c>
      <c r="K24" s="38">
        <v>3.85E-2</v>
      </c>
      <c r="L24" s="38">
        <v>3.9000000000000003E-3</v>
      </c>
      <c r="M24" s="132">
        <v>29114.5</v>
      </c>
      <c r="N24" s="80">
        <v>141.09</v>
      </c>
      <c r="O24" s="104">
        <v>41.077640000000002</v>
      </c>
      <c r="P24" s="38">
        <v>4.6887885357887836E-4</v>
      </c>
      <c r="Q24" s="38">
        <v>4.9762593715178016E-5</v>
      </c>
    </row>
    <row r="25" spans="1:17" x14ac:dyDescent="0.2">
      <c r="A25" s="30" t="s">
        <v>2276</v>
      </c>
      <c r="B25" s="38" t="s">
        <v>1834</v>
      </c>
      <c r="C25" s="38" t="s">
        <v>2108</v>
      </c>
      <c r="D25" s="38" t="s">
        <v>1582</v>
      </c>
      <c r="E25" s="80" t="s">
        <v>413</v>
      </c>
      <c r="F25" s="80" t="s">
        <v>2090</v>
      </c>
      <c r="G25" s="80" t="s">
        <v>402</v>
      </c>
      <c r="H25" s="88">
        <v>3.56</v>
      </c>
      <c r="I25" s="80" t="s">
        <v>361</v>
      </c>
      <c r="J25" s="80" t="s">
        <v>186</v>
      </c>
      <c r="K25" s="38">
        <v>5.1699999999999996E-2</v>
      </c>
      <c r="L25" s="38">
        <v>3.9000000000000003E-3</v>
      </c>
      <c r="M25" s="132">
        <v>29114.55</v>
      </c>
      <c r="N25" s="80">
        <v>147.28</v>
      </c>
      <c r="O25" s="104">
        <v>42.879899999999999</v>
      </c>
      <c r="P25" s="38">
        <v>4.8945066838252988E-4</v>
      </c>
      <c r="Q25" s="38">
        <v>5.1945901523248697E-5</v>
      </c>
    </row>
    <row r="26" spans="1:17" x14ac:dyDescent="0.2">
      <c r="A26" s="30" t="s">
        <v>2276</v>
      </c>
      <c r="B26" s="38" t="s">
        <v>1834</v>
      </c>
      <c r="C26" s="38" t="s">
        <v>2077</v>
      </c>
      <c r="D26" s="38" t="s">
        <v>1582</v>
      </c>
      <c r="E26" s="80" t="s">
        <v>413</v>
      </c>
      <c r="F26" s="80" t="s">
        <v>2070</v>
      </c>
      <c r="G26" s="80" t="s">
        <v>402</v>
      </c>
      <c r="H26" s="88">
        <v>3.6</v>
      </c>
      <c r="I26" s="80" t="s">
        <v>361</v>
      </c>
      <c r="J26" s="80" t="s">
        <v>186</v>
      </c>
      <c r="K26" s="38">
        <v>3.85E-2</v>
      </c>
      <c r="L26" s="38">
        <v>3.9000000000000003E-3</v>
      </c>
      <c r="M26" s="132">
        <v>12461.29</v>
      </c>
      <c r="N26" s="80">
        <v>148.15</v>
      </c>
      <c r="O26" s="104">
        <v>18.461400000000001</v>
      </c>
      <c r="P26" s="38">
        <v>2.1072681067999782E-4</v>
      </c>
      <c r="Q26" s="38">
        <v>2.2364652585041091E-5</v>
      </c>
    </row>
    <row r="27" spans="1:17" x14ac:dyDescent="0.2">
      <c r="A27" s="30" t="s">
        <v>2276</v>
      </c>
      <c r="B27" s="38" t="s">
        <v>1834</v>
      </c>
      <c r="C27" s="38" t="s">
        <v>2097</v>
      </c>
      <c r="D27" s="38" t="s">
        <v>1582</v>
      </c>
      <c r="E27" s="80" t="s">
        <v>413</v>
      </c>
      <c r="F27" s="80" t="s">
        <v>2090</v>
      </c>
      <c r="G27" s="80" t="s">
        <v>402</v>
      </c>
      <c r="H27" s="88">
        <v>3.56</v>
      </c>
      <c r="I27" s="80" t="s">
        <v>361</v>
      </c>
      <c r="J27" s="80" t="s">
        <v>186</v>
      </c>
      <c r="K27" s="38">
        <v>5.1699999999999996E-2</v>
      </c>
      <c r="L27" s="38">
        <v>3.8000000000000004E-3</v>
      </c>
      <c r="M27" s="132">
        <v>12461.3</v>
      </c>
      <c r="N27" s="80">
        <v>154.65</v>
      </c>
      <c r="O27" s="104">
        <v>19.2714</v>
      </c>
      <c r="P27" s="38">
        <v>2.1997251884139392E-4</v>
      </c>
      <c r="Q27" s="38">
        <v>2.3345909076633457E-5</v>
      </c>
    </row>
    <row r="28" spans="1:17" x14ac:dyDescent="0.2">
      <c r="A28" s="30" t="s">
        <v>2276</v>
      </c>
      <c r="B28" s="38" t="s">
        <v>1834</v>
      </c>
      <c r="C28" s="38" t="s">
        <v>2069</v>
      </c>
      <c r="D28" s="38" t="s">
        <v>1582</v>
      </c>
      <c r="E28" s="80" t="s">
        <v>413</v>
      </c>
      <c r="F28" s="80" t="s">
        <v>2070</v>
      </c>
      <c r="G28" s="80" t="s">
        <v>402</v>
      </c>
      <c r="H28" s="88">
        <v>3.6</v>
      </c>
      <c r="I28" s="80" t="s">
        <v>361</v>
      </c>
      <c r="J28" s="80" t="s">
        <v>186</v>
      </c>
      <c r="K28" s="38">
        <v>3.85E-2</v>
      </c>
      <c r="L28" s="38">
        <v>3.8999999999999998E-3</v>
      </c>
      <c r="M28" s="132">
        <v>88996.62</v>
      </c>
      <c r="N28" s="80">
        <v>150.05000000000001</v>
      </c>
      <c r="O28" s="104">
        <v>133.53942000000001</v>
      </c>
      <c r="P28" s="38">
        <v>1.5242796362495107E-3</v>
      </c>
      <c r="Q28" s="38">
        <v>1.6177336143022132E-4</v>
      </c>
    </row>
    <row r="29" spans="1:17" x14ac:dyDescent="0.2">
      <c r="A29" s="30" t="s">
        <v>2276</v>
      </c>
      <c r="B29" s="38" t="s">
        <v>1834</v>
      </c>
      <c r="C29" s="38" t="s">
        <v>2089</v>
      </c>
      <c r="D29" s="38" t="s">
        <v>1582</v>
      </c>
      <c r="E29" s="80" t="s">
        <v>413</v>
      </c>
      <c r="F29" s="80" t="s">
        <v>2090</v>
      </c>
      <c r="G29" s="80" t="s">
        <v>402</v>
      </c>
      <c r="H29" s="88">
        <v>3.56</v>
      </c>
      <c r="I29" s="80" t="s">
        <v>361</v>
      </c>
      <c r="J29" s="80" t="s">
        <v>186</v>
      </c>
      <c r="K29" s="38">
        <v>5.1699999999999996E-2</v>
      </c>
      <c r="L29" s="38">
        <v>3.8000000000000004E-3</v>
      </c>
      <c r="M29" s="132">
        <v>88996.72</v>
      </c>
      <c r="N29" s="80">
        <v>156.63999999999999</v>
      </c>
      <c r="O29" s="104">
        <v>139.40446</v>
      </c>
      <c r="P29" s="38">
        <v>1.5912258685889112E-3</v>
      </c>
      <c r="Q29" s="38">
        <v>1.6887843374312119E-4</v>
      </c>
    </row>
    <row r="30" spans="1:17" x14ac:dyDescent="0.2">
      <c r="A30" s="30" t="s">
        <v>2276</v>
      </c>
      <c r="B30" s="38" t="s">
        <v>1834</v>
      </c>
      <c r="C30" s="38" t="s">
        <v>2076</v>
      </c>
      <c r="D30" s="38" t="s">
        <v>1582</v>
      </c>
      <c r="E30" s="80" t="s">
        <v>413</v>
      </c>
      <c r="F30" s="80" t="s">
        <v>2070</v>
      </c>
      <c r="G30" s="80" t="s">
        <v>402</v>
      </c>
      <c r="H30" s="88">
        <v>3.6</v>
      </c>
      <c r="I30" s="80" t="s">
        <v>361</v>
      </c>
      <c r="J30" s="80" t="s">
        <v>186</v>
      </c>
      <c r="K30" s="38">
        <v>3.85E-2</v>
      </c>
      <c r="L30" s="38">
        <v>3.8999999999999998E-3</v>
      </c>
      <c r="M30" s="132">
        <v>49064.83</v>
      </c>
      <c r="N30" s="80">
        <v>150.38</v>
      </c>
      <c r="O30" s="104">
        <v>73.783690000000007</v>
      </c>
      <c r="P30" s="38">
        <v>8.4220057384064306E-4</v>
      </c>
      <c r="Q30" s="38">
        <v>8.9383610847084769E-5</v>
      </c>
    </row>
    <row r="31" spans="1:17" x14ac:dyDescent="0.2">
      <c r="A31" s="30" t="s">
        <v>2276</v>
      </c>
      <c r="B31" s="38" t="s">
        <v>1834</v>
      </c>
      <c r="C31" s="38" t="s">
        <v>2096</v>
      </c>
      <c r="D31" s="38" t="s">
        <v>1582</v>
      </c>
      <c r="E31" s="80" t="s">
        <v>413</v>
      </c>
      <c r="F31" s="80" t="s">
        <v>2090</v>
      </c>
      <c r="G31" s="80" t="s">
        <v>402</v>
      </c>
      <c r="H31" s="88">
        <v>3.56</v>
      </c>
      <c r="I31" s="80" t="s">
        <v>361</v>
      </c>
      <c r="J31" s="80" t="s">
        <v>186</v>
      </c>
      <c r="K31" s="38">
        <v>5.1699999999999996E-2</v>
      </c>
      <c r="L31" s="38">
        <v>3.8000000000000004E-3</v>
      </c>
      <c r="M31" s="132">
        <v>49064.89</v>
      </c>
      <c r="N31" s="80">
        <v>156.99</v>
      </c>
      <c r="O31" s="104">
        <v>77.026970000000006</v>
      </c>
      <c r="P31" s="38">
        <v>8.792208458970539E-4</v>
      </c>
      <c r="Q31" s="38">
        <v>9.3312610296531292E-5</v>
      </c>
    </row>
    <row r="32" spans="1:17" x14ac:dyDescent="0.2">
      <c r="A32" s="30" t="s">
        <v>2276</v>
      </c>
      <c r="B32" s="38" t="s">
        <v>1834</v>
      </c>
      <c r="C32" s="38" t="s">
        <v>2072</v>
      </c>
      <c r="D32" s="38" t="s">
        <v>1582</v>
      </c>
      <c r="E32" s="80" t="s">
        <v>413</v>
      </c>
      <c r="F32" s="80" t="s">
        <v>2070</v>
      </c>
      <c r="G32" s="80" t="s">
        <v>402</v>
      </c>
      <c r="H32" s="88">
        <v>3.6</v>
      </c>
      <c r="I32" s="80" t="s">
        <v>361</v>
      </c>
      <c r="J32" s="80" t="s">
        <v>186</v>
      </c>
      <c r="K32" s="38">
        <v>3.85E-2</v>
      </c>
      <c r="L32" s="38">
        <v>3.9000000000000003E-3</v>
      </c>
      <c r="M32" s="132">
        <v>38529.94</v>
      </c>
      <c r="N32" s="80">
        <v>150.76</v>
      </c>
      <c r="O32" s="104">
        <v>58.087730000000001</v>
      </c>
      <c r="P32" s="38">
        <v>6.630397522691036E-4</v>
      </c>
      <c r="Q32" s="38">
        <v>7.0369089067116736E-5</v>
      </c>
    </row>
    <row r="33" spans="1:17" x14ac:dyDescent="0.2">
      <c r="A33" s="30" t="s">
        <v>2276</v>
      </c>
      <c r="B33" s="38" t="s">
        <v>1834</v>
      </c>
      <c r="C33" s="38" t="s">
        <v>2092</v>
      </c>
      <c r="D33" s="38" t="s">
        <v>1582</v>
      </c>
      <c r="E33" s="80" t="s">
        <v>413</v>
      </c>
      <c r="F33" s="80" t="s">
        <v>2090</v>
      </c>
      <c r="G33" s="80" t="s">
        <v>402</v>
      </c>
      <c r="H33" s="88">
        <v>3.56</v>
      </c>
      <c r="I33" s="80" t="s">
        <v>361</v>
      </c>
      <c r="J33" s="80" t="s">
        <v>186</v>
      </c>
      <c r="K33" s="38">
        <v>5.1699999999999996E-2</v>
      </c>
      <c r="L33" s="38">
        <v>3.8E-3</v>
      </c>
      <c r="M33" s="132">
        <v>38529.99</v>
      </c>
      <c r="N33" s="80">
        <v>157.38</v>
      </c>
      <c r="O33" s="104">
        <v>60.638489999999997</v>
      </c>
      <c r="P33" s="38">
        <v>6.921552862811563E-4</v>
      </c>
      <c r="Q33" s="38">
        <v>7.3459150559084815E-5</v>
      </c>
    </row>
    <row r="34" spans="1:17" x14ac:dyDescent="0.2">
      <c r="A34" s="30" t="s">
        <v>2276</v>
      </c>
      <c r="B34" s="38" t="s">
        <v>1834</v>
      </c>
      <c r="C34" s="38" t="s">
        <v>2081</v>
      </c>
      <c r="D34" s="38" t="s">
        <v>1582</v>
      </c>
      <c r="E34" s="80" t="s">
        <v>413</v>
      </c>
      <c r="F34" s="80" t="s">
        <v>2070</v>
      </c>
      <c r="G34" s="80" t="s">
        <v>402</v>
      </c>
      <c r="H34" s="88">
        <v>3.6</v>
      </c>
      <c r="I34" s="80" t="s">
        <v>361</v>
      </c>
      <c r="J34" s="80" t="s">
        <v>186</v>
      </c>
      <c r="K34" s="38">
        <v>3.85E-2</v>
      </c>
      <c r="L34" s="38">
        <v>3.9000000000000003E-3</v>
      </c>
      <c r="M34" s="132">
        <v>61886.26</v>
      </c>
      <c r="N34" s="80">
        <v>140.36000000000001</v>
      </c>
      <c r="O34" s="104">
        <v>86.863550000000004</v>
      </c>
      <c r="P34" s="38">
        <v>9.9150004094177707E-4</v>
      </c>
      <c r="Q34" s="38">
        <v>1.0522891644476292E-4</v>
      </c>
    </row>
    <row r="35" spans="1:17" x14ac:dyDescent="0.2">
      <c r="A35" s="30" t="s">
        <v>2276</v>
      </c>
      <c r="B35" s="38" t="s">
        <v>1834</v>
      </c>
      <c r="C35" s="38" t="s">
        <v>2101</v>
      </c>
      <c r="D35" s="38" t="s">
        <v>1582</v>
      </c>
      <c r="E35" s="80" t="s">
        <v>413</v>
      </c>
      <c r="F35" s="80" t="s">
        <v>2090</v>
      </c>
      <c r="G35" s="80" t="s">
        <v>402</v>
      </c>
      <c r="H35" s="88">
        <v>3.56</v>
      </c>
      <c r="I35" s="80" t="s">
        <v>361</v>
      </c>
      <c r="J35" s="80" t="s">
        <v>186</v>
      </c>
      <c r="K35" s="38">
        <v>5.1699999999999996E-2</v>
      </c>
      <c r="L35" s="38">
        <v>3.8E-3</v>
      </c>
      <c r="M35" s="132">
        <v>61886.34</v>
      </c>
      <c r="N35" s="80">
        <v>146.53</v>
      </c>
      <c r="O35" s="104">
        <v>90.682050000000004</v>
      </c>
      <c r="P35" s="38">
        <v>1.0350861355273215E-3</v>
      </c>
      <c r="Q35" s="38">
        <v>1.0985475337457211E-4</v>
      </c>
    </row>
    <row r="36" spans="1:17" x14ac:dyDescent="0.2">
      <c r="A36" s="30" t="s">
        <v>2276</v>
      </c>
      <c r="B36" s="38" t="s">
        <v>1834</v>
      </c>
      <c r="C36" s="38" t="s">
        <v>2085</v>
      </c>
      <c r="D36" s="38" t="s">
        <v>1582</v>
      </c>
      <c r="E36" s="80" t="s">
        <v>413</v>
      </c>
      <c r="F36" s="80" t="s">
        <v>2070</v>
      </c>
      <c r="G36" s="80" t="s">
        <v>402</v>
      </c>
      <c r="H36" s="88">
        <v>3.6</v>
      </c>
      <c r="I36" s="80" t="s">
        <v>361</v>
      </c>
      <c r="J36" s="80" t="s">
        <v>186</v>
      </c>
      <c r="K36" s="38">
        <v>3.85E-2</v>
      </c>
      <c r="L36" s="38">
        <v>3.9000000000000003E-3</v>
      </c>
      <c r="M36" s="132">
        <v>67726.42</v>
      </c>
      <c r="N36" s="80">
        <v>138.16999999999999</v>
      </c>
      <c r="O36" s="104">
        <v>93.577590000000001</v>
      </c>
      <c r="P36" s="38">
        <v>1.0681371451688633E-3</v>
      </c>
      <c r="Q36" s="38">
        <v>1.1336249093218366E-4</v>
      </c>
    </row>
    <row r="37" spans="1:17" x14ac:dyDescent="0.2">
      <c r="A37" s="30" t="s">
        <v>2276</v>
      </c>
      <c r="B37" s="38" t="s">
        <v>1834</v>
      </c>
      <c r="C37" s="38" t="s">
        <v>2105</v>
      </c>
      <c r="D37" s="38" t="s">
        <v>1582</v>
      </c>
      <c r="E37" s="80" t="s">
        <v>413</v>
      </c>
      <c r="F37" s="80" t="s">
        <v>2090</v>
      </c>
      <c r="G37" s="80" t="s">
        <v>402</v>
      </c>
      <c r="H37" s="88">
        <v>3.56</v>
      </c>
      <c r="I37" s="80" t="s">
        <v>361</v>
      </c>
      <c r="J37" s="80" t="s">
        <v>186</v>
      </c>
      <c r="K37" s="38">
        <v>5.1699999999999996E-2</v>
      </c>
      <c r="L37" s="38">
        <v>3.9000000000000003E-3</v>
      </c>
      <c r="M37" s="132">
        <v>67726.539999999994</v>
      </c>
      <c r="N37" s="80">
        <v>144.22999999999999</v>
      </c>
      <c r="O37" s="104">
        <v>97.681979999999996</v>
      </c>
      <c r="P37" s="38">
        <v>1.1149865181572E-3</v>
      </c>
      <c r="Q37" s="38">
        <v>1.1833466294641425E-4</v>
      </c>
    </row>
    <row r="38" spans="1:17" x14ac:dyDescent="0.2">
      <c r="A38" s="30" t="s">
        <v>2276</v>
      </c>
      <c r="B38" s="38" t="s">
        <v>1834</v>
      </c>
      <c r="C38" s="38" t="s">
        <v>2078</v>
      </c>
      <c r="D38" s="38" t="s">
        <v>1582</v>
      </c>
      <c r="E38" s="80" t="s">
        <v>413</v>
      </c>
      <c r="F38" s="80" t="s">
        <v>2070</v>
      </c>
      <c r="G38" s="80" t="s">
        <v>402</v>
      </c>
      <c r="H38" s="88">
        <v>3.6</v>
      </c>
      <c r="I38" s="80" t="s">
        <v>361</v>
      </c>
      <c r="J38" s="80" t="s">
        <v>186</v>
      </c>
      <c r="K38" s="38">
        <v>3.85E-2</v>
      </c>
      <c r="L38" s="38">
        <v>3.8999999999999998E-3</v>
      </c>
      <c r="M38" s="132">
        <v>161501.87</v>
      </c>
      <c r="N38" s="80">
        <v>146.69999999999999</v>
      </c>
      <c r="O38" s="104">
        <v>236.92323999999999</v>
      </c>
      <c r="P38" s="38">
        <v>2.7043495477684074E-3</v>
      </c>
      <c r="Q38" s="38">
        <v>2.8701539167789607E-4</v>
      </c>
    </row>
    <row r="39" spans="1:17" x14ac:dyDescent="0.2">
      <c r="A39" s="30" t="s">
        <v>2276</v>
      </c>
      <c r="B39" s="38" t="s">
        <v>1834</v>
      </c>
      <c r="C39" s="38" t="s">
        <v>2098</v>
      </c>
      <c r="D39" s="38" t="s">
        <v>1582</v>
      </c>
      <c r="E39" s="80" t="s">
        <v>413</v>
      </c>
      <c r="F39" s="80" t="s">
        <v>2090</v>
      </c>
      <c r="G39" s="80" t="s">
        <v>402</v>
      </c>
      <c r="H39" s="88">
        <v>3.56</v>
      </c>
      <c r="I39" s="80" t="s">
        <v>361</v>
      </c>
      <c r="J39" s="80" t="s">
        <v>186</v>
      </c>
      <c r="K39" s="38">
        <v>5.1699999999999996E-2</v>
      </c>
      <c r="L39" s="38">
        <v>3.8E-3</v>
      </c>
      <c r="M39" s="132">
        <v>161502.07999999999</v>
      </c>
      <c r="N39" s="80">
        <v>153.13999999999999</v>
      </c>
      <c r="O39" s="104">
        <v>247.32427999999999</v>
      </c>
      <c r="P39" s="38">
        <v>2.8230717458116268E-3</v>
      </c>
      <c r="Q39" s="38">
        <v>2.9961550034371317E-4</v>
      </c>
    </row>
    <row r="40" spans="1:17" x14ac:dyDescent="0.2">
      <c r="A40" s="30" t="s">
        <v>2276</v>
      </c>
      <c r="B40" s="38" t="s">
        <v>1834</v>
      </c>
      <c r="C40" s="38" t="s">
        <v>2082</v>
      </c>
      <c r="D40" s="38" t="s">
        <v>1582</v>
      </c>
      <c r="E40" s="80" t="s">
        <v>413</v>
      </c>
      <c r="F40" s="80" t="s">
        <v>2070</v>
      </c>
      <c r="G40" s="80" t="s">
        <v>402</v>
      </c>
      <c r="H40" s="88">
        <v>3.6</v>
      </c>
      <c r="I40" s="80" t="s">
        <v>361</v>
      </c>
      <c r="J40" s="80" t="s">
        <v>186</v>
      </c>
      <c r="K40" s="38">
        <v>3.85E-2</v>
      </c>
      <c r="L40" s="38">
        <v>3.8999999999999998E-3</v>
      </c>
      <c r="M40" s="132">
        <v>76993.759999999995</v>
      </c>
      <c r="N40" s="80">
        <v>138.16</v>
      </c>
      <c r="O40" s="104">
        <v>106.37457000000001</v>
      </c>
      <c r="P40" s="38">
        <v>1.2142076913753115E-3</v>
      </c>
      <c r="Q40" s="38">
        <v>1.2886510784302027E-4</v>
      </c>
    </row>
    <row r="41" spans="1:17" x14ac:dyDescent="0.2">
      <c r="A41" s="30" t="s">
        <v>2276</v>
      </c>
      <c r="B41" s="38" t="s">
        <v>1834</v>
      </c>
      <c r="C41" s="38" t="s">
        <v>2102</v>
      </c>
      <c r="D41" s="38" t="s">
        <v>1582</v>
      </c>
      <c r="E41" s="80" t="s">
        <v>413</v>
      </c>
      <c r="F41" s="80" t="s">
        <v>2090</v>
      </c>
      <c r="G41" s="80" t="s">
        <v>402</v>
      </c>
      <c r="H41" s="88">
        <v>3.56</v>
      </c>
      <c r="I41" s="80" t="s">
        <v>361</v>
      </c>
      <c r="J41" s="80" t="s">
        <v>186</v>
      </c>
      <c r="K41" s="38">
        <v>5.1699999999999996E-2</v>
      </c>
      <c r="L41" s="38">
        <v>3.8000000000000004E-3</v>
      </c>
      <c r="M41" s="132">
        <v>76993.88</v>
      </c>
      <c r="N41" s="80">
        <v>144.22999999999999</v>
      </c>
      <c r="O41" s="104">
        <v>111.04827</v>
      </c>
      <c r="P41" s="38">
        <v>1.267555427466567E-3</v>
      </c>
      <c r="Q41" s="38">
        <v>1.3452695779950821E-4</v>
      </c>
    </row>
    <row r="42" spans="1:17" x14ac:dyDescent="0.2">
      <c r="A42" s="30" t="s">
        <v>2276</v>
      </c>
      <c r="B42" s="38" t="s">
        <v>1834</v>
      </c>
      <c r="C42" s="38" t="s">
        <v>2086</v>
      </c>
      <c r="D42" s="38" t="s">
        <v>1582</v>
      </c>
      <c r="E42" s="80" t="s">
        <v>413</v>
      </c>
      <c r="F42" s="80" t="s">
        <v>2070</v>
      </c>
      <c r="G42" s="80" t="s">
        <v>402</v>
      </c>
      <c r="H42" s="88">
        <v>3.6</v>
      </c>
      <c r="I42" s="80" t="s">
        <v>361</v>
      </c>
      <c r="J42" s="80" t="s">
        <v>186</v>
      </c>
      <c r="K42" s="38">
        <v>3.85E-2</v>
      </c>
      <c r="L42" s="38">
        <v>3.9000000000000003E-3</v>
      </c>
      <c r="M42" s="132">
        <v>48042.61</v>
      </c>
      <c r="N42" s="80">
        <v>139.68</v>
      </c>
      <c r="O42" s="104">
        <v>67.105910000000009</v>
      </c>
      <c r="P42" s="38">
        <v>7.6597735773446069E-4</v>
      </c>
      <c r="Q42" s="38">
        <v>8.1293962730509878E-5</v>
      </c>
    </row>
    <row r="43" spans="1:17" x14ac:dyDescent="0.2">
      <c r="A43" s="30" t="s">
        <v>2276</v>
      </c>
      <c r="B43" s="38" t="s">
        <v>1834</v>
      </c>
      <c r="C43" s="38" t="s">
        <v>2106</v>
      </c>
      <c r="D43" s="38" t="s">
        <v>1582</v>
      </c>
      <c r="E43" s="80" t="s">
        <v>413</v>
      </c>
      <c r="F43" s="80" t="s">
        <v>2090</v>
      </c>
      <c r="G43" s="80" t="s">
        <v>402</v>
      </c>
      <c r="H43" s="88">
        <v>3.56</v>
      </c>
      <c r="I43" s="80" t="s">
        <v>361</v>
      </c>
      <c r="J43" s="80" t="s">
        <v>186</v>
      </c>
      <c r="K43" s="38">
        <v>5.1699999999999996E-2</v>
      </c>
      <c r="L43" s="38">
        <v>3.9000000000000003E-3</v>
      </c>
      <c r="M43" s="132">
        <v>48042.68</v>
      </c>
      <c r="N43" s="80">
        <v>145.81</v>
      </c>
      <c r="O43" s="104">
        <v>70.051029999999997</v>
      </c>
      <c r="P43" s="38">
        <v>7.9959429603111611E-4</v>
      </c>
      <c r="Q43" s="38">
        <v>8.4861762876829009E-5</v>
      </c>
    </row>
    <row r="44" spans="1:17" x14ac:dyDescent="0.2">
      <c r="A44" s="30" t="s">
        <v>2276</v>
      </c>
      <c r="B44" s="38" t="s">
        <v>1834</v>
      </c>
      <c r="C44" s="38" t="s">
        <v>2080</v>
      </c>
      <c r="D44" s="38" t="s">
        <v>1582</v>
      </c>
      <c r="E44" s="80" t="s">
        <v>413</v>
      </c>
      <c r="F44" s="80" t="s">
        <v>2070</v>
      </c>
      <c r="G44" s="80" t="s">
        <v>402</v>
      </c>
      <c r="H44" s="88">
        <v>3.6</v>
      </c>
      <c r="I44" s="80" t="s">
        <v>361</v>
      </c>
      <c r="J44" s="80" t="s">
        <v>186</v>
      </c>
      <c r="K44" s="38">
        <v>3.85E-2</v>
      </c>
      <c r="L44" s="38">
        <v>3.9000000000000003E-3</v>
      </c>
      <c r="M44" s="132">
        <v>79530.94</v>
      </c>
      <c r="N44" s="80">
        <v>144.57</v>
      </c>
      <c r="O44" s="104">
        <v>114.97787</v>
      </c>
      <c r="P44" s="38">
        <v>1.3124096679493103E-3</v>
      </c>
      <c r="Q44" s="38">
        <v>1.3928738435427533E-4</v>
      </c>
    </row>
    <row r="45" spans="1:17" x14ac:dyDescent="0.2">
      <c r="A45" s="30" t="s">
        <v>2276</v>
      </c>
      <c r="B45" s="38" t="s">
        <v>1834</v>
      </c>
      <c r="C45" s="38" t="s">
        <v>2100</v>
      </c>
      <c r="D45" s="38" t="s">
        <v>1582</v>
      </c>
      <c r="E45" s="80" t="s">
        <v>413</v>
      </c>
      <c r="F45" s="80" t="s">
        <v>2090</v>
      </c>
      <c r="G45" s="80" t="s">
        <v>402</v>
      </c>
      <c r="H45" s="88">
        <v>3.56</v>
      </c>
      <c r="I45" s="80" t="s">
        <v>361</v>
      </c>
      <c r="J45" s="80" t="s">
        <v>186</v>
      </c>
      <c r="K45" s="38">
        <v>5.1699999999999996E-2</v>
      </c>
      <c r="L45" s="38">
        <v>3.8E-3</v>
      </c>
      <c r="M45" s="132">
        <v>79531.070000000007</v>
      </c>
      <c r="N45" s="80">
        <v>150.91999999999999</v>
      </c>
      <c r="O45" s="104">
        <v>120.02829</v>
      </c>
      <c r="P45" s="38">
        <v>1.3700574573474315E-3</v>
      </c>
      <c r="Q45" s="38">
        <v>1.4540560337929743E-4</v>
      </c>
    </row>
    <row r="46" spans="1:17" x14ac:dyDescent="0.2">
      <c r="A46" s="30" t="s">
        <v>2276</v>
      </c>
      <c r="B46" s="38" t="s">
        <v>1834</v>
      </c>
      <c r="C46" s="38" t="s">
        <v>2084</v>
      </c>
      <c r="D46" s="38" t="s">
        <v>1582</v>
      </c>
      <c r="E46" s="80" t="s">
        <v>413</v>
      </c>
      <c r="F46" s="80" t="s">
        <v>2070</v>
      </c>
      <c r="G46" s="80" t="s">
        <v>402</v>
      </c>
      <c r="H46" s="88">
        <v>3.6</v>
      </c>
      <c r="I46" s="80" t="s">
        <v>361</v>
      </c>
      <c r="J46" s="80" t="s">
        <v>186</v>
      </c>
      <c r="K46" s="38">
        <v>3.85E-2</v>
      </c>
      <c r="L46" s="38">
        <v>3.8999999999999998E-3</v>
      </c>
      <c r="M46" s="132">
        <v>65325.75</v>
      </c>
      <c r="N46" s="80">
        <v>137.49</v>
      </c>
      <c r="O46" s="104">
        <v>89.816369999999992</v>
      </c>
      <c r="P46" s="38">
        <v>1.0252048705382383E-3</v>
      </c>
      <c r="Q46" s="38">
        <v>1.0880604458489101E-4</v>
      </c>
    </row>
    <row r="47" spans="1:17" x14ac:dyDescent="0.2">
      <c r="A47" s="30" t="s">
        <v>2276</v>
      </c>
      <c r="B47" s="38" t="s">
        <v>1834</v>
      </c>
      <c r="C47" s="38" t="s">
        <v>2104</v>
      </c>
      <c r="D47" s="38" t="s">
        <v>1582</v>
      </c>
      <c r="E47" s="80" t="s">
        <v>413</v>
      </c>
      <c r="F47" s="80" t="s">
        <v>2090</v>
      </c>
      <c r="G47" s="80" t="s">
        <v>402</v>
      </c>
      <c r="H47" s="88">
        <v>3.56</v>
      </c>
      <c r="I47" s="80" t="s">
        <v>361</v>
      </c>
      <c r="J47" s="80" t="s">
        <v>186</v>
      </c>
      <c r="K47" s="38">
        <v>5.1699999999999996E-2</v>
      </c>
      <c r="L47" s="38">
        <v>3.9000000000000003E-3</v>
      </c>
      <c r="M47" s="132">
        <v>65325.84</v>
      </c>
      <c r="N47" s="80">
        <v>143.52000000000001</v>
      </c>
      <c r="O47" s="104">
        <v>93.75564</v>
      </c>
      <c r="P47" s="38">
        <v>1.0701694887961925E-3</v>
      </c>
      <c r="Q47" s="38">
        <v>1.1357818564616886E-4</v>
      </c>
    </row>
    <row r="48" spans="1:17" x14ac:dyDescent="0.2">
      <c r="A48" s="30" t="s">
        <v>2276</v>
      </c>
      <c r="B48" s="38" t="s">
        <v>1834</v>
      </c>
      <c r="C48" s="38" t="s">
        <v>2075</v>
      </c>
      <c r="D48" s="38" t="s">
        <v>1582</v>
      </c>
      <c r="E48" s="80" t="s">
        <v>413</v>
      </c>
      <c r="F48" s="80" t="s">
        <v>2070</v>
      </c>
      <c r="G48" s="80" t="s">
        <v>402</v>
      </c>
      <c r="H48" s="88">
        <v>3.6</v>
      </c>
      <c r="I48" s="80" t="s">
        <v>361</v>
      </c>
      <c r="J48" s="80" t="s">
        <v>186</v>
      </c>
      <c r="K48" s="38">
        <v>3.85E-2</v>
      </c>
      <c r="L48" s="38">
        <v>3.8999999999999998E-3</v>
      </c>
      <c r="M48" s="132">
        <v>52273.07</v>
      </c>
      <c r="N48" s="80">
        <v>149.21</v>
      </c>
      <c r="O48" s="104">
        <v>77.996639999999999</v>
      </c>
      <c r="P48" s="38">
        <v>8.90289100011697E-4</v>
      </c>
      <c r="Q48" s="38">
        <v>9.4487295459744078E-5</v>
      </c>
    </row>
    <row r="49" spans="1:17" x14ac:dyDescent="0.2">
      <c r="A49" s="30" t="s">
        <v>2276</v>
      </c>
      <c r="B49" s="38" t="s">
        <v>1834</v>
      </c>
      <c r="C49" s="38" t="s">
        <v>2095</v>
      </c>
      <c r="D49" s="38" t="s">
        <v>1582</v>
      </c>
      <c r="E49" s="80" t="s">
        <v>413</v>
      </c>
      <c r="F49" s="80" t="s">
        <v>2090</v>
      </c>
      <c r="G49" s="80" t="s">
        <v>402</v>
      </c>
      <c r="H49" s="88">
        <v>3.56</v>
      </c>
      <c r="I49" s="80" t="s">
        <v>361</v>
      </c>
      <c r="J49" s="80" t="s">
        <v>186</v>
      </c>
      <c r="K49" s="38">
        <v>5.1699999999999996E-2</v>
      </c>
      <c r="L49" s="38">
        <v>3.8000000000000004E-3</v>
      </c>
      <c r="M49" s="132">
        <v>52239.519999999997</v>
      </c>
      <c r="N49" s="80">
        <v>155.76</v>
      </c>
      <c r="O49" s="104">
        <v>81.36827000000001</v>
      </c>
      <c r="P49" s="38">
        <v>9.2877441730578102E-4</v>
      </c>
      <c r="Q49" s="38">
        <v>9.8571781663136143E-5</v>
      </c>
    </row>
    <row r="50" spans="1:17" x14ac:dyDescent="0.2">
      <c r="A50" s="30" t="s">
        <v>2276</v>
      </c>
      <c r="B50" s="38" t="s">
        <v>1834</v>
      </c>
      <c r="C50" s="38" t="s">
        <v>2079</v>
      </c>
      <c r="D50" s="38" t="s">
        <v>1582</v>
      </c>
      <c r="E50" s="80" t="s">
        <v>413</v>
      </c>
      <c r="F50" s="80" t="s">
        <v>2070</v>
      </c>
      <c r="G50" s="80" t="s">
        <v>402</v>
      </c>
      <c r="H50" s="88">
        <v>3.6</v>
      </c>
      <c r="I50" s="80" t="s">
        <v>361</v>
      </c>
      <c r="J50" s="80" t="s">
        <v>186</v>
      </c>
      <c r="K50" s="38">
        <v>3.85E-2</v>
      </c>
      <c r="L50" s="38">
        <v>3.9000000000000003E-3</v>
      </c>
      <c r="M50" s="132">
        <v>107266.82</v>
      </c>
      <c r="N50" s="80">
        <v>147.13</v>
      </c>
      <c r="O50" s="104">
        <v>157.82167000000001</v>
      </c>
      <c r="P50" s="38">
        <v>1.8014482745236596E-3</v>
      </c>
      <c r="Q50" s="38">
        <v>1.9118955333512097E-4</v>
      </c>
    </row>
    <row r="51" spans="1:17" x14ac:dyDescent="0.2">
      <c r="A51" s="30" t="s">
        <v>2276</v>
      </c>
      <c r="B51" s="38" t="s">
        <v>1834</v>
      </c>
      <c r="C51" s="38" t="s">
        <v>2099</v>
      </c>
      <c r="D51" s="38" t="s">
        <v>1582</v>
      </c>
      <c r="E51" s="80" t="s">
        <v>413</v>
      </c>
      <c r="F51" s="80" t="s">
        <v>2090</v>
      </c>
      <c r="G51" s="80" t="s">
        <v>402</v>
      </c>
      <c r="H51" s="88">
        <v>3.56</v>
      </c>
      <c r="I51" s="80" t="s">
        <v>361</v>
      </c>
      <c r="J51" s="80" t="s">
        <v>186</v>
      </c>
      <c r="K51" s="38">
        <v>5.1699999999999996E-2</v>
      </c>
      <c r="L51" s="38">
        <v>3.8000000000000004E-3</v>
      </c>
      <c r="M51" s="132">
        <v>107266.93</v>
      </c>
      <c r="N51" s="80">
        <v>153.59</v>
      </c>
      <c r="O51" s="104">
        <v>164.75126999999998</v>
      </c>
      <c r="P51" s="38">
        <v>1.8805458785671292E-3</v>
      </c>
      <c r="Q51" s="38">
        <v>1.9958426319208197E-4</v>
      </c>
    </row>
    <row r="52" spans="1:17" x14ac:dyDescent="0.2">
      <c r="A52" s="30" t="s">
        <v>2276</v>
      </c>
      <c r="B52" s="38" t="s">
        <v>1834</v>
      </c>
      <c r="C52" s="38" t="s">
        <v>2083</v>
      </c>
      <c r="D52" s="38" t="s">
        <v>1582</v>
      </c>
      <c r="E52" s="80" t="s">
        <v>413</v>
      </c>
      <c r="F52" s="80" t="s">
        <v>2070</v>
      </c>
      <c r="G52" s="80" t="s">
        <v>402</v>
      </c>
      <c r="H52" s="88">
        <v>3.6</v>
      </c>
      <c r="I52" s="80" t="s">
        <v>361</v>
      </c>
      <c r="J52" s="80" t="s">
        <v>186</v>
      </c>
      <c r="K52" s="38">
        <v>3.85E-2</v>
      </c>
      <c r="L52" s="38">
        <v>3.8999999999999998E-3</v>
      </c>
      <c r="M52" s="132">
        <v>74143.02</v>
      </c>
      <c r="N52" s="80">
        <v>137.9</v>
      </c>
      <c r="O52" s="104">
        <v>102.24322000000001</v>
      </c>
      <c r="P52" s="38">
        <v>1.167050584693109E-3</v>
      </c>
      <c r="Q52" s="38">
        <v>1.2386027573618063E-4</v>
      </c>
    </row>
    <row r="53" spans="1:17" x14ac:dyDescent="0.2">
      <c r="A53" s="30" t="s">
        <v>2276</v>
      </c>
      <c r="B53" s="38" t="s">
        <v>1834</v>
      </c>
      <c r="C53" s="38" t="s">
        <v>2103</v>
      </c>
      <c r="D53" s="38" t="s">
        <v>1582</v>
      </c>
      <c r="E53" s="80" t="s">
        <v>413</v>
      </c>
      <c r="F53" s="80" t="s">
        <v>2090</v>
      </c>
      <c r="G53" s="80" t="s">
        <v>402</v>
      </c>
      <c r="H53" s="88">
        <v>3.56</v>
      </c>
      <c r="I53" s="80" t="s">
        <v>361</v>
      </c>
      <c r="J53" s="80" t="s">
        <v>186</v>
      </c>
      <c r="K53" s="38">
        <v>5.1699999999999996E-2</v>
      </c>
      <c r="L53" s="38">
        <v>3.8000000000000004E-3</v>
      </c>
      <c r="M53" s="132">
        <v>74143.149999999994</v>
      </c>
      <c r="N53" s="80">
        <v>143.96</v>
      </c>
      <c r="O53" s="104">
        <v>106.73647</v>
      </c>
      <c r="P53" s="38">
        <v>1.2183385824661871E-3</v>
      </c>
      <c r="Q53" s="38">
        <v>1.2930352355204161E-4</v>
      </c>
    </row>
    <row r="54" spans="1:17" x14ac:dyDescent="0.2">
      <c r="A54" s="30" t="s">
        <v>2276</v>
      </c>
      <c r="B54" s="38" t="s">
        <v>1834</v>
      </c>
      <c r="C54" s="38" t="s">
        <v>2087</v>
      </c>
      <c r="D54" s="38" t="s">
        <v>1582</v>
      </c>
      <c r="E54" s="80" t="s">
        <v>413</v>
      </c>
      <c r="F54" s="80" t="s">
        <v>2070</v>
      </c>
      <c r="G54" s="80" t="s">
        <v>402</v>
      </c>
      <c r="H54" s="88">
        <v>3.6</v>
      </c>
      <c r="I54" s="80" t="s">
        <v>361</v>
      </c>
      <c r="J54" s="80" t="s">
        <v>186</v>
      </c>
      <c r="K54" s="38">
        <v>3.85E-2</v>
      </c>
      <c r="L54" s="38">
        <v>3.8999999999999998E-3</v>
      </c>
      <c r="M54" s="132">
        <v>28953.99</v>
      </c>
      <c r="N54" s="80">
        <v>140.66</v>
      </c>
      <c r="O54" s="104">
        <v>40.726680000000002</v>
      </c>
      <c r="P54" s="38">
        <v>4.6487283662045419E-4</v>
      </c>
      <c r="Q54" s="38">
        <v>4.933743102593202E-5</v>
      </c>
    </row>
    <row r="55" spans="1:17" x14ac:dyDescent="0.2">
      <c r="A55" s="30" t="s">
        <v>2276</v>
      </c>
      <c r="B55" s="38" t="s">
        <v>1834</v>
      </c>
      <c r="C55" s="38" t="s">
        <v>2107</v>
      </c>
      <c r="D55" s="38" t="s">
        <v>1582</v>
      </c>
      <c r="E55" s="80" t="s">
        <v>413</v>
      </c>
      <c r="F55" s="80" t="s">
        <v>2090</v>
      </c>
      <c r="G55" s="80" t="s">
        <v>402</v>
      </c>
      <c r="H55" s="88">
        <v>3.56</v>
      </c>
      <c r="I55" s="80" t="s">
        <v>361</v>
      </c>
      <c r="J55" s="80" t="s">
        <v>186</v>
      </c>
      <c r="K55" s="38">
        <v>5.1699999999999996E-2</v>
      </c>
      <c r="L55" s="38">
        <v>3.8E-3</v>
      </c>
      <c r="M55" s="132">
        <v>28954.02</v>
      </c>
      <c r="N55" s="80">
        <v>146.84</v>
      </c>
      <c r="O55" s="104">
        <v>42.516080000000002</v>
      </c>
      <c r="P55" s="38">
        <v>4.8529786153897545E-4</v>
      </c>
      <c r="Q55" s="38">
        <v>5.1505159872913968E-5</v>
      </c>
    </row>
    <row r="56" spans="1:17" x14ac:dyDescent="0.2">
      <c r="A56" s="30" t="s">
        <v>2277</v>
      </c>
      <c r="B56" s="38" t="s">
        <v>180</v>
      </c>
      <c r="C56" s="38" t="s">
        <v>2137</v>
      </c>
      <c r="D56" s="38" t="s">
        <v>2138</v>
      </c>
      <c r="E56" s="80" t="s">
        <v>413</v>
      </c>
      <c r="F56" s="80" t="s">
        <v>1876</v>
      </c>
      <c r="G56" s="80" t="s">
        <v>402</v>
      </c>
      <c r="H56" s="88">
        <v>9.27</v>
      </c>
      <c r="I56" s="80" t="s">
        <v>1911</v>
      </c>
      <c r="J56" s="80" t="s">
        <v>186</v>
      </c>
      <c r="K56" s="38">
        <v>2.2700000000000001E-2</v>
      </c>
      <c r="L56" s="38">
        <v>8.5000000000000006E-3</v>
      </c>
      <c r="M56" s="132">
        <v>1607053.24</v>
      </c>
      <c r="N56" s="80">
        <v>113.74</v>
      </c>
      <c r="O56" s="104">
        <v>1827.8623500000001</v>
      </c>
      <c r="P56" s="38">
        <v>2.0864051663337879E-2</v>
      </c>
      <c r="Q56" s="38">
        <v>2.2143232057713273E-3</v>
      </c>
    </row>
    <row r="57" spans="1:17" x14ac:dyDescent="0.2">
      <c r="A57" s="30" t="s">
        <v>2278</v>
      </c>
      <c r="B57" s="38" t="s">
        <v>1834</v>
      </c>
      <c r="C57" s="38" t="s">
        <v>1940</v>
      </c>
      <c r="D57" s="38" t="s">
        <v>1932</v>
      </c>
      <c r="E57" s="80" t="s">
        <v>413</v>
      </c>
      <c r="F57" s="80" t="s">
        <v>1941</v>
      </c>
      <c r="G57" s="80" t="s">
        <v>402</v>
      </c>
      <c r="H57" s="88">
        <v>5.31</v>
      </c>
      <c r="I57" s="80" t="s">
        <v>1616</v>
      </c>
      <c r="J57" s="80" t="s">
        <v>186</v>
      </c>
      <c r="K57" s="38">
        <v>4.9800000000000004E-2</v>
      </c>
      <c r="L57" s="38">
        <v>3.3E-3</v>
      </c>
      <c r="M57" s="132">
        <v>1468999.6799999999</v>
      </c>
      <c r="N57" s="80">
        <v>133.33000000000001</v>
      </c>
      <c r="O57" s="104">
        <v>1958.61727</v>
      </c>
      <c r="P57" s="38">
        <v>2.2356547750975772E-2</v>
      </c>
      <c r="Q57" s="38">
        <v>2.3727233465832289E-3</v>
      </c>
    </row>
    <row r="58" spans="1:17" x14ac:dyDescent="0.2">
      <c r="A58" s="30" t="s">
        <v>2278</v>
      </c>
      <c r="B58" s="38" t="s">
        <v>1834</v>
      </c>
      <c r="C58" s="38" t="s">
        <v>1945</v>
      </c>
      <c r="D58" s="38" t="s">
        <v>1932</v>
      </c>
      <c r="E58" s="80" t="s">
        <v>413</v>
      </c>
      <c r="F58" s="80" t="s">
        <v>857</v>
      </c>
      <c r="G58" s="80" t="s">
        <v>402</v>
      </c>
      <c r="H58" s="88">
        <v>5.27</v>
      </c>
      <c r="I58" s="80" t="s">
        <v>1616</v>
      </c>
      <c r="J58" s="80" t="s">
        <v>186</v>
      </c>
      <c r="K58" s="38">
        <v>4.8600000000000004E-2</v>
      </c>
      <c r="L58" s="38">
        <v>7.8000000000000005E-3</v>
      </c>
      <c r="M58" s="132">
        <v>648771.56999999995</v>
      </c>
      <c r="N58" s="80">
        <v>126.8</v>
      </c>
      <c r="O58" s="104">
        <v>822.64234999999996</v>
      </c>
      <c r="P58" s="38">
        <v>9.3900136905000972E-3</v>
      </c>
      <c r="Q58" s="38">
        <v>9.965717854275287E-4</v>
      </c>
    </row>
    <row r="59" spans="1:17" x14ac:dyDescent="0.2">
      <c r="A59" s="30" t="s">
        <v>2278</v>
      </c>
      <c r="B59" s="38" t="s">
        <v>1834</v>
      </c>
      <c r="C59" s="38" t="s">
        <v>1943</v>
      </c>
      <c r="D59" s="38" t="s">
        <v>1932</v>
      </c>
      <c r="E59" s="80" t="s">
        <v>413</v>
      </c>
      <c r="F59" s="80" t="s">
        <v>1944</v>
      </c>
      <c r="G59" s="80" t="s">
        <v>402</v>
      </c>
      <c r="H59" s="88">
        <v>5.3</v>
      </c>
      <c r="I59" s="80" t="s">
        <v>1616</v>
      </c>
      <c r="J59" s="80" t="s">
        <v>186</v>
      </c>
      <c r="K59" s="38">
        <v>4.8499999999999995E-2</v>
      </c>
      <c r="L59" s="38">
        <v>5.0000000000000001E-3</v>
      </c>
      <c r="M59" s="132">
        <v>196933.49</v>
      </c>
      <c r="N59" s="80">
        <v>126.52</v>
      </c>
      <c r="O59" s="104">
        <v>249.16024999999999</v>
      </c>
      <c r="P59" s="38">
        <v>2.8440283418771557E-3</v>
      </c>
      <c r="Q59" s="38">
        <v>3.0183964538182283E-4</v>
      </c>
    </row>
    <row r="60" spans="1:17" x14ac:dyDescent="0.2">
      <c r="A60" s="30" t="s">
        <v>2278</v>
      </c>
      <c r="B60" s="38" t="s">
        <v>1834</v>
      </c>
      <c r="C60" s="38" t="s">
        <v>1942</v>
      </c>
      <c r="D60" s="38" t="s">
        <v>1932</v>
      </c>
      <c r="E60" s="80" t="s">
        <v>413</v>
      </c>
      <c r="F60" s="80" t="s">
        <v>1939</v>
      </c>
      <c r="G60" s="80" t="s">
        <v>402</v>
      </c>
      <c r="H60" s="88">
        <v>5.34</v>
      </c>
      <c r="I60" s="80" t="s">
        <v>1616</v>
      </c>
      <c r="J60" s="80" t="s">
        <v>186</v>
      </c>
      <c r="K60" s="38">
        <v>4.8499999999999995E-2</v>
      </c>
      <c r="L60" s="38">
        <v>1.1000000000000003E-3</v>
      </c>
      <c r="M60" s="132">
        <v>503702.8</v>
      </c>
      <c r="N60" s="80">
        <v>129.93</v>
      </c>
      <c r="O60" s="104">
        <v>654.46104000000003</v>
      </c>
      <c r="P60" s="38">
        <v>7.4703157763503563E-3</v>
      </c>
      <c r="Q60" s="38">
        <v>7.9283227653616087E-4</v>
      </c>
    </row>
    <row r="61" spans="1:17" x14ac:dyDescent="0.2">
      <c r="A61" s="30" t="s">
        <v>2278</v>
      </c>
      <c r="B61" s="38" t="s">
        <v>1834</v>
      </c>
      <c r="C61" s="38" t="s">
        <v>1936</v>
      </c>
      <c r="D61" s="38" t="s">
        <v>1932</v>
      </c>
      <c r="E61" s="80" t="s">
        <v>413</v>
      </c>
      <c r="F61" s="80" t="s">
        <v>1937</v>
      </c>
      <c r="G61" s="80" t="s">
        <v>402</v>
      </c>
      <c r="H61" s="88">
        <v>5.27</v>
      </c>
      <c r="I61" s="80" t="s">
        <v>1616</v>
      </c>
      <c r="J61" s="80" t="s">
        <v>186</v>
      </c>
      <c r="K61" s="38">
        <v>4.8499999999999995E-2</v>
      </c>
      <c r="L61" s="38">
        <v>7.8000000000000005E-3</v>
      </c>
      <c r="M61" s="132">
        <v>384637.18</v>
      </c>
      <c r="N61" s="80">
        <v>126.75</v>
      </c>
      <c r="O61" s="104">
        <v>487.52762000000001</v>
      </c>
      <c r="P61" s="38">
        <v>5.5648618458518807E-3</v>
      </c>
      <c r="Q61" s="38">
        <v>5.9060449624145136E-4</v>
      </c>
    </row>
    <row r="62" spans="1:17" x14ac:dyDescent="0.2">
      <c r="A62" s="30" t="s">
        <v>2278</v>
      </c>
      <c r="B62" s="38" t="s">
        <v>1834</v>
      </c>
      <c r="C62" s="38" t="s">
        <v>1931</v>
      </c>
      <c r="D62" s="38" t="s">
        <v>1932</v>
      </c>
      <c r="E62" s="80" t="s">
        <v>413</v>
      </c>
      <c r="F62" s="80" t="s">
        <v>1933</v>
      </c>
      <c r="G62" s="80" t="s">
        <v>402</v>
      </c>
      <c r="H62" s="88">
        <v>5.24</v>
      </c>
      <c r="I62" s="80" t="s">
        <v>1616</v>
      </c>
      <c r="J62" s="80" t="s">
        <v>186</v>
      </c>
      <c r="K62" s="38">
        <v>5.3600000000000002E-2</v>
      </c>
      <c r="L62" s="38">
        <v>7.6000000000000009E-3</v>
      </c>
      <c r="M62" s="132">
        <v>877394.11</v>
      </c>
      <c r="N62" s="80">
        <v>131.68</v>
      </c>
      <c r="O62" s="104">
        <v>1155.35256</v>
      </c>
      <c r="P62" s="38">
        <v>1.3187719250965301E-2</v>
      </c>
      <c r="Q62" s="38">
        <v>1.3996261723183423E-3</v>
      </c>
    </row>
    <row r="63" spans="1:17" x14ac:dyDescent="0.2">
      <c r="A63" s="30" t="s">
        <v>2278</v>
      </c>
      <c r="B63" s="38" t="s">
        <v>1834</v>
      </c>
      <c r="C63" s="38" t="s">
        <v>1934</v>
      </c>
      <c r="D63" s="38" t="s">
        <v>1932</v>
      </c>
      <c r="E63" s="80" t="s">
        <v>413</v>
      </c>
      <c r="F63" s="80" t="s">
        <v>1935</v>
      </c>
      <c r="G63" s="80" t="s">
        <v>402</v>
      </c>
      <c r="H63" s="88">
        <v>5.24</v>
      </c>
      <c r="I63" s="80" t="s">
        <v>1616</v>
      </c>
      <c r="J63" s="80" t="s">
        <v>186</v>
      </c>
      <c r="K63" s="38">
        <v>5.1299999999999998E-2</v>
      </c>
      <c r="L63" s="38">
        <v>9.4999999999999998E-3</v>
      </c>
      <c r="M63" s="132">
        <v>889036.94</v>
      </c>
      <c r="N63" s="80">
        <v>127.2</v>
      </c>
      <c r="O63" s="104">
        <v>1130.8549800000001</v>
      </c>
      <c r="P63" s="38">
        <v>1.2908092738199307E-2</v>
      </c>
      <c r="Q63" s="38">
        <v>1.3699491236722889E-3</v>
      </c>
    </row>
    <row r="64" spans="1:17" x14ac:dyDescent="0.2">
      <c r="A64" s="30" t="s">
        <v>2278</v>
      </c>
      <c r="B64" s="38" t="s">
        <v>1834</v>
      </c>
      <c r="C64" s="38" t="s">
        <v>1938</v>
      </c>
      <c r="D64" s="38" t="s">
        <v>1932</v>
      </c>
      <c r="E64" s="80" t="s">
        <v>413</v>
      </c>
      <c r="F64" s="80" t="s">
        <v>1939</v>
      </c>
      <c r="G64" s="80" t="s">
        <v>402</v>
      </c>
      <c r="H64" s="88">
        <v>5.27</v>
      </c>
      <c r="I64" s="80" t="s">
        <v>1616</v>
      </c>
      <c r="J64" s="80" t="s">
        <v>186</v>
      </c>
      <c r="K64" s="38">
        <v>4.8499999999999995E-2</v>
      </c>
      <c r="L64" s="38">
        <v>7.7000000000000002E-3</v>
      </c>
      <c r="M64" s="132">
        <v>292213.43</v>
      </c>
      <c r="N64" s="80">
        <v>126.82</v>
      </c>
      <c r="O64" s="104">
        <v>370.58507000000003</v>
      </c>
      <c r="P64" s="38">
        <v>4.2300264273957408E-3</v>
      </c>
      <c r="Q64" s="38">
        <v>4.4893704398112462E-4</v>
      </c>
    </row>
    <row r="65" spans="1:17" x14ac:dyDescent="0.2">
      <c r="A65" s="30" t="s">
        <v>2279</v>
      </c>
      <c r="B65" s="38" t="s">
        <v>1834</v>
      </c>
      <c r="C65" s="38" t="s">
        <v>1950</v>
      </c>
      <c r="D65" s="38" t="s">
        <v>1951</v>
      </c>
      <c r="E65" s="80" t="s">
        <v>396</v>
      </c>
      <c r="F65" s="80" t="s">
        <v>513</v>
      </c>
      <c r="G65" s="80" t="s">
        <v>185</v>
      </c>
      <c r="H65" s="88">
        <v>4.75</v>
      </c>
      <c r="I65" s="80" t="s">
        <v>629</v>
      </c>
      <c r="J65" s="80" t="s">
        <v>186</v>
      </c>
      <c r="K65" s="38">
        <v>3.4799999999999998E-2</v>
      </c>
      <c r="L65" s="38">
        <v>1.5200000000000002E-2</v>
      </c>
      <c r="M65" s="132">
        <v>2759036.57</v>
      </c>
      <c r="N65" s="80">
        <v>112.65</v>
      </c>
      <c r="O65" s="104">
        <v>3108.0546899999999</v>
      </c>
      <c r="P65" s="38">
        <v>3.5476748905430205E-2</v>
      </c>
      <c r="Q65" s="38">
        <v>3.7651837540575248E-3</v>
      </c>
    </row>
    <row r="66" spans="1:17" x14ac:dyDescent="0.2">
      <c r="A66" s="30" t="s">
        <v>2280</v>
      </c>
      <c r="B66" s="38" t="s">
        <v>1834</v>
      </c>
      <c r="C66" s="38" t="s">
        <v>1918</v>
      </c>
      <c r="D66" s="38" t="s">
        <v>1919</v>
      </c>
      <c r="E66" s="80" t="s">
        <v>413</v>
      </c>
      <c r="F66" s="80" t="s">
        <v>1917</v>
      </c>
      <c r="G66" s="80" t="s">
        <v>402</v>
      </c>
      <c r="H66" s="88">
        <v>6.17</v>
      </c>
      <c r="I66" s="80" t="s">
        <v>1616</v>
      </c>
      <c r="J66" s="80" t="s">
        <v>186</v>
      </c>
      <c r="K66" s="38">
        <v>0.05</v>
      </c>
      <c r="L66" s="38">
        <v>4.4000000000000003E-3</v>
      </c>
      <c r="M66" s="132">
        <v>345253.92</v>
      </c>
      <c r="N66" s="80">
        <v>132.35</v>
      </c>
      <c r="O66" s="104">
        <v>456.94355999999999</v>
      </c>
      <c r="P66" s="38">
        <v>5.2157614839375248E-3</v>
      </c>
      <c r="Q66" s="38">
        <v>5.5355411671768548E-4</v>
      </c>
    </row>
    <row r="67" spans="1:17" x14ac:dyDescent="0.2">
      <c r="A67" s="30" t="s">
        <v>2280</v>
      </c>
      <c r="B67" s="38" t="s">
        <v>1834</v>
      </c>
      <c r="C67" s="38" t="s">
        <v>1920</v>
      </c>
      <c r="D67" s="38" t="s">
        <v>1919</v>
      </c>
      <c r="E67" s="80" t="s">
        <v>413</v>
      </c>
      <c r="F67" s="80" t="s">
        <v>1921</v>
      </c>
      <c r="G67" s="80" t="s">
        <v>402</v>
      </c>
      <c r="H67" s="88">
        <v>6.17</v>
      </c>
      <c r="I67" s="80" t="s">
        <v>1616</v>
      </c>
      <c r="J67" s="80" t="s">
        <v>186</v>
      </c>
      <c r="K67" s="38">
        <v>0.05</v>
      </c>
      <c r="L67" s="38">
        <v>4.5000000000000005E-3</v>
      </c>
      <c r="M67" s="132">
        <v>43347.519999999997</v>
      </c>
      <c r="N67" s="80">
        <v>132.56</v>
      </c>
      <c r="O67" s="104">
        <v>57.461469999999998</v>
      </c>
      <c r="P67" s="38">
        <v>6.5589133598125673E-4</v>
      </c>
      <c r="Q67" s="38">
        <v>6.9610420313506079E-5</v>
      </c>
    </row>
    <row r="68" spans="1:17" x14ac:dyDescent="0.2">
      <c r="A68" s="30" t="s">
        <v>2280</v>
      </c>
      <c r="B68" s="38" t="s">
        <v>1834</v>
      </c>
      <c r="C68" s="38" t="s">
        <v>1924</v>
      </c>
      <c r="D68" s="38" t="s">
        <v>1919</v>
      </c>
      <c r="E68" s="80" t="s">
        <v>413</v>
      </c>
      <c r="F68" s="80" t="s">
        <v>1925</v>
      </c>
      <c r="G68" s="80" t="s">
        <v>402</v>
      </c>
      <c r="H68" s="88">
        <v>6.17</v>
      </c>
      <c r="I68" s="80" t="s">
        <v>1616</v>
      </c>
      <c r="J68" s="80" t="s">
        <v>186</v>
      </c>
      <c r="K68" s="38">
        <v>0.05</v>
      </c>
      <c r="L68" s="38">
        <v>4.7999999999999996E-3</v>
      </c>
      <c r="M68" s="132">
        <v>82382.69</v>
      </c>
      <c r="N68" s="80">
        <v>132</v>
      </c>
      <c r="O68" s="104">
        <v>108.74515</v>
      </c>
      <c r="P68" s="38">
        <v>1.2412665689719069E-3</v>
      </c>
      <c r="Q68" s="38">
        <v>1.3173689427985858E-4</v>
      </c>
    </row>
    <row r="69" spans="1:17" x14ac:dyDescent="0.2">
      <c r="A69" s="30" t="s">
        <v>2280</v>
      </c>
      <c r="B69" s="38" t="s">
        <v>1834</v>
      </c>
      <c r="C69" s="38" t="s">
        <v>1948</v>
      </c>
      <c r="D69" s="38" t="s">
        <v>1919</v>
      </c>
      <c r="E69" s="80" t="s">
        <v>413</v>
      </c>
      <c r="F69" s="80" t="s">
        <v>1949</v>
      </c>
      <c r="G69" s="80" t="s">
        <v>402</v>
      </c>
      <c r="H69" s="88">
        <v>6.14</v>
      </c>
      <c r="I69" s="80" t="s">
        <v>1616</v>
      </c>
      <c r="J69" s="80" t="s">
        <v>186</v>
      </c>
      <c r="K69" s="38">
        <v>0.05</v>
      </c>
      <c r="L69" s="38">
        <v>6.8000000000000005E-3</v>
      </c>
      <c r="M69" s="132">
        <v>32400.83</v>
      </c>
      <c r="N69" s="80">
        <v>128.53</v>
      </c>
      <c r="O69" s="104">
        <v>41.644779999999997</v>
      </c>
      <c r="P69" s="38">
        <v>4.7535244731548843E-4</v>
      </c>
      <c r="Q69" s="38">
        <v>5.0449642859180098E-5</v>
      </c>
    </row>
    <row r="70" spans="1:17" x14ac:dyDescent="0.2">
      <c r="A70" s="30" t="s">
        <v>2280</v>
      </c>
      <c r="B70" s="38" t="s">
        <v>1834</v>
      </c>
      <c r="C70" s="38" t="s">
        <v>1952</v>
      </c>
      <c r="D70" s="38" t="s">
        <v>1919</v>
      </c>
      <c r="E70" s="80" t="s">
        <v>413</v>
      </c>
      <c r="F70" s="80" t="s">
        <v>1953</v>
      </c>
      <c r="G70" s="80" t="s">
        <v>402</v>
      </c>
      <c r="H70" s="88">
        <v>6.13</v>
      </c>
      <c r="I70" s="80" t="s">
        <v>1616</v>
      </c>
      <c r="J70" s="80" t="s">
        <v>186</v>
      </c>
      <c r="K70" s="38">
        <v>0.05</v>
      </c>
      <c r="L70" s="38">
        <v>8.3999999999999995E-3</v>
      </c>
      <c r="M70" s="132">
        <v>24283.09</v>
      </c>
      <c r="N70" s="80">
        <v>127.27</v>
      </c>
      <c r="O70" s="104">
        <v>30.905080000000002</v>
      </c>
      <c r="P70" s="38">
        <v>3.5276463010444425E-4</v>
      </c>
      <c r="Q70" s="38">
        <v>3.7439272065656006E-5</v>
      </c>
    </row>
    <row r="71" spans="1:17" x14ac:dyDescent="0.2">
      <c r="A71" s="30" t="s">
        <v>2280</v>
      </c>
      <c r="B71" s="38" t="s">
        <v>1834</v>
      </c>
      <c r="C71" s="38" t="s">
        <v>1963</v>
      </c>
      <c r="D71" s="38" t="s">
        <v>1919</v>
      </c>
      <c r="E71" s="80" t="s">
        <v>413</v>
      </c>
      <c r="F71" s="80" t="s">
        <v>542</v>
      </c>
      <c r="G71" s="80" t="s">
        <v>402</v>
      </c>
      <c r="H71" s="88">
        <v>1.74</v>
      </c>
      <c r="I71" s="80" t="s">
        <v>1616</v>
      </c>
      <c r="J71" s="80" t="s">
        <v>186</v>
      </c>
      <c r="K71" s="38">
        <v>0.05</v>
      </c>
      <c r="L71" s="38">
        <v>1.3200000000000002E-2</v>
      </c>
      <c r="M71" s="132">
        <v>7810.73</v>
      </c>
      <c r="N71" s="80">
        <v>106.48</v>
      </c>
      <c r="O71" s="104">
        <v>8.3168600000000001</v>
      </c>
      <c r="P71" s="38">
        <v>9.4932420221220849E-5</v>
      </c>
      <c r="Q71" s="38">
        <v>1.0075275141561574E-5</v>
      </c>
    </row>
    <row r="72" spans="1:17" x14ac:dyDescent="0.2">
      <c r="A72" s="30" t="s">
        <v>2281</v>
      </c>
      <c r="B72" s="38" t="s">
        <v>1834</v>
      </c>
      <c r="C72" s="38" t="s">
        <v>2146</v>
      </c>
      <c r="D72" s="38" t="s">
        <v>1204</v>
      </c>
      <c r="E72" s="80" t="s">
        <v>396</v>
      </c>
      <c r="F72" s="80" t="s">
        <v>2147</v>
      </c>
      <c r="G72" s="80" t="s">
        <v>185</v>
      </c>
      <c r="H72" s="88">
        <v>1.44</v>
      </c>
      <c r="I72" s="80" t="s">
        <v>1205</v>
      </c>
      <c r="J72" s="80" t="s">
        <v>127</v>
      </c>
      <c r="K72" s="38">
        <v>3.0461299999999997E-2</v>
      </c>
      <c r="L72" s="38">
        <v>2.9499999999999998E-2</v>
      </c>
      <c r="M72" s="132">
        <v>203729.4</v>
      </c>
      <c r="N72" s="80">
        <v>101.02</v>
      </c>
      <c r="O72" s="104">
        <v>713.32857999999999</v>
      </c>
      <c r="P72" s="38">
        <v>8.1422566343988898E-3</v>
      </c>
      <c r="Q72" s="38">
        <v>8.641460490905722E-4</v>
      </c>
    </row>
    <row r="73" spans="1:17" x14ac:dyDescent="0.2">
      <c r="A73" s="30" t="s">
        <v>2282</v>
      </c>
      <c r="B73" s="38" t="s">
        <v>1834</v>
      </c>
      <c r="C73" s="38" t="s">
        <v>1928</v>
      </c>
      <c r="D73" s="38" t="s">
        <v>1929</v>
      </c>
      <c r="E73" s="80" t="s">
        <v>401</v>
      </c>
      <c r="F73" s="80" t="s">
        <v>1930</v>
      </c>
      <c r="G73" s="80" t="s">
        <v>402</v>
      </c>
      <c r="H73" s="88">
        <v>6.56</v>
      </c>
      <c r="I73" s="80" t="s">
        <v>1616</v>
      </c>
      <c r="J73" s="80" t="s">
        <v>186</v>
      </c>
      <c r="K73" s="38">
        <v>4.8000000000000001E-2</v>
      </c>
      <c r="L73" s="38">
        <v>5.0000000000000001E-3</v>
      </c>
      <c r="M73" s="132">
        <v>271332.09000000003</v>
      </c>
      <c r="N73" s="80">
        <v>132.88999999999999</v>
      </c>
      <c r="O73" s="104">
        <v>360.57321000000002</v>
      </c>
      <c r="P73" s="38">
        <v>4.1157465067627099E-3</v>
      </c>
      <c r="Q73" s="38">
        <v>4.3680839877382349E-4</v>
      </c>
    </row>
    <row r="74" spans="1:17" x14ac:dyDescent="0.2">
      <c r="A74" s="30" t="s">
        <v>2282</v>
      </c>
      <c r="B74" s="38" t="s">
        <v>1834</v>
      </c>
      <c r="C74" s="38" t="s">
        <v>2011</v>
      </c>
      <c r="D74" s="38" t="s">
        <v>1929</v>
      </c>
      <c r="E74" s="80" t="s">
        <v>401</v>
      </c>
      <c r="F74" s="80" t="s">
        <v>531</v>
      </c>
      <c r="G74" s="80" t="s">
        <v>402</v>
      </c>
      <c r="H74" s="88">
        <v>6.42</v>
      </c>
      <c r="I74" s="80" t="s">
        <v>1616</v>
      </c>
      <c r="J74" s="80" t="s">
        <v>186</v>
      </c>
      <c r="K74" s="38">
        <v>4.8000000000000001E-2</v>
      </c>
      <c r="L74" s="38">
        <v>1.4299999999999998E-2</v>
      </c>
      <c r="M74" s="132">
        <v>445409.08</v>
      </c>
      <c r="N74" s="80">
        <v>123.95</v>
      </c>
      <c r="O74" s="104">
        <v>552.08455000000004</v>
      </c>
      <c r="P74" s="38">
        <v>6.3017439873033348E-3</v>
      </c>
      <c r="Q74" s="38">
        <v>6.6881055382141921E-4</v>
      </c>
    </row>
    <row r="75" spans="1:17" x14ac:dyDescent="0.2">
      <c r="A75" s="30" t="s">
        <v>2282</v>
      </c>
      <c r="B75" s="38" t="s">
        <v>1834</v>
      </c>
      <c r="C75" s="38" t="s">
        <v>2018</v>
      </c>
      <c r="D75" s="38" t="s">
        <v>1929</v>
      </c>
      <c r="E75" s="80" t="s">
        <v>401</v>
      </c>
      <c r="F75" s="80" t="s">
        <v>2019</v>
      </c>
      <c r="G75" s="80" t="s">
        <v>402</v>
      </c>
      <c r="H75" s="88">
        <v>6.46</v>
      </c>
      <c r="I75" s="80" t="s">
        <v>1616</v>
      </c>
      <c r="J75" s="80" t="s">
        <v>186</v>
      </c>
      <c r="K75" s="38">
        <v>4.8000000000000001E-2</v>
      </c>
      <c r="L75" s="38">
        <v>1.15E-2</v>
      </c>
      <c r="M75" s="132">
        <v>602281.67000000004</v>
      </c>
      <c r="N75" s="80">
        <v>126.17</v>
      </c>
      <c r="O75" s="104">
        <v>759.89877999999999</v>
      </c>
      <c r="P75" s="38">
        <v>8.6738300642974688E-3</v>
      </c>
      <c r="Q75" s="38">
        <v>9.2056248250384969E-4</v>
      </c>
    </row>
    <row r="76" spans="1:17" x14ac:dyDescent="0.2">
      <c r="A76" s="30" t="s">
        <v>2282</v>
      </c>
      <c r="B76" s="38" t="s">
        <v>1834</v>
      </c>
      <c r="C76" s="38" t="s">
        <v>2046</v>
      </c>
      <c r="D76" s="38" t="s">
        <v>1929</v>
      </c>
      <c r="E76" s="80" t="s">
        <v>401</v>
      </c>
      <c r="F76" s="80" t="s">
        <v>2047</v>
      </c>
      <c r="G76" s="80" t="s">
        <v>402</v>
      </c>
      <c r="H76" s="88">
        <v>6.4</v>
      </c>
      <c r="I76" s="80" t="s">
        <v>1616</v>
      </c>
      <c r="J76" s="80" t="s">
        <v>186</v>
      </c>
      <c r="K76" s="38">
        <v>4.8000000000000001E-2</v>
      </c>
      <c r="L76" s="38">
        <v>1.66E-2</v>
      </c>
      <c r="M76" s="132">
        <v>212699.13</v>
      </c>
      <c r="N76" s="80">
        <v>122.9</v>
      </c>
      <c r="O76" s="104">
        <v>261.40723000000003</v>
      </c>
      <c r="P76" s="38">
        <v>2.9838209380974711E-3</v>
      </c>
      <c r="Q76" s="38">
        <v>3.1667597702059061E-4</v>
      </c>
    </row>
    <row r="77" spans="1:17" x14ac:dyDescent="0.2">
      <c r="A77" s="30" t="s">
        <v>2282</v>
      </c>
      <c r="B77" s="38" t="s">
        <v>1834</v>
      </c>
      <c r="C77" s="38" t="s">
        <v>2052</v>
      </c>
      <c r="D77" s="38" t="s">
        <v>1929</v>
      </c>
      <c r="E77" s="80" t="s">
        <v>401</v>
      </c>
      <c r="F77" s="80" t="s">
        <v>2053</v>
      </c>
      <c r="G77" s="80" t="s">
        <v>402</v>
      </c>
      <c r="H77" s="88">
        <v>6.4</v>
      </c>
      <c r="I77" s="80" t="s">
        <v>1616</v>
      </c>
      <c r="J77" s="80" t="s">
        <v>186</v>
      </c>
      <c r="K77" s="38">
        <v>4.8000000000000001E-2</v>
      </c>
      <c r="L77" s="38">
        <v>1.6E-2</v>
      </c>
      <c r="M77" s="132">
        <v>110554.78</v>
      </c>
      <c r="N77" s="80">
        <v>122.63</v>
      </c>
      <c r="O77" s="104">
        <v>135.57332</v>
      </c>
      <c r="P77" s="38">
        <v>1.5474954952982309E-3</v>
      </c>
      <c r="Q77" s="38">
        <v>1.6423728436633207E-4</v>
      </c>
    </row>
    <row r="78" spans="1:17" x14ac:dyDescent="0.2">
      <c r="A78" s="30" t="s">
        <v>2282</v>
      </c>
      <c r="B78" s="38" t="s">
        <v>1834</v>
      </c>
      <c r="C78" s="38" t="s">
        <v>2057</v>
      </c>
      <c r="D78" s="38" t="s">
        <v>1929</v>
      </c>
      <c r="E78" s="80" t="s">
        <v>401</v>
      </c>
      <c r="F78" s="80" t="s">
        <v>2058</v>
      </c>
      <c r="G78" s="80" t="s">
        <v>402</v>
      </c>
      <c r="H78" s="88">
        <v>6.38</v>
      </c>
      <c r="I78" s="80" t="s">
        <v>1616</v>
      </c>
      <c r="J78" s="80" t="s">
        <v>186</v>
      </c>
      <c r="K78" s="38">
        <v>4.8000000000000001E-2</v>
      </c>
      <c r="L78" s="38">
        <v>1.6899999999999998E-2</v>
      </c>
      <c r="M78" s="132">
        <v>164270.28</v>
      </c>
      <c r="N78" s="80">
        <v>122.9</v>
      </c>
      <c r="O78" s="104">
        <v>201.88817</v>
      </c>
      <c r="P78" s="38">
        <v>2.3044433346399089E-3</v>
      </c>
      <c r="Q78" s="38">
        <v>2.4457293504716408E-4</v>
      </c>
    </row>
    <row r="79" spans="1:17" x14ac:dyDescent="0.2">
      <c r="A79" s="30" t="s">
        <v>2282</v>
      </c>
      <c r="B79" s="38" t="s">
        <v>1834</v>
      </c>
      <c r="C79" s="38" t="s">
        <v>2059</v>
      </c>
      <c r="D79" s="38" t="s">
        <v>1929</v>
      </c>
      <c r="E79" s="80" t="s">
        <v>401</v>
      </c>
      <c r="F79" s="80" t="s">
        <v>2058</v>
      </c>
      <c r="G79" s="80" t="s">
        <v>402</v>
      </c>
      <c r="H79" s="88">
        <v>6.38</v>
      </c>
      <c r="I79" s="80" t="s">
        <v>1616</v>
      </c>
      <c r="J79" s="80" t="s">
        <v>186</v>
      </c>
      <c r="K79" s="38">
        <v>4.8000000000000001E-2</v>
      </c>
      <c r="L79" s="38">
        <v>1.6899999999999998E-2</v>
      </c>
      <c r="M79" s="132">
        <v>21906.7</v>
      </c>
      <c r="N79" s="80">
        <v>122.9</v>
      </c>
      <c r="O79" s="104">
        <v>26.92333</v>
      </c>
      <c r="P79" s="38">
        <v>3.0731512581847018E-4</v>
      </c>
      <c r="Q79" s="38">
        <v>3.2615669552819091E-5</v>
      </c>
    </row>
    <row r="80" spans="1:17" x14ac:dyDescent="0.2">
      <c r="A80" s="30" t="s">
        <v>2283</v>
      </c>
      <c r="B80" s="38" t="s">
        <v>1834</v>
      </c>
      <c r="C80" s="38" t="s">
        <v>2065</v>
      </c>
      <c r="D80" s="38" t="s">
        <v>1961</v>
      </c>
      <c r="E80" s="80" t="s">
        <v>435</v>
      </c>
      <c r="F80" s="80" t="s">
        <v>2066</v>
      </c>
      <c r="G80" s="80" t="s">
        <v>185</v>
      </c>
      <c r="H80" s="88">
        <v>5.3</v>
      </c>
      <c r="I80" s="80" t="s">
        <v>1616</v>
      </c>
      <c r="J80" s="80" t="s">
        <v>186</v>
      </c>
      <c r="K80" s="38">
        <v>5.0999999999999997E-2</v>
      </c>
      <c r="L80" s="38">
        <v>1.7000000000000001E-2</v>
      </c>
      <c r="M80" s="132">
        <v>451154.69</v>
      </c>
      <c r="N80" s="80">
        <v>120.78</v>
      </c>
      <c r="O80" s="104">
        <v>544.90463</v>
      </c>
      <c r="P80" s="38">
        <v>6.2197891170043575E-3</v>
      </c>
      <c r="Q80" s="38">
        <v>6.6011259936572299E-4</v>
      </c>
    </row>
    <row r="81" spans="1:17" x14ac:dyDescent="0.2">
      <c r="A81" s="30" t="s">
        <v>2283</v>
      </c>
      <c r="B81" s="38" t="s">
        <v>1834</v>
      </c>
      <c r="C81" s="38" t="s">
        <v>2020</v>
      </c>
      <c r="D81" s="38" t="s">
        <v>1961</v>
      </c>
      <c r="E81" s="80" t="s">
        <v>435</v>
      </c>
      <c r="F81" s="80" t="s">
        <v>2021</v>
      </c>
      <c r="G81" s="80" t="s">
        <v>185</v>
      </c>
      <c r="H81" s="88">
        <v>5.3</v>
      </c>
      <c r="I81" s="80" t="s">
        <v>1616</v>
      </c>
      <c r="J81" s="80" t="s">
        <v>186</v>
      </c>
      <c r="K81" s="38">
        <v>5.5E-2</v>
      </c>
      <c r="L81" s="38">
        <v>1.6999999999999998E-2</v>
      </c>
      <c r="M81" s="132">
        <v>187893.5</v>
      </c>
      <c r="N81" s="80">
        <v>119.34</v>
      </c>
      <c r="O81" s="104">
        <v>224.2321</v>
      </c>
      <c r="P81" s="38">
        <v>2.5594871074283822E-3</v>
      </c>
      <c r="Q81" s="38">
        <v>2.7164099228196088E-4</v>
      </c>
    </row>
    <row r="82" spans="1:17" x14ac:dyDescent="0.2">
      <c r="A82" s="30" t="s">
        <v>2283</v>
      </c>
      <c r="B82" s="38" t="s">
        <v>1834</v>
      </c>
      <c r="C82" s="38" t="s">
        <v>2027</v>
      </c>
      <c r="D82" s="38" t="s">
        <v>1961</v>
      </c>
      <c r="E82" s="80" t="s">
        <v>435</v>
      </c>
      <c r="F82" s="80" t="s">
        <v>2028</v>
      </c>
      <c r="G82" s="80" t="s">
        <v>185</v>
      </c>
      <c r="H82" s="88">
        <v>5.3</v>
      </c>
      <c r="I82" s="80" t="s">
        <v>1616</v>
      </c>
      <c r="J82" s="80" t="s">
        <v>186</v>
      </c>
      <c r="K82" s="38">
        <v>5.0999999999999997E-2</v>
      </c>
      <c r="L82" s="38">
        <v>1.6899999999999998E-2</v>
      </c>
      <c r="M82" s="132">
        <v>367072.77</v>
      </c>
      <c r="N82" s="80">
        <v>120.3</v>
      </c>
      <c r="O82" s="104">
        <v>441.58853999999997</v>
      </c>
      <c r="P82" s="38">
        <v>5.040492306490116E-3</v>
      </c>
      <c r="Q82" s="38">
        <v>5.3495261912073406E-4</v>
      </c>
    </row>
    <row r="83" spans="1:17" x14ac:dyDescent="0.2">
      <c r="A83" s="30" t="s">
        <v>2283</v>
      </c>
      <c r="B83" s="38" t="s">
        <v>1834</v>
      </c>
      <c r="C83" s="38" t="s">
        <v>1971</v>
      </c>
      <c r="D83" s="38" t="s">
        <v>1961</v>
      </c>
      <c r="E83" s="80" t="s">
        <v>435</v>
      </c>
      <c r="F83" s="80" t="s">
        <v>1967</v>
      </c>
      <c r="G83" s="80" t="s">
        <v>185</v>
      </c>
      <c r="H83" s="88">
        <v>5.3</v>
      </c>
      <c r="I83" s="80" t="s">
        <v>1616</v>
      </c>
      <c r="J83" s="80" t="s">
        <v>186</v>
      </c>
      <c r="K83" s="38">
        <v>5.5E-2</v>
      </c>
      <c r="L83" s="38">
        <v>1.7000000000000001E-2</v>
      </c>
      <c r="M83" s="132">
        <v>137257.20000000001</v>
      </c>
      <c r="N83" s="80">
        <v>121.61</v>
      </c>
      <c r="O83" s="104">
        <v>166.91848000000002</v>
      </c>
      <c r="P83" s="38">
        <v>1.9052833985479434E-3</v>
      </c>
      <c r="Q83" s="38">
        <v>2.0220968156386461E-4</v>
      </c>
    </row>
    <row r="84" spans="1:17" x14ac:dyDescent="0.2">
      <c r="A84" s="30" t="s">
        <v>2283</v>
      </c>
      <c r="B84" s="38" t="s">
        <v>1834</v>
      </c>
      <c r="C84" s="38" t="s">
        <v>1972</v>
      </c>
      <c r="D84" s="38" t="s">
        <v>1961</v>
      </c>
      <c r="E84" s="80" t="s">
        <v>435</v>
      </c>
      <c r="F84" s="80" t="s">
        <v>1967</v>
      </c>
      <c r="G84" s="80" t="s">
        <v>185</v>
      </c>
      <c r="H84" s="88">
        <v>5.3</v>
      </c>
      <c r="I84" s="80" t="s">
        <v>1616</v>
      </c>
      <c r="J84" s="80" t="s">
        <v>186</v>
      </c>
      <c r="K84" s="38">
        <v>5.5E-2</v>
      </c>
      <c r="L84" s="38">
        <v>1.7000000000000001E-2</v>
      </c>
      <c r="M84" s="132">
        <v>252562.99</v>
      </c>
      <c r="N84" s="80">
        <v>121.61</v>
      </c>
      <c r="O84" s="104">
        <v>307.14184999999998</v>
      </c>
      <c r="P84" s="38">
        <v>3.5058566780880257E-3</v>
      </c>
      <c r="Q84" s="38">
        <v>3.7208016561998561E-4</v>
      </c>
    </row>
    <row r="85" spans="1:17" x14ac:dyDescent="0.2">
      <c r="A85" s="30" t="s">
        <v>2283</v>
      </c>
      <c r="B85" s="38" t="s">
        <v>1834</v>
      </c>
      <c r="C85" s="38" t="s">
        <v>1964</v>
      </c>
      <c r="D85" s="38" t="s">
        <v>1961</v>
      </c>
      <c r="E85" s="80" t="s">
        <v>435</v>
      </c>
      <c r="F85" s="80" t="s">
        <v>1965</v>
      </c>
      <c r="G85" s="80" t="s">
        <v>185</v>
      </c>
      <c r="H85" s="88">
        <v>5.41</v>
      </c>
      <c r="I85" s="80" t="s">
        <v>1616</v>
      </c>
      <c r="J85" s="80" t="s">
        <v>186</v>
      </c>
      <c r="K85" s="38">
        <v>5.5E-2</v>
      </c>
      <c r="L85" s="38">
        <v>5.6999999999999993E-3</v>
      </c>
      <c r="M85" s="132">
        <v>2271668.7999999998</v>
      </c>
      <c r="N85" s="80">
        <v>133.52000000000001</v>
      </c>
      <c r="O85" s="104">
        <v>3033.1321800000001</v>
      </c>
      <c r="P85" s="38">
        <v>3.4621549322492826E-2</v>
      </c>
      <c r="Q85" s="38">
        <v>3.6744205450403716E-3</v>
      </c>
    </row>
    <row r="86" spans="1:17" x14ac:dyDescent="0.2">
      <c r="A86" s="30" t="s">
        <v>2283</v>
      </c>
      <c r="B86" s="38" t="s">
        <v>1834</v>
      </c>
      <c r="C86" s="38" t="s">
        <v>1969</v>
      </c>
      <c r="D86" s="38" t="s">
        <v>1961</v>
      </c>
      <c r="E86" s="80" t="s">
        <v>435</v>
      </c>
      <c r="F86" s="80" t="s">
        <v>1967</v>
      </c>
      <c r="G86" s="80" t="s">
        <v>185</v>
      </c>
      <c r="H86" s="88">
        <v>5.3</v>
      </c>
      <c r="I86" s="80" t="s">
        <v>1616</v>
      </c>
      <c r="J86" s="80" t="s">
        <v>186</v>
      </c>
      <c r="K86" s="38">
        <v>5.5300000000000002E-2</v>
      </c>
      <c r="L86" s="38">
        <v>1.6899999999999998E-2</v>
      </c>
      <c r="M86" s="132">
        <v>334830.37</v>
      </c>
      <c r="N86" s="80">
        <v>123.31</v>
      </c>
      <c r="O86" s="104">
        <v>412.87932000000001</v>
      </c>
      <c r="P86" s="38">
        <v>4.7127922204884915E-3</v>
      </c>
      <c r="Q86" s="38">
        <v>5.0017347283239663E-4</v>
      </c>
    </row>
    <row r="87" spans="1:17" x14ac:dyDescent="0.2">
      <c r="A87" s="30" t="s">
        <v>2283</v>
      </c>
      <c r="B87" s="38" t="s">
        <v>1834</v>
      </c>
      <c r="C87" s="38" t="s">
        <v>1970</v>
      </c>
      <c r="D87" s="38" t="s">
        <v>1961</v>
      </c>
      <c r="E87" s="80" t="s">
        <v>435</v>
      </c>
      <c r="F87" s="80" t="s">
        <v>1967</v>
      </c>
      <c r="G87" s="80" t="s">
        <v>185</v>
      </c>
      <c r="H87" s="88">
        <v>5.3</v>
      </c>
      <c r="I87" s="80" t="s">
        <v>1616</v>
      </c>
      <c r="J87" s="80" t="s">
        <v>186</v>
      </c>
      <c r="K87" s="38">
        <v>5.5500000000000001E-2</v>
      </c>
      <c r="L87" s="38">
        <v>1.7000000000000001E-2</v>
      </c>
      <c r="M87" s="132">
        <v>194862.27</v>
      </c>
      <c r="N87" s="80">
        <v>123.38</v>
      </c>
      <c r="O87" s="104">
        <v>240.42106000000001</v>
      </c>
      <c r="P87" s="38">
        <v>2.7442752550784011E-3</v>
      </c>
      <c r="Q87" s="38">
        <v>2.9125274795125609E-4</v>
      </c>
    </row>
    <row r="88" spans="1:17" x14ac:dyDescent="0.2">
      <c r="A88" s="30" t="s">
        <v>2283</v>
      </c>
      <c r="B88" s="38" t="s">
        <v>1834</v>
      </c>
      <c r="C88" s="38" t="s">
        <v>1973</v>
      </c>
      <c r="D88" s="38" t="s">
        <v>1961</v>
      </c>
      <c r="E88" s="80" t="s">
        <v>435</v>
      </c>
      <c r="F88" s="80" t="s">
        <v>1967</v>
      </c>
      <c r="G88" s="80" t="s">
        <v>185</v>
      </c>
      <c r="H88" s="88">
        <v>5.16</v>
      </c>
      <c r="I88" s="80" t="s">
        <v>1616</v>
      </c>
      <c r="J88" s="80" t="s">
        <v>186</v>
      </c>
      <c r="K88" s="38">
        <v>5.5E-2</v>
      </c>
      <c r="L88" s="38">
        <v>3.1600000000000003E-2</v>
      </c>
      <c r="M88" s="132">
        <v>111997.01</v>
      </c>
      <c r="N88" s="80">
        <v>113.17</v>
      </c>
      <c r="O88" s="104">
        <v>126.74700999999999</v>
      </c>
      <c r="P88" s="38">
        <v>1.4467479812216727E-3</v>
      </c>
      <c r="Q88" s="38">
        <v>1.5354484734866959E-4</v>
      </c>
    </row>
    <row r="89" spans="1:17" x14ac:dyDescent="0.2">
      <c r="A89" s="30" t="s">
        <v>2283</v>
      </c>
      <c r="B89" s="38" t="s">
        <v>1834</v>
      </c>
      <c r="C89" s="38" t="s">
        <v>1974</v>
      </c>
      <c r="D89" s="38" t="s">
        <v>1961</v>
      </c>
      <c r="E89" s="80" t="s">
        <v>435</v>
      </c>
      <c r="F89" s="80" t="s">
        <v>1967</v>
      </c>
      <c r="G89" s="80" t="s">
        <v>185</v>
      </c>
      <c r="H89" s="88">
        <v>5.3</v>
      </c>
      <c r="I89" s="80" t="s">
        <v>1616</v>
      </c>
      <c r="J89" s="80" t="s">
        <v>186</v>
      </c>
      <c r="K89" s="38">
        <v>5.5E-2</v>
      </c>
      <c r="L89" s="38">
        <v>1.7000000000000001E-2</v>
      </c>
      <c r="M89" s="132">
        <v>141232.97</v>
      </c>
      <c r="N89" s="80">
        <v>120.57</v>
      </c>
      <c r="O89" s="104">
        <v>170.28459000000001</v>
      </c>
      <c r="P89" s="38">
        <v>1.9437057080530754E-3</v>
      </c>
      <c r="Q89" s="38">
        <v>2.0628748068598062E-4</v>
      </c>
    </row>
    <row r="90" spans="1:17" x14ac:dyDescent="0.2">
      <c r="A90" s="30" t="s">
        <v>2283</v>
      </c>
      <c r="B90" s="38" t="s">
        <v>1834</v>
      </c>
      <c r="C90" s="38" t="s">
        <v>1975</v>
      </c>
      <c r="D90" s="38" t="s">
        <v>1961</v>
      </c>
      <c r="E90" s="80" t="s">
        <v>435</v>
      </c>
      <c r="F90" s="80" t="s">
        <v>1967</v>
      </c>
      <c r="G90" s="80" t="s">
        <v>185</v>
      </c>
      <c r="H90" s="88">
        <v>5.42</v>
      </c>
      <c r="I90" s="80" t="s">
        <v>1616</v>
      </c>
      <c r="J90" s="80" t="s">
        <v>186</v>
      </c>
      <c r="K90" s="38">
        <v>5.5E-2</v>
      </c>
      <c r="L90" s="38">
        <v>5.1999999999999998E-3</v>
      </c>
      <c r="M90" s="132">
        <v>32291.34</v>
      </c>
      <c r="N90" s="80">
        <v>128.38999999999999</v>
      </c>
      <c r="O90" s="104">
        <v>41.458849999999998</v>
      </c>
      <c r="P90" s="38">
        <v>4.7323015778653985E-4</v>
      </c>
      <c r="Q90" s="38">
        <v>5.0224402094387794E-5</v>
      </c>
    </row>
    <row r="91" spans="1:17" x14ac:dyDescent="0.2">
      <c r="A91" s="30" t="s">
        <v>2283</v>
      </c>
      <c r="B91" s="38" t="s">
        <v>1834</v>
      </c>
      <c r="C91" s="38" t="s">
        <v>1976</v>
      </c>
      <c r="D91" s="38" t="s">
        <v>1961</v>
      </c>
      <c r="E91" s="80" t="s">
        <v>435</v>
      </c>
      <c r="F91" s="80" t="s">
        <v>1967</v>
      </c>
      <c r="G91" s="80" t="s">
        <v>185</v>
      </c>
      <c r="H91" s="88">
        <v>5.3</v>
      </c>
      <c r="I91" s="80" t="s">
        <v>1616</v>
      </c>
      <c r="J91" s="80" t="s">
        <v>186</v>
      </c>
      <c r="K91" s="38">
        <v>5.0999999999999997E-2</v>
      </c>
      <c r="L91" s="38">
        <v>1.6899999999999998E-2</v>
      </c>
      <c r="M91" s="132">
        <v>284970.26</v>
      </c>
      <c r="N91" s="80">
        <v>120.81</v>
      </c>
      <c r="O91" s="104">
        <v>344.27257000000003</v>
      </c>
      <c r="P91" s="38">
        <v>3.9296835928318702E-3</v>
      </c>
      <c r="Q91" s="38">
        <v>4.1706135085146527E-4</v>
      </c>
    </row>
    <row r="92" spans="1:17" x14ac:dyDescent="0.2">
      <c r="A92" s="30" t="s">
        <v>2283</v>
      </c>
      <c r="B92" s="38" t="s">
        <v>1834</v>
      </c>
      <c r="C92" s="38" t="s">
        <v>1977</v>
      </c>
      <c r="D92" s="38" t="s">
        <v>1961</v>
      </c>
      <c r="E92" s="80" t="s">
        <v>435</v>
      </c>
      <c r="F92" s="80" t="s">
        <v>1967</v>
      </c>
      <c r="G92" s="80" t="s">
        <v>185</v>
      </c>
      <c r="H92" s="88">
        <v>5.41</v>
      </c>
      <c r="I92" s="80" t="s">
        <v>1616</v>
      </c>
      <c r="J92" s="80" t="s">
        <v>186</v>
      </c>
      <c r="K92" s="38">
        <v>5.5E-2</v>
      </c>
      <c r="L92" s="38">
        <v>5.7999999999999987E-3</v>
      </c>
      <c r="M92" s="132">
        <v>77531.78</v>
      </c>
      <c r="N92" s="80">
        <v>128.80000000000001</v>
      </c>
      <c r="O92" s="104">
        <v>99.860929999999996</v>
      </c>
      <c r="P92" s="38">
        <v>1.1398580438340814E-3</v>
      </c>
      <c r="Q92" s="38">
        <v>1.2097430348018609E-4</v>
      </c>
    </row>
    <row r="93" spans="1:17" x14ac:dyDescent="0.2">
      <c r="A93" s="30" t="s">
        <v>2283</v>
      </c>
      <c r="B93" s="38" t="s">
        <v>1834</v>
      </c>
      <c r="C93" s="38" t="s">
        <v>1978</v>
      </c>
      <c r="D93" s="38" t="s">
        <v>1961</v>
      </c>
      <c r="E93" s="80" t="s">
        <v>435</v>
      </c>
      <c r="F93" s="80" t="s">
        <v>1967</v>
      </c>
      <c r="G93" s="80" t="s">
        <v>185</v>
      </c>
      <c r="H93" s="88">
        <v>5.3</v>
      </c>
      <c r="I93" s="80" t="s">
        <v>1616</v>
      </c>
      <c r="J93" s="80" t="s">
        <v>186</v>
      </c>
      <c r="K93" s="38">
        <v>5.5E-2</v>
      </c>
      <c r="L93" s="38">
        <v>1.6999999999999998E-2</v>
      </c>
      <c r="M93" s="132">
        <v>156887.67000000001</v>
      </c>
      <c r="N93" s="80">
        <v>121.13</v>
      </c>
      <c r="O93" s="104">
        <v>190.03802999999999</v>
      </c>
      <c r="P93" s="38">
        <v>2.1691804505514067E-3</v>
      </c>
      <c r="Q93" s="38">
        <v>2.3021734640361058E-4</v>
      </c>
    </row>
    <row r="94" spans="1:17" x14ac:dyDescent="0.2">
      <c r="A94" s="30" t="s">
        <v>2283</v>
      </c>
      <c r="B94" s="38" t="s">
        <v>1834</v>
      </c>
      <c r="C94" s="38" t="s">
        <v>1979</v>
      </c>
      <c r="D94" s="38" t="s">
        <v>1961</v>
      </c>
      <c r="E94" s="80" t="s">
        <v>435</v>
      </c>
      <c r="F94" s="80" t="s">
        <v>1967</v>
      </c>
      <c r="G94" s="80" t="s">
        <v>185</v>
      </c>
      <c r="H94" s="88">
        <v>5.3</v>
      </c>
      <c r="I94" s="80" t="s">
        <v>1616</v>
      </c>
      <c r="J94" s="80" t="s">
        <v>186</v>
      </c>
      <c r="K94" s="38">
        <v>5.5E-2</v>
      </c>
      <c r="L94" s="38">
        <v>1.6999999999999998E-2</v>
      </c>
      <c r="M94" s="132">
        <v>243198.13</v>
      </c>
      <c r="N94" s="80">
        <v>121.36</v>
      </c>
      <c r="O94" s="104">
        <v>295.14524999999998</v>
      </c>
      <c r="P94" s="38">
        <v>3.3689220329904896E-3</v>
      </c>
      <c r="Q94" s="38">
        <v>3.5754715126561901E-4</v>
      </c>
    </row>
    <row r="95" spans="1:17" x14ac:dyDescent="0.2">
      <c r="A95" s="30" t="s">
        <v>2283</v>
      </c>
      <c r="B95" s="38" t="s">
        <v>1834</v>
      </c>
      <c r="C95" s="38" t="s">
        <v>1980</v>
      </c>
      <c r="D95" s="38" t="s">
        <v>1961</v>
      </c>
      <c r="E95" s="80" t="s">
        <v>435</v>
      </c>
      <c r="F95" s="80" t="s">
        <v>1967</v>
      </c>
      <c r="G95" s="80" t="s">
        <v>185</v>
      </c>
      <c r="H95" s="88">
        <v>5.41</v>
      </c>
      <c r="I95" s="80" t="s">
        <v>1616</v>
      </c>
      <c r="J95" s="80" t="s">
        <v>186</v>
      </c>
      <c r="K95" s="38">
        <v>5.5E-2</v>
      </c>
      <c r="L95" s="38">
        <v>6.3E-3</v>
      </c>
      <c r="M95" s="132">
        <v>106452.56</v>
      </c>
      <c r="N95" s="80">
        <v>128.22</v>
      </c>
      <c r="O95" s="104">
        <v>136.49347</v>
      </c>
      <c r="P95" s="38">
        <v>1.5579985056250318E-3</v>
      </c>
      <c r="Q95" s="38">
        <v>1.6535197962650334E-4</v>
      </c>
    </row>
    <row r="96" spans="1:17" x14ac:dyDescent="0.2">
      <c r="A96" s="30" t="s">
        <v>2283</v>
      </c>
      <c r="B96" s="38" t="s">
        <v>1834</v>
      </c>
      <c r="C96" s="38" t="s">
        <v>1981</v>
      </c>
      <c r="D96" s="38" t="s">
        <v>1961</v>
      </c>
      <c r="E96" s="80" t="s">
        <v>435</v>
      </c>
      <c r="F96" s="80" t="s">
        <v>1967</v>
      </c>
      <c r="G96" s="80" t="s">
        <v>185</v>
      </c>
      <c r="H96" s="88">
        <v>5.4</v>
      </c>
      <c r="I96" s="80" t="s">
        <v>1616</v>
      </c>
      <c r="J96" s="80" t="s">
        <v>186</v>
      </c>
      <c r="K96" s="38">
        <v>5.5E-2</v>
      </c>
      <c r="L96" s="38">
        <v>6.9999999999999993E-3</v>
      </c>
      <c r="M96" s="132">
        <v>38989.910000000003</v>
      </c>
      <c r="N96" s="80">
        <v>127.19</v>
      </c>
      <c r="O96" s="104">
        <v>49.591260000000005</v>
      </c>
      <c r="P96" s="38">
        <v>5.6605718187150204E-4</v>
      </c>
      <c r="Q96" s="38">
        <v>6.0076229384252816E-5</v>
      </c>
    </row>
    <row r="97" spans="1:17" x14ac:dyDescent="0.2">
      <c r="A97" s="30" t="s">
        <v>2283</v>
      </c>
      <c r="B97" s="38" t="s">
        <v>1834</v>
      </c>
      <c r="C97" s="38" t="s">
        <v>1982</v>
      </c>
      <c r="D97" s="38" t="s">
        <v>1961</v>
      </c>
      <c r="E97" s="80" t="s">
        <v>435</v>
      </c>
      <c r="F97" s="80" t="s">
        <v>1967</v>
      </c>
      <c r="G97" s="80" t="s">
        <v>185</v>
      </c>
      <c r="H97" s="88">
        <v>5.4</v>
      </c>
      <c r="I97" s="80" t="s">
        <v>1616</v>
      </c>
      <c r="J97" s="80" t="s">
        <v>186</v>
      </c>
      <c r="K97" s="38">
        <v>5.5E-2</v>
      </c>
      <c r="L97" s="38">
        <v>7.0999999999999995E-3</v>
      </c>
      <c r="M97" s="132">
        <v>64231.5</v>
      </c>
      <c r="N97" s="80">
        <v>127.01</v>
      </c>
      <c r="O97" s="104">
        <v>81.580420000000004</v>
      </c>
      <c r="P97" s="38">
        <v>9.3119599383225033E-4</v>
      </c>
      <c r="Q97" s="38">
        <v>9.8828786063989626E-5</v>
      </c>
    </row>
    <row r="98" spans="1:17" x14ac:dyDescent="0.2">
      <c r="A98" s="30" t="s">
        <v>2283</v>
      </c>
      <c r="B98" s="38" t="s">
        <v>1834</v>
      </c>
      <c r="C98" s="38" t="s">
        <v>1983</v>
      </c>
      <c r="D98" s="38" t="s">
        <v>1961</v>
      </c>
      <c r="E98" s="80" t="s">
        <v>435</v>
      </c>
      <c r="F98" s="80" t="s">
        <v>1967</v>
      </c>
      <c r="G98" s="80" t="s">
        <v>185</v>
      </c>
      <c r="H98" s="88">
        <v>5.37</v>
      </c>
      <c r="I98" s="80" t="s">
        <v>1616</v>
      </c>
      <c r="J98" s="80" t="s">
        <v>186</v>
      </c>
      <c r="K98" s="38">
        <v>5.5E-2</v>
      </c>
      <c r="L98" s="38">
        <v>1.0100000000000001E-2</v>
      </c>
      <c r="M98" s="132">
        <v>56408.31</v>
      </c>
      <c r="N98" s="80">
        <v>123.99</v>
      </c>
      <c r="O98" s="104">
        <v>69.940660000000008</v>
      </c>
      <c r="P98" s="38">
        <v>7.9833448268571696E-4</v>
      </c>
      <c r="Q98" s="38">
        <v>8.4728057594141295E-5</v>
      </c>
    </row>
    <row r="99" spans="1:17" x14ac:dyDescent="0.2">
      <c r="A99" s="30" t="s">
        <v>2283</v>
      </c>
      <c r="B99" s="38" t="s">
        <v>1834</v>
      </c>
      <c r="C99" s="38" t="s">
        <v>1984</v>
      </c>
      <c r="D99" s="38" t="s">
        <v>1961</v>
      </c>
      <c r="E99" s="80" t="s">
        <v>435</v>
      </c>
      <c r="F99" s="80" t="s">
        <v>1967</v>
      </c>
      <c r="G99" s="80" t="s">
        <v>185</v>
      </c>
      <c r="H99" s="88">
        <v>5.13</v>
      </c>
      <c r="I99" s="80" t="s">
        <v>1616</v>
      </c>
      <c r="J99" s="80" t="s">
        <v>186</v>
      </c>
      <c r="K99" s="38">
        <v>5.5E-2</v>
      </c>
      <c r="L99" s="38">
        <v>3.4500000000000003E-2</v>
      </c>
      <c r="M99" s="132">
        <v>175861.55</v>
      </c>
      <c r="N99" s="80">
        <v>109.19</v>
      </c>
      <c r="O99" s="104">
        <v>192.02322000000001</v>
      </c>
      <c r="P99" s="38">
        <v>2.1918403115204462E-3</v>
      </c>
      <c r="Q99" s="38">
        <v>2.3262226069317138E-4</v>
      </c>
    </row>
    <row r="100" spans="1:17" x14ac:dyDescent="0.2">
      <c r="A100" s="30" t="s">
        <v>2283</v>
      </c>
      <c r="B100" s="38" t="s">
        <v>1834</v>
      </c>
      <c r="C100" s="38" t="s">
        <v>1985</v>
      </c>
      <c r="D100" s="38" t="s">
        <v>1961</v>
      </c>
      <c r="E100" s="80" t="s">
        <v>435</v>
      </c>
      <c r="F100" s="80" t="s">
        <v>1967</v>
      </c>
      <c r="G100" s="80" t="s">
        <v>185</v>
      </c>
      <c r="H100" s="88">
        <v>5.13</v>
      </c>
      <c r="I100" s="80" t="s">
        <v>1616</v>
      </c>
      <c r="J100" s="80" t="s">
        <v>186</v>
      </c>
      <c r="K100" s="38">
        <v>5.5E-2</v>
      </c>
      <c r="L100" s="38">
        <v>3.4500000000000003E-2</v>
      </c>
      <c r="M100" s="132">
        <v>128677.08</v>
      </c>
      <c r="N100" s="80">
        <v>109.19</v>
      </c>
      <c r="O100" s="104">
        <v>140.5025</v>
      </c>
      <c r="P100" s="38">
        <v>1.6037593962303178E-3</v>
      </c>
      <c r="Q100" s="38">
        <v>1.7020862988883486E-4</v>
      </c>
    </row>
    <row r="101" spans="1:17" x14ac:dyDescent="0.2">
      <c r="A101" s="30" t="s">
        <v>2283</v>
      </c>
      <c r="B101" s="38" t="s">
        <v>1834</v>
      </c>
      <c r="C101" s="38" t="s">
        <v>1960</v>
      </c>
      <c r="D101" s="38" t="s">
        <v>1961</v>
      </c>
      <c r="E101" s="80" t="s">
        <v>435</v>
      </c>
      <c r="F101" s="80" t="s">
        <v>1962</v>
      </c>
      <c r="G101" s="80" t="s">
        <v>185</v>
      </c>
      <c r="H101" s="88">
        <v>5.35</v>
      </c>
      <c r="I101" s="80" t="s">
        <v>1616</v>
      </c>
      <c r="J101" s="80" t="s">
        <v>186</v>
      </c>
      <c r="K101" s="38">
        <v>5.5E-2</v>
      </c>
      <c r="L101" s="38">
        <v>1.21E-2</v>
      </c>
      <c r="M101" s="132">
        <v>62743.53</v>
      </c>
      <c r="N101" s="80">
        <v>122.49</v>
      </c>
      <c r="O101" s="104">
        <v>76.85454</v>
      </c>
      <c r="P101" s="38">
        <v>8.7725265150412845E-4</v>
      </c>
      <c r="Q101" s="38">
        <v>9.3103723806598851E-5</v>
      </c>
    </row>
    <row r="102" spans="1:17" x14ac:dyDescent="0.2">
      <c r="A102" s="30" t="s">
        <v>2283</v>
      </c>
      <c r="B102" s="38" t="s">
        <v>1834</v>
      </c>
      <c r="C102" s="38" t="s">
        <v>1986</v>
      </c>
      <c r="D102" s="38" t="s">
        <v>1961</v>
      </c>
      <c r="E102" s="80" t="s">
        <v>435</v>
      </c>
      <c r="F102" s="80" t="s">
        <v>503</v>
      </c>
      <c r="G102" s="80" t="s">
        <v>185</v>
      </c>
      <c r="H102" s="88">
        <v>5.34</v>
      </c>
      <c r="I102" s="80" t="s">
        <v>1616</v>
      </c>
      <c r="J102" s="80" t="s">
        <v>186</v>
      </c>
      <c r="K102" s="38">
        <v>5.5E-2</v>
      </c>
      <c r="L102" s="38">
        <v>1.26E-2</v>
      </c>
      <c r="M102" s="132">
        <v>16203.92</v>
      </c>
      <c r="N102" s="80">
        <v>122.12</v>
      </c>
      <c r="O102" s="104">
        <v>19.788220000000003</v>
      </c>
      <c r="P102" s="38">
        <v>2.2587173722654546E-4</v>
      </c>
      <c r="Q102" s="38">
        <v>2.3971999175380083E-5</v>
      </c>
    </row>
    <row r="103" spans="1:17" x14ac:dyDescent="0.2">
      <c r="A103" s="30" t="s">
        <v>2283</v>
      </c>
      <c r="B103" s="38" t="s">
        <v>1834</v>
      </c>
      <c r="C103" s="38" t="s">
        <v>1989</v>
      </c>
      <c r="D103" s="38" t="s">
        <v>1961</v>
      </c>
      <c r="E103" s="80" t="s">
        <v>435</v>
      </c>
      <c r="F103" s="80" t="s">
        <v>1990</v>
      </c>
      <c r="G103" s="80" t="s">
        <v>185</v>
      </c>
      <c r="H103" s="88">
        <v>5.3</v>
      </c>
      <c r="I103" s="80" t="s">
        <v>1616</v>
      </c>
      <c r="J103" s="80" t="s">
        <v>186</v>
      </c>
      <c r="K103" s="38">
        <v>5.5E-2</v>
      </c>
      <c r="L103" s="38">
        <v>1.7000000000000001E-2</v>
      </c>
      <c r="M103" s="132">
        <v>184350.17</v>
      </c>
      <c r="N103" s="80">
        <v>119.34</v>
      </c>
      <c r="O103" s="104">
        <v>220.00349</v>
      </c>
      <c r="P103" s="38">
        <v>2.5112198308995409E-3</v>
      </c>
      <c r="Q103" s="38">
        <v>2.6651833671046407E-4</v>
      </c>
    </row>
    <row r="104" spans="1:17" x14ac:dyDescent="0.2">
      <c r="A104" s="30" t="s">
        <v>2283</v>
      </c>
      <c r="B104" s="38" t="s">
        <v>1834</v>
      </c>
      <c r="C104" s="38" t="s">
        <v>1991</v>
      </c>
      <c r="D104" s="38" t="s">
        <v>1961</v>
      </c>
      <c r="E104" s="80" t="s">
        <v>435</v>
      </c>
      <c r="F104" s="80" t="s">
        <v>1992</v>
      </c>
      <c r="G104" s="80" t="s">
        <v>185</v>
      </c>
      <c r="H104" s="88">
        <v>5.3</v>
      </c>
      <c r="I104" s="80" t="s">
        <v>1616</v>
      </c>
      <c r="J104" s="80" t="s">
        <v>186</v>
      </c>
      <c r="K104" s="38">
        <v>5.5E-2</v>
      </c>
      <c r="L104" s="38">
        <v>1.7000000000000001E-2</v>
      </c>
      <c r="M104" s="132">
        <v>35657.29</v>
      </c>
      <c r="N104" s="80">
        <v>119.34</v>
      </c>
      <c r="O104" s="104">
        <v>42.553400000000003</v>
      </c>
      <c r="P104" s="38">
        <v>4.8572384898167085E-4</v>
      </c>
      <c r="Q104" s="38">
        <v>5.1550370357193257E-5</v>
      </c>
    </row>
    <row r="105" spans="1:17" x14ac:dyDescent="0.2">
      <c r="A105" s="30" t="s">
        <v>2283</v>
      </c>
      <c r="B105" s="38" t="s">
        <v>1834</v>
      </c>
      <c r="C105" s="38" t="s">
        <v>1993</v>
      </c>
      <c r="D105" s="38" t="s">
        <v>1961</v>
      </c>
      <c r="E105" s="80" t="s">
        <v>435</v>
      </c>
      <c r="F105" s="80" t="s">
        <v>1994</v>
      </c>
      <c r="G105" s="80" t="s">
        <v>185</v>
      </c>
      <c r="H105" s="88">
        <v>5.3</v>
      </c>
      <c r="I105" s="80" t="s">
        <v>1616</v>
      </c>
      <c r="J105" s="80" t="s">
        <v>186</v>
      </c>
      <c r="K105" s="38">
        <v>5.5E-2</v>
      </c>
      <c r="L105" s="38">
        <v>1.7000000000000001E-2</v>
      </c>
      <c r="M105" s="132">
        <v>34319.89</v>
      </c>
      <c r="N105" s="80">
        <v>119.69</v>
      </c>
      <c r="O105" s="104">
        <v>41.077469999999998</v>
      </c>
      <c r="P105" s="38">
        <v>4.6887691312160992E-4</v>
      </c>
      <c r="Q105" s="38">
        <v>4.9762387772457552E-5</v>
      </c>
    </row>
    <row r="106" spans="1:17" x14ac:dyDescent="0.2">
      <c r="A106" s="30" t="s">
        <v>2283</v>
      </c>
      <c r="B106" s="38" t="s">
        <v>1834</v>
      </c>
      <c r="C106" s="38" t="s">
        <v>1995</v>
      </c>
      <c r="D106" s="38" t="s">
        <v>1961</v>
      </c>
      <c r="E106" s="80" t="s">
        <v>435</v>
      </c>
      <c r="F106" s="80" t="s">
        <v>1996</v>
      </c>
      <c r="G106" s="80" t="s">
        <v>185</v>
      </c>
      <c r="H106" s="88">
        <v>5.3</v>
      </c>
      <c r="I106" s="80" t="s">
        <v>1616</v>
      </c>
      <c r="J106" s="80" t="s">
        <v>186</v>
      </c>
      <c r="K106" s="38">
        <v>5.5E-2</v>
      </c>
      <c r="L106" s="38">
        <v>1.7000000000000001E-2</v>
      </c>
      <c r="M106" s="132">
        <v>68349.83</v>
      </c>
      <c r="N106" s="80">
        <v>119.91</v>
      </c>
      <c r="O106" s="104">
        <v>81.958280000000002</v>
      </c>
      <c r="P106" s="38">
        <v>9.3550905961726897E-4</v>
      </c>
      <c r="Q106" s="38">
        <v>9.9286536160178617E-5</v>
      </c>
    </row>
    <row r="107" spans="1:17" x14ac:dyDescent="0.2">
      <c r="A107" s="30" t="s">
        <v>2283</v>
      </c>
      <c r="B107" s="38" t="s">
        <v>1834</v>
      </c>
      <c r="C107" s="38" t="s">
        <v>1966</v>
      </c>
      <c r="D107" s="38" t="s">
        <v>1961</v>
      </c>
      <c r="E107" s="80" t="s">
        <v>435</v>
      </c>
      <c r="F107" s="80" t="s">
        <v>1967</v>
      </c>
      <c r="G107" s="80" t="s">
        <v>185</v>
      </c>
      <c r="H107" s="88">
        <v>5.3</v>
      </c>
      <c r="I107" s="80" t="s">
        <v>1616</v>
      </c>
      <c r="J107" s="80" t="s">
        <v>186</v>
      </c>
      <c r="K107" s="38">
        <v>5.5899999999999998E-2</v>
      </c>
      <c r="L107" s="38">
        <v>1.6899999999999998E-2</v>
      </c>
      <c r="M107" s="132">
        <v>88503.45</v>
      </c>
      <c r="N107" s="80">
        <v>123.53</v>
      </c>
      <c r="O107" s="104">
        <v>109.32831</v>
      </c>
      <c r="P107" s="38">
        <v>1.2479230222699313E-3</v>
      </c>
      <c r="Q107" s="38">
        <v>1.3244335049669438E-4</v>
      </c>
    </row>
    <row r="108" spans="1:17" x14ac:dyDescent="0.2">
      <c r="A108" s="30" t="s">
        <v>2283</v>
      </c>
      <c r="B108" s="38" t="s">
        <v>1834</v>
      </c>
      <c r="C108" s="38" t="s">
        <v>2001</v>
      </c>
      <c r="D108" s="38" t="s">
        <v>1961</v>
      </c>
      <c r="E108" s="80" t="s">
        <v>435</v>
      </c>
      <c r="F108" s="80" t="s">
        <v>2002</v>
      </c>
      <c r="G108" s="80" t="s">
        <v>185</v>
      </c>
      <c r="H108" s="88">
        <v>5.3</v>
      </c>
      <c r="I108" s="80" t="s">
        <v>1616</v>
      </c>
      <c r="J108" s="80" t="s">
        <v>186</v>
      </c>
      <c r="K108" s="38">
        <v>5.5E-2</v>
      </c>
      <c r="L108" s="38">
        <v>1.7000000000000001E-2</v>
      </c>
      <c r="M108" s="132">
        <v>43029.59</v>
      </c>
      <c r="N108" s="80">
        <v>119.46</v>
      </c>
      <c r="O108" s="104">
        <v>51.40314</v>
      </c>
      <c r="P108" s="38">
        <v>5.8673880372763832E-4</v>
      </c>
      <c r="Q108" s="38">
        <v>6.2271191127445861E-5</v>
      </c>
    </row>
    <row r="109" spans="1:17" x14ac:dyDescent="0.2">
      <c r="A109" s="30" t="s">
        <v>2283</v>
      </c>
      <c r="B109" s="38" t="s">
        <v>1834</v>
      </c>
      <c r="C109" s="38" t="s">
        <v>2003</v>
      </c>
      <c r="D109" s="38" t="s">
        <v>1961</v>
      </c>
      <c r="E109" s="80" t="s">
        <v>435</v>
      </c>
      <c r="F109" s="80" t="s">
        <v>2004</v>
      </c>
      <c r="G109" s="80" t="s">
        <v>185</v>
      </c>
      <c r="H109" s="88">
        <v>5.3</v>
      </c>
      <c r="I109" s="80" t="s">
        <v>1616</v>
      </c>
      <c r="J109" s="80" t="s">
        <v>186</v>
      </c>
      <c r="K109" s="38">
        <v>5.5E-2</v>
      </c>
      <c r="L109" s="38">
        <v>1.6999999999999998E-2</v>
      </c>
      <c r="M109" s="132">
        <v>24193.38</v>
      </c>
      <c r="N109" s="80">
        <v>119.35</v>
      </c>
      <c r="O109" s="104">
        <v>28.874790000000001</v>
      </c>
      <c r="P109" s="38">
        <v>3.2958997723654188E-4</v>
      </c>
      <c r="Q109" s="38">
        <v>3.4979722383785553E-5</v>
      </c>
    </row>
    <row r="110" spans="1:17" x14ac:dyDescent="0.2">
      <c r="A110" s="30" t="s">
        <v>2283</v>
      </c>
      <c r="B110" s="38" t="s">
        <v>1834</v>
      </c>
      <c r="C110" s="38" t="s">
        <v>2008</v>
      </c>
      <c r="D110" s="38" t="s">
        <v>1961</v>
      </c>
      <c r="E110" s="80" t="s">
        <v>435</v>
      </c>
      <c r="F110" s="80" t="s">
        <v>2009</v>
      </c>
      <c r="G110" s="80" t="s">
        <v>185</v>
      </c>
      <c r="H110" s="88">
        <v>5.3</v>
      </c>
      <c r="I110" s="80" t="s">
        <v>1616</v>
      </c>
      <c r="J110" s="80" t="s">
        <v>186</v>
      </c>
      <c r="K110" s="38">
        <v>5.5E-2</v>
      </c>
      <c r="L110" s="38">
        <v>1.7000000000000001E-2</v>
      </c>
      <c r="M110" s="132">
        <v>71924.639999999999</v>
      </c>
      <c r="N110" s="80">
        <v>119.35</v>
      </c>
      <c r="O110" s="104">
        <v>85.84205</v>
      </c>
      <c r="P110" s="38">
        <v>9.7984017564934972E-4</v>
      </c>
      <c r="Q110" s="38">
        <v>1.0399144298036588E-4</v>
      </c>
    </row>
    <row r="111" spans="1:17" x14ac:dyDescent="0.2">
      <c r="A111" s="30" t="s">
        <v>2283</v>
      </c>
      <c r="B111" s="38" t="s">
        <v>1834</v>
      </c>
      <c r="C111" s="38" t="s">
        <v>2013</v>
      </c>
      <c r="D111" s="38" t="s">
        <v>1961</v>
      </c>
      <c r="E111" s="80" t="s">
        <v>435</v>
      </c>
      <c r="F111" s="80" t="s">
        <v>2014</v>
      </c>
      <c r="G111" s="80" t="s">
        <v>185</v>
      </c>
      <c r="H111" s="88">
        <v>5.3</v>
      </c>
      <c r="I111" s="80" t="s">
        <v>1616</v>
      </c>
      <c r="J111" s="80" t="s">
        <v>186</v>
      </c>
      <c r="K111" s="38">
        <v>5.5E-2</v>
      </c>
      <c r="L111" s="38">
        <v>1.6999999999999998E-2</v>
      </c>
      <c r="M111" s="132">
        <v>28230.23</v>
      </c>
      <c r="N111" s="80">
        <v>119.35</v>
      </c>
      <c r="O111" s="104">
        <v>33.692769999999996</v>
      </c>
      <c r="P111" s="38">
        <v>3.8458459082597792E-4</v>
      </c>
      <c r="Q111" s="38">
        <v>4.0816357138553679E-5</v>
      </c>
    </row>
    <row r="112" spans="1:17" x14ac:dyDescent="0.2">
      <c r="A112" s="30" t="s">
        <v>2283</v>
      </c>
      <c r="B112" s="38" t="s">
        <v>1834</v>
      </c>
      <c r="C112" s="38" t="s">
        <v>1968</v>
      </c>
      <c r="D112" s="38" t="s">
        <v>1961</v>
      </c>
      <c r="E112" s="80" t="s">
        <v>435</v>
      </c>
      <c r="F112" s="80" t="s">
        <v>1967</v>
      </c>
      <c r="G112" s="80" t="s">
        <v>185</v>
      </c>
      <c r="H112" s="88">
        <v>5.41</v>
      </c>
      <c r="I112" s="80" t="s">
        <v>1616</v>
      </c>
      <c r="J112" s="80" t="s">
        <v>186</v>
      </c>
      <c r="K112" s="38">
        <v>5.6600000000000004E-2</v>
      </c>
      <c r="L112" s="38">
        <v>5.000000000000001E-3</v>
      </c>
      <c r="M112" s="132">
        <v>90801.71</v>
      </c>
      <c r="N112" s="80">
        <v>132.16</v>
      </c>
      <c r="O112" s="104">
        <v>120.00353</v>
      </c>
      <c r="P112" s="38">
        <v>1.3697748354535104E-3</v>
      </c>
      <c r="Q112" s="38">
        <v>1.4537560842777666E-4</v>
      </c>
    </row>
    <row r="113" spans="1:17" x14ac:dyDescent="0.2">
      <c r="A113" s="30" t="s">
        <v>2284</v>
      </c>
      <c r="B113" s="38" t="s">
        <v>180</v>
      </c>
      <c r="C113" s="38" t="s">
        <v>2142</v>
      </c>
      <c r="D113" s="38" t="s">
        <v>2140</v>
      </c>
      <c r="E113" s="80" t="s">
        <v>435</v>
      </c>
      <c r="F113" s="80" t="s">
        <v>2141</v>
      </c>
      <c r="G113" s="80" t="s">
        <v>185</v>
      </c>
      <c r="H113" s="88">
        <v>10.23</v>
      </c>
      <c r="I113" s="80" t="s">
        <v>629</v>
      </c>
      <c r="J113" s="80" t="s">
        <v>186</v>
      </c>
      <c r="K113" s="38">
        <v>2.98E-2</v>
      </c>
      <c r="L113" s="38">
        <v>2.4E-2</v>
      </c>
      <c r="M113" s="132">
        <v>1836637.03</v>
      </c>
      <c r="N113" s="80">
        <v>106.19</v>
      </c>
      <c r="O113" s="104">
        <v>1950.3248600000002</v>
      </c>
      <c r="P113" s="38">
        <v>2.2261894414167573E-2</v>
      </c>
      <c r="Q113" s="38">
        <v>2.3626776908505804E-3</v>
      </c>
    </row>
    <row r="114" spans="1:17" x14ac:dyDescent="0.2">
      <c r="A114" s="30" t="s">
        <v>2285</v>
      </c>
      <c r="B114" s="38" t="s">
        <v>1834</v>
      </c>
      <c r="C114" s="38" t="s">
        <v>2148</v>
      </c>
      <c r="D114" s="38" t="s">
        <v>2149</v>
      </c>
      <c r="E114" s="80" t="s">
        <v>401</v>
      </c>
      <c r="F114" s="80" t="s">
        <v>2150</v>
      </c>
      <c r="G114" s="80" t="s">
        <v>402</v>
      </c>
      <c r="H114" s="88">
        <v>2.65</v>
      </c>
      <c r="I114" s="80" t="s">
        <v>629</v>
      </c>
      <c r="J114" s="80" t="s">
        <v>127</v>
      </c>
      <c r="K114" s="38">
        <v>2.5461299999999999E-2</v>
      </c>
      <c r="L114" s="38">
        <v>2.9100000000000004E-2</v>
      </c>
      <c r="M114" s="132">
        <v>127305.84</v>
      </c>
      <c r="N114" s="80">
        <v>99.22</v>
      </c>
      <c r="O114" s="104">
        <v>437.80034999999998</v>
      </c>
      <c r="P114" s="38">
        <v>4.9972521840210803E-3</v>
      </c>
      <c r="Q114" s="38">
        <v>5.3036350056655474E-4</v>
      </c>
    </row>
    <row r="115" spans="1:17" x14ac:dyDescent="0.2">
      <c r="A115" s="30" t="s">
        <v>2285</v>
      </c>
      <c r="B115" s="38" t="s">
        <v>1834</v>
      </c>
      <c r="C115" s="38" t="s">
        <v>2172</v>
      </c>
      <c r="D115" s="38" t="s">
        <v>2149</v>
      </c>
      <c r="E115" s="80" t="s">
        <v>401</v>
      </c>
      <c r="F115" s="80" t="s">
        <v>2171</v>
      </c>
      <c r="G115" s="80" t="s">
        <v>402</v>
      </c>
      <c r="H115" s="88">
        <v>5.75</v>
      </c>
      <c r="I115" s="80" t="s">
        <v>629</v>
      </c>
      <c r="J115" s="80" t="s">
        <v>128</v>
      </c>
      <c r="K115" s="38">
        <v>8.8699995231628411E-3</v>
      </c>
      <c r="L115" s="38">
        <v>1.0800000000000001E-2</v>
      </c>
      <c r="M115" s="132">
        <v>5007.5600000000004</v>
      </c>
      <c r="N115" s="80">
        <v>99.04</v>
      </c>
      <c r="O115" s="104">
        <v>19.256720000000001</v>
      </c>
      <c r="P115" s="38">
        <v>2.1980495464903678E-4</v>
      </c>
      <c r="Q115" s="38">
        <v>2.3328125317008053E-5</v>
      </c>
    </row>
    <row r="116" spans="1:17" x14ac:dyDescent="0.2">
      <c r="A116" s="30" t="s">
        <v>2285</v>
      </c>
      <c r="B116" s="38" t="s">
        <v>1834</v>
      </c>
      <c r="C116" s="38" t="s">
        <v>2170</v>
      </c>
      <c r="D116" s="38" t="s">
        <v>2149</v>
      </c>
      <c r="E116" s="80" t="s">
        <v>401</v>
      </c>
      <c r="F116" s="80" t="s">
        <v>2171</v>
      </c>
      <c r="G116" s="80" t="s">
        <v>402</v>
      </c>
      <c r="H116" s="88">
        <v>5.73</v>
      </c>
      <c r="I116" s="80" t="s">
        <v>629</v>
      </c>
      <c r="J116" s="80" t="s">
        <v>128</v>
      </c>
      <c r="K116" s="38">
        <v>8.369999999999999E-3</v>
      </c>
      <c r="L116" s="38">
        <v>1.1899999999999997E-2</v>
      </c>
      <c r="M116" s="132">
        <v>150881.06</v>
      </c>
      <c r="N116" s="80">
        <v>98.17</v>
      </c>
      <c r="O116" s="104">
        <v>575.12009</v>
      </c>
      <c r="P116" s="38">
        <v>6.5646821109825518E-3</v>
      </c>
      <c r="Q116" s="38">
        <v>6.96716446614426E-4</v>
      </c>
    </row>
    <row r="117" spans="1:17" x14ac:dyDescent="0.2">
      <c r="A117" s="30" t="s">
        <v>2285</v>
      </c>
      <c r="B117" s="38" t="s">
        <v>180</v>
      </c>
      <c r="C117" s="38" t="s">
        <v>2173</v>
      </c>
      <c r="D117" s="38" t="s">
        <v>2149</v>
      </c>
      <c r="E117" s="80" t="s">
        <v>401</v>
      </c>
      <c r="F117" s="80" t="s">
        <v>2174</v>
      </c>
      <c r="G117" s="80" t="s">
        <v>402</v>
      </c>
      <c r="H117" s="88">
        <v>5.73</v>
      </c>
      <c r="I117" s="80" t="s">
        <v>629</v>
      </c>
      <c r="J117" s="80" t="s">
        <v>128</v>
      </c>
      <c r="K117" s="38">
        <v>8.369999999999999E-3</v>
      </c>
      <c r="L117" s="38">
        <v>1.1899999999999997E-2</v>
      </c>
      <c r="M117" s="132">
        <v>67085.52</v>
      </c>
      <c r="N117" s="80">
        <v>98.17</v>
      </c>
      <c r="O117" s="104">
        <v>255.71289999999999</v>
      </c>
      <c r="P117" s="38">
        <v>2.9188232672892199E-3</v>
      </c>
      <c r="Q117" s="38">
        <v>3.0977770754186322E-4</v>
      </c>
    </row>
    <row r="118" spans="1:17" x14ac:dyDescent="0.2">
      <c r="A118" s="30" t="s">
        <v>2286</v>
      </c>
      <c r="B118" s="38" t="s">
        <v>1834</v>
      </c>
      <c r="C118" s="38" t="s">
        <v>1912</v>
      </c>
      <c r="D118" s="38" t="s">
        <v>1913</v>
      </c>
      <c r="E118" s="80" t="s">
        <v>401</v>
      </c>
      <c r="F118" s="80" t="s">
        <v>1914</v>
      </c>
      <c r="G118" s="80" t="s">
        <v>402</v>
      </c>
      <c r="H118" s="88">
        <v>3.89</v>
      </c>
      <c r="I118" s="80" t="s">
        <v>629</v>
      </c>
      <c r="J118" s="80" t="s">
        <v>186</v>
      </c>
      <c r="K118" s="38">
        <v>5.5E-2</v>
      </c>
      <c r="L118" s="38">
        <v>3.2199999999999999E-2</v>
      </c>
      <c r="M118" s="132">
        <v>685107.41</v>
      </c>
      <c r="N118" s="80">
        <v>129.01</v>
      </c>
      <c r="O118" s="104">
        <v>883.85706000000005</v>
      </c>
      <c r="P118" s="38">
        <v>1.0088746213764908E-2</v>
      </c>
      <c r="Q118" s="38">
        <v>1.0707289848947436E-3</v>
      </c>
    </row>
    <row r="119" spans="1:17" x14ac:dyDescent="0.2">
      <c r="A119" s="30" t="s">
        <v>2286</v>
      </c>
      <c r="B119" s="38" t="s">
        <v>1834</v>
      </c>
      <c r="C119" s="38" t="s">
        <v>2054</v>
      </c>
      <c r="D119" s="38" t="s">
        <v>1913</v>
      </c>
      <c r="E119" s="80" t="s">
        <v>401</v>
      </c>
      <c r="F119" s="80" t="s">
        <v>2055</v>
      </c>
      <c r="G119" s="80" t="s">
        <v>402</v>
      </c>
      <c r="H119" s="88">
        <v>4.05</v>
      </c>
      <c r="I119" s="80" t="s">
        <v>629</v>
      </c>
      <c r="J119" s="80" t="s">
        <v>186</v>
      </c>
      <c r="K119" s="38">
        <v>2.5600000000000001E-2</v>
      </c>
      <c r="L119" s="38">
        <v>1.5800000000000002E-2</v>
      </c>
      <c r="M119" s="132">
        <v>287886.57</v>
      </c>
      <c r="N119" s="80">
        <v>104.17</v>
      </c>
      <c r="O119" s="104">
        <v>299.89143000000001</v>
      </c>
      <c r="P119" s="38">
        <v>3.4230970887453721E-3</v>
      </c>
      <c r="Q119" s="38">
        <v>3.6329680550668797E-4</v>
      </c>
    </row>
    <row r="120" spans="1:17" x14ac:dyDescent="0.2">
      <c r="A120" s="30" t="s">
        <v>2284</v>
      </c>
      <c r="B120" s="38" t="s">
        <v>180</v>
      </c>
      <c r="C120" s="38" t="s">
        <v>2139</v>
      </c>
      <c r="D120" s="38" t="s">
        <v>2140</v>
      </c>
      <c r="E120" s="80" t="s">
        <v>507</v>
      </c>
      <c r="F120" s="80" t="s">
        <v>2141</v>
      </c>
      <c r="G120" s="80" t="s">
        <v>185</v>
      </c>
      <c r="H120" s="88">
        <v>4.5199999999999996</v>
      </c>
      <c r="I120" s="80" t="s">
        <v>629</v>
      </c>
      <c r="J120" s="80" t="s">
        <v>186</v>
      </c>
      <c r="K120" s="38">
        <v>2.1099999999999997E-2</v>
      </c>
      <c r="L120" s="38">
        <v>3.1400000000000004E-2</v>
      </c>
      <c r="M120" s="132">
        <v>312198.37</v>
      </c>
      <c r="N120" s="80">
        <v>95.62</v>
      </c>
      <c r="O120" s="104">
        <v>298.52408000000003</v>
      </c>
      <c r="P120" s="38">
        <v>3.4074895343571194E-3</v>
      </c>
      <c r="Q120" s="38">
        <v>3.6164035974893636E-4</v>
      </c>
    </row>
    <row r="121" spans="1:17" x14ac:dyDescent="0.2">
      <c r="A121" s="30" t="s">
        <v>2287</v>
      </c>
      <c r="B121" s="38" t="s">
        <v>1834</v>
      </c>
      <c r="C121" s="38" t="s">
        <v>2029</v>
      </c>
      <c r="D121" s="38" t="s">
        <v>2030</v>
      </c>
      <c r="E121" s="80" t="s">
        <v>451</v>
      </c>
      <c r="F121" s="80" t="s">
        <v>2031</v>
      </c>
      <c r="G121" s="80" t="s">
        <v>402</v>
      </c>
      <c r="H121" s="88">
        <v>5.75</v>
      </c>
      <c r="I121" s="80" t="s">
        <v>1616</v>
      </c>
      <c r="J121" s="80" t="s">
        <v>186</v>
      </c>
      <c r="K121" s="38">
        <v>4.7E-2</v>
      </c>
      <c r="L121" s="38">
        <v>4.5999999999999999E-3</v>
      </c>
      <c r="M121" s="132">
        <v>52642.52</v>
      </c>
      <c r="N121" s="80">
        <v>128.05000000000001</v>
      </c>
      <c r="O121" s="104">
        <v>67.408740000000009</v>
      </c>
      <c r="P121" s="38">
        <v>7.6943399699682562E-4</v>
      </c>
      <c r="Q121" s="38">
        <v>8.1660819401311005E-5</v>
      </c>
    </row>
    <row r="122" spans="1:17" x14ac:dyDescent="0.2">
      <c r="A122" s="30" t="s">
        <v>2287</v>
      </c>
      <c r="B122" s="38" t="s">
        <v>1834</v>
      </c>
      <c r="C122" s="38" t="s">
        <v>2032</v>
      </c>
      <c r="D122" s="38" t="s">
        <v>2030</v>
      </c>
      <c r="E122" s="80" t="s">
        <v>451</v>
      </c>
      <c r="F122" s="80" t="s">
        <v>2033</v>
      </c>
      <c r="G122" s="80" t="s">
        <v>402</v>
      </c>
      <c r="H122" s="88">
        <v>5.75</v>
      </c>
      <c r="I122" s="80" t="s">
        <v>1616</v>
      </c>
      <c r="J122" s="80" t="s">
        <v>186</v>
      </c>
      <c r="K122" s="38">
        <v>4.6100000000000002E-2</v>
      </c>
      <c r="L122" s="38">
        <v>4.5999999999999999E-3</v>
      </c>
      <c r="M122" s="132">
        <v>78486.759999999995</v>
      </c>
      <c r="N122" s="80">
        <v>127.02</v>
      </c>
      <c r="O122" s="104">
        <v>99.693880000000007</v>
      </c>
      <c r="P122" s="38">
        <v>1.1379512592064752E-3</v>
      </c>
      <c r="Q122" s="38">
        <v>1.2077193447164226E-4</v>
      </c>
    </row>
    <row r="123" spans="1:17" x14ac:dyDescent="0.2">
      <c r="A123" s="30" t="s">
        <v>2287</v>
      </c>
      <c r="B123" s="38" t="s">
        <v>1834</v>
      </c>
      <c r="C123" s="38" t="s">
        <v>2034</v>
      </c>
      <c r="D123" s="38" t="s">
        <v>2030</v>
      </c>
      <c r="E123" s="80" t="s">
        <v>451</v>
      </c>
      <c r="F123" s="80" t="s">
        <v>2035</v>
      </c>
      <c r="G123" s="80" t="s">
        <v>402</v>
      </c>
      <c r="H123" s="88">
        <v>5.74</v>
      </c>
      <c r="I123" s="80" t="s">
        <v>1616</v>
      </c>
      <c r="J123" s="80" t="s">
        <v>186</v>
      </c>
      <c r="K123" s="38">
        <v>4.7699999999999992E-2</v>
      </c>
      <c r="L123" s="38">
        <v>4.1999999999999997E-3</v>
      </c>
      <c r="M123" s="132">
        <v>89067.09</v>
      </c>
      <c r="N123" s="80">
        <v>127.02</v>
      </c>
      <c r="O123" s="104">
        <v>113.13301</v>
      </c>
      <c r="P123" s="38">
        <v>1.2913515973830964E-3</v>
      </c>
      <c r="Q123" s="38">
        <v>1.370524697233135E-4</v>
      </c>
    </row>
    <row r="124" spans="1:17" x14ac:dyDescent="0.2">
      <c r="A124" s="30" t="s">
        <v>2287</v>
      </c>
      <c r="B124" s="38" t="s">
        <v>1834</v>
      </c>
      <c r="C124" s="38" t="s">
        <v>2036</v>
      </c>
      <c r="D124" s="38" t="s">
        <v>2030</v>
      </c>
      <c r="E124" s="80" t="s">
        <v>451</v>
      </c>
      <c r="F124" s="80" t="s">
        <v>2037</v>
      </c>
      <c r="G124" s="80" t="s">
        <v>402</v>
      </c>
      <c r="H124" s="88">
        <v>5.74</v>
      </c>
      <c r="I124" s="80" t="s">
        <v>1616</v>
      </c>
      <c r="J124" s="80" t="s">
        <v>186</v>
      </c>
      <c r="K124" s="38">
        <v>4.7800000000000002E-2</v>
      </c>
      <c r="L124" s="38">
        <v>4.4000000000000003E-3</v>
      </c>
      <c r="M124" s="132">
        <v>95117.93</v>
      </c>
      <c r="N124" s="80">
        <v>127.07</v>
      </c>
      <c r="O124" s="104">
        <v>120.86635000000001</v>
      </c>
      <c r="P124" s="38">
        <v>1.3796234551026658E-3</v>
      </c>
      <c r="Q124" s="38">
        <v>1.4642085253404301E-4</v>
      </c>
    </row>
    <row r="125" spans="1:17" x14ac:dyDescent="0.2">
      <c r="A125" s="30" t="s">
        <v>2287</v>
      </c>
      <c r="B125" s="38" t="s">
        <v>1834</v>
      </c>
      <c r="C125" s="38" t="s">
        <v>2038</v>
      </c>
      <c r="D125" s="38" t="s">
        <v>2030</v>
      </c>
      <c r="E125" s="80" t="s">
        <v>451</v>
      </c>
      <c r="F125" s="80" t="s">
        <v>2039</v>
      </c>
      <c r="G125" s="80" t="s">
        <v>402</v>
      </c>
      <c r="H125" s="88">
        <v>5.76</v>
      </c>
      <c r="I125" s="80" t="s">
        <v>1616</v>
      </c>
      <c r="J125" s="80" t="s">
        <v>186</v>
      </c>
      <c r="K125" s="38">
        <v>4.5899999999999996E-2</v>
      </c>
      <c r="L125" s="38">
        <v>4.1999999999999997E-3</v>
      </c>
      <c r="M125" s="132">
        <v>43435.7</v>
      </c>
      <c r="N125" s="80">
        <v>125.72</v>
      </c>
      <c r="O125" s="104">
        <v>54.60736</v>
      </c>
      <c r="P125" s="38">
        <v>6.2331322719048855E-4</v>
      </c>
      <c r="Q125" s="38">
        <v>6.6152872208297828E-5</v>
      </c>
    </row>
    <row r="126" spans="1:17" x14ac:dyDescent="0.2">
      <c r="A126" s="30" t="s">
        <v>2287</v>
      </c>
      <c r="B126" s="38" t="s">
        <v>1834</v>
      </c>
      <c r="C126" s="38" t="s">
        <v>2040</v>
      </c>
      <c r="D126" s="38" t="s">
        <v>2030</v>
      </c>
      <c r="E126" s="80" t="s">
        <v>451</v>
      </c>
      <c r="F126" s="80" t="s">
        <v>2041</v>
      </c>
      <c r="G126" s="80" t="s">
        <v>402</v>
      </c>
      <c r="H126" s="88">
        <v>5.79</v>
      </c>
      <c r="I126" s="80" t="s">
        <v>1616</v>
      </c>
      <c r="J126" s="80" t="s">
        <v>186</v>
      </c>
      <c r="K126" s="38">
        <v>4.2000000000000003E-2</v>
      </c>
      <c r="L126" s="38">
        <v>4.4000000000000011E-3</v>
      </c>
      <c r="M126" s="132">
        <v>55815.85</v>
      </c>
      <c r="N126" s="80">
        <v>123.79</v>
      </c>
      <c r="O126" s="104">
        <v>69.094440000000006</v>
      </c>
      <c r="P126" s="38">
        <v>7.8867534298159773E-4</v>
      </c>
      <c r="Q126" s="38">
        <v>8.3702923188813772E-5</v>
      </c>
    </row>
    <row r="127" spans="1:17" x14ac:dyDescent="0.2">
      <c r="A127" s="30" t="s">
        <v>2287</v>
      </c>
      <c r="B127" s="38" t="s">
        <v>1834</v>
      </c>
      <c r="C127" s="38" t="s">
        <v>2042</v>
      </c>
      <c r="D127" s="38" t="s">
        <v>2030</v>
      </c>
      <c r="E127" s="80" t="s">
        <v>451</v>
      </c>
      <c r="F127" s="80" t="s">
        <v>2043</v>
      </c>
      <c r="G127" s="80" t="s">
        <v>402</v>
      </c>
      <c r="H127" s="88">
        <v>2.86</v>
      </c>
      <c r="I127" s="80" t="s">
        <v>1616</v>
      </c>
      <c r="J127" s="80" t="s">
        <v>186</v>
      </c>
      <c r="K127" s="38">
        <v>4.5199999999999997E-2</v>
      </c>
      <c r="L127" s="38">
        <v>6.9999999999999993E-3</v>
      </c>
      <c r="M127" s="132">
        <v>75846.75</v>
      </c>
      <c r="N127" s="80">
        <v>111.18</v>
      </c>
      <c r="O127" s="104">
        <v>84.32641000000001</v>
      </c>
      <c r="P127" s="38">
        <v>9.6253997180028997E-4</v>
      </c>
      <c r="Q127" s="38">
        <v>1.0215535459898681E-4</v>
      </c>
    </row>
    <row r="128" spans="1:17" x14ac:dyDescent="0.2">
      <c r="A128" s="30" t="s">
        <v>2280</v>
      </c>
      <c r="B128" s="38" t="s">
        <v>1834</v>
      </c>
      <c r="C128" s="38" t="s">
        <v>1915</v>
      </c>
      <c r="D128" s="38" t="s">
        <v>1916</v>
      </c>
      <c r="E128" s="80" t="s">
        <v>451</v>
      </c>
      <c r="F128" s="80" t="s">
        <v>1917</v>
      </c>
      <c r="G128" s="80" t="s">
        <v>402</v>
      </c>
      <c r="H128" s="88">
        <v>6.21</v>
      </c>
      <c r="I128" s="80" t="s">
        <v>1616</v>
      </c>
      <c r="J128" s="80" t="s">
        <v>186</v>
      </c>
      <c r="K128" s="38">
        <v>0.05</v>
      </c>
      <c r="L128" s="38">
        <v>4.5000000000000005E-3</v>
      </c>
      <c r="M128" s="132">
        <v>49551.88</v>
      </c>
      <c r="N128" s="80">
        <v>132.51</v>
      </c>
      <c r="O128" s="104">
        <v>65.661190000000005</v>
      </c>
      <c r="P128" s="38">
        <v>7.4948666699997646E-4</v>
      </c>
      <c r="Q128" s="38">
        <v>7.9543788806394654E-5</v>
      </c>
    </row>
    <row r="129" spans="1:17" x14ac:dyDescent="0.2">
      <c r="A129" s="30" t="s">
        <v>2280</v>
      </c>
      <c r="B129" s="38" t="s">
        <v>1834</v>
      </c>
      <c r="C129" s="38" t="s">
        <v>1922</v>
      </c>
      <c r="D129" s="38" t="s">
        <v>1916</v>
      </c>
      <c r="E129" s="80" t="s">
        <v>451</v>
      </c>
      <c r="F129" s="80" t="s">
        <v>1923</v>
      </c>
      <c r="G129" s="80" t="s">
        <v>402</v>
      </c>
      <c r="H129" s="88">
        <v>6.21</v>
      </c>
      <c r="I129" s="80" t="s">
        <v>1616</v>
      </c>
      <c r="J129" s="80" t="s">
        <v>186</v>
      </c>
      <c r="K129" s="38">
        <v>0.05</v>
      </c>
      <c r="L129" s="38">
        <v>4.7999999999999996E-3</v>
      </c>
      <c r="M129" s="132">
        <v>257008.85</v>
      </c>
      <c r="N129" s="80">
        <v>132.18</v>
      </c>
      <c r="O129" s="104">
        <v>339.71429000000001</v>
      </c>
      <c r="P129" s="38">
        <v>3.8776533130813408E-3</v>
      </c>
      <c r="Q129" s="38">
        <v>4.1153932388789035E-4</v>
      </c>
    </row>
    <row r="130" spans="1:17" x14ac:dyDescent="0.2">
      <c r="A130" s="30" t="s">
        <v>2280</v>
      </c>
      <c r="B130" s="38" t="s">
        <v>1834</v>
      </c>
      <c r="C130" s="38" t="s">
        <v>1926</v>
      </c>
      <c r="D130" s="38" t="s">
        <v>1916</v>
      </c>
      <c r="E130" s="80" t="s">
        <v>451</v>
      </c>
      <c r="F130" s="80" t="s">
        <v>1927</v>
      </c>
      <c r="G130" s="80" t="s">
        <v>402</v>
      </c>
      <c r="H130" s="88">
        <v>6.2</v>
      </c>
      <c r="I130" s="80" t="s">
        <v>1616</v>
      </c>
      <c r="J130" s="80" t="s">
        <v>186</v>
      </c>
      <c r="K130" s="38">
        <v>0.05</v>
      </c>
      <c r="L130" s="38">
        <v>4.5000000000000005E-3</v>
      </c>
      <c r="M130" s="132">
        <v>106858.3</v>
      </c>
      <c r="N130" s="80">
        <v>131.96</v>
      </c>
      <c r="O130" s="104">
        <v>141.01021</v>
      </c>
      <c r="P130" s="38">
        <v>1.6095546289347899E-3</v>
      </c>
      <c r="Q130" s="38">
        <v>1.708236838806205E-4</v>
      </c>
    </row>
    <row r="131" spans="1:17" x14ac:dyDescent="0.2">
      <c r="A131" s="30" t="s">
        <v>2280</v>
      </c>
      <c r="B131" s="38" t="s">
        <v>1834</v>
      </c>
      <c r="C131" s="38" t="s">
        <v>1946</v>
      </c>
      <c r="D131" s="38" t="s">
        <v>1916</v>
      </c>
      <c r="E131" s="80" t="s">
        <v>451</v>
      </c>
      <c r="F131" s="80" t="s">
        <v>1947</v>
      </c>
      <c r="G131" s="80" t="s">
        <v>402</v>
      </c>
      <c r="H131" s="88">
        <v>6.19</v>
      </c>
      <c r="I131" s="80" t="s">
        <v>1616</v>
      </c>
      <c r="J131" s="80" t="s">
        <v>186</v>
      </c>
      <c r="K131" s="38">
        <v>0.05</v>
      </c>
      <c r="L131" s="38">
        <v>6.0000000000000001E-3</v>
      </c>
      <c r="M131" s="132">
        <v>167603.89000000001</v>
      </c>
      <c r="N131" s="80">
        <v>130.6</v>
      </c>
      <c r="O131" s="104">
        <v>218.89068</v>
      </c>
      <c r="P131" s="38">
        <v>2.4985177117648706E-3</v>
      </c>
      <c r="Q131" s="38">
        <v>2.6517024777662594E-4</v>
      </c>
    </row>
    <row r="132" spans="1:17" x14ac:dyDescent="0.2">
      <c r="A132" s="30" t="s">
        <v>2280</v>
      </c>
      <c r="B132" s="38" t="s">
        <v>1834</v>
      </c>
      <c r="C132" s="38" t="s">
        <v>1957</v>
      </c>
      <c r="D132" s="38" t="s">
        <v>1916</v>
      </c>
      <c r="E132" s="80" t="s">
        <v>451</v>
      </c>
      <c r="F132" s="80" t="s">
        <v>1958</v>
      </c>
      <c r="G132" s="80" t="s">
        <v>402</v>
      </c>
      <c r="H132" s="88">
        <v>6.16</v>
      </c>
      <c r="I132" s="80" t="s">
        <v>1616</v>
      </c>
      <c r="J132" s="80" t="s">
        <v>186</v>
      </c>
      <c r="K132" s="38">
        <v>0.05</v>
      </c>
      <c r="L132" s="38">
        <v>9.0000000000000011E-3</v>
      </c>
      <c r="M132" s="132">
        <v>26217.5</v>
      </c>
      <c r="N132" s="80">
        <v>126.96</v>
      </c>
      <c r="O132" s="104">
        <v>33.285730000000001</v>
      </c>
      <c r="P132" s="38">
        <v>3.7993845125805866E-4</v>
      </c>
      <c r="Q132" s="38">
        <v>4.0323257580112005E-5</v>
      </c>
    </row>
    <row r="133" spans="1:17" x14ac:dyDescent="0.2">
      <c r="A133" s="30" t="s">
        <v>2280</v>
      </c>
      <c r="B133" s="38" t="s">
        <v>1834</v>
      </c>
      <c r="C133" s="38" t="s">
        <v>1987</v>
      </c>
      <c r="D133" s="38" t="s">
        <v>1916</v>
      </c>
      <c r="E133" s="80" t="s">
        <v>451</v>
      </c>
      <c r="F133" s="80" t="s">
        <v>1988</v>
      </c>
      <c r="G133" s="80" t="s">
        <v>402</v>
      </c>
      <c r="H133" s="88">
        <v>6.15</v>
      </c>
      <c r="I133" s="80" t="s">
        <v>1616</v>
      </c>
      <c r="J133" s="80" t="s">
        <v>186</v>
      </c>
      <c r="K133" s="38">
        <v>0.05</v>
      </c>
      <c r="L133" s="38">
        <v>9.5999999999999992E-3</v>
      </c>
      <c r="M133" s="132">
        <v>43042.77</v>
      </c>
      <c r="N133" s="80">
        <v>126.47</v>
      </c>
      <c r="O133" s="104">
        <v>54.436190000000003</v>
      </c>
      <c r="P133" s="38">
        <v>6.2135941501025873E-4</v>
      </c>
      <c r="Q133" s="38">
        <v>6.5945512117352315E-5</v>
      </c>
    </row>
    <row r="134" spans="1:17" x14ac:dyDescent="0.2">
      <c r="A134" s="30" t="s">
        <v>2280</v>
      </c>
      <c r="B134" s="38" t="s">
        <v>1834</v>
      </c>
      <c r="C134" s="38" t="s">
        <v>1959</v>
      </c>
      <c r="D134" s="38" t="s">
        <v>1916</v>
      </c>
      <c r="E134" s="80" t="s">
        <v>451</v>
      </c>
      <c r="F134" s="80" t="s">
        <v>1958</v>
      </c>
      <c r="G134" s="80" t="s">
        <v>402</v>
      </c>
      <c r="H134" s="88">
        <v>1.99</v>
      </c>
      <c r="I134" s="80" t="s">
        <v>1616</v>
      </c>
      <c r="J134" s="80" t="s">
        <v>186</v>
      </c>
      <c r="K134" s="38">
        <v>0.05</v>
      </c>
      <c r="L134" s="38">
        <v>1.38E-2</v>
      </c>
      <c r="M134" s="132">
        <v>13943.61</v>
      </c>
      <c r="N134" s="80">
        <v>107.27</v>
      </c>
      <c r="O134" s="104">
        <v>14.95731</v>
      </c>
      <c r="P134" s="38">
        <v>1.707295347401626E-4</v>
      </c>
      <c r="Q134" s="38">
        <v>1.81197006595795E-5</v>
      </c>
    </row>
    <row r="135" spans="1:17" x14ac:dyDescent="0.2">
      <c r="A135" s="30" t="s">
        <v>2288</v>
      </c>
      <c r="B135" s="38" t="s">
        <v>1834</v>
      </c>
      <c r="C135" s="38" t="s">
        <v>2156</v>
      </c>
      <c r="D135" s="38" t="s">
        <v>1836</v>
      </c>
      <c r="E135" s="80" t="s">
        <v>451</v>
      </c>
      <c r="F135" s="80" t="s">
        <v>1850</v>
      </c>
      <c r="G135" s="80" t="s">
        <v>402</v>
      </c>
      <c r="H135" s="88">
        <v>8.48</v>
      </c>
      <c r="I135" s="80" t="s">
        <v>1616</v>
      </c>
      <c r="J135" s="80" t="s">
        <v>127</v>
      </c>
      <c r="K135" s="38">
        <v>4.7961299999999998E-2</v>
      </c>
      <c r="L135" s="38">
        <v>5.1100000000000007E-2</v>
      </c>
      <c r="M135" s="132">
        <v>157382.32</v>
      </c>
      <c r="N135" s="80">
        <v>99.9</v>
      </c>
      <c r="O135" s="104">
        <v>544.94163000000003</v>
      </c>
      <c r="P135" s="38">
        <v>6.2202114518216068E-3</v>
      </c>
      <c r="Q135" s="38">
        <v>6.6015742219311681E-4</v>
      </c>
    </row>
    <row r="136" spans="1:17" x14ac:dyDescent="0.2">
      <c r="A136" s="30" t="s">
        <v>2288</v>
      </c>
      <c r="B136" s="38" t="s">
        <v>180</v>
      </c>
      <c r="C136" s="38" t="s">
        <v>2160</v>
      </c>
      <c r="D136" s="38" t="s">
        <v>1836</v>
      </c>
      <c r="E136" s="80" t="s">
        <v>451</v>
      </c>
      <c r="F136" s="80" t="s">
        <v>1873</v>
      </c>
      <c r="G136" s="80" t="s">
        <v>402</v>
      </c>
      <c r="H136" s="88">
        <v>8.49</v>
      </c>
      <c r="I136" s="80" t="s">
        <v>1616</v>
      </c>
      <c r="J136" s="80" t="s">
        <v>127</v>
      </c>
      <c r="K136" s="38">
        <v>4.7961299999999998E-2</v>
      </c>
      <c r="L136" s="38">
        <v>5.0700000000000009E-2</v>
      </c>
      <c r="M136" s="132">
        <v>243936.83</v>
      </c>
      <c r="N136" s="80">
        <v>100.27</v>
      </c>
      <c r="O136" s="104">
        <v>847.76787000000002</v>
      </c>
      <c r="P136" s="38">
        <v>9.6768077958375304E-3</v>
      </c>
      <c r="Q136" s="38">
        <v>1.0270095380258419E-3</v>
      </c>
    </row>
    <row r="137" spans="1:17" x14ac:dyDescent="0.2">
      <c r="A137" s="30" t="s">
        <v>2288</v>
      </c>
      <c r="B137" s="38" t="s">
        <v>1834</v>
      </c>
      <c r="C137" s="38" t="s">
        <v>2153</v>
      </c>
      <c r="D137" s="38" t="s">
        <v>1836</v>
      </c>
      <c r="E137" s="80" t="s">
        <v>451</v>
      </c>
      <c r="F137" s="80" t="s">
        <v>1841</v>
      </c>
      <c r="G137" s="80" t="s">
        <v>402</v>
      </c>
      <c r="H137" s="88">
        <v>8.77</v>
      </c>
      <c r="I137" s="80" t="s">
        <v>1616</v>
      </c>
      <c r="J137" s="80" t="s">
        <v>127</v>
      </c>
      <c r="K137" s="38">
        <v>4.7961299999999998E-2</v>
      </c>
      <c r="L137" s="38">
        <v>4.1599999999999991E-2</v>
      </c>
      <c r="M137" s="132">
        <v>197814.33</v>
      </c>
      <c r="N137" s="80">
        <v>107.93</v>
      </c>
      <c r="O137" s="104">
        <v>739.99449000000004</v>
      </c>
      <c r="P137" s="38">
        <v>8.4466334513347598E-3</v>
      </c>
      <c r="Q137" s="38">
        <v>8.9644987290750779E-4</v>
      </c>
    </row>
    <row r="138" spans="1:17" x14ac:dyDescent="0.2">
      <c r="A138" s="30" t="s">
        <v>2288</v>
      </c>
      <c r="B138" s="38" t="s">
        <v>1834</v>
      </c>
      <c r="C138" s="38" t="s">
        <v>2154</v>
      </c>
      <c r="D138" s="38" t="s">
        <v>1836</v>
      </c>
      <c r="E138" s="80" t="s">
        <v>451</v>
      </c>
      <c r="F138" s="80" t="s">
        <v>1844</v>
      </c>
      <c r="G138" s="80" t="s">
        <v>402</v>
      </c>
      <c r="H138" s="88">
        <v>8.74</v>
      </c>
      <c r="I138" s="80" t="s">
        <v>1616</v>
      </c>
      <c r="J138" s="80" t="s">
        <v>127</v>
      </c>
      <c r="K138" s="38">
        <v>4.7961299999999998E-2</v>
      </c>
      <c r="L138" s="38">
        <v>4.2600000000000006E-2</v>
      </c>
      <c r="M138" s="132">
        <v>181691.04</v>
      </c>
      <c r="N138" s="80">
        <v>107.02</v>
      </c>
      <c r="O138" s="104">
        <v>673.94898000000001</v>
      </c>
      <c r="P138" s="38">
        <v>7.6927599811735629E-3</v>
      </c>
      <c r="Q138" s="38">
        <v>8.1644050818154674E-4</v>
      </c>
    </row>
    <row r="139" spans="1:17" x14ac:dyDescent="0.2">
      <c r="A139" s="30" t="s">
        <v>2288</v>
      </c>
      <c r="B139" s="38" t="s">
        <v>1834</v>
      </c>
      <c r="C139" s="38" t="s">
        <v>2151</v>
      </c>
      <c r="D139" s="38" t="s">
        <v>1836</v>
      </c>
      <c r="E139" s="80" t="s">
        <v>451</v>
      </c>
      <c r="F139" s="80" t="s">
        <v>2152</v>
      </c>
      <c r="G139" s="80" t="s">
        <v>402</v>
      </c>
      <c r="H139" s="88">
        <v>8.82</v>
      </c>
      <c r="I139" s="80" t="s">
        <v>1616</v>
      </c>
      <c r="J139" s="80" t="s">
        <v>127</v>
      </c>
      <c r="K139" s="38">
        <v>4.7961299999999998E-2</v>
      </c>
      <c r="L139" s="38">
        <v>4.0100000000000004E-2</v>
      </c>
      <c r="M139" s="132">
        <v>45534.82</v>
      </c>
      <c r="N139" s="80">
        <v>109.3</v>
      </c>
      <c r="O139" s="104">
        <v>172.50129999999999</v>
      </c>
      <c r="P139" s="38">
        <v>1.9690082435326411E-3</v>
      </c>
      <c r="Q139" s="38">
        <v>2.0897286473224935E-4</v>
      </c>
    </row>
    <row r="140" spans="1:17" x14ac:dyDescent="0.2">
      <c r="A140" s="30" t="s">
        <v>2288</v>
      </c>
      <c r="B140" s="38" t="s">
        <v>1834</v>
      </c>
      <c r="C140" s="38" t="s">
        <v>2155</v>
      </c>
      <c r="D140" s="38" t="s">
        <v>1836</v>
      </c>
      <c r="E140" s="80" t="s">
        <v>451</v>
      </c>
      <c r="F140" s="80" t="s">
        <v>1847</v>
      </c>
      <c r="G140" s="80" t="s">
        <v>402</v>
      </c>
      <c r="H140" s="88">
        <v>8.75</v>
      </c>
      <c r="I140" s="80" t="s">
        <v>1616</v>
      </c>
      <c r="J140" s="80" t="s">
        <v>127</v>
      </c>
      <c r="K140" s="38">
        <v>4.7961299999999998E-2</v>
      </c>
      <c r="L140" s="38">
        <v>4.2199999999999988E-2</v>
      </c>
      <c r="M140" s="132">
        <v>124724.97</v>
      </c>
      <c r="N140" s="80">
        <v>107.39</v>
      </c>
      <c r="O140" s="104">
        <v>464.24347999999998</v>
      </c>
      <c r="P140" s="38">
        <v>5.2990860887789301E-3</v>
      </c>
      <c r="Q140" s="38">
        <v>5.6239744250546929E-4</v>
      </c>
    </row>
    <row r="141" spans="1:17" x14ac:dyDescent="0.2">
      <c r="A141" s="30" t="s">
        <v>2288</v>
      </c>
      <c r="B141" s="38" t="s">
        <v>1834</v>
      </c>
      <c r="C141" s="38" t="s">
        <v>2157</v>
      </c>
      <c r="D141" s="38" t="s">
        <v>1836</v>
      </c>
      <c r="E141" s="80" t="s">
        <v>451</v>
      </c>
      <c r="F141" s="80" t="s">
        <v>1862</v>
      </c>
      <c r="G141" s="80" t="s">
        <v>402</v>
      </c>
      <c r="H141" s="88">
        <v>8.42</v>
      </c>
      <c r="I141" s="80" t="s">
        <v>1616</v>
      </c>
      <c r="J141" s="80" t="s">
        <v>127</v>
      </c>
      <c r="K141" s="38">
        <v>4.7961299999999998E-2</v>
      </c>
      <c r="L141" s="38">
        <v>5.3100000000000001E-2</v>
      </c>
      <c r="M141" s="132">
        <v>97191.37</v>
      </c>
      <c r="N141" s="80">
        <v>98.35</v>
      </c>
      <c r="O141" s="104">
        <v>331.30700999999999</v>
      </c>
      <c r="P141" s="38">
        <v>3.7816887978824E-3</v>
      </c>
      <c r="Q141" s="38">
        <v>4.0135451144760061E-4</v>
      </c>
    </row>
    <row r="142" spans="1:17" x14ac:dyDescent="0.2">
      <c r="A142" s="30" t="s">
        <v>2288</v>
      </c>
      <c r="B142" s="38" t="s">
        <v>1834</v>
      </c>
      <c r="C142" s="38" t="s">
        <v>1849</v>
      </c>
      <c r="D142" s="38" t="s">
        <v>1836</v>
      </c>
      <c r="E142" s="80" t="s">
        <v>451</v>
      </c>
      <c r="F142" s="80" t="s">
        <v>1850</v>
      </c>
      <c r="G142" s="80" t="s">
        <v>402</v>
      </c>
      <c r="H142" s="88">
        <v>8.93</v>
      </c>
      <c r="I142" s="80" t="s">
        <v>1616</v>
      </c>
      <c r="J142" s="80" t="s">
        <v>186</v>
      </c>
      <c r="K142" s="38">
        <v>3.3999999523162842E-2</v>
      </c>
      <c r="L142" s="38">
        <v>3.8900000000000011E-2</v>
      </c>
      <c r="M142" s="132">
        <v>167961.02</v>
      </c>
      <c r="N142" s="80">
        <v>96.87</v>
      </c>
      <c r="O142" s="104">
        <v>162.70383999999999</v>
      </c>
      <c r="P142" s="38">
        <v>1.85717558194875E-3</v>
      </c>
      <c r="Q142" s="38">
        <v>1.9710394963827835E-4</v>
      </c>
    </row>
    <row r="143" spans="1:17" x14ac:dyDescent="0.2">
      <c r="A143" s="30" t="s">
        <v>2288</v>
      </c>
      <c r="B143" s="38" t="s">
        <v>1834</v>
      </c>
      <c r="C143" s="38" t="s">
        <v>1851</v>
      </c>
      <c r="D143" s="38" t="s">
        <v>1836</v>
      </c>
      <c r="E143" s="80" t="s">
        <v>451</v>
      </c>
      <c r="F143" s="80" t="s">
        <v>1850</v>
      </c>
      <c r="G143" s="80" t="s">
        <v>402</v>
      </c>
      <c r="H143" s="88">
        <v>9.6999999999999993</v>
      </c>
      <c r="I143" s="80" t="s">
        <v>1616</v>
      </c>
      <c r="J143" s="80" t="s">
        <v>186</v>
      </c>
      <c r="K143" s="38">
        <v>3.3999999523162842E-2</v>
      </c>
      <c r="L143" s="38">
        <v>2.9899999999999999E-2</v>
      </c>
      <c r="M143" s="132">
        <v>75460.73</v>
      </c>
      <c r="N143" s="80">
        <v>105.01</v>
      </c>
      <c r="O143" s="104">
        <v>79.241309999999999</v>
      </c>
      <c r="P143" s="38">
        <v>9.0449632911940672E-4</v>
      </c>
      <c r="Q143" s="38">
        <v>9.599512325899133E-5</v>
      </c>
    </row>
    <row r="144" spans="1:17" x14ac:dyDescent="0.2">
      <c r="A144" s="30" t="s">
        <v>2288</v>
      </c>
      <c r="B144" s="38" t="s">
        <v>180</v>
      </c>
      <c r="C144" s="38" t="s">
        <v>1874</v>
      </c>
      <c r="D144" s="38" t="s">
        <v>1836</v>
      </c>
      <c r="E144" s="80" t="s">
        <v>451</v>
      </c>
      <c r="F144" s="80" t="s">
        <v>1873</v>
      </c>
      <c r="G144" s="80" t="s">
        <v>402</v>
      </c>
      <c r="H144" s="88">
        <v>8.8699999999999992</v>
      </c>
      <c r="I144" s="80" t="s">
        <v>1616</v>
      </c>
      <c r="J144" s="80" t="s">
        <v>186</v>
      </c>
      <c r="K144" s="38">
        <v>3.3999999523162842E-2</v>
      </c>
      <c r="L144" s="38">
        <v>4.0800000000000003E-2</v>
      </c>
      <c r="M144" s="132">
        <v>296759.19</v>
      </c>
      <c r="N144" s="80">
        <v>95.27</v>
      </c>
      <c r="O144" s="104">
        <v>282.72247999999996</v>
      </c>
      <c r="P144" s="38">
        <v>3.2271228898100609E-3</v>
      </c>
      <c r="Q144" s="38">
        <v>3.4249786273962034E-4</v>
      </c>
    </row>
    <row r="145" spans="1:17" x14ac:dyDescent="0.2">
      <c r="A145" s="30" t="s">
        <v>2288</v>
      </c>
      <c r="B145" s="38" t="s">
        <v>180</v>
      </c>
      <c r="C145" s="38" t="s">
        <v>1872</v>
      </c>
      <c r="D145" s="38" t="s">
        <v>1836</v>
      </c>
      <c r="E145" s="80" t="s">
        <v>451</v>
      </c>
      <c r="F145" s="80" t="s">
        <v>1873</v>
      </c>
      <c r="G145" s="80" t="s">
        <v>402</v>
      </c>
      <c r="H145" s="88">
        <v>9.67</v>
      </c>
      <c r="I145" s="80" t="s">
        <v>1616</v>
      </c>
      <c r="J145" s="80" t="s">
        <v>186</v>
      </c>
      <c r="K145" s="38">
        <v>3.3999999523162842E-2</v>
      </c>
      <c r="L145" s="38">
        <v>3.09E-2</v>
      </c>
      <c r="M145" s="132">
        <v>133326.57</v>
      </c>
      <c r="N145" s="80">
        <v>104.05</v>
      </c>
      <c r="O145" s="104">
        <v>138.72629000000001</v>
      </c>
      <c r="P145" s="38">
        <v>1.5834849279669188E-3</v>
      </c>
      <c r="Q145" s="38">
        <v>1.6805687977410489E-4</v>
      </c>
    </row>
    <row r="146" spans="1:17" x14ac:dyDescent="0.2">
      <c r="A146" s="30" t="s">
        <v>2288</v>
      </c>
      <c r="B146" s="38" t="s">
        <v>1834</v>
      </c>
      <c r="C146" s="38" t="s">
        <v>1840</v>
      </c>
      <c r="D146" s="38" t="s">
        <v>1836</v>
      </c>
      <c r="E146" s="80" t="s">
        <v>451</v>
      </c>
      <c r="F146" s="80" t="s">
        <v>1841</v>
      </c>
      <c r="G146" s="80" t="s">
        <v>402</v>
      </c>
      <c r="H146" s="88">
        <v>9.32</v>
      </c>
      <c r="I146" s="80" t="s">
        <v>1616</v>
      </c>
      <c r="J146" s="80" t="s">
        <v>186</v>
      </c>
      <c r="K146" s="38">
        <v>3.3999999523162842E-2</v>
      </c>
      <c r="L146" s="38">
        <v>2.7400000000000001E-2</v>
      </c>
      <c r="M146" s="132">
        <v>221243.07</v>
      </c>
      <c r="N146" s="80">
        <v>107.39</v>
      </c>
      <c r="O146" s="104">
        <v>237.59293</v>
      </c>
      <c r="P146" s="38">
        <v>2.7119936938160686E-3</v>
      </c>
      <c r="Q146" s="38">
        <v>2.8782667273944486E-4</v>
      </c>
    </row>
    <row r="147" spans="1:17" x14ac:dyDescent="0.2">
      <c r="A147" s="30" t="s">
        <v>2288</v>
      </c>
      <c r="B147" s="38" t="s">
        <v>1834</v>
      </c>
      <c r="C147" s="38" t="s">
        <v>1842</v>
      </c>
      <c r="D147" s="38" t="s">
        <v>1836</v>
      </c>
      <c r="E147" s="80" t="s">
        <v>451</v>
      </c>
      <c r="F147" s="80" t="s">
        <v>1841</v>
      </c>
      <c r="G147" s="80" t="s">
        <v>402</v>
      </c>
      <c r="H147" s="88">
        <v>10.029999999999999</v>
      </c>
      <c r="I147" s="80" t="s">
        <v>1616</v>
      </c>
      <c r="J147" s="80" t="s">
        <v>186</v>
      </c>
      <c r="K147" s="38">
        <v>3.3999999523162842E-2</v>
      </c>
      <c r="L147" s="38">
        <v>2.0300000000000002E-2</v>
      </c>
      <c r="M147" s="132">
        <v>99399.34</v>
      </c>
      <c r="N147" s="80">
        <v>114.76</v>
      </c>
      <c r="O147" s="104">
        <v>114.07068</v>
      </c>
      <c r="P147" s="38">
        <v>1.3020545889530918E-3</v>
      </c>
      <c r="Q147" s="38">
        <v>1.3818838919796953E-4</v>
      </c>
    </row>
    <row r="148" spans="1:17" x14ac:dyDescent="0.2">
      <c r="A148" s="30" t="s">
        <v>2288</v>
      </c>
      <c r="B148" s="38" t="s">
        <v>1834</v>
      </c>
      <c r="C148" s="38" t="s">
        <v>1843</v>
      </c>
      <c r="D148" s="38" t="s">
        <v>1836</v>
      </c>
      <c r="E148" s="80" t="s">
        <v>451</v>
      </c>
      <c r="F148" s="80" t="s">
        <v>1844</v>
      </c>
      <c r="G148" s="80" t="s">
        <v>402</v>
      </c>
      <c r="H148" s="88">
        <v>9.31</v>
      </c>
      <c r="I148" s="80" t="s">
        <v>1616</v>
      </c>
      <c r="J148" s="80" t="s">
        <v>186</v>
      </c>
      <c r="K148" s="38">
        <v>3.3999999523162842E-2</v>
      </c>
      <c r="L148" s="38">
        <v>2.7199999999999998E-2</v>
      </c>
      <c r="M148" s="132">
        <v>202947.58</v>
      </c>
      <c r="N148" s="80">
        <v>107.58</v>
      </c>
      <c r="O148" s="104">
        <v>218.33099999999999</v>
      </c>
      <c r="P148" s="38">
        <v>2.4921292698589816E-3</v>
      </c>
      <c r="Q148" s="38">
        <v>2.6449223588376864E-4</v>
      </c>
    </row>
    <row r="149" spans="1:17" x14ac:dyDescent="0.2">
      <c r="A149" s="30" t="s">
        <v>2288</v>
      </c>
      <c r="B149" s="38" t="s">
        <v>1834</v>
      </c>
      <c r="C149" s="38" t="s">
        <v>1845</v>
      </c>
      <c r="D149" s="38" t="s">
        <v>1836</v>
      </c>
      <c r="E149" s="80" t="s">
        <v>451</v>
      </c>
      <c r="F149" s="80" t="s">
        <v>1844</v>
      </c>
      <c r="G149" s="80" t="s">
        <v>402</v>
      </c>
      <c r="H149" s="88">
        <v>10.01</v>
      </c>
      <c r="I149" s="80" t="s">
        <v>1616</v>
      </c>
      <c r="J149" s="80" t="s">
        <v>186</v>
      </c>
      <c r="K149" s="38">
        <v>3.3999999523162842E-2</v>
      </c>
      <c r="L149" s="38">
        <v>2.0400000000000001E-2</v>
      </c>
      <c r="M149" s="132">
        <v>91179.44</v>
      </c>
      <c r="N149" s="80">
        <v>114.71</v>
      </c>
      <c r="O149" s="104">
        <v>104.59192999999999</v>
      </c>
      <c r="P149" s="38">
        <v>1.1938598281693469E-3</v>
      </c>
      <c r="Q149" s="38">
        <v>1.2670556824774594E-4</v>
      </c>
    </row>
    <row r="150" spans="1:17" x14ac:dyDescent="0.2">
      <c r="A150" s="30" t="s">
        <v>2288</v>
      </c>
      <c r="B150" s="38" t="s">
        <v>1834</v>
      </c>
      <c r="C150" s="38" t="s">
        <v>1838</v>
      </c>
      <c r="D150" s="38" t="s">
        <v>1836</v>
      </c>
      <c r="E150" s="80" t="s">
        <v>451</v>
      </c>
      <c r="F150" s="80" t="s">
        <v>1839</v>
      </c>
      <c r="G150" s="80" t="s">
        <v>402</v>
      </c>
      <c r="H150" s="88">
        <v>9.4</v>
      </c>
      <c r="I150" s="80" t="s">
        <v>1616</v>
      </c>
      <c r="J150" s="80" t="s">
        <v>186</v>
      </c>
      <c r="K150" s="38">
        <v>3.3999999523162842E-2</v>
      </c>
      <c r="L150" s="38">
        <v>2.46E-2</v>
      </c>
      <c r="M150" s="132">
        <v>52598.29</v>
      </c>
      <c r="N150" s="80">
        <v>110.26</v>
      </c>
      <c r="O150" s="104">
        <v>57.994870000000006</v>
      </c>
      <c r="P150" s="38">
        <v>6.6197980602235394E-4</v>
      </c>
      <c r="Q150" s="38">
        <v>7.0256595884636162E-5</v>
      </c>
    </row>
    <row r="151" spans="1:17" x14ac:dyDescent="0.2">
      <c r="A151" s="30" t="s">
        <v>2288</v>
      </c>
      <c r="B151" s="38" t="s">
        <v>1834</v>
      </c>
      <c r="C151" s="38" t="s">
        <v>1835</v>
      </c>
      <c r="D151" s="38" t="s">
        <v>1836</v>
      </c>
      <c r="E151" s="80" t="s">
        <v>451</v>
      </c>
      <c r="F151" s="80" t="s">
        <v>1837</v>
      </c>
      <c r="G151" s="80" t="s">
        <v>402</v>
      </c>
      <c r="H151" s="88">
        <v>10.14</v>
      </c>
      <c r="I151" s="80" t="s">
        <v>1616</v>
      </c>
      <c r="J151" s="80" t="s">
        <v>186</v>
      </c>
      <c r="K151" s="38">
        <v>3.3999999523162842E-2</v>
      </c>
      <c r="L151" s="38">
        <v>1.67E-2</v>
      </c>
      <c r="M151" s="132">
        <v>23631.1</v>
      </c>
      <c r="N151" s="80">
        <v>118.87</v>
      </c>
      <c r="O151" s="104">
        <v>28.09028</v>
      </c>
      <c r="P151" s="38">
        <v>3.2063522352086669E-4</v>
      </c>
      <c r="Q151" s="38">
        <v>3.4029345185984162E-5</v>
      </c>
    </row>
    <row r="152" spans="1:17" x14ac:dyDescent="0.2">
      <c r="A152" s="30" t="s">
        <v>2288</v>
      </c>
      <c r="B152" s="38" t="s">
        <v>1834</v>
      </c>
      <c r="C152" s="38" t="s">
        <v>1846</v>
      </c>
      <c r="D152" s="38" t="s">
        <v>1836</v>
      </c>
      <c r="E152" s="80" t="s">
        <v>451</v>
      </c>
      <c r="F152" s="80" t="s">
        <v>1847</v>
      </c>
      <c r="G152" s="80" t="s">
        <v>402</v>
      </c>
      <c r="H152" s="88">
        <v>9.2899999999999991</v>
      </c>
      <c r="I152" s="80" t="s">
        <v>1616</v>
      </c>
      <c r="J152" s="80" t="s">
        <v>186</v>
      </c>
      <c r="K152" s="38">
        <v>3.3999999523162842E-2</v>
      </c>
      <c r="L152" s="38">
        <v>2.7900000000000001E-2</v>
      </c>
      <c r="M152" s="132">
        <v>141793.99</v>
      </c>
      <c r="N152" s="80">
        <v>106.93</v>
      </c>
      <c r="O152" s="104">
        <v>151.62030999999999</v>
      </c>
      <c r="P152" s="38">
        <v>1.7306631328400108E-3</v>
      </c>
      <c r="Q152" s="38">
        <v>1.836770536354898E-4</v>
      </c>
    </row>
    <row r="153" spans="1:17" x14ac:dyDescent="0.2">
      <c r="A153" s="30" t="s">
        <v>2288</v>
      </c>
      <c r="B153" s="38" t="s">
        <v>1834</v>
      </c>
      <c r="C153" s="38" t="s">
        <v>1848</v>
      </c>
      <c r="D153" s="38" t="s">
        <v>1836</v>
      </c>
      <c r="E153" s="80" t="s">
        <v>451</v>
      </c>
      <c r="F153" s="80" t="s">
        <v>1847</v>
      </c>
      <c r="G153" s="80" t="s">
        <v>402</v>
      </c>
      <c r="H153" s="88">
        <v>9.9700000000000006</v>
      </c>
      <c r="I153" s="80" t="s">
        <v>1616</v>
      </c>
      <c r="J153" s="80" t="s">
        <v>186</v>
      </c>
      <c r="K153" s="38">
        <v>3.3999999523162842E-2</v>
      </c>
      <c r="L153" s="38">
        <v>2.1700000000000001E-2</v>
      </c>
      <c r="M153" s="132">
        <v>63704.47</v>
      </c>
      <c r="N153" s="80">
        <v>113.26</v>
      </c>
      <c r="O153" s="104">
        <v>72.151679999999999</v>
      </c>
      <c r="P153" s="38">
        <v>8.2357206991906257E-4</v>
      </c>
      <c r="Q153" s="38">
        <v>8.7406548616413579E-5</v>
      </c>
    </row>
    <row r="154" spans="1:17" x14ac:dyDescent="0.2">
      <c r="A154" s="30" t="s">
        <v>2288</v>
      </c>
      <c r="B154" s="38" t="s">
        <v>1834</v>
      </c>
      <c r="C154" s="38" t="s">
        <v>1861</v>
      </c>
      <c r="D154" s="38" t="s">
        <v>1836</v>
      </c>
      <c r="E154" s="80" t="s">
        <v>451</v>
      </c>
      <c r="F154" s="80" t="s">
        <v>1862</v>
      </c>
      <c r="G154" s="80" t="s">
        <v>402</v>
      </c>
      <c r="H154" s="88">
        <v>8.85</v>
      </c>
      <c r="I154" s="80" t="s">
        <v>1616</v>
      </c>
      <c r="J154" s="80" t="s">
        <v>186</v>
      </c>
      <c r="K154" s="38">
        <v>3.3999999523162842E-2</v>
      </c>
      <c r="L154" s="38">
        <v>4.1600000000000005E-2</v>
      </c>
      <c r="M154" s="132">
        <v>104220.77</v>
      </c>
      <c r="N154" s="80">
        <v>94.6</v>
      </c>
      <c r="O154" s="104">
        <v>98.592839999999995</v>
      </c>
      <c r="P154" s="38">
        <v>1.1253834882015076E-3</v>
      </c>
      <c r="Q154" s="38">
        <v>1.1943810404262638E-4</v>
      </c>
    </row>
    <row r="155" spans="1:17" x14ac:dyDescent="0.2">
      <c r="A155" s="30" t="s">
        <v>2288</v>
      </c>
      <c r="B155" s="38" t="s">
        <v>1834</v>
      </c>
      <c r="C155" s="38" t="s">
        <v>1863</v>
      </c>
      <c r="D155" s="38" t="s">
        <v>1836</v>
      </c>
      <c r="E155" s="80" t="s">
        <v>451</v>
      </c>
      <c r="F155" s="80" t="s">
        <v>1862</v>
      </c>
      <c r="G155" s="80" t="s">
        <v>402</v>
      </c>
      <c r="H155" s="88">
        <v>9.4600000000000009</v>
      </c>
      <c r="I155" s="80" t="s">
        <v>1616</v>
      </c>
      <c r="J155" s="80" t="s">
        <v>186</v>
      </c>
      <c r="K155" s="38">
        <v>3.3999999523162842E-2</v>
      </c>
      <c r="L155" s="38">
        <v>3.7199999999999997E-2</v>
      </c>
      <c r="M155" s="132">
        <v>46823.83</v>
      </c>
      <c r="N155" s="80">
        <v>98.33</v>
      </c>
      <c r="O155" s="104">
        <v>46.041870000000003</v>
      </c>
      <c r="P155" s="38">
        <v>5.2554283114189992E-4</v>
      </c>
      <c r="Q155" s="38">
        <v>5.5776399780928091E-5</v>
      </c>
    </row>
    <row r="156" spans="1:17" x14ac:dyDescent="0.2">
      <c r="A156" s="30" t="s">
        <v>2289</v>
      </c>
      <c r="B156" s="38" t="s">
        <v>1834</v>
      </c>
      <c r="C156" s="38" t="s">
        <v>2063</v>
      </c>
      <c r="D156" s="38" t="s">
        <v>2006</v>
      </c>
      <c r="E156" s="80" t="s">
        <v>479</v>
      </c>
      <c r="F156" s="80" t="s">
        <v>2007</v>
      </c>
      <c r="G156" s="80" t="s">
        <v>402</v>
      </c>
      <c r="H156" s="88">
        <v>7.4</v>
      </c>
      <c r="I156" s="80" t="s">
        <v>1616</v>
      </c>
      <c r="J156" s="80" t="s">
        <v>186</v>
      </c>
      <c r="K156" s="38">
        <v>4.4999999999999998E-2</v>
      </c>
      <c r="L156" s="38">
        <v>2.3900000000000001E-2</v>
      </c>
      <c r="M156" s="132">
        <v>419442.03</v>
      </c>
      <c r="N156" s="80">
        <v>117.89</v>
      </c>
      <c r="O156" s="104">
        <v>494.48020000000002</v>
      </c>
      <c r="P156" s="38">
        <v>5.6442217540602253E-3</v>
      </c>
      <c r="Q156" s="38">
        <v>5.9902704470850732E-4</v>
      </c>
    </row>
    <row r="157" spans="1:17" x14ac:dyDescent="0.2">
      <c r="A157" s="30" t="s">
        <v>2289</v>
      </c>
      <c r="B157" s="38" t="s">
        <v>1834</v>
      </c>
      <c r="C157" s="38" t="s">
        <v>2115</v>
      </c>
      <c r="D157" s="38" t="s">
        <v>2006</v>
      </c>
      <c r="E157" s="80" t="s">
        <v>479</v>
      </c>
      <c r="F157" s="80" t="s">
        <v>2116</v>
      </c>
      <c r="G157" s="80" t="s">
        <v>402</v>
      </c>
      <c r="H157" s="88">
        <v>7.19</v>
      </c>
      <c r="I157" s="80" t="s">
        <v>1616</v>
      </c>
      <c r="J157" s="80" t="s">
        <v>186</v>
      </c>
      <c r="K157" s="38">
        <v>4.4999999999999998E-2</v>
      </c>
      <c r="L157" s="38">
        <v>3.4000000000000002E-2</v>
      </c>
      <c r="M157" s="132">
        <v>766382.45</v>
      </c>
      <c r="N157" s="80">
        <v>109.75</v>
      </c>
      <c r="O157" s="104">
        <v>841.10473000000002</v>
      </c>
      <c r="P157" s="38">
        <v>9.6007516873455236E-3</v>
      </c>
      <c r="Q157" s="38">
        <v>1.0189376252117818E-3</v>
      </c>
    </row>
    <row r="158" spans="1:17" x14ac:dyDescent="0.2">
      <c r="A158" s="30" t="s">
        <v>2289</v>
      </c>
      <c r="B158" s="38" t="s">
        <v>180</v>
      </c>
      <c r="C158" s="38" t="s">
        <v>2131</v>
      </c>
      <c r="D158" s="38" t="s">
        <v>2006</v>
      </c>
      <c r="E158" s="80" t="s">
        <v>479</v>
      </c>
      <c r="F158" s="80" t="s">
        <v>2132</v>
      </c>
      <c r="G158" s="80" t="s">
        <v>402</v>
      </c>
      <c r="H158" s="88">
        <v>6.98</v>
      </c>
      <c r="I158" s="80" t="s">
        <v>1616</v>
      </c>
      <c r="J158" s="80" t="s">
        <v>186</v>
      </c>
      <c r="K158" s="38">
        <v>4.4999999999999998E-2</v>
      </c>
      <c r="L158" s="38">
        <v>4.4000000000000004E-2</v>
      </c>
      <c r="M158" s="132">
        <v>42044.44</v>
      </c>
      <c r="N158" s="80">
        <v>102.39</v>
      </c>
      <c r="O158" s="104">
        <v>43.049300000000002</v>
      </c>
      <c r="P158" s="38">
        <v>4.91384276978259E-4</v>
      </c>
      <c r="Q158" s="38">
        <v>5.2151117387045914E-5</v>
      </c>
    </row>
    <row r="159" spans="1:17" x14ac:dyDescent="0.2">
      <c r="A159" s="30" t="s">
        <v>2289</v>
      </c>
      <c r="B159" s="38" t="s">
        <v>1834</v>
      </c>
      <c r="C159" s="38" t="s">
        <v>2044</v>
      </c>
      <c r="D159" s="38" t="s">
        <v>2006</v>
      </c>
      <c r="E159" s="80" t="s">
        <v>479</v>
      </c>
      <c r="F159" s="80" t="s">
        <v>2007</v>
      </c>
      <c r="G159" s="80" t="s">
        <v>402</v>
      </c>
      <c r="H159" s="88">
        <v>7.4</v>
      </c>
      <c r="I159" s="80" t="s">
        <v>1616</v>
      </c>
      <c r="J159" s="80" t="s">
        <v>186</v>
      </c>
      <c r="K159" s="38">
        <v>4.4999999999999998E-2</v>
      </c>
      <c r="L159" s="38">
        <v>2.4000000000000004E-2</v>
      </c>
      <c r="M159" s="132">
        <v>407771.59</v>
      </c>
      <c r="N159" s="80">
        <v>116.94</v>
      </c>
      <c r="O159" s="104">
        <v>476.84809000000001</v>
      </c>
      <c r="P159" s="38">
        <v>5.4429608363693194E-3</v>
      </c>
      <c r="Q159" s="38">
        <v>5.7766701705669159E-4</v>
      </c>
    </row>
    <row r="160" spans="1:17" x14ac:dyDescent="0.2">
      <c r="A160" s="30" t="s">
        <v>2289</v>
      </c>
      <c r="B160" s="38" t="s">
        <v>1834</v>
      </c>
      <c r="C160" s="38" t="s">
        <v>2005</v>
      </c>
      <c r="D160" s="38" t="s">
        <v>2006</v>
      </c>
      <c r="E160" s="80" t="s">
        <v>479</v>
      </c>
      <c r="F160" s="80" t="s">
        <v>2007</v>
      </c>
      <c r="G160" s="80" t="s">
        <v>402</v>
      </c>
      <c r="H160" s="88">
        <v>7.4</v>
      </c>
      <c r="I160" s="80" t="s">
        <v>1616</v>
      </c>
      <c r="J160" s="80" t="s">
        <v>186</v>
      </c>
      <c r="K160" s="38">
        <v>4.4999999999999998E-2</v>
      </c>
      <c r="L160" s="38">
        <v>2.41E-2</v>
      </c>
      <c r="M160" s="132">
        <v>565818.94999999995</v>
      </c>
      <c r="N160" s="80">
        <v>116.22</v>
      </c>
      <c r="O160" s="104">
        <v>657.59478000000001</v>
      </c>
      <c r="P160" s="38">
        <v>7.50608570905862E-3</v>
      </c>
      <c r="Q160" s="38">
        <v>7.9662857618796666E-4</v>
      </c>
    </row>
    <row r="161" spans="1:17" x14ac:dyDescent="0.2">
      <c r="A161" s="30" t="s">
        <v>2289</v>
      </c>
      <c r="B161" s="38" t="s">
        <v>1834</v>
      </c>
      <c r="C161" s="38" t="s">
        <v>2045</v>
      </c>
      <c r="D161" s="38" t="s">
        <v>2006</v>
      </c>
      <c r="E161" s="80" t="s">
        <v>479</v>
      </c>
      <c r="F161" s="80" t="s">
        <v>2007</v>
      </c>
      <c r="G161" s="80" t="s">
        <v>402</v>
      </c>
      <c r="H161" s="88">
        <v>7.4</v>
      </c>
      <c r="I161" s="80" t="s">
        <v>1616</v>
      </c>
      <c r="J161" s="80" t="s">
        <v>186</v>
      </c>
      <c r="K161" s="38">
        <v>4.4999999999999998E-2</v>
      </c>
      <c r="L161" s="38">
        <v>2.4E-2</v>
      </c>
      <c r="M161" s="132">
        <v>383668.24</v>
      </c>
      <c r="N161" s="80">
        <v>116.94</v>
      </c>
      <c r="O161" s="104">
        <v>448.66163</v>
      </c>
      <c r="P161" s="38">
        <v>5.1212277706126959E-3</v>
      </c>
      <c r="Q161" s="38">
        <v>5.4352115674803907E-4</v>
      </c>
    </row>
    <row r="162" spans="1:17" x14ac:dyDescent="0.2">
      <c r="A162" s="30" t="s">
        <v>2289</v>
      </c>
      <c r="B162" s="38" t="s">
        <v>1834</v>
      </c>
      <c r="C162" s="38" t="s">
        <v>2064</v>
      </c>
      <c r="D162" s="38" t="s">
        <v>2006</v>
      </c>
      <c r="E162" s="80" t="s">
        <v>479</v>
      </c>
      <c r="F162" s="80" t="s">
        <v>2007</v>
      </c>
      <c r="G162" s="80" t="s">
        <v>402</v>
      </c>
      <c r="H162" s="88">
        <v>7.36</v>
      </c>
      <c r="I162" s="80" t="s">
        <v>1616</v>
      </c>
      <c r="J162" s="80" t="s">
        <v>186</v>
      </c>
      <c r="K162" s="38">
        <v>4.4999999999999998E-2</v>
      </c>
      <c r="L162" s="38">
        <v>2.6000000000000002E-2</v>
      </c>
      <c r="M162" s="132">
        <v>294985.45</v>
      </c>
      <c r="N162" s="80">
        <v>116</v>
      </c>
      <c r="O162" s="104">
        <v>342.18311999999997</v>
      </c>
      <c r="P162" s="38">
        <v>3.9058336608345503E-3</v>
      </c>
      <c r="Q162" s="38">
        <v>4.1453013310287549E-4</v>
      </c>
    </row>
    <row r="163" spans="1:17" x14ac:dyDescent="0.2">
      <c r="A163" s="30" t="s">
        <v>2289</v>
      </c>
      <c r="B163" s="38" t="s">
        <v>1834</v>
      </c>
      <c r="C163" s="38" t="s">
        <v>2117</v>
      </c>
      <c r="D163" s="38" t="s">
        <v>2006</v>
      </c>
      <c r="E163" s="80" t="s">
        <v>479</v>
      </c>
      <c r="F163" s="80" t="s">
        <v>653</v>
      </c>
      <c r="G163" s="80" t="s">
        <v>402</v>
      </c>
      <c r="H163" s="88">
        <v>7.1</v>
      </c>
      <c r="I163" s="80" t="s">
        <v>1616</v>
      </c>
      <c r="J163" s="80" t="s">
        <v>186</v>
      </c>
      <c r="K163" s="38">
        <v>4.4999999999999998E-2</v>
      </c>
      <c r="L163" s="38">
        <v>3.8000000000000006E-2</v>
      </c>
      <c r="M163" s="132">
        <v>144118.32999999999</v>
      </c>
      <c r="N163" s="80">
        <v>106.19</v>
      </c>
      <c r="O163" s="104">
        <v>153.03925000000001</v>
      </c>
      <c r="P163" s="38">
        <v>1.7468595589369632E-3</v>
      </c>
      <c r="Q163" s="38">
        <v>1.8539599695176152E-4</v>
      </c>
    </row>
    <row r="164" spans="1:17" x14ac:dyDescent="0.2">
      <c r="A164" s="30" t="s">
        <v>2290</v>
      </c>
      <c r="B164" s="38" t="s">
        <v>180</v>
      </c>
      <c r="C164" s="38" t="s">
        <v>2133</v>
      </c>
      <c r="D164" s="38" t="s">
        <v>2006</v>
      </c>
      <c r="E164" s="80" t="s">
        <v>479</v>
      </c>
      <c r="F164" s="80" t="s">
        <v>2134</v>
      </c>
      <c r="G164" s="80" t="s">
        <v>402</v>
      </c>
      <c r="H164" s="88">
        <v>7.13</v>
      </c>
      <c r="I164" s="80" t="s">
        <v>1616</v>
      </c>
      <c r="J164" s="80" t="s">
        <v>186</v>
      </c>
      <c r="K164" s="38">
        <v>4.4999999999999998E-2</v>
      </c>
      <c r="L164" s="38">
        <v>5.8899999999999994E-2</v>
      </c>
      <c r="M164" s="132">
        <v>108935.38</v>
      </c>
      <c r="N164" s="80">
        <v>91.33</v>
      </c>
      <c r="O164" s="104">
        <v>99.490679999999998</v>
      </c>
      <c r="P164" s="38">
        <v>1.1356318420479617E-3</v>
      </c>
      <c r="Q164" s="38">
        <v>1.2052577234930698E-4</v>
      </c>
    </row>
    <row r="165" spans="1:17" x14ac:dyDescent="0.2">
      <c r="A165" s="30" t="s">
        <v>2289</v>
      </c>
      <c r="B165" s="38" t="s">
        <v>1834</v>
      </c>
      <c r="C165" s="38" t="s">
        <v>2067</v>
      </c>
      <c r="D165" s="38" t="s">
        <v>2006</v>
      </c>
      <c r="E165" s="80" t="s">
        <v>479</v>
      </c>
      <c r="F165" s="80" t="s">
        <v>2007</v>
      </c>
      <c r="G165" s="80" t="s">
        <v>402</v>
      </c>
      <c r="H165" s="88">
        <v>7.27</v>
      </c>
      <c r="I165" s="80" t="s">
        <v>1616</v>
      </c>
      <c r="J165" s="80" t="s">
        <v>186</v>
      </c>
      <c r="K165" s="38">
        <v>4.4999999999999998E-2</v>
      </c>
      <c r="L165" s="38">
        <v>3.0300000000000001E-2</v>
      </c>
      <c r="M165" s="132">
        <v>385692.38</v>
      </c>
      <c r="N165" s="80">
        <v>111.72</v>
      </c>
      <c r="O165" s="104">
        <v>430.89552000000003</v>
      </c>
      <c r="P165" s="38">
        <v>4.9184373160160774E-3</v>
      </c>
      <c r="Q165" s="38">
        <v>5.2199879777539216E-4</v>
      </c>
    </row>
    <row r="166" spans="1:17" x14ac:dyDescent="0.2">
      <c r="A166" s="30" t="s">
        <v>2289</v>
      </c>
      <c r="B166" s="38" t="s">
        <v>180</v>
      </c>
      <c r="C166" s="38" t="s">
        <v>2135</v>
      </c>
      <c r="D166" s="38" t="s">
        <v>2006</v>
      </c>
      <c r="E166" s="80" t="s">
        <v>479</v>
      </c>
      <c r="F166" s="80" t="s">
        <v>2136</v>
      </c>
      <c r="G166" s="80" t="s">
        <v>402</v>
      </c>
      <c r="H166" s="88">
        <v>7</v>
      </c>
      <c r="I166" s="80" t="s">
        <v>1616</v>
      </c>
      <c r="J166" s="80" t="s">
        <v>186</v>
      </c>
      <c r="K166" s="38">
        <v>4.4999999999999998E-2</v>
      </c>
      <c r="L166" s="38">
        <v>3.9800000000000002E-2</v>
      </c>
      <c r="M166" s="132">
        <v>105463.91</v>
      </c>
      <c r="N166" s="80">
        <v>103.1</v>
      </c>
      <c r="O166" s="104">
        <v>108.73329</v>
      </c>
      <c r="P166" s="38">
        <v>1.2411311935412968E-3</v>
      </c>
      <c r="Q166" s="38">
        <v>1.3172252674653723E-4</v>
      </c>
    </row>
    <row r="167" spans="1:17" x14ac:dyDescent="0.2">
      <c r="A167" s="30" t="s">
        <v>2289</v>
      </c>
      <c r="B167" s="38" t="s">
        <v>1834</v>
      </c>
      <c r="C167" s="38" t="s">
        <v>2012</v>
      </c>
      <c r="D167" s="38" t="s">
        <v>2006</v>
      </c>
      <c r="E167" s="80" t="s">
        <v>479</v>
      </c>
      <c r="F167" s="80" t="s">
        <v>2007</v>
      </c>
      <c r="G167" s="80" t="s">
        <v>402</v>
      </c>
      <c r="H167" s="88">
        <v>7.4</v>
      </c>
      <c r="I167" s="80" t="s">
        <v>1616</v>
      </c>
      <c r="J167" s="80" t="s">
        <v>186</v>
      </c>
      <c r="K167" s="38">
        <v>4.4999999999999998E-2</v>
      </c>
      <c r="L167" s="38">
        <v>2.4E-2</v>
      </c>
      <c r="M167" s="132">
        <v>111006.56</v>
      </c>
      <c r="N167" s="80">
        <v>116.25</v>
      </c>
      <c r="O167" s="104">
        <v>129.04512</v>
      </c>
      <c r="P167" s="38">
        <v>1.4729796532991861E-3</v>
      </c>
      <c r="Q167" s="38">
        <v>1.5632884161520457E-4</v>
      </c>
    </row>
    <row r="168" spans="1:17" x14ac:dyDescent="0.2">
      <c r="A168" s="30" t="s">
        <v>2289</v>
      </c>
      <c r="B168" s="38" t="s">
        <v>1834</v>
      </c>
      <c r="C168" s="38" t="s">
        <v>2051</v>
      </c>
      <c r="D168" s="38" t="s">
        <v>2006</v>
      </c>
      <c r="E168" s="80" t="s">
        <v>479</v>
      </c>
      <c r="F168" s="80" t="s">
        <v>2007</v>
      </c>
      <c r="G168" s="80" t="s">
        <v>402</v>
      </c>
      <c r="H168" s="88">
        <v>7.4</v>
      </c>
      <c r="I168" s="80" t="s">
        <v>1616</v>
      </c>
      <c r="J168" s="80" t="s">
        <v>186</v>
      </c>
      <c r="K168" s="38">
        <v>4.4999999999999998E-2</v>
      </c>
      <c r="L168" s="38">
        <v>2.4000000000000004E-2</v>
      </c>
      <c r="M168" s="132">
        <v>203866.61</v>
      </c>
      <c r="N168" s="80">
        <v>116.3</v>
      </c>
      <c r="O168" s="104">
        <v>237.09685999999999</v>
      </c>
      <c r="P168" s="38">
        <v>2.7063313253622122E-3</v>
      </c>
      <c r="Q168" s="38">
        <v>2.872257197668717E-4</v>
      </c>
    </row>
    <row r="169" spans="1:17" x14ac:dyDescent="0.2">
      <c r="A169" s="30" t="s">
        <v>2289</v>
      </c>
      <c r="B169" s="38" t="s">
        <v>1834</v>
      </c>
      <c r="C169" s="38" t="s">
        <v>2068</v>
      </c>
      <c r="D169" s="38" t="s">
        <v>2006</v>
      </c>
      <c r="E169" s="80" t="s">
        <v>479</v>
      </c>
      <c r="F169" s="80" t="s">
        <v>2007</v>
      </c>
      <c r="G169" s="80" t="s">
        <v>402</v>
      </c>
      <c r="H169" s="88">
        <v>7.27</v>
      </c>
      <c r="I169" s="80" t="s">
        <v>1616</v>
      </c>
      <c r="J169" s="80" t="s">
        <v>186</v>
      </c>
      <c r="K169" s="38">
        <v>4.4999999999999998E-2</v>
      </c>
      <c r="L169" s="38">
        <v>3.0300000000000001E-2</v>
      </c>
      <c r="M169" s="132">
        <v>158036.85</v>
      </c>
      <c r="N169" s="80">
        <v>111.71</v>
      </c>
      <c r="O169" s="104">
        <v>176.54295999999999</v>
      </c>
      <c r="P169" s="38">
        <v>2.0151415877889228E-3</v>
      </c>
      <c r="Q169" s="38">
        <v>2.1386904388263108E-4</v>
      </c>
    </row>
    <row r="170" spans="1:17" x14ac:dyDescent="0.2">
      <c r="A170" s="30" t="s">
        <v>2289</v>
      </c>
      <c r="B170" s="38" t="s">
        <v>1834</v>
      </c>
      <c r="C170" s="38" t="s">
        <v>2128</v>
      </c>
      <c r="D170" s="38" t="s">
        <v>2006</v>
      </c>
      <c r="E170" s="80" t="s">
        <v>479</v>
      </c>
      <c r="F170" s="80" t="s">
        <v>2129</v>
      </c>
      <c r="G170" s="80" t="s">
        <v>402</v>
      </c>
      <c r="H170" s="88">
        <v>7.07</v>
      </c>
      <c r="I170" s="80" t="s">
        <v>1616</v>
      </c>
      <c r="J170" s="80" t="s">
        <v>186</v>
      </c>
      <c r="K170" s="38">
        <v>4.4999999999999998E-2</v>
      </c>
      <c r="L170" s="38">
        <v>3.9099999999999996E-2</v>
      </c>
      <c r="M170" s="132">
        <v>181939.11</v>
      </c>
      <c r="N170" s="80">
        <v>105.51</v>
      </c>
      <c r="O170" s="104">
        <v>191.96395000000001</v>
      </c>
      <c r="P170" s="38">
        <v>2.1911637768010318E-3</v>
      </c>
      <c r="Q170" s="38">
        <v>2.3255045936939771E-4</v>
      </c>
    </row>
    <row r="171" spans="1:17" x14ac:dyDescent="0.2">
      <c r="A171" s="30" t="s">
        <v>2289</v>
      </c>
      <c r="B171" s="38" t="s">
        <v>1834</v>
      </c>
      <c r="C171" s="38" t="s">
        <v>2056</v>
      </c>
      <c r="D171" s="38" t="s">
        <v>2006</v>
      </c>
      <c r="E171" s="80" t="s">
        <v>479</v>
      </c>
      <c r="F171" s="80" t="s">
        <v>2007</v>
      </c>
      <c r="G171" s="80" t="s">
        <v>402</v>
      </c>
      <c r="H171" s="88">
        <v>7.4</v>
      </c>
      <c r="I171" s="80" t="s">
        <v>1616</v>
      </c>
      <c r="J171" s="80" t="s">
        <v>186</v>
      </c>
      <c r="K171" s="38">
        <v>4.4999999999999998E-2</v>
      </c>
      <c r="L171" s="38">
        <v>2.5600000000000001E-2</v>
      </c>
      <c r="M171" s="132">
        <v>353052.92</v>
      </c>
      <c r="N171" s="80">
        <v>116.7</v>
      </c>
      <c r="O171" s="104">
        <v>412.01274999999998</v>
      </c>
      <c r="P171" s="38">
        <v>4.7029007966348851E-3</v>
      </c>
      <c r="Q171" s="38">
        <v>4.9912368587200261E-4</v>
      </c>
    </row>
    <row r="172" spans="1:17" x14ac:dyDescent="0.2">
      <c r="A172" s="30" t="s">
        <v>2289</v>
      </c>
      <c r="B172" s="38" t="s">
        <v>1834</v>
      </c>
      <c r="C172" s="38" t="s">
        <v>2109</v>
      </c>
      <c r="D172" s="38" t="s">
        <v>2006</v>
      </c>
      <c r="E172" s="80" t="s">
        <v>479</v>
      </c>
      <c r="F172" s="80" t="s">
        <v>2007</v>
      </c>
      <c r="G172" s="80" t="s">
        <v>402</v>
      </c>
      <c r="H172" s="88">
        <v>7.32</v>
      </c>
      <c r="I172" s="80" t="s">
        <v>1616</v>
      </c>
      <c r="J172" s="80" t="s">
        <v>186</v>
      </c>
      <c r="K172" s="38">
        <v>4.4999999999999998E-2</v>
      </c>
      <c r="L172" s="38">
        <v>2.7700000000000002E-2</v>
      </c>
      <c r="M172" s="132">
        <v>119566.52</v>
      </c>
      <c r="N172" s="80">
        <v>114</v>
      </c>
      <c r="O172" s="104">
        <v>136.30582999999999</v>
      </c>
      <c r="P172" s="38">
        <v>1.5558566973788532E-3</v>
      </c>
      <c r="Q172" s="38">
        <v>1.6512466732022875E-4</v>
      </c>
    </row>
    <row r="173" spans="1:17" x14ac:dyDescent="0.2">
      <c r="A173" s="30" t="s">
        <v>2289</v>
      </c>
      <c r="B173" s="38" t="s">
        <v>1834</v>
      </c>
      <c r="C173" s="38" t="s">
        <v>2130</v>
      </c>
      <c r="D173" s="38" t="s">
        <v>2006</v>
      </c>
      <c r="E173" s="80" t="s">
        <v>479</v>
      </c>
      <c r="F173" s="80" t="s">
        <v>1267</v>
      </c>
      <c r="G173" s="80" t="s">
        <v>402</v>
      </c>
      <c r="H173" s="88">
        <v>6.99</v>
      </c>
      <c r="I173" s="80" t="s">
        <v>1616</v>
      </c>
      <c r="J173" s="80" t="s">
        <v>186</v>
      </c>
      <c r="K173" s="38">
        <v>4.4999999999999998E-2</v>
      </c>
      <c r="L173" s="38">
        <v>4.3599999999999993E-2</v>
      </c>
      <c r="M173" s="132">
        <v>56265.94</v>
      </c>
      <c r="N173" s="80">
        <v>101.97</v>
      </c>
      <c r="O173" s="104">
        <v>57.374370000000006</v>
      </c>
      <c r="P173" s="38">
        <v>6.5489713699254371E-4</v>
      </c>
      <c r="Q173" s="38">
        <v>6.9504904954965718E-5</v>
      </c>
    </row>
    <row r="174" spans="1:17" x14ac:dyDescent="0.2">
      <c r="A174" s="30" t="s">
        <v>2291</v>
      </c>
      <c r="B174" s="38" t="s">
        <v>180</v>
      </c>
      <c r="C174" s="38" t="s">
        <v>2110</v>
      </c>
      <c r="D174" s="38" t="s">
        <v>2111</v>
      </c>
      <c r="E174" s="80" t="s">
        <v>479</v>
      </c>
      <c r="F174" s="80" t="s">
        <v>2112</v>
      </c>
      <c r="G174" s="80" t="s">
        <v>402</v>
      </c>
      <c r="H174" s="88">
        <v>6.2</v>
      </c>
      <c r="I174" s="80" t="s">
        <v>1616</v>
      </c>
      <c r="J174" s="80" t="s">
        <v>186</v>
      </c>
      <c r="K174" s="38">
        <v>3.44E-2</v>
      </c>
      <c r="L174" s="38">
        <v>2.930000000000001E-2</v>
      </c>
      <c r="M174" s="132">
        <v>588664.56999999995</v>
      </c>
      <c r="N174" s="80">
        <v>104.45</v>
      </c>
      <c r="O174" s="104">
        <v>614.86014</v>
      </c>
      <c r="P174" s="38">
        <v>7.0182931043397002E-3</v>
      </c>
      <c r="Q174" s="38">
        <v>7.4485864666221015E-4</v>
      </c>
    </row>
    <row r="175" spans="1:17" x14ac:dyDescent="0.2">
      <c r="A175" s="30" t="s">
        <v>2292</v>
      </c>
      <c r="B175" s="38" t="s">
        <v>180</v>
      </c>
      <c r="C175" s="38" t="s">
        <v>2113</v>
      </c>
      <c r="D175" s="38" t="s">
        <v>2114</v>
      </c>
      <c r="E175" s="80" t="s">
        <v>479</v>
      </c>
      <c r="F175" s="80" t="s">
        <v>2112</v>
      </c>
      <c r="G175" s="80" t="s">
        <v>402</v>
      </c>
      <c r="H175" s="88">
        <v>6.15</v>
      </c>
      <c r="I175" s="80" t="s">
        <v>1616</v>
      </c>
      <c r="J175" s="80" t="s">
        <v>186</v>
      </c>
      <c r="K175" s="38">
        <v>3.4300000000000004E-2</v>
      </c>
      <c r="L175" s="38">
        <v>2.9300000000000003E-2</v>
      </c>
      <c r="M175" s="132">
        <v>400683.01</v>
      </c>
      <c r="N175" s="80">
        <v>104.41</v>
      </c>
      <c r="O175" s="104">
        <v>418.35313000000002</v>
      </c>
      <c r="P175" s="38">
        <v>4.7752727757859378E-3</v>
      </c>
      <c r="Q175" s="38">
        <v>5.0680459825985747E-4</v>
      </c>
    </row>
    <row r="176" spans="1:17" x14ac:dyDescent="0.2">
      <c r="A176" s="30" t="s">
        <v>2293</v>
      </c>
      <c r="B176" s="38" t="s">
        <v>180</v>
      </c>
      <c r="C176" s="38" t="s">
        <v>1956</v>
      </c>
      <c r="D176" s="38" t="s">
        <v>527</v>
      </c>
      <c r="E176" s="80" t="s">
        <v>1909</v>
      </c>
      <c r="F176" s="80" t="s">
        <v>1955</v>
      </c>
      <c r="G176" s="80" t="s">
        <v>1830</v>
      </c>
      <c r="H176" s="88">
        <v>5.58</v>
      </c>
      <c r="I176" s="80" t="s">
        <v>1911</v>
      </c>
      <c r="J176" s="80" t="s">
        <v>186</v>
      </c>
      <c r="K176" s="38">
        <v>3.95E-2</v>
      </c>
      <c r="L176" s="38">
        <v>5.3E-3</v>
      </c>
      <c r="M176" s="132">
        <v>646734.64</v>
      </c>
      <c r="N176" s="80">
        <v>121.25</v>
      </c>
      <c r="O176" s="104">
        <v>784.16575</v>
      </c>
      <c r="P176" s="38">
        <v>8.9508242897065483E-3</v>
      </c>
      <c r="Q176" s="38">
        <v>9.4996016379246355E-4</v>
      </c>
    </row>
    <row r="177" spans="1:17" x14ac:dyDescent="0.2">
      <c r="A177" s="30" t="s">
        <v>2293</v>
      </c>
      <c r="B177" s="38" t="s">
        <v>180</v>
      </c>
      <c r="C177" s="38" t="s">
        <v>1954</v>
      </c>
      <c r="D177" s="38" t="s">
        <v>527</v>
      </c>
      <c r="E177" s="80" t="s">
        <v>1909</v>
      </c>
      <c r="F177" s="80" t="s">
        <v>1955</v>
      </c>
      <c r="G177" s="80" t="s">
        <v>1830</v>
      </c>
      <c r="H177" s="88">
        <v>5.97</v>
      </c>
      <c r="I177" s="80" t="s">
        <v>1911</v>
      </c>
      <c r="J177" s="80" t="s">
        <v>186</v>
      </c>
      <c r="K177" s="38">
        <v>3.95E-2</v>
      </c>
      <c r="L177" s="38">
        <v>5.4999999999999997E-3</v>
      </c>
      <c r="M177" s="132">
        <v>115939.32</v>
      </c>
      <c r="N177" s="80">
        <v>122.62</v>
      </c>
      <c r="O177" s="104">
        <v>142.16479000000001</v>
      </c>
      <c r="P177" s="38">
        <v>1.6227335298347712E-3</v>
      </c>
      <c r="Q177" s="38">
        <v>1.7222237415230287E-4</v>
      </c>
    </row>
    <row r="178" spans="1:17" x14ac:dyDescent="0.2">
      <c r="A178" s="30" t="s">
        <v>2294</v>
      </c>
      <c r="B178" s="38" t="s">
        <v>180</v>
      </c>
      <c r="C178" s="38" t="s">
        <v>2143</v>
      </c>
      <c r="D178" s="38" t="s">
        <v>2144</v>
      </c>
      <c r="E178" s="80" t="s">
        <v>479</v>
      </c>
      <c r="F178" s="80" t="s">
        <v>2145</v>
      </c>
      <c r="G178" s="80" t="s">
        <v>402</v>
      </c>
      <c r="H178" s="88">
        <v>9.1300000000000008</v>
      </c>
      <c r="I178" s="80" t="s">
        <v>1616</v>
      </c>
      <c r="J178" s="80" t="s">
        <v>186</v>
      </c>
      <c r="K178" s="38">
        <v>3.4200000000000001E-2</v>
      </c>
      <c r="L178" s="38">
        <v>4.5599999999999995E-2</v>
      </c>
      <c r="M178" s="132">
        <v>4198936.58</v>
      </c>
      <c r="N178" s="80">
        <v>90.65</v>
      </c>
      <c r="O178" s="104">
        <v>3806.3359999999998</v>
      </c>
      <c r="P178" s="38">
        <v>4.3447249160760294E-2</v>
      </c>
      <c r="Q178" s="38">
        <v>4.6111011224465618E-3</v>
      </c>
    </row>
    <row r="179" spans="1:17" x14ac:dyDescent="0.2">
      <c r="A179" s="30" t="s">
        <v>2295</v>
      </c>
      <c r="B179" s="38" t="s">
        <v>180</v>
      </c>
      <c r="C179" s="38" t="s">
        <v>2015</v>
      </c>
      <c r="D179" s="38" t="s">
        <v>2016</v>
      </c>
      <c r="E179" s="80" t="s">
        <v>1909</v>
      </c>
      <c r="F179" s="80" t="s">
        <v>2017</v>
      </c>
      <c r="G179" s="80" t="s">
        <v>1830</v>
      </c>
      <c r="H179" s="88">
        <v>1.84</v>
      </c>
      <c r="I179" s="80" t="s">
        <v>1911</v>
      </c>
      <c r="J179" s="80" t="s">
        <v>186</v>
      </c>
      <c r="K179" s="38">
        <v>2.2799999999999997E-2</v>
      </c>
      <c r="L179" s="38">
        <v>2.47E-2</v>
      </c>
      <c r="M179" s="132">
        <v>1424543.02</v>
      </c>
      <c r="N179" s="80">
        <v>99.7</v>
      </c>
      <c r="O179" s="104">
        <v>1420.2693899999999</v>
      </c>
      <c r="P179" s="38">
        <v>1.6211600358647011E-2</v>
      </c>
      <c r="Q179" s="38">
        <v>1.7205537762313926E-3</v>
      </c>
    </row>
    <row r="180" spans="1:17" x14ac:dyDescent="0.2">
      <c r="A180" s="30" t="s">
        <v>2296</v>
      </c>
      <c r="B180" s="38" t="s">
        <v>1834</v>
      </c>
      <c r="C180" s="38" t="s">
        <v>1907</v>
      </c>
      <c r="D180" s="38" t="s">
        <v>1908</v>
      </c>
      <c r="E180" s="80" t="s">
        <v>1909</v>
      </c>
      <c r="F180" s="80" t="s">
        <v>1910</v>
      </c>
      <c r="G180" s="80" t="s">
        <v>1830</v>
      </c>
      <c r="H180" s="88">
        <v>1.1599999999999999</v>
      </c>
      <c r="I180" s="80" t="s">
        <v>1911</v>
      </c>
      <c r="J180" s="80" t="s">
        <v>186</v>
      </c>
      <c r="K180" s="38">
        <v>4.0500000000000001E-2</v>
      </c>
      <c r="L180" s="38">
        <v>1.23E-2</v>
      </c>
      <c r="M180" s="132">
        <v>544865.87</v>
      </c>
      <c r="N180" s="80">
        <v>106.48</v>
      </c>
      <c r="O180" s="104">
        <v>580.17317000000003</v>
      </c>
      <c r="P180" s="38">
        <v>6.622360262829698E-3</v>
      </c>
      <c r="Q180" s="38">
        <v>7.0283788803730948E-4</v>
      </c>
    </row>
    <row r="181" spans="1:17" x14ac:dyDescent="0.2">
      <c r="A181" s="30" t="s">
        <v>2297</v>
      </c>
      <c r="B181" s="38" t="s">
        <v>1834</v>
      </c>
      <c r="C181" s="38" t="s">
        <v>2127</v>
      </c>
      <c r="D181" s="38" t="s">
        <v>2026</v>
      </c>
      <c r="E181" s="80" t="s">
        <v>1909</v>
      </c>
      <c r="F181" s="80" t="s">
        <v>2126</v>
      </c>
      <c r="G181" s="80" t="s">
        <v>1830</v>
      </c>
      <c r="H181" s="88">
        <v>3.12</v>
      </c>
      <c r="I181" s="80" t="s">
        <v>1911</v>
      </c>
      <c r="J181" s="80" t="s">
        <v>186</v>
      </c>
      <c r="K181" s="38">
        <v>0.03</v>
      </c>
      <c r="L181" s="38">
        <v>3.0099999999999998E-2</v>
      </c>
      <c r="M181" s="132">
        <v>217186.53</v>
      </c>
      <c r="N181" s="80">
        <v>101.54</v>
      </c>
      <c r="O181" s="104">
        <v>220.53120000000001</v>
      </c>
      <c r="P181" s="38">
        <v>2.5172433526944181E-3</v>
      </c>
      <c r="Q181" s="38">
        <v>2.6715761925759769E-4</v>
      </c>
    </row>
    <row r="182" spans="1:17" x14ac:dyDescent="0.2">
      <c r="A182" s="30" t="s">
        <v>2297</v>
      </c>
      <c r="B182" s="38" t="s">
        <v>1834</v>
      </c>
      <c r="C182" s="38" t="s">
        <v>2025</v>
      </c>
      <c r="D182" s="38" t="s">
        <v>2026</v>
      </c>
      <c r="E182" s="80" t="s">
        <v>1909</v>
      </c>
      <c r="F182" s="80" t="s">
        <v>2024</v>
      </c>
      <c r="G182" s="80" t="s">
        <v>1830</v>
      </c>
      <c r="H182" s="88">
        <v>3.14</v>
      </c>
      <c r="I182" s="80" t="s">
        <v>1911</v>
      </c>
      <c r="J182" s="80" t="s">
        <v>186</v>
      </c>
      <c r="K182" s="38">
        <v>0.03</v>
      </c>
      <c r="L182" s="38">
        <v>2.9799999999999997E-2</v>
      </c>
      <c r="M182" s="132">
        <v>944505.08</v>
      </c>
      <c r="N182" s="80">
        <v>100.42</v>
      </c>
      <c r="O182" s="104">
        <v>948.47199999999998</v>
      </c>
      <c r="P182" s="38">
        <v>1.0826290507723079E-2</v>
      </c>
      <c r="Q182" s="38">
        <v>1.149005317399498E-3</v>
      </c>
    </row>
    <row r="183" spans="1:17" x14ac:dyDescent="0.2">
      <c r="A183" s="30" t="s">
        <v>2298</v>
      </c>
      <c r="B183" s="38" t="s">
        <v>180</v>
      </c>
      <c r="C183" s="38" t="s">
        <v>1997</v>
      </c>
      <c r="D183" s="38" t="s">
        <v>1998</v>
      </c>
      <c r="E183" s="80" t="s">
        <v>1999</v>
      </c>
      <c r="F183" s="80" t="s">
        <v>2000</v>
      </c>
      <c r="G183" s="80" t="s">
        <v>1830</v>
      </c>
      <c r="H183" s="88">
        <v>3.12</v>
      </c>
      <c r="I183" s="80" t="s">
        <v>1911</v>
      </c>
      <c r="J183" s="80" t="s">
        <v>186</v>
      </c>
      <c r="K183" s="38">
        <v>0.03</v>
      </c>
      <c r="L183" s="38">
        <v>1.1399999999999999E-2</v>
      </c>
      <c r="M183" s="132">
        <v>1595250</v>
      </c>
      <c r="N183" s="80">
        <v>106.89</v>
      </c>
      <c r="O183" s="104">
        <v>1705.16272</v>
      </c>
      <c r="P183" s="38">
        <v>1.946350231705234E-2</v>
      </c>
      <c r="Q183" s="38">
        <v>2.0656814669398689E-3</v>
      </c>
    </row>
    <row r="184" spans="1:17" x14ac:dyDescent="0.2">
      <c r="A184" s="30" t="s">
        <v>2298</v>
      </c>
      <c r="B184" s="38" t="s">
        <v>180</v>
      </c>
      <c r="C184" s="38" t="s">
        <v>2010</v>
      </c>
      <c r="D184" s="38" t="s">
        <v>1998</v>
      </c>
      <c r="E184" s="80" t="s">
        <v>1999</v>
      </c>
      <c r="F184" s="80" t="s">
        <v>1163</v>
      </c>
      <c r="G184" s="80" t="s">
        <v>1830</v>
      </c>
      <c r="H184" s="88">
        <v>3.3</v>
      </c>
      <c r="I184" s="80" t="s">
        <v>1911</v>
      </c>
      <c r="J184" s="80" t="s">
        <v>186</v>
      </c>
      <c r="K184" s="38">
        <v>0.03</v>
      </c>
      <c r="L184" s="38">
        <v>1.3600000000000003E-2</v>
      </c>
      <c r="M184" s="132">
        <v>561640</v>
      </c>
      <c r="N184" s="80">
        <v>105.99</v>
      </c>
      <c r="O184" s="104">
        <v>595.28223000000003</v>
      </c>
      <c r="P184" s="38">
        <v>6.794821941043307E-3</v>
      </c>
      <c r="Q184" s="38">
        <v>7.2114142286059161E-4</v>
      </c>
    </row>
    <row r="185" spans="1:17" x14ac:dyDescent="0.2">
      <c r="A185" s="30" t="s">
        <v>2299</v>
      </c>
      <c r="B185" s="38" t="s">
        <v>1834</v>
      </c>
      <c r="C185" s="38" t="s">
        <v>2181</v>
      </c>
      <c r="D185" s="38" t="s">
        <v>2162</v>
      </c>
      <c r="E185" s="80" t="s">
        <v>1214</v>
      </c>
      <c r="F185" s="80" t="s">
        <v>2182</v>
      </c>
      <c r="G185" s="80" t="s">
        <v>185</v>
      </c>
      <c r="H185" s="88">
        <v>0</v>
      </c>
      <c r="I185" s="80" t="s">
        <v>1205</v>
      </c>
      <c r="J185" s="80" t="s">
        <v>127</v>
      </c>
      <c r="K185" s="38">
        <v>3.4209999999999997E-2</v>
      </c>
      <c r="L185" s="38">
        <v>0</v>
      </c>
      <c r="M185" s="132">
        <v>-13096.49</v>
      </c>
      <c r="N185" s="80">
        <v>21.9863</v>
      </c>
      <c r="O185" s="104">
        <v>-9.9801099999999998</v>
      </c>
      <c r="P185" s="38">
        <v>-1.1391751170201355E-4</v>
      </c>
      <c r="Q185" s="38">
        <v>-1.2090182375686267E-5</v>
      </c>
    </row>
    <row r="186" spans="1:17" x14ac:dyDescent="0.2">
      <c r="A186" s="30" t="s">
        <v>2299</v>
      </c>
      <c r="B186" s="38" t="s">
        <v>1834</v>
      </c>
      <c r="C186" s="38" t="s">
        <v>2161</v>
      </c>
      <c r="D186" s="38" t="s">
        <v>2162</v>
      </c>
      <c r="E186" s="80" t="s">
        <v>1214</v>
      </c>
      <c r="F186" s="80" t="s">
        <v>2163</v>
      </c>
      <c r="G186" s="80" t="s">
        <v>185</v>
      </c>
      <c r="H186" s="88">
        <v>0.63</v>
      </c>
      <c r="I186" s="80" t="s">
        <v>1205</v>
      </c>
      <c r="J186" s="80" t="s">
        <v>127</v>
      </c>
      <c r="K186" s="38">
        <v>3.5461300000000001E-2</v>
      </c>
      <c r="L186" s="38">
        <v>0.12659999999999999</v>
      </c>
      <c r="M186" s="132">
        <v>204795.59</v>
      </c>
      <c r="N186" s="80">
        <v>96.38</v>
      </c>
      <c r="O186" s="104">
        <v>684.12599</v>
      </c>
      <c r="P186" s="38">
        <v>7.8089249989706129E-3</v>
      </c>
      <c r="Q186" s="38">
        <v>8.2876922068463369E-4</v>
      </c>
    </row>
    <row r="187" spans="1:17" x14ac:dyDescent="0.2">
      <c r="A187" s="30" t="s">
        <v>2299</v>
      </c>
      <c r="B187" s="38" t="s">
        <v>180</v>
      </c>
      <c r="C187" s="38" t="s">
        <v>2164</v>
      </c>
      <c r="D187" s="38" t="s">
        <v>2162</v>
      </c>
      <c r="E187" s="80" t="s">
        <v>1214</v>
      </c>
      <c r="F187" s="80" t="s">
        <v>732</v>
      </c>
      <c r="G187" s="80" t="s">
        <v>185</v>
      </c>
      <c r="H187" s="88">
        <v>0.63</v>
      </c>
      <c r="I187" s="80" t="s">
        <v>1205</v>
      </c>
      <c r="J187" s="80" t="s">
        <v>127</v>
      </c>
      <c r="K187" s="38">
        <v>3.5461300000000001E-2</v>
      </c>
      <c r="L187" s="38">
        <v>0.12570000000000001</v>
      </c>
      <c r="M187" s="132">
        <v>102397.8</v>
      </c>
      <c r="N187" s="80">
        <v>96.44</v>
      </c>
      <c r="O187" s="104">
        <v>342.27596</v>
      </c>
      <c r="P187" s="38">
        <v>3.9068933787922101E-3</v>
      </c>
      <c r="Q187" s="38">
        <v>4.1464260205680074E-4</v>
      </c>
    </row>
    <row r="188" spans="1:17" x14ac:dyDescent="0.2">
      <c r="A188" s="30" t="s">
        <v>2299</v>
      </c>
      <c r="B188" s="38" t="s">
        <v>180</v>
      </c>
      <c r="C188" s="38" t="s">
        <v>2165</v>
      </c>
      <c r="D188" s="38" t="s">
        <v>2162</v>
      </c>
      <c r="E188" s="80" t="s">
        <v>1214</v>
      </c>
      <c r="F188" s="80" t="s">
        <v>1128</v>
      </c>
      <c r="G188" s="80" t="s">
        <v>185</v>
      </c>
      <c r="H188" s="88">
        <v>0.63</v>
      </c>
      <c r="I188" s="80" t="s">
        <v>1205</v>
      </c>
      <c r="J188" s="80" t="s">
        <v>127</v>
      </c>
      <c r="K188" s="38">
        <v>3.5461300000000001E-2</v>
      </c>
      <c r="L188" s="38">
        <v>0.12570000000000001</v>
      </c>
      <c r="M188" s="132">
        <v>102397.87</v>
      </c>
      <c r="N188" s="80">
        <v>96.44</v>
      </c>
      <c r="O188" s="104">
        <v>342.27618999999999</v>
      </c>
      <c r="P188" s="38">
        <v>3.9068960041167495E-3</v>
      </c>
      <c r="Q188" s="38">
        <v>4.1464288068518722E-4</v>
      </c>
    </row>
    <row r="189" spans="1:17" x14ac:dyDescent="0.2">
      <c r="A189" s="30" t="s">
        <v>2299</v>
      </c>
      <c r="B189" s="38" t="s">
        <v>180</v>
      </c>
      <c r="C189" s="38" t="s">
        <v>2169</v>
      </c>
      <c r="D189" s="38" t="s">
        <v>2162</v>
      </c>
      <c r="E189" s="80" t="s">
        <v>1214</v>
      </c>
      <c r="F189" s="80" t="s">
        <v>1742</v>
      </c>
      <c r="G189" s="80" t="s">
        <v>185</v>
      </c>
      <c r="H189" s="88">
        <v>0.63</v>
      </c>
      <c r="I189" s="80" t="s">
        <v>1205</v>
      </c>
      <c r="J189" s="80" t="s">
        <v>127</v>
      </c>
      <c r="K189" s="38">
        <v>3.5461300000000001E-2</v>
      </c>
      <c r="L189" s="38">
        <v>0.1255</v>
      </c>
      <c r="M189" s="132">
        <v>56783.21</v>
      </c>
      <c r="N189" s="80">
        <v>96.46</v>
      </c>
      <c r="O189" s="104">
        <v>189.84352999999999</v>
      </c>
      <c r="P189" s="38">
        <v>2.1669603391472197E-3</v>
      </c>
      <c r="Q189" s="38">
        <v>2.2998172370285167E-4</v>
      </c>
    </row>
    <row r="190" spans="1:17" x14ac:dyDescent="0.2">
      <c r="A190" s="30" t="s">
        <v>2299</v>
      </c>
      <c r="B190" s="38" t="s">
        <v>180</v>
      </c>
      <c r="C190" s="38" t="s">
        <v>2167</v>
      </c>
      <c r="D190" s="38" t="s">
        <v>2162</v>
      </c>
      <c r="E190" s="80" t="s">
        <v>1214</v>
      </c>
      <c r="F190" s="80" t="s">
        <v>2168</v>
      </c>
      <c r="G190" s="80" t="s">
        <v>185</v>
      </c>
      <c r="H190" s="88">
        <v>0.63</v>
      </c>
      <c r="I190" s="80" t="s">
        <v>1205</v>
      </c>
      <c r="J190" s="80" t="s">
        <v>127</v>
      </c>
      <c r="K190" s="38">
        <v>3.5461300000000001E-2</v>
      </c>
      <c r="L190" s="38">
        <v>7.0099999999999996E-2</v>
      </c>
      <c r="M190" s="132">
        <v>3230.69</v>
      </c>
      <c r="N190" s="80">
        <v>100.77</v>
      </c>
      <c r="O190" s="104">
        <v>11.283799999999999</v>
      </c>
      <c r="P190" s="38">
        <v>1.2879842191550799E-4</v>
      </c>
      <c r="Q190" s="38">
        <v>1.366950864176534E-5</v>
      </c>
    </row>
    <row r="191" spans="1:17" x14ac:dyDescent="0.2">
      <c r="A191" s="30" t="s">
        <v>2299</v>
      </c>
      <c r="B191" s="38" t="s">
        <v>180</v>
      </c>
      <c r="C191" s="38" t="s">
        <v>2166</v>
      </c>
      <c r="D191" s="38" t="s">
        <v>2162</v>
      </c>
      <c r="E191" s="80" t="s">
        <v>1214</v>
      </c>
      <c r="F191" s="80" t="s">
        <v>1742</v>
      </c>
      <c r="G191" s="80" t="s">
        <v>185</v>
      </c>
      <c r="H191" s="88">
        <v>0.63</v>
      </c>
      <c r="I191" s="80" t="s">
        <v>1205</v>
      </c>
      <c r="J191" s="80" t="s">
        <v>127</v>
      </c>
      <c r="K191" s="38">
        <v>3.5461300000000001E-2</v>
      </c>
      <c r="L191" s="38">
        <v>7.0099999999999996E-2</v>
      </c>
      <c r="M191" s="132">
        <v>7121.94</v>
      </c>
      <c r="N191" s="80">
        <v>100.77</v>
      </c>
      <c r="O191" s="104">
        <v>24.87473</v>
      </c>
      <c r="P191" s="38">
        <v>2.8393147428830217E-4</v>
      </c>
      <c r="Q191" s="38">
        <v>3.0133938628527585E-5</v>
      </c>
    </row>
    <row r="192" spans="1:17" x14ac:dyDescent="0.2">
      <c r="A192" s="30" t="s">
        <v>2300</v>
      </c>
      <c r="B192" s="38" t="s">
        <v>1834</v>
      </c>
      <c r="C192" s="38" t="s">
        <v>2125</v>
      </c>
      <c r="D192" s="38" t="s">
        <v>2023</v>
      </c>
      <c r="E192" s="80" t="s">
        <v>1288</v>
      </c>
      <c r="F192" s="80" t="s">
        <v>2126</v>
      </c>
      <c r="G192" s="80" t="s">
        <v>1830</v>
      </c>
      <c r="H192" s="88">
        <v>3.12</v>
      </c>
      <c r="I192" s="80" t="s">
        <v>1911</v>
      </c>
      <c r="J192" s="80" t="s">
        <v>186</v>
      </c>
      <c r="K192" s="38">
        <v>0.03</v>
      </c>
      <c r="L192" s="38">
        <v>3.0099999999999998E-2</v>
      </c>
      <c r="M192" s="132">
        <v>217186.53</v>
      </c>
      <c r="N192" s="80">
        <v>101.54</v>
      </c>
      <c r="O192" s="104">
        <v>220.53120000000001</v>
      </c>
      <c r="P192" s="38">
        <v>2.5172433526944181E-3</v>
      </c>
      <c r="Q192" s="38">
        <v>2.6715761925759769E-4</v>
      </c>
    </row>
    <row r="193" spans="1:17" x14ac:dyDescent="0.2">
      <c r="A193" s="30" t="s">
        <v>2300</v>
      </c>
      <c r="B193" s="38" t="s">
        <v>1834</v>
      </c>
      <c r="C193" s="38" t="s">
        <v>2022</v>
      </c>
      <c r="D193" s="38" t="s">
        <v>2023</v>
      </c>
      <c r="E193" s="80" t="s">
        <v>1288</v>
      </c>
      <c r="F193" s="80" t="s">
        <v>2024</v>
      </c>
      <c r="G193" s="80" t="s">
        <v>1830</v>
      </c>
      <c r="H193" s="88">
        <v>3.14</v>
      </c>
      <c r="I193" s="80" t="s">
        <v>1911</v>
      </c>
      <c r="J193" s="80" t="s">
        <v>186</v>
      </c>
      <c r="K193" s="38">
        <v>0.03</v>
      </c>
      <c r="L193" s="38">
        <v>2.9799999999999997E-2</v>
      </c>
      <c r="M193" s="132">
        <v>944505.08</v>
      </c>
      <c r="N193" s="80">
        <v>100.42</v>
      </c>
      <c r="O193" s="104">
        <v>948.47199999999998</v>
      </c>
      <c r="P193" s="38">
        <v>1.0826290507723079E-2</v>
      </c>
      <c r="Q193" s="38">
        <v>1.149005317399498E-3</v>
      </c>
    </row>
    <row r="194" spans="1:17" x14ac:dyDescent="0.2">
      <c r="A194" s="30" t="s">
        <v>2301</v>
      </c>
      <c r="B194" s="38" t="s">
        <v>1834</v>
      </c>
      <c r="C194" s="38" t="s">
        <v>2060</v>
      </c>
      <c r="D194" s="38" t="s">
        <v>2061</v>
      </c>
      <c r="E194" s="80" t="s">
        <v>419</v>
      </c>
      <c r="F194" s="80" t="s">
        <v>2062</v>
      </c>
      <c r="G194" s="80" t="s">
        <v>180</v>
      </c>
      <c r="H194" s="88">
        <v>8.4700000000000006</v>
      </c>
      <c r="I194" s="80" t="s">
        <v>629</v>
      </c>
      <c r="J194" s="80" t="s">
        <v>186</v>
      </c>
      <c r="K194" s="38">
        <v>4.4999999999999998E-2</v>
      </c>
      <c r="L194" s="38">
        <v>1.7400000000000002E-2</v>
      </c>
      <c r="M194" s="132">
        <v>2220924.13</v>
      </c>
      <c r="N194" s="80">
        <v>126.28</v>
      </c>
      <c r="O194" s="104">
        <v>2804.5829900000003</v>
      </c>
      <c r="P194" s="38">
        <v>3.201278498759965E-2</v>
      </c>
      <c r="Q194" s="38">
        <v>3.397549710058055E-3</v>
      </c>
    </row>
    <row r="195" spans="1:17" x14ac:dyDescent="0.2">
      <c r="A195" s="30" t="s">
        <v>2302</v>
      </c>
      <c r="B195" s="38" t="s">
        <v>180</v>
      </c>
      <c r="C195" s="38" t="s">
        <v>1855</v>
      </c>
      <c r="D195" s="38" t="s">
        <v>180</v>
      </c>
      <c r="E195" s="80" t="s">
        <v>419</v>
      </c>
      <c r="F195" s="80" t="s">
        <v>1853</v>
      </c>
      <c r="G195" s="80" t="s">
        <v>180</v>
      </c>
      <c r="H195" s="88">
        <v>3.66</v>
      </c>
      <c r="I195" s="80" t="s">
        <v>1854</v>
      </c>
      <c r="J195" s="80" t="s">
        <v>186</v>
      </c>
      <c r="K195" s="38">
        <v>1.72E-2</v>
      </c>
      <c r="L195" s="38">
        <v>2.4800000000000003E-2</v>
      </c>
      <c r="M195" s="132">
        <v>1638707.15</v>
      </c>
      <c r="N195" s="80">
        <v>97.47</v>
      </c>
      <c r="O195" s="104">
        <v>1597.2478500000002</v>
      </c>
      <c r="P195" s="38">
        <v>1.8231712941379503E-2</v>
      </c>
      <c r="Q195" s="38">
        <v>1.934950396906726E-3</v>
      </c>
    </row>
    <row r="196" spans="1:17" x14ac:dyDescent="0.2">
      <c r="A196" s="30" t="s">
        <v>2302</v>
      </c>
      <c r="B196" s="38" t="s">
        <v>180</v>
      </c>
      <c r="C196" s="38" t="s">
        <v>2118</v>
      </c>
      <c r="D196" s="38" t="s">
        <v>180</v>
      </c>
      <c r="E196" s="80" t="s">
        <v>419</v>
      </c>
      <c r="F196" s="80" t="s">
        <v>1853</v>
      </c>
      <c r="G196" s="80" t="s">
        <v>180</v>
      </c>
      <c r="H196" s="88">
        <v>3.47</v>
      </c>
      <c r="I196" s="80" t="s">
        <v>1854</v>
      </c>
      <c r="J196" s="80" t="s">
        <v>186</v>
      </c>
      <c r="K196" s="38">
        <v>2.8300000000000002E-2</v>
      </c>
      <c r="L196" s="38">
        <v>1.77E-2</v>
      </c>
      <c r="M196" s="132">
        <v>1105477.1100000001</v>
      </c>
      <c r="N196" s="80">
        <v>108.09</v>
      </c>
      <c r="O196" s="104">
        <v>1194.9102</v>
      </c>
      <c r="P196" s="38">
        <v>1.3639248133673411E-2</v>
      </c>
      <c r="Q196" s="38">
        <v>1.4475473958270753E-3</v>
      </c>
    </row>
    <row r="197" spans="1:17" x14ac:dyDescent="0.2">
      <c r="A197" s="30" t="s">
        <v>2302</v>
      </c>
      <c r="B197" s="38" t="s">
        <v>180</v>
      </c>
      <c r="C197" s="38" t="s">
        <v>1852</v>
      </c>
      <c r="D197" s="38" t="s">
        <v>180</v>
      </c>
      <c r="E197" s="80" t="s">
        <v>419</v>
      </c>
      <c r="F197" s="80" t="s">
        <v>1853</v>
      </c>
      <c r="G197" s="80" t="s">
        <v>180</v>
      </c>
      <c r="H197" s="88">
        <v>3.75</v>
      </c>
      <c r="I197" s="80" t="s">
        <v>1854</v>
      </c>
      <c r="J197" s="80" t="s">
        <v>186</v>
      </c>
      <c r="K197" s="38">
        <v>3.78E-2</v>
      </c>
      <c r="L197" s="38">
        <v>2.69E-2</v>
      </c>
      <c r="M197" s="132">
        <v>193208.62</v>
      </c>
      <c r="N197" s="80">
        <v>105.19</v>
      </c>
      <c r="O197" s="104">
        <v>203.23614000000001</v>
      </c>
      <c r="P197" s="38">
        <v>2.3198296768995597E-3</v>
      </c>
      <c r="Q197" s="38">
        <v>2.4620590333478354E-4</v>
      </c>
    </row>
    <row r="198" spans="1:17" x14ac:dyDescent="0.2">
      <c r="A198" s="30" t="s">
        <v>2303</v>
      </c>
      <c r="B198" s="38" t="s">
        <v>180</v>
      </c>
      <c r="C198" s="38" t="s">
        <v>2048</v>
      </c>
      <c r="D198" s="38" t="s">
        <v>2049</v>
      </c>
      <c r="E198" s="80" t="s">
        <v>419</v>
      </c>
      <c r="F198" s="80" t="s">
        <v>2050</v>
      </c>
      <c r="G198" s="80" t="s">
        <v>180</v>
      </c>
      <c r="H198" s="88">
        <v>1.93</v>
      </c>
      <c r="I198" s="80" t="s">
        <v>1911</v>
      </c>
      <c r="J198" s="80" t="s">
        <v>186</v>
      </c>
      <c r="K198" s="38">
        <v>4.4299999999999999E-2</v>
      </c>
      <c r="L198" s="38">
        <v>2.3199999999999998E-2</v>
      </c>
      <c r="M198" s="132">
        <v>430710.76</v>
      </c>
      <c r="N198" s="80">
        <v>104.39</v>
      </c>
      <c r="O198" s="104">
        <v>449.61896000000002</v>
      </c>
      <c r="P198" s="38">
        <v>5.1321551703585591E-3</v>
      </c>
      <c r="Q198" s="38">
        <v>5.4468089289260227E-4</v>
      </c>
    </row>
    <row r="199" spans="1:17" x14ac:dyDescent="0.2">
      <c r="A199" s="30" t="s">
        <v>2304</v>
      </c>
      <c r="B199" s="38" t="s">
        <v>180</v>
      </c>
      <c r="C199" s="38" t="s">
        <v>2178</v>
      </c>
      <c r="D199" s="38" t="s">
        <v>180</v>
      </c>
      <c r="E199" s="80" t="s">
        <v>419</v>
      </c>
      <c r="F199" s="80" t="s">
        <v>2179</v>
      </c>
      <c r="G199" s="80" t="s">
        <v>180</v>
      </c>
      <c r="H199" s="88">
        <v>1.61</v>
      </c>
      <c r="I199" s="80" t="s">
        <v>1599</v>
      </c>
      <c r="J199" s="80" t="s">
        <v>186</v>
      </c>
      <c r="K199" s="38">
        <v>0.05</v>
      </c>
      <c r="L199" s="38">
        <v>3.4999999999999996E-3</v>
      </c>
      <c r="M199" s="132">
        <v>12416.82</v>
      </c>
      <c r="N199" s="80">
        <v>12625.21</v>
      </c>
      <c r="O199" s="104">
        <v>1567.6496000000002</v>
      </c>
      <c r="P199" s="38">
        <v>1.7893865062875745E-2</v>
      </c>
      <c r="Q199" s="38">
        <v>1.8990942549903386E-3</v>
      </c>
    </row>
    <row r="200" spans="1:17" x14ac:dyDescent="0.2">
      <c r="A200" s="30" t="s">
        <v>2304</v>
      </c>
      <c r="B200" s="38" t="s">
        <v>180</v>
      </c>
      <c r="C200" s="38" t="s">
        <v>2175</v>
      </c>
      <c r="D200" s="38" t="s">
        <v>180</v>
      </c>
      <c r="E200" s="80" t="s">
        <v>419</v>
      </c>
      <c r="F200" s="80" t="s">
        <v>2176</v>
      </c>
      <c r="G200" s="80" t="s">
        <v>180</v>
      </c>
      <c r="H200" s="88">
        <v>0</v>
      </c>
      <c r="I200" s="80" t="s">
        <v>1599</v>
      </c>
      <c r="J200" s="80" t="s">
        <v>186</v>
      </c>
      <c r="K200" s="38">
        <v>0</v>
      </c>
      <c r="L200" s="38">
        <v>0</v>
      </c>
      <c r="M200" s="132">
        <v>10015.44</v>
      </c>
      <c r="N200" s="80">
        <v>142.24959999999999</v>
      </c>
      <c r="O200" s="104">
        <v>1424.6923300000001</v>
      </c>
      <c r="P200" s="38">
        <v>1.6262085806122772E-2</v>
      </c>
      <c r="Q200" s="38">
        <v>1.725911848560928E-3</v>
      </c>
    </row>
    <row r="201" spans="1:17" x14ac:dyDescent="0.2">
      <c r="A201" s="30" t="s">
        <v>2304</v>
      </c>
      <c r="B201" s="38" t="s">
        <v>180</v>
      </c>
      <c r="C201" s="38" t="s">
        <v>2177</v>
      </c>
      <c r="D201" s="38" t="s">
        <v>180</v>
      </c>
      <c r="E201" s="80" t="s">
        <v>419</v>
      </c>
      <c r="F201" s="80" t="s">
        <v>2176</v>
      </c>
      <c r="G201" s="80" t="s">
        <v>180</v>
      </c>
      <c r="H201" s="88">
        <v>0</v>
      </c>
      <c r="I201" s="80" t="s">
        <v>1599</v>
      </c>
      <c r="J201" s="80" t="s">
        <v>186</v>
      </c>
      <c r="K201" s="38">
        <v>0</v>
      </c>
      <c r="L201" s="38">
        <v>0</v>
      </c>
      <c r="M201" s="132">
        <v>-10015.44</v>
      </c>
      <c r="N201" s="80">
        <v>156.5231</v>
      </c>
      <c r="O201" s="104">
        <v>-1567.64869</v>
      </c>
      <c r="P201" s="38">
        <v>-1.7893854675722132E-2</v>
      </c>
      <c r="Q201" s="38">
        <v>-1.8990931525910699E-3</v>
      </c>
    </row>
    <row r="202" spans="1:17" x14ac:dyDescent="0.2">
      <c r="A202" s="30" t="s">
        <v>2305</v>
      </c>
      <c r="B202" s="38" t="s">
        <v>180</v>
      </c>
      <c r="C202" s="38" t="s">
        <v>1856</v>
      </c>
      <c r="D202" s="38" t="s">
        <v>1857</v>
      </c>
      <c r="E202" s="80" t="s">
        <v>419</v>
      </c>
      <c r="F202" s="80" t="s">
        <v>1853</v>
      </c>
      <c r="G202" s="80" t="s">
        <v>180</v>
      </c>
      <c r="H202" s="88">
        <v>0.26</v>
      </c>
      <c r="I202" s="80" t="s">
        <v>499</v>
      </c>
      <c r="J202" s="80" t="s">
        <v>186</v>
      </c>
      <c r="K202" s="38">
        <v>3.7499999999999999E-2</v>
      </c>
      <c r="L202" s="38">
        <v>4.4500000000000005E-2</v>
      </c>
      <c r="M202" s="132">
        <v>19315.25</v>
      </c>
      <c r="N202" s="80">
        <v>99.8</v>
      </c>
      <c r="O202" s="104">
        <v>19.276610000000002</v>
      </c>
      <c r="P202" s="38">
        <v>2.2003198814944438E-4</v>
      </c>
      <c r="Q202" s="38">
        <v>2.33522206153016E-5</v>
      </c>
    </row>
    <row r="203" spans="1:17" x14ac:dyDescent="0.2">
      <c r="A203" s="30" t="s">
        <v>2305</v>
      </c>
      <c r="B203" s="38" t="s">
        <v>180</v>
      </c>
      <c r="C203" s="38" t="s">
        <v>1882</v>
      </c>
      <c r="D203" s="38" t="s">
        <v>1857</v>
      </c>
      <c r="E203" s="80" t="s">
        <v>419</v>
      </c>
      <c r="F203" s="80" t="s">
        <v>1883</v>
      </c>
      <c r="G203" s="80" t="s">
        <v>180</v>
      </c>
      <c r="H203" s="88">
        <v>0.26</v>
      </c>
      <c r="I203" s="80" t="s">
        <v>499</v>
      </c>
      <c r="J203" s="80" t="s">
        <v>186</v>
      </c>
      <c r="K203" s="38">
        <v>3.7499999999999999E-2</v>
      </c>
      <c r="L203" s="38">
        <v>4.0000000000000008E-2</v>
      </c>
      <c r="M203" s="132">
        <v>19315.25</v>
      </c>
      <c r="N203" s="80">
        <v>99.91</v>
      </c>
      <c r="O203" s="104">
        <v>19.29786</v>
      </c>
      <c r="P203" s="38">
        <v>2.2027454530799953E-4</v>
      </c>
      <c r="Q203" s="38">
        <v>2.3377963455358808E-5</v>
      </c>
    </row>
    <row r="204" spans="1:17" x14ac:dyDescent="0.2">
      <c r="A204" s="30" t="s">
        <v>2305</v>
      </c>
      <c r="B204" s="38" t="s">
        <v>180</v>
      </c>
      <c r="C204" s="38" t="s">
        <v>1884</v>
      </c>
      <c r="D204" s="38" t="s">
        <v>1857</v>
      </c>
      <c r="E204" s="80" t="s">
        <v>419</v>
      </c>
      <c r="F204" s="80" t="s">
        <v>1885</v>
      </c>
      <c r="G204" s="80" t="s">
        <v>180</v>
      </c>
      <c r="H204" s="88">
        <v>0.26</v>
      </c>
      <c r="I204" s="80" t="s">
        <v>499</v>
      </c>
      <c r="J204" s="80" t="s">
        <v>186</v>
      </c>
      <c r="K204" s="38">
        <v>3.7499999999999999E-2</v>
      </c>
      <c r="L204" s="38">
        <v>4.1599999999999998E-2</v>
      </c>
      <c r="M204" s="132">
        <v>19315.25</v>
      </c>
      <c r="N204" s="80">
        <v>99.87</v>
      </c>
      <c r="O204" s="104">
        <v>19.290140000000001</v>
      </c>
      <c r="P204" s="38">
        <v>2.2018642571910324E-4</v>
      </c>
      <c r="Q204" s="38">
        <v>2.3368611232994497E-5</v>
      </c>
    </row>
    <row r="205" spans="1:17" x14ac:dyDescent="0.2">
      <c r="A205" s="30" t="s">
        <v>2305</v>
      </c>
      <c r="B205" s="38" t="s">
        <v>180</v>
      </c>
      <c r="C205" s="38" t="s">
        <v>1886</v>
      </c>
      <c r="D205" s="38" t="s">
        <v>1857</v>
      </c>
      <c r="E205" s="80" t="s">
        <v>419</v>
      </c>
      <c r="F205" s="80" t="s">
        <v>1887</v>
      </c>
      <c r="G205" s="80" t="s">
        <v>180</v>
      </c>
      <c r="H205" s="88">
        <v>0.26</v>
      </c>
      <c r="I205" s="80" t="s">
        <v>499</v>
      </c>
      <c r="J205" s="80" t="s">
        <v>186</v>
      </c>
      <c r="K205" s="38">
        <v>3.7499999999999999E-2</v>
      </c>
      <c r="L205" s="38">
        <v>4.370000000000001E-2</v>
      </c>
      <c r="M205" s="132">
        <v>28972.880000000001</v>
      </c>
      <c r="N205" s="80">
        <v>99.82</v>
      </c>
      <c r="O205" s="104">
        <v>28.920720000000003</v>
      </c>
      <c r="P205" s="38">
        <v>3.3011424313265659E-4</v>
      </c>
      <c r="Q205" s="38">
        <v>3.5035363261142147E-5</v>
      </c>
    </row>
    <row r="206" spans="1:17" x14ac:dyDescent="0.2">
      <c r="A206" s="30" t="s">
        <v>2305</v>
      </c>
      <c r="B206" s="38" t="s">
        <v>180</v>
      </c>
      <c r="C206" s="38" t="s">
        <v>1888</v>
      </c>
      <c r="D206" s="38" t="s">
        <v>1857</v>
      </c>
      <c r="E206" s="80" t="s">
        <v>419</v>
      </c>
      <c r="F206" s="80" t="s">
        <v>1889</v>
      </c>
      <c r="G206" s="80" t="s">
        <v>180</v>
      </c>
      <c r="H206" s="88">
        <v>0.26</v>
      </c>
      <c r="I206" s="80" t="s">
        <v>499</v>
      </c>
      <c r="J206" s="80" t="s">
        <v>186</v>
      </c>
      <c r="K206" s="38">
        <v>3.7499999999999999E-2</v>
      </c>
      <c r="L206" s="38">
        <v>4.4900000000000002E-2</v>
      </c>
      <c r="M206" s="132">
        <v>19315.25</v>
      </c>
      <c r="N206" s="80">
        <v>99.79</v>
      </c>
      <c r="O206" s="104">
        <v>19.27468</v>
      </c>
      <c r="P206" s="38">
        <v>2.2000995825222032E-4</v>
      </c>
      <c r="Q206" s="38">
        <v>2.3349882559710521E-5</v>
      </c>
    </row>
    <row r="207" spans="1:17" x14ac:dyDescent="0.2">
      <c r="A207" s="30" t="s">
        <v>2305</v>
      </c>
      <c r="B207" s="38" t="s">
        <v>180</v>
      </c>
      <c r="C207" s="38" t="s">
        <v>1890</v>
      </c>
      <c r="D207" s="38" t="s">
        <v>1857</v>
      </c>
      <c r="E207" s="80" t="s">
        <v>419</v>
      </c>
      <c r="F207" s="80" t="s">
        <v>1298</v>
      </c>
      <c r="G207" s="80" t="s">
        <v>180</v>
      </c>
      <c r="H207" s="88">
        <v>0.26</v>
      </c>
      <c r="I207" s="80" t="s">
        <v>499</v>
      </c>
      <c r="J207" s="80" t="s">
        <v>186</v>
      </c>
      <c r="K207" s="38">
        <v>3.7499999999999999E-2</v>
      </c>
      <c r="L207" s="38">
        <v>4.41E-2</v>
      </c>
      <c r="M207" s="132">
        <v>19315.25</v>
      </c>
      <c r="N207" s="80">
        <v>99.81</v>
      </c>
      <c r="O207" s="104">
        <v>19.278549999999999</v>
      </c>
      <c r="P207" s="38">
        <v>2.2005413219121364E-4</v>
      </c>
      <c r="Q207" s="38">
        <v>2.335457078517035E-5</v>
      </c>
    </row>
    <row r="208" spans="1:17" x14ac:dyDescent="0.2">
      <c r="A208" s="30" t="s">
        <v>2305</v>
      </c>
      <c r="B208" s="38" t="s">
        <v>180</v>
      </c>
      <c r="C208" s="38" t="s">
        <v>1891</v>
      </c>
      <c r="D208" s="38" t="s">
        <v>1857</v>
      </c>
      <c r="E208" s="80" t="s">
        <v>419</v>
      </c>
      <c r="F208" s="80" t="s">
        <v>342</v>
      </c>
      <c r="G208" s="80" t="s">
        <v>180</v>
      </c>
      <c r="H208" s="88">
        <v>0.26</v>
      </c>
      <c r="I208" s="80" t="s">
        <v>499</v>
      </c>
      <c r="J208" s="80" t="s">
        <v>186</v>
      </c>
      <c r="K208" s="38">
        <v>3.7499999999999999E-2</v>
      </c>
      <c r="L208" s="38">
        <v>4.5700000000000011E-2</v>
      </c>
      <c r="M208" s="132">
        <v>19315.25</v>
      </c>
      <c r="N208" s="80">
        <v>99.77</v>
      </c>
      <c r="O208" s="104">
        <v>19.270820000000001</v>
      </c>
      <c r="P208" s="38">
        <v>2.1996589845777218E-4</v>
      </c>
      <c r="Q208" s="38">
        <v>2.3345206448528365E-5</v>
      </c>
    </row>
    <row r="209" spans="1:17" x14ac:dyDescent="0.2">
      <c r="A209" s="30" t="s">
        <v>2305</v>
      </c>
      <c r="B209" s="38" t="s">
        <v>180</v>
      </c>
      <c r="C209" s="38" t="s">
        <v>1892</v>
      </c>
      <c r="D209" s="38" t="s">
        <v>1857</v>
      </c>
      <c r="E209" s="80" t="s">
        <v>419</v>
      </c>
      <c r="F209" s="80" t="s">
        <v>1893</v>
      </c>
      <c r="G209" s="80" t="s">
        <v>180</v>
      </c>
      <c r="H209" s="88">
        <v>0.26</v>
      </c>
      <c r="I209" s="80" t="s">
        <v>499</v>
      </c>
      <c r="J209" s="80" t="s">
        <v>186</v>
      </c>
      <c r="K209" s="38">
        <v>3.7499999999999999E-2</v>
      </c>
      <c r="L209" s="38">
        <v>4.6500000000000007E-2</v>
      </c>
      <c r="M209" s="132">
        <v>19315.25</v>
      </c>
      <c r="N209" s="80">
        <v>99.75</v>
      </c>
      <c r="O209" s="104">
        <v>19.266959999999997</v>
      </c>
      <c r="P209" s="38">
        <v>2.1992183866332402E-4</v>
      </c>
      <c r="Q209" s="38">
        <v>2.3340530337346206E-5</v>
      </c>
    </row>
    <row r="210" spans="1:17" x14ac:dyDescent="0.2">
      <c r="A210" s="30" t="s">
        <v>2305</v>
      </c>
      <c r="B210" s="38" t="s">
        <v>180</v>
      </c>
      <c r="C210" s="38" t="s">
        <v>1894</v>
      </c>
      <c r="D210" s="38" t="s">
        <v>1857</v>
      </c>
      <c r="E210" s="80" t="s">
        <v>419</v>
      </c>
      <c r="F210" s="80" t="s">
        <v>1407</v>
      </c>
      <c r="G210" s="80" t="s">
        <v>180</v>
      </c>
      <c r="H210" s="88">
        <v>0.26</v>
      </c>
      <c r="I210" s="80" t="s">
        <v>499</v>
      </c>
      <c r="J210" s="80" t="s">
        <v>186</v>
      </c>
      <c r="K210" s="38">
        <v>3.7499999999999999E-2</v>
      </c>
      <c r="L210" s="38">
        <v>4.3700000000000003E-2</v>
      </c>
      <c r="M210" s="132">
        <v>19315.25</v>
      </c>
      <c r="N210" s="80">
        <v>99.82</v>
      </c>
      <c r="O210" s="104">
        <v>19.280480000000001</v>
      </c>
      <c r="P210" s="38">
        <v>2.2007616208843771E-4</v>
      </c>
      <c r="Q210" s="38">
        <v>2.3356908840761429E-5</v>
      </c>
    </row>
    <row r="211" spans="1:17" x14ac:dyDescent="0.2">
      <c r="A211" s="30" t="s">
        <v>2305</v>
      </c>
      <c r="B211" s="38" t="s">
        <v>180</v>
      </c>
      <c r="C211" s="38" t="s">
        <v>1895</v>
      </c>
      <c r="D211" s="38" t="s">
        <v>1857</v>
      </c>
      <c r="E211" s="80" t="s">
        <v>419</v>
      </c>
      <c r="F211" s="80" t="s">
        <v>1896</v>
      </c>
      <c r="G211" s="80" t="s">
        <v>180</v>
      </c>
      <c r="H211" s="88">
        <v>0.26</v>
      </c>
      <c r="I211" s="80" t="s">
        <v>499</v>
      </c>
      <c r="J211" s="80" t="s">
        <v>186</v>
      </c>
      <c r="K211" s="38">
        <v>3.7499999999999999E-2</v>
      </c>
      <c r="L211" s="38">
        <v>4.3700000000000003E-2</v>
      </c>
      <c r="M211" s="132">
        <v>19315.25</v>
      </c>
      <c r="N211" s="80">
        <v>99.82</v>
      </c>
      <c r="O211" s="104">
        <v>19.280480000000001</v>
      </c>
      <c r="P211" s="38">
        <v>2.2007616208843771E-4</v>
      </c>
      <c r="Q211" s="38">
        <v>2.3356908840761429E-5</v>
      </c>
    </row>
    <row r="212" spans="1:17" x14ac:dyDescent="0.2">
      <c r="A212" s="30" t="s">
        <v>2305</v>
      </c>
      <c r="B212" s="38" t="s">
        <v>180</v>
      </c>
      <c r="C212" s="38" t="s">
        <v>1897</v>
      </c>
      <c r="D212" s="38" t="s">
        <v>1857</v>
      </c>
      <c r="E212" s="80" t="s">
        <v>419</v>
      </c>
      <c r="F212" s="80" t="s">
        <v>1898</v>
      </c>
      <c r="G212" s="80" t="s">
        <v>180</v>
      </c>
      <c r="H212" s="88">
        <v>0.26</v>
      </c>
      <c r="I212" s="80" t="s">
        <v>499</v>
      </c>
      <c r="J212" s="80" t="s">
        <v>186</v>
      </c>
      <c r="K212" s="38">
        <v>3.7499999999999999E-2</v>
      </c>
      <c r="L212" s="38">
        <v>4.8600000000000011E-2</v>
      </c>
      <c r="M212" s="132">
        <v>19315.25</v>
      </c>
      <c r="N212" s="80">
        <v>99.7</v>
      </c>
      <c r="O212" s="104">
        <v>19.257300000000001</v>
      </c>
      <c r="P212" s="38">
        <v>2.1981157503265849E-4</v>
      </c>
      <c r="Q212" s="38">
        <v>2.3328827945113145E-5</v>
      </c>
    </row>
    <row r="213" spans="1:17" x14ac:dyDescent="0.2">
      <c r="A213" s="30" t="s">
        <v>2305</v>
      </c>
      <c r="B213" s="38" t="s">
        <v>180</v>
      </c>
      <c r="C213" s="38" t="s">
        <v>1864</v>
      </c>
      <c r="D213" s="38" t="s">
        <v>1857</v>
      </c>
      <c r="E213" s="80" t="s">
        <v>419</v>
      </c>
      <c r="F213" s="80" t="s">
        <v>1865</v>
      </c>
      <c r="G213" s="80" t="s">
        <v>180</v>
      </c>
      <c r="H213" s="88">
        <v>0.26</v>
      </c>
      <c r="I213" s="80" t="s">
        <v>499</v>
      </c>
      <c r="J213" s="80" t="s">
        <v>186</v>
      </c>
      <c r="K213" s="38">
        <v>3.7499999999999999E-2</v>
      </c>
      <c r="L213" s="38">
        <v>4.6100000000000002E-2</v>
      </c>
      <c r="M213" s="132">
        <v>26558.47</v>
      </c>
      <c r="N213" s="80">
        <v>99.76</v>
      </c>
      <c r="O213" s="104">
        <v>26.494720000000001</v>
      </c>
      <c r="P213" s="38">
        <v>3.0242277646654921E-4</v>
      </c>
      <c r="Q213" s="38">
        <v>3.209643949743464E-5</v>
      </c>
    </row>
    <row r="214" spans="1:17" x14ac:dyDescent="0.2">
      <c r="A214" s="30" t="s">
        <v>2305</v>
      </c>
      <c r="B214" s="38" t="s">
        <v>180</v>
      </c>
      <c r="C214" s="38" t="s">
        <v>1899</v>
      </c>
      <c r="D214" s="38" t="s">
        <v>1857</v>
      </c>
      <c r="E214" s="80" t="s">
        <v>419</v>
      </c>
      <c r="F214" s="80" t="s">
        <v>1900</v>
      </c>
      <c r="G214" s="80" t="s">
        <v>180</v>
      </c>
      <c r="H214" s="88">
        <v>0.26</v>
      </c>
      <c r="I214" s="80" t="s">
        <v>499</v>
      </c>
      <c r="J214" s="80" t="s">
        <v>186</v>
      </c>
      <c r="K214" s="38">
        <v>3.7499999999999999E-2</v>
      </c>
      <c r="L214" s="38">
        <v>4.8600000000000011E-2</v>
      </c>
      <c r="M214" s="132">
        <v>19315.25</v>
      </c>
      <c r="N214" s="80">
        <v>99.7</v>
      </c>
      <c r="O214" s="104">
        <v>19.257300000000001</v>
      </c>
      <c r="P214" s="38">
        <v>2.1981157503265849E-4</v>
      </c>
      <c r="Q214" s="38">
        <v>2.3328827945113145E-5</v>
      </c>
    </row>
    <row r="215" spans="1:17" x14ac:dyDescent="0.2">
      <c r="A215" s="30" t="s">
        <v>2305</v>
      </c>
      <c r="B215" s="38" t="s">
        <v>180</v>
      </c>
      <c r="C215" s="38" t="s">
        <v>1901</v>
      </c>
      <c r="D215" s="38" t="s">
        <v>1857</v>
      </c>
      <c r="E215" s="80" t="s">
        <v>419</v>
      </c>
      <c r="F215" s="80" t="s">
        <v>1902</v>
      </c>
      <c r="G215" s="80" t="s">
        <v>180</v>
      </c>
      <c r="H215" s="88">
        <v>0.26</v>
      </c>
      <c r="I215" s="80" t="s">
        <v>499</v>
      </c>
      <c r="J215" s="80" t="s">
        <v>186</v>
      </c>
      <c r="K215" s="38">
        <v>3.7499999999999999E-2</v>
      </c>
      <c r="L215" s="38">
        <v>5.389999999999999E-2</v>
      </c>
      <c r="M215" s="132">
        <v>19315.25</v>
      </c>
      <c r="N215" s="80">
        <v>99.57</v>
      </c>
      <c r="O215" s="104">
        <v>19.232189999999999</v>
      </c>
      <c r="P215" s="38">
        <v>2.1952495807965521E-4</v>
      </c>
      <c r="Q215" s="38">
        <v>2.3298408993873778E-5</v>
      </c>
    </row>
    <row r="216" spans="1:17" x14ac:dyDescent="0.2">
      <c r="A216" s="30" t="s">
        <v>2305</v>
      </c>
      <c r="B216" s="38" t="s">
        <v>180</v>
      </c>
      <c r="C216" s="38" t="s">
        <v>1903</v>
      </c>
      <c r="D216" s="38" t="s">
        <v>1857</v>
      </c>
      <c r="E216" s="80" t="s">
        <v>419</v>
      </c>
      <c r="F216" s="80" t="s">
        <v>1904</v>
      </c>
      <c r="G216" s="80" t="s">
        <v>180</v>
      </c>
      <c r="H216" s="88">
        <v>0.26</v>
      </c>
      <c r="I216" s="80" t="s">
        <v>499</v>
      </c>
      <c r="J216" s="80" t="s">
        <v>186</v>
      </c>
      <c r="K216" s="38">
        <v>3.7499999999999999E-2</v>
      </c>
      <c r="L216" s="38">
        <v>1.8100000000000002E-2</v>
      </c>
      <c r="M216" s="132">
        <v>19315.25</v>
      </c>
      <c r="N216" s="80">
        <v>100.46</v>
      </c>
      <c r="O216" s="104">
        <v>19.4041</v>
      </c>
      <c r="P216" s="38">
        <v>2.2148721695623003E-4</v>
      </c>
      <c r="Q216" s="38">
        <v>2.3506665541367167E-5</v>
      </c>
    </row>
    <row r="217" spans="1:17" x14ac:dyDescent="0.2">
      <c r="A217" s="30" t="s">
        <v>2305</v>
      </c>
      <c r="B217" s="38" t="s">
        <v>180</v>
      </c>
      <c r="C217" s="38" t="s">
        <v>1905</v>
      </c>
      <c r="D217" s="38" t="s">
        <v>1857</v>
      </c>
      <c r="E217" s="80" t="s">
        <v>419</v>
      </c>
      <c r="F217" s="80" t="s">
        <v>795</v>
      </c>
      <c r="G217" s="80" t="s">
        <v>180</v>
      </c>
      <c r="H217" s="88">
        <v>0.26</v>
      </c>
      <c r="I217" s="80" t="s">
        <v>499</v>
      </c>
      <c r="J217" s="80" t="s">
        <v>186</v>
      </c>
      <c r="K217" s="38">
        <v>3.7499999999999999E-2</v>
      </c>
      <c r="L217" s="38">
        <v>2.7599999999999996E-2</v>
      </c>
      <c r="M217" s="132">
        <v>24144.06</v>
      </c>
      <c r="N217" s="80">
        <v>100.22</v>
      </c>
      <c r="O217" s="104">
        <v>24.19717</v>
      </c>
      <c r="P217" s="38">
        <v>2.7619749648356688E-4</v>
      </c>
      <c r="Q217" s="38">
        <v>2.931312363044941E-5</v>
      </c>
    </row>
    <row r="218" spans="1:17" x14ac:dyDescent="0.2">
      <c r="A218" s="30" t="s">
        <v>2305</v>
      </c>
      <c r="B218" s="38" t="s">
        <v>180</v>
      </c>
      <c r="C218" s="38" t="s">
        <v>1906</v>
      </c>
      <c r="D218" s="38" t="s">
        <v>1857</v>
      </c>
      <c r="E218" s="80" t="s">
        <v>419</v>
      </c>
      <c r="F218" s="80" t="s">
        <v>1792</v>
      </c>
      <c r="G218" s="80" t="s">
        <v>180</v>
      </c>
      <c r="H218" s="88">
        <v>0.26</v>
      </c>
      <c r="I218" s="80" t="s">
        <v>499</v>
      </c>
      <c r="J218" s="80" t="s">
        <v>186</v>
      </c>
      <c r="K218" s="38">
        <v>3.7499999999999999E-2</v>
      </c>
      <c r="L218" s="38">
        <v>3.1199999999999999E-2</v>
      </c>
      <c r="M218" s="132">
        <v>43459.31</v>
      </c>
      <c r="N218" s="80">
        <v>100.13</v>
      </c>
      <c r="O218" s="104">
        <v>43.515800000000006</v>
      </c>
      <c r="P218" s="38">
        <v>4.9670912001195189E-4</v>
      </c>
      <c r="Q218" s="38">
        <v>5.2716248440537079E-5</v>
      </c>
    </row>
    <row r="219" spans="1:17" x14ac:dyDescent="0.2">
      <c r="A219" s="30" t="s">
        <v>2305</v>
      </c>
      <c r="B219" s="38" t="s">
        <v>180</v>
      </c>
      <c r="C219" s="38" t="s">
        <v>1866</v>
      </c>
      <c r="D219" s="38" t="s">
        <v>1857</v>
      </c>
      <c r="E219" s="80" t="s">
        <v>419</v>
      </c>
      <c r="F219" s="80" t="s">
        <v>1867</v>
      </c>
      <c r="G219" s="80" t="s">
        <v>180</v>
      </c>
      <c r="H219" s="88">
        <v>0.26</v>
      </c>
      <c r="I219" s="80" t="s">
        <v>499</v>
      </c>
      <c r="J219" s="80" t="s">
        <v>186</v>
      </c>
      <c r="K219" s="38">
        <v>3.7499999999999999E-2</v>
      </c>
      <c r="L219" s="38">
        <v>4.8999999999999995E-2</v>
      </c>
      <c r="M219" s="132">
        <v>19315.25</v>
      </c>
      <c r="N219" s="80">
        <v>99.69</v>
      </c>
      <c r="O219" s="104">
        <v>19.255369999999999</v>
      </c>
      <c r="P219" s="38">
        <v>2.1978954513543443E-4</v>
      </c>
      <c r="Q219" s="38">
        <v>2.3326489889522066E-5</v>
      </c>
    </row>
    <row r="220" spans="1:17" x14ac:dyDescent="0.2">
      <c r="A220" s="30" t="s">
        <v>2305</v>
      </c>
      <c r="B220" s="38" t="s">
        <v>180</v>
      </c>
      <c r="C220" s="38" t="s">
        <v>1868</v>
      </c>
      <c r="D220" s="38" t="s">
        <v>1857</v>
      </c>
      <c r="E220" s="80" t="s">
        <v>419</v>
      </c>
      <c r="F220" s="80" t="s">
        <v>1869</v>
      </c>
      <c r="G220" s="80" t="s">
        <v>180</v>
      </c>
      <c r="H220" s="88">
        <v>0.26</v>
      </c>
      <c r="I220" s="80" t="s">
        <v>499</v>
      </c>
      <c r="J220" s="80" t="s">
        <v>186</v>
      </c>
      <c r="K220" s="38">
        <v>3.7499999999999999E-2</v>
      </c>
      <c r="L220" s="38">
        <v>4.53E-2</v>
      </c>
      <c r="M220" s="132">
        <v>19315.25</v>
      </c>
      <c r="N220" s="80">
        <v>99.78</v>
      </c>
      <c r="O220" s="104">
        <v>19.272749999999998</v>
      </c>
      <c r="P220" s="38">
        <v>2.1998792835499625E-4</v>
      </c>
      <c r="Q220" s="38">
        <v>2.3347544504119441E-5</v>
      </c>
    </row>
    <row r="221" spans="1:17" x14ac:dyDescent="0.2">
      <c r="A221" s="30" t="s">
        <v>2305</v>
      </c>
      <c r="B221" s="38" t="s">
        <v>90</v>
      </c>
      <c r="C221" s="38" t="s">
        <v>1870</v>
      </c>
      <c r="D221" s="38" t="s">
        <v>1857</v>
      </c>
      <c r="E221" s="80" t="s">
        <v>419</v>
      </c>
      <c r="F221" s="80" t="s">
        <v>1871</v>
      </c>
      <c r="G221" s="80" t="s">
        <v>180</v>
      </c>
      <c r="H221" s="88">
        <v>0.26</v>
      </c>
      <c r="I221" s="80" t="s">
        <v>499</v>
      </c>
      <c r="J221" s="80" t="s">
        <v>186</v>
      </c>
      <c r="K221" s="38">
        <v>3.7499999999999999E-2</v>
      </c>
      <c r="L221" s="38">
        <v>4.3700000000000003E-2</v>
      </c>
      <c r="M221" s="132">
        <v>19315.25</v>
      </c>
      <c r="N221" s="80">
        <v>99.82</v>
      </c>
      <c r="O221" s="104">
        <v>19.280480000000001</v>
      </c>
      <c r="P221" s="38">
        <v>2.2007616208843771E-4</v>
      </c>
      <c r="Q221" s="38">
        <v>2.3356908840761429E-5</v>
      </c>
    </row>
    <row r="222" spans="1:17" x14ac:dyDescent="0.2">
      <c r="A222" s="30" t="s">
        <v>2305</v>
      </c>
      <c r="B222" s="38" t="s">
        <v>180</v>
      </c>
      <c r="C222" s="38" t="s">
        <v>1875</v>
      </c>
      <c r="D222" s="38" t="s">
        <v>1857</v>
      </c>
      <c r="E222" s="80" t="s">
        <v>419</v>
      </c>
      <c r="F222" s="80" t="s">
        <v>1876</v>
      </c>
      <c r="G222" s="80" t="s">
        <v>180</v>
      </c>
      <c r="H222" s="88">
        <v>0.26</v>
      </c>
      <c r="I222" s="80" t="s">
        <v>499</v>
      </c>
      <c r="J222" s="80" t="s">
        <v>186</v>
      </c>
      <c r="K222" s="38">
        <v>3.7499999999999999E-2</v>
      </c>
      <c r="L222" s="38">
        <v>4.2399999999999993E-2</v>
      </c>
      <c r="M222" s="132">
        <v>19315.25</v>
      </c>
      <c r="N222" s="80">
        <v>99.85</v>
      </c>
      <c r="O222" s="104">
        <v>19.286270000000002</v>
      </c>
      <c r="P222" s="38">
        <v>2.2014225178010991E-4</v>
      </c>
      <c r="Q222" s="38">
        <v>2.3363923007534664E-5</v>
      </c>
    </row>
    <row r="223" spans="1:17" x14ac:dyDescent="0.2">
      <c r="A223" s="30" t="s">
        <v>2305</v>
      </c>
      <c r="B223" s="38" t="s">
        <v>180</v>
      </c>
      <c r="C223" s="38" t="s">
        <v>1877</v>
      </c>
      <c r="D223" s="38" t="s">
        <v>1857</v>
      </c>
      <c r="E223" s="80" t="s">
        <v>419</v>
      </c>
      <c r="F223" s="80" t="s">
        <v>1878</v>
      </c>
      <c r="G223" s="80" t="s">
        <v>180</v>
      </c>
      <c r="H223" s="88">
        <v>0.26</v>
      </c>
      <c r="I223" s="80" t="s">
        <v>499</v>
      </c>
      <c r="J223" s="80" t="s">
        <v>186</v>
      </c>
      <c r="K223" s="38">
        <v>3.7499999999999999E-2</v>
      </c>
      <c r="L223" s="38">
        <v>4.53E-2</v>
      </c>
      <c r="M223" s="132">
        <v>19315.25</v>
      </c>
      <c r="N223" s="80">
        <v>99.78</v>
      </c>
      <c r="O223" s="104">
        <v>19.272749999999998</v>
      </c>
      <c r="P223" s="38">
        <v>2.1998792835499625E-4</v>
      </c>
      <c r="Q223" s="38">
        <v>2.3347544504119441E-5</v>
      </c>
    </row>
    <row r="224" spans="1:17" x14ac:dyDescent="0.2">
      <c r="A224" s="30" t="s">
        <v>2305</v>
      </c>
      <c r="B224" s="38" t="s">
        <v>180</v>
      </c>
      <c r="C224" s="38" t="s">
        <v>1879</v>
      </c>
      <c r="D224" s="38" t="s">
        <v>1857</v>
      </c>
      <c r="E224" s="80" t="s">
        <v>419</v>
      </c>
      <c r="F224" s="80" t="s">
        <v>717</v>
      </c>
      <c r="G224" s="80" t="s">
        <v>180</v>
      </c>
      <c r="H224" s="88">
        <v>0.26</v>
      </c>
      <c r="I224" s="80" t="s">
        <v>499</v>
      </c>
      <c r="J224" s="80" t="s">
        <v>186</v>
      </c>
      <c r="K224" s="38">
        <v>3.7499999999999999E-2</v>
      </c>
      <c r="L224" s="38">
        <v>4.4900000000000002E-2</v>
      </c>
      <c r="M224" s="132">
        <v>19315.25</v>
      </c>
      <c r="N224" s="80">
        <v>99.79</v>
      </c>
      <c r="O224" s="104">
        <v>19.27468</v>
      </c>
      <c r="P224" s="38">
        <v>2.2000995825222032E-4</v>
      </c>
      <c r="Q224" s="38">
        <v>2.3349882559710521E-5</v>
      </c>
    </row>
    <row r="225" spans="1:17" x14ac:dyDescent="0.2">
      <c r="A225" s="30" t="s">
        <v>2305</v>
      </c>
      <c r="B225" s="38" t="s">
        <v>180</v>
      </c>
      <c r="C225" s="38" t="s">
        <v>1880</v>
      </c>
      <c r="D225" s="38" t="s">
        <v>1857</v>
      </c>
      <c r="E225" s="80" t="s">
        <v>419</v>
      </c>
      <c r="F225" s="80" t="s">
        <v>1881</v>
      </c>
      <c r="G225" s="80" t="s">
        <v>180</v>
      </c>
      <c r="H225" s="88">
        <v>0.26</v>
      </c>
      <c r="I225" s="80" t="s">
        <v>499</v>
      </c>
      <c r="J225" s="80" t="s">
        <v>186</v>
      </c>
      <c r="K225" s="38">
        <v>3.7499999999999999E-2</v>
      </c>
      <c r="L225" s="38">
        <v>4.1599999999999998E-2</v>
      </c>
      <c r="M225" s="132">
        <v>19315.25</v>
      </c>
      <c r="N225" s="80">
        <v>99.87</v>
      </c>
      <c r="O225" s="104">
        <v>19.290140000000001</v>
      </c>
      <c r="P225" s="38">
        <v>2.2018642571910324E-4</v>
      </c>
      <c r="Q225" s="38">
        <v>2.3368611232994497E-5</v>
      </c>
    </row>
    <row r="226" spans="1:17" x14ac:dyDescent="0.2">
      <c r="A226" s="30" t="s">
        <v>2306</v>
      </c>
      <c r="B226" s="38" t="s">
        <v>180</v>
      </c>
      <c r="C226" s="38" t="s">
        <v>2122</v>
      </c>
      <c r="D226" s="38" t="s">
        <v>2123</v>
      </c>
      <c r="E226" s="80" t="s">
        <v>419</v>
      </c>
      <c r="F226" s="80" t="s">
        <v>2121</v>
      </c>
      <c r="G226" s="80" t="s">
        <v>180</v>
      </c>
      <c r="H226" s="88">
        <v>0.85</v>
      </c>
      <c r="I226" s="80" t="s">
        <v>2124</v>
      </c>
      <c r="J226" s="80" t="s">
        <v>186</v>
      </c>
      <c r="K226" s="38">
        <v>6.0999999999999999E-2</v>
      </c>
      <c r="L226" s="38">
        <v>6.7100000000000007E-2</v>
      </c>
      <c r="M226" s="132">
        <v>234546.4</v>
      </c>
      <c r="N226" s="80">
        <v>101.57</v>
      </c>
      <c r="O226" s="104">
        <v>238.22877</v>
      </c>
      <c r="P226" s="38">
        <v>2.7192514605782194E-3</v>
      </c>
      <c r="Q226" s="38">
        <v>2.8859694697106717E-4</v>
      </c>
    </row>
    <row r="227" spans="1:17" x14ac:dyDescent="0.2">
      <c r="A227" s="30" t="s">
        <v>2304</v>
      </c>
      <c r="B227" s="38" t="s">
        <v>180</v>
      </c>
      <c r="C227" s="38" t="s">
        <v>2180</v>
      </c>
      <c r="D227" s="38" t="s">
        <v>180</v>
      </c>
      <c r="E227" s="80" t="s">
        <v>419</v>
      </c>
      <c r="F227" s="80" t="s">
        <v>1395</v>
      </c>
      <c r="G227" s="80" t="s">
        <v>180</v>
      </c>
      <c r="H227" s="88">
        <v>1.81</v>
      </c>
      <c r="I227" s="80" t="s">
        <v>1599</v>
      </c>
      <c r="J227" s="80" t="s">
        <v>186</v>
      </c>
      <c r="K227" s="38">
        <v>0</v>
      </c>
      <c r="L227" s="38">
        <v>0</v>
      </c>
      <c r="M227" s="132">
        <v>-8162.93</v>
      </c>
      <c r="N227" s="80">
        <v>13.535600000000001</v>
      </c>
      <c r="O227" s="104">
        <v>-110.49015</v>
      </c>
      <c r="P227" s="38">
        <v>-1.2611847921097294E-3</v>
      </c>
      <c r="Q227" s="38">
        <v>-1.3385083573396806E-4</v>
      </c>
    </row>
    <row r="228" spans="1:17" x14ac:dyDescent="0.2">
      <c r="A228" s="30" t="s">
        <v>2306</v>
      </c>
      <c r="B228" s="38" t="s">
        <v>180</v>
      </c>
      <c r="C228" s="38" t="s">
        <v>2119</v>
      </c>
      <c r="D228" s="38" t="s">
        <v>2120</v>
      </c>
      <c r="E228" s="80" t="s">
        <v>419</v>
      </c>
      <c r="F228" s="80" t="s">
        <v>2121</v>
      </c>
      <c r="G228" s="80" t="s">
        <v>180</v>
      </c>
      <c r="H228" s="88">
        <v>0.85</v>
      </c>
      <c r="I228" s="80" t="s">
        <v>1911</v>
      </c>
      <c r="J228" s="80" t="s">
        <v>186</v>
      </c>
      <c r="K228" s="38">
        <v>5.7500000000000002E-2</v>
      </c>
      <c r="L228" s="38">
        <v>6.3500000000000001E-2</v>
      </c>
      <c r="M228" s="132">
        <v>351819.6</v>
      </c>
      <c r="N228" s="80">
        <v>101.52</v>
      </c>
      <c r="O228" s="104">
        <v>357.16725000000002</v>
      </c>
      <c r="P228" s="38">
        <v>4.0768693312449459E-3</v>
      </c>
      <c r="Q228" s="38">
        <v>4.3268232425517663E-4</v>
      </c>
    </row>
    <row r="229" spans="1:17" s="137" customFormat="1" x14ac:dyDescent="0.2">
      <c r="A229" s="112" t="s">
        <v>2183</v>
      </c>
      <c r="B229" s="144" t="s">
        <v>180</v>
      </c>
      <c r="C229" s="144" t="s">
        <v>180</v>
      </c>
      <c r="D229" s="144" t="s">
        <v>180</v>
      </c>
      <c r="E229" s="145" t="s">
        <v>180</v>
      </c>
      <c r="F229" s="145" t="s">
        <v>180</v>
      </c>
      <c r="G229" s="145" t="s">
        <v>180</v>
      </c>
      <c r="H229" s="155" t="s">
        <v>180</v>
      </c>
      <c r="I229" s="145" t="s">
        <v>180</v>
      </c>
      <c r="J229" s="145" t="s">
        <v>180</v>
      </c>
      <c r="K229" s="144" t="s">
        <v>180</v>
      </c>
      <c r="L229" s="144" t="s">
        <v>180</v>
      </c>
      <c r="M229" s="180" t="s">
        <v>180</v>
      </c>
      <c r="N229" s="145" t="s">
        <v>180</v>
      </c>
      <c r="O229" s="146">
        <v>0</v>
      </c>
      <c r="P229" s="144">
        <v>0</v>
      </c>
      <c r="Q229" s="144">
        <v>0</v>
      </c>
    </row>
    <row r="230" spans="1:17" s="137" customFormat="1" x14ac:dyDescent="0.2">
      <c r="A230" s="112" t="s">
        <v>2184</v>
      </c>
      <c r="B230" s="144" t="s">
        <v>180</v>
      </c>
      <c r="C230" s="144" t="s">
        <v>180</v>
      </c>
      <c r="D230" s="144" t="s">
        <v>180</v>
      </c>
      <c r="E230" s="145" t="s">
        <v>180</v>
      </c>
      <c r="F230" s="145" t="s">
        <v>180</v>
      </c>
      <c r="G230" s="145" t="s">
        <v>180</v>
      </c>
      <c r="H230" s="155">
        <v>0</v>
      </c>
      <c r="I230" s="145" t="s">
        <v>180</v>
      </c>
      <c r="J230" s="145" t="s">
        <v>180</v>
      </c>
      <c r="K230" s="144">
        <v>0</v>
      </c>
      <c r="L230" s="144">
        <v>0</v>
      </c>
      <c r="M230" s="180">
        <v>0</v>
      </c>
      <c r="N230" s="145" t="s">
        <v>180</v>
      </c>
      <c r="O230" s="146">
        <v>0</v>
      </c>
      <c r="P230" s="144">
        <v>0</v>
      </c>
      <c r="Q230" s="144">
        <v>0</v>
      </c>
    </row>
    <row r="231" spans="1:17" s="137" customFormat="1" x14ac:dyDescent="0.2">
      <c r="A231" s="112" t="s">
        <v>2185</v>
      </c>
      <c r="B231" s="144" t="s">
        <v>180</v>
      </c>
      <c r="C231" s="144" t="s">
        <v>180</v>
      </c>
      <c r="D231" s="144" t="s">
        <v>180</v>
      </c>
      <c r="E231" s="145" t="s">
        <v>180</v>
      </c>
      <c r="F231" s="145" t="s">
        <v>180</v>
      </c>
      <c r="G231" s="145" t="s">
        <v>180</v>
      </c>
      <c r="H231" s="155" t="s">
        <v>180</v>
      </c>
      <c r="I231" s="145" t="s">
        <v>180</v>
      </c>
      <c r="J231" s="145" t="s">
        <v>180</v>
      </c>
      <c r="K231" s="144" t="s">
        <v>180</v>
      </c>
      <c r="L231" s="144" t="s">
        <v>180</v>
      </c>
      <c r="M231" s="180" t="s">
        <v>180</v>
      </c>
      <c r="N231" s="145" t="s">
        <v>180</v>
      </c>
      <c r="O231" s="146">
        <v>0</v>
      </c>
      <c r="P231" s="144">
        <v>0</v>
      </c>
      <c r="Q231" s="144">
        <v>0</v>
      </c>
    </row>
    <row r="232" spans="1:17" s="137" customFormat="1" x14ac:dyDescent="0.2">
      <c r="A232" s="112" t="s">
        <v>2186</v>
      </c>
      <c r="B232" s="144" t="s">
        <v>180</v>
      </c>
      <c r="C232" s="144" t="s">
        <v>180</v>
      </c>
      <c r="D232" s="144" t="s">
        <v>180</v>
      </c>
      <c r="E232" s="145" t="s">
        <v>180</v>
      </c>
      <c r="F232" s="145" t="s">
        <v>180</v>
      </c>
      <c r="G232" s="145" t="s">
        <v>180</v>
      </c>
      <c r="H232" s="155" t="s">
        <v>180</v>
      </c>
      <c r="I232" s="145" t="s">
        <v>180</v>
      </c>
      <c r="J232" s="145" t="s">
        <v>180</v>
      </c>
      <c r="K232" s="144" t="s">
        <v>180</v>
      </c>
      <c r="L232" s="144" t="s">
        <v>180</v>
      </c>
      <c r="M232" s="180" t="s">
        <v>180</v>
      </c>
      <c r="N232" s="145" t="s">
        <v>180</v>
      </c>
      <c r="O232" s="146">
        <v>0</v>
      </c>
      <c r="P232" s="144">
        <v>0</v>
      </c>
      <c r="Q232" s="144">
        <v>0</v>
      </c>
    </row>
    <row r="233" spans="1:17" s="137" customFormat="1" x14ac:dyDescent="0.2">
      <c r="A233" s="112" t="s">
        <v>2187</v>
      </c>
      <c r="B233" s="144" t="s">
        <v>180</v>
      </c>
      <c r="C233" s="144" t="s">
        <v>180</v>
      </c>
      <c r="D233" s="144" t="s">
        <v>180</v>
      </c>
      <c r="E233" s="145" t="s">
        <v>180</v>
      </c>
      <c r="F233" s="145" t="s">
        <v>180</v>
      </c>
      <c r="G233" s="145" t="s">
        <v>180</v>
      </c>
      <c r="H233" s="155">
        <v>0</v>
      </c>
      <c r="I233" s="145" t="s">
        <v>180</v>
      </c>
      <c r="J233" s="145" t="s">
        <v>180</v>
      </c>
      <c r="K233" s="144">
        <v>0</v>
      </c>
      <c r="L233" s="144">
        <v>0</v>
      </c>
      <c r="M233" s="180">
        <v>0</v>
      </c>
      <c r="N233" s="145" t="s">
        <v>180</v>
      </c>
      <c r="O233" s="146">
        <v>0</v>
      </c>
      <c r="P233" s="144">
        <v>0</v>
      </c>
      <c r="Q233" s="144">
        <v>0</v>
      </c>
    </row>
    <row r="234" spans="1:17" s="137" customFormat="1" x14ac:dyDescent="0.2">
      <c r="A234" s="112" t="s">
        <v>2188</v>
      </c>
      <c r="B234" s="144" t="s">
        <v>180</v>
      </c>
      <c r="C234" s="144" t="s">
        <v>180</v>
      </c>
      <c r="D234" s="144" t="s">
        <v>180</v>
      </c>
      <c r="E234" s="145" t="s">
        <v>180</v>
      </c>
      <c r="F234" s="145" t="s">
        <v>180</v>
      </c>
      <c r="G234" s="145" t="s">
        <v>180</v>
      </c>
      <c r="H234" s="155" t="s">
        <v>180</v>
      </c>
      <c r="I234" s="145" t="s">
        <v>180</v>
      </c>
      <c r="J234" s="145" t="s">
        <v>180</v>
      </c>
      <c r="K234" s="144" t="s">
        <v>180</v>
      </c>
      <c r="L234" s="144" t="s">
        <v>180</v>
      </c>
      <c r="M234" s="180" t="s">
        <v>180</v>
      </c>
      <c r="N234" s="145" t="s">
        <v>180</v>
      </c>
      <c r="O234" s="146">
        <v>638.90589009999997</v>
      </c>
      <c r="P234" s="144">
        <v>7.2927622252612571E-3</v>
      </c>
      <c r="Q234" s="144">
        <v>7.7398833602126287E-4</v>
      </c>
    </row>
    <row r="235" spans="1:17" x14ac:dyDescent="0.2">
      <c r="A235" s="30" t="s">
        <v>2307</v>
      </c>
      <c r="B235" s="38" t="s">
        <v>180</v>
      </c>
      <c r="C235" s="38" t="s">
        <v>2189</v>
      </c>
      <c r="D235" s="38" t="s">
        <v>1096</v>
      </c>
      <c r="E235" s="80" t="s">
        <v>569</v>
      </c>
      <c r="F235" s="80" t="s">
        <v>2190</v>
      </c>
      <c r="G235" s="80" t="s">
        <v>185</v>
      </c>
      <c r="H235" s="88">
        <v>1.4</v>
      </c>
      <c r="I235" s="80" t="s">
        <v>1097</v>
      </c>
      <c r="J235" s="80" t="s">
        <v>186</v>
      </c>
      <c r="K235" s="38">
        <v>3.5499999999999997E-2</v>
      </c>
      <c r="L235" s="38">
        <v>3.3000000000000004E-3</v>
      </c>
      <c r="M235" s="132">
        <v>569700.03</v>
      </c>
      <c r="N235" s="80">
        <v>108.16</v>
      </c>
      <c r="O235" s="104">
        <v>616.1875500000001</v>
      </c>
      <c r="P235" s="38">
        <v>7.0334447654144157E-3</v>
      </c>
      <c r="Q235" s="38">
        <v>7.464667079949321E-4</v>
      </c>
    </row>
    <row r="236" spans="1:17" x14ac:dyDescent="0.2">
      <c r="A236" s="30" t="s">
        <v>2308</v>
      </c>
      <c r="B236" s="38" t="s">
        <v>1834</v>
      </c>
      <c r="C236" s="38" t="s">
        <v>2191</v>
      </c>
      <c r="D236" s="38" t="s">
        <v>2192</v>
      </c>
      <c r="E236" s="80" t="s">
        <v>396</v>
      </c>
      <c r="F236" s="80" t="s">
        <v>2193</v>
      </c>
      <c r="G236" s="80" t="s">
        <v>185</v>
      </c>
      <c r="H236" s="88">
        <v>1.49</v>
      </c>
      <c r="I236" s="80" t="s">
        <v>2124</v>
      </c>
      <c r="J236" s="80" t="s">
        <v>186</v>
      </c>
      <c r="K236" s="38">
        <v>4.4999999999999998E-2</v>
      </c>
      <c r="L236" s="38">
        <v>9.0000000000000011E-3</v>
      </c>
      <c r="M236" s="132">
        <v>20739.77</v>
      </c>
      <c r="N236" s="80">
        <v>109.54</v>
      </c>
      <c r="O236" s="104">
        <v>22.718340000000001</v>
      </c>
      <c r="P236" s="38">
        <v>2.593174587053973E-4</v>
      </c>
      <c r="Q236" s="38">
        <v>2.7521627905188256E-5</v>
      </c>
    </row>
    <row r="237" spans="1:17" s="137" customFormat="1" x14ac:dyDescent="0.2">
      <c r="A237" s="112" t="s">
        <v>357</v>
      </c>
      <c r="B237" s="144" t="s">
        <v>180</v>
      </c>
      <c r="C237" s="144" t="s">
        <v>180</v>
      </c>
      <c r="D237" s="144" t="s">
        <v>180</v>
      </c>
      <c r="E237" s="145" t="s">
        <v>180</v>
      </c>
      <c r="F237" s="145" t="s">
        <v>180</v>
      </c>
      <c r="G237" s="145" t="s">
        <v>180</v>
      </c>
      <c r="H237" s="155" t="s">
        <v>180</v>
      </c>
      <c r="I237" s="145" t="s">
        <v>180</v>
      </c>
      <c r="J237" s="145" t="s">
        <v>180</v>
      </c>
      <c r="K237" s="144" t="s">
        <v>180</v>
      </c>
      <c r="L237" s="144" t="s">
        <v>180</v>
      </c>
      <c r="M237" s="180" t="s">
        <v>180</v>
      </c>
      <c r="N237" s="145" t="s">
        <v>180</v>
      </c>
      <c r="O237" s="146">
        <v>1236.6217704000001</v>
      </c>
      <c r="P237" s="144">
        <v>1.4115362956972088E-2</v>
      </c>
      <c r="Q237" s="144">
        <v>1.4980779504314111E-3</v>
      </c>
    </row>
    <row r="238" spans="1:17" s="137" customFormat="1" x14ac:dyDescent="0.2">
      <c r="A238" s="112" t="s">
        <v>1831</v>
      </c>
      <c r="B238" s="144" t="s">
        <v>180</v>
      </c>
      <c r="C238" s="144" t="s">
        <v>180</v>
      </c>
      <c r="D238" s="144" t="s">
        <v>180</v>
      </c>
      <c r="E238" s="145" t="s">
        <v>180</v>
      </c>
      <c r="F238" s="145" t="s">
        <v>180</v>
      </c>
      <c r="G238" s="145" t="s">
        <v>180</v>
      </c>
      <c r="H238" s="155" t="s">
        <v>180</v>
      </c>
      <c r="I238" s="145" t="s">
        <v>180</v>
      </c>
      <c r="J238" s="145" t="s">
        <v>180</v>
      </c>
      <c r="K238" s="144" t="s">
        <v>180</v>
      </c>
      <c r="L238" s="144" t="s">
        <v>180</v>
      </c>
      <c r="M238" s="180" t="s">
        <v>180</v>
      </c>
      <c r="N238" s="145" t="s">
        <v>180</v>
      </c>
      <c r="O238" s="146">
        <v>0</v>
      </c>
      <c r="P238" s="144">
        <v>0</v>
      </c>
      <c r="Q238" s="144">
        <v>0</v>
      </c>
    </row>
    <row r="239" spans="1:17" s="137" customFormat="1" x14ac:dyDescent="0.2">
      <c r="A239" s="112" t="s">
        <v>1832</v>
      </c>
      <c r="B239" s="144" t="s">
        <v>180</v>
      </c>
      <c r="C239" s="144" t="s">
        <v>180</v>
      </c>
      <c r="D239" s="144" t="s">
        <v>180</v>
      </c>
      <c r="E239" s="145" t="s">
        <v>180</v>
      </c>
      <c r="F239" s="145" t="s">
        <v>180</v>
      </c>
      <c r="G239" s="145" t="s">
        <v>180</v>
      </c>
      <c r="H239" s="155" t="s">
        <v>180</v>
      </c>
      <c r="I239" s="145" t="s">
        <v>180</v>
      </c>
      <c r="J239" s="145" t="s">
        <v>180</v>
      </c>
      <c r="K239" s="144" t="s">
        <v>180</v>
      </c>
      <c r="L239" s="144" t="s">
        <v>180</v>
      </c>
      <c r="M239" s="180" t="s">
        <v>180</v>
      </c>
      <c r="N239" s="145" t="s">
        <v>180</v>
      </c>
      <c r="O239" s="146">
        <v>0</v>
      </c>
      <c r="P239" s="144">
        <v>0</v>
      </c>
      <c r="Q239" s="144">
        <v>0</v>
      </c>
    </row>
    <row r="240" spans="1:17" s="137" customFormat="1" x14ac:dyDescent="0.2">
      <c r="A240" s="112" t="s">
        <v>1833</v>
      </c>
      <c r="B240" s="144" t="s">
        <v>180</v>
      </c>
      <c r="C240" s="144" t="s">
        <v>180</v>
      </c>
      <c r="D240" s="144" t="s">
        <v>180</v>
      </c>
      <c r="E240" s="145" t="s">
        <v>180</v>
      </c>
      <c r="F240" s="145" t="s">
        <v>180</v>
      </c>
      <c r="G240" s="145" t="s">
        <v>180</v>
      </c>
      <c r="H240" s="155" t="s">
        <v>180</v>
      </c>
      <c r="I240" s="145" t="s">
        <v>180</v>
      </c>
      <c r="J240" s="145" t="s">
        <v>180</v>
      </c>
      <c r="K240" s="144" t="s">
        <v>180</v>
      </c>
      <c r="L240" s="144" t="s">
        <v>180</v>
      </c>
      <c r="M240" s="180" t="s">
        <v>180</v>
      </c>
      <c r="N240" s="145" t="s">
        <v>180</v>
      </c>
      <c r="O240" s="146">
        <v>1236.6217701</v>
      </c>
      <c r="P240" s="144">
        <v>1.4115362953547752E-2</v>
      </c>
      <c r="Q240" s="144">
        <v>1.4980779500679826E-3</v>
      </c>
    </row>
    <row r="241" spans="1:17" x14ac:dyDescent="0.2">
      <c r="A241" s="229" t="s">
        <v>2309</v>
      </c>
      <c r="B241" s="223" t="s">
        <v>180</v>
      </c>
      <c r="C241" s="223" t="s">
        <v>2194</v>
      </c>
      <c r="D241" s="223" t="s">
        <v>180</v>
      </c>
      <c r="E241" s="225" t="s">
        <v>419</v>
      </c>
      <c r="F241" s="225" t="s">
        <v>993</v>
      </c>
      <c r="G241" s="225" t="s">
        <v>180</v>
      </c>
      <c r="H241" s="230">
        <v>1.94</v>
      </c>
      <c r="I241" s="225" t="s">
        <v>1249</v>
      </c>
      <c r="J241" s="225" t="s">
        <v>127</v>
      </c>
      <c r="K241" s="223">
        <v>2.646129904632568E-2</v>
      </c>
      <c r="L241" s="223">
        <v>2.1299999999999999E-2</v>
      </c>
      <c r="M241" s="245">
        <v>350237</v>
      </c>
      <c r="N241" s="225">
        <v>101.87</v>
      </c>
      <c r="O241" s="226">
        <v>1236.62177</v>
      </c>
      <c r="P241" s="223">
        <v>1.4115362952406306E-2</v>
      </c>
      <c r="Q241" s="223">
        <v>1.4980779499468397E-3</v>
      </c>
    </row>
    <row r="242" spans="1:17" s="137" customFormat="1" x14ac:dyDescent="0.2">
      <c r="A242" s="112" t="s">
        <v>2188</v>
      </c>
      <c r="B242" s="144" t="s">
        <v>180</v>
      </c>
      <c r="C242" s="144" t="s">
        <v>180</v>
      </c>
      <c r="D242" s="144" t="s">
        <v>180</v>
      </c>
      <c r="E242" s="145" t="s">
        <v>180</v>
      </c>
      <c r="F242" s="145" t="s">
        <v>180</v>
      </c>
      <c r="G242" s="145" t="s">
        <v>180</v>
      </c>
      <c r="H242" s="155" t="s">
        <v>180</v>
      </c>
      <c r="I242" s="145" t="s">
        <v>180</v>
      </c>
      <c r="J242" s="145" t="s">
        <v>180</v>
      </c>
      <c r="K242" s="144" t="s">
        <v>180</v>
      </c>
      <c r="L242" s="144" t="s">
        <v>180</v>
      </c>
      <c r="M242" s="180" t="s">
        <v>180</v>
      </c>
      <c r="N242" s="145" t="s">
        <v>180</v>
      </c>
      <c r="O242" s="146">
        <v>0</v>
      </c>
      <c r="P242" s="144">
        <v>0</v>
      </c>
      <c r="Q242" s="144">
        <v>0</v>
      </c>
    </row>
    <row r="243" spans="1:17" s="137" customFormat="1" x14ac:dyDescent="0.2">
      <c r="A243" s="97"/>
      <c r="B243" s="97"/>
      <c r="C243" s="147"/>
      <c r="D243" s="147"/>
      <c r="E243" s="147"/>
      <c r="F243" s="148"/>
      <c r="G243" s="148"/>
      <c r="H243" s="148"/>
      <c r="I243" s="148"/>
      <c r="J243" s="148"/>
      <c r="K243" s="149"/>
      <c r="L243" s="150"/>
      <c r="M243" s="151"/>
      <c r="N243" s="151"/>
      <c r="O243" s="151"/>
      <c r="P243" s="151"/>
      <c r="Q243" s="150"/>
    </row>
    <row r="244" spans="1:17" s="137" customFormat="1" x14ac:dyDescent="0.2">
      <c r="A244" s="97"/>
      <c r="B244" s="97"/>
      <c r="C244" s="147"/>
      <c r="D244" s="147"/>
      <c r="E244" s="147"/>
      <c r="F244" s="148"/>
      <c r="G244" s="148"/>
      <c r="H244" s="148"/>
      <c r="I244" s="148"/>
      <c r="J244" s="148"/>
      <c r="K244" s="149"/>
      <c r="L244" s="150"/>
      <c r="M244" s="151"/>
      <c r="N244" s="151"/>
      <c r="O244" s="151"/>
      <c r="P244" s="151"/>
      <c r="Q244" s="150"/>
    </row>
    <row r="245" spans="1:17" s="137" customFormat="1" x14ac:dyDescent="0.2">
      <c r="A245" s="97"/>
      <c r="B245" s="97"/>
      <c r="C245" s="147"/>
      <c r="D245" s="147"/>
      <c r="E245" s="147"/>
      <c r="F245" s="148"/>
      <c r="G245" s="148"/>
      <c r="H245" s="148"/>
      <c r="I245" s="148"/>
      <c r="J245" s="148"/>
      <c r="K245" s="149"/>
      <c r="L245" s="150"/>
      <c r="M245" s="151"/>
      <c r="N245" s="151"/>
      <c r="O245" s="151"/>
      <c r="P245" s="151"/>
      <c r="Q245" s="150"/>
    </row>
    <row r="246" spans="1:17" s="137" customFormat="1" x14ac:dyDescent="0.2">
      <c r="A246" s="97"/>
      <c r="B246" s="97"/>
      <c r="C246" s="147"/>
      <c r="D246" s="147"/>
      <c r="E246" s="147"/>
      <c r="F246" s="148"/>
      <c r="G246" s="148"/>
      <c r="H246" s="148"/>
      <c r="I246" s="148"/>
      <c r="J246" s="148"/>
      <c r="K246" s="149"/>
      <c r="L246" s="150"/>
      <c r="M246" s="151"/>
      <c r="N246" s="151"/>
      <c r="O246" s="151"/>
      <c r="P246" s="151"/>
      <c r="Q246" s="150"/>
    </row>
    <row r="247" spans="1:17" s="137" customFormat="1" x14ac:dyDescent="0.2">
      <c r="A247" s="97"/>
      <c r="B247" s="97"/>
      <c r="C247" s="147"/>
      <c r="D247" s="147"/>
      <c r="E247" s="147"/>
      <c r="F247" s="148"/>
      <c r="G247" s="148"/>
      <c r="H247" s="148"/>
      <c r="I247" s="148"/>
      <c r="J247" s="148"/>
      <c r="K247" s="149"/>
      <c r="L247" s="150"/>
      <c r="M247" s="151"/>
      <c r="N247" s="151"/>
      <c r="O247" s="151"/>
      <c r="P247" s="151"/>
      <c r="Q247" s="150"/>
    </row>
  </sheetData>
  <sortState ref="A16:AA228">
    <sortCondition ref="A16:A228" customList="א,ב,ג,ד,ה,ו,ז,ח,ט,י,כ,ל,מ,נ,ס,ע,פ,צ,ק,ר,ש,ת"/>
  </sortState>
  <mergeCells count="1">
    <mergeCell ref="A5:Q5"/>
  </mergeCells>
  <conditionalFormatting sqref="B10:G11 J10:J242 P10:Q242 I11:I242 B12:D12 F12:G12 B13:G242">
    <cfRule type="expression" dxfId="62" priority="363" stopIfTrue="1">
      <formula>OR(LEFT(#REF!,3)="TIR",LEFT(#REF!,2)="IR")</formula>
    </cfRule>
  </conditionalFormatting>
  <conditionalFormatting sqref="O10:P242">
    <cfRule type="expression" dxfId="61" priority="367" stopIfTrue="1">
      <formula>#REF!&gt;0</formula>
    </cfRule>
  </conditionalFormatting>
  <conditionalFormatting sqref="E12">
    <cfRule type="expression" dxfId="60" priority="3" stopIfTrue="1">
      <formula>OR(LEFT(#REF!,3)="TIR",LEFT(#REF!,2)="IR")</formula>
    </cfRule>
  </conditionalFormatting>
  <conditionalFormatting sqref="A10:A242">
    <cfRule type="expression" dxfId="59" priority="1" stopIfTrue="1">
      <formula>#REF!&gt;0</formula>
    </cfRule>
  </conditionalFormatting>
  <dataValidations count="1">
    <dataValidation type="list" allowBlank="1" showInputMessage="1" showErrorMessage="1" error="The value you entered is not valid._x000a_A user has restricted values that can be entered into this cell." sqref="I12:I13 I16:I76 I79:I242" xr:uid="{00000000-0002-0000-1500-000000000000}">
      <formula1>TM1PICKLIST</formula1>
    </dataValidation>
  </dataValidations>
  <pageMargins left="0.74803149606299202" right="0.74803149606299202" top="0.98425196850393704" bottom="0.98425196850393704" header="0.511811023622047" footer="0.511811023622047"/>
  <pageSetup paperSize="9" scale="82" fitToHeight="0" orientation="landscape"/>
  <headerFooter alignWithMargins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41BFD-3B27-4DED-973C-ADE828728A60}">
  <sheetPr codeName="גיליון23">
    <pageSetUpPr fitToPage="1"/>
  </sheetPr>
  <dimension ref="A1:Q21"/>
  <sheetViews>
    <sheetView rightToLeft="1" zoomScale="80" zoomScaleNormal="80" workbookViewId="0">
      <selection activeCell="A6" sqref="A6:N16"/>
    </sheetView>
  </sheetViews>
  <sheetFormatPr defaultRowHeight="12.75" x14ac:dyDescent="0.2"/>
  <cols>
    <col min="1" max="1" width="25.7109375" style="23" bestFit="1" customWidth="1"/>
    <col min="2" max="2" width="13.5703125" style="23" bestFit="1" customWidth="1"/>
    <col min="3" max="3" width="13.28515625" style="22" customWidth="1"/>
    <col min="4" max="4" width="7.5703125" style="22" customWidth="1"/>
    <col min="5" max="5" width="11.140625" style="79" customWidth="1"/>
    <col min="6" max="6" width="7.85546875" style="79" customWidth="1"/>
    <col min="7" max="7" width="11.28515625" style="79" customWidth="1"/>
    <col min="8" max="8" width="17.7109375" style="50" customWidth="1"/>
    <col min="9" max="9" width="14.140625" style="81" customWidth="1"/>
    <col min="10" max="10" width="10.5703125" style="83" customWidth="1"/>
    <col min="11" max="11" width="7" style="83" customWidth="1"/>
    <col min="12" max="12" width="10.42578125" style="83" customWidth="1"/>
    <col min="13" max="13" width="25.42578125" style="83" customWidth="1"/>
    <col min="14" max="14" width="20.7109375" style="81" customWidth="1"/>
    <col min="15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7" s="20" customFormat="1" x14ac:dyDescent="0.2">
      <c r="A1" s="20" t="s">
        <v>166</v>
      </c>
      <c r="B1" s="23" t="s">
        <v>176</v>
      </c>
      <c r="C1" s="22"/>
      <c r="D1" s="58"/>
      <c r="E1" s="79"/>
      <c r="F1" s="79"/>
      <c r="G1" s="79"/>
      <c r="H1" s="50"/>
      <c r="I1" s="81"/>
      <c r="J1" s="82"/>
      <c r="K1" s="82"/>
      <c r="L1" s="82"/>
      <c r="M1" s="82"/>
      <c r="N1" s="81"/>
      <c r="O1" s="26"/>
      <c r="P1" s="28"/>
    </row>
    <row r="2" spans="1:17" s="20" customFormat="1" x14ac:dyDescent="0.2">
      <c r="A2" s="23" t="s">
        <v>167</v>
      </c>
      <c r="B2" s="23" t="s">
        <v>153</v>
      </c>
      <c r="C2" s="22"/>
      <c r="D2" s="58"/>
      <c r="E2" s="79"/>
      <c r="F2" s="79"/>
      <c r="G2" s="79"/>
      <c r="H2" s="50"/>
      <c r="I2" s="81"/>
      <c r="J2" s="82"/>
      <c r="K2" s="82"/>
      <c r="L2" s="82"/>
      <c r="M2" s="82"/>
      <c r="N2" s="81"/>
      <c r="O2" s="26"/>
      <c r="P2" s="28"/>
    </row>
    <row r="3" spans="1:17" s="20" customFormat="1" x14ac:dyDescent="0.2">
      <c r="A3" s="23" t="s">
        <v>168</v>
      </c>
      <c r="B3" s="22" t="s">
        <v>169</v>
      </c>
      <c r="C3" s="22"/>
      <c r="D3" s="58"/>
      <c r="E3" s="79"/>
      <c r="F3" s="79"/>
      <c r="G3" s="79"/>
      <c r="H3" s="50"/>
      <c r="I3" s="81"/>
      <c r="J3" s="82"/>
      <c r="K3" s="82"/>
      <c r="L3" s="82"/>
      <c r="M3" s="82"/>
      <c r="N3" s="81"/>
      <c r="O3" s="26"/>
      <c r="P3" s="28"/>
    </row>
    <row r="4" spans="1:17" s="20" customFormat="1" ht="13.5" thickBot="1" x14ac:dyDescent="0.25">
      <c r="A4" s="23" t="s">
        <v>170</v>
      </c>
      <c r="B4" s="22" t="s">
        <v>178</v>
      </c>
      <c r="C4" s="22"/>
      <c r="D4" s="58"/>
      <c r="E4" s="79"/>
      <c r="F4" s="79"/>
      <c r="G4" s="79"/>
      <c r="H4" s="50"/>
      <c r="I4" s="81"/>
      <c r="J4" s="82"/>
      <c r="K4" s="82"/>
      <c r="L4" s="82"/>
      <c r="M4" s="82"/>
      <c r="N4" s="81"/>
      <c r="O4" s="26"/>
      <c r="P4" s="28"/>
    </row>
    <row r="5" spans="1:17" s="20" customFormat="1" x14ac:dyDescent="0.2">
      <c r="A5" s="10" t="s">
        <v>37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</row>
    <row r="6" spans="1:17" s="20" customFormat="1" ht="30.75" customHeight="1" x14ac:dyDescent="0.2">
      <c r="A6" s="106" t="s">
        <v>160</v>
      </c>
      <c r="B6" s="107" t="s">
        <v>69</v>
      </c>
      <c r="C6" s="107" t="s">
        <v>74</v>
      </c>
      <c r="D6" s="107" t="s">
        <v>70</v>
      </c>
      <c r="E6" s="107" t="s">
        <v>5</v>
      </c>
      <c r="F6" s="107" t="s">
        <v>14</v>
      </c>
      <c r="G6" s="107" t="s">
        <v>6</v>
      </c>
      <c r="H6" s="108" t="s">
        <v>89</v>
      </c>
      <c r="I6" s="108" t="s">
        <v>71</v>
      </c>
      <c r="J6" s="108" t="s">
        <v>67</v>
      </c>
      <c r="K6" s="108" t="s">
        <v>68</v>
      </c>
      <c r="L6" s="108" t="s">
        <v>29</v>
      </c>
      <c r="M6" s="109" t="s">
        <v>75</v>
      </c>
      <c r="N6" s="110" t="s">
        <v>8</v>
      </c>
    </row>
    <row r="7" spans="1:17" s="20" customFormat="1" x14ac:dyDescent="0.2">
      <c r="A7" s="40"/>
      <c r="B7" s="14"/>
      <c r="C7" s="17"/>
      <c r="D7" s="16"/>
      <c r="E7" s="41"/>
      <c r="F7" s="42" t="s">
        <v>16</v>
      </c>
      <c r="G7" s="43"/>
      <c r="H7" s="15" t="s">
        <v>9</v>
      </c>
      <c r="I7" s="15" t="s">
        <v>9</v>
      </c>
      <c r="J7" s="15" t="s">
        <v>136</v>
      </c>
      <c r="K7" s="15"/>
      <c r="L7" s="15" t="s">
        <v>138</v>
      </c>
      <c r="M7" s="44" t="s">
        <v>9</v>
      </c>
      <c r="N7" s="19" t="s">
        <v>9</v>
      </c>
    </row>
    <row r="8" spans="1:17" s="29" customFormat="1" ht="12.75" customHeight="1" x14ac:dyDescent="0.2">
      <c r="A8" s="34"/>
      <c r="B8" s="6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76">
        <v>12</v>
      </c>
      <c r="N8" s="49">
        <v>13</v>
      </c>
    </row>
    <row r="9" spans="1:17" s="137" customFormat="1" ht="12.75" customHeight="1" thickBot="1" x14ac:dyDescent="0.25">
      <c r="A9" s="120" t="s">
        <v>124</v>
      </c>
      <c r="B9" s="86" t="s">
        <v>180</v>
      </c>
      <c r="C9" s="121" t="s">
        <v>180</v>
      </c>
      <c r="D9" s="121"/>
      <c r="E9" s="121" t="s">
        <v>180</v>
      </c>
      <c r="F9" s="121" t="s">
        <v>180</v>
      </c>
      <c r="G9" s="121" t="s">
        <v>180</v>
      </c>
      <c r="H9" s="86" t="s">
        <v>180</v>
      </c>
      <c r="I9" s="86" t="s">
        <v>180</v>
      </c>
      <c r="J9" s="122" t="s">
        <v>180</v>
      </c>
      <c r="K9" s="121" t="s">
        <v>180</v>
      </c>
      <c r="L9" s="123">
        <v>6.0000000000000008E-7</v>
      </c>
      <c r="M9" s="86">
        <v>0</v>
      </c>
      <c r="N9" s="101">
        <v>0</v>
      </c>
    </row>
    <row r="10" spans="1:17" s="137" customFormat="1" x14ac:dyDescent="0.2">
      <c r="A10" s="111" t="s">
        <v>140</v>
      </c>
      <c r="B10" s="140" t="s">
        <v>180</v>
      </c>
      <c r="C10" s="141" t="s">
        <v>180</v>
      </c>
      <c r="D10" s="141" t="s">
        <v>180</v>
      </c>
      <c r="E10" s="141" t="s">
        <v>180</v>
      </c>
      <c r="F10" s="141" t="s">
        <v>180</v>
      </c>
      <c r="G10" s="141" t="s">
        <v>180</v>
      </c>
      <c r="H10" s="140" t="s">
        <v>180</v>
      </c>
      <c r="I10" s="140" t="s">
        <v>180</v>
      </c>
      <c r="J10" s="153" t="s">
        <v>180</v>
      </c>
      <c r="K10" s="141" t="s">
        <v>180</v>
      </c>
      <c r="L10" s="142">
        <v>0</v>
      </c>
      <c r="M10" s="140">
        <v>0</v>
      </c>
      <c r="N10" s="140">
        <v>0</v>
      </c>
    </row>
    <row r="11" spans="1:17" s="137" customFormat="1" x14ac:dyDescent="0.2">
      <c r="A11" s="112" t="s">
        <v>2195</v>
      </c>
      <c r="B11" s="144" t="s">
        <v>180</v>
      </c>
      <c r="C11" s="145" t="s">
        <v>180</v>
      </c>
      <c r="D11" s="145" t="s">
        <v>180</v>
      </c>
      <c r="E11" s="145" t="s">
        <v>180</v>
      </c>
      <c r="F11" s="145" t="s">
        <v>180</v>
      </c>
      <c r="G11" s="145" t="s">
        <v>180</v>
      </c>
      <c r="H11" s="144" t="s">
        <v>180</v>
      </c>
      <c r="I11" s="144" t="s">
        <v>180</v>
      </c>
      <c r="J11" s="155" t="s">
        <v>180</v>
      </c>
      <c r="K11" s="145" t="s">
        <v>180</v>
      </c>
      <c r="L11" s="146">
        <v>0</v>
      </c>
      <c r="M11" s="144">
        <v>0</v>
      </c>
      <c r="N11" s="144">
        <v>0</v>
      </c>
    </row>
    <row r="12" spans="1:17" s="137" customFormat="1" x14ac:dyDescent="0.2">
      <c r="A12" s="112" t="s">
        <v>1550</v>
      </c>
      <c r="B12" s="144" t="s">
        <v>180</v>
      </c>
      <c r="C12" s="145" t="s">
        <v>180</v>
      </c>
      <c r="D12" s="145" t="s">
        <v>180</v>
      </c>
      <c r="E12" s="145" t="s">
        <v>180</v>
      </c>
      <c r="F12" s="145" t="s">
        <v>180</v>
      </c>
      <c r="G12" s="145" t="s">
        <v>180</v>
      </c>
      <c r="H12" s="144" t="s">
        <v>180</v>
      </c>
      <c r="I12" s="144" t="s">
        <v>180</v>
      </c>
      <c r="J12" s="155" t="s">
        <v>180</v>
      </c>
      <c r="K12" s="145" t="s">
        <v>180</v>
      </c>
      <c r="L12" s="146">
        <v>0</v>
      </c>
      <c r="M12" s="144">
        <v>0</v>
      </c>
      <c r="N12" s="144">
        <v>0</v>
      </c>
    </row>
    <row r="13" spans="1:17" s="137" customFormat="1" x14ac:dyDescent="0.2">
      <c r="A13" s="112" t="s">
        <v>2196</v>
      </c>
      <c r="B13" s="144" t="s">
        <v>180</v>
      </c>
      <c r="C13" s="145" t="s">
        <v>180</v>
      </c>
      <c r="D13" s="145" t="s">
        <v>180</v>
      </c>
      <c r="E13" s="145" t="s">
        <v>180</v>
      </c>
      <c r="F13" s="145" t="s">
        <v>180</v>
      </c>
      <c r="G13" s="145" t="s">
        <v>180</v>
      </c>
      <c r="H13" s="144" t="s">
        <v>180</v>
      </c>
      <c r="I13" s="144" t="s">
        <v>180</v>
      </c>
      <c r="J13" s="155" t="s">
        <v>180</v>
      </c>
      <c r="K13" s="145" t="s">
        <v>180</v>
      </c>
      <c r="L13" s="146">
        <v>0</v>
      </c>
      <c r="M13" s="144">
        <v>0</v>
      </c>
      <c r="N13" s="144">
        <v>0</v>
      </c>
    </row>
    <row r="14" spans="1:17" s="137" customFormat="1" x14ac:dyDescent="0.2">
      <c r="A14" s="112" t="s">
        <v>2197</v>
      </c>
      <c r="B14" s="144" t="s">
        <v>180</v>
      </c>
      <c r="C14" s="145" t="s">
        <v>180</v>
      </c>
      <c r="D14" s="145" t="s">
        <v>180</v>
      </c>
      <c r="E14" s="145" t="s">
        <v>180</v>
      </c>
      <c r="F14" s="145" t="s">
        <v>180</v>
      </c>
      <c r="G14" s="145" t="s">
        <v>180</v>
      </c>
      <c r="H14" s="144" t="s">
        <v>180</v>
      </c>
      <c r="I14" s="144" t="s">
        <v>180</v>
      </c>
      <c r="J14" s="155" t="s">
        <v>180</v>
      </c>
      <c r="K14" s="145" t="s">
        <v>180</v>
      </c>
      <c r="L14" s="146">
        <v>0</v>
      </c>
      <c r="M14" s="144">
        <v>0</v>
      </c>
      <c r="N14" s="144">
        <v>0</v>
      </c>
    </row>
    <row r="15" spans="1:17" s="137" customFormat="1" x14ac:dyDescent="0.2">
      <c r="A15" s="112" t="s">
        <v>144</v>
      </c>
      <c r="B15" s="144" t="s">
        <v>180</v>
      </c>
      <c r="C15" s="145" t="s">
        <v>180</v>
      </c>
      <c r="D15" s="145" t="s">
        <v>180</v>
      </c>
      <c r="E15" s="145" t="s">
        <v>180</v>
      </c>
      <c r="F15" s="145" t="s">
        <v>180</v>
      </c>
      <c r="G15" s="145" t="s">
        <v>180</v>
      </c>
      <c r="H15" s="144" t="s">
        <v>180</v>
      </c>
      <c r="I15" s="144" t="s">
        <v>180</v>
      </c>
      <c r="J15" s="155" t="s">
        <v>180</v>
      </c>
      <c r="K15" s="145" t="s">
        <v>180</v>
      </c>
      <c r="L15" s="146">
        <v>0</v>
      </c>
      <c r="M15" s="144">
        <v>0</v>
      </c>
      <c r="N15" s="144">
        <v>0</v>
      </c>
    </row>
    <row r="16" spans="1:17" s="137" customFormat="1" x14ac:dyDescent="0.2">
      <c r="A16" s="231" t="s">
        <v>386</v>
      </c>
      <c r="B16" s="232" t="s">
        <v>180</v>
      </c>
      <c r="C16" s="239" t="s">
        <v>180</v>
      </c>
      <c r="D16" s="239" t="s">
        <v>180</v>
      </c>
      <c r="E16" s="239" t="s">
        <v>180</v>
      </c>
      <c r="F16" s="239" t="s">
        <v>180</v>
      </c>
      <c r="G16" s="239" t="s">
        <v>180</v>
      </c>
      <c r="H16" s="232" t="s">
        <v>180</v>
      </c>
      <c r="I16" s="232" t="s">
        <v>180</v>
      </c>
      <c r="J16" s="240" t="s">
        <v>180</v>
      </c>
      <c r="K16" s="239" t="s">
        <v>180</v>
      </c>
      <c r="L16" s="237">
        <v>0</v>
      </c>
      <c r="M16" s="232">
        <v>0</v>
      </c>
      <c r="N16" s="232">
        <v>0</v>
      </c>
    </row>
    <row r="17" spans="1:15" s="137" customFormat="1" x14ac:dyDescent="0.2">
      <c r="A17" s="97" t="s">
        <v>171</v>
      </c>
      <c r="B17" s="97"/>
      <c r="C17" s="147"/>
      <c r="D17" s="147"/>
      <c r="E17" s="148"/>
      <c r="F17" s="148"/>
      <c r="G17" s="148"/>
      <c r="H17" s="149"/>
      <c r="I17" s="150"/>
      <c r="J17" s="151"/>
      <c r="K17" s="151"/>
      <c r="L17" s="151"/>
      <c r="M17" s="151"/>
      <c r="N17" s="150"/>
      <c r="O17" s="152"/>
    </row>
    <row r="18" spans="1:15" s="137" customFormat="1" x14ac:dyDescent="0.2">
      <c r="A18" s="97" t="s">
        <v>172</v>
      </c>
      <c r="B18" s="97"/>
      <c r="C18" s="147"/>
      <c r="D18" s="147"/>
      <c r="E18" s="148"/>
      <c r="F18" s="148"/>
      <c r="G18" s="148"/>
      <c r="H18" s="149"/>
      <c r="I18" s="150"/>
      <c r="J18" s="151"/>
      <c r="K18" s="151"/>
      <c r="L18" s="151"/>
      <c r="M18" s="151"/>
      <c r="N18" s="150"/>
      <c r="O18" s="152"/>
    </row>
    <row r="19" spans="1:15" s="137" customFormat="1" x14ac:dyDescent="0.2">
      <c r="A19" s="97" t="s">
        <v>173</v>
      </c>
      <c r="B19" s="97"/>
      <c r="C19" s="147"/>
      <c r="D19" s="147"/>
      <c r="E19" s="148"/>
      <c r="F19" s="148"/>
      <c r="G19" s="148"/>
      <c r="H19" s="149"/>
      <c r="I19" s="150"/>
      <c r="J19" s="151"/>
      <c r="K19" s="151"/>
      <c r="L19" s="151"/>
      <c r="M19" s="151"/>
      <c r="N19" s="150"/>
      <c r="O19" s="152"/>
    </row>
    <row r="20" spans="1:15" s="137" customFormat="1" x14ac:dyDescent="0.2">
      <c r="A20" s="97" t="s">
        <v>174</v>
      </c>
      <c r="B20" s="97"/>
      <c r="C20" s="147"/>
      <c r="D20" s="147"/>
      <c r="E20" s="148"/>
      <c r="F20" s="148"/>
      <c r="G20" s="148"/>
      <c r="H20" s="149"/>
      <c r="I20" s="150"/>
      <c r="J20" s="151"/>
      <c r="K20" s="151"/>
      <c r="L20" s="151"/>
      <c r="M20" s="151"/>
      <c r="N20" s="150"/>
      <c r="O20" s="152"/>
    </row>
    <row r="21" spans="1:15" s="137" customFormat="1" x14ac:dyDescent="0.2">
      <c r="A21" s="97" t="s">
        <v>175</v>
      </c>
      <c r="B21" s="97"/>
      <c r="C21" s="147"/>
      <c r="D21" s="147"/>
      <c r="E21" s="148"/>
      <c r="F21" s="148"/>
      <c r="G21" s="148"/>
      <c r="H21" s="149"/>
      <c r="I21" s="150"/>
      <c r="J21" s="151"/>
      <c r="K21" s="151"/>
      <c r="L21" s="151"/>
      <c r="M21" s="151"/>
      <c r="N21" s="150"/>
      <c r="O21" s="152"/>
    </row>
  </sheetData>
  <mergeCells count="1">
    <mergeCell ref="A5:N5"/>
  </mergeCells>
  <conditionalFormatting sqref="B10:E16 G10:G16 M10:N16">
    <cfRule type="expression" dxfId="58" priority="369" stopIfTrue="1">
      <formula>OR(LEFT(#REF!,3)="TIR",LEFT(#REF!,2)="IR")</formula>
    </cfRule>
  </conditionalFormatting>
  <conditionalFormatting sqref="A9:A16 L9:M16">
    <cfRule type="expression" dxfId="57" priority="372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1" fitToHeight="0" orientation="landscape"/>
  <headerFooter alignWithMargins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19207-42BD-4B8D-B02B-6718A9F983DA}">
  <sheetPr codeName="גיליון24">
    <pageSetUpPr fitToPage="1"/>
  </sheetPr>
  <dimension ref="A1:Q20"/>
  <sheetViews>
    <sheetView rightToLeft="1" zoomScale="85" zoomScaleNormal="85" workbookViewId="0">
      <selection activeCell="A6" sqref="A6:I15"/>
    </sheetView>
  </sheetViews>
  <sheetFormatPr defaultRowHeight="12.75" x14ac:dyDescent="0.2"/>
  <cols>
    <col min="1" max="1" width="22" style="23" customWidth="1"/>
    <col min="2" max="2" width="18.140625" style="22" customWidth="1"/>
    <col min="3" max="3" width="10.5703125" style="23" customWidth="1"/>
    <col min="4" max="4" width="25.5703125" style="24" customWidth="1"/>
    <col min="5" max="5" width="10.7109375" style="79" customWidth="1"/>
    <col min="6" max="6" width="13" style="79" customWidth="1"/>
    <col min="7" max="7" width="24" style="79" customWidth="1"/>
    <col min="8" max="8" width="18.7109375" style="79" customWidth="1"/>
    <col min="9" max="9" width="13.28515625" style="79" customWidth="1"/>
    <col min="10" max="10" width="9.5703125" style="25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166</v>
      </c>
      <c r="B1" s="22" t="s">
        <v>176</v>
      </c>
      <c r="C1" s="23"/>
      <c r="D1" s="24"/>
      <c r="E1" s="79"/>
      <c r="F1" s="79"/>
      <c r="G1" s="79"/>
      <c r="H1" s="79"/>
      <c r="I1" s="79"/>
      <c r="J1" s="25"/>
      <c r="K1" s="26"/>
      <c r="L1" s="27"/>
      <c r="M1" s="27"/>
      <c r="N1" s="27"/>
      <c r="O1" s="26"/>
      <c r="P1" s="26"/>
      <c r="Q1" s="28"/>
    </row>
    <row r="2" spans="1:17" s="20" customFormat="1" x14ac:dyDescent="0.2">
      <c r="A2" s="23" t="s">
        <v>167</v>
      </c>
      <c r="B2" s="22" t="s">
        <v>153</v>
      </c>
      <c r="C2" s="23"/>
      <c r="D2" s="24"/>
      <c r="E2" s="79"/>
      <c r="F2" s="79"/>
      <c r="G2" s="79"/>
      <c r="H2" s="79"/>
      <c r="I2" s="79"/>
      <c r="J2" s="25"/>
      <c r="K2" s="26"/>
      <c r="L2" s="27"/>
      <c r="M2" s="27"/>
      <c r="N2" s="27"/>
      <c r="O2" s="26"/>
      <c r="P2" s="26"/>
      <c r="Q2" s="28"/>
    </row>
    <row r="3" spans="1:17" s="20" customFormat="1" x14ac:dyDescent="0.2">
      <c r="A3" s="23" t="s">
        <v>168</v>
      </c>
      <c r="B3" s="22" t="s">
        <v>169</v>
      </c>
      <c r="C3" s="23"/>
      <c r="D3" s="24"/>
      <c r="E3" s="79"/>
      <c r="F3" s="79"/>
      <c r="G3" s="79"/>
      <c r="H3" s="79"/>
      <c r="I3" s="79"/>
      <c r="J3" s="25"/>
      <c r="K3" s="26"/>
      <c r="L3" s="27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170</v>
      </c>
      <c r="B4" s="22" t="s">
        <v>178</v>
      </c>
      <c r="C4" s="23"/>
      <c r="D4" s="24"/>
      <c r="E4" s="79"/>
      <c r="F4" s="79"/>
      <c r="G4" s="79"/>
      <c r="H4" s="79"/>
      <c r="I4" s="79"/>
      <c r="J4" s="25"/>
      <c r="K4" s="26"/>
      <c r="L4" s="27"/>
      <c r="M4" s="27"/>
      <c r="N4" s="27"/>
      <c r="O4" s="26"/>
      <c r="P4" s="26"/>
      <c r="Q4" s="28"/>
    </row>
    <row r="5" spans="1:17" s="20" customFormat="1" x14ac:dyDescent="0.2">
      <c r="A5" s="246" t="s">
        <v>38</v>
      </c>
      <c r="B5" s="247"/>
      <c r="C5" s="247"/>
      <c r="D5" s="247"/>
      <c r="E5" s="247"/>
      <c r="F5" s="247"/>
      <c r="G5" s="247"/>
      <c r="H5" s="247"/>
      <c r="I5" s="248"/>
      <c r="J5" s="25"/>
      <c r="K5" s="25"/>
      <c r="L5" s="25"/>
    </row>
    <row r="6" spans="1:17" s="20" customFormat="1" ht="33" customHeight="1" x14ac:dyDescent="0.2">
      <c r="A6" s="106" t="s">
        <v>160</v>
      </c>
      <c r="B6" s="107" t="s">
        <v>39</v>
      </c>
      <c r="C6" s="107" t="s">
        <v>41</v>
      </c>
      <c r="D6" s="107" t="s">
        <v>42</v>
      </c>
      <c r="E6" s="107" t="s">
        <v>6</v>
      </c>
      <c r="F6" s="108" t="s">
        <v>82</v>
      </c>
      <c r="G6" s="109" t="s">
        <v>75</v>
      </c>
      <c r="H6" s="109" t="s">
        <v>8</v>
      </c>
      <c r="I6" s="110" t="s">
        <v>139</v>
      </c>
    </row>
    <row r="7" spans="1:17" s="20" customFormat="1" x14ac:dyDescent="0.2">
      <c r="A7" s="40"/>
      <c r="B7" s="16" t="s">
        <v>40</v>
      </c>
      <c r="C7" s="16"/>
      <c r="D7" s="43" t="s">
        <v>9</v>
      </c>
      <c r="E7" s="43"/>
      <c r="F7" s="15" t="s">
        <v>138</v>
      </c>
      <c r="G7" s="44" t="s">
        <v>9</v>
      </c>
      <c r="H7" s="44" t="s">
        <v>9</v>
      </c>
      <c r="I7" s="19"/>
    </row>
    <row r="8" spans="1:17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7">
        <v>6</v>
      </c>
      <c r="H8" s="77">
        <v>7</v>
      </c>
      <c r="I8" s="61">
        <v>8</v>
      </c>
    </row>
    <row r="9" spans="1:17" s="137" customFormat="1" ht="12.75" customHeight="1" thickBot="1" x14ac:dyDescent="0.25">
      <c r="A9" s="169" t="s">
        <v>73</v>
      </c>
      <c r="B9" s="89"/>
      <c r="C9" s="89" t="s">
        <v>180</v>
      </c>
      <c r="D9" s="181"/>
      <c r="E9" s="170"/>
      <c r="F9" s="173">
        <v>4.0000000000000003E-7</v>
      </c>
      <c r="G9" s="89">
        <v>1</v>
      </c>
      <c r="H9" s="89">
        <v>0</v>
      </c>
      <c r="I9" s="102"/>
    </row>
    <row r="10" spans="1:17" s="137" customFormat="1" x14ac:dyDescent="0.2">
      <c r="A10" s="111" t="s">
        <v>2198</v>
      </c>
      <c r="B10" s="140"/>
      <c r="C10" s="140" t="s">
        <v>180</v>
      </c>
      <c r="D10" s="160"/>
      <c r="E10" s="141" t="s">
        <v>180</v>
      </c>
      <c r="F10" s="142">
        <v>0</v>
      </c>
      <c r="G10" s="140">
        <v>0</v>
      </c>
      <c r="H10" s="140">
        <v>0</v>
      </c>
      <c r="I10" s="140" t="s">
        <v>180</v>
      </c>
    </row>
    <row r="11" spans="1:17" s="137" customFormat="1" x14ac:dyDescent="0.2">
      <c r="A11" s="112" t="s">
        <v>2199</v>
      </c>
      <c r="B11" s="140"/>
      <c r="C11" s="140" t="s">
        <v>180</v>
      </c>
      <c r="D11" s="160"/>
      <c r="E11" s="141" t="s">
        <v>180</v>
      </c>
      <c r="F11" s="142">
        <v>0</v>
      </c>
      <c r="G11" s="140">
        <v>0</v>
      </c>
      <c r="H11" s="140">
        <v>0</v>
      </c>
      <c r="I11" s="140" t="s">
        <v>180</v>
      </c>
    </row>
    <row r="12" spans="1:17" s="137" customFormat="1" x14ac:dyDescent="0.2">
      <c r="A12" s="112" t="s">
        <v>2200</v>
      </c>
      <c r="B12" s="140"/>
      <c r="C12" s="140" t="s">
        <v>180</v>
      </c>
      <c r="D12" s="160"/>
      <c r="E12" s="141" t="s">
        <v>180</v>
      </c>
      <c r="F12" s="142">
        <v>0</v>
      </c>
      <c r="G12" s="140">
        <v>0</v>
      </c>
      <c r="H12" s="140">
        <v>0</v>
      </c>
      <c r="I12" s="140" t="s">
        <v>180</v>
      </c>
    </row>
    <row r="13" spans="1:17" s="137" customFormat="1" x14ac:dyDescent="0.2">
      <c r="A13" s="112" t="s">
        <v>2201</v>
      </c>
      <c r="B13" s="140"/>
      <c r="C13" s="140" t="s">
        <v>180</v>
      </c>
      <c r="D13" s="160"/>
      <c r="E13" s="141" t="s">
        <v>180</v>
      </c>
      <c r="F13" s="142">
        <v>0</v>
      </c>
      <c r="G13" s="140">
        <v>0</v>
      </c>
      <c r="H13" s="140">
        <v>0</v>
      </c>
      <c r="I13" s="140" t="s">
        <v>180</v>
      </c>
    </row>
    <row r="14" spans="1:17" s="137" customFormat="1" x14ac:dyDescent="0.2">
      <c r="A14" s="112" t="s">
        <v>2199</v>
      </c>
      <c r="B14" s="140"/>
      <c r="C14" s="140" t="s">
        <v>180</v>
      </c>
      <c r="D14" s="160"/>
      <c r="E14" s="141" t="s">
        <v>180</v>
      </c>
      <c r="F14" s="142">
        <v>0</v>
      </c>
      <c r="G14" s="140">
        <v>0</v>
      </c>
      <c r="H14" s="140">
        <v>0</v>
      </c>
      <c r="I14" s="140" t="s">
        <v>180</v>
      </c>
    </row>
    <row r="15" spans="1:17" s="137" customFormat="1" x14ac:dyDescent="0.2">
      <c r="A15" s="231" t="s">
        <v>2200</v>
      </c>
      <c r="B15" s="238"/>
      <c r="C15" s="238" t="s">
        <v>180</v>
      </c>
      <c r="D15" s="233"/>
      <c r="E15" s="241" t="s">
        <v>180</v>
      </c>
      <c r="F15" s="244">
        <v>0</v>
      </c>
      <c r="G15" s="238">
        <v>0</v>
      </c>
      <c r="H15" s="238">
        <v>0</v>
      </c>
      <c r="I15" s="238" t="s">
        <v>180</v>
      </c>
    </row>
    <row r="16" spans="1:17" s="137" customFormat="1" x14ac:dyDescent="0.2">
      <c r="A16" s="97" t="s">
        <v>171</v>
      </c>
      <c r="B16" s="147"/>
      <c r="C16" s="97"/>
      <c r="D16" s="166"/>
      <c r="E16" s="148"/>
      <c r="F16" s="148"/>
      <c r="G16" s="148"/>
      <c r="H16" s="148"/>
      <c r="I16" s="148"/>
      <c r="J16" s="167"/>
      <c r="K16" s="152"/>
      <c r="L16" s="168"/>
      <c r="M16" s="168"/>
      <c r="N16" s="168"/>
      <c r="O16" s="152"/>
      <c r="P16" s="152"/>
    </row>
    <row r="17" spans="1:16" s="137" customFormat="1" x14ac:dyDescent="0.2">
      <c r="A17" s="97" t="s">
        <v>172</v>
      </c>
      <c r="B17" s="147"/>
      <c r="C17" s="97"/>
      <c r="D17" s="166"/>
      <c r="E17" s="148"/>
      <c r="F17" s="148"/>
      <c r="G17" s="148"/>
      <c r="H17" s="148"/>
      <c r="I17" s="148"/>
      <c r="J17" s="167"/>
      <c r="K17" s="152"/>
      <c r="L17" s="168"/>
      <c r="M17" s="168"/>
      <c r="N17" s="168"/>
      <c r="O17" s="152"/>
      <c r="P17" s="152"/>
    </row>
    <row r="18" spans="1:16" s="137" customFormat="1" x14ac:dyDescent="0.2">
      <c r="A18" s="97" t="s">
        <v>173</v>
      </c>
      <c r="B18" s="147"/>
      <c r="C18" s="97"/>
      <c r="D18" s="166"/>
      <c r="E18" s="148"/>
      <c r="F18" s="148"/>
      <c r="G18" s="148"/>
      <c r="H18" s="148"/>
      <c r="I18" s="148"/>
      <c r="J18" s="167"/>
      <c r="K18" s="152"/>
      <c r="L18" s="168"/>
      <c r="M18" s="168"/>
      <c r="N18" s="168"/>
      <c r="O18" s="152"/>
      <c r="P18" s="152"/>
    </row>
    <row r="19" spans="1:16" s="137" customFormat="1" x14ac:dyDescent="0.2">
      <c r="A19" s="97" t="s">
        <v>174</v>
      </c>
      <c r="B19" s="147"/>
      <c r="C19" s="97"/>
      <c r="D19" s="166"/>
      <c r="E19" s="148"/>
      <c r="F19" s="148"/>
      <c r="G19" s="148"/>
      <c r="H19" s="148"/>
      <c r="I19" s="148"/>
      <c r="J19" s="167"/>
      <c r="K19" s="152"/>
      <c r="L19" s="168"/>
      <c r="M19" s="168"/>
      <c r="N19" s="168"/>
      <c r="O19" s="152"/>
      <c r="P19" s="152"/>
    </row>
    <row r="20" spans="1:16" s="137" customFormat="1" x14ac:dyDescent="0.2">
      <c r="A20" s="97" t="s">
        <v>175</v>
      </c>
      <c r="B20" s="147"/>
      <c r="C20" s="97"/>
      <c r="D20" s="166"/>
      <c r="E20" s="148"/>
      <c r="F20" s="148"/>
      <c r="G20" s="148"/>
      <c r="H20" s="148"/>
      <c r="I20" s="148"/>
      <c r="J20" s="167"/>
      <c r="K20" s="152"/>
      <c r="L20" s="168"/>
      <c r="M20" s="168"/>
      <c r="N20" s="168"/>
      <c r="O20" s="152"/>
      <c r="P20" s="152"/>
    </row>
  </sheetData>
  <mergeCells count="1">
    <mergeCell ref="A5:I5"/>
  </mergeCells>
  <conditionalFormatting sqref="K1:K4 K16:K55550">
    <cfRule type="expression" dxfId="56" priority="379" stopIfTrue="1">
      <formula>LEFT(#REF!,3)="TIR"</formula>
    </cfRule>
  </conditionalFormatting>
  <conditionalFormatting sqref="B9:E15 G9:I15">
    <cfRule type="expression" dxfId="55" priority="381" stopIfTrue="1">
      <formula>LEFT(#REF!,3)="TIR"</formula>
    </cfRule>
  </conditionalFormatting>
  <conditionalFormatting sqref="A9:A15 F9:I15">
    <cfRule type="expression" dxfId="54" priority="383" stopIfTrue="1">
      <formula>#REF!&gt;0</formula>
    </cfRule>
    <cfRule type="expression" dxfId="53" priority="38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DB536-602B-49CC-A994-A730061CC2F5}">
  <sheetPr codeName="גיליון27"/>
  <dimension ref="A1:R16"/>
  <sheetViews>
    <sheetView rightToLeft="1" zoomScale="85" zoomScaleNormal="85" workbookViewId="0">
      <selection activeCell="A6" sqref="A6:J11"/>
    </sheetView>
  </sheetViews>
  <sheetFormatPr defaultRowHeight="12.75" x14ac:dyDescent="0.2"/>
  <cols>
    <col min="1" max="1" width="25.7109375" style="23" bestFit="1" customWidth="1"/>
    <col min="2" max="2" width="12.7109375" style="22" bestFit="1" customWidth="1"/>
    <col min="3" max="3" width="7.28515625" style="23" customWidth="1"/>
    <col min="4" max="4" width="11.7109375" style="24" customWidth="1"/>
    <col min="5" max="5" width="13.140625" style="79" customWidth="1"/>
    <col min="6" max="6" width="10.7109375" style="79" customWidth="1"/>
    <col min="7" max="7" width="13.42578125" style="79" customWidth="1"/>
    <col min="8" max="8" width="9.85546875" style="79" customWidth="1"/>
    <col min="9" max="9" width="24" style="79" customWidth="1"/>
    <col min="10" max="10" width="22.28515625" style="79" customWidth="1"/>
    <col min="11" max="11" width="9.5703125" style="25" customWidth="1"/>
    <col min="12" max="12" width="12.140625" style="26" customWidth="1"/>
    <col min="13" max="13" width="10" style="33" customWidth="1"/>
    <col min="14" max="14" width="11.42578125" style="33" bestFit="1" customWidth="1"/>
    <col min="15" max="15" width="7.28515625" style="33" customWidth="1"/>
    <col min="16" max="17" width="10.5703125" style="26" customWidth="1"/>
    <col min="18" max="18" width="11.42578125" style="28" customWidth="1"/>
    <col min="19" max="19" width="15.42578125" style="28" customWidth="1"/>
    <col min="20" max="16384" width="9.140625" style="28"/>
  </cols>
  <sheetData>
    <row r="1" spans="1:18" s="20" customFormat="1" x14ac:dyDescent="0.2">
      <c r="A1" s="20" t="s">
        <v>166</v>
      </c>
      <c r="B1" s="22" t="s">
        <v>176</v>
      </c>
      <c r="C1" s="23"/>
      <c r="D1" s="24"/>
      <c r="E1" s="79"/>
      <c r="F1" s="79"/>
      <c r="G1" s="79"/>
      <c r="H1" s="79"/>
      <c r="I1" s="79"/>
      <c r="J1" s="79"/>
      <c r="K1" s="25"/>
      <c r="L1" s="26"/>
      <c r="M1" s="27"/>
      <c r="N1" s="27"/>
      <c r="O1" s="27"/>
      <c r="P1" s="26"/>
      <c r="Q1" s="26"/>
      <c r="R1" s="28"/>
    </row>
    <row r="2" spans="1:18" s="20" customFormat="1" x14ac:dyDescent="0.2">
      <c r="A2" s="23" t="s">
        <v>167</v>
      </c>
      <c r="B2" s="22" t="s">
        <v>153</v>
      </c>
      <c r="C2" s="23"/>
      <c r="D2" s="24"/>
      <c r="E2" s="79"/>
      <c r="F2" s="79"/>
      <c r="G2" s="79"/>
      <c r="H2" s="79"/>
      <c r="I2" s="79"/>
      <c r="J2" s="79"/>
      <c r="K2" s="25"/>
      <c r="L2" s="26"/>
      <c r="M2" s="27"/>
      <c r="N2" s="27"/>
      <c r="O2" s="27"/>
      <c r="P2" s="26"/>
      <c r="Q2" s="26"/>
      <c r="R2" s="28"/>
    </row>
    <row r="3" spans="1:18" s="20" customFormat="1" x14ac:dyDescent="0.2">
      <c r="A3" s="23" t="s">
        <v>168</v>
      </c>
      <c r="B3" s="22" t="s">
        <v>169</v>
      </c>
      <c r="C3" s="23"/>
      <c r="D3" s="24"/>
      <c r="E3" s="79"/>
      <c r="F3" s="79"/>
      <c r="G3" s="79"/>
      <c r="H3" s="79"/>
      <c r="I3" s="79"/>
      <c r="J3" s="79"/>
      <c r="K3" s="25"/>
      <c r="L3" s="26"/>
      <c r="M3" s="27"/>
      <c r="N3" s="27"/>
      <c r="O3" s="27"/>
      <c r="P3" s="26"/>
      <c r="Q3" s="26"/>
      <c r="R3" s="28"/>
    </row>
    <row r="4" spans="1:18" s="20" customFormat="1" ht="13.5" thickBot="1" x14ac:dyDescent="0.25">
      <c r="A4" s="23" t="s">
        <v>170</v>
      </c>
      <c r="B4" s="22" t="s">
        <v>178</v>
      </c>
      <c r="C4" s="23"/>
      <c r="D4" s="24"/>
      <c r="E4" s="79"/>
      <c r="F4" s="79"/>
      <c r="G4" s="79"/>
      <c r="H4" s="79"/>
      <c r="I4" s="79"/>
      <c r="J4" s="79"/>
      <c r="K4" s="25"/>
      <c r="L4" s="26"/>
      <c r="M4" s="27"/>
      <c r="N4" s="27"/>
      <c r="O4" s="27"/>
      <c r="P4" s="26"/>
      <c r="Q4" s="26"/>
      <c r="R4" s="28"/>
    </row>
    <row r="5" spans="1:18" s="20" customFormat="1" x14ac:dyDescent="0.2">
      <c r="A5" s="10" t="s">
        <v>86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5"/>
    </row>
    <row r="6" spans="1:18" s="20" customFormat="1" ht="33" customHeight="1" x14ac:dyDescent="0.2">
      <c r="A6" s="106" t="s">
        <v>160</v>
      </c>
      <c r="B6" s="107" t="s">
        <v>74</v>
      </c>
      <c r="C6" s="107" t="s">
        <v>70</v>
      </c>
      <c r="D6" s="107" t="s">
        <v>83</v>
      </c>
      <c r="E6" s="107" t="s">
        <v>84</v>
      </c>
      <c r="F6" s="108" t="s">
        <v>6</v>
      </c>
      <c r="G6" s="109" t="s">
        <v>71</v>
      </c>
      <c r="H6" s="109" t="s">
        <v>29</v>
      </c>
      <c r="I6" s="109" t="s">
        <v>75</v>
      </c>
      <c r="J6" s="110" t="s">
        <v>85</v>
      </c>
    </row>
    <row r="7" spans="1:18" s="20" customFormat="1" x14ac:dyDescent="0.2">
      <c r="A7" s="40"/>
      <c r="B7" s="16"/>
      <c r="C7" s="16"/>
      <c r="D7" s="43"/>
      <c r="E7" s="43" t="s">
        <v>9</v>
      </c>
      <c r="F7" s="15"/>
      <c r="G7" s="44" t="s">
        <v>9</v>
      </c>
      <c r="H7" s="44" t="s">
        <v>138</v>
      </c>
      <c r="I7" s="44" t="s">
        <v>9</v>
      </c>
      <c r="J7" s="19" t="s">
        <v>9</v>
      </c>
    </row>
    <row r="8" spans="1:18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7">
        <v>6</v>
      </c>
      <c r="H8" s="77">
        <v>7</v>
      </c>
      <c r="I8" s="77">
        <v>8</v>
      </c>
      <c r="J8" s="61">
        <v>9</v>
      </c>
    </row>
    <row r="9" spans="1:18" s="137" customFormat="1" ht="12.75" customHeight="1" thickBot="1" x14ac:dyDescent="0.25">
      <c r="A9" s="120" t="s">
        <v>125</v>
      </c>
      <c r="B9" s="89"/>
      <c r="C9" s="89"/>
      <c r="D9" s="181"/>
      <c r="E9" s="170"/>
      <c r="F9" s="128"/>
      <c r="G9" s="128"/>
      <c r="H9" s="173">
        <v>2.0000000000000002E-7</v>
      </c>
      <c r="I9" s="89">
        <v>1</v>
      </c>
      <c r="J9" s="101">
        <v>2.4228555347959626E-13</v>
      </c>
    </row>
    <row r="10" spans="1:18" s="137" customFormat="1" x14ac:dyDescent="0.2">
      <c r="A10" s="111" t="s">
        <v>140</v>
      </c>
      <c r="B10" s="140" t="s">
        <v>180</v>
      </c>
      <c r="C10" s="140" t="s">
        <v>180</v>
      </c>
      <c r="D10" s="140" t="s">
        <v>180</v>
      </c>
      <c r="E10" s="140" t="s">
        <v>180</v>
      </c>
      <c r="F10" s="154" t="s">
        <v>180</v>
      </c>
      <c r="G10" s="182" t="s">
        <v>180</v>
      </c>
      <c r="H10" s="142">
        <v>0</v>
      </c>
      <c r="I10" s="140">
        <v>0</v>
      </c>
      <c r="J10" s="140">
        <v>0</v>
      </c>
    </row>
    <row r="11" spans="1:18" s="137" customFormat="1" x14ac:dyDescent="0.2">
      <c r="A11" s="249" t="s">
        <v>357</v>
      </c>
      <c r="B11" s="238" t="s">
        <v>180</v>
      </c>
      <c r="C11" s="238" t="s">
        <v>180</v>
      </c>
      <c r="D11" s="238" t="s">
        <v>180</v>
      </c>
      <c r="E11" s="238" t="s">
        <v>180</v>
      </c>
      <c r="F11" s="250" t="s">
        <v>180</v>
      </c>
      <c r="G11" s="251" t="s">
        <v>180</v>
      </c>
      <c r="H11" s="244">
        <v>0</v>
      </c>
      <c r="I11" s="238">
        <v>0</v>
      </c>
      <c r="J11" s="238">
        <v>0</v>
      </c>
    </row>
    <row r="12" spans="1:18" s="137" customFormat="1" x14ac:dyDescent="0.2">
      <c r="A12" s="97" t="s">
        <v>171</v>
      </c>
      <c r="B12" s="147"/>
      <c r="C12" s="97"/>
      <c r="D12" s="166"/>
      <c r="E12" s="148"/>
      <c r="F12" s="148"/>
      <c r="G12" s="148"/>
      <c r="H12" s="148"/>
      <c r="I12" s="148"/>
      <c r="J12" s="148"/>
      <c r="K12" s="167"/>
      <c r="L12" s="152"/>
      <c r="M12" s="168"/>
      <c r="N12" s="168"/>
      <c r="O12" s="168"/>
      <c r="P12" s="152"/>
      <c r="Q12" s="152"/>
    </row>
    <row r="13" spans="1:18" s="137" customFormat="1" x14ac:dyDescent="0.2">
      <c r="A13" s="97" t="s">
        <v>172</v>
      </c>
      <c r="B13" s="147"/>
      <c r="C13" s="97"/>
      <c r="D13" s="166"/>
      <c r="E13" s="148"/>
      <c r="F13" s="148"/>
      <c r="G13" s="148"/>
      <c r="H13" s="148"/>
      <c r="I13" s="148"/>
      <c r="J13" s="148"/>
      <c r="K13" s="167"/>
      <c r="L13" s="152"/>
      <c r="M13" s="168"/>
      <c r="N13" s="168"/>
      <c r="O13" s="168"/>
      <c r="P13" s="152"/>
      <c r="Q13" s="152"/>
    </row>
    <row r="14" spans="1:18" s="137" customFormat="1" x14ac:dyDescent="0.2">
      <c r="A14" s="97" t="s">
        <v>173</v>
      </c>
      <c r="B14" s="147"/>
      <c r="C14" s="97"/>
      <c r="D14" s="166"/>
      <c r="E14" s="148"/>
      <c r="F14" s="148"/>
      <c r="G14" s="148"/>
      <c r="H14" s="148"/>
      <c r="I14" s="148"/>
      <c r="J14" s="148"/>
      <c r="K14" s="167"/>
      <c r="L14" s="152"/>
      <c r="M14" s="168"/>
      <c r="N14" s="168"/>
      <c r="O14" s="168"/>
      <c r="P14" s="152"/>
      <c r="Q14" s="152"/>
    </row>
    <row r="15" spans="1:18" s="137" customFormat="1" x14ac:dyDescent="0.2">
      <c r="A15" s="97" t="s">
        <v>174</v>
      </c>
      <c r="B15" s="147"/>
      <c r="C15" s="97"/>
      <c r="D15" s="166"/>
      <c r="E15" s="148"/>
      <c r="F15" s="148"/>
      <c r="G15" s="148"/>
      <c r="H15" s="148"/>
      <c r="I15" s="148"/>
      <c r="J15" s="148"/>
      <c r="K15" s="167"/>
      <c r="L15" s="152"/>
      <c r="M15" s="168"/>
      <c r="N15" s="168"/>
      <c r="O15" s="168"/>
      <c r="P15" s="152"/>
      <c r="Q15" s="152"/>
    </row>
    <row r="16" spans="1:18" s="137" customFormat="1" x14ac:dyDescent="0.2">
      <c r="A16" s="97" t="s">
        <v>175</v>
      </c>
      <c r="B16" s="147"/>
      <c r="C16" s="97"/>
      <c r="D16" s="166"/>
      <c r="E16" s="148"/>
      <c r="F16" s="148"/>
      <c r="G16" s="148"/>
      <c r="H16" s="148"/>
      <c r="I16" s="148"/>
      <c r="J16" s="148"/>
      <c r="K16" s="167"/>
      <c r="L16" s="152"/>
      <c r="M16" s="168"/>
      <c r="N16" s="168"/>
      <c r="O16" s="168"/>
      <c r="P16" s="152"/>
      <c r="Q16" s="152"/>
    </row>
  </sheetData>
  <mergeCells count="1">
    <mergeCell ref="A5:J5"/>
  </mergeCells>
  <conditionalFormatting sqref="L1:L4 L12:L55546">
    <cfRule type="expression" dxfId="52" priority="391" stopIfTrue="1">
      <formula>LEFT(#REF!,3)="TIR"</formula>
    </cfRule>
  </conditionalFormatting>
  <conditionalFormatting sqref="B9:E11 I9:J11">
    <cfRule type="expression" dxfId="51" priority="393" stopIfTrue="1">
      <formula>LEFT(#REF!,3)="TIR"</formula>
    </cfRule>
  </conditionalFormatting>
  <conditionalFormatting sqref="A9:A11 F9:J11">
    <cfRule type="expression" dxfId="50" priority="395" stopIfTrue="1">
      <formula>#REF!&gt;0</formula>
    </cfRule>
    <cfRule type="expression" dxfId="49" priority="396" stopIfTrue="1">
      <formula>LEFT(#REF!,3)="TIR"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6D07A-3A21-4A45-A6DB-9F3275B33C9F}">
  <sheetPr codeName="גיליון25">
    <pageSetUpPr fitToPage="1"/>
  </sheetPr>
  <dimension ref="A1:T30"/>
  <sheetViews>
    <sheetView rightToLeft="1" zoomScale="85" zoomScaleNormal="85" workbookViewId="0">
      <selection activeCell="A6" sqref="A6:J25"/>
    </sheetView>
  </sheetViews>
  <sheetFormatPr defaultRowHeight="12.75" x14ac:dyDescent="0.2"/>
  <cols>
    <col min="1" max="1" width="46.140625" style="23" bestFit="1" customWidth="1"/>
    <col min="2" max="2" width="12.7109375" style="23" bestFit="1" customWidth="1"/>
    <col min="3" max="3" width="8" style="22" bestFit="1" customWidth="1"/>
    <col min="4" max="4" width="10.5703125" style="23" customWidth="1"/>
    <col min="5" max="5" width="12" style="24" customWidth="1"/>
    <col min="6" max="6" width="12.28515625" style="24" bestFit="1" customWidth="1"/>
    <col min="7" max="7" width="13.42578125" style="24" customWidth="1"/>
    <col min="8" max="8" width="9.85546875" style="24" customWidth="1"/>
    <col min="9" max="9" width="24" style="24" customWidth="1"/>
    <col min="10" max="10" width="19.7109375" style="50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20" s="20" customFormat="1" x14ac:dyDescent="0.2">
      <c r="A1" s="20" t="s">
        <v>166</v>
      </c>
      <c r="B1" s="21" t="s">
        <v>176</v>
      </c>
      <c r="C1" s="22"/>
      <c r="D1" s="23"/>
      <c r="E1" s="24"/>
      <c r="F1" s="24"/>
      <c r="G1" s="24"/>
      <c r="H1" s="24"/>
      <c r="I1" s="24"/>
      <c r="J1" s="50"/>
      <c r="K1" s="26"/>
      <c r="L1" s="27"/>
      <c r="M1" s="27"/>
      <c r="N1" s="27"/>
      <c r="O1" s="26"/>
      <c r="P1" s="26"/>
      <c r="Q1" s="28"/>
    </row>
    <row r="2" spans="1:20" s="20" customFormat="1" x14ac:dyDescent="0.2">
      <c r="A2" s="23" t="s">
        <v>167</v>
      </c>
      <c r="B2" s="23" t="s">
        <v>153</v>
      </c>
      <c r="C2" s="22"/>
      <c r="D2" s="23"/>
      <c r="E2" s="24"/>
      <c r="F2" s="24"/>
      <c r="G2" s="24"/>
      <c r="H2" s="24"/>
      <c r="I2" s="24"/>
      <c r="J2" s="50"/>
      <c r="K2" s="26"/>
      <c r="L2" s="27"/>
      <c r="M2" s="27"/>
      <c r="N2" s="27"/>
      <c r="O2" s="26"/>
      <c r="P2" s="26"/>
      <c r="Q2" s="28"/>
    </row>
    <row r="3" spans="1:20" s="20" customFormat="1" x14ac:dyDescent="0.2">
      <c r="A3" s="23" t="s">
        <v>168</v>
      </c>
      <c r="B3" s="22" t="s">
        <v>169</v>
      </c>
      <c r="C3" s="22"/>
      <c r="D3" s="23"/>
      <c r="E3" s="24"/>
      <c r="F3" s="24"/>
      <c r="G3" s="24"/>
      <c r="H3" s="24"/>
      <c r="I3" s="24"/>
      <c r="J3" s="50"/>
      <c r="K3" s="26"/>
      <c r="L3" s="27"/>
      <c r="M3" s="27"/>
      <c r="N3" s="27"/>
      <c r="O3" s="26"/>
      <c r="P3" s="26"/>
      <c r="Q3" s="28"/>
    </row>
    <row r="4" spans="1:20" s="20" customFormat="1" ht="13.5" thickBot="1" x14ac:dyDescent="0.25">
      <c r="A4" s="23" t="s">
        <v>170</v>
      </c>
      <c r="B4" s="22" t="s">
        <v>178</v>
      </c>
      <c r="C4" s="22"/>
      <c r="D4" s="23"/>
      <c r="E4" s="24"/>
      <c r="F4" s="24"/>
      <c r="G4" s="24"/>
      <c r="H4" s="24"/>
      <c r="I4" s="24"/>
      <c r="J4" s="50"/>
      <c r="K4" s="26"/>
      <c r="L4" s="27"/>
      <c r="M4" s="27"/>
      <c r="N4" s="27"/>
      <c r="O4" s="26"/>
      <c r="P4" s="26"/>
      <c r="Q4" s="28"/>
    </row>
    <row r="5" spans="1:20" s="20" customFormat="1" x14ac:dyDescent="0.2">
      <c r="A5" s="10" t="s">
        <v>87</v>
      </c>
      <c r="B5" s="9"/>
      <c r="C5" s="9"/>
      <c r="D5" s="9"/>
      <c r="E5" s="9"/>
      <c r="F5" s="9"/>
      <c r="G5" s="9"/>
      <c r="H5" s="9"/>
      <c r="I5" s="9"/>
      <c r="J5" s="8"/>
      <c r="K5" s="26"/>
      <c r="L5" s="26"/>
      <c r="M5" s="26"/>
      <c r="N5" s="26"/>
      <c r="O5" s="26"/>
      <c r="P5" s="26"/>
      <c r="Q5" s="26"/>
      <c r="R5" s="26"/>
      <c r="S5" s="26"/>
      <c r="T5" s="26"/>
    </row>
    <row r="6" spans="1:20" s="20" customFormat="1" ht="25.5" x14ac:dyDescent="0.2">
      <c r="A6" s="106" t="s">
        <v>160</v>
      </c>
      <c r="B6" s="107" t="s">
        <v>81</v>
      </c>
      <c r="C6" s="107" t="s">
        <v>70</v>
      </c>
      <c r="D6" s="107" t="s">
        <v>5</v>
      </c>
      <c r="E6" s="108" t="s">
        <v>66</v>
      </c>
      <c r="F6" s="108" t="s">
        <v>6</v>
      </c>
      <c r="G6" s="108" t="s">
        <v>71</v>
      </c>
      <c r="H6" s="108" t="s">
        <v>29</v>
      </c>
      <c r="I6" s="109" t="s">
        <v>75</v>
      </c>
      <c r="J6" s="110" t="s">
        <v>8</v>
      </c>
    </row>
    <row r="7" spans="1:20" s="20" customFormat="1" x14ac:dyDescent="0.2">
      <c r="A7" s="40"/>
      <c r="B7" s="16"/>
      <c r="C7" s="16"/>
      <c r="D7" s="41"/>
      <c r="E7" s="15" t="s">
        <v>9</v>
      </c>
      <c r="F7" s="15"/>
      <c r="G7" s="15" t="s">
        <v>9</v>
      </c>
      <c r="H7" s="15" t="s">
        <v>138</v>
      </c>
      <c r="I7" s="44" t="s">
        <v>9</v>
      </c>
      <c r="J7" s="19" t="s">
        <v>9</v>
      </c>
    </row>
    <row r="8" spans="1:20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6">
        <v>9</v>
      </c>
    </row>
    <row r="9" spans="1:20" s="137" customFormat="1" ht="12.75" customHeight="1" thickBot="1" x14ac:dyDescent="0.25">
      <c r="A9" s="91" t="s">
        <v>126</v>
      </c>
      <c r="B9" s="138"/>
      <c r="C9" s="138"/>
      <c r="D9" s="138" t="s">
        <v>180</v>
      </c>
      <c r="E9" s="138" t="s">
        <v>180</v>
      </c>
      <c r="F9" s="138" t="s">
        <v>180</v>
      </c>
      <c r="G9" s="138" t="s">
        <v>180</v>
      </c>
      <c r="H9" s="113">
        <v>-67.973998660532587</v>
      </c>
      <c r="I9" s="96">
        <v>1</v>
      </c>
      <c r="J9" s="78">
        <v>-8.2345589438442363E-5</v>
      </c>
    </row>
    <row r="10" spans="1:20" s="137" customFormat="1" x14ac:dyDescent="0.2">
      <c r="A10" s="111" t="s">
        <v>140</v>
      </c>
      <c r="B10" s="183"/>
      <c r="C10" s="141" t="s">
        <v>180</v>
      </c>
      <c r="D10" s="160" t="s">
        <v>180</v>
      </c>
      <c r="E10" s="161" t="s">
        <v>180</v>
      </c>
      <c r="F10" s="154" t="s">
        <v>180</v>
      </c>
      <c r="G10" s="161" t="s">
        <v>180</v>
      </c>
      <c r="H10" s="142">
        <v>-67.973998760532652</v>
      </c>
      <c r="I10" s="140">
        <v>1.0000000014711516</v>
      </c>
      <c r="J10" s="140">
        <v>-8.2345589559585218E-5</v>
      </c>
    </row>
    <row r="11" spans="1:20" x14ac:dyDescent="0.2">
      <c r="A11" s="30" t="s">
        <v>2228</v>
      </c>
      <c r="B11" s="37" t="s">
        <v>2229</v>
      </c>
      <c r="C11" s="85" t="s">
        <v>419</v>
      </c>
      <c r="D11" s="39" t="s">
        <v>180</v>
      </c>
      <c r="E11" s="31">
        <v>0</v>
      </c>
      <c r="F11" s="87" t="s">
        <v>186</v>
      </c>
      <c r="G11" s="31">
        <v>0</v>
      </c>
      <c r="H11" s="105">
        <v>-436.24218000000002</v>
      </c>
      <c r="I11" s="95">
        <v>6.4177801600083475</v>
      </c>
      <c r="J11" s="46">
        <v>-5.2847589016222826E-4</v>
      </c>
      <c r="K11" s="28"/>
      <c r="L11" s="28"/>
      <c r="M11" s="28"/>
      <c r="N11" s="28"/>
      <c r="O11" s="28"/>
      <c r="P11" s="28"/>
    </row>
    <row r="12" spans="1:20" x14ac:dyDescent="0.2">
      <c r="A12" s="30" t="s">
        <v>2214</v>
      </c>
      <c r="B12" s="37" t="s">
        <v>2215</v>
      </c>
      <c r="C12" s="85" t="s">
        <v>419</v>
      </c>
      <c r="D12" s="39" t="s">
        <v>180</v>
      </c>
      <c r="E12" s="31">
        <v>5.3499999999999999E-2</v>
      </c>
      <c r="F12" s="87" t="s">
        <v>186</v>
      </c>
      <c r="G12" s="31">
        <v>0</v>
      </c>
      <c r="H12" s="105">
        <v>219.74426</v>
      </c>
      <c r="I12" s="95">
        <v>-3.2327693578454886</v>
      </c>
      <c r="J12" s="46">
        <v>2.6620429829032151E-4</v>
      </c>
      <c r="K12" s="28"/>
      <c r="L12" s="28"/>
      <c r="M12" s="28"/>
      <c r="N12" s="28"/>
      <c r="O12" s="28"/>
      <c r="P12" s="28"/>
    </row>
    <row r="13" spans="1:20" x14ac:dyDescent="0.2">
      <c r="A13" s="30" t="s">
        <v>2202</v>
      </c>
      <c r="B13" s="37" t="s">
        <v>2203</v>
      </c>
      <c r="C13" s="85" t="s">
        <v>419</v>
      </c>
      <c r="D13" s="39" t="s">
        <v>180</v>
      </c>
      <c r="E13" s="31">
        <v>5.33E-2</v>
      </c>
      <c r="F13" s="87" t="s">
        <v>186</v>
      </c>
      <c r="G13" s="31">
        <v>0</v>
      </c>
      <c r="H13" s="105">
        <v>6.7040000000000002E-2</v>
      </c>
      <c r="I13" s="95">
        <v>-9.8625947157828637E-4</v>
      </c>
      <c r="J13" s="46">
        <v>8.1214117526360662E-8</v>
      </c>
      <c r="K13" s="28"/>
      <c r="L13" s="28"/>
      <c r="M13" s="28"/>
      <c r="N13" s="28"/>
      <c r="O13" s="28"/>
      <c r="P13" s="28"/>
    </row>
    <row r="14" spans="1:20" x14ac:dyDescent="0.2">
      <c r="A14" s="30" t="s">
        <v>2204</v>
      </c>
      <c r="B14" s="37" t="s">
        <v>2205</v>
      </c>
      <c r="C14" s="85" t="s">
        <v>419</v>
      </c>
      <c r="D14" s="39" t="s">
        <v>180</v>
      </c>
      <c r="E14" s="31">
        <v>6.6000000000000003E-2</v>
      </c>
      <c r="F14" s="87" t="s">
        <v>186</v>
      </c>
      <c r="G14" s="31">
        <v>0</v>
      </c>
      <c r="H14" s="105">
        <v>6.9640000000000007E-2</v>
      </c>
      <c r="I14" s="95">
        <v>-1.024509391418733E-3</v>
      </c>
      <c r="J14" s="46">
        <v>8.4363829721595417E-8</v>
      </c>
      <c r="K14" s="28"/>
      <c r="L14" s="28"/>
      <c r="M14" s="28"/>
      <c r="N14" s="28"/>
      <c r="O14" s="28"/>
      <c r="P14" s="28"/>
    </row>
    <row r="15" spans="1:20" x14ac:dyDescent="0.2">
      <c r="A15" s="30" t="s">
        <v>2206</v>
      </c>
      <c r="B15" s="37" t="s">
        <v>2207</v>
      </c>
      <c r="C15" s="85" t="s">
        <v>419</v>
      </c>
      <c r="D15" s="39" t="s">
        <v>180</v>
      </c>
      <c r="E15" s="31">
        <v>6.6000000000000003E-2</v>
      </c>
      <c r="F15" s="87" t="s">
        <v>186</v>
      </c>
      <c r="G15" s="31">
        <v>0</v>
      </c>
      <c r="H15" s="105">
        <v>7.1840000000000001E-2</v>
      </c>
      <c r="I15" s="95">
        <v>-1.0568747082068033E-3</v>
      </c>
      <c r="J15" s="46">
        <v>8.702897080987098E-8</v>
      </c>
      <c r="K15" s="28"/>
      <c r="L15" s="28"/>
      <c r="M15" s="28"/>
      <c r="N15" s="28"/>
      <c r="O15" s="28"/>
      <c r="P15" s="28"/>
    </row>
    <row r="16" spans="1:20" x14ac:dyDescent="0.2">
      <c r="A16" s="30" t="s">
        <v>2208</v>
      </c>
      <c r="B16" s="37" t="s">
        <v>2209</v>
      </c>
      <c r="C16" s="85" t="s">
        <v>419</v>
      </c>
      <c r="D16" s="39" t="s">
        <v>180</v>
      </c>
      <c r="E16" s="31">
        <v>6.6000000000000003E-2</v>
      </c>
      <c r="F16" s="87" t="s">
        <v>186</v>
      </c>
      <c r="G16" s="31">
        <v>0</v>
      </c>
      <c r="H16" s="105">
        <v>7.3290000000000008E-2</v>
      </c>
      <c r="I16" s="95">
        <v>-1.0782063942716678E-3</v>
      </c>
      <c r="J16" s="46">
        <v>8.8785541072598057E-8</v>
      </c>
      <c r="K16" s="28"/>
      <c r="L16" s="28"/>
      <c r="M16" s="28"/>
      <c r="N16" s="28"/>
      <c r="O16" s="28"/>
      <c r="P16" s="28"/>
    </row>
    <row r="17" spans="1:16" x14ac:dyDescent="0.2">
      <c r="A17" s="30" t="s">
        <v>2210</v>
      </c>
      <c r="B17" s="37" t="s">
        <v>2211</v>
      </c>
      <c r="C17" s="85" t="s">
        <v>419</v>
      </c>
      <c r="D17" s="39" t="s">
        <v>180</v>
      </c>
      <c r="E17" s="31">
        <v>5.7500000000000002E-2</v>
      </c>
      <c r="F17" s="87" t="s">
        <v>186</v>
      </c>
      <c r="G17" s="31">
        <v>0</v>
      </c>
      <c r="H17" s="105">
        <v>24.327639999999999</v>
      </c>
      <c r="I17" s="95">
        <v>-0.35789626150278608</v>
      </c>
      <c r="J17" s="46">
        <v>2.9471178611261824E-5</v>
      </c>
      <c r="K17" s="28"/>
      <c r="L17" s="28"/>
      <c r="M17" s="28"/>
      <c r="N17" s="28"/>
      <c r="O17" s="28"/>
      <c r="P17" s="28"/>
    </row>
    <row r="18" spans="1:16" x14ac:dyDescent="0.2">
      <c r="A18" s="30" t="s">
        <v>2212</v>
      </c>
      <c r="B18" s="37" t="s">
        <v>2213</v>
      </c>
      <c r="C18" s="85" t="s">
        <v>419</v>
      </c>
      <c r="D18" s="39" t="s">
        <v>180</v>
      </c>
      <c r="E18" s="31">
        <v>6.6000000000000003E-2</v>
      </c>
      <c r="F18" s="87" t="s">
        <v>186</v>
      </c>
      <c r="G18" s="31">
        <v>0</v>
      </c>
      <c r="H18" s="105">
        <v>7.7099999999999988E-2</v>
      </c>
      <c r="I18" s="95">
        <v>-1.1342572383455528E-3</v>
      </c>
      <c r="J18" s="46">
        <v>9.3401080866384344E-8</v>
      </c>
      <c r="K18" s="28"/>
      <c r="L18" s="28"/>
      <c r="M18" s="28"/>
      <c r="N18" s="28"/>
      <c r="O18" s="28"/>
      <c r="P18" s="28"/>
    </row>
    <row r="19" spans="1:16" x14ac:dyDescent="0.2">
      <c r="A19" s="30" t="s">
        <v>2216</v>
      </c>
      <c r="B19" s="37" t="s">
        <v>2217</v>
      </c>
      <c r="C19" s="85" t="s">
        <v>419</v>
      </c>
      <c r="D19" s="39" t="s">
        <v>180</v>
      </c>
      <c r="E19" s="31">
        <v>1E-3</v>
      </c>
      <c r="F19" s="87" t="s">
        <v>186</v>
      </c>
      <c r="G19" s="31">
        <v>0</v>
      </c>
      <c r="H19" s="105">
        <v>0.49410000000000004</v>
      </c>
      <c r="I19" s="95">
        <v>-7.2689559204479597E-3</v>
      </c>
      <c r="J19" s="46">
        <v>5.9856645987134254E-7</v>
      </c>
      <c r="K19" s="28"/>
      <c r="L19" s="28"/>
      <c r="M19" s="28"/>
      <c r="N19" s="28"/>
      <c r="O19" s="28"/>
      <c r="P19" s="28"/>
    </row>
    <row r="20" spans="1:16" x14ac:dyDescent="0.2">
      <c r="A20" s="30" t="s">
        <v>2222</v>
      </c>
      <c r="B20" s="37" t="s">
        <v>2223</v>
      </c>
      <c r="C20" s="85" t="s">
        <v>419</v>
      </c>
      <c r="D20" s="39" t="s">
        <v>180</v>
      </c>
      <c r="E20" s="31">
        <v>6.7500000000000004E-2</v>
      </c>
      <c r="F20" s="87" t="s">
        <v>186</v>
      </c>
      <c r="G20" s="31">
        <v>0</v>
      </c>
      <c r="H20" s="105">
        <v>60.43289</v>
      </c>
      <c r="I20" s="95">
        <v>-0.88905892239481943</v>
      </c>
      <c r="J20" s="46">
        <v>7.3210081010107787E-5</v>
      </c>
      <c r="K20" s="28"/>
      <c r="L20" s="28"/>
      <c r="M20" s="28"/>
      <c r="N20" s="28"/>
      <c r="O20" s="28"/>
      <c r="P20" s="28"/>
    </row>
    <row r="21" spans="1:16" x14ac:dyDescent="0.2">
      <c r="A21" s="30" t="s">
        <v>2224</v>
      </c>
      <c r="B21" s="37" t="s">
        <v>2225</v>
      </c>
      <c r="C21" s="85" t="s">
        <v>419</v>
      </c>
      <c r="D21" s="39" t="s">
        <v>180</v>
      </c>
      <c r="E21" s="31">
        <v>6.5999999046325683E-2</v>
      </c>
      <c r="F21" s="87" t="s">
        <v>186</v>
      </c>
      <c r="G21" s="31">
        <v>0</v>
      </c>
      <c r="H21" s="105">
        <v>4.6994300000000004</v>
      </c>
      <c r="I21" s="95">
        <v>-6.9135700306073175E-2</v>
      </c>
      <c r="J21" s="46">
        <v>5.6930199929430959E-6</v>
      </c>
      <c r="K21" s="28"/>
      <c r="L21" s="28"/>
      <c r="M21" s="28"/>
      <c r="N21" s="28"/>
      <c r="O21" s="28"/>
      <c r="P21" s="28"/>
    </row>
    <row r="22" spans="1:16" x14ac:dyDescent="0.2">
      <c r="A22" s="30" t="s">
        <v>2218</v>
      </c>
      <c r="B22" s="37" t="s">
        <v>2219</v>
      </c>
      <c r="C22" s="85" t="s">
        <v>419</v>
      </c>
      <c r="D22" s="39" t="s">
        <v>180</v>
      </c>
      <c r="E22" s="31">
        <v>1.0800000000000001E-2</v>
      </c>
      <c r="F22" s="87" t="s">
        <v>186</v>
      </c>
      <c r="G22" s="31">
        <v>0</v>
      </c>
      <c r="H22" s="105">
        <v>12.54889</v>
      </c>
      <c r="I22" s="95">
        <v>-0.1846130909948395</v>
      </c>
      <c r="J22" s="46">
        <v>1.5202073796022854E-5</v>
      </c>
      <c r="K22" s="28"/>
      <c r="L22" s="28"/>
      <c r="M22" s="28"/>
      <c r="N22" s="28"/>
      <c r="O22" s="28"/>
      <c r="P22" s="28"/>
    </row>
    <row r="23" spans="1:16" x14ac:dyDescent="0.2">
      <c r="A23" s="30" t="s">
        <v>2226</v>
      </c>
      <c r="B23" s="37" t="s">
        <v>2227</v>
      </c>
      <c r="C23" s="85" t="s">
        <v>419</v>
      </c>
      <c r="D23" s="39" t="s">
        <v>180</v>
      </c>
      <c r="E23" s="31">
        <v>0.03</v>
      </c>
      <c r="F23" s="87" t="s">
        <v>127</v>
      </c>
      <c r="G23" s="31">
        <v>0</v>
      </c>
      <c r="H23" s="105">
        <v>29.334439999999997</v>
      </c>
      <c r="I23" s="95">
        <v>-0.43155383790938157</v>
      </c>
      <c r="J23" s="46">
        <v>3.5536555157070034E-5</v>
      </c>
      <c r="K23" s="28"/>
      <c r="L23" s="28"/>
      <c r="M23" s="28"/>
      <c r="N23" s="28"/>
      <c r="O23" s="28"/>
      <c r="P23" s="28"/>
    </row>
    <row r="24" spans="1:16" x14ac:dyDescent="0.2">
      <c r="A24" s="30" t="s">
        <v>2220</v>
      </c>
      <c r="B24" s="37" t="s">
        <v>2221</v>
      </c>
      <c r="C24" s="85" t="s">
        <v>419</v>
      </c>
      <c r="D24" s="39" t="s">
        <v>180</v>
      </c>
      <c r="E24" s="31">
        <v>6.7799999999999999E-2</v>
      </c>
      <c r="F24" s="87" t="s">
        <v>186</v>
      </c>
      <c r="G24" s="31">
        <v>0</v>
      </c>
      <c r="H24" s="105">
        <v>16.327621139467375</v>
      </c>
      <c r="I24" s="95">
        <v>-0.24020392298838825</v>
      </c>
      <c r="J24" s="46">
        <v>1.9779733623905045E-5</v>
      </c>
      <c r="K24" s="28"/>
      <c r="L24" s="28"/>
      <c r="M24" s="28"/>
      <c r="N24" s="28"/>
      <c r="O24" s="28"/>
      <c r="P24" s="28"/>
    </row>
    <row r="25" spans="1:16" s="137" customFormat="1" x14ac:dyDescent="0.2">
      <c r="A25" s="231" t="s">
        <v>357</v>
      </c>
      <c r="B25" s="252" t="s">
        <v>180</v>
      </c>
      <c r="C25" s="241" t="s">
        <v>180</v>
      </c>
      <c r="D25" s="234" t="s">
        <v>180</v>
      </c>
      <c r="E25" s="235" t="s">
        <v>180</v>
      </c>
      <c r="F25" s="250" t="s">
        <v>180</v>
      </c>
      <c r="G25" s="235" t="s">
        <v>180</v>
      </c>
      <c r="H25" s="244">
        <v>0</v>
      </c>
      <c r="I25" s="238">
        <v>0</v>
      </c>
      <c r="J25" s="238">
        <v>0</v>
      </c>
    </row>
    <row r="26" spans="1:16" s="137" customFormat="1" x14ac:dyDescent="0.2">
      <c r="A26" s="97" t="s">
        <v>171</v>
      </c>
      <c r="B26" s="97"/>
      <c r="C26" s="147"/>
      <c r="D26" s="97"/>
      <c r="E26" s="166"/>
      <c r="F26" s="166"/>
      <c r="G26" s="166"/>
      <c r="H26" s="166"/>
      <c r="I26" s="166"/>
      <c r="J26" s="149"/>
      <c r="K26" s="152"/>
      <c r="L26" s="168"/>
      <c r="M26" s="168"/>
      <c r="N26" s="168"/>
      <c r="O26" s="152"/>
      <c r="P26" s="152"/>
    </row>
    <row r="27" spans="1:16" s="137" customFormat="1" x14ac:dyDescent="0.2">
      <c r="A27" s="97" t="s">
        <v>172</v>
      </c>
      <c r="B27" s="97"/>
      <c r="C27" s="147"/>
      <c r="D27" s="97"/>
      <c r="E27" s="166"/>
      <c r="F27" s="166"/>
      <c r="G27" s="166"/>
      <c r="H27" s="166"/>
      <c r="I27" s="166"/>
      <c r="J27" s="149"/>
      <c r="K27" s="152"/>
      <c r="L27" s="168"/>
      <c r="M27" s="168"/>
      <c r="N27" s="168"/>
      <c r="O27" s="152"/>
      <c r="P27" s="152"/>
    </row>
    <row r="28" spans="1:16" s="137" customFormat="1" x14ac:dyDescent="0.2">
      <c r="A28" s="97" t="s">
        <v>173</v>
      </c>
      <c r="B28" s="97"/>
      <c r="C28" s="147"/>
      <c r="D28" s="97"/>
      <c r="E28" s="166"/>
      <c r="F28" s="166"/>
      <c r="G28" s="166"/>
      <c r="H28" s="166"/>
      <c r="I28" s="166"/>
      <c r="J28" s="149"/>
      <c r="K28" s="152"/>
      <c r="L28" s="168"/>
      <c r="M28" s="168"/>
      <c r="N28" s="168"/>
      <c r="O28" s="152"/>
      <c r="P28" s="152"/>
    </row>
    <row r="29" spans="1:16" s="137" customFormat="1" x14ac:dyDescent="0.2">
      <c r="A29" s="97" t="s">
        <v>174</v>
      </c>
      <c r="B29" s="97"/>
      <c r="C29" s="147"/>
      <c r="D29" s="97"/>
      <c r="E29" s="166"/>
      <c r="F29" s="166"/>
      <c r="G29" s="166"/>
      <c r="H29" s="166"/>
      <c r="I29" s="166"/>
      <c r="J29" s="149"/>
      <c r="K29" s="152"/>
      <c r="L29" s="168"/>
      <c r="M29" s="168"/>
      <c r="N29" s="168"/>
      <c r="O29" s="152"/>
      <c r="P29" s="152"/>
    </row>
    <row r="30" spans="1:16" s="137" customFormat="1" x14ac:dyDescent="0.2">
      <c r="A30" s="97" t="s">
        <v>175</v>
      </c>
      <c r="B30" s="97"/>
      <c r="C30" s="147"/>
      <c r="D30" s="97"/>
      <c r="E30" s="166"/>
      <c r="F30" s="166"/>
      <c r="G30" s="166"/>
      <c r="H30" s="166"/>
      <c r="I30" s="166"/>
      <c r="J30" s="149"/>
      <c r="K30" s="152"/>
      <c r="L30" s="168"/>
      <c r="M30" s="168"/>
      <c r="N30" s="168"/>
      <c r="O30" s="152"/>
      <c r="P30" s="152"/>
    </row>
  </sheetData>
  <mergeCells count="1">
    <mergeCell ref="A5:J5"/>
  </mergeCells>
  <conditionalFormatting sqref="L5:T5 E10:G25 K26:K55560 K1:K5">
    <cfRule type="expression" dxfId="48" priority="406" stopIfTrue="1">
      <formula>LEFT(#REF!,3)="TIR"</formula>
    </cfRule>
  </conditionalFormatting>
  <conditionalFormatting sqref="E6:F6">
    <cfRule type="expression" dxfId="47" priority="410" stopIfTrue="1">
      <formula>LEFT(#REF!,3)="TIR"</formula>
    </cfRule>
  </conditionalFormatting>
  <conditionalFormatting sqref="B10:D25 J10:J25">
    <cfRule type="expression" dxfId="46" priority="411" stopIfTrue="1">
      <formula>LEFT(#REF!,3)="TIR"</formula>
    </cfRule>
  </conditionalFormatting>
  <conditionalFormatting sqref="A10:A25 F10:F25 H10:J25">
    <cfRule type="expression" dxfId="45" priority="413" stopIfTrue="1">
      <formula>#REF!&gt;0</formula>
    </cfRule>
    <cfRule type="expression" dxfId="44" priority="41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C2209-FCC1-43E5-B98D-66B9F28797EE}">
  <sheetPr codeName="גיליון26">
    <pageSetUpPr fitToPage="1"/>
  </sheetPr>
  <dimension ref="A1:C21"/>
  <sheetViews>
    <sheetView showGridLines="0" rightToLeft="1" workbookViewId="0">
      <selection activeCell="A6" sqref="A6:C20"/>
    </sheetView>
  </sheetViews>
  <sheetFormatPr defaultRowHeight="12.75" x14ac:dyDescent="0.2"/>
  <cols>
    <col min="1" max="1" width="43.42578125" bestFit="1" customWidth="1"/>
    <col min="2" max="2" width="16.140625" customWidth="1"/>
    <col min="3" max="3" width="21.42578125" customWidth="1"/>
  </cols>
  <sheetData>
    <row r="1" spans="1:3" x14ac:dyDescent="0.2">
      <c r="A1" t="s">
        <v>166</v>
      </c>
      <c r="B1" t="s">
        <v>176</v>
      </c>
    </row>
    <row r="2" spans="1:3" x14ac:dyDescent="0.2">
      <c r="A2" t="s">
        <v>167</v>
      </c>
      <c r="B2" t="s">
        <v>153</v>
      </c>
    </row>
    <row r="3" spans="1:3" x14ac:dyDescent="0.2">
      <c r="A3" t="s">
        <v>168</v>
      </c>
      <c r="B3" t="s">
        <v>169</v>
      </c>
    </row>
    <row r="4" spans="1:3" ht="13.5" thickBot="1" x14ac:dyDescent="0.25">
      <c r="A4" t="s">
        <v>170</v>
      </c>
      <c r="B4" t="s">
        <v>178</v>
      </c>
    </row>
    <row r="5" spans="1:3" x14ac:dyDescent="0.2">
      <c r="A5" s="10" t="s">
        <v>131</v>
      </c>
      <c r="B5" s="9"/>
      <c r="C5" s="8"/>
    </row>
    <row r="6" spans="1:3" ht="38.25" x14ac:dyDescent="0.2">
      <c r="A6" s="106" t="s">
        <v>160</v>
      </c>
      <c r="B6" s="107" t="s">
        <v>63</v>
      </c>
      <c r="C6" s="115" t="s">
        <v>64</v>
      </c>
    </row>
    <row r="7" spans="1:3" x14ac:dyDescent="0.2">
      <c r="A7" s="40"/>
      <c r="B7" s="16" t="s">
        <v>10</v>
      </c>
      <c r="C7" s="61" t="s">
        <v>40</v>
      </c>
    </row>
    <row r="8" spans="1:3" s="133" customFormat="1" x14ac:dyDescent="0.2">
      <c r="A8" s="184"/>
      <c r="B8" s="185">
        <v>1</v>
      </c>
      <c r="C8" s="186">
        <v>2</v>
      </c>
    </row>
    <row r="9" spans="1:3" s="133" customFormat="1" ht="13.5" thickBot="1" x14ac:dyDescent="0.25">
      <c r="A9" s="91" t="s">
        <v>2259</v>
      </c>
      <c r="B9" s="187">
        <v>8614.2118802000005</v>
      </c>
      <c r="C9" s="136" t="s">
        <v>180</v>
      </c>
    </row>
    <row r="10" spans="1:3" s="133" customFormat="1" x14ac:dyDescent="0.2">
      <c r="A10" s="135" t="s">
        <v>140</v>
      </c>
      <c r="B10" s="188">
        <v>997.60451009999986</v>
      </c>
      <c r="C10" s="189" t="s">
        <v>180</v>
      </c>
    </row>
    <row r="11" spans="1:3" x14ac:dyDescent="0.2">
      <c r="A11" s="62" t="s">
        <v>2260</v>
      </c>
      <c r="B11" s="134">
        <v>567.17232999999999</v>
      </c>
      <c r="C11" s="54" t="s">
        <v>177</v>
      </c>
    </row>
    <row r="12" spans="1:3" x14ac:dyDescent="0.2">
      <c r="A12" s="62" t="s">
        <v>2261</v>
      </c>
      <c r="B12" s="134">
        <v>4.3456000000000001</v>
      </c>
      <c r="C12" s="54" t="s">
        <v>177</v>
      </c>
    </row>
    <row r="13" spans="1:3" x14ac:dyDescent="0.2">
      <c r="A13" s="62" t="s">
        <v>2262</v>
      </c>
      <c r="B13" s="134">
        <v>205.57220999999998</v>
      </c>
      <c r="C13" s="54" t="s">
        <v>177</v>
      </c>
    </row>
    <row r="14" spans="1:3" x14ac:dyDescent="0.2">
      <c r="A14" s="62" t="s">
        <v>2263</v>
      </c>
      <c r="B14" s="134">
        <v>117.84399999999999</v>
      </c>
      <c r="C14" s="54" t="s">
        <v>2264</v>
      </c>
    </row>
    <row r="15" spans="1:3" x14ac:dyDescent="0.2">
      <c r="A15" s="62" t="s">
        <v>2265</v>
      </c>
      <c r="B15" s="134">
        <v>102.67036999999999</v>
      </c>
      <c r="C15" s="54" t="s">
        <v>2264</v>
      </c>
    </row>
    <row r="16" spans="1:3" s="133" customFormat="1" x14ac:dyDescent="0.2">
      <c r="A16" s="190" t="s">
        <v>357</v>
      </c>
      <c r="B16" s="191">
        <v>7616.6073700999996</v>
      </c>
      <c r="C16" s="192" t="s">
        <v>180</v>
      </c>
    </row>
    <row r="17" spans="1:3" x14ac:dyDescent="0.2">
      <c r="A17" s="62" t="s">
        <v>2266</v>
      </c>
      <c r="B17" s="134">
        <v>4048.288</v>
      </c>
      <c r="C17" s="54" t="s">
        <v>2267</v>
      </c>
    </row>
    <row r="18" spans="1:3" x14ac:dyDescent="0.2">
      <c r="A18" s="62" t="s">
        <v>2268</v>
      </c>
      <c r="B18" s="134">
        <v>198.37846999999999</v>
      </c>
      <c r="C18" s="54" t="s">
        <v>2269</v>
      </c>
    </row>
    <row r="19" spans="1:3" x14ac:dyDescent="0.2">
      <c r="A19" s="62" t="s">
        <v>2270</v>
      </c>
      <c r="B19" s="134">
        <v>976.9674</v>
      </c>
      <c r="C19" s="54" t="s">
        <v>2271</v>
      </c>
    </row>
    <row r="20" spans="1:3" x14ac:dyDescent="0.2">
      <c r="A20" s="253" t="s">
        <v>2272</v>
      </c>
      <c r="B20" s="254">
        <v>2392.9735000000001</v>
      </c>
      <c r="C20" s="255" t="s">
        <v>2273</v>
      </c>
    </row>
    <row r="21" spans="1:3" x14ac:dyDescent="0.2">
      <c r="A21" t="s">
        <v>2258</v>
      </c>
    </row>
  </sheetData>
  <mergeCells count="1">
    <mergeCell ref="A5:C5"/>
  </mergeCells>
  <conditionalFormatting sqref="A9:C20">
    <cfRule type="expression" dxfId="43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92" fitToWidth="0" orientation="portrait"/>
  <headerFooter alignWithMargins="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5D4FB-F555-464C-A43C-CD0605D6D630}">
  <sheetPr codeName="גיליון28"/>
  <dimension ref="A1:Y751"/>
  <sheetViews>
    <sheetView rightToLeft="1" workbookViewId="0">
      <selection activeCell="A6" sqref="A6:O19"/>
    </sheetView>
  </sheetViews>
  <sheetFormatPr defaultRowHeight="12.75" x14ac:dyDescent="0.2"/>
  <cols>
    <col min="1" max="1" width="24.710937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166</v>
      </c>
      <c r="B1" s="21" t="s">
        <v>176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167</v>
      </c>
      <c r="B2" s="23" t="s">
        <v>153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168</v>
      </c>
      <c r="B3" s="23" t="s">
        <v>169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170</v>
      </c>
      <c r="B4" s="23" t="s">
        <v>178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46" t="s">
        <v>100</v>
      </c>
      <c r="B5" s="247"/>
      <c r="C5" s="247"/>
      <c r="D5" s="247"/>
      <c r="E5" s="247"/>
      <c r="F5" s="247"/>
      <c r="G5" s="247"/>
      <c r="H5" s="247"/>
      <c r="I5" s="247"/>
      <c r="J5" s="247"/>
      <c r="K5" s="247"/>
      <c r="L5" s="247"/>
      <c r="M5" s="247"/>
      <c r="N5" s="247"/>
      <c r="O5" s="248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99" t="s">
        <v>160</v>
      </c>
      <c r="B6" s="106" t="s">
        <v>101</v>
      </c>
      <c r="C6" s="107" t="s">
        <v>19</v>
      </c>
      <c r="D6" s="107" t="s">
        <v>70</v>
      </c>
      <c r="E6" s="107" t="s">
        <v>5</v>
      </c>
      <c r="F6" s="107" t="s">
        <v>13</v>
      </c>
      <c r="G6" s="107" t="s">
        <v>14</v>
      </c>
      <c r="H6" s="108" t="s">
        <v>6</v>
      </c>
      <c r="I6" s="109" t="s">
        <v>102</v>
      </c>
      <c r="J6" s="109" t="s">
        <v>103</v>
      </c>
      <c r="K6" s="109" t="s">
        <v>67</v>
      </c>
      <c r="L6" s="116" t="s">
        <v>104</v>
      </c>
      <c r="M6" s="107" t="s">
        <v>17</v>
      </c>
      <c r="N6" s="107" t="s">
        <v>75</v>
      </c>
      <c r="O6" s="115" t="s">
        <v>105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ht="12.75" customHeight="1" x14ac:dyDescent="0.2">
      <c r="A8" s="34"/>
      <c r="B8" s="35" t="s">
        <v>49</v>
      </c>
      <c r="C8" s="35" t="s">
        <v>50</v>
      </c>
      <c r="D8" s="35" t="s">
        <v>106</v>
      </c>
      <c r="E8" s="35" t="s">
        <v>107</v>
      </c>
      <c r="F8" s="35" t="s">
        <v>108</v>
      </c>
      <c r="G8" s="35" t="s">
        <v>109</v>
      </c>
      <c r="H8" s="35" t="s">
        <v>110</v>
      </c>
      <c r="I8" s="35" t="s">
        <v>111</v>
      </c>
      <c r="J8" s="35" t="s">
        <v>112</v>
      </c>
      <c r="K8" s="35" t="s">
        <v>113</v>
      </c>
      <c r="L8" s="35" t="s">
        <v>114</v>
      </c>
      <c r="M8" s="35" t="s">
        <v>115</v>
      </c>
      <c r="N8" s="35" t="s">
        <v>116</v>
      </c>
      <c r="O8" s="36" t="s">
        <v>117</v>
      </c>
    </row>
    <row r="9" spans="1:25" ht="12.75" customHeight="1" thickBot="1" x14ac:dyDescent="0.25">
      <c r="A9" s="117" t="s">
        <v>118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118">
        <v>0</v>
      </c>
      <c r="M9" s="93"/>
      <c r="N9" s="96"/>
      <c r="O9" s="78"/>
      <c r="P9" s="28"/>
      <c r="Q9" s="28"/>
      <c r="R9" s="28"/>
      <c r="S9" s="28"/>
      <c r="T9" s="28"/>
      <c r="U9" s="28"/>
    </row>
    <row r="10" spans="1:25" x14ac:dyDescent="0.2">
      <c r="A10" s="111" t="s">
        <v>140</v>
      </c>
      <c r="B10" s="45"/>
      <c r="C10" s="45"/>
      <c r="D10" s="45"/>
      <c r="E10" s="45"/>
      <c r="F10" s="45"/>
      <c r="G10" s="45"/>
      <c r="H10" s="85"/>
      <c r="I10" s="47"/>
      <c r="J10" s="48"/>
      <c r="K10" s="87"/>
      <c r="L10" s="48"/>
      <c r="M10" s="90"/>
      <c r="N10" s="94"/>
      <c r="O10" s="46"/>
      <c r="P10" s="28"/>
      <c r="Q10" s="28"/>
      <c r="R10" s="28"/>
      <c r="S10" s="28"/>
      <c r="T10" s="28"/>
      <c r="U10" s="28"/>
    </row>
    <row r="11" spans="1:25" x14ac:dyDescent="0.2">
      <c r="A11" s="112" t="s">
        <v>141</v>
      </c>
      <c r="B11" s="37"/>
      <c r="C11" s="37"/>
      <c r="D11" s="37"/>
      <c r="E11" s="37"/>
      <c r="F11" s="37"/>
      <c r="G11" s="37"/>
      <c r="H11" s="80"/>
      <c r="I11" s="39"/>
      <c r="J11" s="31"/>
      <c r="K11" s="87"/>
      <c r="L11" s="31"/>
      <c r="M11" s="63"/>
      <c r="N11" s="95"/>
      <c r="O11" s="38"/>
      <c r="P11" s="28"/>
      <c r="Q11" s="28"/>
      <c r="R11" s="28"/>
      <c r="S11" s="28"/>
      <c r="T11" s="28"/>
      <c r="U11" s="28"/>
    </row>
    <row r="12" spans="1:25" x14ac:dyDescent="0.2">
      <c r="A12" s="112" t="s">
        <v>142</v>
      </c>
      <c r="B12" s="37"/>
      <c r="C12" s="37"/>
      <c r="D12" s="37"/>
      <c r="E12" s="37"/>
      <c r="F12" s="37"/>
      <c r="G12" s="37"/>
      <c r="H12" s="80"/>
      <c r="I12" s="39"/>
      <c r="J12" s="31"/>
      <c r="K12" s="87"/>
      <c r="L12" s="31"/>
      <c r="M12" s="63"/>
      <c r="N12" s="95"/>
      <c r="O12" s="38"/>
      <c r="P12" s="28"/>
      <c r="Q12" s="28"/>
      <c r="R12" s="28"/>
      <c r="S12" s="28"/>
      <c r="T12" s="28"/>
      <c r="U12" s="28"/>
    </row>
    <row r="13" spans="1:25" x14ac:dyDescent="0.2">
      <c r="A13" s="112" t="s">
        <v>143</v>
      </c>
      <c r="B13" s="37"/>
      <c r="C13" s="37"/>
      <c r="D13" s="37"/>
      <c r="E13" s="37"/>
      <c r="F13" s="37"/>
      <c r="G13" s="37"/>
      <c r="H13" s="80"/>
      <c r="I13" s="39"/>
      <c r="J13" s="31"/>
      <c r="K13" s="87"/>
      <c r="L13" s="31"/>
      <c r="M13" s="63"/>
      <c r="N13" s="95"/>
      <c r="O13" s="38"/>
      <c r="P13" s="28"/>
      <c r="Q13" s="28"/>
      <c r="R13" s="28"/>
      <c r="S13" s="28"/>
      <c r="T13" s="28"/>
      <c r="U13" s="28"/>
    </row>
    <row r="14" spans="1:25" x14ac:dyDescent="0.2">
      <c r="A14" s="112" t="s">
        <v>144</v>
      </c>
      <c r="B14" s="37"/>
      <c r="C14" s="37"/>
      <c r="D14" s="37"/>
      <c r="E14" s="37"/>
      <c r="F14" s="37"/>
      <c r="G14" s="37"/>
      <c r="H14" s="80"/>
      <c r="I14" s="39"/>
      <c r="J14" s="31"/>
      <c r="K14" s="87"/>
      <c r="L14" s="31"/>
      <c r="M14" s="63"/>
      <c r="N14" s="95"/>
      <c r="O14" s="38"/>
      <c r="P14" s="28"/>
      <c r="Q14" s="28"/>
      <c r="R14" s="28"/>
      <c r="S14" s="28"/>
      <c r="T14" s="28"/>
      <c r="U14" s="28"/>
    </row>
    <row r="15" spans="1:25" x14ac:dyDescent="0.2">
      <c r="A15" s="112" t="s">
        <v>145</v>
      </c>
      <c r="B15" s="37"/>
      <c r="C15" s="37"/>
      <c r="D15" s="37"/>
      <c r="E15" s="37"/>
      <c r="F15" s="37"/>
      <c r="G15" s="37"/>
      <c r="H15" s="80"/>
      <c r="I15" s="39"/>
      <c r="J15" s="31"/>
      <c r="K15" s="87"/>
      <c r="L15" s="31"/>
      <c r="M15" s="63"/>
      <c r="N15" s="95"/>
      <c r="O15" s="38"/>
      <c r="P15" s="28"/>
      <c r="Q15" s="28"/>
      <c r="R15" s="28"/>
      <c r="S15" s="28"/>
      <c r="T15" s="28"/>
      <c r="U15" s="28"/>
    </row>
    <row r="16" spans="1:25" x14ac:dyDescent="0.2">
      <c r="A16" s="112" t="s">
        <v>146</v>
      </c>
      <c r="B16" s="37"/>
      <c r="C16" s="37"/>
      <c r="D16" s="37"/>
      <c r="E16" s="37"/>
      <c r="F16" s="37"/>
      <c r="G16" s="37"/>
      <c r="H16" s="80"/>
      <c r="I16" s="39"/>
      <c r="J16" s="31"/>
      <c r="K16" s="87"/>
      <c r="L16" s="31"/>
      <c r="M16" s="63"/>
      <c r="N16" s="95"/>
      <c r="O16" s="38"/>
      <c r="P16" s="28"/>
      <c r="Q16" s="28"/>
      <c r="R16" s="28"/>
      <c r="S16" s="28"/>
      <c r="T16" s="28"/>
      <c r="U16" s="28"/>
    </row>
    <row r="17" spans="1:21" x14ac:dyDescent="0.2">
      <c r="A17" s="112" t="s">
        <v>147</v>
      </c>
      <c r="B17" s="37"/>
      <c r="C17" s="37"/>
      <c r="D17" s="37"/>
      <c r="E17" s="37"/>
      <c r="F17" s="37"/>
      <c r="G17" s="37"/>
      <c r="H17" s="80"/>
      <c r="I17" s="39"/>
      <c r="J17" s="31"/>
      <c r="K17" s="87"/>
      <c r="L17" s="31"/>
      <c r="M17" s="63"/>
      <c r="N17" s="95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80"/>
      <c r="I18" s="39"/>
      <c r="J18" s="31"/>
      <c r="K18" s="87"/>
      <c r="L18" s="31"/>
      <c r="M18" s="63"/>
      <c r="N18" s="94"/>
      <c r="O18" s="38"/>
      <c r="P18" s="28"/>
      <c r="Q18" s="28"/>
      <c r="R18" s="28"/>
      <c r="S18" s="28"/>
      <c r="T18" s="28"/>
      <c r="U18" s="28"/>
    </row>
    <row r="19" spans="1:21" x14ac:dyDescent="0.2">
      <c r="A19" s="229"/>
      <c r="B19" s="256"/>
      <c r="C19" s="256"/>
      <c r="D19" s="256"/>
      <c r="E19" s="256"/>
      <c r="F19" s="256"/>
      <c r="G19" s="256"/>
      <c r="H19" s="225"/>
      <c r="I19" s="257"/>
      <c r="J19" s="258"/>
      <c r="K19" s="259"/>
      <c r="L19" s="258"/>
      <c r="M19" s="260"/>
      <c r="N19" s="261"/>
      <c r="O19" s="223"/>
      <c r="P19" s="28"/>
      <c r="Q19" s="28"/>
      <c r="R19" s="28"/>
      <c r="S19" s="28"/>
      <c r="T19" s="28"/>
      <c r="U19" s="28"/>
    </row>
    <row r="20" spans="1:21" x14ac:dyDescent="0.2">
      <c r="A20" s="130" t="s">
        <v>148</v>
      </c>
      <c r="O20" s="51"/>
      <c r="Q20" s="32"/>
      <c r="R20" s="32"/>
      <c r="S20" s="32"/>
    </row>
    <row r="21" spans="1:21" x14ac:dyDescent="0.2">
      <c r="A21" s="130" t="s">
        <v>149</v>
      </c>
      <c r="O21" s="51"/>
      <c r="Q21" s="32"/>
      <c r="R21" s="32"/>
      <c r="S21" s="32"/>
    </row>
    <row r="22" spans="1:21" x14ac:dyDescent="0.2">
      <c r="A22" s="130" t="s">
        <v>150</v>
      </c>
      <c r="O22" s="51"/>
      <c r="Q22" s="32"/>
      <c r="R22" s="32"/>
      <c r="S22" s="32"/>
    </row>
    <row r="23" spans="1:21" x14ac:dyDescent="0.2">
      <c r="A23" s="130" t="s">
        <v>151</v>
      </c>
      <c r="O23" s="51"/>
      <c r="Q23" s="32"/>
      <c r="R23" s="32"/>
      <c r="S23" s="32"/>
    </row>
    <row r="24" spans="1:21" x14ac:dyDescent="0.2">
      <c r="A24" s="130" t="s">
        <v>152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  <row r="680" spans="15:19" x14ac:dyDescent="0.2">
      <c r="O680" s="51"/>
      <c r="Q680" s="32"/>
      <c r="R680" s="32"/>
      <c r="S680" s="32"/>
    </row>
    <row r="681" spans="15:19" x14ac:dyDescent="0.2">
      <c r="O681" s="51"/>
      <c r="Q681" s="32"/>
      <c r="R681" s="32"/>
      <c r="S681" s="32"/>
    </row>
    <row r="682" spans="15:19" x14ac:dyDescent="0.2">
      <c r="O682" s="51"/>
      <c r="Q682" s="32"/>
      <c r="R682" s="32"/>
      <c r="S682" s="32"/>
    </row>
    <row r="683" spans="15:19" x14ac:dyDescent="0.2">
      <c r="O683" s="51"/>
      <c r="Q683" s="32"/>
      <c r="R683" s="32"/>
      <c r="S683" s="32"/>
    </row>
    <row r="684" spans="15:19" x14ac:dyDescent="0.2">
      <c r="O684" s="51"/>
      <c r="Q684" s="32"/>
      <c r="R684" s="32"/>
      <c r="S684" s="32"/>
    </row>
    <row r="685" spans="15:19" x14ac:dyDescent="0.2">
      <c r="O685" s="51"/>
      <c r="Q685" s="32"/>
      <c r="R685" s="32"/>
      <c r="S685" s="32"/>
    </row>
    <row r="686" spans="15:19" x14ac:dyDescent="0.2">
      <c r="O686" s="51"/>
      <c r="Q686" s="32"/>
      <c r="R686" s="32"/>
      <c r="S686" s="32"/>
    </row>
    <row r="687" spans="15:19" x14ac:dyDescent="0.2">
      <c r="O687" s="51"/>
      <c r="Q687" s="32"/>
      <c r="R687" s="32"/>
      <c r="S687" s="32"/>
    </row>
    <row r="688" spans="15:19" x14ac:dyDescent="0.2">
      <c r="O688" s="51"/>
      <c r="Q688" s="32"/>
      <c r="R688" s="32"/>
      <c r="S688" s="32"/>
    </row>
    <row r="689" spans="15:19" x14ac:dyDescent="0.2">
      <c r="O689" s="51"/>
      <c r="Q689" s="32"/>
      <c r="R689" s="32"/>
      <c r="S689" s="32"/>
    </row>
    <row r="690" spans="15:19" x14ac:dyDescent="0.2">
      <c r="O690" s="51"/>
      <c r="Q690" s="32"/>
      <c r="R690" s="32"/>
      <c r="S690" s="32"/>
    </row>
    <row r="691" spans="15:19" x14ac:dyDescent="0.2">
      <c r="O691" s="51"/>
      <c r="Q691" s="32"/>
      <c r="R691" s="32"/>
      <c r="S691" s="32"/>
    </row>
    <row r="692" spans="15:19" x14ac:dyDescent="0.2">
      <c r="O692" s="51"/>
      <c r="Q692" s="32"/>
      <c r="R692" s="32"/>
      <c r="S692" s="32"/>
    </row>
    <row r="693" spans="15:19" x14ac:dyDescent="0.2">
      <c r="O693" s="51"/>
      <c r="Q693" s="32"/>
      <c r="R693" s="32"/>
      <c r="S693" s="32"/>
    </row>
    <row r="694" spans="15:19" x14ac:dyDescent="0.2">
      <c r="O694" s="51"/>
      <c r="Q694" s="32"/>
      <c r="R694" s="32"/>
      <c r="S694" s="32"/>
    </row>
    <row r="695" spans="15:19" x14ac:dyDescent="0.2">
      <c r="O695" s="51"/>
      <c r="Q695" s="32"/>
      <c r="R695" s="32"/>
      <c r="S695" s="32"/>
    </row>
    <row r="696" spans="15:19" x14ac:dyDescent="0.2">
      <c r="O696" s="51"/>
      <c r="Q696" s="32"/>
      <c r="R696" s="32"/>
      <c r="S696" s="32"/>
    </row>
    <row r="697" spans="15:19" x14ac:dyDescent="0.2">
      <c r="O697" s="51"/>
      <c r="Q697" s="32"/>
      <c r="R697" s="32"/>
      <c r="S697" s="32"/>
    </row>
    <row r="698" spans="15:19" x14ac:dyDescent="0.2">
      <c r="O698" s="51"/>
      <c r="Q698" s="32"/>
      <c r="R698" s="32"/>
      <c r="S698" s="32"/>
    </row>
    <row r="699" spans="15:19" x14ac:dyDescent="0.2">
      <c r="O699" s="51"/>
      <c r="Q699" s="32"/>
      <c r="R699" s="32"/>
      <c r="S699" s="32"/>
    </row>
    <row r="700" spans="15:19" x14ac:dyDescent="0.2">
      <c r="O700" s="51"/>
      <c r="Q700" s="32"/>
      <c r="R700" s="32"/>
      <c r="S700" s="32"/>
    </row>
    <row r="701" spans="15:19" x14ac:dyDescent="0.2">
      <c r="O701" s="51"/>
      <c r="Q701" s="32"/>
      <c r="R701" s="32"/>
      <c r="S701" s="32"/>
    </row>
    <row r="702" spans="15:19" x14ac:dyDescent="0.2">
      <c r="O702" s="51"/>
      <c r="Q702" s="32"/>
      <c r="R702" s="32"/>
      <c r="S702" s="32"/>
    </row>
    <row r="703" spans="15:19" x14ac:dyDescent="0.2">
      <c r="O703" s="51"/>
      <c r="Q703" s="32"/>
      <c r="R703" s="32"/>
      <c r="S703" s="32"/>
    </row>
    <row r="704" spans="15:19" x14ac:dyDescent="0.2">
      <c r="O704" s="51"/>
      <c r="Q704" s="32"/>
      <c r="R704" s="32"/>
      <c r="S704" s="32"/>
    </row>
    <row r="705" spans="15:19" x14ac:dyDescent="0.2">
      <c r="O705" s="51"/>
      <c r="Q705" s="32"/>
      <c r="R705" s="32"/>
      <c r="S705" s="32"/>
    </row>
    <row r="706" spans="15:19" x14ac:dyDescent="0.2">
      <c r="O706" s="51"/>
      <c r="Q706" s="32"/>
      <c r="R706" s="32"/>
      <c r="S706" s="32"/>
    </row>
    <row r="707" spans="15:19" x14ac:dyDescent="0.2">
      <c r="O707" s="51"/>
      <c r="Q707" s="32"/>
      <c r="R707" s="32"/>
      <c r="S707" s="32"/>
    </row>
    <row r="708" spans="15:19" x14ac:dyDescent="0.2">
      <c r="O708" s="51"/>
      <c r="Q708" s="32"/>
      <c r="R708" s="32"/>
      <c r="S708" s="32"/>
    </row>
    <row r="709" spans="15:19" x14ac:dyDescent="0.2">
      <c r="O709" s="51"/>
      <c r="Q709" s="32"/>
      <c r="R709" s="32"/>
      <c r="S709" s="32"/>
    </row>
    <row r="710" spans="15:19" x14ac:dyDescent="0.2">
      <c r="O710" s="51"/>
      <c r="Q710" s="32"/>
      <c r="R710" s="32"/>
      <c r="S710" s="32"/>
    </row>
    <row r="711" spans="15:19" x14ac:dyDescent="0.2">
      <c r="O711" s="51"/>
      <c r="Q711" s="32"/>
      <c r="R711" s="32"/>
      <c r="S711" s="32"/>
    </row>
    <row r="712" spans="15:19" x14ac:dyDescent="0.2">
      <c r="O712" s="51"/>
      <c r="Q712" s="32"/>
      <c r="R712" s="32"/>
      <c r="S712" s="32"/>
    </row>
    <row r="713" spans="15:19" x14ac:dyDescent="0.2">
      <c r="O713" s="51"/>
      <c r="Q713" s="32"/>
      <c r="R713" s="32"/>
      <c r="S713" s="32"/>
    </row>
    <row r="714" spans="15:19" x14ac:dyDescent="0.2">
      <c r="O714" s="51"/>
      <c r="Q714" s="32"/>
      <c r="R714" s="32"/>
      <c r="S714" s="32"/>
    </row>
    <row r="715" spans="15:19" x14ac:dyDescent="0.2">
      <c r="O715" s="51"/>
      <c r="Q715" s="32"/>
      <c r="R715" s="32"/>
      <c r="S715" s="32"/>
    </row>
    <row r="716" spans="15:19" x14ac:dyDescent="0.2">
      <c r="O716" s="51"/>
      <c r="Q716" s="32"/>
      <c r="R716" s="32"/>
      <c r="S716" s="32"/>
    </row>
    <row r="717" spans="15:19" x14ac:dyDescent="0.2">
      <c r="O717" s="51"/>
      <c r="Q717" s="32"/>
      <c r="R717" s="32"/>
      <c r="S717" s="32"/>
    </row>
    <row r="718" spans="15:19" x14ac:dyDescent="0.2">
      <c r="O718" s="51"/>
      <c r="Q718" s="32"/>
      <c r="R718" s="32"/>
      <c r="S718" s="32"/>
    </row>
    <row r="719" spans="15:19" x14ac:dyDescent="0.2">
      <c r="O719" s="51"/>
      <c r="Q719" s="32"/>
      <c r="R719" s="32"/>
      <c r="S719" s="32"/>
    </row>
    <row r="720" spans="15:19" x14ac:dyDescent="0.2">
      <c r="O720" s="51"/>
      <c r="Q720" s="32"/>
      <c r="R720" s="32"/>
      <c r="S720" s="32"/>
    </row>
    <row r="721" spans="15:19" x14ac:dyDescent="0.2">
      <c r="O721" s="51"/>
      <c r="Q721" s="32"/>
      <c r="R721" s="32"/>
      <c r="S721" s="32"/>
    </row>
    <row r="722" spans="15:19" x14ac:dyDescent="0.2">
      <c r="O722" s="51"/>
      <c r="Q722" s="32"/>
      <c r="R722" s="32"/>
      <c r="S722" s="32"/>
    </row>
    <row r="723" spans="15:19" x14ac:dyDescent="0.2">
      <c r="O723" s="51"/>
      <c r="Q723" s="32"/>
      <c r="R723" s="32"/>
      <c r="S723" s="32"/>
    </row>
    <row r="724" spans="15:19" x14ac:dyDescent="0.2">
      <c r="O724" s="51"/>
      <c r="Q724" s="32"/>
      <c r="R724" s="32"/>
      <c r="S724" s="32"/>
    </row>
    <row r="725" spans="15:19" x14ac:dyDescent="0.2">
      <c r="O725" s="51"/>
      <c r="Q725" s="32"/>
      <c r="R725" s="32"/>
      <c r="S725" s="32"/>
    </row>
    <row r="726" spans="15:19" x14ac:dyDescent="0.2">
      <c r="O726" s="51"/>
      <c r="Q726" s="32"/>
      <c r="R726" s="32"/>
      <c r="S726" s="32"/>
    </row>
    <row r="727" spans="15:19" x14ac:dyDescent="0.2">
      <c r="O727" s="51"/>
      <c r="Q727" s="32"/>
      <c r="R727" s="32"/>
      <c r="S727" s="32"/>
    </row>
    <row r="728" spans="15:19" x14ac:dyDescent="0.2">
      <c r="O728" s="51"/>
      <c r="Q728" s="32"/>
      <c r="R728" s="32"/>
      <c r="S728" s="32"/>
    </row>
    <row r="729" spans="15:19" x14ac:dyDescent="0.2">
      <c r="O729" s="51"/>
      <c r="Q729" s="32"/>
      <c r="R729" s="32"/>
      <c r="S729" s="32"/>
    </row>
    <row r="730" spans="15:19" x14ac:dyDescent="0.2">
      <c r="O730" s="51"/>
      <c r="Q730" s="32"/>
      <c r="R730" s="32"/>
      <c r="S730" s="32"/>
    </row>
    <row r="731" spans="15:19" x14ac:dyDescent="0.2">
      <c r="O731" s="51"/>
      <c r="Q731" s="32"/>
      <c r="R731" s="32"/>
      <c r="S731" s="32"/>
    </row>
    <row r="732" spans="15:19" x14ac:dyDescent="0.2">
      <c r="O732" s="51"/>
      <c r="Q732" s="32"/>
      <c r="R732" s="32"/>
      <c r="S732" s="32"/>
    </row>
    <row r="733" spans="15:19" x14ac:dyDescent="0.2">
      <c r="O733" s="51"/>
      <c r="Q733" s="32"/>
      <c r="R733" s="32"/>
      <c r="S733" s="32"/>
    </row>
    <row r="734" spans="15:19" x14ac:dyDescent="0.2">
      <c r="O734" s="51"/>
      <c r="Q734" s="32"/>
      <c r="R734" s="32"/>
      <c r="S734" s="32"/>
    </row>
    <row r="735" spans="15:19" x14ac:dyDescent="0.2">
      <c r="O735" s="51"/>
      <c r="Q735" s="32"/>
      <c r="R735" s="32"/>
      <c r="S735" s="32"/>
    </row>
    <row r="736" spans="15:19" x14ac:dyDescent="0.2">
      <c r="O736" s="51"/>
      <c r="Q736" s="32"/>
      <c r="R736" s="32"/>
      <c r="S736" s="32"/>
    </row>
    <row r="737" spans="15:19" x14ac:dyDescent="0.2">
      <c r="O737" s="51"/>
      <c r="Q737" s="32"/>
      <c r="R737" s="32"/>
      <c r="S737" s="32"/>
    </row>
    <row r="738" spans="15:19" x14ac:dyDescent="0.2">
      <c r="O738" s="51"/>
      <c r="Q738" s="32"/>
      <c r="R738" s="32"/>
      <c r="S738" s="32"/>
    </row>
    <row r="739" spans="15:19" x14ac:dyDescent="0.2">
      <c r="O739" s="51"/>
      <c r="Q739" s="32"/>
      <c r="R739" s="32"/>
      <c r="S739" s="32"/>
    </row>
    <row r="740" spans="15:19" x14ac:dyDescent="0.2">
      <c r="O740" s="51"/>
      <c r="Q740" s="32"/>
      <c r="R740" s="32"/>
      <c r="S740" s="32"/>
    </row>
    <row r="741" spans="15:19" x14ac:dyDescent="0.2">
      <c r="O741" s="51"/>
      <c r="Q741" s="32"/>
      <c r="R741" s="32"/>
      <c r="S741" s="32"/>
    </row>
    <row r="742" spans="15:19" x14ac:dyDescent="0.2">
      <c r="O742" s="51"/>
      <c r="Q742" s="32"/>
      <c r="R742" s="32"/>
      <c r="S742" s="32"/>
    </row>
    <row r="743" spans="15:19" x14ac:dyDescent="0.2">
      <c r="O743" s="51"/>
      <c r="Q743" s="32"/>
      <c r="R743" s="32"/>
      <c r="S743" s="32"/>
    </row>
    <row r="744" spans="15:19" x14ac:dyDescent="0.2">
      <c r="O744" s="51"/>
      <c r="Q744" s="32"/>
      <c r="R744" s="32"/>
      <c r="S744" s="32"/>
    </row>
    <row r="745" spans="15:19" x14ac:dyDescent="0.2">
      <c r="O745" s="51"/>
      <c r="Q745" s="32"/>
      <c r="R745" s="32"/>
      <c r="S745" s="32"/>
    </row>
    <row r="746" spans="15:19" x14ac:dyDescent="0.2">
      <c r="O746" s="51"/>
      <c r="Q746" s="32"/>
      <c r="R746" s="32"/>
      <c r="S746" s="32"/>
    </row>
    <row r="747" spans="15:19" x14ac:dyDescent="0.2">
      <c r="O747" s="51"/>
      <c r="Q747" s="32"/>
      <c r="R747" s="32"/>
      <c r="S747" s="32"/>
    </row>
    <row r="748" spans="15:19" x14ac:dyDescent="0.2">
      <c r="O748" s="51"/>
      <c r="Q748" s="32"/>
      <c r="R748" s="32"/>
      <c r="S748" s="32"/>
    </row>
    <row r="749" spans="15:19" x14ac:dyDescent="0.2">
      <c r="O749" s="51"/>
      <c r="Q749" s="32"/>
      <c r="R749" s="32"/>
      <c r="S749" s="32"/>
    </row>
    <row r="750" spans="15:19" x14ac:dyDescent="0.2">
      <c r="O750" s="51"/>
      <c r="Q750" s="32"/>
      <c r="R750" s="32"/>
      <c r="S750" s="32"/>
    </row>
    <row r="751" spans="15:19" x14ac:dyDescent="0.2">
      <c r="O751" s="51"/>
      <c r="Q751" s="32"/>
      <c r="R751" s="32"/>
      <c r="S751" s="32"/>
    </row>
  </sheetData>
  <mergeCells count="1">
    <mergeCell ref="A5:O5"/>
  </mergeCells>
  <conditionalFormatting sqref="P1:P4 P5:Y5 J10:L19 P20:P65505">
    <cfRule type="expression" dxfId="42" priority="11" stopIfTrue="1">
      <formula>LEFT(#REF!,3)="TIR"</formula>
    </cfRule>
  </conditionalFormatting>
  <conditionalFormatting sqref="Q5:Y5">
    <cfRule type="expression" dxfId="41" priority="9" stopIfTrue="1">
      <formula>LEFT(#REF!,3)="TIR"</formula>
    </cfRule>
  </conditionalFormatting>
  <conditionalFormatting sqref="B10:I19 O10:O19">
    <cfRule type="expression" dxfId="40" priority="7" stopIfTrue="1">
      <formula>LEFT(#REF!,3)="TIR"</formula>
    </cfRule>
  </conditionalFormatting>
  <conditionalFormatting sqref="A10:A19 M10:N19">
    <cfRule type="expression" dxfId="39" priority="5" stopIfTrue="1">
      <formula>#REF!&gt;0</formula>
    </cfRule>
    <cfRule type="expression" dxfId="38" priority="6" stopIfTrue="1">
      <formula>LEFT(#REF!,3)="TIR"</formula>
    </cfRule>
  </conditionalFormatting>
  <conditionalFormatting sqref="K10:K19">
    <cfRule type="expression" dxfId="37" priority="3" stopIfTrue="1">
      <formula>#REF!&gt;0</formula>
    </cfRule>
    <cfRule type="expression" dxfId="36" priority="4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CB10B-258C-4129-96DF-EAF642D1F800}">
  <sheetPr codeName="גיליון29"/>
  <dimension ref="A1:Y679"/>
  <sheetViews>
    <sheetView rightToLeft="1" workbookViewId="0">
      <selection activeCell="A6" sqref="A6:O18"/>
    </sheetView>
  </sheetViews>
  <sheetFormatPr defaultRowHeight="12.75" x14ac:dyDescent="0.2"/>
  <cols>
    <col min="1" max="1" width="26.57031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166</v>
      </c>
      <c r="B1" s="21" t="s">
        <v>176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167</v>
      </c>
      <c r="B2" s="23" t="s">
        <v>153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168</v>
      </c>
      <c r="B3" s="23" t="s">
        <v>169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170</v>
      </c>
      <c r="B4" s="23" t="s">
        <v>178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46" t="s">
        <v>119</v>
      </c>
      <c r="B5" s="247"/>
      <c r="C5" s="247"/>
      <c r="D5" s="247"/>
      <c r="E5" s="247"/>
      <c r="F5" s="247"/>
      <c r="G5" s="247"/>
      <c r="H5" s="247"/>
      <c r="I5" s="247"/>
      <c r="J5" s="247"/>
      <c r="K5" s="247"/>
      <c r="L5" s="247"/>
      <c r="M5" s="247"/>
      <c r="N5" s="247"/>
      <c r="O5" s="248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99" t="s">
        <v>160</v>
      </c>
      <c r="B6" s="106" t="s">
        <v>101</v>
      </c>
      <c r="C6" s="107" t="s">
        <v>19</v>
      </c>
      <c r="D6" s="107" t="s">
        <v>70</v>
      </c>
      <c r="E6" s="107" t="s">
        <v>5</v>
      </c>
      <c r="F6" s="107" t="s">
        <v>13</v>
      </c>
      <c r="G6" s="107" t="s">
        <v>14</v>
      </c>
      <c r="H6" s="108" t="s">
        <v>6</v>
      </c>
      <c r="I6" s="109" t="s">
        <v>102</v>
      </c>
      <c r="J6" s="109" t="s">
        <v>103</v>
      </c>
      <c r="K6" s="109" t="s">
        <v>67</v>
      </c>
      <c r="L6" s="116" t="s">
        <v>104</v>
      </c>
      <c r="M6" s="107" t="s">
        <v>17</v>
      </c>
      <c r="N6" s="107" t="s">
        <v>75</v>
      </c>
      <c r="O6" s="115" t="s">
        <v>105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106</v>
      </c>
      <c r="E8" s="35" t="s">
        <v>107</v>
      </c>
      <c r="F8" s="35" t="s">
        <v>108</v>
      </c>
      <c r="G8" s="35" t="s">
        <v>109</v>
      </c>
      <c r="H8" s="35" t="s">
        <v>110</v>
      </c>
      <c r="I8" s="35" t="s">
        <v>111</v>
      </c>
      <c r="J8" s="35" t="s">
        <v>112</v>
      </c>
      <c r="K8" s="35" t="s">
        <v>113</v>
      </c>
      <c r="L8" s="35" t="s">
        <v>114</v>
      </c>
      <c r="M8" s="35" t="s">
        <v>115</v>
      </c>
      <c r="N8" s="35" t="s">
        <v>116</v>
      </c>
      <c r="O8" s="36" t="s">
        <v>117</v>
      </c>
    </row>
    <row r="9" spans="1:25" ht="13.5" thickBot="1" x14ac:dyDescent="0.25">
      <c r="A9" s="117" t="s">
        <v>121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118">
        <v>0</v>
      </c>
      <c r="M9" s="93"/>
      <c r="N9" s="96"/>
      <c r="O9" s="78"/>
      <c r="P9" s="28"/>
      <c r="Q9" s="28"/>
      <c r="R9" s="28"/>
      <c r="S9" s="28"/>
      <c r="T9" s="28"/>
      <c r="U9" s="28"/>
    </row>
    <row r="10" spans="1:25" x14ac:dyDescent="0.2">
      <c r="A10" s="111" t="s">
        <v>140</v>
      </c>
      <c r="B10" s="45"/>
      <c r="C10" s="45"/>
      <c r="D10" s="45"/>
      <c r="E10" s="45"/>
      <c r="F10" s="45"/>
      <c r="G10" s="45"/>
      <c r="H10" s="85"/>
      <c r="I10" s="47"/>
      <c r="J10" s="48"/>
      <c r="K10" s="87"/>
      <c r="L10" s="48"/>
      <c r="M10" s="90"/>
      <c r="N10" s="94"/>
      <c r="O10" s="46"/>
      <c r="P10" s="28"/>
      <c r="Q10" s="28"/>
      <c r="R10" s="28"/>
      <c r="S10" s="28"/>
      <c r="T10" s="28"/>
      <c r="U10" s="28"/>
    </row>
    <row r="11" spans="1:25" x14ac:dyDescent="0.2">
      <c r="A11" s="112" t="s">
        <v>141</v>
      </c>
      <c r="B11" s="37"/>
      <c r="C11" s="37"/>
      <c r="D11" s="37"/>
      <c r="E11" s="37"/>
      <c r="F11" s="37"/>
      <c r="G11" s="37"/>
      <c r="H11" s="80"/>
      <c r="I11" s="39"/>
      <c r="J11" s="31"/>
      <c r="K11" s="87"/>
      <c r="L11" s="31"/>
      <c r="M11" s="63"/>
      <c r="N11" s="95"/>
      <c r="O11" s="38"/>
      <c r="P11" s="28"/>
      <c r="Q11" s="28"/>
      <c r="R11" s="28"/>
      <c r="S11" s="28"/>
      <c r="T11" s="28"/>
      <c r="U11" s="28"/>
    </row>
    <row r="12" spans="1:25" x14ac:dyDescent="0.2">
      <c r="A12" s="112" t="s">
        <v>142</v>
      </c>
      <c r="B12" s="37"/>
      <c r="C12" s="37"/>
      <c r="D12" s="37"/>
      <c r="E12" s="37"/>
      <c r="F12" s="37"/>
      <c r="G12" s="37"/>
      <c r="H12" s="80"/>
      <c r="I12" s="39"/>
      <c r="J12" s="31"/>
      <c r="K12" s="87"/>
      <c r="L12" s="31"/>
      <c r="M12" s="63"/>
      <c r="N12" s="95"/>
      <c r="O12" s="38"/>
      <c r="P12" s="28"/>
      <c r="Q12" s="28"/>
      <c r="R12" s="28"/>
      <c r="S12" s="28"/>
      <c r="T12" s="28"/>
      <c r="U12" s="28"/>
    </row>
    <row r="13" spans="1:25" x14ac:dyDescent="0.2">
      <c r="A13" s="112" t="s">
        <v>143</v>
      </c>
      <c r="B13" s="37"/>
      <c r="C13" s="37"/>
      <c r="D13" s="37"/>
      <c r="E13" s="37"/>
      <c r="F13" s="37"/>
      <c r="G13" s="37"/>
      <c r="H13" s="80"/>
      <c r="I13" s="39"/>
      <c r="J13" s="31"/>
      <c r="K13" s="87"/>
      <c r="L13" s="31"/>
      <c r="M13" s="63"/>
      <c r="N13" s="95"/>
      <c r="O13" s="38"/>
      <c r="P13" s="28"/>
      <c r="Q13" s="28"/>
      <c r="R13" s="28"/>
      <c r="S13" s="28"/>
      <c r="T13" s="28"/>
      <c r="U13" s="28"/>
    </row>
    <row r="14" spans="1:25" x14ac:dyDescent="0.2">
      <c r="A14" s="112" t="s">
        <v>144</v>
      </c>
      <c r="B14" s="37"/>
      <c r="C14" s="37"/>
      <c r="D14" s="37"/>
      <c r="E14" s="37"/>
      <c r="F14" s="37"/>
      <c r="G14" s="37"/>
      <c r="H14" s="80"/>
      <c r="I14" s="39"/>
      <c r="J14" s="31"/>
      <c r="K14" s="87"/>
      <c r="L14" s="31"/>
      <c r="M14" s="63"/>
      <c r="N14" s="95"/>
      <c r="O14" s="38"/>
      <c r="P14" s="28"/>
      <c r="Q14" s="28"/>
      <c r="R14" s="28"/>
      <c r="S14" s="28"/>
      <c r="T14" s="28"/>
      <c r="U14" s="28"/>
    </row>
    <row r="15" spans="1:25" x14ac:dyDescent="0.2">
      <c r="A15" s="112" t="s">
        <v>145</v>
      </c>
      <c r="B15" s="37"/>
      <c r="C15" s="37"/>
      <c r="D15" s="37"/>
      <c r="E15" s="37"/>
      <c r="F15" s="37"/>
      <c r="G15" s="37"/>
      <c r="H15" s="80"/>
      <c r="I15" s="39"/>
      <c r="J15" s="31"/>
      <c r="K15" s="87"/>
      <c r="L15" s="31"/>
      <c r="M15" s="63"/>
      <c r="N15" s="95"/>
      <c r="O15" s="38"/>
      <c r="P15" s="28"/>
      <c r="Q15" s="28"/>
      <c r="R15" s="28"/>
      <c r="S15" s="28"/>
      <c r="T15" s="28"/>
      <c r="U15" s="28"/>
    </row>
    <row r="16" spans="1:25" x14ac:dyDescent="0.2">
      <c r="A16" s="112" t="s">
        <v>146</v>
      </c>
      <c r="B16" s="37"/>
      <c r="C16" s="37"/>
      <c r="D16" s="37"/>
      <c r="E16" s="37"/>
      <c r="F16" s="37"/>
      <c r="G16" s="37"/>
      <c r="H16" s="80"/>
      <c r="I16" s="39"/>
      <c r="J16" s="31"/>
      <c r="K16" s="87"/>
      <c r="L16" s="31"/>
      <c r="M16" s="63"/>
      <c r="N16" s="95"/>
      <c r="O16" s="38"/>
      <c r="P16" s="28"/>
      <c r="Q16" s="28"/>
      <c r="R16" s="28"/>
      <c r="S16" s="28"/>
      <c r="T16" s="28"/>
      <c r="U16" s="28"/>
    </row>
    <row r="17" spans="1:21" x14ac:dyDescent="0.2">
      <c r="A17" s="112" t="s">
        <v>147</v>
      </c>
      <c r="B17" s="37"/>
      <c r="C17" s="37"/>
      <c r="D17" s="37"/>
      <c r="E17" s="37"/>
      <c r="F17" s="37"/>
      <c r="G17" s="37"/>
      <c r="H17" s="80"/>
      <c r="I17" s="39"/>
      <c r="J17" s="31"/>
      <c r="K17" s="87"/>
      <c r="L17" s="31"/>
      <c r="M17" s="63"/>
      <c r="N17" s="95"/>
      <c r="O17" s="38"/>
      <c r="P17" s="28"/>
      <c r="Q17" s="28"/>
      <c r="R17" s="28"/>
      <c r="S17" s="28"/>
      <c r="T17" s="28"/>
      <c r="U17" s="28"/>
    </row>
    <row r="18" spans="1:21" x14ac:dyDescent="0.2">
      <c r="A18" s="229"/>
      <c r="B18" s="256"/>
      <c r="C18" s="256"/>
      <c r="D18" s="256"/>
      <c r="E18" s="256"/>
      <c r="F18" s="256"/>
      <c r="G18" s="256"/>
      <c r="H18" s="225"/>
      <c r="I18" s="257"/>
      <c r="J18" s="258"/>
      <c r="K18" s="259"/>
      <c r="L18" s="258"/>
      <c r="M18" s="260"/>
      <c r="N18" s="261"/>
      <c r="O18" s="223"/>
      <c r="P18" s="28"/>
      <c r="Q18" s="28"/>
      <c r="R18" s="28"/>
      <c r="S18" s="28"/>
      <c r="T18" s="28"/>
      <c r="U18" s="28"/>
    </row>
    <row r="19" spans="1:21" x14ac:dyDescent="0.2">
      <c r="A19" s="130" t="s">
        <v>148</v>
      </c>
      <c r="O19" s="51"/>
      <c r="Q19" s="32"/>
      <c r="R19" s="32"/>
      <c r="S19" s="32"/>
    </row>
    <row r="20" spans="1:21" x14ac:dyDescent="0.2">
      <c r="A20" s="130" t="s">
        <v>149</v>
      </c>
      <c r="O20" s="51"/>
      <c r="Q20" s="32"/>
      <c r="R20" s="32"/>
      <c r="S20" s="32"/>
    </row>
    <row r="21" spans="1:21" x14ac:dyDescent="0.2">
      <c r="A21" s="130" t="s">
        <v>150</v>
      </c>
      <c r="O21" s="51"/>
      <c r="Q21" s="32"/>
      <c r="R21" s="32"/>
      <c r="S21" s="32"/>
    </row>
    <row r="22" spans="1:21" x14ac:dyDescent="0.2">
      <c r="A22" s="130" t="s">
        <v>151</v>
      </c>
      <c r="O22" s="51"/>
      <c r="Q22" s="32"/>
      <c r="R22" s="32"/>
      <c r="S22" s="32"/>
    </row>
    <row r="23" spans="1:21" x14ac:dyDescent="0.2">
      <c r="A23" s="130" t="s">
        <v>152</v>
      </c>
      <c r="O23" s="51"/>
      <c r="Q23" s="32"/>
      <c r="R23" s="32"/>
      <c r="S23" s="32"/>
    </row>
    <row r="24" spans="1:21" x14ac:dyDescent="0.2"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</sheetData>
  <mergeCells count="1">
    <mergeCell ref="A5:O5"/>
  </mergeCells>
  <conditionalFormatting sqref="P1:P4 P5:Y5 J10:L18 P19:P65433">
    <cfRule type="expression" dxfId="35" priority="11" stopIfTrue="1">
      <formula>LEFT(#REF!,3)="TIR"</formula>
    </cfRule>
  </conditionalFormatting>
  <conditionalFormatting sqref="Q5:Y5">
    <cfRule type="expression" dxfId="34" priority="9" stopIfTrue="1">
      <formula>LEFT(#REF!,3)="TIR"</formula>
    </cfRule>
  </conditionalFormatting>
  <conditionalFormatting sqref="B10:I18 O10:O18">
    <cfRule type="expression" dxfId="33" priority="7" stopIfTrue="1">
      <formula>LEFT(#REF!,3)="TIR"</formula>
    </cfRule>
  </conditionalFormatting>
  <conditionalFormatting sqref="M10:N18 A18">
    <cfRule type="expression" dxfId="32" priority="5" stopIfTrue="1">
      <formula>#REF!&gt;0</formula>
    </cfRule>
    <cfRule type="expression" dxfId="31" priority="6" stopIfTrue="1">
      <formula>LEFT(#REF!,3)="TIR"</formula>
    </cfRule>
  </conditionalFormatting>
  <conditionalFormatting sqref="K10:K18">
    <cfRule type="expression" dxfId="30" priority="3" stopIfTrue="1">
      <formula>#REF!&gt;0</formula>
    </cfRule>
    <cfRule type="expression" dxfId="29" priority="4" stopIfTrue="1">
      <formula>LEFT(#REF!,3)="TIR"</formula>
    </cfRule>
  </conditionalFormatting>
  <conditionalFormatting sqref="A10:A17">
    <cfRule type="expression" dxfId="28" priority="1" stopIfTrue="1">
      <formula>#REF!&gt;0</formula>
    </cfRule>
    <cfRule type="expression" dxfId="27" priority="2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D1E8B-B9FB-4CCA-B262-E1DFDD4059BF}">
  <sheetPr codeName="גיליון30"/>
  <dimension ref="A1:Y648"/>
  <sheetViews>
    <sheetView rightToLeft="1" tabSelected="1" workbookViewId="0">
      <selection activeCell="A6" sqref="A6:O19"/>
    </sheetView>
  </sheetViews>
  <sheetFormatPr defaultRowHeight="12.75" x14ac:dyDescent="0.2"/>
  <cols>
    <col min="1" max="1" width="29.285156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166</v>
      </c>
      <c r="B1" s="21" t="s">
        <v>176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167</v>
      </c>
      <c r="B2" s="23" t="s">
        <v>153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168</v>
      </c>
      <c r="B3" s="23" t="s">
        <v>169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170</v>
      </c>
      <c r="B4" s="23" t="s">
        <v>178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46" t="s">
        <v>120</v>
      </c>
      <c r="B5" s="247"/>
      <c r="C5" s="247"/>
      <c r="D5" s="247"/>
      <c r="E5" s="247"/>
      <c r="F5" s="247"/>
      <c r="G5" s="247"/>
      <c r="H5" s="247"/>
      <c r="I5" s="247"/>
      <c r="J5" s="247"/>
      <c r="K5" s="247"/>
      <c r="L5" s="247"/>
      <c r="M5" s="247"/>
      <c r="N5" s="247"/>
      <c r="O5" s="248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99" t="s">
        <v>160</v>
      </c>
      <c r="B6" s="106" t="s">
        <v>101</v>
      </c>
      <c r="C6" s="107" t="s">
        <v>19</v>
      </c>
      <c r="D6" s="107" t="s">
        <v>70</v>
      </c>
      <c r="E6" s="107" t="s">
        <v>5</v>
      </c>
      <c r="F6" s="107" t="s">
        <v>13</v>
      </c>
      <c r="G6" s="107" t="s">
        <v>14</v>
      </c>
      <c r="H6" s="108" t="s">
        <v>6</v>
      </c>
      <c r="I6" s="109" t="s">
        <v>102</v>
      </c>
      <c r="J6" s="109" t="s">
        <v>103</v>
      </c>
      <c r="K6" s="109" t="s">
        <v>67</v>
      </c>
      <c r="L6" s="116" t="s">
        <v>104</v>
      </c>
      <c r="M6" s="107" t="s">
        <v>17</v>
      </c>
      <c r="N6" s="107" t="s">
        <v>75</v>
      </c>
      <c r="O6" s="115" t="s">
        <v>105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106</v>
      </c>
      <c r="E8" s="35" t="s">
        <v>107</v>
      </c>
      <c r="F8" s="35" t="s">
        <v>108</v>
      </c>
      <c r="G8" s="35" t="s">
        <v>109</v>
      </c>
      <c r="H8" s="35" t="s">
        <v>110</v>
      </c>
      <c r="I8" s="35" t="s">
        <v>111</v>
      </c>
      <c r="J8" s="35" t="s">
        <v>112</v>
      </c>
      <c r="K8" s="35" t="s">
        <v>113</v>
      </c>
      <c r="L8" s="35" t="s">
        <v>114</v>
      </c>
      <c r="M8" s="35" t="s">
        <v>115</v>
      </c>
      <c r="N8" s="35" t="s">
        <v>116</v>
      </c>
      <c r="O8" s="36" t="s">
        <v>117</v>
      </c>
    </row>
    <row r="9" spans="1:25" ht="13.5" thickBot="1" x14ac:dyDescent="0.25">
      <c r="A9" s="117" t="s">
        <v>122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118">
        <v>0</v>
      </c>
      <c r="M9" s="93"/>
      <c r="N9" s="96"/>
      <c r="O9" s="78"/>
      <c r="P9" s="28"/>
      <c r="Q9" s="28"/>
      <c r="R9" s="28"/>
      <c r="S9" s="28"/>
      <c r="T9" s="28"/>
      <c r="U9" s="28"/>
    </row>
    <row r="10" spans="1:25" x14ac:dyDescent="0.2">
      <c r="A10" s="111" t="s">
        <v>140</v>
      </c>
      <c r="B10" s="45"/>
      <c r="C10" s="45"/>
      <c r="D10" s="45"/>
      <c r="E10" s="45"/>
      <c r="F10" s="45"/>
      <c r="G10" s="45"/>
      <c r="H10" s="85"/>
      <c r="I10" s="47"/>
      <c r="J10" s="48"/>
      <c r="K10" s="87"/>
      <c r="L10" s="48"/>
      <c r="M10" s="90"/>
      <c r="N10" s="94"/>
      <c r="O10" s="46"/>
      <c r="P10" s="28"/>
      <c r="Q10" s="28"/>
      <c r="R10" s="28"/>
      <c r="S10" s="28"/>
      <c r="T10" s="28"/>
      <c r="U10" s="28"/>
    </row>
    <row r="11" spans="1:25" x14ac:dyDescent="0.2">
      <c r="A11" s="112" t="s">
        <v>141</v>
      </c>
      <c r="B11" s="37"/>
      <c r="C11" s="37"/>
      <c r="D11" s="37"/>
      <c r="E11" s="37"/>
      <c r="F11" s="37"/>
      <c r="G11" s="37"/>
      <c r="H11" s="80"/>
      <c r="I11" s="39"/>
      <c r="J11" s="31"/>
      <c r="K11" s="87"/>
      <c r="L11" s="31"/>
      <c r="M11" s="63"/>
      <c r="N11" s="95"/>
      <c r="O11" s="38"/>
      <c r="P11" s="28"/>
      <c r="Q11" s="28"/>
      <c r="R11" s="28"/>
      <c r="S11" s="28"/>
      <c r="T11" s="28"/>
      <c r="U11" s="28"/>
    </row>
    <row r="12" spans="1:25" x14ac:dyDescent="0.2">
      <c r="A12" s="112" t="s">
        <v>142</v>
      </c>
      <c r="B12" s="37"/>
      <c r="C12" s="37"/>
      <c r="D12" s="37"/>
      <c r="E12" s="37"/>
      <c r="F12" s="37"/>
      <c r="G12" s="37"/>
      <c r="H12" s="80"/>
      <c r="I12" s="39"/>
      <c r="J12" s="31"/>
      <c r="K12" s="87"/>
      <c r="L12" s="31"/>
      <c r="M12" s="63"/>
      <c r="N12" s="95"/>
      <c r="O12" s="38"/>
      <c r="P12" s="28"/>
      <c r="Q12" s="28"/>
      <c r="R12" s="28"/>
      <c r="S12" s="28"/>
      <c r="T12" s="28"/>
      <c r="U12" s="28"/>
    </row>
    <row r="13" spans="1:25" x14ac:dyDescent="0.2">
      <c r="A13" s="112" t="s">
        <v>143</v>
      </c>
      <c r="B13" s="37"/>
      <c r="C13" s="37"/>
      <c r="D13" s="37"/>
      <c r="E13" s="37"/>
      <c r="F13" s="37"/>
      <c r="G13" s="37"/>
      <c r="H13" s="80"/>
      <c r="I13" s="39"/>
      <c r="J13" s="31"/>
      <c r="K13" s="87"/>
      <c r="L13" s="31"/>
      <c r="M13" s="63"/>
      <c r="N13" s="95"/>
      <c r="O13" s="38"/>
      <c r="P13" s="28"/>
      <c r="Q13" s="28"/>
      <c r="R13" s="28"/>
      <c r="S13" s="28"/>
      <c r="T13" s="28"/>
      <c r="U13" s="28"/>
    </row>
    <row r="14" spans="1:25" x14ac:dyDescent="0.2">
      <c r="A14" s="112" t="s">
        <v>144</v>
      </c>
      <c r="B14" s="37"/>
      <c r="C14" s="37"/>
      <c r="D14" s="37"/>
      <c r="E14" s="37"/>
      <c r="F14" s="37"/>
      <c r="G14" s="37"/>
      <c r="H14" s="80"/>
      <c r="I14" s="39"/>
      <c r="J14" s="31"/>
      <c r="K14" s="87"/>
      <c r="L14" s="31"/>
      <c r="M14" s="63"/>
      <c r="N14" s="95"/>
      <c r="O14" s="38"/>
      <c r="P14" s="28"/>
      <c r="Q14" s="28"/>
      <c r="R14" s="28"/>
      <c r="S14" s="28"/>
      <c r="T14" s="28"/>
      <c r="U14" s="28"/>
    </row>
    <row r="15" spans="1:25" x14ac:dyDescent="0.2">
      <c r="A15" s="112" t="s">
        <v>145</v>
      </c>
      <c r="B15" s="37"/>
      <c r="C15" s="37"/>
      <c r="D15" s="37"/>
      <c r="E15" s="37"/>
      <c r="F15" s="37"/>
      <c r="G15" s="37"/>
      <c r="H15" s="80"/>
      <c r="I15" s="39"/>
      <c r="J15" s="31"/>
      <c r="K15" s="87"/>
      <c r="L15" s="31"/>
      <c r="M15" s="63"/>
      <c r="N15" s="95"/>
      <c r="O15" s="38"/>
      <c r="P15" s="28"/>
      <c r="Q15" s="28"/>
      <c r="R15" s="28"/>
      <c r="S15" s="28"/>
      <c r="T15" s="28"/>
      <c r="U15" s="28"/>
    </row>
    <row r="16" spans="1:25" x14ac:dyDescent="0.2">
      <c r="A16" s="112" t="s">
        <v>146</v>
      </c>
      <c r="B16" s="37"/>
      <c r="C16" s="37"/>
      <c r="D16" s="37"/>
      <c r="E16" s="37"/>
      <c r="F16" s="37"/>
      <c r="G16" s="37"/>
      <c r="H16" s="80"/>
      <c r="I16" s="39"/>
      <c r="J16" s="31"/>
      <c r="K16" s="87"/>
      <c r="L16" s="31"/>
      <c r="M16" s="63"/>
      <c r="N16" s="95"/>
      <c r="O16" s="38"/>
      <c r="P16" s="28"/>
      <c r="Q16" s="28"/>
      <c r="R16" s="28"/>
      <c r="S16" s="28"/>
      <c r="T16" s="28"/>
      <c r="U16" s="28"/>
    </row>
    <row r="17" spans="1:21" x14ac:dyDescent="0.2">
      <c r="A17" s="112" t="s">
        <v>147</v>
      </c>
      <c r="B17" s="37"/>
      <c r="C17" s="37"/>
      <c r="D17" s="37"/>
      <c r="E17" s="37"/>
      <c r="F17" s="37"/>
      <c r="G17" s="37"/>
      <c r="H17" s="80"/>
      <c r="I17" s="39"/>
      <c r="J17" s="31"/>
      <c r="K17" s="87"/>
      <c r="L17" s="31"/>
      <c r="M17" s="63"/>
      <c r="N17" s="95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80"/>
      <c r="I18" s="39"/>
      <c r="J18" s="31"/>
      <c r="K18" s="87"/>
      <c r="L18" s="31"/>
      <c r="M18" s="63"/>
      <c r="N18" s="94"/>
      <c r="O18" s="38"/>
      <c r="P18" s="28"/>
      <c r="Q18" s="28"/>
      <c r="R18" s="28"/>
      <c r="S18" s="28"/>
      <c r="T18" s="28"/>
      <c r="U18" s="28"/>
    </row>
    <row r="19" spans="1:21" x14ac:dyDescent="0.2">
      <c r="A19" s="229"/>
      <c r="B19" s="256"/>
      <c r="C19" s="256"/>
      <c r="D19" s="256"/>
      <c r="E19" s="256"/>
      <c r="F19" s="256"/>
      <c r="G19" s="256"/>
      <c r="H19" s="225"/>
      <c r="I19" s="257"/>
      <c r="J19" s="258"/>
      <c r="K19" s="259"/>
      <c r="L19" s="258"/>
      <c r="M19" s="260"/>
      <c r="N19" s="261"/>
      <c r="O19" s="223"/>
      <c r="P19" s="28"/>
      <c r="Q19" s="28"/>
      <c r="R19" s="28"/>
      <c r="S19" s="28"/>
      <c r="T19" s="28"/>
      <c r="U19" s="28"/>
    </row>
    <row r="20" spans="1:21" x14ac:dyDescent="0.2">
      <c r="A20" s="130" t="s">
        <v>148</v>
      </c>
      <c r="O20" s="51"/>
      <c r="Q20" s="32"/>
      <c r="R20" s="32"/>
      <c r="S20" s="32"/>
    </row>
    <row r="21" spans="1:21" x14ac:dyDescent="0.2">
      <c r="A21" s="130" t="s">
        <v>149</v>
      </c>
      <c r="O21" s="51"/>
      <c r="Q21" s="32"/>
      <c r="R21" s="32"/>
      <c r="S21" s="32"/>
    </row>
    <row r="22" spans="1:21" x14ac:dyDescent="0.2">
      <c r="A22" s="130" t="s">
        <v>150</v>
      </c>
      <c r="O22" s="51"/>
      <c r="Q22" s="32"/>
      <c r="R22" s="32"/>
      <c r="S22" s="32"/>
    </row>
    <row r="23" spans="1:21" x14ac:dyDescent="0.2">
      <c r="A23" s="130" t="s">
        <v>151</v>
      </c>
      <c r="O23" s="51"/>
      <c r="Q23" s="32"/>
      <c r="R23" s="32"/>
      <c r="S23" s="32"/>
    </row>
    <row r="24" spans="1:21" x14ac:dyDescent="0.2">
      <c r="A24" s="130" t="s">
        <v>152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</sheetData>
  <mergeCells count="1">
    <mergeCell ref="A5:O5"/>
  </mergeCells>
  <conditionalFormatting sqref="P1:P4 P5:Y5 J10:L19 P20:P65402">
    <cfRule type="expression" dxfId="26" priority="13" stopIfTrue="1">
      <formula>LEFT(#REF!,3)="TIR"</formula>
    </cfRule>
  </conditionalFormatting>
  <conditionalFormatting sqref="Q5:Y5">
    <cfRule type="expression" dxfId="25" priority="11" stopIfTrue="1">
      <formula>LEFT(#REF!,3)="TIR"</formula>
    </cfRule>
  </conditionalFormatting>
  <conditionalFormatting sqref="B10:I19 O10:O19">
    <cfRule type="expression" dxfId="24" priority="9" stopIfTrue="1">
      <formula>LEFT(#REF!,3)="TIR"</formula>
    </cfRule>
  </conditionalFormatting>
  <conditionalFormatting sqref="K10:K19 M10:N19 A19">
    <cfRule type="expression" dxfId="23" priority="7" stopIfTrue="1">
      <formula>#REF!&gt;0</formula>
    </cfRule>
    <cfRule type="expression" dxfId="22" priority="8" stopIfTrue="1">
      <formula>LEFT(#REF!,3)="TIR"</formula>
    </cfRule>
  </conditionalFormatting>
  <conditionalFormatting sqref="A18">
    <cfRule type="expression" dxfId="21" priority="3" stopIfTrue="1">
      <formula>#REF!&gt;0</formula>
    </cfRule>
    <cfRule type="expression" dxfId="20" priority="4" stopIfTrue="1">
      <formula>LEFT(#REF!,3)="TIR"</formula>
    </cfRule>
  </conditionalFormatting>
  <conditionalFormatting sqref="A10:A17">
    <cfRule type="expression" dxfId="19" priority="1" stopIfTrue="1">
      <formula>#REF!&gt;0</formula>
    </cfRule>
    <cfRule type="expression" dxfId="18" priority="2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27</vt:i4>
      </vt:variant>
    </vt:vector>
  </HeadingPairs>
  <TitlesOfParts>
    <vt:vector size="57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2023-05-24T12:25:46Z</dcterms:created>
  <dcterms:modified xsi:type="dcterms:W3CDTF">2023-05-24T12:25:46Z</dcterms:modified>
  <cp:category/>
</cp:coreProperties>
</file>