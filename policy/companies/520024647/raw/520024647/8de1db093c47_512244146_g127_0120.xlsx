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מניות\דוח נכסים\רבעון 1\"/>
    </mc:Choice>
  </mc:AlternateContent>
  <xr:revisionPtr revIDLastSave="0" documentId="8_{CA89EA12-8435-4E1E-89EF-866B30F29583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קונצרני'!$A$5:$T$20</definedName>
    <definedName name="_xlnm.Print_Area" localSheetId="9">אופציות!$A$5:$K$74</definedName>
    <definedName name="_xlnm.Print_Area" localSheetId="21">הלוואות!$A$5:$Q$67</definedName>
    <definedName name="_xlnm.Print_Area" localSheetId="25">'השקעות אחרות'!$A$5:$J$15</definedName>
    <definedName name="_xlnm.Print_Area" localSheetId="23">'זכויות מקרקעין'!$A$5:$H$15</definedName>
    <definedName name="_xlnm.Print_Area" localSheetId="10">'חוזים עתידיים'!$A$5:$G$47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קונצרני'!$A$5:$R$26</definedName>
    <definedName name="_xlnm.Print_Area" localSheetId="18">'לא סחיר - אופציות'!$A$5:$K$36</definedName>
    <definedName name="_xlnm.Print_Area" localSheetId="19">'לא סחיר - חוזים עתידיים'!$A$5:$J$98</definedName>
    <definedName name="_xlnm.Print_Area" localSheetId="17">'לא סחיר - כתבי אופציה'!$A$5:$K$13</definedName>
    <definedName name="_xlnm.Print_Area" localSheetId="20">'לא סחיר - מוצרים מובנים'!$A$5:$P$26</definedName>
    <definedName name="_xlnm.Print_Area" localSheetId="15">'לא סחיר - מניות'!$A$5:$L$16</definedName>
    <definedName name="_xlnm.Print_Area" localSheetId="16">'לא סחיר - קרנות השקעה'!$A$5:$J$26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מזומנים!$A$5:$K$115</definedName>
    <definedName name="_xlnm.Print_Area" localSheetId="5">מניות!$A$5:$N$281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נאמנות'!$A$5:$N$34</definedName>
    <definedName name="_xlnm.Print_Area" localSheetId="6">'קרנות סל'!$A$5:$M$86</definedName>
    <definedName name="_xlnm.Print_Area" localSheetId="2">'תעודות התחייבות ממשלתיות'!$A$5:$Q$20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<sst xmlns="http://schemas.openxmlformats.org/spreadsheetml/2006/main" count="8613" uniqueCount="1955">
  <si>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</si>
  <si>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</si>
  <si>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</si>
  <si>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</si>
  <si>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</si>
  <si>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</si>
  <si>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</si>
  <si>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</si>
  <si>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</si>
  <si>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</si>
  <si>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</si>
  <si>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</si>
  <si>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</si>
  <si>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</si>
  <si>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</si>
  <si>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</si>
  <si>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</si>
  <si>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</si>
  <si>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</si>
  <si>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</si>
  <si>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</si>
  <si>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</si>
  <si>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</si>
  <si>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</si>
  <si>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</si>
  <si>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</si>
  <si>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</si>
  <si>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</si>
  <si>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</si>
  <si>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</si>
  <si>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</si>
  <si>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</si>
  <si>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</si>
  <si>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</si>
  <si>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</si>
  <si>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</si>
  <si>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</si>
  <si>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</si>
  <si>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</si>
  <si>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</si>
  <si>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</si>
  <si>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</si>
  <si>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</si>
  <si>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</si>
  <si>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</si>
  <si>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</si>
  <si>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</si>
  <si>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</si>
  <si>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</si>
  <si>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</si>
  <si>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</si>
  <si>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</si>
  <si>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</si>
  <si>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</si>
  <si>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</si>
  <si>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</si>
  <si>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</si>
  <si>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</si>
  <si>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</si>
  <si>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</si>
  <si>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</si>
  <si>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</si>
  <si>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</si>
  <si>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</si>
  <si>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</si>
  <si>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</si>
  <si>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</si>
  <si>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</si>
  <si>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</si>
  <si>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</si>
  <si>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</si>
  <si>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</si>
  <si>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</si>
  <si>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</si>
  <si>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</si>
  <si>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</si>
  <si>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</si>
  <si>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</si>
  <si>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</si>
  <si>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</si>
  <si>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</si>
  <si>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</si>
  <si>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</si>
  <si>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</si>
  <si>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</si>
  <si>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</si>
  <si>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</si>
  <si>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</si>
  <si>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</si>
  <si>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</si>
  <si>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</si>
  <si>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</si>
  <si>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</si>
  <si>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</si>
  <si>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</si>
  <si>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</si>
  <si>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</si>
  <si>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</si>
  <si>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</si>
  <si>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</si>
  <si>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</si>
  <si>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</si>
  <si>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</si>
  <si>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</si>
  <si>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</si>
  <si>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</si>
  <si>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</si>
  <si>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</si>
  <si>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</si>
  <si>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</si>
  <si>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</si>
  <si>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</si>
  <si>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</si>
  <si>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</si>
  <si>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</si>
  <si>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</si>
  <si>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</si>
  <si>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</si>
  <si>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</si>
  <si>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</si>
  <si>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</si>
  <si>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</si>
  <si>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</si>
  <si>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</si>
  <si>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</si>
  <si>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</si>
  <si>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</si>
  <si>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</si>
  <si>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</si>
  <si>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</si>
  <si>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</si>
  <si>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</si>
  <si>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</si>
  <si>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</si>
  <si>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</si>
  <si>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</si>
  <si>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</si>
  <si>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</si>
  <si>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</si>
  <si>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</si>
  <si>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</si>
  <si>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</si>
  <si>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</si>
  <si>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</si>
  <si>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</si>
  <si>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</si>
  <si>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</si>
  <si>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</si>
  <si>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</si>
  <si>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</si>
  <si>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</si>
  <si>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</si>
  <si>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</si>
  <si>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</si>
  <si>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</si>
  <si>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</si>
  <si>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</si>
  <si>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</si>
  <si>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</si>
  <si>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</si>
  <si>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</si>
  <si>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</si>
  <si>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</si>
  <si>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</si>
  <si>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</si>
  <si>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</si>
  <si>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</si>
  <si>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</si>
  <si>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</si>
  <si>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</si>
  <si>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</si>
  <si>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</si>
  <si>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</si>
  <si>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</si>
  <si>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</si>
  <si>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</si>
  <si>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</si>
  <si>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</si>
  <si>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</si>
  <si>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</si>
  <si>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</si>
  <si>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</si>
  <si>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</si>
  <si>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</si>
  <si>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</si>
  <si>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</si>
  <si>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</si>
  <si>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</si>
  <si>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</si>
  <si>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</si>
  <si>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</si>
  <si>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</si>
  <si>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</si>
  <si>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</si>
  <si>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</si>
  <si>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</si>
  <si>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</si>
  <si>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</si>
  <si>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</si>
  <si>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</si>
  <si>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</si>
  <si>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</si>
  <si>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</si>
  <si>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</si>
  <si>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</si>
  <si>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</si>
  <si>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</si>
  <si>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</si>
  <si>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</si>
  <si>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</si>
  <si>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</si>
  <si>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</si>
  <si>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</si>
  <si>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</si>
  <si>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</si>
  <si>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</si>
  <si>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</si>
  <si>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</si>
  <si>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</si>
  <si>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</si>
  <si>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</si>
  <si>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</si>
  <si>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</si>
  <si>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</si>
  <si>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</si>
  <si>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</si>
  <si>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</si>
  <si>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</si>
  <si>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</si>
  <si>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תמר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</si>
  <si>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</si>
  <si>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</si>
  <si>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</si>
  <si>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</si>
  <si>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</si>
  <si>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</si>
  <si>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</si>
  <si>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127</t>
  </si>
  <si>
    <t>31</t>
  </si>
  <si>
    <t xml:space="preserve">סה"כ בישראל: </t>
  </si>
  <si>
    <t/>
  </si>
  <si>
    <t xml:space="preserve">יתרות מזומנים ועו"ש בש"ח </t>
  </si>
  <si>
    <t>בנק דיסקונט לישראל בע"מ</t>
  </si>
  <si>
    <t>30005540</t>
  </si>
  <si>
    <t>11</t>
  </si>
  <si>
    <t>ilAAA</t>
  </si>
  <si>
    <t>S&amp;P מעלות</t>
  </si>
  <si>
    <t>שקל חדש</t>
  </si>
  <si>
    <t>30008340</t>
  </si>
  <si>
    <t>12</t>
  </si>
  <si>
    <t>30010020</t>
  </si>
  <si>
    <t>ilAA+</t>
  </si>
  <si>
    <t>30019940</t>
  </si>
  <si>
    <t>20</t>
  </si>
  <si>
    <t>30024160</t>
  </si>
  <si>
    <t>10</t>
  </si>
  <si>
    <t>30091650</t>
  </si>
  <si>
    <t>30099230</t>
  </si>
  <si>
    <t>30022260</t>
  </si>
  <si>
    <t>30029290</t>
  </si>
  <si>
    <t>30019370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</si>
  <si>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</si>
  <si>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</si>
  <si>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</si>
  <si>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</si>
  <si>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</si>
  <si>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</si>
  <si>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</si>
  <si>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</si>
  <si>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</si>
  <si>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30030370</t>
  </si>
  <si>
    <t>30030380</t>
  </si>
  <si>
    <t>17</t>
  </si>
  <si>
    <t xml:space="preserve">יתרות מזומנים ועו"ש נקובים במט"ח </t>
  </si>
  <si>
    <t>30005560</t>
  </si>
  <si>
    <t>30008360</t>
  </si>
  <si>
    <t>30009420</t>
  </si>
  <si>
    <t>30010100</t>
  </si>
  <si>
    <t>30024180</t>
  </si>
  <si>
    <t>51722814</t>
  </si>
  <si>
    <t>30091690</t>
  </si>
  <si>
    <t>30020380</t>
  </si>
  <si>
    <t>30099270</t>
  </si>
  <si>
    <t>30029330</t>
  </si>
  <si>
    <t>30023530</t>
  </si>
  <si>
    <t>26449371</t>
  </si>
  <si>
    <t>30091710</t>
  </si>
  <si>
    <t>30020400</t>
  </si>
  <si>
    <t>30099330</t>
  </si>
  <si>
    <t>יין יפני</t>
  </si>
  <si>
    <t>23295742</t>
  </si>
  <si>
    <t>23401409</t>
  </si>
  <si>
    <t>30000250</t>
  </si>
  <si>
    <t>30026530</t>
  </si>
  <si>
    <t>30026810</t>
  </si>
  <si>
    <t>51722880</t>
  </si>
  <si>
    <t>30020360</t>
  </si>
  <si>
    <t>30091670</t>
  </si>
  <si>
    <t>30099250</t>
  </si>
  <si>
    <t>30029310</t>
  </si>
  <si>
    <t>29295735</t>
  </si>
  <si>
    <t>30019390</t>
  </si>
  <si>
    <t>30023510</t>
  </si>
  <si>
    <t>30030300</t>
  </si>
  <si>
    <t>30022360</t>
  </si>
  <si>
    <t>29517283</t>
  </si>
  <si>
    <t xml:space="preserve">פח"ק/פר"י </t>
  </si>
  <si>
    <t>30170410</t>
  </si>
  <si>
    <t>30170411</t>
  </si>
  <si>
    <t>30170412</t>
  </si>
  <si>
    <t>30170413</t>
  </si>
  <si>
    <t>13</t>
  </si>
  <si>
    <t>Aa3.il</t>
  </si>
  <si>
    <t>מידרוג</t>
  </si>
  <si>
    <t>30170417</t>
  </si>
  <si>
    <t>30170420</t>
  </si>
  <si>
    <t>30170423</t>
  </si>
  <si>
    <t>23</t>
  </si>
  <si>
    <t>A1</t>
  </si>
  <si>
    <t>Moodys</t>
  </si>
  <si>
    <t>30170431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</si>
  <si>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</si>
  <si>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</si>
  <si>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</si>
  <si>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</si>
  <si>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</si>
  <si>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</si>
  <si>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</si>
  <si>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</si>
  <si>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</si>
  <si>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</si>
  <si>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</si>
  <si>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</si>
  <si>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>30091790</t>
  </si>
  <si>
    <t>30002640</t>
  </si>
  <si>
    <t>30022320</t>
  </si>
  <si>
    <t>30029410</t>
  </si>
  <si>
    <t>30022080</t>
  </si>
  <si>
    <t>30024280</t>
  </si>
  <si>
    <t>30023610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</si>
  <si>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</si>
  <si>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</si>
  <si>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</si>
  <si>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</si>
  <si>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</si>
  <si>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</si>
  <si>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30010340</t>
  </si>
  <si>
    <t>88</t>
  </si>
  <si>
    <t>30096450</t>
  </si>
  <si>
    <t>30096470</t>
  </si>
  <si>
    <t>24857051</t>
  </si>
  <si>
    <t>327023211</t>
  </si>
  <si>
    <t>98</t>
  </si>
  <si>
    <t>AA</t>
  </si>
  <si>
    <t>S&amp;P</t>
  </si>
  <si>
    <t>30096490</t>
  </si>
  <si>
    <t>23857051</t>
  </si>
  <si>
    <t>70232855</t>
  </si>
  <si>
    <t>30033010</t>
  </si>
  <si>
    <t>30034350</t>
  </si>
  <si>
    <t>3100012</t>
  </si>
  <si>
    <t>30096430</t>
  </si>
  <si>
    <t>30180993</t>
  </si>
  <si>
    <t>29857051</t>
  </si>
  <si>
    <t>30040310</t>
  </si>
  <si>
    <t>30064710</t>
  </si>
  <si>
    <t>30099730</t>
  </si>
  <si>
    <t>30099750</t>
  </si>
  <si>
    <t>30099770</t>
  </si>
  <si>
    <t>30099810</t>
  </si>
  <si>
    <t>30007750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</si>
  <si>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</si>
  <si>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</si>
  <si>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</si>
  <si>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</si>
  <si>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</si>
  <si>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</si>
  <si>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</si>
  <si>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</si>
  <si>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</si>
  <si>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</si>
  <si>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פטרוכימיים אגח 1</t>
  </si>
  <si>
    <t>7560154</t>
  </si>
  <si>
    <t>TASE</t>
  </si>
  <si>
    <t>520029315</t>
  </si>
  <si>
    <t>לא מדורג</t>
  </si>
  <si>
    <t>29/06/2015</t>
  </si>
  <si>
    <t>סה"כ צמודות למדד אחר</t>
  </si>
  <si>
    <t>ATRSAV 4 04/20/20</t>
  </si>
  <si>
    <t>XS0918754895</t>
  </si>
  <si>
    <t>Bloomberg</t>
  </si>
  <si>
    <t>BBB-</t>
  </si>
  <si>
    <t>10/10/2013</t>
  </si>
  <si>
    <t>סה"כ תל אביב 35</t>
  </si>
  <si>
    <t>בזק- חברה ישראלית לתקשורת בע"מ</t>
  </si>
  <si>
    <t>230011</t>
  </si>
  <si>
    <t>520031931</t>
  </si>
  <si>
    <t>נייס סיסטמס -דואלי</t>
  </si>
  <si>
    <t>273011</t>
  </si>
  <si>
    <t>520036872</t>
  </si>
  <si>
    <t>כיל</t>
  </si>
  <si>
    <t>281014</t>
  </si>
  <si>
    <t>520027830</t>
  </si>
  <si>
    <t>חברה לישראל</t>
  </si>
  <si>
    <t>576017</t>
  </si>
  <si>
    <t>520028010</t>
  </si>
  <si>
    <t>השקעה ואחזקות</t>
  </si>
  <si>
    <t>טבע דואלי</t>
  </si>
  <si>
    <t>629014</t>
  </si>
  <si>
    <t>520013954</t>
  </si>
  <si>
    <t>פארמה</t>
  </si>
  <si>
    <t>691212</t>
  </si>
  <si>
    <t>520007030</t>
  </si>
  <si>
    <t>שטראוס עלית (עלית  1 )</t>
  </si>
  <si>
    <t>746016</t>
  </si>
  <si>
    <t>520003781</t>
  </si>
  <si>
    <t>אלביט מערכות דואלי</t>
  </si>
  <si>
    <t>1081124</t>
  </si>
  <si>
    <t>520043027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</si>
  <si>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</si>
  <si>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</si>
  <si>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</si>
  <si>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</si>
  <si>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</si>
  <si>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</si>
  <si>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</si>
  <si>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</si>
  <si>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</si>
  <si>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קבוצת דלק</t>
  </si>
  <si>
    <t>1084128</t>
  </si>
  <si>
    <t>520044322</t>
  </si>
  <si>
    <t>דלק קדוחים יהש</t>
  </si>
  <si>
    <t>475020</t>
  </si>
  <si>
    <t>550013098</t>
  </si>
  <si>
    <t>עזריאלי קבוצה</t>
  </si>
  <si>
    <t>1119478</t>
  </si>
  <si>
    <t>510960719</t>
  </si>
  <si>
    <t>נדל"ן מניב בישראל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</si>
  <si>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</si>
  <si>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</si>
  <si>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</si>
  <si>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</si>
  <si>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</si>
  <si>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</si>
  <si>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</si>
  <si>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</si>
  <si>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520037789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</si>
  <si>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</si>
  <si>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</si>
  <si>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</si>
  <si>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</si>
  <si>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</si>
  <si>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</si>
  <si>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</si>
  <si>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</si>
  <si>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</si>
  <si>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</si>
  <si>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</si>
  <si>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511659401</t>
  </si>
  <si>
    <t>בתי זיקוק בזן</t>
  </si>
  <si>
    <t>2590248</t>
  </si>
  <si>
    <t>520036658</t>
  </si>
  <si>
    <t>אנרגיה</t>
  </si>
  <si>
    <t>אלוני חץ</t>
  </si>
  <si>
    <t>390013</t>
  </si>
  <si>
    <t>520038506</t>
  </si>
  <si>
    <t>אמות</t>
  </si>
  <si>
    <t>1097278</t>
  </si>
  <si>
    <t>520026683</t>
  </si>
  <si>
    <t>שופרסל *</t>
  </si>
  <si>
    <t>777037</t>
  </si>
  <si>
    <t>520022732</t>
  </si>
  <si>
    <t>הפניקס 1 *</t>
  </si>
  <si>
    <t>767012</t>
  </si>
  <si>
    <t>520017450</t>
  </si>
  <si>
    <t>שפיר הנדסה</t>
  </si>
  <si>
    <t>1133875</t>
  </si>
  <si>
    <t>514892801</t>
  </si>
  <si>
    <t>איי. אפ. אפ דואלי</t>
  </si>
  <si>
    <t>1155019</t>
  </si>
  <si>
    <t>29389</t>
  </si>
  <si>
    <t>אנרג'יאן</t>
  </si>
  <si>
    <t>1155290</t>
  </si>
  <si>
    <t>פתאל החזקות</t>
  </si>
  <si>
    <t>1143429</t>
  </si>
  <si>
    <t>512607888</t>
  </si>
  <si>
    <t>שיכון ובינוי</t>
  </si>
  <si>
    <t>1081942</t>
  </si>
  <si>
    <t>520036104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</si>
  <si>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</si>
  <si>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</si>
  <si>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</si>
  <si>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</si>
  <si>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</si>
  <si>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</si>
  <si>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520024126</t>
  </si>
  <si>
    <t>אלקטרה</t>
  </si>
  <si>
    <t>739037</t>
  </si>
  <si>
    <t>520028911</t>
  </si>
  <si>
    <t>אלקטרה חסום</t>
  </si>
  <si>
    <t>7390370</t>
  </si>
  <si>
    <t>סה"כ תל אביב 90</t>
  </si>
  <si>
    <t>פלסאון תעשיות</t>
  </si>
  <si>
    <t>1081603</t>
  </si>
  <si>
    <t>520042912</t>
  </si>
  <si>
    <t>גב ים *</t>
  </si>
  <si>
    <t>759019</t>
  </si>
  <si>
    <t>520001736</t>
  </si>
  <si>
    <t>פיבי</t>
  </si>
  <si>
    <t>763011</t>
  </si>
  <si>
    <t>520029026</t>
  </si>
  <si>
    <t>מנורה 1</t>
  </si>
  <si>
    <t>566018</t>
  </si>
  <si>
    <t>520007469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</si>
  <si>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</si>
  <si>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</si>
  <si>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</si>
  <si>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</si>
  <si>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</si>
  <si>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</si>
  <si>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</si>
  <si>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</si>
  <si>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</si>
  <si>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510560188</t>
  </si>
  <si>
    <t>נדל"ן מניב בחו"ל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</si>
  <si>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</si>
  <si>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</si>
  <si>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</si>
  <si>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</si>
  <si>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</si>
  <si>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</si>
  <si>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</si>
  <si>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</si>
  <si>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513765859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</si>
  <si>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</si>
  <si>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</si>
  <si>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</si>
  <si>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</si>
  <si>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</si>
  <si>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</si>
  <si>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</si>
  <si>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</si>
  <si>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520025438</t>
  </si>
  <si>
    <t>פורמולה מערכות דואלי</t>
  </si>
  <si>
    <t>256016</t>
  </si>
  <si>
    <t>520036690</t>
  </si>
  <si>
    <t>ריט 1</t>
  </si>
  <si>
    <t>1098920</t>
  </si>
  <si>
    <t>513821488</t>
  </si>
  <si>
    <t>נובה דואלי</t>
  </si>
  <si>
    <t>1084557</t>
  </si>
  <si>
    <t>511812463</t>
  </si>
  <si>
    <t>דלתא גליל</t>
  </si>
  <si>
    <t>627034</t>
  </si>
  <si>
    <t>520025602</t>
  </si>
  <si>
    <t>בראק אן וי</t>
  </si>
  <si>
    <t>1121607</t>
  </si>
  <si>
    <t>34250659</t>
  </si>
  <si>
    <t>קרור  1</t>
  </si>
  <si>
    <t>621011</t>
  </si>
  <si>
    <t>520001546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</si>
  <si>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</si>
  <si>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</si>
  <si>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</si>
  <si>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</si>
  <si>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</si>
  <si>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</si>
  <si>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</si>
  <si>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</si>
  <si>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</si>
  <si>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</si>
  <si>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</si>
  <si>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</si>
  <si>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</si>
  <si>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</si>
  <si>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</si>
  <si>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</si>
  <si>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</si>
  <si>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</si>
  <si>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</si>
  <si>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</si>
  <si>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520036617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</si>
  <si>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</si>
  <si>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</si>
  <si>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</si>
  <si>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</si>
  <si>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</si>
  <si>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</si>
  <si>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</si>
  <si>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</si>
  <si>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520018383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</si>
  <si>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</si>
  <si>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</si>
  <si>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</si>
  <si>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</si>
  <si>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</si>
  <si>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</si>
  <si>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</si>
  <si>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</si>
  <si>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520043878</t>
  </si>
  <si>
    <t>מגה אור</t>
  </si>
  <si>
    <t>1104488</t>
  </si>
  <si>
    <t>513257873</t>
  </si>
  <si>
    <t>מגדלי תיכון</t>
  </si>
  <si>
    <t>1131523</t>
  </si>
  <si>
    <t>512719485</t>
  </si>
  <si>
    <t>סלע קפיטל נדל"ן</t>
  </si>
  <si>
    <t>1109644</t>
  </si>
  <si>
    <t>513992529</t>
  </si>
  <si>
    <t>מג'יק תעשיות תכנה דואלי</t>
  </si>
  <si>
    <t>1082312</t>
  </si>
  <si>
    <t>520036740</t>
  </si>
  <si>
    <t>ישרס</t>
  </si>
  <si>
    <t>613034</t>
  </si>
  <si>
    <t>520017807</t>
  </si>
  <si>
    <t>קרסו</t>
  </si>
  <si>
    <t>1123850</t>
  </si>
  <si>
    <t>514065283</t>
  </si>
  <si>
    <t>או פי סי אנרגיה</t>
  </si>
  <si>
    <t>1141571</t>
  </si>
  <si>
    <t>514401702</t>
  </si>
  <si>
    <t>אדגר</t>
  </si>
  <si>
    <t>1820083</t>
  </si>
  <si>
    <t>520035171</t>
  </si>
  <si>
    <t>אנלייט אנרגיה</t>
  </si>
  <si>
    <t>720011</t>
  </si>
  <si>
    <t>520041146</t>
  </si>
  <si>
    <t>חברת פרטנר תקשורת דואלי</t>
  </si>
  <si>
    <t>1083484</t>
  </si>
  <si>
    <t>520044314</t>
  </si>
  <si>
    <t>סלקום דואלי *</t>
  </si>
  <si>
    <t>1101534</t>
  </si>
  <si>
    <t>511930125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</si>
  <si>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</si>
  <si>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</si>
  <si>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</si>
  <si>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</si>
  <si>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</si>
  <si>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</si>
  <si>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</si>
  <si>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</si>
  <si>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</si>
  <si>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</si>
  <si>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</si>
  <si>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</si>
  <si>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</si>
  <si>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</si>
  <si>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</si>
  <si>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</si>
  <si>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</si>
  <si>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</si>
  <si>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</si>
  <si>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</si>
  <si>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</si>
  <si>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</si>
  <si>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</si>
  <si>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</si>
  <si>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</si>
  <si>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</si>
  <si>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</si>
  <si>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</si>
  <si>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</si>
  <si>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</si>
  <si>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</si>
  <si>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</si>
  <si>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510216054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</si>
  <si>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</si>
  <si>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</si>
  <si>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</si>
  <si>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</si>
  <si>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</si>
  <si>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</si>
  <si>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</si>
  <si>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</si>
  <si>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</si>
  <si>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</si>
  <si>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</si>
  <si>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</si>
  <si>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</si>
  <si>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</si>
  <si>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אזורים</t>
  </si>
  <si>
    <t>715011</t>
  </si>
  <si>
    <t>520025990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</si>
  <si>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</si>
  <si>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</si>
  <si>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</si>
  <si>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</si>
  <si>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</si>
  <si>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</si>
  <si>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</si>
  <si>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</si>
  <si>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</si>
  <si>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</si>
  <si>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</si>
  <si>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</si>
  <si>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</si>
  <si>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</si>
  <si>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</si>
  <si>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</si>
  <si>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</si>
  <si>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</si>
  <si>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</si>
  <si>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</si>
  <si>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</si>
  <si>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</si>
  <si>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</si>
  <si>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</si>
  <si>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</si>
  <si>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שרותים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</si>
  <si>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</si>
  <si>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</si>
  <si>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</si>
  <si>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</si>
  <si>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</si>
  <si>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</si>
  <si>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</si>
  <si>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</si>
  <si>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</si>
  <si>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</si>
  <si>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</si>
  <si>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</si>
  <si>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</si>
  <si>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</si>
  <si>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</si>
  <si>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</si>
  <si>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</si>
  <si>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</si>
  <si>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</si>
  <si>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</si>
  <si>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</si>
  <si>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</si>
  <si>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</si>
  <si>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</si>
  <si>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</si>
  <si>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</si>
  <si>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153010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</si>
  <si>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</si>
  <si>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</si>
  <si>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</si>
  <si>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</si>
  <si>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</si>
  <si>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</si>
  <si>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</si>
  <si>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</si>
  <si>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</si>
  <si>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</si>
  <si>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</si>
  <si>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</si>
  <si>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</si>
  <si>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</si>
  <si>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520034760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</si>
  <si>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</si>
  <si>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</si>
  <si>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</si>
  <si>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</si>
  <si>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</si>
  <si>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</si>
  <si>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</si>
  <si>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</si>
  <si>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515327120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</si>
  <si>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</si>
  <si>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</si>
  <si>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</si>
  <si>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</si>
  <si>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</si>
  <si>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</si>
  <si>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</si>
  <si>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</si>
  <si>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</si>
  <si>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</si>
  <si>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</si>
  <si>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</si>
  <si>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</si>
  <si>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</si>
  <si>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</si>
  <si>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520038894</t>
  </si>
  <si>
    <t>מגוריט</t>
  </si>
  <si>
    <t>1139195</t>
  </si>
  <si>
    <t>515434074</t>
  </si>
  <si>
    <t>מניבים ריט חסום מאוחד</t>
  </si>
  <si>
    <t>11405730</t>
  </si>
  <si>
    <t>ריט אזורים</t>
  </si>
  <si>
    <t>1162775</t>
  </si>
  <si>
    <t>516117181</t>
  </si>
  <si>
    <t>אבגול</t>
  </si>
  <si>
    <t>1100957</t>
  </si>
  <si>
    <t>510119068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</si>
  <si>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</si>
  <si>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</si>
  <si>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</si>
  <si>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</si>
  <si>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</si>
  <si>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</si>
  <si>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</si>
  <si>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</si>
  <si>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</si>
  <si>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אלומיי חסום</t>
  </si>
  <si>
    <t>10826350</t>
  </si>
  <si>
    <t>520039868</t>
  </si>
  <si>
    <t>ספן</t>
  </si>
  <si>
    <t>333013</t>
  </si>
  <si>
    <t>520033713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</si>
  <si>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</si>
  <si>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</si>
  <si>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</si>
  <si>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</si>
  <si>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</si>
  <si>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</si>
  <si>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</si>
  <si>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</si>
  <si>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</si>
  <si>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AMPLQ US Equity</t>
  </si>
  <si>
    <t>US0320157037</t>
  </si>
  <si>
    <t>130435685</t>
  </si>
  <si>
    <t>MLNX US Equity</t>
  </si>
  <si>
    <t>IL0011017329</t>
  </si>
  <si>
    <t>512763285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</si>
  <si>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</si>
  <si>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</si>
  <si>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</si>
  <si>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</si>
  <si>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</si>
  <si>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</si>
  <si>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</si>
  <si>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</si>
  <si>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</si>
  <si>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</si>
  <si>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</si>
  <si>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</si>
  <si>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</si>
  <si>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</si>
  <si>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</si>
  <si>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</si>
  <si>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</si>
  <si>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</si>
  <si>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</si>
  <si>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</si>
  <si>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</si>
  <si>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</si>
  <si>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</si>
  <si>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</si>
  <si>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</si>
  <si>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</si>
  <si>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</si>
  <si>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520033234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</si>
  <si>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</si>
  <si>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</si>
  <si>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</si>
  <si>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</si>
  <si>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</si>
  <si>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</si>
  <si>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</si>
  <si>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</si>
  <si>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</si>
  <si>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</si>
  <si>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</si>
  <si>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</si>
  <si>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</si>
  <si>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</si>
  <si>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</si>
  <si>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</si>
  <si>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</si>
  <si>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</si>
  <si>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</si>
  <si>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</si>
  <si>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</si>
  <si>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</si>
  <si>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</si>
  <si>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</si>
  <si>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</si>
  <si>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</si>
  <si>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</si>
  <si>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</si>
  <si>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</si>
  <si>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</si>
  <si>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</si>
  <si>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</si>
  <si>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</si>
  <si>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</si>
  <si>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</si>
  <si>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</si>
  <si>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</si>
  <si>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</si>
  <si>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</si>
  <si>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</si>
  <si>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</si>
  <si>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</si>
  <si>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</si>
  <si>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</si>
  <si>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FXPO LN Equity</t>
  </si>
  <si>
    <t>GB00B1XH2C03</t>
  </si>
  <si>
    <t>OCDO LN Equity</t>
  </si>
  <si>
    <t>GB00B3MBS747</t>
  </si>
  <si>
    <t>BHP LN Equity</t>
  </si>
  <si>
    <t>GB00BH0P3Z91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</si>
  <si>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</si>
  <si>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</si>
  <si>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</si>
  <si>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</si>
  <si>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</si>
  <si>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</si>
  <si>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</si>
  <si>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</si>
  <si>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</si>
  <si>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</si>
  <si>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</si>
  <si>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</si>
  <si>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</si>
  <si>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</si>
  <si>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</si>
  <si>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</si>
  <si>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</si>
  <si>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</si>
  <si>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</si>
  <si>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</si>
  <si>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</si>
  <si>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</si>
  <si>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</si>
  <si>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</si>
  <si>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</si>
  <si>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</si>
  <si>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</si>
  <si>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</si>
  <si>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</si>
  <si>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</si>
  <si>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</si>
  <si>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</si>
  <si>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</si>
  <si>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CVX US Equity</t>
  </si>
  <si>
    <t>US1667641005</t>
  </si>
  <si>
    <t>C US Equity</t>
  </si>
  <si>
    <t>US1729674242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</si>
  <si>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</si>
  <si>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</si>
  <si>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</si>
  <si>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</si>
  <si>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</si>
  <si>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</si>
  <si>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</si>
  <si>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</si>
  <si>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</si>
  <si>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</si>
  <si>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</si>
  <si>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</si>
  <si>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</si>
  <si>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</si>
  <si>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</si>
  <si>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</si>
  <si>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</si>
  <si>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</si>
  <si>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</si>
  <si>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</si>
  <si>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</si>
  <si>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</si>
  <si>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</si>
  <si>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</si>
  <si>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</si>
  <si>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</si>
  <si>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LKOD LI Equity</t>
  </si>
  <si>
    <t>US69343P1057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</si>
  <si>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</si>
  <si>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</si>
  <si>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</si>
  <si>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</si>
  <si>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</si>
  <si>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</si>
  <si>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</si>
  <si>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</si>
  <si>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</si>
  <si>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</si>
  <si>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</si>
  <si>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</si>
  <si>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</si>
  <si>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</si>
  <si>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</si>
  <si>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</si>
  <si>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</si>
  <si>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</si>
  <si>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</si>
  <si>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</si>
  <si>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</si>
  <si>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</si>
  <si>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</si>
  <si>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</si>
  <si>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</si>
  <si>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</si>
  <si>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</si>
  <si>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</si>
  <si>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</si>
  <si>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</si>
  <si>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</si>
  <si>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</si>
  <si>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</si>
  <si>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</si>
  <si>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</si>
  <si>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</si>
  <si>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</si>
  <si>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</si>
  <si>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</si>
  <si>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</si>
  <si>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</si>
  <si>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</si>
  <si>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</si>
  <si>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</si>
  <si>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</si>
  <si>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</si>
  <si>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AMZN US Equity</t>
  </si>
  <si>
    <t>US0231351067</t>
  </si>
  <si>
    <t>BYND US Equity</t>
  </si>
  <si>
    <t>US08862E1091</t>
  </si>
  <si>
    <t>AMCR US Equity</t>
  </si>
  <si>
    <t>JE00BJ1F3079</t>
  </si>
  <si>
    <t>LYFT US Equity</t>
  </si>
  <si>
    <t>US55087P1049</t>
  </si>
  <si>
    <t>UBER US Equity</t>
  </si>
  <si>
    <t>US90353T1007</t>
  </si>
  <si>
    <t>AYX US Equity</t>
  </si>
  <si>
    <t>US02156B1035</t>
  </si>
  <si>
    <t>AEM US Equity</t>
  </si>
  <si>
    <t>CA0084741085</t>
  </si>
  <si>
    <t>TSN US Equity</t>
  </si>
  <si>
    <t>US9024941034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</si>
  <si>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</si>
  <si>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</si>
  <si>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</si>
  <si>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</si>
  <si>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</si>
  <si>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</si>
  <si>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</si>
  <si>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</si>
  <si>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</si>
  <si>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</si>
  <si>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</si>
  <si>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</si>
  <si>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</si>
  <si>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</si>
  <si>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</si>
  <si>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</si>
  <si>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</si>
  <si>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</si>
  <si>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</si>
  <si>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</si>
  <si>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</si>
  <si>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</si>
  <si>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</si>
  <si>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</si>
  <si>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</si>
  <si>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</si>
  <si>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</si>
  <si>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</si>
  <si>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</si>
  <si>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</si>
  <si>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</si>
  <si>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</si>
  <si>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</si>
  <si>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</si>
  <si>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</si>
  <si>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</si>
  <si>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</si>
  <si>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</si>
  <si>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</si>
  <si>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</si>
  <si>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</si>
  <si>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</si>
  <si>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</si>
  <si>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</si>
  <si>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</si>
  <si>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</si>
  <si>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</si>
  <si>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</si>
  <si>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</si>
  <si>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</si>
  <si>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</si>
  <si>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</si>
  <si>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</si>
  <si>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</si>
  <si>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</si>
  <si>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</si>
  <si>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</si>
  <si>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</si>
  <si>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</si>
  <si>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</si>
  <si>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</si>
  <si>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</si>
  <si>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</si>
  <si>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</si>
  <si>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</si>
  <si>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</si>
  <si>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</si>
  <si>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</si>
  <si>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</si>
  <si>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</si>
  <si>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</si>
  <si>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</si>
  <si>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</si>
  <si>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</si>
  <si>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</si>
  <si>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</si>
  <si>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</si>
  <si>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</si>
  <si>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</si>
  <si>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</si>
  <si>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</si>
  <si>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</si>
  <si>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</si>
  <si>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</si>
  <si>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</si>
  <si>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</si>
  <si>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</si>
  <si>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</si>
  <si>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</si>
  <si>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</si>
  <si>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</si>
  <si>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</si>
  <si>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</si>
  <si>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</si>
  <si>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</si>
  <si>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</si>
  <si>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</si>
  <si>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</si>
  <si>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</si>
  <si>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</si>
  <si>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</si>
  <si>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</si>
  <si>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</si>
  <si>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</si>
  <si>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ETFMIB IM Equity</t>
  </si>
  <si>
    <t>FR0010010827</t>
  </si>
  <si>
    <t>EWI US Equity</t>
  </si>
  <si>
    <t>US46434G8309</t>
  </si>
  <si>
    <t>1306 JP Equity</t>
  </si>
  <si>
    <t>JP3027630007</t>
  </si>
  <si>
    <t>IDJP LN Equity</t>
  </si>
  <si>
    <t>IE00B2QWDY88</t>
  </si>
  <si>
    <t>ISF LN Equity</t>
  </si>
  <si>
    <t>IE0005042456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</si>
  <si>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</si>
  <si>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</si>
  <si>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</si>
  <si>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</si>
  <si>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</si>
  <si>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</si>
  <si>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</si>
  <si>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</si>
  <si>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</si>
  <si>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</si>
  <si>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</si>
  <si>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</si>
  <si>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</si>
  <si>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</si>
  <si>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</si>
  <si>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</si>
  <si>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</si>
  <si>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</si>
  <si>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</si>
  <si>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</si>
  <si>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</si>
  <si>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</si>
  <si>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סה"כ שעוקבות אחר מדדים אחרים</t>
  </si>
  <si>
    <t>GLD US Equity</t>
  </si>
  <si>
    <t>US78463V1070</t>
  </si>
  <si>
    <t>XLE US Equity</t>
  </si>
  <si>
    <t>US81369Y5069</t>
  </si>
  <si>
    <t>IHI US Equity</t>
  </si>
  <si>
    <t>US4642888105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</si>
  <si>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</si>
  <si>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</si>
  <si>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</si>
  <si>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</si>
  <si>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</si>
  <si>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</si>
  <si>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</si>
  <si>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</si>
  <si>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</si>
  <si>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</si>
  <si>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</si>
  <si>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</si>
  <si>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</si>
  <si>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</si>
  <si>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</si>
  <si>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</si>
  <si>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IBUY US Equity</t>
  </si>
  <si>
    <t>US0321081020</t>
  </si>
  <si>
    <t>INDY US Equity</t>
  </si>
  <si>
    <t>US4642895290</t>
  </si>
  <si>
    <t>TAN US Equity</t>
  </si>
  <si>
    <t>US46138G7060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</si>
  <si>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</si>
  <si>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</si>
  <si>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</si>
  <si>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</si>
  <si>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</si>
  <si>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</si>
  <si>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</si>
  <si>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</si>
  <si>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</si>
  <si>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</si>
  <si>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</si>
  <si>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</si>
  <si>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</si>
  <si>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</si>
  <si>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</si>
  <si>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</si>
  <si>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</si>
  <si>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</si>
  <si>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</si>
  <si>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</si>
  <si>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</si>
  <si>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</si>
  <si>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</si>
  <si>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</si>
  <si>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</si>
  <si>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</si>
  <si>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</si>
  <si>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</si>
  <si>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</si>
  <si>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</si>
  <si>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</si>
  <si>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</si>
  <si>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</si>
  <si>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</si>
  <si>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</si>
  <si>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</si>
  <si>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</si>
  <si>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</si>
  <si>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</si>
  <si>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</si>
  <si>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</si>
  <si>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</si>
  <si>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</si>
  <si>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</si>
  <si>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</si>
  <si>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</si>
  <si>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C 1330 APR</t>
  </si>
  <si>
    <t>83047530</t>
  </si>
  <si>
    <t>P 1330 APR</t>
  </si>
  <si>
    <t>83047639</t>
  </si>
  <si>
    <t>hrC 1500 MAY</t>
  </si>
  <si>
    <t>83060251</t>
  </si>
  <si>
    <t>hrP 1500 MAY</t>
  </si>
  <si>
    <t>83060368</t>
  </si>
  <si>
    <t>pxC 1200 MAY</t>
  </si>
  <si>
    <t>83067041</t>
  </si>
  <si>
    <t>pxP 1200 MAY</t>
  </si>
  <si>
    <t>83067207</t>
  </si>
  <si>
    <t>₪/מט"ח</t>
  </si>
  <si>
    <t>סה"כ ריבית</t>
  </si>
  <si>
    <t>TEVA US 04/17/20 P10</t>
  </si>
  <si>
    <t>70847116</t>
  </si>
  <si>
    <t>SX5E 04/17/20 C3775</t>
  </si>
  <si>
    <t>DE000C4JW393</t>
  </si>
  <si>
    <t>NKY 04/10/20 C24000</t>
  </si>
  <si>
    <t>557000289</t>
  </si>
  <si>
    <t>NKY 04/10/20 P20750</t>
  </si>
  <si>
    <t>557000290</t>
  </si>
  <si>
    <t>NKY 05/08/20 C24000</t>
  </si>
  <si>
    <t>557000326</t>
  </si>
  <si>
    <t>NKY 05/08/20 P20750</t>
  </si>
  <si>
    <t>557000327</t>
  </si>
  <si>
    <t>NDX US 04/17/20 P8000</t>
  </si>
  <si>
    <t>70380431</t>
  </si>
  <si>
    <t>SPX US 03/20/20 P3075</t>
  </si>
  <si>
    <t>70476940</t>
  </si>
  <si>
    <t>SPX US 04/17/20 P2600</t>
  </si>
  <si>
    <t>557000331</t>
  </si>
  <si>
    <t>SPX US 04/17/20 P2900</t>
  </si>
  <si>
    <t>557000332</t>
  </si>
  <si>
    <t>SPX US 03/20/20 P2975</t>
  </si>
  <si>
    <t>70347208</t>
  </si>
  <si>
    <t>SPX US 03/20/20 P2550</t>
  </si>
  <si>
    <t>70868559</t>
  </si>
  <si>
    <t>SPX US 03/20/20 P2500 Index</t>
  </si>
  <si>
    <t>70188701</t>
  </si>
  <si>
    <t>SPXW US 04/30/20 P2000</t>
  </si>
  <si>
    <t>70486626</t>
  </si>
  <si>
    <t>SPXW US 04/30/20 C2750</t>
  </si>
  <si>
    <t>70487301</t>
  </si>
  <si>
    <t>סה"כ מטבע</t>
  </si>
  <si>
    <t>סה"כ סחורות</t>
  </si>
  <si>
    <t>CLM0C 65.00 Comdty</t>
  </si>
  <si>
    <t>70107842</t>
  </si>
  <si>
    <t>KCK0P 115.00 Comdty</t>
  </si>
  <si>
    <t>70252051</t>
  </si>
  <si>
    <t>CCN0P 2600 Comdty</t>
  </si>
  <si>
    <t>70553821</t>
  </si>
  <si>
    <t>C K0C 410 Comdty</t>
  </si>
  <si>
    <t>70562061</t>
  </si>
  <si>
    <t>CLN0C 55.00 Comdty</t>
  </si>
  <si>
    <t>70315007</t>
  </si>
  <si>
    <t>CLZ0P 43.00 Comdty</t>
  </si>
  <si>
    <t>70429469</t>
  </si>
  <si>
    <t>HGK0P 236 Comdty</t>
  </si>
  <si>
    <t>70451877</t>
  </si>
  <si>
    <t>HGK0C 265 Comdty</t>
  </si>
  <si>
    <t>70453824</t>
  </si>
  <si>
    <t>CLN0C 53.50 Comdty</t>
  </si>
  <si>
    <t>70574330</t>
  </si>
  <si>
    <t>GCU0P 1500 Comdty</t>
  </si>
  <si>
    <t>70575535</t>
  </si>
  <si>
    <t>CLK0P 53.00 Comdty</t>
  </si>
  <si>
    <t>70847686</t>
  </si>
  <si>
    <t>CLK0P 49.00 Comdty</t>
  </si>
  <si>
    <t>70847710</t>
  </si>
  <si>
    <t>CLM0P 54.00 Comdty</t>
  </si>
  <si>
    <t>70858295</t>
  </si>
  <si>
    <t>KCK0C 115.00 Comdty</t>
  </si>
  <si>
    <t>70862347</t>
  </si>
  <si>
    <t>CLN0P 43.00 Comdty</t>
  </si>
  <si>
    <t>70872361</t>
  </si>
  <si>
    <t>CLZ0C 48.00 Comdty</t>
  </si>
  <si>
    <t>70448824</t>
  </si>
  <si>
    <t>KCK0C 120.00 Comdty</t>
  </si>
  <si>
    <t>70475132</t>
  </si>
  <si>
    <t>CCN0P 2500 Comdty</t>
  </si>
  <si>
    <t>70779814</t>
  </si>
  <si>
    <t>CCN0P 2450 Comdty</t>
  </si>
  <si>
    <t>70153861</t>
  </si>
  <si>
    <t>CCN0P 2400 Comdty</t>
  </si>
  <si>
    <t>70155056</t>
  </si>
  <si>
    <t>CCN0P 2350 Comdty</t>
  </si>
  <si>
    <t>70155916</t>
  </si>
  <si>
    <t>CLM0C 27.50 Comdty</t>
  </si>
  <si>
    <t>70428404</t>
  </si>
  <si>
    <t>CLM0C 32.50 Comdty</t>
  </si>
  <si>
    <t>70428610</t>
  </si>
  <si>
    <t>CLM0C 33.00 Comdty</t>
  </si>
  <si>
    <t>70428990</t>
  </si>
  <si>
    <t>CLM0P 17.00 Comdty</t>
  </si>
  <si>
    <t>70429477</t>
  </si>
  <si>
    <t>W N0C 600 Comdty</t>
  </si>
  <si>
    <t>70208376</t>
  </si>
  <si>
    <t>W N0C 670 Comdty</t>
  </si>
  <si>
    <t>70208715</t>
  </si>
  <si>
    <t>CLK0P 18.00 Comdty</t>
  </si>
  <si>
    <t>70431663</t>
  </si>
  <si>
    <t>S N0C 960 Comdty</t>
  </si>
  <si>
    <t>70937636</t>
  </si>
  <si>
    <t>S N0C 1000 Comdty</t>
  </si>
  <si>
    <t>70144282</t>
  </si>
  <si>
    <t>CLK0C 25.00 Comdty</t>
  </si>
  <si>
    <t>70431564</t>
  </si>
  <si>
    <t>06/2020 JPM TPM0 Index משתנה</t>
  </si>
  <si>
    <t>557000334</t>
  </si>
  <si>
    <t>06/2020 JPM TPM0 Index התחייבות</t>
  </si>
  <si>
    <t>557000335</t>
  </si>
  <si>
    <t>06/2020 JPM VGM0 Index משתנה</t>
  </si>
  <si>
    <t>DE000C2EZL67</t>
  </si>
  <si>
    <t>06/2020 JPM VGM0 Index התחייבות</t>
  </si>
  <si>
    <t>557000337</t>
  </si>
  <si>
    <t>06/2020 JPM ESM0 Index משתנה</t>
  </si>
  <si>
    <t>557000340</t>
  </si>
  <si>
    <t>06/2020 JPM ESM0 Index התחייבות</t>
  </si>
  <si>
    <t>557000341</t>
  </si>
  <si>
    <t>ESM0 Index</t>
  </si>
  <si>
    <t>70156914</t>
  </si>
  <si>
    <t>06/2020 JPM SLBM0 Index משתנה</t>
  </si>
  <si>
    <t>557000342</t>
  </si>
  <si>
    <t>06/2020 JPM SLBM0 Index התחייבות</t>
  </si>
  <si>
    <t>557000343</t>
  </si>
  <si>
    <t>06/2020 JPM XPM0 Index משתנה</t>
  </si>
  <si>
    <t>557000344</t>
  </si>
  <si>
    <t>06/2020 JPM XPM0 Index התחייבות</t>
  </si>
  <si>
    <t>557000345</t>
  </si>
  <si>
    <t>06/2020 JPM STM0 Index משתנה</t>
  </si>
  <si>
    <t>IT0015770644</t>
  </si>
  <si>
    <t>06/2020 JPM STM0 Index התחייבות</t>
  </si>
  <si>
    <t>999999632</t>
  </si>
  <si>
    <t>CLZ0 Comdty</t>
  </si>
  <si>
    <t>70560529</t>
  </si>
  <si>
    <t>W K0 Comdty</t>
  </si>
  <si>
    <t>70243746</t>
  </si>
  <si>
    <t>KWK0 Comdty</t>
  </si>
  <si>
    <t>70244025</t>
  </si>
  <si>
    <t>CLK0 Comdty</t>
  </si>
  <si>
    <t>70120738</t>
  </si>
  <si>
    <t>CLM0 Comdty</t>
  </si>
  <si>
    <t>70107834</t>
  </si>
  <si>
    <t>BOK0 Comdty</t>
  </si>
  <si>
    <t>70288626</t>
  </si>
  <si>
    <t>CLM0C 55.00 Comdty</t>
  </si>
  <si>
    <t>70311550</t>
  </si>
  <si>
    <t>CLN0 Comdty</t>
  </si>
  <si>
    <t>70314919</t>
  </si>
  <si>
    <t>QSM0 Comdty</t>
  </si>
  <si>
    <t>GB00H1K80H14</t>
  </si>
  <si>
    <t>KCK0 Comdty</t>
  </si>
  <si>
    <t>70248992</t>
  </si>
  <si>
    <t>C K0 Comdty</t>
  </si>
  <si>
    <t>70690540</t>
  </si>
  <si>
    <t>DFK0 Comdty</t>
  </si>
  <si>
    <t>GB00H3Q77429</t>
  </si>
  <si>
    <t>SIK0 Comdty</t>
  </si>
  <si>
    <t>70871926</t>
  </si>
  <si>
    <t>S K0 Comdty</t>
  </si>
  <si>
    <t>70871975</t>
  </si>
  <si>
    <t>SMK0 Comdty</t>
  </si>
  <si>
    <t>70872189</t>
  </si>
  <si>
    <t>HGK0 Comdty</t>
  </si>
  <si>
    <t>70450663</t>
  </si>
  <si>
    <t>S X0 Comdty</t>
  </si>
  <si>
    <t>70497441</t>
  </si>
  <si>
    <t>BON0 Comdty</t>
  </si>
  <si>
    <t>70533559</t>
  </si>
  <si>
    <t>CCN0 Comdty</t>
  </si>
  <si>
    <t>70553441</t>
  </si>
  <si>
    <t>06/2020 JPM GCM0 Comdty משתנה</t>
  </si>
  <si>
    <t>557000346</t>
  </si>
  <si>
    <t>06/2020 JPM GCM0 Comdty התחייבות</t>
  </si>
  <si>
    <t>557000347</t>
  </si>
  <si>
    <t>GCM0 Comdty</t>
  </si>
  <si>
    <t>70760210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</si>
  <si>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</si>
  <si>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</si>
  <si>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</si>
  <si>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</si>
  <si>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</si>
  <si>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</si>
  <si>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</si>
  <si>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</si>
  <si>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</si>
  <si>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</si>
  <si>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</si>
  <si>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</si>
  <si>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</si>
  <si>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</si>
  <si>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</si>
  <si>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</si>
  <si>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</si>
  <si>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</si>
  <si>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</si>
  <si>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</si>
  <si>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</si>
  <si>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</si>
  <si>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</si>
  <si>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</si>
  <si>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</si>
  <si>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</si>
  <si>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</si>
  <si>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</si>
  <si>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</si>
  <si>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מרכנתיל כתב התח' נדחה 04/2020</t>
  </si>
  <si>
    <t>999997666</t>
  </si>
  <si>
    <t>520029281</t>
  </si>
  <si>
    <t>Aa2.il</t>
  </si>
  <si>
    <t>07/04/2010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</si>
  <si>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</si>
  <si>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</si>
  <si>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</si>
  <si>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</si>
  <si>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</si>
  <si>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</si>
  <si>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</si>
  <si>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</si>
  <si>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02/01/2007</t>
  </si>
  <si>
    <t>מנורה מבטחים אגח ב רצף מוסדי</t>
  </si>
  <si>
    <t>5660055</t>
  </si>
  <si>
    <t>01/07/2010</t>
  </si>
  <si>
    <t>דור גז בטוחות אגח 1 נשר</t>
  </si>
  <si>
    <t>1093491</t>
  </si>
  <si>
    <t>513689059</t>
  </si>
  <si>
    <t>ilAA</t>
  </si>
  <si>
    <t>25/05/2005</t>
  </si>
  <si>
    <t>עיריית רמלה נשר</t>
  </si>
  <si>
    <t>1094739</t>
  </si>
  <si>
    <t>513736512</t>
  </si>
  <si>
    <t>06/11/2005</t>
  </si>
  <si>
    <t>צים אגח ד רצף מוסדי</t>
  </si>
  <si>
    <t>6510069</t>
  </si>
  <si>
    <t>520015041</t>
  </si>
  <si>
    <t>17/07/2014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</si>
  <si>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</si>
  <si>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</si>
  <si>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</si>
  <si>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</si>
  <si>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</si>
  <si>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</si>
  <si>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</si>
  <si>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</si>
  <si>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</si>
  <si>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צים הסדר 7.2014 מניה ל"ס</t>
  </si>
  <si>
    <t>207013519</t>
  </si>
  <si>
    <t>סה"כ קרנות השקעה בישראל</t>
  </si>
  <si>
    <t>סה"כ קרנות הון סיכון</t>
  </si>
  <si>
    <t>סה"כ קרנות גידור</t>
  </si>
  <si>
    <t>IONISCL KY Equity</t>
  </si>
  <si>
    <t>834107</t>
  </si>
  <si>
    <t>27/04/2017</t>
  </si>
  <si>
    <t>SPHNISE VI Equity</t>
  </si>
  <si>
    <t>78119</t>
  </si>
  <si>
    <t>17/05/2017</t>
  </si>
  <si>
    <t>SGHMGTI KY Equity</t>
  </si>
  <si>
    <t>70427570</t>
  </si>
  <si>
    <t>31/07/2017</t>
  </si>
  <si>
    <t>Var Optimum LP</t>
  </si>
  <si>
    <t>76594993</t>
  </si>
  <si>
    <t>09/07/2019</t>
  </si>
  <si>
    <t>76625235</t>
  </si>
  <si>
    <t>10/07/2019</t>
  </si>
  <si>
    <t>keren noked</t>
  </si>
  <si>
    <t>75555005</t>
  </si>
  <si>
    <t>18/02/2020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</si>
  <si>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</si>
  <si>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</si>
  <si>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</si>
  <si>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</si>
  <si>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אלומיי אופציה לא סחירה</t>
  </si>
  <si>
    <t>1130277</t>
  </si>
  <si>
    <t>סה"כ כתבי אופציה בחו"ל</t>
  </si>
  <si>
    <t>סה"כ אופציות בישראל:</t>
  </si>
  <si>
    <t>₪ / מט"ח</t>
  </si>
  <si>
    <t>OPT Call USDILS 3.5 06/07/2020</t>
  </si>
  <si>
    <t>445113946</t>
  </si>
  <si>
    <t>08/01/2020</t>
  </si>
  <si>
    <t>OPT Put USDILS 3.4 06/07/2020</t>
  </si>
  <si>
    <t>445114394</t>
  </si>
  <si>
    <t>445114934</t>
  </si>
  <si>
    <t>09/01/2020</t>
  </si>
  <si>
    <t>445115152</t>
  </si>
  <si>
    <t>OPT Put USDILS 3.4 13/07/2020</t>
  </si>
  <si>
    <t>445117292</t>
  </si>
  <si>
    <t>14/01/2020</t>
  </si>
  <si>
    <t>OPT Call USDILS 3.5 13/07/2020</t>
  </si>
  <si>
    <t>445117398</t>
  </si>
  <si>
    <t>OPT Put USDILS 3.4 20/07/2020</t>
  </si>
  <si>
    <t>445119004</t>
  </si>
  <si>
    <t>20/01/2020</t>
  </si>
  <si>
    <t>OPT Call USDILS 3.5 20/07/2020</t>
  </si>
  <si>
    <t>445119060</t>
  </si>
  <si>
    <t>445119638</t>
  </si>
  <si>
    <t>22/01/2020</t>
  </si>
  <si>
    <t>OPT Put USDILS 3.3 20/07/2020</t>
  </si>
  <si>
    <t>445119752</t>
  </si>
  <si>
    <t>OPT Call USDILS 3.5 27/07/2020</t>
  </si>
  <si>
    <t>445120792</t>
  </si>
  <si>
    <t>27/01/2020</t>
  </si>
  <si>
    <t>OPT Put USDILS 3.4 27/07/2020</t>
  </si>
  <si>
    <t>445120938</t>
  </si>
  <si>
    <t>OPT Call USDILS 3.5 01/09/2020</t>
  </si>
  <si>
    <t>445125908</t>
  </si>
  <si>
    <t>04/03/2020</t>
  </si>
  <si>
    <t>OPT Put USDILS 3.4 01/09/2020</t>
  </si>
  <si>
    <t>445126132</t>
  </si>
  <si>
    <t>סה"כ מט"ח/ מט"ח</t>
  </si>
  <si>
    <t>סה"כ אופציות בחו"ל:</t>
  </si>
  <si>
    <t>סה"כ חוזים עתידיים בישראל</t>
  </si>
  <si>
    <t>סה"כ  אחר</t>
  </si>
  <si>
    <t>FW GBPUSD 01/04/2020 - USD</t>
  </si>
  <si>
    <t>445108078</t>
  </si>
  <si>
    <t>25/11/2019</t>
  </si>
  <si>
    <t>FW GBPUSD 01/04/2020 - GBP</t>
  </si>
  <si>
    <t>445108079</t>
  </si>
  <si>
    <t>FW USDJPY 03/06/2020 - JPY</t>
  </si>
  <si>
    <t>445110460</t>
  </si>
  <si>
    <t>16/12/2019</t>
  </si>
  <si>
    <t>FW USDJPY 03/06/2020 - USD</t>
  </si>
  <si>
    <t>445110461</t>
  </si>
  <si>
    <t>FW EURUSD 15/07/2020 - USD</t>
  </si>
  <si>
    <t>445116824</t>
  </si>
  <si>
    <t>13/01/2020</t>
  </si>
  <si>
    <t>FW EURUSD 15/07/2020 - EUR</t>
  </si>
  <si>
    <t>445116825</t>
  </si>
  <si>
    <t>445119840</t>
  </si>
  <si>
    <t>23/01/2020</t>
  </si>
  <si>
    <t>445119841</t>
  </si>
  <si>
    <t>445121524</t>
  </si>
  <si>
    <t>04/02/2020</t>
  </si>
  <si>
    <t>445121525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</si>
  <si>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</si>
  <si>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</si>
  <si>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</si>
  <si>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</si>
  <si>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</si>
  <si>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</si>
  <si>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</si>
  <si>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</si>
  <si>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</si>
  <si>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</si>
  <si>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</si>
  <si>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445124664</t>
  </si>
  <si>
    <t>03/03/2020</t>
  </si>
  <si>
    <t>445124665</t>
  </si>
  <si>
    <t>445124694</t>
  </si>
  <si>
    <t>445124695</t>
  </si>
  <si>
    <t>445125070</t>
  </si>
  <si>
    <t>445125071</t>
  </si>
  <si>
    <t>445125074</t>
  </si>
  <si>
    <t>445125075</t>
  </si>
  <si>
    <t>445127520</t>
  </si>
  <si>
    <t>11/03/2020</t>
  </si>
  <si>
    <t>445127521</t>
  </si>
  <si>
    <t>445127676</t>
  </si>
  <si>
    <t>445127677</t>
  </si>
  <si>
    <t>445130508</t>
  </si>
  <si>
    <t>17/03/2020</t>
  </si>
  <si>
    <t>445130509</t>
  </si>
  <si>
    <t>445132728</t>
  </si>
  <si>
    <t>30/03/2020</t>
  </si>
  <si>
    <t>445132729</t>
  </si>
  <si>
    <t>FW GBPUSD 02/09/2020 - USD</t>
  </si>
  <si>
    <t>445132730</t>
  </si>
  <si>
    <t>FW GBPUSD 02/09/2020 - GBP</t>
  </si>
  <si>
    <t>445132731</t>
  </si>
  <si>
    <t>FW USDILS 13/05/2020 - ILS</t>
  </si>
  <si>
    <t>445105062</t>
  </si>
  <si>
    <t>28/10/2019</t>
  </si>
  <si>
    <t>FW USDILS 13/05/2020 - USD</t>
  </si>
  <si>
    <t>445105063</t>
  </si>
  <si>
    <t>FW USDILS 05/05/2020 - ILS</t>
  </si>
  <si>
    <t>445108658</t>
  </si>
  <si>
    <t>02/12/2019</t>
  </si>
  <si>
    <t>FW USDILS 05/05/2020 - USD</t>
  </si>
  <si>
    <t>445108659</t>
  </si>
  <si>
    <t>FW USDILS 19/05/2020 - ILS</t>
  </si>
  <si>
    <t>445110900</t>
  </si>
  <si>
    <t>17/12/2019</t>
  </si>
  <si>
    <t>FW USDILS 19/05/2020 - USD</t>
  </si>
  <si>
    <t>445110901</t>
  </si>
  <si>
    <t>FW USDILS 08/07/2020 - ILS</t>
  </si>
  <si>
    <t>445114058</t>
  </si>
  <si>
    <t>FW USDILS 08/07/2020 - USD</t>
  </si>
  <si>
    <t>445114059</t>
  </si>
  <si>
    <t>445115270</t>
  </si>
  <si>
    <t>445115271</t>
  </si>
  <si>
    <t>FW USDILS 15/07/2020 - ILS</t>
  </si>
  <si>
    <t>445117572</t>
  </si>
  <si>
    <t>FW USDILS 15/07/2020 - USD</t>
  </si>
  <si>
    <t>445117573</t>
  </si>
  <si>
    <t>FW USDILS 22/07/2020 - ILS</t>
  </si>
  <si>
    <t>445118440</t>
  </si>
  <si>
    <t>FW USDILS 22/07/2020 - USD</t>
  </si>
  <si>
    <t>445118441</t>
  </si>
  <si>
    <t>FW USDILS 26/05/2020 - ILS</t>
  </si>
  <si>
    <t>445120368</t>
  </si>
  <si>
    <t>FW USDILS 26/05/2020 - USD</t>
  </si>
  <si>
    <t>445120369</t>
  </si>
  <si>
    <t>FW USDILS 28/07/2020 - ILS</t>
  </si>
  <si>
    <t>445121834</t>
  </si>
  <si>
    <t>10/02/2020</t>
  </si>
  <si>
    <t>FW USDILS 28/07/2020 - USD</t>
  </si>
  <si>
    <t>445121835</t>
  </si>
  <si>
    <t>FW USDILS 23/06/2020 - ILS</t>
  </si>
  <si>
    <t>445123332</t>
  </si>
  <si>
    <t>FW USDILS 23/06/2020 - USD</t>
  </si>
  <si>
    <t>445123333</t>
  </si>
  <si>
    <t>FW USDILS 30/06/2020 - ILS</t>
  </si>
  <si>
    <t>445123552</t>
  </si>
  <si>
    <t>25/02/2020</t>
  </si>
  <si>
    <t>FW USDILS 30/06/2020 - USD</t>
  </si>
  <si>
    <t>445123553</t>
  </si>
  <si>
    <t>FW USDILS 10/06/2020 - ILS</t>
  </si>
  <si>
    <t>445124310</t>
  </si>
  <si>
    <t>FW USDILS 10/06/2020 - USD</t>
  </si>
  <si>
    <t>445124311</t>
  </si>
  <si>
    <t>445124590</t>
  </si>
  <si>
    <t>445124591</t>
  </si>
  <si>
    <t>FW USDILS 22/04/2020 - ILS</t>
  </si>
  <si>
    <t>445127568</t>
  </si>
  <si>
    <t>FW USDILS 22/04/2020 - USD</t>
  </si>
  <si>
    <t>445127569</t>
  </si>
  <si>
    <t>FW USDILS 05/08/2020 - ILS</t>
  </si>
  <si>
    <t>445127942</t>
  </si>
  <si>
    <t>FW USDILS 05/08/2020 - USD</t>
  </si>
  <si>
    <t>445127943</t>
  </si>
  <si>
    <t>FW USDILS 24/06/2020 - ILS</t>
  </si>
  <si>
    <t>445130878</t>
  </si>
  <si>
    <t>18/03/2020</t>
  </si>
  <si>
    <t>FW USDILS 24/06/2020 - USD</t>
  </si>
  <si>
    <t>445130879</t>
  </si>
  <si>
    <t>445132404</t>
  </si>
  <si>
    <t>24/03/2020</t>
  </si>
  <si>
    <t>445132405</t>
  </si>
  <si>
    <t>445132478</t>
  </si>
  <si>
    <t>25/03/2020</t>
  </si>
  <si>
    <t>445132479</t>
  </si>
  <si>
    <t>FW USDILS 06/04/2020 - USD</t>
  </si>
  <si>
    <t>445132522</t>
  </si>
  <si>
    <t>FW USDILS 06/04/2020 - ILS</t>
  </si>
  <si>
    <t>445132523</t>
  </si>
  <si>
    <t>445132602</t>
  </si>
  <si>
    <t>445132603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</si>
  <si>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</si>
  <si>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</si>
  <si>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</si>
  <si>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</si>
  <si>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</si>
  <si>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</si>
  <si>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</si>
  <si>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</si>
  <si>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</si>
  <si>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</si>
  <si>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</si>
  <si>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JPUKDECL Index Equity Leg</t>
  </si>
  <si>
    <t>444000118</t>
  </si>
  <si>
    <t>Equity Swap JPUKDECL Index Libor Leg</t>
  </si>
  <si>
    <t>444000119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</si>
  <si>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</si>
  <si>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</si>
  <si>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</si>
  <si>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</si>
  <si>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</si>
  <si>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</si>
  <si>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16/03/2020</t>
  </si>
  <si>
    <t>Equty Swap SPTR - Libor Leg</t>
  </si>
  <si>
    <t>444000127</t>
  </si>
  <si>
    <t>FW AUDUSD 06/05/2020 - AUD</t>
  </si>
  <si>
    <t>445105186</t>
  </si>
  <si>
    <t>30/10/2019</t>
  </si>
  <si>
    <t>FW AUDUSD 06/05/2020 - USD</t>
  </si>
  <si>
    <t>445105187</t>
  </si>
  <si>
    <t>445105380</t>
  </si>
  <si>
    <t>04/11/2019</t>
  </si>
  <si>
    <t>445105381</t>
  </si>
  <si>
    <t>445105524</t>
  </si>
  <si>
    <t>445105525</t>
  </si>
  <si>
    <t>445107838</t>
  </si>
  <si>
    <t>445107839</t>
  </si>
  <si>
    <t>445108074</t>
  </si>
  <si>
    <t>445108075</t>
  </si>
  <si>
    <t>445108880</t>
  </si>
  <si>
    <t>445108881</t>
  </si>
  <si>
    <t>445109220</t>
  </si>
  <si>
    <t>04/12/2019</t>
  </si>
  <si>
    <t>445109221</t>
  </si>
  <si>
    <t>445109864</t>
  </si>
  <si>
    <t>13/12/2019</t>
  </si>
  <si>
    <t>445109865</t>
  </si>
  <si>
    <t>445111042</t>
  </si>
  <si>
    <t>445111043</t>
  </si>
  <si>
    <t>445111172</t>
  </si>
  <si>
    <t>18/12/2019</t>
  </si>
  <si>
    <t>445111173</t>
  </si>
  <si>
    <t>445112338</t>
  </si>
  <si>
    <t>24/12/2019</t>
  </si>
  <si>
    <t>445112339</t>
  </si>
  <si>
    <t>445113546</t>
  </si>
  <si>
    <t>06/01/2020</t>
  </si>
  <si>
    <t>445113547</t>
  </si>
  <si>
    <t>445116444</t>
  </si>
  <si>
    <t>445116445</t>
  </si>
  <si>
    <t>445116816</t>
  </si>
  <si>
    <t>445116817</t>
  </si>
  <si>
    <t>445117724</t>
  </si>
  <si>
    <t>16/01/2020</t>
  </si>
  <si>
    <t>445117725</t>
  </si>
  <si>
    <t>445117744</t>
  </si>
  <si>
    <t>445117745</t>
  </si>
  <si>
    <t>445119146</t>
  </si>
  <si>
    <t>445119147</t>
  </si>
  <si>
    <t>445119168</t>
  </si>
  <si>
    <t>445119169</t>
  </si>
  <si>
    <t>445119176</t>
  </si>
  <si>
    <t>445119177</t>
  </si>
  <si>
    <t>445119408</t>
  </si>
  <si>
    <t>445119409</t>
  </si>
  <si>
    <t>445119986</t>
  </si>
  <si>
    <t>445119987</t>
  </si>
  <si>
    <t>445120884</t>
  </si>
  <si>
    <t>445120885</t>
  </si>
  <si>
    <t>445121114</t>
  </si>
  <si>
    <t>29/01/2020</t>
  </si>
  <si>
    <t>445121115</t>
  </si>
  <si>
    <t>445121368</t>
  </si>
  <si>
    <t>03/02/2020</t>
  </si>
  <si>
    <t>445121369</t>
  </si>
  <si>
    <t>445122058</t>
  </si>
  <si>
    <t>445122059</t>
  </si>
  <si>
    <t>445122300</t>
  </si>
  <si>
    <t>11/02/2020</t>
  </si>
  <si>
    <t>445122301</t>
  </si>
  <si>
    <t>445123074</t>
  </si>
  <si>
    <t>445123075</t>
  </si>
  <si>
    <t>445123262</t>
  </si>
  <si>
    <t>20/02/2020</t>
  </si>
  <si>
    <t>445123263</t>
  </si>
  <si>
    <t>445123488</t>
  </si>
  <si>
    <t>445123489</t>
  </si>
  <si>
    <t>445123626</t>
  </si>
  <si>
    <t>26/02/2020</t>
  </si>
  <si>
    <t>445123627</t>
  </si>
  <si>
    <t>445124230</t>
  </si>
  <si>
    <t>445124231</t>
  </si>
  <si>
    <t>445124660</t>
  </si>
  <si>
    <t>445124661</t>
  </si>
  <si>
    <t>445124690</t>
  </si>
  <si>
    <t>445124691</t>
  </si>
  <si>
    <t>445125050</t>
  </si>
  <si>
    <t>445125051</t>
  </si>
  <si>
    <t>445126350</t>
  </si>
  <si>
    <t>445126351</t>
  </si>
  <si>
    <t>445126542</t>
  </si>
  <si>
    <t>05/03/2020</t>
  </si>
  <si>
    <t>445126543</t>
  </si>
  <si>
    <t>445126772</t>
  </si>
  <si>
    <t>06/03/2020</t>
  </si>
  <si>
    <t>445126773</t>
  </si>
  <si>
    <t>445126878</t>
  </si>
  <si>
    <t>445126879</t>
  </si>
  <si>
    <t>445127322</t>
  </si>
  <si>
    <t>09/03/2020</t>
  </si>
  <si>
    <t>445127323</t>
  </si>
  <si>
    <t>445127652</t>
  </si>
  <si>
    <t>445127653</t>
  </si>
  <si>
    <t>445127672</t>
  </si>
  <si>
    <t>445127673</t>
  </si>
  <si>
    <t>445128162</t>
  </si>
  <si>
    <t>12/03/2020</t>
  </si>
  <si>
    <t>445128163</t>
  </si>
  <si>
    <t>445128182</t>
  </si>
  <si>
    <t>445128183</t>
  </si>
  <si>
    <t>445128702</t>
  </si>
  <si>
    <t>445128703</t>
  </si>
  <si>
    <t>445132724</t>
  </si>
  <si>
    <t>445132725</t>
  </si>
  <si>
    <t>445132726</t>
  </si>
  <si>
    <t>445132727</t>
  </si>
  <si>
    <t>445132904</t>
  </si>
  <si>
    <t>445132905</t>
  </si>
  <si>
    <t>445132906</t>
  </si>
  <si>
    <t>445132907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</si>
  <si>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</si>
  <si>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</si>
  <si>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</si>
  <si>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</si>
  <si>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הלוואה לגורם 113</t>
  </si>
  <si>
    <t>כן</t>
  </si>
  <si>
    <t>8261018</t>
  </si>
  <si>
    <t>512475203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</si>
  <si>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</si>
  <si>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</si>
  <si>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</si>
  <si>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</si>
  <si>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</si>
  <si>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</si>
  <si>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</si>
  <si>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</si>
  <si>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</si>
  <si>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</si>
  <si>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</si>
  <si>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</si>
  <si>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</si>
  <si>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</si>
  <si>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</si>
  <si>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</si>
  <si>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</si>
  <si>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</si>
  <si>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</si>
  <si>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</si>
  <si>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</si>
  <si>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</si>
  <si>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</si>
  <si>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</si>
  <si>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</si>
  <si>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</si>
  <si>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</si>
  <si>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</si>
  <si>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</si>
  <si>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</si>
  <si>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</si>
  <si>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</si>
  <si>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</si>
  <si>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</si>
  <si>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</si>
  <si>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</si>
  <si>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</si>
  <si>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</si>
  <si>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</si>
  <si>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</si>
  <si>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</si>
  <si>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</si>
  <si>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</si>
  <si>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</si>
  <si>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</si>
  <si>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</si>
  <si>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</si>
  <si>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</si>
  <si>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</si>
  <si>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</si>
  <si>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</si>
  <si>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</si>
  <si>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</si>
  <si>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</si>
  <si>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אגל"ס אלון חברה לדלק 22.01.07 עמיתים הפחתת שווי-חש</t>
  </si>
  <si>
    <t>20701423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</si>
  <si>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</si>
  <si>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</si>
  <si>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</si>
  <si>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</si>
  <si>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</si>
  <si>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</si>
  <si>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</si>
  <si>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</si>
  <si>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שקל  מזרחי בנק מזרחי טפחות בע"מ</t>
  </si>
  <si>
    <t>דולר  דיסקונט בנק דיסקונט לישראל בע"מ</t>
  </si>
  <si>
    <t>דולר  מזרחי בנק מזרחי טפחות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</si>
  <si>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</si>
  <si>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</si>
  <si>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</si>
  <si>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</si>
  <si>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</si>
  <si>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</si>
  <si>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</si>
  <si>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</si>
  <si>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שקל  הפועלים בנק הפועלים בע"מ</t>
  </si>
  <si>
    <t>דולר  הפועלים בנק הפועלים בע"מ</t>
  </si>
  <si>
    <t>Margin FW  Hapoalim USD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</si>
  <si>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</si>
  <si>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</si>
  <si>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</si>
  <si>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</si>
  <si>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</si>
  <si>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</si>
  <si>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</si>
  <si>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לאומי בנק לאומי לישראל בע"מ</t>
  </si>
  <si>
    <t>שקל  מרכנטיל דיסקונט בנק מרכנתיל דיסקונט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</si>
  <si>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</si>
  <si>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</si>
  <si>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</si>
  <si>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</si>
  <si>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</si>
  <si>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</si>
  <si>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</si>
  <si>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</si>
  <si>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אירו  BNY Bny Mellon</t>
  </si>
  <si>
    <t>שטרלינג  BNY Bny Mellon</t>
  </si>
  <si>
    <t>שטרלינג  BNY עדכון ידני Bny Mellon</t>
  </si>
  <si>
    <t>יין יפני  BNY עדכון ידני Bny Mellon</t>
  </si>
  <si>
    <t>דולר הונג קונג  BNY Bny Mellon</t>
  </si>
  <si>
    <t>כתר דני  BNY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</si>
  <si>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</si>
  <si>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</si>
  <si>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</si>
  <si>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</si>
  <si>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</si>
  <si>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פועלים בנק הפועלים בע"מ</t>
  </si>
  <si>
    <t>שקל  יובנק הבנק הבינלאומי הראשון לישראל בע"מ</t>
  </si>
  <si>
    <t>שקל  יו בנק הבנק הבינלאומי הראשון לישראל בע"מ</t>
  </si>
  <si>
    <t>אירו  הפועלים בנק הפועלים בע"מ</t>
  </si>
  <si>
    <t>אירו  פועלים בנק הפועלים בע"מ</t>
  </si>
  <si>
    <t>אירו  פועלים עדכון ידני בנק הפועלים בע"מ</t>
  </si>
  <si>
    <t>יין יפני  הפועלים עדכון ידני בנק הפועלים בע"מ</t>
  </si>
  <si>
    <t>דולר  פועלים בנק הפועלים בע"מ</t>
  </si>
  <si>
    <t>יין יפני  לאומי עדכון ידני בנק לאומי לישראל בע"מ</t>
  </si>
  <si>
    <t>דולר  יובנק הבנק הבינלאומי הראשון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</si>
  <si>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</si>
  <si>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</si>
  <si>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</si>
  <si>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</si>
  <si>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</si>
  <si>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יין יפני  הפועלים בנק הפועלים בע"מ</t>
  </si>
  <si>
    <t>יין יפני  BNY Bny Mellon</t>
  </si>
  <si>
    <t>הלוואות חסכון עמיתים/מבוטחים</t>
  </si>
  <si>
    <t>עמית א</t>
  </si>
  <si>
    <t>עמית ב</t>
  </si>
  <si>
    <t>עמית ג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</si>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</sst>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8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5" fontId="0" fillId="3" borderId="0" xfId="2" applyNumberFormat="1" applyFont="1" applyFill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2" fontId="3" fillId="3" borderId="34" xfId="1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0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9F651C-114B-417C-BC96-A278AC975B5E}" name="טבלה2" displayName="טבלה2" ref="A6:C42" totalsRowShown="0" headerRowBorderDxfId="578" tableBorderDxfId="579">
  <autoFilter ref="A6:C42" xr:uid="{FD6763FB-01E3-498F-B3FC-F2C9FB5BEA63}">
    <filterColumn colId="0" hiddenButton="1"/>
    <filterColumn colId="1" hiddenButton="1"/>
    <filterColumn colId="2" hiddenButton="1"/>
  </autoFilter>
  <tableColumns count="3">
    <tableColumn id="1" xr3:uid="{7F8A6C4F-BFD1-4262-BE62-B9CD54C684F7}" name="עמודה ריקה" dataDxfId="577" dataCellStyle="היפר-קישור"/>
    <tableColumn id="2" xr3:uid="{4EF1EA42-4E4C-4DD5-AF4F-400EA7F93FFF}" name="שווי הוגן" dataDxfId="576" dataCellStyle="Comma"/>
    <tableColumn id="3" xr3:uid="{364B32CA-38D9-46E5-98E0-D9B2D58E5B2E}" name="שיעור מנכסי השקעה" dataDxfId="575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418237-0CF5-41F8-BEB6-831475B21607}" name="טבלה3" displayName="טבלה3" ref="B44:C68" totalsRowShown="0" headerRowDxfId="569" headerRowBorderDxfId="573" tableBorderDxfId="574" totalsRowBorderDxfId="572">
  <autoFilter ref="B44:C68" xr:uid="{8BA0988B-ED05-449D-B342-7C000CF682D8}">
    <filterColumn colId="0" hiddenButton="1"/>
    <filterColumn colId="1" hiddenButton="1"/>
  </autoFilter>
  <tableColumns count="2">
    <tableColumn id="1" xr3:uid="{91F0D692-ED73-4441-B1B0-783145062427}" name="שם המטבע" dataDxfId="571"/>
    <tableColumn id="2" xr3:uid="{471D596C-3C6C-48F8-9666-808DFAF8DF10}" name="שע&quot;ח" dataDxfId="57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A25C31-2F7B-4090-901E-CDF9046928B9}" name="טבלה4" displayName="טבלה4" ref="A6:K115" totalsRowShown="0" headerRowDxfId="555" headerRowBorderDxfId="567" tableBorderDxfId="568" headerRowCellStyle="Percent">
  <autoFilter ref="A6:K115" xr:uid="{953848E4-3F69-44DC-BE17-1ED6772BC5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FB9ED54-A5A3-48DC-A45F-50083A46C64D}" name="שם המנפיק/שם נייר ערך" dataDxfId="566"/>
    <tableColumn id="2" xr3:uid="{D8C49165-36A4-4E59-8726-222860B2EB8C}" name="מספר נ&quot;ע" dataDxfId="565" dataCellStyle="Percent"/>
    <tableColumn id="3" xr3:uid="{FE5757ED-EB22-49FE-AEE2-6182195BAC9C}" name="מספר מנפיק" dataDxfId="564" dataCellStyle="Percent"/>
    <tableColumn id="4" xr3:uid="{DAD522AA-A5BA-4984-94F4-974098D349F1}" name="דירוג" dataDxfId="563" dataCellStyle="Percent"/>
    <tableColumn id="5" xr3:uid="{EEE0FC97-82FA-48E3-96DF-7A32E424D709}" name="שם מדרג" dataDxfId="562" dataCellStyle="Percent"/>
    <tableColumn id="6" xr3:uid="{C85F9B96-4890-4B2F-AA08-C95BDB2CBB4E}" name="סוג מטבע" dataDxfId="561" dataCellStyle="Percent"/>
    <tableColumn id="7" xr3:uid="{3FD5EA37-426C-4083-842F-074B6A2CFD8C}" name="שעור ריבית" dataDxfId="560" dataCellStyle="Percent"/>
    <tableColumn id="8" xr3:uid="{8CA2628A-83E1-457B-A39B-C4EA418EBEDB}" name="תשואה לפדיון" dataDxfId="559" dataCellStyle="Percent"/>
    <tableColumn id="9" xr3:uid="{B6B04F2E-FE75-488F-BE1F-B8617E83D0EF}" name="שווי שוק" dataDxfId="558" dataCellStyle="Comma"/>
    <tableColumn id="10" xr3:uid="{5DED5F6F-DAC9-4DD3-90DF-5D714EF1FC26}" name="שעור מנכסי אפיק ההשקעה" dataDxfId="557" dataCellStyle="Percent"/>
    <tableColumn id="11" xr3:uid="{B39253A8-2ED0-4A4F-8EE5-7E36D9102808}" name="שעור מנכסי השקעה" dataDxfId="556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A4C04E-435D-4E64-BD68-146D785D5614}" name="טבלה5" displayName="טבלה5" ref="A7:Q20" totalsRowShown="0" headerRowDxfId="535" headerRowBorderDxfId="553" tableBorderDxfId="554" headerRowCellStyle="Percent">
  <autoFilter ref="A7:Q20" xr:uid="{A14D25B4-9C62-4B22-B7E8-812E0BE072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44677D82-9696-4304-A82F-1253A2519D68}" name="שם המנפיק/שם נייר ערך" dataDxfId="552"/>
    <tableColumn id="2" xr3:uid="{68CC2A69-6172-44ED-9C3A-27109923D225}" name="מספר נ&quot;ע" dataDxfId="551" dataCellStyle="Percent"/>
    <tableColumn id="3" xr3:uid="{100B1256-4A21-45E9-9A88-7F14F409B938}" name="זירת מסחר" dataDxfId="550" dataCellStyle="Percent"/>
    <tableColumn id="4" xr3:uid="{33E8CA2A-832A-4AA7-A4C9-C227986E0531}" name="דירוג" dataDxfId="549" dataCellStyle="Percent"/>
    <tableColumn id="5" xr3:uid="{1EC12170-5CEA-4CE2-A7A2-549A1F6CA95A}" name="שם מדרג" dataDxfId="548" dataCellStyle="Percent"/>
    <tableColumn id="6" xr3:uid="{625DCAE9-EE6B-4EAA-B578-FC63D8F614E1}" name="תאריך רכישה" dataDxfId="547" dataCellStyle="Percent"/>
    <tableColumn id="7" xr3:uid="{F96F8439-8518-4CA2-AAFA-31DCE75D6151}" name="מח&quot;מ" dataDxfId="546" dataCellStyle="Percent"/>
    <tableColumn id="8" xr3:uid="{8F458EE4-D8A8-4DB2-B9F0-712A99EC0590}" name="סוג מטבע" dataDxfId="545" dataCellStyle="Percent"/>
    <tableColumn id="9" xr3:uid="{0AB80739-7940-47CD-922A-EEE893A1A1BF}" name="שעור ריבית" dataDxfId="544" dataCellStyle="Percent"/>
    <tableColumn id="10" xr3:uid="{211A39DB-3AB4-4010-80F9-D294429339B7}" name="תשואה לפדיון" dataDxfId="543" dataCellStyle="Percent"/>
    <tableColumn id="11" xr3:uid="{A0BFC2D2-F5F6-4480-979D-1A74EADD894C}" name="ערך נקוב" dataDxfId="542" dataCellStyle="Percent"/>
    <tableColumn id="12" xr3:uid="{1AEFD5F6-3243-4C98-BE44-B05DE4D0BC8B}" name="שער" dataDxfId="541" dataCellStyle="Percent"/>
    <tableColumn id="13" xr3:uid="{BACEBD0A-74C0-44E4-8BCF-9FD6C7CBFCA5}" name="פדיון/ריבית לקבל" dataDxfId="540" dataCellStyle="Percent"/>
    <tableColumn id="14" xr3:uid="{35022D33-E3F2-4C78-B6EE-4FE3A5477B40}" name="שווי שוק" dataDxfId="539" dataCellStyle="Comma"/>
    <tableColumn id="15" xr3:uid="{A6DF7F79-953B-4AF3-9EB3-24E9D6F4E4E1}" name="שעור מערך נקוב מונפק" dataDxfId="538" dataCellStyle="Percent"/>
    <tableColumn id="16" xr3:uid="{788F52A4-8B1E-4B11-BCAD-D28ECF457D2B}" name="שעור מנכסי אפיק ההשקעה" dataDxfId="537" dataCellStyle="Percent"/>
    <tableColumn id="17" xr3:uid="{F2DFC338-1AB7-41B2-B3CB-0C99660CDA7C}" name="שעור מנכסי השקעה" dataDxfId="536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D1B1B-FEE5-4911-A77A-E102F7B03BA1}" name="טבלה6" displayName="טבלה6" ref="A7:T17" totalsRowShown="0" headerRowDxfId="512" headerRowBorderDxfId="533" tableBorderDxfId="534" headerRowCellStyle="Percent">
  <autoFilter ref="A7:T17" xr:uid="{45361A1D-6F2D-4A52-8AFA-40CA9D2A11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782A23A-E199-495E-8AC2-D5C6E786AAAD}" name="שם המנפיק/שם נייר ערך" dataDxfId="532"/>
    <tableColumn id="2" xr3:uid="{523F338B-AE8D-4F1D-9C09-5C9C5D8A3B60}" name="מספר נ&quot;ע" dataDxfId="531" dataCellStyle="Percent"/>
    <tableColumn id="3" xr3:uid="{C3CD27DB-6EC8-474B-A96D-336196E19960}" name="זירת מסחר" dataDxfId="530" dataCellStyle="Percent"/>
    <tableColumn id="4" xr3:uid="{FF74F023-4AC6-485B-BC35-51D16110350B}" name="ספק מידע" dataDxfId="529" dataCellStyle="Percent"/>
    <tableColumn id="5" xr3:uid="{0E5CD10C-4B9C-411B-815D-ABBDFCFD71C4}" name="מספר מנפיק" dataDxfId="528" dataCellStyle="Percent"/>
    <tableColumn id="6" xr3:uid="{427B984F-5ED8-4802-A390-BB18EFD173B5}" name="ענף מסחר" dataDxfId="527" dataCellStyle="Percent"/>
    <tableColumn id="7" xr3:uid="{2C230A4B-CA63-482C-9124-6F28314307B2}" name="דירוג" dataDxfId="526" dataCellStyle="Percent"/>
    <tableColumn id="8" xr3:uid="{4AED50A5-4A25-4A07-93C8-B64F6C453CB1}" name="שם מדרג" dataDxfId="525" dataCellStyle="Percent"/>
    <tableColumn id="9" xr3:uid="{85A8AB18-ECB1-454A-9FF4-5F8470F35135}" name="תאריך רכישה" dataDxfId="524" dataCellStyle="Percent"/>
    <tableColumn id="10" xr3:uid="{3D335A34-E04F-4C19-93C7-7B567C3195E2}" name="מח&quot;מ" dataDxfId="523" dataCellStyle="Percent"/>
    <tableColumn id="11" xr3:uid="{8FA73FA0-DB31-41C3-B7A2-38721834F671}" name="סוג מטבע" dataDxfId="522" dataCellStyle="Percent"/>
    <tableColumn id="12" xr3:uid="{B55121D4-0839-4D98-84E4-BC8AB3ABEFE5}" name="שעור ריבית" dataDxfId="521" dataCellStyle="Percent"/>
    <tableColumn id="13" xr3:uid="{17DD6C45-A09A-431E-8343-BC3AA4342EA2}" name="תשואה לפדיון" dataDxfId="520" dataCellStyle="Percent"/>
    <tableColumn id="14" xr3:uid="{A114113A-EE56-4FB6-ADC6-756E868E3623}" name="ערך נקוב" dataDxfId="519" dataCellStyle="Percent"/>
    <tableColumn id="15" xr3:uid="{2455B7A6-DD82-4E83-B44B-9F4955C8256F}" name="שער" dataDxfId="518" dataCellStyle="Percent"/>
    <tableColumn id="16" xr3:uid="{2947E9CB-F9CF-438A-80CC-3D6A44FEBF2F}" name="פדיון/ריבית לקבל" dataDxfId="517" dataCellStyle="Percent"/>
    <tableColumn id="17" xr3:uid="{2D8EF28B-04EF-4A26-B7D9-3933CC160265}" name="שווי שוק" dataDxfId="516" dataCellStyle="Comma"/>
    <tableColumn id="18" xr3:uid="{34B7980C-27DC-4467-AFDA-CD97CB7B2AA1}" name="שעור מערך נקוב מונפק" dataDxfId="515" dataCellStyle="Percent"/>
    <tableColumn id="19" xr3:uid="{189E3E4B-9DC7-4EE1-9C23-24811CA002B7}" name="שעור מנכסי אפיק ההשקעה" dataDxfId="514" dataCellStyle="Percent"/>
    <tableColumn id="20" xr3:uid="{0EDAAA52-9C3F-4CA2-8C99-5216372F4234}" name="שעור מנכסי השקעה" dataDxfId="513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50ACFB-0F63-47E6-BB67-9E9A1A1A17ED}" name="טבלה7" displayName="טבלה7" ref="A7:T20" totalsRowShown="0" headerRowDxfId="488" dataDxfId="489" headerRowBorderDxfId="510" tableBorderDxfId="511" headerRowCellStyle="Percent" dataCellStyle="Percent">
  <autoFilter ref="A7:T20" xr:uid="{5AC79B2B-5665-4B82-823F-936BD9708B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F4268BE-798E-4F49-A7EB-A2AC71C80154}" name="שם המנפיק/שם נייר ערך" dataDxfId="509"/>
    <tableColumn id="2" xr3:uid="{2B5DDF69-4117-4FDD-B1E9-DB312B882180}" name="מספר נ&quot;ע" dataDxfId="508" dataCellStyle="Percent"/>
    <tableColumn id="3" xr3:uid="{3C17FE6C-C38B-4F0A-B1F2-08B314CD91CA}" name="זירת מסחר" dataDxfId="507" dataCellStyle="Percent"/>
    <tableColumn id="4" xr3:uid="{E901BE37-4C47-429E-AC8D-4BA595FEFE15}" name="ספק מידע" dataDxfId="506" dataCellStyle="Percent"/>
    <tableColumn id="5" xr3:uid="{5577CBB9-2D4A-4D56-BB93-7E1F51754A34}" name="מספר מנפיק" dataDxfId="505" dataCellStyle="Percent"/>
    <tableColumn id="6" xr3:uid="{52448243-922E-4CB8-9E33-CF3A1B7EE22C}" name="ענף מסחר" dataDxfId="504" dataCellStyle="Percent"/>
    <tableColumn id="7" xr3:uid="{33D84E46-2037-49D5-93CA-5E3254219B59}" name="דירוג" dataDxfId="503" dataCellStyle="Percent"/>
    <tableColumn id="8" xr3:uid="{A282A552-FB44-4C8F-9978-AA1AB702C76C}" name="שם מדרג" dataDxfId="502" dataCellStyle="Percent"/>
    <tableColumn id="9" xr3:uid="{DE412A5C-1822-46AF-9151-1F09CADA7048}" name="תאריך רכישה" dataDxfId="501" dataCellStyle="Percent"/>
    <tableColumn id="10" xr3:uid="{182AF903-90A8-4661-9CAF-2AF87158BFDC}" name="מח&quot;מ" dataDxfId="500" dataCellStyle="Percent"/>
    <tableColumn id="11" xr3:uid="{34E3E8EB-10DC-46C5-9A18-3AA2AFB043B5}" name="סוג מטבע" dataDxfId="499" dataCellStyle="Percent"/>
    <tableColumn id="12" xr3:uid="{FCD49870-191A-49F9-82E6-14C07D146C4B}" name="שעור ריבית" dataDxfId="498" dataCellStyle="Percent"/>
    <tableColumn id="13" xr3:uid="{C2B3582E-29EF-4C82-931E-1D516AF09044}" name="תשואה לפדיון" dataDxfId="497" dataCellStyle="Percent"/>
    <tableColumn id="14" xr3:uid="{975D2C28-DA78-4A59-BB5A-A1C593164D58}" name="ערך נקוב" dataDxfId="496" dataCellStyle="Percent"/>
    <tableColumn id="15" xr3:uid="{AB5A371E-0E98-4F53-9066-B450D68FE889}" name="שער" dataDxfId="495" dataCellStyle="Percent"/>
    <tableColumn id="16" xr3:uid="{22F2C8D2-C78A-4C59-B28F-9982D3C42B14}" name="פדיון/ריבית לקבל" dataDxfId="494" dataCellStyle="Comma"/>
    <tableColumn id="17" xr3:uid="{82003695-F213-4342-B74F-BCE901B8414B}" name="שווי שוק" dataDxfId="493" dataCellStyle="Comma"/>
    <tableColumn id="18" xr3:uid="{B489EC52-5278-4AA6-9B58-AFB2F3281A3D}" name="שעור מערך נקוב מונפק" dataDxfId="492" dataCellStyle="Percent"/>
    <tableColumn id="19" xr3:uid="{DD782A3F-8801-4E86-8B9B-04D04E8CD079}" name="שעור מנכסי אפיק ההשקעה" dataDxfId="491" dataCellStyle="Percent"/>
    <tableColumn id="20" xr3:uid="{201A6007-49CD-4C7E-94F2-2D81460DC119}" name="שעור מנכסי השקעה" dataDxfId="490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616E79-C44F-4CDC-8B80-34CD8FE4273A}" name="טבלה8" displayName="טבלה8" ref="A7:N281" totalsRowShown="0" headerRowDxfId="470" dataDxfId="471" headerRowBorderDxfId="486" tableBorderDxfId="487" headerRowCellStyle="Percent" dataCellStyle="Percent">
  <autoFilter ref="A7:N281" xr:uid="{1BCD4DAD-A275-4ECE-9785-27B3344339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9A6CA82-67AB-4B19-8E35-275684DEEB9B}" name="שם המנפיק/שם נייר ערך" dataDxfId="485"/>
    <tableColumn id="2" xr3:uid="{2994067F-41E5-4041-B431-49D711852F17}" name="מספר נ&quot;ע" dataDxfId="484" dataCellStyle="Percent"/>
    <tableColumn id="3" xr3:uid="{56E658BA-88DB-4009-98BD-8AB9D244A499}" name="זירת מסחר" dataDxfId="483" dataCellStyle="Percent"/>
    <tableColumn id="4" xr3:uid="{8244F314-078B-4380-842F-AC08A9108797}" name="ספק מידע" dataDxfId="482" dataCellStyle="Percent"/>
    <tableColumn id="5" xr3:uid="{782302D5-30FB-4F8C-BF79-F62EFE9853EA}" name="מספר מנפיק" dataDxfId="481" dataCellStyle="Percent"/>
    <tableColumn id="6" xr3:uid="{15BE2DFC-CA6D-415E-98FE-A38544569F91}" name="ענף מסחר" dataDxfId="480" dataCellStyle="Percent"/>
    <tableColumn id="7" xr3:uid="{8F25A7DA-7C78-4BAF-A2C3-DA8560ACAC89}" name="סוג מטבע" dataDxfId="479" dataCellStyle="Percent"/>
    <tableColumn id="8" xr3:uid="{3C7DD629-EDB2-4C9B-8D04-7A86C6845149}" name="ערך נקוב" dataDxfId="478" dataCellStyle="Percent"/>
    <tableColumn id="9" xr3:uid="{EC5C9A0A-4D6C-442A-A173-C8ACD92C616E}" name="שער" dataDxfId="477" dataCellStyle="Percent"/>
    <tableColumn id="10" xr3:uid="{4765496C-0415-4948-83BB-6FC076F6C2CF}" name="פדיון/ריבית לקבל" dataDxfId="476" dataCellStyle="Percent"/>
    <tableColumn id="11" xr3:uid="{51327EA0-DA54-4CE3-BBA5-A4488AEAF55D}" name="שווי שוק" dataDxfId="475" dataCellStyle="Comma"/>
    <tableColumn id="12" xr3:uid="{31C1F9B9-D294-4688-B6AD-FE13B9D5D01A}" name="שעור מערך נקוב מונפק" dataDxfId="474" dataCellStyle="Percent"/>
    <tableColumn id="13" xr3:uid="{8FD529FA-9E7D-47C8-85F6-D90DF16477AF}" name="שעור מנכסי אפיק ההשקעה" dataDxfId="473" dataCellStyle="Percent"/>
    <tableColumn id="14" xr3:uid="{89F1C8A7-8FE8-4ADD-81DC-FDE058EEA9FA}" name="שעור מנכסי השקעה" dataDxfId="472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894C30-ABAD-48F4-83EF-5FE184DD81A8}" name="טבלה9" displayName="טבלה9" ref="A7:M86" totalsRowShown="0" headerRowDxfId="454" headerRowBorderDxfId="468" tableBorderDxfId="469" headerRowCellStyle="Percent">
  <autoFilter ref="A7:M86" xr:uid="{2889647D-DD1A-4CA3-96CC-8598D5FFA1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AAF5AA9-3A92-44B9-B63E-6629418B7688}" name="שם המנפיק/שם נייר ערך" dataDxfId="467"/>
    <tableColumn id="2" xr3:uid="{0A48DDD1-249F-4FA1-AA60-F427D3D3940C}" name="מספר נ&quot;ע" dataDxfId="466" dataCellStyle="Percent"/>
    <tableColumn id="3" xr3:uid="{E93F9972-7B8A-4EB0-8EF8-5B3583B65CBC}" name="זירת מסחר" dataDxfId="465" dataCellStyle="Percent"/>
    <tableColumn id="4" xr3:uid="{B14E3215-E3EB-4766-B59D-62ADCD987DE8}" name="מספר מנפיק" dataDxfId="464" dataCellStyle="Percent"/>
    <tableColumn id="5" xr3:uid="{B49F2857-94CB-4ABC-9A29-47B68E25037F}" name="ענף מסחר" dataDxfId="463" dataCellStyle="Percent"/>
    <tableColumn id="6" xr3:uid="{6ADC334F-9BB6-4F75-BBF7-8E9649F6267F}" name="סוג מטבע" dataDxfId="462" dataCellStyle="Percent"/>
    <tableColumn id="7" xr3:uid="{1AD2DD02-EB1B-44FB-A5F5-80FAE55DADDB}" name="ערך נקוב" dataDxfId="461" dataCellStyle="Percent"/>
    <tableColumn id="8" xr3:uid="{8492AB25-FDFA-4FCB-85E3-FC9D2122A028}" name="שער" dataDxfId="460" dataCellStyle="Percent"/>
    <tableColumn id="9" xr3:uid="{91BAFC42-0B78-43E2-8BFF-076781B76F01}" name="פדיון/ריבית לקבל" dataDxfId="459" dataCellStyle="Comma"/>
    <tableColumn id="10" xr3:uid="{4BD3FAF5-63FD-4EAB-B299-695D0BE0EBF3}" name="שווי שוק" dataDxfId="458" dataCellStyle="Comma"/>
    <tableColumn id="11" xr3:uid="{C22AA076-1376-4F68-96F5-DAB710B6821E}" name="שעור מערך נקוב מונפק" dataDxfId="457" dataCellStyle="Percent"/>
    <tableColumn id="12" xr3:uid="{27BCC972-10F3-44CA-90D4-68C258958DDD}" name="שעור מנכסי אפיק ההשקעה" dataDxfId="456" dataCellStyle="Percent"/>
    <tableColumn id="13" xr3:uid="{FC8F01D2-F0C8-40BD-8FF7-1D584B65232B}" name="שעור מנכסי השקעה" dataDxfId="45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0FD1D5-2E8C-4D77-A36E-FE50F39BEF7F}" name="טבלה10" displayName="טבלה10" ref="A7:N34" totalsRowShown="0" headerRowDxfId="436" dataDxfId="437" headerRowBorderDxfId="452" tableBorderDxfId="453" headerRowCellStyle="Percent" dataCellStyle="Percent">
  <autoFilter ref="A7:N34" xr:uid="{3AA0E853-0DD4-47E6-9483-CC97BDFFF6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452E1C1-0238-4D70-898E-F9E1F7DE1B67}" name="שם המנפיק/שם נייר ערך" dataDxfId="451"/>
    <tableColumn id="2" xr3:uid="{5D5C6158-4CF8-4306-AC70-CA914BAAF89B}" name="מספר נ&quot;ע" dataDxfId="450" dataCellStyle="Percent"/>
    <tableColumn id="3" xr3:uid="{4F90DC57-C87B-4E52-8DEE-CEB7BF082A67}" name="זירת מסחר" dataDxfId="449" dataCellStyle="Percent"/>
    <tableColumn id="4" xr3:uid="{25B655E8-A0C9-420E-B1B0-42F162743ECD}" name="מספר מנפיק" dataDxfId="448" dataCellStyle="Percent"/>
    <tableColumn id="5" xr3:uid="{CA48B983-0C20-4C35-AFAC-C30FADF2B874}" name="ענף מסחר" dataDxfId="447" dataCellStyle="Percent"/>
    <tableColumn id="6" xr3:uid="{18BF5151-FABE-4B0E-9E8A-3C61793B6CD4}" name="דירוג" dataDxfId="446" dataCellStyle="Percent"/>
    <tableColumn id="7" xr3:uid="{221B81E8-879E-4A39-945D-76B73106522E}" name="שם מדרג" dataDxfId="445" dataCellStyle="Percent"/>
    <tableColumn id="8" xr3:uid="{D0286593-8BD3-4A89-B550-FD67FE45D813}" name="סוג מטבע" dataDxfId="444" dataCellStyle="Percent"/>
    <tableColumn id="9" xr3:uid="{C7FD6199-DFA7-468D-8680-25171A6AD7CD}" name="ערך נקוב" dataDxfId="443" dataCellStyle="Percent"/>
    <tableColumn id="10" xr3:uid="{6885E470-CBA5-4C39-8720-C12821404E29}" name="שער" dataDxfId="442" dataCellStyle="Percent"/>
    <tableColumn id="11" xr3:uid="{BC8C0EA1-8319-4C31-B701-661E1C8DD844}" name="שווי שוק" dataDxfId="441" dataCellStyle="Comma"/>
    <tableColumn id="12" xr3:uid="{E9DD7C35-B9CC-4B4C-A739-30C9B0C64C5C}" name="שעור מערך נקוב מונפק" dataDxfId="440" dataCellStyle="Percent"/>
    <tableColumn id="13" xr3:uid="{AA8B6025-B021-40A4-99FF-A141A6A035BC}" name="שעור מנכסי אפיק ההשקעה" dataDxfId="439" dataCellStyle="Percent"/>
    <tableColumn id="14" xr3:uid="{774502D7-22CF-472B-9208-33D65BA6A092}" name="שעור מנכסי השקעה" dataDxfId="438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B39A9A-B9A8-4D04-B3E4-EE57C9981D0F}" name="טבלה11" displayName="טבלה11" ref="A7:K14" totalsRowShown="0" headerRowDxfId="421" dataDxfId="422" headerRowBorderDxfId="434" tableBorderDxfId="435" headerRowCellStyle="Percent" dataCellStyle="Percent">
  <autoFilter ref="A7:K14" xr:uid="{44602C2B-A712-4623-A7C1-1C360145FB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0EB3398-FDA4-4299-9169-7C2CC2FD782F}" name="שם המנפיק/שם נייר ערך" dataDxfId="433"/>
    <tableColumn id="2" xr3:uid="{002C430D-234F-4B87-B098-A5BC6FE88787}" name="מספר נ&quot;ע" dataDxfId="432" dataCellStyle="Percent"/>
    <tableColumn id="3" xr3:uid="{E18B74FB-92DE-404F-AB3C-13A1F9C00E69}" name="זירת מסחר" dataDxfId="431" dataCellStyle="Percent"/>
    <tableColumn id="4" xr3:uid="{9571B677-9111-4DE1-B4F4-F02773859D5E}" name="ענף מסחר" dataDxfId="430" dataCellStyle="Percent"/>
    <tableColumn id="5" xr3:uid="{8F21D9FB-1926-44DA-818C-227DA93D987D}" name="סוג מטבע" dataDxfId="429" dataCellStyle="Percent"/>
    <tableColumn id="6" xr3:uid="{435D79E2-D047-4F81-90EB-9D958D147958}" name="ערך נקוב" dataDxfId="428" dataCellStyle="Percent"/>
    <tableColumn id="7" xr3:uid="{DFBF0DA6-0E2D-453F-97FA-723680784BC9}" name="שער" dataDxfId="427" dataCellStyle="Percent"/>
    <tableColumn id="8" xr3:uid="{971F2F46-A3D1-482A-BBCF-D6CDC1F10812}" name="שווי שוק" dataDxfId="426" dataCellStyle="Comma"/>
    <tableColumn id="9" xr3:uid="{B0C3B007-0919-4F8A-B9D2-7A2CE097554C}" name="שעור מערך נקוב מונפק" dataDxfId="425" dataCellStyle="Percent"/>
    <tableColumn id="10" xr3:uid="{590124D5-2635-4156-A1C4-C62D8763A9F3}" name="שעור מנכסי אפיק ההשקעה" dataDxfId="424" dataCellStyle="Percent"/>
    <tableColumn id="11" xr3:uid="{FAD31234-69B0-4FB9-9C0D-BECBF1623F00}" name="שעור מנכסי השקעה" dataDxfId="423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611650-F71B-4B35-A7E4-7D8486033D36}" name="טבלה12" displayName="טבלה12" ref="A7:K74" totalsRowShown="0" headerRowDxfId="407" headerRowBorderDxfId="419" tableBorderDxfId="420" headerRowCellStyle="Percent">
  <autoFilter ref="A7:K74" xr:uid="{B207D450-FD35-46E6-AD16-3EE20FF2F8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18836C0-E603-48B0-A841-77DBF85C4649}" name="שם המנפיק/שם נייר ערך" dataDxfId="418"/>
    <tableColumn id="2" xr3:uid="{632E6BE6-529C-4828-8DF4-A0BA92EE7FCC}" name="מספר נ&quot;ע" dataDxfId="417" dataCellStyle="Percent"/>
    <tableColumn id="3" xr3:uid="{513ED137-5E84-4F46-973F-BE2D2A1B2765}" name="זירת מסחר" dataDxfId="416" dataCellStyle="Percent"/>
    <tableColumn id="4" xr3:uid="{D66F01D6-2BD8-420E-A613-6DA25A0098C3}" name="ענף מסחר" dataDxfId="415" dataCellStyle="Percent"/>
    <tableColumn id="5" xr3:uid="{D8F25B7A-8998-42D1-846F-8C5C40BA6DDD}" name="סוג מטבע" dataDxfId="414" dataCellStyle="Percent"/>
    <tableColumn id="6" xr3:uid="{D6CFE31B-7FD5-4116-9EFC-13ADD4C54D71}" name="ערך נקוב" dataDxfId="413" dataCellStyle="Percent"/>
    <tableColumn id="7" xr3:uid="{6FCC7BFF-89CA-4AF9-8E48-8F1118FA4C9A}" name="שער" dataDxfId="412" dataCellStyle="Percent"/>
    <tableColumn id="8" xr3:uid="{30F4AE9B-70A3-457D-83F0-53DE7B888966}" name="שווי שוק" dataDxfId="411" dataCellStyle="Comma"/>
    <tableColumn id="9" xr3:uid="{96528933-7C0E-47A0-AE1F-914C77E19423}" name="שעור מערך נקוב מונפק" dataDxfId="410" dataCellStyle="Percent"/>
    <tableColumn id="10" xr3:uid="{E1CFD9F8-56FD-4D47-8314-1D5B84F8448A}" name="שעור מנכסי אפיק ההשקעה" dataDxfId="409" dataCellStyle="Percent"/>
    <tableColumn id="11" xr3:uid="{076BC70F-70E4-4007-B8CE-1A321E5BECF1}" name="שעור מנכסי השקעה" dataDxfId="408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7DDBB5E-BB8D-436E-B094-FB88CA531CE4}" name="טבלה13" displayName="טבלה13" ref="A7:J47" totalsRowShown="0" headerRowDxfId="394" headerRowBorderDxfId="405" tableBorderDxfId="406" headerRowCellStyle="Percent">
  <autoFilter ref="A7:J47" xr:uid="{39013D92-4172-4219-94CD-6E32F4EF1A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EDBA1CB-054A-4BF9-9A80-AA027C5D66B2}" name="שם המנפיק/שם נייר ערך" dataDxfId="404"/>
    <tableColumn id="2" xr3:uid="{1EB7D602-5758-468D-BF03-2466FA734FFC}" name="מספר נ&quot;ע" dataDxfId="403" dataCellStyle="Percent"/>
    <tableColumn id="3" xr3:uid="{2ABAA8C6-C5FD-4851-BAA7-5E8B36FA1160}" name="זירת מסחר" dataDxfId="402" dataCellStyle="Percent"/>
    <tableColumn id="4" xr3:uid="{51FABA70-F513-4AF0-B08F-809ADE59C2A3}" name="ענף מסחר" dataDxfId="401" dataCellStyle="Percent"/>
    <tableColumn id="5" xr3:uid="{B289111E-C8D5-4638-81F1-822B52736708}" name="סוג מטבע" dataDxfId="400" dataCellStyle="Percent"/>
    <tableColumn id="6" xr3:uid="{FC0F37BB-587F-482A-9E53-1CBA1018C662}" name="ערך נקוב" dataDxfId="399" dataCellStyle="Percent"/>
    <tableColumn id="7" xr3:uid="{3F677D25-97A1-40F0-8FAC-EE3E3C559786}" name="שער" dataDxfId="398" dataCellStyle="Percent"/>
    <tableColumn id="8" xr3:uid="{0585C263-D35A-44CB-A06B-9F3953F20764}" name="שווי שוק" dataDxfId="397" dataCellStyle="Comma"/>
    <tableColumn id="9" xr3:uid="{5DA4F764-589C-49F1-9F91-ABFC85A950DC}" name="שעור מנכסי אפיק ההשקעה" dataDxfId="396" dataCellStyle="Percent"/>
    <tableColumn id="10" xr3:uid="{A84C796F-0B02-448A-B3BD-B616FF1D9FDC}" name="שעור מנכסי השקעה" dataDxfId="395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E2C3F1-AA6B-4635-A809-894A25A4014F}" name="טבלה14" displayName="טבלה14" ref="A7:P29" totalsRowShown="0" headerRowDxfId="374" dataDxfId="375" headerRowBorderDxfId="392" tableBorderDxfId="393" headerRowCellStyle="Percent" dataCellStyle="Percent">
  <autoFilter ref="A7:P29" xr:uid="{DCA9B758-DC47-4532-A1DE-9F91F7AE26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C8536A7-FD14-41A7-BB95-1AA22ED4B359}" name="שם המנפיק/שם נייר ערך" dataDxfId="391"/>
    <tableColumn id="2" xr3:uid="{79CD4F0A-212F-4B26-8C30-66770F53B3E4}" name="מספר נ&quot;ע" dataDxfId="390" dataCellStyle="Percent"/>
    <tableColumn id="3" xr3:uid="{1AF5C5C9-E036-4E67-B9D4-1DDCCC39B614}" name="נכס הבסיס" dataDxfId="389" dataCellStyle="Percent"/>
    <tableColumn id="4" xr3:uid="{CE61004C-F9AD-4CDB-A4F9-9FAF2CA9A1DF}" name="דירוג" dataDxfId="388" dataCellStyle="Percent"/>
    <tableColumn id="5" xr3:uid="{D9C99EED-1A1D-4AB1-BC89-867E0494C058}" name="שם מדרג" dataDxfId="387" dataCellStyle="Percent"/>
    <tableColumn id="6" xr3:uid="{F978FB55-19E3-4EE7-9AE2-5225554CC544}" name="תאריך רכישה" dataDxfId="386" dataCellStyle="Percent"/>
    <tableColumn id="7" xr3:uid="{C53E5DF5-77AD-4BFD-A661-206D92C0A161}" name="מח&quot;מ" dataDxfId="385" dataCellStyle="Percent"/>
    <tableColumn id="8" xr3:uid="{0DADA540-3BFF-44F1-817E-EC187B27909C}" name="סוג מטבע" dataDxfId="384" dataCellStyle="Percent"/>
    <tableColumn id="9" xr3:uid="{68358048-74A8-4418-8280-2F8580C2F241}" name="שעור ריבית" dataDxfId="383" dataCellStyle="Percent"/>
    <tableColumn id="10" xr3:uid="{35BD2F5D-85FA-497E-B2E6-AC78B5173449}" name="תשואה לפדיון" dataDxfId="382" dataCellStyle="Percent"/>
    <tableColumn id="11" xr3:uid="{E1C66BC1-D7C8-42C4-9ADF-12B02624959D}" name="ערך נקוב" dataDxfId="381" dataCellStyle="Percent"/>
    <tableColumn id="12" xr3:uid="{2056A889-19C5-4983-957D-A6379EE080D4}" name="שער" dataDxfId="380" dataCellStyle="Percent"/>
    <tableColumn id="13" xr3:uid="{6B2B7823-DDBC-46FD-8DA0-F0406CBDF596}" name="שווי שוק" dataDxfId="379" dataCellStyle="Comma"/>
    <tableColumn id="14" xr3:uid="{12A7D9D7-2328-408D-80D0-60E06F96F1D7}" name="שעור מערך נקוב מונפק" dataDxfId="378" dataCellStyle="Percent"/>
    <tableColumn id="15" xr3:uid="{0132A497-8FD0-4AEB-A59B-063DA64698CB}" name="שעור מנכסי אפיק ההשקעה" dataDxfId="377" dataCellStyle="Percent"/>
    <tableColumn id="16" xr3:uid="{EA6015C3-8318-4F96-AA0A-A7D10973031E}" name="שעור מנכסי השקעה" dataDxfId="376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1FC42CA-B600-4009-B90C-1B629746BB8F}" name="טבלה15" displayName="טבלה15" ref="A7:O19" totalsRowShown="0" headerRowDxfId="356" headerRowBorderDxfId="372" tableBorderDxfId="373" headerRowCellStyle="Percent">
  <autoFilter ref="A7:O19" xr:uid="{2EA03F28-2DCE-434F-B637-82A2D841FB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F01705A-E6DC-47D1-B779-8FD910146CEC}" name="שם המנפיק/שם נייר ערך" dataDxfId="371"/>
    <tableColumn id="2" xr3:uid="{9273C16E-14DC-45B8-9415-E4EBB8C9C57D}" name="מספר נ&quot;ע" dataDxfId="370" dataCellStyle="Percent"/>
    <tableColumn id="3" xr3:uid="{82B00BB4-FC92-4685-A392-388B2A98833E}" name="דירוג" dataDxfId="369" dataCellStyle="Percent"/>
    <tableColumn id="4" xr3:uid="{BD72B19E-484A-4547-86CB-0C3CEF79F2C4}" name="שם מדרג" dataDxfId="368" dataCellStyle="Percent"/>
    <tableColumn id="5" xr3:uid="{5D328D0C-D76D-4F3F-9C51-6C0EEDB45EDC}" name="תאריך רכישה" dataDxfId="367" dataCellStyle="Percent"/>
    <tableColumn id="6" xr3:uid="{1DFA398A-4A58-4F3B-A539-43F6EB05F6C6}" name="מח&quot;מ" dataDxfId="366" dataCellStyle="Percent"/>
    <tableColumn id="7" xr3:uid="{4B6726D8-9886-4868-8DCE-94D5646A4111}" name="סוג מטבע" dataDxfId="365" dataCellStyle="Percent"/>
    <tableColumn id="8" xr3:uid="{DB253F6A-27DC-4097-8AC8-DFB9184BB9F3}" name="שעור ריבית" dataDxfId="364" dataCellStyle="Percent"/>
    <tableColumn id="9" xr3:uid="{8378EB2B-6650-42DC-BEDE-D5C91CC07B5F}" name="תשואה לפדיון" dataDxfId="363" dataCellStyle="Percent"/>
    <tableColumn id="10" xr3:uid="{2A496037-07F1-4465-A5C5-629A942BAB1D}" name="ערך נקוב" dataDxfId="362" dataCellStyle="Percent"/>
    <tableColumn id="11" xr3:uid="{4B87001B-27CB-489F-8C1B-AA6C56350C9D}" name="שער" dataDxfId="361" dataCellStyle="Percent"/>
    <tableColumn id="12" xr3:uid="{D799A658-B0D6-4E2F-B83B-1902B445FBE7}" name="שווי הוגן" dataDxfId="360" dataCellStyle="Comma"/>
    <tableColumn id="13" xr3:uid="{1FEA72D9-BF7B-42C0-B581-98B89A17428A}" name="שעור מערך נקוב מונפק" dataDxfId="359" dataCellStyle="Percent"/>
    <tableColumn id="14" xr3:uid="{4867DAA5-D9E0-4BAF-93A0-097BB7513369}" name="שעור מנכסי אפיק ההשקעה" dataDxfId="358" dataCellStyle="Percent"/>
    <tableColumn id="15" xr3:uid="{9523EAB6-E86C-4A6A-9B77-5213C28EA629}" name="שעור מנכסי השקעה" dataDxfId="357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47C51F8-1ED2-49C0-BA7D-5BB82BDF7EAE}" name="טבלה16" displayName="טבלה16" ref="A7:R18" totalsRowShown="0" headerRowDxfId="335" headerRowBorderDxfId="354" tableBorderDxfId="355" headerRowCellStyle="Percent">
  <autoFilter ref="A7:R18" xr:uid="{5F6DDC99-1F6F-4336-951C-C909BF7641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CEB8E50-8C06-45C9-96EF-2BF36F029B6F}" name="שם המנפיק/שם נייר ערך" dataDxfId="353"/>
    <tableColumn id="2" xr3:uid="{38591F43-5C77-4EF5-B4F0-77D452BC0DCF}" name="מספר נ&quot;ע" dataDxfId="352" dataCellStyle="Percent"/>
    <tableColumn id="3" xr3:uid="{9452F8A9-CE92-4E51-AD56-B48E0F8EA42A}" name="ספק המידע" dataDxfId="351" dataCellStyle="Percent"/>
    <tableColumn id="4" xr3:uid="{B4765A2C-2FDD-47EA-A6D0-AF4926F61702}" name="מספר מנפיק" dataDxfId="350" dataCellStyle="Percent"/>
    <tableColumn id="5" xr3:uid="{B0D63BB0-3516-4FA3-885B-66515CB91673}" name="ענף מסחר" dataDxfId="349" dataCellStyle="Percent"/>
    <tableColumn id="6" xr3:uid="{E7AE14FC-069B-4C8D-9CE0-AE01FCE53A6E}" name="דירוג" dataDxfId="348" dataCellStyle="Percent"/>
    <tableColumn id="7" xr3:uid="{06440BFE-7702-4DBA-B15B-486914AA8CCA}" name="שם מדרג" dataDxfId="347" dataCellStyle="Percent"/>
    <tableColumn id="8" xr3:uid="{6563A1C8-4843-4159-A351-E8E66F6BD324}" name="תאריך רכישה" dataDxfId="346" dataCellStyle="Percent"/>
    <tableColumn id="9" xr3:uid="{6D8EF253-E210-4ADF-A562-59C266157343}" name="מח&quot;מ" dataDxfId="345" dataCellStyle="Percent"/>
    <tableColumn id="10" xr3:uid="{5B93A7C1-A98D-4F94-97BC-227234A0054B}" name="סוג מטבע" dataDxfId="344" dataCellStyle="Percent"/>
    <tableColumn id="11" xr3:uid="{D019310A-F976-4727-A42B-62B659D072AA}" name="שעור ריבית" dataDxfId="343" dataCellStyle="Percent"/>
    <tableColumn id="12" xr3:uid="{81688E69-0872-4C30-8D71-57994C6CBF76}" name="תשואה לפדיון" dataDxfId="342" dataCellStyle="Percent"/>
    <tableColumn id="13" xr3:uid="{AA00ABC3-9297-44D2-8D17-CCF1A668893A}" name="ערך נקוב" dataDxfId="341" dataCellStyle="Percent"/>
    <tableColumn id="14" xr3:uid="{F72D5FA2-B795-48D1-A5FB-AE474B2FD1DA}" name="שער" dataDxfId="340" dataCellStyle="Percent"/>
    <tableColumn id="15" xr3:uid="{26E35338-580D-49B5-8188-696A8C924D92}" name="שווי הוגן" dataDxfId="339" dataCellStyle="Comma"/>
    <tableColumn id="16" xr3:uid="{09A00008-79F2-4E10-84FA-B922C3531278}" name="שעור מערך נקוב מונפק" dataDxfId="338" dataCellStyle="Percent"/>
    <tableColumn id="17" xr3:uid="{DC91911B-C5D4-40FD-BC52-06418968C896}" name="שעור מנכסי אפיק ההשקעה" dataDxfId="337" dataCellStyle="Percent"/>
    <tableColumn id="18" xr3:uid="{61D38BC5-2450-48A5-930F-129341CAAE47}" name="שעור מנכסי השקעה" dataDxfId="336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43FB80F-04C0-4292-8356-2ECF6D619F76}" name="טבלה17" displayName="טבלה17" ref="A7:R26" totalsRowShown="0" headerRowDxfId="313" dataDxfId="314" headerRowBorderDxfId="333" tableBorderDxfId="334" headerRowCellStyle="Percent" dataCellStyle="Percent">
  <autoFilter ref="A7:R26" xr:uid="{F63CD58C-45AB-4EB5-BCB9-BA5F6B2790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49457BC-5E6A-45FF-9E0D-F0B31761210E}" name="שם המנפיק/שם נייר ערך" dataDxfId="332"/>
    <tableColumn id="2" xr3:uid="{D61E5383-D129-4B5B-BDD1-F0DFF3E59DDB}" name="מספר נ&quot;ע" dataDxfId="331" dataCellStyle="Percent"/>
    <tableColumn id="3" xr3:uid="{1DCDB29C-322C-4968-ADB6-CFEC4561F7F4}" name="ספק המידע" dataDxfId="330" dataCellStyle="Percent"/>
    <tableColumn id="4" xr3:uid="{6E4D1147-5DF3-457B-8B85-197DCFDFCFA7}" name="מספר מנפיק" dataDxfId="329" dataCellStyle="Percent"/>
    <tableColumn id="5" xr3:uid="{CD1D0AB4-252E-48B3-90DE-9EA9C0C74712}" name="ענף מסחר" dataDxfId="328" dataCellStyle="Percent"/>
    <tableColumn id="6" xr3:uid="{517E1D9B-454C-4C7F-80F3-E8E787A8BF67}" name="דירוג" dataDxfId="327" dataCellStyle="Percent"/>
    <tableColumn id="7" xr3:uid="{CE971F0F-3421-40F5-9087-A510AA2B7796}" name="שם מדרג" dataDxfId="326" dataCellStyle="Percent"/>
    <tableColumn id="8" xr3:uid="{6F53B738-98A4-45D5-8D77-5FD97B580535}" name="תאריך רכישה" dataDxfId="325" dataCellStyle="Percent"/>
    <tableColumn id="9" xr3:uid="{116377C1-7E21-4B86-AF49-4A0E33523125}" name="מח&quot;מ" dataDxfId="324" dataCellStyle="Percent"/>
    <tableColumn id="10" xr3:uid="{FCAE5AE0-2469-4665-BC15-74E071D76289}" name="סוג מטבע" dataDxfId="323" dataCellStyle="Percent"/>
    <tableColumn id="11" xr3:uid="{C68DA0E5-32E7-455A-9892-3AE1B1F73E35}" name="שעור ריבית" dataDxfId="322" dataCellStyle="Percent"/>
    <tableColumn id="12" xr3:uid="{D34C5B3E-2349-4DBD-9302-E65C5BDA43DF}" name="תשואה לפדיון" dataDxfId="321" dataCellStyle="Percent"/>
    <tableColumn id="13" xr3:uid="{3182B3E6-3298-47BB-94F2-903872D59B8F}" name="ערך נקוב" dataDxfId="320" dataCellStyle="Percent"/>
    <tableColumn id="14" xr3:uid="{5A208C94-0E6A-4C18-B1E7-DA7016CD0724}" name="שער" dataDxfId="319" dataCellStyle="Percent"/>
    <tableColumn id="15" xr3:uid="{61E1EF42-4D5C-4E0C-A992-8C1CE69A28A9}" name="שווי הוגן" dataDxfId="318" dataCellStyle="Comma"/>
    <tableColumn id="16" xr3:uid="{A7B722C3-B703-4336-B59C-C83870BB5F4D}" name="שעור מערך נקוב מונפק" dataDxfId="317" dataCellStyle="Percent"/>
    <tableColumn id="17" xr3:uid="{4830D217-A5A5-4537-B428-64AF38686B0E}" name="שעור מנכסי אפיק ההשקעה" dataDxfId="316" dataCellStyle="Percent"/>
    <tableColumn id="18" xr3:uid="{554D61EC-71E5-42F5-B8F2-A3E3DB5EA009}" name="שעור מנכסי השקעה" dataDxfId="315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96BE0B5-5190-4169-840F-80D05A9A02D8}" name="טבלה18" displayName="טבלה18" ref="A7:L16" totalsRowShown="0" headerRowDxfId="297" dataDxfId="298" headerRowBorderDxfId="311" tableBorderDxfId="312" headerRowCellStyle="Percent" dataCellStyle="Percent">
  <autoFilter ref="A7:L16" xr:uid="{F348E4D7-A312-4BCD-9D34-453EF33691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8747BC2-A6C6-433B-B0C9-79BDE15F1169}" name="שם המנפיק/שם נייר ערך" dataDxfId="310"/>
    <tableColumn id="2" xr3:uid="{D3915AC2-D8E6-474D-BC30-01D138967606}" name="מספר נ&quot;ע" dataDxfId="309" dataCellStyle="Percent"/>
    <tableColumn id="3" xr3:uid="{45DCDD11-C6CB-4350-AF95-88647E3F68A5}" name="ספק המידע" dataDxfId="308" dataCellStyle="Percent"/>
    <tableColumn id="4" xr3:uid="{CCC6D9AD-5571-4C36-959F-97648D0052AB}" name="מספר מנפיק" dataDxfId="307" dataCellStyle="Percent"/>
    <tableColumn id="5" xr3:uid="{7A023705-00C0-4768-9F19-D40CCD6D0E30}" name="ענף מסחר" dataDxfId="306" dataCellStyle="Percent"/>
    <tableColumn id="6" xr3:uid="{D8414D72-9C20-4CC6-A4E1-313B2A626794}" name="סוג מטבע" dataDxfId="305" dataCellStyle="Percent"/>
    <tableColumn id="7" xr3:uid="{32F10FEE-5F68-471C-AA01-D1ED3B100EF5}" name="ערך נקוב" dataDxfId="304" dataCellStyle="Percent"/>
    <tableColumn id="8" xr3:uid="{D3125C6D-689B-4927-8C97-9AFE6D7687ED}" name="שער" dataDxfId="303" dataCellStyle="Percent"/>
    <tableColumn id="9" xr3:uid="{509CF5A4-E755-49CB-BEC9-B674A1B0D038}" name="שווי שוק" dataDxfId="302" dataCellStyle="Comma"/>
    <tableColumn id="10" xr3:uid="{0C613B0C-FA34-4462-84AD-6089734D08FB}" name="שעור מערך נקוב מונפק" dataDxfId="301" dataCellStyle="Percent"/>
    <tableColumn id="11" xr3:uid="{F912F9D5-BB2D-461C-BDAC-9B72EEC2CAAE}" name="שעור מנכסי אפיק ההשקעה" dataDxfId="300" dataCellStyle="Percent"/>
    <tableColumn id="12" xr3:uid="{6DF50FDF-82FF-4020-A3B4-576B612B9866}" name="שעור מנכסי השקעה" dataDxfId="299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96514AA-E837-4E0C-B4AB-62130F00F054}" name="טבלה19" displayName="טבלה19" ref="A7:J26" totalsRowShown="0" headerRowDxfId="283" dataDxfId="284" headerRowBorderDxfId="295" tableBorderDxfId="296" headerRowCellStyle="Percent" dataCellStyle="Percent">
  <autoFilter ref="A7:J26" xr:uid="{201A6FC5-229A-4E52-BFCA-3F6EAF0ED1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416FF18-63C8-4F93-998C-388482783DC2}" name="שם המנפיק/שם נייר ערך" dataDxfId="294"/>
    <tableColumn id="2" xr3:uid="{997637EF-6CB3-4DBD-96A5-B73F9B104EFE}" name="מספר נ&quot;ע" dataDxfId="293" dataCellStyle="Percent"/>
    <tableColumn id="3" xr3:uid="{76A0B869-CF11-49BD-8E2A-B54A63AF4F62}" name="סוג מטבע" dataDxfId="292" dataCellStyle="Percent"/>
    <tableColumn id="4" xr3:uid="{D6B5D399-8F1F-4C3E-B542-E7DCA83A1F13}" name="תאריך רכישה" dataDxfId="291" dataCellStyle="Percent"/>
    <tableColumn id="5" xr3:uid="{DEA48E7A-05B0-4F78-A335-C9FDCFF39A49}" name="ערך נקוב" dataDxfId="290" dataCellStyle="Percent"/>
    <tableColumn id="6" xr3:uid="{A61E86A5-EE42-439C-B33C-8BFDF1F9F8D0}" name="שער" dataDxfId="289" dataCellStyle="Percent"/>
    <tableColumn id="7" xr3:uid="{09F58A57-9412-4FF2-91F9-7F9C4E509D8E}" name="שווי הוגן" dataDxfId="288" dataCellStyle="Comma"/>
    <tableColumn id="8" xr3:uid="{9CC3F8D8-D38F-4BBD-B8B0-0789544E1DB8}" name="שעור מערך נקוב מונפק" dataDxfId="287" dataCellStyle="Percent"/>
    <tableColumn id="9" xr3:uid="{B4098BC7-B3F6-4EA5-A28A-7C0C961A2BB1}" name="שעור מנכסי אפיק ההשקעה" dataDxfId="286" dataCellStyle="Percent"/>
    <tableColumn id="10" xr3:uid="{96FDE63D-FBDF-4F9B-8175-F255BE98000C}" name="שעור מנכסי השקעה" dataDxfId="285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929A70F-8A07-4A0D-9A74-DD1611B798CA}" name="טבלה20" displayName="טבלה20" ref="A7:K13" totalsRowShown="0" headerRowDxfId="280" headerRowBorderDxfId="281" tableBorderDxfId="282" headerRowCellStyle="Percent">
  <autoFilter ref="A7:K13" xr:uid="{FF152A24-3031-4A0D-B38F-D4285860C2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6E28E95-92E1-41C2-BECB-E9B1AC03FE90}" name="שם המנפיק/שם נייר ערך"/>
    <tableColumn id="2" xr3:uid="{EA3171C6-860F-4882-959C-0CAB7C912973}" name="מספר נ&quot;ע"/>
    <tableColumn id="3" xr3:uid="{09ECBEBE-D81E-4235-8693-DF0839B47BAA}" name="ענף מסחר"/>
    <tableColumn id="4" xr3:uid="{581DE53B-4EB1-42BA-AB29-18DA9B2BB6A9}" name="סוג מטבע"/>
    <tableColumn id="5" xr3:uid="{01705AB2-42D1-4094-9052-CDB6C6F46F64}" name="תאריך רכישה"/>
    <tableColumn id="6" xr3:uid="{83895238-DFEC-4F79-8E53-2E27D755DEDC}" name="ערך נקוב"/>
    <tableColumn id="7" xr3:uid="{623B0062-368B-4ADB-B0CF-4E8CA2AFA0C0}" name="שער"/>
    <tableColumn id="8" xr3:uid="{D215C324-2C2E-4009-A8DE-49AD19E49FAF}" name="שווי הוגן"/>
    <tableColumn id="9" xr3:uid="{88C2187D-4BA3-45C7-AE6F-1873506700AF}" name="שעור מערך נקוב מונפק"/>
    <tableColumn id="10" xr3:uid="{1426317B-2DED-4C75-824B-A1139D1492A2}" name="שעור מנכסי אפיק ההשקעה"/>
    <tableColumn id="11" xr3:uid="{560DEC09-5772-444D-ABF5-5B29132D0EBC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70B0B21-5E66-40F3-A9CD-E735FA955ED0}" name="טבלה21" displayName="טבלה21" ref="A7:K36" totalsRowShown="0" headerRowDxfId="265" dataDxfId="266" headerRowBorderDxfId="278" tableBorderDxfId="279" headerRowCellStyle="Percent" dataCellStyle="Percent">
  <autoFilter ref="A7:K36" xr:uid="{70C44C20-F2D0-494D-8518-7B5CFC9D0E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B05C69D-DF2A-400A-9D96-4B86C49B2B51}" name="שם המנפיק/שם נייר ערך" dataDxfId="277"/>
    <tableColumn id="2" xr3:uid="{90298D7D-79A2-4E84-BB8E-010134E3775E}" name="מספר נ&quot;ע" dataDxfId="276" dataCellStyle="Percent"/>
    <tableColumn id="3" xr3:uid="{9507DA21-0882-407C-BBD0-7E04B02159BC}" name="ענף מסחר" dataDxfId="275" dataCellStyle="Percent"/>
    <tableColumn id="4" xr3:uid="{2CC0CC6B-9FDD-4748-B1F0-14CB9E78A259}" name="סוג מטבע" dataDxfId="274" dataCellStyle="Percent"/>
    <tableColumn id="5" xr3:uid="{17CDF07B-9B88-4423-891D-F8C18D3A7C1B}" name="תאריך רכישה" dataDxfId="273" dataCellStyle="Percent"/>
    <tableColumn id="6" xr3:uid="{DD6744D7-886B-4A93-BC0F-D9344A367245}" name="ערך נקוב" dataDxfId="272" dataCellStyle="Percent"/>
    <tableColumn id="7" xr3:uid="{F9865247-C2FE-4D06-8E3A-CE31FD2B99C5}" name="שער" dataDxfId="271" dataCellStyle="Percent"/>
    <tableColumn id="8" xr3:uid="{40474CF7-C8A7-4EEE-A6EA-68B444B0B91C}" name="שווי הוגן" dataDxfId="270" dataCellStyle="Comma"/>
    <tableColumn id="9" xr3:uid="{B74D5792-570B-45EE-B493-8B8E922B8FD5}" name="שעור מערך נקוב מונפק" dataDxfId="269" dataCellStyle="Percent"/>
    <tableColumn id="10" xr3:uid="{8C639932-D8A3-4720-B782-B7439B3041B8}" name="שעור מנכסי אפיק ההשקעה" dataDxfId="268" dataCellStyle="Percent"/>
    <tableColumn id="11" xr3:uid="{709DE097-E245-40DC-BA69-DEAA36F551E6}" name="שעור מנכסי השקעה" dataDxfId="267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19735C4-6696-4087-9244-7B04EBACE4B4}" name="טבלה22" displayName="טבלה22" ref="A7:J203" totalsRowShown="0" headerRowDxfId="251" dataDxfId="252" headerRowBorderDxfId="263" tableBorderDxfId="264" headerRowCellStyle="Percent" dataCellStyle="Percent">
  <autoFilter ref="A7:J203" xr:uid="{47CB4C7B-2150-4ABB-9090-53F3725A71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A4EF0EB-E064-41D5-A0C4-0B9248B059A2}" name="שם המנפיק/שם נייר ערך" dataDxfId="262"/>
    <tableColumn id="2" xr3:uid="{B08A0F7A-1E1D-4B72-AFCC-3F11901BD7E1}" name="מספר נ&quot;ע" dataDxfId="261" dataCellStyle="Percent"/>
    <tableColumn id="3" xr3:uid="{520FFC0D-7E2D-479D-8F14-53F192CA68F2}" name="ענף מסחר" dataDxfId="260" dataCellStyle="Percent"/>
    <tableColumn id="4" xr3:uid="{8D869DFB-24EE-409B-BFAB-E04F6FD73069}" name="סוג מטבע" dataDxfId="259" dataCellStyle="Percent"/>
    <tableColumn id="5" xr3:uid="{B5A2851E-EA05-4873-9996-73EB0D387518}" name="תאריך רכישה" dataDxfId="258" dataCellStyle="Percent"/>
    <tableColumn id="6" xr3:uid="{87BC5073-E75A-47AF-9854-12CF6560BDB3}" name="ערך נקוב" dataDxfId="257" dataCellStyle="Percent"/>
    <tableColumn id="7" xr3:uid="{F99A16FD-3F1A-4A78-9D15-D187208CA797}" name="שער" dataDxfId="256" dataCellStyle="Percent"/>
    <tableColumn id="8" xr3:uid="{6A283BCE-EFBA-4D6A-8537-B25E5C29FEBD}" name="שווי הוגן" dataDxfId="255" dataCellStyle="Comma"/>
    <tableColumn id="9" xr3:uid="{CF18F845-FD7E-4599-9510-99B3151D02E4}" name="שעור מנכסי אפיק ההשקעה" dataDxfId="254" dataCellStyle="Percent"/>
    <tableColumn id="10" xr3:uid="{53E69B85-A789-4DE8-B97B-42A8985BD332}" name="שעור מנכסי השקעה" dataDxfId="253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5B93773-8A78-401C-940B-736F8D2E6F59}" name="טבלה23" displayName="טבלה23" ref="A7:P26" totalsRowShown="0" headerRowDxfId="231" dataDxfId="232" headerRowBorderDxfId="249" tableBorderDxfId="250" headerRowCellStyle="Percent" dataCellStyle="Percent">
  <autoFilter ref="A7:P26" xr:uid="{D86F5150-4501-413B-AE48-E190D724D6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1BE4032-2755-4471-8442-F84CADBC03ED}" name="שם המנפיק/שם נייר ערך" dataDxfId="248"/>
    <tableColumn id="2" xr3:uid="{E03BFE3C-71B8-4B89-8C37-788B8DAEA39E}" name="מספר נ&quot;ע" dataDxfId="247" dataCellStyle="Percent"/>
    <tableColumn id="3" xr3:uid="{90B2BD51-4373-44B0-96A3-97762C8C307C}" name="נכס הבסיס" dataDxfId="246" dataCellStyle="Percent"/>
    <tableColumn id="4" xr3:uid="{C8FD7AAE-7112-4161-8A75-231C4082292A}" name="דירוג" dataDxfId="245" dataCellStyle="Percent"/>
    <tableColumn id="5" xr3:uid="{F25D8351-928C-47BA-9286-10B4E33441B0}" name="שם מדרג" dataDxfId="244" dataCellStyle="Percent"/>
    <tableColumn id="6" xr3:uid="{038FCF9A-160E-456E-BC66-9D5644B8DD9D}" name="תאריך רכישה" dataDxfId="243" dataCellStyle="Percent"/>
    <tableColumn id="7" xr3:uid="{CF054B1F-D2FF-4469-9C54-0C6FAC9A4AD7}" name="מח&quot;מ" dataDxfId="242" dataCellStyle="Percent"/>
    <tableColumn id="8" xr3:uid="{8C24C433-5F0C-4A54-953A-7F806E8AFB53}" name="סוג מטבע" dataDxfId="241" dataCellStyle="Percent"/>
    <tableColumn id="9" xr3:uid="{6EBE3945-B9FE-46F4-92CC-CED278646075}" name="שעור ריבית" dataDxfId="240" dataCellStyle="Percent"/>
    <tableColumn id="10" xr3:uid="{364DAF33-7BE9-4BAC-92B8-C206B7868AFF}" name="תשואה לפדיון" dataDxfId="239" dataCellStyle="Percent"/>
    <tableColumn id="11" xr3:uid="{33439622-926D-4582-B19E-F22A03BC1BDC}" name="ערך נקוב" dataDxfId="238" dataCellStyle="Percent"/>
    <tableColumn id="12" xr3:uid="{742DF3AE-E03D-4FC5-8A16-0F7BB2E384F4}" name="שער" dataDxfId="237" dataCellStyle="Percent"/>
    <tableColumn id="13" xr3:uid="{1503BE32-FA69-4DD9-8D28-FF1E94BD6165}" name="שווי שוק" dataDxfId="236" dataCellStyle="Comma"/>
    <tableColumn id="14" xr3:uid="{B4295641-04CB-4800-9EA9-574A0FD772E2}" name="שעור מערך נקוב מונפק" dataDxfId="235" dataCellStyle="Percent"/>
    <tableColumn id="15" xr3:uid="{1440F506-C9C5-4CA9-BA8F-25E94D4F7C63}" name="שעור מנכסי אפיק ההשקעה" dataDxfId="234" dataCellStyle="Percent"/>
    <tableColumn id="16" xr3:uid="{FC2F8050-6E36-4A8A-8696-3E551B1E7C47}" name="שעור מנכסי השקעה" dataDxfId="233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FD0E9-ACF9-4B75-98B8-C94BFA7855E5}" name="טבלה1" displayName="טבלה1" ref="A6:Q67" totalsRowShown="0" headerRowDxfId="580" dataDxfId="581" headerRowBorderDxfId="599" tableBorderDxfId="600" headerRowCellStyle="Percent" dataCellStyle="Percent">
  <autoFilter ref="A6:Q67" xr:uid="{87D9C21F-D16D-4743-823A-6B96CDF9D8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B450F44-73C4-4680-858E-6376AC78AC27}" name="שם המנפיק/שם נייר ערך" dataDxfId="598"/>
    <tableColumn id="2" xr3:uid="{02D2E2CA-E1AA-4667-94A4-2E0DF77C9ABC}" name="קונסורציום" dataDxfId="597" dataCellStyle="Percent"/>
    <tableColumn id="3" xr3:uid="{40191ED9-0F61-4ECB-8B60-2A5605BE73A7}" name="מספר נ&quot;ע" dataDxfId="596" dataCellStyle="Percent"/>
    <tableColumn id="4" xr3:uid="{2ED6E1E8-0FAE-43F0-9A34-3E874E906726}" name="מספר מנפיק" dataDxfId="595" dataCellStyle="Percent"/>
    <tableColumn id="5" xr3:uid="{B191784D-7D81-416D-84F1-1BE5D61914F7}" name="דירוג" dataDxfId="594" dataCellStyle="Percent"/>
    <tableColumn id="6" xr3:uid="{1C1761E6-151F-48B9-993F-CC622707FA89}" name="תאריך רכישה" dataDxfId="593" dataCellStyle="Percent"/>
    <tableColumn id="7" xr3:uid="{62B9B209-4D22-43AD-A840-64C8CC1AA4E0}" name="שם מדרג" dataDxfId="592" dataCellStyle="Percent"/>
    <tableColumn id="8" xr3:uid="{764D8BC6-5386-418E-9ECB-90E8816E4EDB}" name="מח&quot;מ" dataDxfId="591" dataCellStyle="Percent"/>
    <tableColumn id="9" xr3:uid="{58D88769-8A02-417D-A8E3-5511496577BC}" name="ענף משק" dataDxfId="590" dataCellStyle="Percent"/>
    <tableColumn id="10" xr3:uid="{54D03808-C1CD-43F1-A3C6-7B33E1C68EA6}" name="סוג מטבע" dataDxfId="589" dataCellStyle="Percent"/>
    <tableColumn id="11" xr3:uid="{7BA81852-1D66-4125-8EFD-7EC5C5FFF1B7}" name="שעור ריבית ממוצע" dataDxfId="588" dataCellStyle="Percent"/>
    <tableColumn id="12" xr3:uid="{67E3AE4F-9961-4F46-BCD9-D4DAD90E750F}" name="תשואה לפדיון" dataDxfId="587" dataCellStyle="Percent"/>
    <tableColumn id="13" xr3:uid="{07E92518-F97B-4A66-BAE1-51719FE807D3}" name="ערך נקוב" dataDxfId="586" dataCellStyle="Comma"/>
    <tableColumn id="14" xr3:uid="{181D1101-52F2-4678-B35A-4F9F239E7799}" name="שער" dataDxfId="585" dataCellStyle="Percent"/>
    <tableColumn id="15" xr3:uid="{592EA6DC-E6C9-4483-A845-A1ED3900626D}" name="שווי הוגן" dataDxfId="584" dataCellStyle="Comma"/>
    <tableColumn id="16" xr3:uid="{8FC06AA4-F030-42A9-98B9-669813D23EDA}" name="שעור מנכסי אפיק ההשקעה" dataDxfId="583" dataCellStyle="Percent"/>
    <tableColumn id="17" xr3:uid="{91EBD862-FE5C-471C-8158-00E404D988F8}" name="שעור מנכסי השקעה" dataDxfId="582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0A98B48-81D0-46CD-82B7-8D5113B8C704}" name="טבלה24" displayName="טבלה24" ref="A6:N16" totalsRowShown="0" headerRowDxfId="213" dataDxfId="214" headerRowBorderDxfId="229" tableBorderDxfId="230" headerRowCellStyle="Percent" dataCellStyle="Percent">
  <autoFilter ref="A6:N16" xr:uid="{D2A33254-BBBC-4EBB-BD02-CFB9AD7825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B0241F1-1B2F-402D-805A-B87309EF1B43}" name="שם המנפיק/שם נייר ערך" dataDxfId="228"/>
    <tableColumn id="2" xr3:uid="{5D7F4FC8-9874-4314-A57A-4AF77ED32080}" name="מספר נ&quot;ע" dataDxfId="227" dataCellStyle="Percent"/>
    <tableColumn id="3" xr3:uid="{A2CEFD0A-AB89-43CC-B296-0A2626265DA8}" name="מספר מנפיק" dataDxfId="226" dataCellStyle="Percent"/>
    <tableColumn id="4" xr3:uid="{62CA6E24-8C40-4466-AB16-992EB6A76366}" name="דירוג" dataDxfId="225" dataCellStyle="Percent"/>
    <tableColumn id="5" xr3:uid="{8201F504-74D1-4E65-9320-F04279D38C96}" name="שם מדרג" dataDxfId="224" dataCellStyle="Percent"/>
    <tableColumn id="6" xr3:uid="{77AB618B-5E27-4D2C-8CA6-E98F9F89BC34}" name="מח&quot;מ" dataDxfId="223" dataCellStyle="Percent"/>
    <tableColumn id="7" xr3:uid="{D7EDCE75-6D50-4898-BFDA-34017805732E}" name="סוג מטבע" dataDxfId="222" dataCellStyle="Percent"/>
    <tableColumn id="8" xr3:uid="{18F8E828-C842-41BC-BFD2-A04DA1D7275C}" name="תנאי ושיעור ריבית" dataDxfId="221" dataCellStyle="Percent"/>
    <tableColumn id="9" xr3:uid="{303E1FB7-5965-49FA-815E-9F5AE6EE73BD}" name="תשואה לפדיון" dataDxfId="220" dataCellStyle="Percent"/>
    <tableColumn id="10" xr3:uid="{F1389441-8003-4FE4-B60B-DB4C36447504}" name="ערך נקוב" dataDxfId="219" dataCellStyle="Percent"/>
    <tableColumn id="11" xr3:uid="{36D63C36-9F34-492D-AA90-2EBC32DB3B5B}" name="שער" dataDxfId="218" dataCellStyle="Percent"/>
    <tableColumn id="12" xr3:uid="{3011BDC6-5A44-47C5-8030-D812CB7A721C}" name="שווי הוגן" dataDxfId="217" dataCellStyle="Comma"/>
    <tableColumn id="13" xr3:uid="{B6C67EFE-BE9E-4B5A-9454-05F32D68BA00}" name="שעור מנכסי אפיק ההשקעה" dataDxfId="216" dataCellStyle="Percent"/>
    <tableColumn id="14" xr3:uid="{2001FEF9-EEBE-44CC-AA0D-761560D6118D}" name="שעור מנכסי השקעה" dataDxfId="215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CCC8EC1-0BA4-4E3F-8F64-C05E7CCD3D3A}" name="טבלה25" displayName="טבלה25" ref="A6:I15" totalsRowShown="0" headerRowDxfId="200" dataDxfId="201" headerRowBorderDxfId="211" tableBorderDxfId="212" headerRowCellStyle="Percent" dataCellStyle="Percent">
  <autoFilter ref="A6:I15" xr:uid="{694BAD6E-ED1B-49C9-9655-8E0C961161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205959D-C11B-438B-96D6-97E555CB3277}" name="שם המנפיק/שם נייר ערך" dataDxfId="210"/>
    <tableColumn id="2" xr3:uid="{97B6A8A8-CD28-4057-B3E6-32D2EBCA266E}" name="תאריך שערוך אחרון" dataDxfId="209" dataCellStyle="Percent"/>
    <tableColumn id="3" xr3:uid="{B022281D-A9EE-4C47-AB08-C60DB0CD5B78}" name="אופי הנכס" dataDxfId="208" dataCellStyle="Percent"/>
    <tableColumn id="4" xr3:uid="{B7217E7B-B4E2-4FA1-84FF-8D3DD38EC237}" name="שעור תשואה במהלך התקופה" dataDxfId="207" dataCellStyle="Percent"/>
    <tableColumn id="5" xr3:uid="{EAF8F25D-A127-4947-AC83-D625B144E9C8}" name="סוג מטבע" dataDxfId="206" dataCellStyle="Percent"/>
    <tableColumn id="6" xr3:uid="{CCD51A60-DC11-438B-BB7D-5175A4CDDF80}" name="שווי משוערך" dataDxfId="205" dataCellStyle="Comma"/>
    <tableColumn id="7" xr3:uid="{60F28D07-29FD-401D-B619-5FB326434DEB}" name="שעור מנכסי אפיק ההשקעה" dataDxfId="204" dataCellStyle="Percent"/>
    <tableColumn id="8" xr3:uid="{FD0B733B-4F7B-4C91-BD9E-552123091354}" name="שעור מנכסי השקעה" dataDxfId="203" dataCellStyle="Percent"/>
    <tableColumn id="9" xr3:uid="{F5081984-13C4-4B5C-87F6-B4EA7DABBA7A}" name="כתובת הנכס" dataDxfId="202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470F3C6-86A2-4A7F-BA41-364F775D0823}" name="טבלה26" displayName="טבלה26" ref="A6:J11" totalsRowShown="0" headerRowDxfId="197" headerRowBorderDxfId="198" tableBorderDxfId="199" headerRowCellStyle="Percent">
  <autoFilter ref="A6:J11" xr:uid="{70D11DE6-A4CB-4A05-8220-06AC87C29F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49C7BD5-A941-40E0-A9A4-074B0465A091}" name="שם המנפיק/שם נייר ערך"/>
    <tableColumn id="2" xr3:uid="{6EF17EA1-3084-40FF-8C3A-1AA28F5C28B7}" name="מספר מנפיק"/>
    <tableColumn id="3" xr3:uid="{D8432CFB-BE17-4361-948E-D7F50919EBF0}" name="דירוג"/>
    <tableColumn id="4" xr3:uid="{5F8BA5B4-DD91-4E5A-97C8-4E5925AFC638}" name="שם המדרג"/>
    <tableColumn id="5" xr3:uid="{4A4E609D-F770-4860-A9A2-6E240747820E}" name="שעור הריבית"/>
    <tableColumn id="6" xr3:uid="{E5094531-83DC-49C1-83C0-E690F06F82B2}" name="סוג מטבע"/>
    <tableColumn id="7" xr3:uid="{5A6B7C39-3882-455E-B762-DCBB7B84C7F8}" name="תשואה לפדיון"/>
    <tableColumn id="8" xr3:uid="{7C438F2A-8B04-46BD-B3E7-809B99320D5B}" name="שווי הוגן"/>
    <tableColumn id="9" xr3:uid="{7CE959A2-6FD9-40F7-ADC6-0A096F644B62}" name="שעור מנכסי אפיק ההשקעה"/>
    <tableColumn id="10" xr3:uid="{4BC859EF-5706-41A9-8463-3A892E2C761D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04AA3B7-92CE-44B3-8523-662F92843E2C}" name="טבלה27" displayName="טבלה27" ref="A6:J15" totalsRowShown="0" headerRowDxfId="184" headerRowBorderDxfId="195" tableBorderDxfId="196" headerRowCellStyle="Percent">
  <autoFilter ref="A6:J15" xr:uid="{B1CC51D6-25D1-410B-A11F-93BE201489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20461F5-4142-493F-AAD7-5E06E8AEB487}" name="שם המנפיק/שם נייר ערך" dataDxfId="194"/>
    <tableColumn id="2" xr3:uid="{E0B0115D-C4DB-4E28-85F1-F5D621DA0CC2}" name="מספר נייר" dataDxfId="193" dataCellStyle="Percent"/>
    <tableColumn id="3" xr3:uid="{C92AE95C-A434-4A25-86CB-70A74E1ADB44}" name="דירוג" dataDxfId="192" dataCellStyle="Percent"/>
    <tableColumn id="4" xr3:uid="{CCD7B522-7C5F-403D-AC44-7414A35D50A2}" name="שם מדרג" dataDxfId="191" dataCellStyle="Percent"/>
    <tableColumn id="5" xr3:uid="{D1447926-B34E-419F-BA60-1FC1776E0E6D}" name="שעור ריבית" dataDxfId="190" dataCellStyle="Percent"/>
    <tableColumn id="6" xr3:uid="{669B7A7D-E06B-4F04-8080-B0076F02527D}" name="סוג מטבע" dataDxfId="189" dataCellStyle="Comma"/>
    <tableColumn id="7" xr3:uid="{8C10342F-EF76-4973-9174-BC976788799E}" name="תשואה לפדיון" dataDxfId="188" dataCellStyle="Percent"/>
    <tableColumn id="8" xr3:uid="{5E3FFADE-5950-43AC-98EC-6B4525FDF639}" name="שווי הוגן" dataDxfId="187" dataCellStyle="Comma"/>
    <tableColumn id="9" xr3:uid="{FF804CE0-D6CA-4837-BBC5-A1279B30044B}" name="שעור מנכסי אפיק ההשקעה" dataDxfId="186" dataCellStyle="Percent"/>
    <tableColumn id="10" xr3:uid="{0D30AB50-7DFC-4F72-9ECA-AD2697C2E1C1}" name="שעור מנכסי השקעה" dataDxfId="185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41281B0-7E21-4712-BA73-A11DA556288B}" name="טבלה28" displayName="טבלה28" ref="A6:C11" totalsRowShown="0" headerRowBorderDxfId="182" tableBorderDxfId="183">
  <autoFilter ref="A6:C11" xr:uid="{94673E4F-3B70-4321-B6C5-22055E5C4040}">
    <filterColumn colId="0" hiddenButton="1"/>
    <filterColumn colId="1" hiddenButton="1"/>
    <filterColumn colId="2" hiddenButton="1"/>
  </autoFilter>
  <tableColumns count="3">
    <tableColumn id="1" xr3:uid="{42F5EB1B-81A6-4992-85C8-2702E4F59DC8}" name="שם המנפיק/שם נייר ערך"/>
    <tableColumn id="2" xr3:uid="{8EBA8832-5A6F-4774-8E68-5B3CCD2389E6}" name="סכום ההתחייבות"/>
    <tableColumn id="3" xr3:uid="{3A80CB9A-2EB6-4936-813A-75473DF65020}" name="תאריך סיום ההתחייבות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5C3EE4B-71EA-4EDC-8724-44F6ADA62FC7}" name="טבלה29" displayName="טבלה29" ref="A6:O19" totalsRowShown="0" headerRowDxfId="164" headerRowBorderDxfId="180" tableBorderDxfId="181" headerRowCellStyle="Percent">
  <autoFilter ref="A6:O19" xr:uid="{9EE6C54F-98C0-420A-8203-7F20DF9BC3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25D8CE4-8EFF-4222-9E43-CF3AC616DB5A}" name="שם המנפיק/שם נייר ערך" dataDxfId="179"/>
    <tableColumn id="2" xr3:uid="{22549315-9500-4C4E-999C-A28C66555930}" name="מספר ני&quot;ע" dataDxfId="178" dataCellStyle="Percent"/>
    <tableColumn id="3" xr3:uid="{DB438787-8076-4FCC-A3C1-1DAEE3961122}" name="ענף מסחר" dataDxfId="177" dataCellStyle="Percent"/>
    <tableColumn id="4" xr3:uid="{027B6CE0-1744-4F24-AE61-935C974FDE41}" name="דירוג" dataDxfId="176" dataCellStyle="Percent"/>
    <tableColumn id="5" xr3:uid="{95705DAC-CF45-4C51-BA7E-6BFC8B585255}" name="שם מדרג" dataDxfId="175" dataCellStyle="Percent"/>
    <tableColumn id="6" xr3:uid="{87E04347-0F2D-41CE-B3F0-7DA238DD4E4F}" name="תאריך רכישה" dataDxfId="174" dataCellStyle="Percent"/>
    <tableColumn id="7" xr3:uid="{A7F446BE-FD69-4BCD-AEFE-BE5C4B750D10}" name="מח&quot;מ" dataDxfId="173" dataCellStyle="Percent"/>
    <tableColumn id="8" xr3:uid="{58E448E7-60BB-4911-B4F5-3C54AFC6AC97}" name="סוג מטבע" dataDxfId="172" dataCellStyle="Percent"/>
    <tableColumn id="9" xr3:uid="{3A8D2F9B-8F39-4A5D-843E-5856EBDAC449}" name="שיעור ריבית" dataDxfId="171" dataCellStyle="Percent"/>
    <tableColumn id="10" xr3:uid="{1775D2AC-5412-4FCA-84B8-3F975B0D8DAA}" name="ריבית אפקטיבית" dataDxfId="170" dataCellStyle="Percent"/>
    <tableColumn id="11" xr3:uid="{4F0AB1AF-6940-4CE0-B0F7-17C10D50E3EE}" name="ערך נקוב" dataDxfId="169" dataCellStyle="Comma"/>
    <tableColumn id="12" xr3:uid="{2C9A3D60-E287-4B73-B4E7-FE53670B010D}" name="עלות מתואמת" dataDxfId="168" dataCellStyle="Percent"/>
    <tableColumn id="13" xr3:uid="{04583D8E-188F-494A-9FAB-7AA980E3A950}" name="שעור מערך נקוב מונפק" dataDxfId="167" dataCellStyle="Comma"/>
    <tableColumn id="14" xr3:uid="{C879775E-3232-438D-94C5-A525B769B15C}" name="שעור מנכסי אפיק ההשקעה" dataDxfId="166" dataCellStyle="Percent"/>
    <tableColumn id="15" xr3:uid="{5CB5BAAF-AABA-437D-8CB5-479254FC397B}" name="שעור מסך נכסי השקעה**" dataDxfId="16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48C1B0E-52E6-40BF-AF76-F2616C294C88}" name="טבלה30" displayName="טבלה30" ref="A6:O18" totalsRowShown="0" headerRowDxfId="146" headerRowBorderDxfId="162" tableBorderDxfId="163" headerRowCellStyle="Percent">
  <autoFilter ref="A6:O18" xr:uid="{2A0F5013-861D-41EE-956D-8265762271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BFD96D6-5115-4FB2-B504-97DD77C90889}" name="שם המנפיק/שם נייר ערך" dataDxfId="161"/>
    <tableColumn id="2" xr3:uid="{065C205C-6E9E-43E4-A95C-B4A422A612E1}" name="מספר ני&quot;ע" dataDxfId="160" dataCellStyle="Percent"/>
    <tableColumn id="3" xr3:uid="{9A384E4E-97B9-47AC-A3E6-68D94270389B}" name="ענף מסחר" dataDxfId="159" dataCellStyle="Percent"/>
    <tableColumn id="4" xr3:uid="{61EE2AD3-5EFE-4676-8D2A-EBBD1CE4C555}" name="דירוג" dataDxfId="158" dataCellStyle="Percent"/>
    <tableColumn id="5" xr3:uid="{D2869C68-FDFC-49D5-9C86-A21925D45F59}" name="שם מדרג" dataDxfId="157" dataCellStyle="Percent"/>
    <tableColumn id="6" xr3:uid="{934ED0A4-5199-474F-AC2B-DAF483903D36}" name="תאריך רכישה" dataDxfId="156" dataCellStyle="Percent"/>
    <tableColumn id="7" xr3:uid="{5A74D4C8-BC38-4BCF-95BE-D3AB874A1E94}" name="מח&quot;מ" dataDxfId="155" dataCellStyle="Percent"/>
    <tableColumn id="8" xr3:uid="{FAFBE9D6-9C09-4A5B-BF91-00D2ACF15960}" name="סוג מטבע" dataDxfId="154" dataCellStyle="Percent"/>
    <tableColumn id="9" xr3:uid="{BF05CEE6-F0A1-48DC-8959-AFB04725424A}" name="שיעור ריבית" dataDxfId="153" dataCellStyle="Percent"/>
    <tableColumn id="10" xr3:uid="{0DBAAD77-30F7-48B6-A8C4-6BAC6494A8A2}" name="ריבית אפקטיבית" dataDxfId="152" dataCellStyle="Percent"/>
    <tableColumn id="11" xr3:uid="{B6E49AA6-1E67-45D6-B469-AEEE8A9A4B5B}" name="ערך נקוב" dataDxfId="151" dataCellStyle="Comma"/>
    <tableColumn id="12" xr3:uid="{6A4F3748-1CAE-4857-BF60-1AB17D3F93F1}" name="עלות מתואמת" dataDxfId="150" dataCellStyle="Percent"/>
    <tableColumn id="13" xr3:uid="{AD28CAF9-6111-4BE6-AFA2-E7D87AFD280D}" name="שעור מערך נקוב מונפק" dataDxfId="149" dataCellStyle="Comma"/>
    <tableColumn id="14" xr3:uid="{39E883D2-3EB9-49F8-94B3-57DA07625D28}" name="שעור מנכסי אפיק ההשקעה" dataDxfId="148" dataCellStyle="Percent"/>
    <tableColumn id="15" xr3:uid="{0FFAFBC1-F2AB-4A65-8396-2B73600573E2}" name="שעור מסך נכסי השקעה**" dataDxfId="14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1FF3603-F30B-4F2B-B846-896B09A1B3B7}" name="טבלה31" displayName="טבלה31" ref="A6:O19" totalsRowShown="0" headerRowDxfId="0" headerRowBorderDxfId="16" tableBorderDxfId="17" headerRowCellStyle="Percent">
  <autoFilter ref="A6:O19" xr:uid="{4B50960E-0D66-4D6D-84CA-5B01DF8092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1ACE858-09C6-41D8-BF25-85D429E9DDBF}" name="שם המנפיק/שם נייר ערך" dataDxfId="15"/>
    <tableColumn id="2" xr3:uid="{180D14B7-CA17-4F01-8F95-02E194759D52}" name="מספר ני&quot;ע" dataDxfId="14" dataCellStyle="Percent"/>
    <tableColumn id="3" xr3:uid="{012FD235-FBB4-4A07-8F12-5A5D4E463BF4}" name="ענף מסחר" dataDxfId="13" dataCellStyle="Percent"/>
    <tableColumn id="4" xr3:uid="{46EB3199-0618-468C-8851-772A2E76C45D}" name="דירוג" dataDxfId="12" dataCellStyle="Percent"/>
    <tableColumn id="5" xr3:uid="{DDC382AF-62B0-4654-98E8-93402392D02C}" name="שם מדרג" dataDxfId="11" dataCellStyle="Percent"/>
    <tableColumn id="6" xr3:uid="{42B75167-CF0F-4774-9E39-2ADD8D0E1138}" name="תאריך רכישה" dataDxfId="10" dataCellStyle="Percent"/>
    <tableColumn id="7" xr3:uid="{E87CF993-75F3-4E6C-9BB9-8D4C3EFAE28A}" name="מח&quot;מ" dataDxfId="9" dataCellStyle="Percent"/>
    <tableColumn id="8" xr3:uid="{48E9C2F7-D038-4396-AB5E-08B3C577540C}" name="סוג מטבע" dataDxfId="8" dataCellStyle="Percent"/>
    <tableColumn id="9" xr3:uid="{EE3691D8-6186-492A-B0C8-966EA91148EA}" name="שיעור ריבית" dataDxfId="7" dataCellStyle="Percent"/>
    <tableColumn id="10" xr3:uid="{0B65CF9B-437C-4C4E-9038-8E30EE439A4A}" name="ריבית אפקטיבית" dataDxfId="6" dataCellStyle="Percent"/>
    <tableColumn id="11" xr3:uid="{686435AB-6461-4ED9-BCA9-C3FED5448E03}" name="ערך נקוב" dataDxfId="5" dataCellStyle="Comma"/>
    <tableColumn id="12" xr3:uid="{7F2FB249-AC8A-4B86-AD34-0DFE484A5738}" name="עלות מתואמת" dataDxfId="4" dataCellStyle="Percent"/>
    <tableColumn id="13" xr3:uid="{AB153EBA-E7BC-4902-A02B-C44D4DEE2C92}" name="שעור מערך נקוב מונפק" dataDxfId="3" dataCellStyle="Comma"/>
    <tableColumn id="14" xr3:uid="{76335662-9099-4F63-B2D5-5E7100880736}" name="שעור מנכסי אפיק ההשקעה" dataDxfId="2" dataCellStyle="Percent"/>
    <tableColumn id="15" xr3:uid="{67B03B4B-28A2-4192-A189-E5D4E038037C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8355-AD66-4A0B-8502-3EC80A62E127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5" t="s">
        <v>226</v>
      </c>
      <c r="B1" s="55" t="s">
        <v>236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</row>
    <row r="2" spans="1:55" x14ac:dyDescent="0.2">
      <c r="A2" s="55" t="s">
        <v>227</v>
      </c>
      <c r="B2" s="55" t="s">
        <v>153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</row>
    <row r="3" spans="1:55" x14ac:dyDescent="0.2">
      <c r="A3" s="55" t="s">
        <v>228</v>
      </c>
      <c r="B3" s="55" t="s">
        <v>229</v>
      </c>
      <c r="C3" s="55"/>
      <c r="D3" s="59" t="s">
        <v>240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</row>
    <row r="4" spans="1:55" x14ac:dyDescent="0.2">
      <c r="A4" s="55" t="s">
        <v>230</v>
      </c>
      <c r="B4" s="55" t="s">
        <v>237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</row>
    <row r="5" spans="1:55" ht="21.75" customHeight="1" x14ac:dyDescent="0.2">
      <c r="A5" s="13" t="s">
        <v>51</v>
      </c>
      <c r="B5" s="12"/>
      <c r="C5" s="11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</row>
    <row r="6" spans="1:55" ht="21.75" customHeight="1" x14ac:dyDescent="0.2">
      <c r="A6" s="224" t="s">
        <v>1954</v>
      </c>
      <c r="B6" s="219" t="s">
        <v>29</v>
      </c>
      <c r="C6" s="220" t="s">
        <v>72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ht="15.75" x14ac:dyDescent="0.2">
      <c r="A7" s="208"/>
      <c r="B7" s="60" t="s">
        <v>10</v>
      </c>
      <c r="C7" s="215" t="s">
        <v>9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</row>
    <row r="8" spans="1:55" ht="15.75" x14ac:dyDescent="0.2">
      <c r="A8" s="209"/>
      <c r="B8" s="54" t="s">
        <v>49</v>
      </c>
      <c r="C8" s="216" t="s">
        <v>50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</row>
    <row r="9" spans="1:55" x14ac:dyDescent="0.2">
      <c r="A9" s="210" t="s">
        <v>99</v>
      </c>
      <c r="B9" s="54"/>
      <c r="C9" s="216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</row>
    <row r="10" spans="1:55" x14ac:dyDescent="0.2">
      <c r="A10" s="211" t="s">
        <v>43</v>
      </c>
      <c r="B10" s="115">
        <v>43099.759335132709</v>
      </c>
      <c r="C10" s="217">
        <v>0.16656462813168471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</row>
    <row r="11" spans="1:55" x14ac:dyDescent="0.2">
      <c r="A11" s="212" t="s">
        <v>45</v>
      </c>
      <c r="B11" s="115">
        <v>209544.32563982761</v>
      </c>
      <c r="C11" s="217">
        <v>0.80981131253908567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</row>
    <row r="12" spans="1:55" x14ac:dyDescent="0.2">
      <c r="A12" s="213" t="s">
        <v>12</v>
      </c>
      <c r="B12" s="115">
        <v>6.9999999999999997E-7</v>
      </c>
      <c r="C12" s="217">
        <v>2.7052410846558216E-12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</row>
    <row r="13" spans="1:55" x14ac:dyDescent="0.2">
      <c r="A13" s="213" t="s">
        <v>18</v>
      </c>
      <c r="B13" s="115">
        <v>0</v>
      </c>
      <c r="C13" s="217">
        <v>0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</row>
    <row r="14" spans="1:55" x14ac:dyDescent="0.2">
      <c r="A14" s="213" t="s">
        <v>20</v>
      </c>
      <c r="B14" s="115">
        <v>127.61224060000001</v>
      </c>
      <c r="C14" s="217">
        <v>4.9317410882300527E-4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</row>
    <row r="15" spans="1:55" x14ac:dyDescent="0.2">
      <c r="A15" s="213" t="s">
        <v>21</v>
      </c>
      <c r="B15" s="115">
        <v>143253.13715783032</v>
      </c>
      <c r="C15" s="217">
        <v>0.55362038877885444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</row>
    <row r="16" spans="1:55" x14ac:dyDescent="0.2">
      <c r="A16" s="213" t="s">
        <v>161</v>
      </c>
      <c r="B16" s="115">
        <v>48770.843598576437</v>
      </c>
      <c r="C16" s="217">
        <v>0.18848127119456051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</row>
    <row r="17" spans="1:55" x14ac:dyDescent="0.2">
      <c r="A17" s="213" t="s">
        <v>44</v>
      </c>
      <c r="B17" s="115">
        <v>14351.919865673623</v>
      </c>
      <c r="C17" s="217">
        <v>5.5464861806154779E-2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</row>
    <row r="18" spans="1:55" x14ac:dyDescent="0.2">
      <c r="A18" s="213" t="s">
        <v>23</v>
      </c>
      <c r="B18" s="115">
        <v>2.0000000000000002E-7</v>
      </c>
      <c r="C18" s="217">
        <v>7.7292602418737769E-13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</row>
    <row r="19" spans="1:55" x14ac:dyDescent="0.2">
      <c r="A19" s="213" t="s">
        <v>24</v>
      </c>
      <c r="B19" s="115">
        <v>-18.039142674316231</v>
      </c>
      <c r="C19" s="217">
        <v>-6.9714614135040515E-5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x14ac:dyDescent="0.2">
      <c r="A20" s="213" t="s">
        <v>25</v>
      </c>
      <c r="B20" s="115">
        <v>-750.07523697413865</v>
      </c>
      <c r="C20" s="217">
        <v>-2.8987633537791305E-3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</row>
    <row r="21" spans="1:55" x14ac:dyDescent="0.2">
      <c r="A21" s="213" t="s">
        <v>26</v>
      </c>
      <c r="B21" s="115">
        <v>3808.9271558957194</v>
      </c>
      <c r="C21" s="217">
        <v>1.4720094615129072E-2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x14ac:dyDescent="0.2">
      <c r="A22" s="210" t="s">
        <v>46</v>
      </c>
      <c r="B22" s="115">
        <v>2622.8605790734969</v>
      </c>
      <c r="C22" s="217">
        <v>1.0136385996905405E-2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</row>
    <row r="23" spans="1:55" x14ac:dyDescent="0.2">
      <c r="A23" s="213" t="s">
        <v>12</v>
      </c>
      <c r="B23" s="115">
        <v>6.9999999999999997E-7</v>
      </c>
      <c r="C23" s="217">
        <v>2.7052410846558216E-12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</row>
    <row r="24" spans="1:55" x14ac:dyDescent="0.2">
      <c r="A24" s="213" t="s">
        <v>18</v>
      </c>
      <c r="B24" s="115">
        <v>6.0000000000000008E-7</v>
      </c>
      <c r="C24" s="217">
        <v>2.3187780725621332E-12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</row>
    <row r="25" spans="1:55" x14ac:dyDescent="0.2">
      <c r="A25" s="213" t="s">
        <v>20</v>
      </c>
      <c r="B25" s="115">
        <v>1590.6397906</v>
      </c>
      <c r="C25" s="217">
        <v>6.1472344463135041E-3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</row>
    <row r="26" spans="1:55" x14ac:dyDescent="0.2">
      <c r="A26" s="213" t="s">
        <v>21</v>
      </c>
      <c r="B26" s="115">
        <v>1545.4895102999999</v>
      </c>
      <c r="C26" s="217">
        <v>5.9727453130973811E-3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</row>
    <row r="27" spans="1:55" x14ac:dyDescent="0.2">
      <c r="A27" s="213" t="s">
        <v>30</v>
      </c>
      <c r="B27" s="115">
        <v>3233.0398145215158</v>
      </c>
      <c r="C27" s="217">
        <v>1.249450304938806E-2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</row>
    <row r="28" spans="1:55" x14ac:dyDescent="0.2">
      <c r="A28" s="213" t="s">
        <v>31</v>
      </c>
      <c r="B28" s="115">
        <v>4.2874784546484763</v>
      </c>
      <c r="C28" s="217">
        <v>1.6569518378702444E-5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</row>
    <row r="29" spans="1:55" x14ac:dyDescent="0.2">
      <c r="A29" s="213" t="s">
        <v>32</v>
      </c>
      <c r="B29" s="115">
        <v>279.39409099999995</v>
      </c>
      <c r="C29" s="217">
        <v>1.0797548196903818E-3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</row>
    <row r="30" spans="1:55" x14ac:dyDescent="0.2">
      <c r="A30" s="213" t="s">
        <v>33</v>
      </c>
      <c r="B30" s="115">
        <v>-4029.9901083026675</v>
      </c>
      <c r="C30" s="217">
        <v>-1.5574421159624201E-2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</row>
    <row r="31" spans="1:55" x14ac:dyDescent="0.2">
      <c r="A31" s="213" t="s">
        <v>34</v>
      </c>
      <c r="B31" s="115">
        <v>1.2000000000000002E-6</v>
      </c>
      <c r="C31" s="217">
        <v>4.6375561451242664E-12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</row>
    <row r="32" spans="1:55" x14ac:dyDescent="0.2">
      <c r="A32" s="213" t="s">
        <v>35</v>
      </c>
      <c r="B32" s="115">
        <v>3487.0393713000003</v>
      </c>
      <c r="C32" s="217">
        <v>1.3476117387218812E-2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</row>
    <row r="33" spans="1:55" x14ac:dyDescent="0.2">
      <c r="A33" s="213" t="s">
        <v>37</v>
      </c>
      <c r="B33" s="115">
        <v>6.0000000000000008E-7</v>
      </c>
      <c r="C33" s="217">
        <v>2.3187780725621332E-12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</row>
    <row r="34" spans="1:55" x14ac:dyDescent="0.2">
      <c r="A34" s="213" t="s">
        <v>47</v>
      </c>
      <c r="B34" s="115">
        <v>4.0000000000000003E-7</v>
      </c>
      <c r="C34" s="217">
        <v>1.5458520483747554E-12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</row>
    <row r="35" spans="1:55" x14ac:dyDescent="0.2">
      <c r="A35" s="213" t="s">
        <v>86</v>
      </c>
      <c r="B35" s="115">
        <v>2.0000000000000002E-7</v>
      </c>
      <c r="C35" s="217">
        <v>7.7292602418737769E-13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</row>
    <row r="36" spans="1:55" x14ac:dyDescent="0.2">
      <c r="A36" s="213" t="s">
        <v>87</v>
      </c>
      <c r="B36" s="115">
        <v>2.9901802000000024</v>
      </c>
      <c r="C36" s="217">
        <v>1.1555940467949098E-5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</row>
    <row r="37" spans="1:55" x14ac:dyDescent="0.2">
      <c r="A37" s="210" t="s">
        <v>95</v>
      </c>
      <c r="B37" s="98"/>
      <c r="C37" s="217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</row>
    <row r="38" spans="1:55" x14ac:dyDescent="0.2">
      <c r="A38" s="213" t="s">
        <v>96</v>
      </c>
      <c r="B38" s="98">
        <v>0</v>
      </c>
      <c r="C38" s="217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</row>
    <row r="39" spans="1:55" x14ac:dyDescent="0.2">
      <c r="A39" s="213" t="s">
        <v>97</v>
      </c>
      <c r="B39" s="98">
        <v>0</v>
      </c>
      <c r="C39" s="217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</row>
    <row r="40" spans="1:55" x14ac:dyDescent="0.2">
      <c r="A40" s="213" t="s">
        <v>98</v>
      </c>
      <c r="B40" s="98">
        <v>0</v>
      </c>
      <c r="C40" s="217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</row>
    <row r="41" spans="1:55" x14ac:dyDescent="0.2">
      <c r="A41" s="214" t="s">
        <v>48</v>
      </c>
      <c r="B41" s="63">
        <v>258756.97510673379</v>
      </c>
      <c r="C41" s="218">
        <v>1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</row>
    <row r="42" spans="1:55" x14ac:dyDescent="0.2">
      <c r="A42" s="221" t="s">
        <v>94</v>
      </c>
      <c r="B42" s="222">
        <v>2.0000000000000002E-7</v>
      </c>
      <c r="C42" s="223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</row>
    <row r="43" spans="1:55" x14ac:dyDescent="0.2">
      <c r="A43" s="55"/>
      <c r="B43" s="58">
        <v>0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</row>
    <row r="44" spans="1:55" x14ac:dyDescent="0.2">
      <c r="A44" s="55"/>
      <c r="B44" s="230" t="s">
        <v>0</v>
      </c>
      <c r="C44" s="231" t="s">
        <v>1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</row>
    <row r="45" spans="1:55" x14ac:dyDescent="0.2">
      <c r="A45" s="55"/>
      <c r="B45" s="225" t="s">
        <v>49</v>
      </c>
      <c r="C45" s="216" t="s">
        <v>50</v>
      </c>
      <c r="D45" s="55"/>
      <c r="E45" s="131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</row>
    <row r="46" spans="1:55" x14ac:dyDescent="0.2">
      <c r="A46" s="55"/>
      <c r="B46" s="226" t="s">
        <v>127</v>
      </c>
      <c r="C46" s="228">
        <v>3.5649999999999999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</row>
    <row r="47" spans="1:55" x14ac:dyDescent="0.2">
      <c r="A47" s="55"/>
      <c r="B47" s="226" t="s">
        <v>128</v>
      </c>
      <c r="C47" s="228">
        <v>3.9003000000000001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</row>
    <row r="48" spans="1:55" x14ac:dyDescent="0.2">
      <c r="A48" s="55"/>
      <c r="B48" s="227" t="s">
        <v>2</v>
      </c>
      <c r="C48" s="228">
        <v>4.3986000000000001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</row>
    <row r="49" spans="1:55" x14ac:dyDescent="0.2">
      <c r="A49" s="55"/>
      <c r="B49" s="226" t="s">
        <v>134</v>
      </c>
      <c r="C49" s="228">
        <v>2.5002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</row>
    <row r="50" spans="1:55" x14ac:dyDescent="0.2">
      <c r="A50" s="55"/>
      <c r="B50" s="227" t="s">
        <v>3</v>
      </c>
      <c r="C50" s="228">
        <v>2.1722000000000001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</row>
    <row r="51" spans="1:55" x14ac:dyDescent="0.2">
      <c r="A51" s="55"/>
      <c r="B51" s="227" t="s">
        <v>65</v>
      </c>
      <c r="C51" s="228">
        <v>0.45679999999999998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</row>
    <row r="52" spans="1:55" x14ac:dyDescent="0.2">
      <c r="A52" s="55"/>
      <c r="B52" s="226" t="s">
        <v>129</v>
      </c>
      <c r="C52" s="228">
        <v>2.1187999999999998</v>
      </c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</row>
    <row r="53" spans="1:55" x14ac:dyDescent="0.2">
      <c r="A53" s="55"/>
      <c r="B53" s="227" t="s">
        <v>92</v>
      </c>
      <c r="C53" s="229">
        <v>0.52229999999999999</v>
      </c>
      <c r="D53" s="56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</row>
    <row r="54" spans="1:55" x14ac:dyDescent="0.2">
      <c r="A54" s="55"/>
      <c r="B54" s="226" t="s">
        <v>135</v>
      </c>
      <c r="C54" s="229">
        <v>0.35189999999999999</v>
      </c>
      <c r="D54" s="56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</row>
    <row r="55" spans="1:55" x14ac:dyDescent="0.2">
      <c r="A55" s="55"/>
      <c r="B55" s="226" t="s">
        <v>289</v>
      </c>
      <c r="C55" s="228">
        <v>3.2787999999999999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</row>
    <row r="56" spans="1:55" ht="12" customHeight="1" x14ac:dyDescent="0.2">
      <c r="A56" s="55"/>
      <c r="B56" s="226" t="s">
        <v>133</v>
      </c>
      <c r="C56" s="229">
        <v>0.14910000000000001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</row>
    <row r="57" spans="1:55" x14ac:dyDescent="0.2">
      <c r="A57" s="55"/>
      <c r="B57" s="227" t="s">
        <v>91</v>
      </c>
      <c r="C57" s="229">
        <v>3.6854</v>
      </c>
      <c r="D57" s="56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</row>
    <row r="58" spans="1:55" x14ac:dyDescent="0.2">
      <c r="A58" s="55"/>
      <c r="B58" s="227" t="s">
        <v>93</v>
      </c>
      <c r="C58" s="229">
        <v>0.50160000000000005</v>
      </c>
      <c r="D58" s="56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</row>
    <row r="59" spans="1:55" x14ac:dyDescent="0.2">
      <c r="A59" s="55"/>
      <c r="B59" s="227" t="s">
        <v>130</v>
      </c>
      <c r="C59" s="229">
        <v>0.68520000000000003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</row>
    <row r="60" spans="1:55" x14ac:dyDescent="0.2">
      <c r="A60" s="55"/>
      <c r="B60" s="226" t="s">
        <v>132</v>
      </c>
      <c r="C60" s="229">
        <v>0.14280000000000001</v>
      </c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</row>
    <row r="61" spans="1:55" x14ac:dyDescent="0.2">
      <c r="A61" s="55"/>
      <c r="B61" s="226" t="s">
        <v>154</v>
      </c>
      <c r="C61" s="229">
        <v>0.3402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</row>
    <row r="62" spans="1:55" x14ac:dyDescent="0.2">
      <c r="A62" s="55"/>
      <c r="B62" s="226" t="s">
        <v>164</v>
      </c>
      <c r="C62" s="229">
        <v>0.4143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</row>
    <row r="63" spans="1:55" x14ac:dyDescent="0.2">
      <c r="A63" s="55"/>
      <c r="B63" s="226" t="s">
        <v>155</v>
      </c>
      <c r="C63" s="229">
        <v>0.85519999999999996</v>
      </c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</row>
    <row r="64" spans="1:55" x14ac:dyDescent="0.2">
      <c r="A64" s="55"/>
      <c r="B64" s="226" t="s">
        <v>156</v>
      </c>
      <c r="C64" s="229">
        <v>4.7059999999999998E-2</v>
      </c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</row>
    <row r="65" spans="1:55" x14ac:dyDescent="0.2">
      <c r="A65" s="55"/>
      <c r="B65" s="226" t="s">
        <v>165</v>
      </c>
      <c r="C65" s="229">
        <v>2.2000000000000001E-4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</row>
    <row r="66" spans="1:55" x14ac:dyDescent="0.2">
      <c r="A66" s="55"/>
      <c r="B66" s="226" t="s">
        <v>157</v>
      </c>
      <c r="C66" s="229">
        <v>4.5400000000000003E-2</v>
      </c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</row>
    <row r="67" spans="1:55" x14ac:dyDescent="0.2">
      <c r="A67" s="55"/>
      <c r="B67" s="226" t="s">
        <v>158</v>
      </c>
      <c r="C67" s="229">
        <v>2.9099999999999998E-3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</row>
    <row r="68" spans="1:55" x14ac:dyDescent="0.2">
      <c r="A68" s="55"/>
      <c r="B68" s="232" t="s">
        <v>159</v>
      </c>
      <c r="C68" s="233">
        <v>6.9940000000000002E-2</v>
      </c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</row>
    <row r="69" spans="1:55" x14ac:dyDescent="0.2">
      <c r="A69" s="55"/>
      <c r="B69" s="56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</row>
    <row r="70" spans="1:55" x14ac:dyDescent="0.2">
      <c r="A70" s="55"/>
      <c r="B70" s="56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</row>
    <row r="71" spans="1:55" x14ac:dyDescent="0.2">
      <c r="A71" s="55"/>
      <c r="B71" s="56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</row>
    <row r="72" spans="1:55" x14ac:dyDescent="0.2">
      <c r="A72" s="55"/>
      <c r="B72" s="56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</row>
    <row r="73" spans="1:55" x14ac:dyDescent="0.2">
      <c r="A73" s="55"/>
      <c r="B73" s="56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</row>
    <row r="74" spans="1:55" x14ac:dyDescent="0.2">
      <c r="A74" s="55"/>
      <c r="B74" s="56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</row>
    <row r="75" spans="1:55" x14ac:dyDescent="0.2">
      <c r="A75" s="55"/>
      <c r="B75" s="56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</row>
    <row r="76" spans="1:55" x14ac:dyDescent="0.2">
      <c r="A76" s="55"/>
      <c r="B76" s="56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</row>
    <row r="77" spans="1:55" x14ac:dyDescent="0.2">
      <c r="A77" s="55"/>
      <c r="B77" s="5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</row>
    <row r="78" spans="1:55" x14ac:dyDescent="0.2">
      <c r="A78" s="55"/>
      <c r="B78" s="56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</row>
    <row r="79" spans="1:55" x14ac:dyDescent="0.2">
      <c r="A79" s="55"/>
      <c r="B79" s="5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</row>
    <row r="80" spans="1:55" x14ac:dyDescent="0.2">
      <c r="A80" s="55"/>
      <c r="B80" s="5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</row>
    <row r="81" spans="1:55" x14ac:dyDescent="0.2">
      <c r="A81" s="55"/>
      <c r="B81" s="5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</row>
    <row r="82" spans="1:55" x14ac:dyDescent="0.2">
      <c r="A82" s="55"/>
      <c r="B82" s="56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</row>
    <row r="83" spans="1:55" x14ac:dyDescent="0.2">
      <c r="A83" s="55"/>
      <c r="B83" s="56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</row>
    <row r="84" spans="1:55" x14ac:dyDescent="0.2">
      <c r="A84" s="55"/>
      <c r="B84" s="56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</row>
    <row r="85" spans="1:55" x14ac:dyDescent="0.2">
      <c r="A85" s="55"/>
      <c r="B85" s="56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</row>
    <row r="86" spans="1:55" x14ac:dyDescent="0.2">
      <c r="A86" s="55"/>
      <c r="B86" s="5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</row>
    <row r="87" spans="1:55" x14ac:dyDescent="0.2">
      <c r="A87" s="55"/>
      <c r="B87" s="56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</row>
    <row r="88" spans="1:55" x14ac:dyDescent="0.2">
      <c r="A88" s="55"/>
      <c r="B88" s="56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</row>
    <row r="89" spans="1:55" x14ac:dyDescent="0.2">
      <c r="A89" s="55"/>
      <c r="B89" s="56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</row>
    <row r="90" spans="1:55" x14ac:dyDescent="0.2">
      <c r="A90" s="55"/>
      <c r="B90" s="56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</row>
    <row r="91" spans="1:55" x14ac:dyDescent="0.2">
      <c r="A91" s="55"/>
      <c r="B91" s="56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</row>
    <row r="92" spans="1:55" x14ac:dyDescent="0.2">
      <c r="A92" s="55"/>
      <c r="B92" s="56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</row>
    <row r="93" spans="1:55" x14ac:dyDescent="0.2">
      <c r="A93" s="55"/>
      <c r="B93" s="56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</row>
    <row r="94" spans="1:55" x14ac:dyDescent="0.2">
      <c r="A94" s="55"/>
      <c r="B94" s="56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</row>
    <row r="95" spans="1:55" x14ac:dyDescent="0.2">
      <c r="A95" s="55"/>
      <c r="B95" s="56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</row>
    <row r="96" spans="1:55" x14ac:dyDescent="0.2">
      <c r="A96" s="55"/>
      <c r="B96" s="56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</row>
    <row r="97" spans="1:55" x14ac:dyDescent="0.2">
      <c r="A97" s="55"/>
      <c r="B97" s="56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</row>
    <row r="98" spans="1:55" x14ac:dyDescent="0.2">
      <c r="A98" s="55"/>
      <c r="B98" s="56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</row>
    <row r="99" spans="1:55" x14ac:dyDescent="0.2">
      <c r="A99" s="55"/>
      <c r="B99" s="56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</row>
    <row r="100" spans="1:55" x14ac:dyDescent="0.2">
      <c r="A100" s="55"/>
      <c r="B100" s="56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</row>
    <row r="101" spans="1:55" x14ac:dyDescent="0.2">
      <c r="A101" s="55"/>
      <c r="B101" s="56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</row>
    <row r="102" spans="1:55" x14ac:dyDescent="0.2">
      <c r="A102" s="55"/>
      <c r="B102" s="56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</row>
    <row r="103" spans="1:55" x14ac:dyDescent="0.2">
      <c r="A103" s="55"/>
      <c r="B103" s="56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</row>
    <row r="104" spans="1:55" x14ac:dyDescent="0.2">
      <c r="A104" s="55"/>
      <c r="B104" s="56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</row>
    <row r="105" spans="1:55" x14ac:dyDescent="0.2">
      <c r="A105" s="55"/>
      <c r="B105" s="56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</row>
    <row r="106" spans="1:55" x14ac:dyDescent="0.2">
      <c r="A106" s="55"/>
      <c r="B106" s="56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</row>
    <row r="107" spans="1:55" x14ac:dyDescent="0.2">
      <c r="A107" s="55"/>
      <c r="B107" s="56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</row>
    <row r="108" spans="1:55" x14ac:dyDescent="0.2">
      <c r="A108" s="55"/>
      <c r="B108" s="56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</row>
    <row r="109" spans="1:55" x14ac:dyDescent="0.2">
      <c r="A109" s="55"/>
      <c r="B109" s="56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</row>
    <row r="110" spans="1:55" x14ac:dyDescent="0.2">
      <c r="A110" s="55"/>
      <c r="B110" s="56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</row>
    <row r="111" spans="1:55" x14ac:dyDescent="0.2">
      <c r="A111" s="55"/>
      <c r="B111" s="56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</row>
    <row r="112" spans="1:55" x14ac:dyDescent="0.2">
      <c r="A112" s="55"/>
      <c r="B112" s="56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</row>
    <row r="113" spans="1:55" x14ac:dyDescent="0.2">
      <c r="A113" s="55"/>
      <c r="B113" s="56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</row>
    <row r="114" spans="1:55" x14ac:dyDescent="0.2">
      <c r="A114" s="55"/>
      <c r="B114" s="56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</row>
    <row r="115" spans="1:55" x14ac:dyDescent="0.2">
      <c r="A115" s="55"/>
      <c r="B115" s="56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</row>
    <row r="116" spans="1:55" x14ac:dyDescent="0.2">
      <c r="A116" s="55"/>
      <c r="B116" s="56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</row>
    <row r="117" spans="1:55" x14ac:dyDescent="0.2">
      <c r="A117" s="55"/>
      <c r="B117" s="56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</row>
    <row r="118" spans="1:55" x14ac:dyDescent="0.2">
      <c r="A118" s="55"/>
      <c r="B118" s="56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</row>
    <row r="119" spans="1:55" x14ac:dyDescent="0.2">
      <c r="A119" s="55"/>
      <c r="B119" s="56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</row>
    <row r="120" spans="1:55" x14ac:dyDescent="0.2">
      <c r="A120" s="55"/>
      <c r="B120" s="56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</row>
    <row r="121" spans="1:55" x14ac:dyDescent="0.2">
      <c r="A121" s="55"/>
      <c r="B121" s="56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</row>
    <row r="122" spans="1:55" x14ac:dyDescent="0.2">
      <c r="A122" s="55"/>
      <c r="B122" s="56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</row>
    <row r="123" spans="1:55" x14ac:dyDescent="0.2">
      <c r="A123" s="55"/>
      <c r="B123" s="56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</row>
    <row r="124" spans="1:55" x14ac:dyDescent="0.2">
      <c r="A124" s="55"/>
      <c r="B124" s="56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</row>
    <row r="125" spans="1:55" x14ac:dyDescent="0.2">
      <c r="A125" s="55"/>
      <c r="B125" s="56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</row>
    <row r="126" spans="1:55" x14ac:dyDescent="0.2">
      <c r="A126" s="55"/>
      <c r="B126" s="56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</row>
    <row r="127" spans="1:55" x14ac:dyDescent="0.2">
      <c r="A127" s="55"/>
      <c r="B127" s="56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</row>
    <row r="128" spans="1:55" x14ac:dyDescent="0.2">
      <c r="A128" s="55"/>
      <c r="B128" s="56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</row>
    <row r="129" spans="1:55" x14ac:dyDescent="0.2">
      <c r="A129" s="55"/>
      <c r="B129" s="56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</row>
    <row r="130" spans="1:55" x14ac:dyDescent="0.2">
      <c r="A130" s="55"/>
      <c r="B130" s="56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</row>
    <row r="131" spans="1:55" x14ac:dyDescent="0.2">
      <c r="A131" s="55"/>
      <c r="B131" s="56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</row>
    <row r="132" spans="1:55" x14ac:dyDescent="0.2">
      <c r="A132" s="55"/>
      <c r="B132" s="56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</row>
    <row r="133" spans="1:55" x14ac:dyDescent="0.2">
      <c r="A133" s="55"/>
      <c r="B133" s="56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</row>
    <row r="134" spans="1:55" x14ac:dyDescent="0.2">
      <c r="A134" s="55"/>
      <c r="B134" s="56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</row>
    <row r="135" spans="1:55" x14ac:dyDescent="0.2">
      <c r="A135" s="55"/>
      <c r="B135" s="56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</row>
    <row r="136" spans="1:55" x14ac:dyDescent="0.2">
      <c r="A136" s="55"/>
      <c r="B136" s="56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</row>
    <row r="137" spans="1:55" x14ac:dyDescent="0.2">
      <c r="A137" s="55"/>
      <c r="B137" s="56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</row>
    <row r="138" spans="1:55" x14ac:dyDescent="0.2">
      <c r="A138" s="55"/>
      <c r="B138" s="56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</row>
    <row r="139" spans="1:55" x14ac:dyDescent="0.2">
      <c r="A139" s="55"/>
      <c r="B139" s="56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</row>
    <row r="140" spans="1:55" x14ac:dyDescent="0.2">
      <c r="A140" s="55"/>
      <c r="B140" s="56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</row>
    <row r="141" spans="1:55" x14ac:dyDescent="0.2">
      <c r="A141" s="55"/>
      <c r="B141" s="56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</row>
    <row r="142" spans="1:55" x14ac:dyDescent="0.2">
      <c r="A142" s="55"/>
      <c r="B142" s="56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</row>
    <row r="143" spans="1:55" x14ac:dyDescent="0.2">
      <c r="A143" s="55"/>
      <c r="B143" s="56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</row>
    <row r="144" spans="1:55" x14ac:dyDescent="0.2">
      <c r="A144" s="55"/>
      <c r="B144" s="56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</row>
    <row r="145" spans="1:55" x14ac:dyDescent="0.2">
      <c r="A145" s="55"/>
      <c r="B145" s="56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</row>
    <row r="146" spans="1:55" x14ac:dyDescent="0.2">
      <c r="A146" s="55"/>
      <c r="B146" s="56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</row>
    <row r="147" spans="1:55" x14ac:dyDescent="0.2">
      <c r="A147" s="55"/>
      <c r="B147" s="56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</row>
    <row r="148" spans="1:55" x14ac:dyDescent="0.2">
      <c r="A148" s="55"/>
      <c r="B148" s="56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</row>
    <row r="149" spans="1:55" x14ac:dyDescent="0.2">
      <c r="A149" s="55"/>
      <c r="B149" s="56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</row>
    <row r="150" spans="1:55" x14ac:dyDescent="0.2">
      <c r="A150" s="55"/>
      <c r="B150" s="56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</row>
    <row r="151" spans="1:55" x14ac:dyDescent="0.2">
      <c r="A151" s="55"/>
      <c r="B151" s="56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</row>
    <row r="152" spans="1:55" x14ac:dyDescent="0.2">
      <c r="A152" s="55"/>
      <c r="B152" s="56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</row>
    <row r="153" spans="1:55" x14ac:dyDescent="0.2">
      <c r="A153" s="55"/>
      <c r="B153" s="56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</row>
    <row r="154" spans="1:55" x14ac:dyDescent="0.2">
      <c r="A154" s="55"/>
      <c r="B154" s="56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</row>
    <row r="155" spans="1:55" x14ac:dyDescent="0.2">
      <c r="A155" s="55"/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</row>
    <row r="156" spans="1:55" x14ac:dyDescent="0.2">
      <c r="A156" s="55"/>
      <c r="B156" s="56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</row>
    <row r="157" spans="1:55" x14ac:dyDescent="0.2">
      <c r="A157" s="55"/>
      <c r="B157" s="56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</row>
    <row r="158" spans="1:55" x14ac:dyDescent="0.2">
      <c r="A158" s="55"/>
      <c r="B158" s="56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</row>
    <row r="159" spans="1:55" x14ac:dyDescent="0.2">
      <c r="A159" s="55"/>
      <c r="B159" s="56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</row>
    <row r="160" spans="1:55" x14ac:dyDescent="0.2">
      <c r="A160" s="55"/>
      <c r="B160" s="56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</row>
    <row r="161" spans="1:55" x14ac:dyDescent="0.2">
      <c r="A161" s="55"/>
      <c r="B161" s="56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</row>
    <row r="162" spans="1:55" x14ac:dyDescent="0.2">
      <c r="A162" s="55"/>
      <c r="B162" s="56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</row>
    <row r="163" spans="1:55" x14ac:dyDescent="0.2">
      <c r="A163" s="55"/>
      <c r="B163" s="56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</row>
    <row r="164" spans="1:55" x14ac:dyDescent="0.2">
      <c r="A164" s="55"/>
      <c r="B164" s="56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</row>
    <row r="165" spans="1:55" x14ac:dyDescent="0.2">
      <c r="A165" s="55"/>
      <c r="B165" s="56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</row>
    <row r="166" spans="1:55" x14ac:dyDescent="0.2">
      <c r="A166" s="55"/>
      <c r="B166" s="56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</row>
    <row r="167" spans="1:55" x14ac:dyDescent="0.2">
      <c r="A167" s="55"/>
      <c r="B167" s="56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</row>
    <row r="168" spans="1:55" x14ac:dyDescent="0.2">
      <c r="A168" s="55"/>
      <c r="B168" s="56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</row>
    <row r="169" spans="1:55" x14ac:dyDescent="0.2">
      <c r="A169" s="55"/>
      <c r="B169" s="56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</row>
    <row r="170" spans="1:55" x14ac:dyDescent="0.2">
      <c r="A170" s="55"/>
      <c r="B170" s="56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</row>
    <row r="171" spans="1:55" x14ac:dyDescent="0.2">
      <c r="A171" s="55"/>
      <c r="B171" s="56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</row>
    <row r="172" spans="1:55" x14ac:dyDescent="0.2">
      <c r="A172" s="55"/>
      <c r="B172" s="56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</row>
    <row r="173" spans="1:55" x14ac:dyDescent="0.2">
      <c r="A173" s="55"/>
      <c r="B173" s="56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</row>
    <row r="174" spans="1:55" x14ac:dyDescent="0.2">
      <c r="A174" s="55"/>
      <c r="B174" s="56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</row>
    <row r="175" spans="1:55" x14ac:dyDescent="0.2">
      <c r="A175" s="55"/>
      <c r="B175" s="56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</row>
    <row r="176" spans="1:55" x14ac:dyDescent="0.2">
      <c r="A176" s="55"/>
      <c r="B176" s="56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</row>
    <row r="177" spans="1:55" x14ac:dyDescent="0.2">
      <c r="A177" s="55"/>
      <c r="B177" s="56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</row>
    <row r="178" spans="1:55" x14ac:dyDescent="0.2">
      <c r="A178" s="55"/>
      <c r="B178" s="56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</row>
    <row r="179" spans="1:55" x14ac:dyDescent="0.2">
      <c r="A179" s="55"/>
      <c r="B179" s="56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</row>
    <row r="180" spans="1:55" x14ac:dyDescent="0.2">
      <c r="A180" s="55"/>
      <c r="B180" s="56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</row>
    <row r="181" spans="1:55" x14ac:dyDescent="0.2">
      <c r="A181" s="55"/>
      <c r="B181" s="56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</row>
    <row r="182" spans="1:55" x14ac:dyDescent="0.2">
      <c r="A182" s="55"/>
      <c r="B182" s="56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</row>
    <row r="183" spans="1:55" x14ac:dyDescent="0.2">
      <c r="A183" s="55"/>
      <c r="B183" s="56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</row>
    <row r="184" spans="1:55" x14ac:dyDescent="0.2">
      <c r="A184" s="55"/>
      <c r="B184" s="56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</row>
    <row r="185" spans="1:55" x14ac:dyDescent="0.2">
      <c r="A185" s="55"/>
      <c r="B185" s="56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</row>
    <row r="186" spans="1:55" x14ac:dyDescent="0.2">
      <c r="A186" s="55"/>
      <c r="B186" s="56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</row>
    <row r="187" spans="1:55" x14ac:dyDescent="0.2">
      <c r="A187" s="55"/>
      <c r="B187" s="56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</row>
    <row r="188" spans="1:55" x14ac:dyDescent="0.2">
      <c r="A188" s="55"/>
      <c r="B188" s="56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</row>
    <row r="189" spans="1:55" x14ac:dyDescent="0.2">
      <c r="A189" s="55"/>
      <c r="B189" s="56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</row>
    <row r="190" spans="1:55" x14ac:dyDescent="0.2">
      <c r="A190" s="55"/>
      <c r="B190" s="56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</row>
    <row r="191" spans="1:55" x14ac:dyDescent="0.2">
      <c r="A191" s="55"/>
      <c r="B191" s="56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</row>
    <row r="192" spans="1:55" x14ac:dyDescent="0.2">
      <c r="A192" s="55"/>
      <c r="B192" s="56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</row>
    <row r="193" spans="1:55" x14ac:dyDescent="0.2">
      <c r="A193" s="55"/>
      <c r="B193" s="56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</row>
    <row r="194" spans="1:55" x14ac:dyDescent="0.2">
      <c r="A194" s="55"/>
      <c r="B194" s="56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</row>
    <row r="195" spans="1:55" x14ac:dyDescent="0.2">
      <c r="A195" s="55"/>
      <c r="B195" s="56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</row>
    <row r="196" spans="1:55" x14ac:dyDescent="0.2">
      <c r="A196" s="55"/>
      <c r="B196" s="56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</row>
    <row r="197" spans="1:55" x14ac:dyDescent="0.2">
      <c r="A197" s="55"/>
      <c r="B197" s="56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</row>
    <row r="198" spans="1:55" x14ac:dyDescent="0.2">
      <c r="A198" s="55"/>
      <c r="B198" s="56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</row>
    <row r="199" spans="1:55" x14ac:dyDescent="0.2">
      <c r="A199" s="55"/>
      <c r="B199" s="56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</row>
    <row r="200" spans="1:55" x14ac:dyDescent="0.2">
      <c r="A200" s="55"/>
      <c r="B200" s="56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</row>
    <row r="201" spans="1:55" x14ac:dyDescent="0.2">
      <c r="A201" s="55"/>
      <c r="B201" s="56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</row>
    <row r="202" spans="1:55" x14ac:dyDescent="0.2">
      <c r="A202" s="55"/>
      <c r="B202" s="56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</row>
    <row r="203" spans="1:55" x14ac:dyDescent="0.2">
      <c r="A203" s="55"/>
      <c r="B203" s="56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</row>
    <row r="204" spans="1:55" x14ac:dyDescent="0.2">
      <c r="A204" s="55"/>
      <c r="B204" s="56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</row>
    <row r="205" spans="1:55" x14ac:dyDescent="0.2">
      <c r="A205" s="55"/>
      <c r="B205" s="56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</row>
    <row r="206" spans="1:55" x14ac:dyDescent="0.2">
      <c r="A206" s="55"/>
      <c r="B206" s="56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</row>
    <row r="207" spans="1:55" x14ac:dyDescent="0.2">
      <c r="A207" s="55"/>
      <c r="B207" s="56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</row>
    <row r="208" spans="1:55" x14ac:dyDescent="0.2">
      <c r="A208" s="55"/>
      <c r="B208" s="56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</row>
    <row r="209" spans="1:55" x14ac:dyDescent="0.2">
      <c r="A209" s="55"/>
      <c r="B209" s="56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</row>
    <row r="210" spans="1:55" x14ac:dyDescent="0.2">
      <c r="A210" s="55"/>
      <c r="B210" s="56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</row>
    <row r="211" spans="1:55" x14ac:dyDescent="0.2">
      <c r="A211" s="55"/>
      <c r="B211" s="56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</row>
    <row r="212" spans="1:55" x14ac:dyDescent="0.2">
      <c r="A212" s="55"/>
      <c r="B212" s="56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</row>
    <row r="213" spans="1:55" x14ac:dyDescent="0.2">
      <c r="A213" s="55"/>
      <c r="B213" s="56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</row>
    <row r="214" spans="1:55" x14ac:dyDescent="0.2">
      <c r="A214" s="55"/>
      <c r="B214" s="56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</row>
    <row r="215" spans="1:55" x14ac:dyDescent="0.2">
      <c r="A215" s="55"/>
      <c r="B215" s="56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</row>
    <row r="216" spans="1:55" x14ac:dyDescent="0.2">
      <c r="A216" s="55"/>
      <c r="B216" s="56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</row>
    <row r="217" spans="1:55" x14ac:dyDescent="0.2">
      <c r="A217" s="55"/>
      <c r="B217" s="56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</row>
    <row r="218" spans="1:55" x14ac:dyDescent="0.2">
      <c r="A218" s="55"/>
      <c r="B218" s="56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</row>
    <row r="219" spans="1:55" x14ac:dyDescent="0.2">
      <c r="A219" s="55"/>
      <c r="B219" s="56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</row>
    <row r="220" spans="1:55" x14ac:dyDescent="0.2">
      <c r="A220" s="55"/>
      <c r="B220" s="56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</row>
    <row r="221" spans="1:55" x14ac:dyDescent="0.2">
      <c r="A221" s="55"/>
      <c r="B221" s="56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</row>
    <row r="222" spans="1:55" x14ac:dyDescent="0.2">
      <c r="A222" s="55"/>
      <c r="B222" s="56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</row>
    <row r="223" spans="1:55" x14ac:dyDescent="0.2">
      <c r="A223" s="55"/>
      <c r="B223" s="56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</row>
    <row r="224" spans="1:55" x14ac:dyDescent="0.2">
      <c r="A224" s="55"/>
      <c r="B224" s="56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</row>
    <row r="225" spans="1:55" x14ac:dyDescent="0.2">
      <c r="A225" s="55"/>
      <c r="B225" s="56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</row>
    <row r="226" spans="1:55" x14ac:dyDescent="0.2">
      <c r="A226" s="55"/>
      <c r="B226" s="56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</row>
    <row r="227" spans="1:55" x14ac:dyDescent="0.2">
      <c r="A227" s="55"/>
      <c r="B227" s="56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</row>
    <row r="228" spans="1:55" x14ac:dyDescent="0.2">
      <c r="A228" s="55"/>
      <c r="B228" s="56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</row>
    <row r="229" spans="1:55" x14ac:dyDescent="0.2">
      <c r="A229" s="55"/>
      <c r="B229" s="56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</row>
    <row r="230" spans="1:55" x14ac:dyDescent="0.2">
      <c r="A230" s="55"/>
      <c r="B230" s="56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</row>
    <row r="231" spans="1:55" x14ac:dyDescent="0.2">
      <c r="A231" s="55"/>
      <c r="B231" s="56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</row>
    <row r="232" spans="1:55" x14ac:dyDescent="0.2">
      <c r="A232" s="55"/>
      <c r="B232" s="56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</row>
    <row r="233" spans="1:55" x14ac:dyDescent="0.2">
      <c r="A233" s="55"/>
      <c r="B233" s="56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</row>
    <row r="234" spans="1:55" x14ac:dyDescent="0.2">
      <c r="A234" s="55"/>
      <c r="B234" s="56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</row>
    <row r="235" spans="1:55" x14ac:dyDescent="0.2">
      <c r="A235" s="55"/>
      <c r="B235" s="56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</row>
    <row r="236" spans="1:55" x14ac:dyDescent="0.2">
      <c r="A236" s="55"/>
      <c r="B236" s="56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</row>
    <row r="237" spans="1:55" x14ac:dyDescent="0.2">
      <c r="A237" s="55"/>
      <c r="B237" s="56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</row>
    <row r="238" spans="1:55" x14ac:dyDescent="0.2">
      <c r="A238" s="55"/>
      <c r="B238" s="56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</row>
    <row r="239" spans="1:55" x14ac:dyDescent="0.2">
      <c r="A239" s="55"/>
      <c r="B239" s="56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</row>
    <row r="240" spans="1:55" x14ac:dyDescent="0.2">
      <c r="A240" s="55"/>
      <c r="B240" s="56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</row>
    <row r="241" spans="1:55" x14ac:dyDescent="0.2">
      <c r="A241" s="55"/>
      <c r="B241" s="56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</row>
    <row r="242" spans="1:55" x14ac:dyDescent="0.2">
      <c r="A242" s="55"/>
      <c r="B242" s="56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</row>
    <row r="243" spans="1:55" x14ac:dyDescent="0.2">
      <c r="A243" s="55"/>
      <c r="B243" s="56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</row>
    <row r="244" spans="1:55" x14ac:dyDescent="0.2">
      <c r="A244" s="55"/>
      <c r="B244" s="56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</row>
    <row r="245" spans="1:55" x14ac:dyDescent="0.2">
      <c r="A245" s="55"/>
      <c r="B245" s="56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</row>
    <row r="246" spans="1:55" x14ac:dyDescent="0.2">
      <c r="A246" s="55"/>
      <c r="B246" s="56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</row>
    <row r="247" spans="1:55" x14ac:dyDescent="0.2">
      <c r="A247" s="55"/>
      <c r="B247" s="56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</row>
    <row r="248" spans="1:55" x14ac:dyDescent="0.2">
      <c r="A248" s="55"/>
      <c r="B248" s="56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</row>
    <row r="249" spans="1:55" x14ac:dyDescent="0.2">
      <c r="A249" s="55"/>
      <c r="B249" s="56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</row>
    <row r="250" spans="1:55" x14ac:dyDescent="0.2">
      <c r="A250" s="55"/>
      <c r="B250" s="56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</row>
    <row r="251" spans="1:55" x14ac:dyDescent="0.2">
      <c r="A251" s="55"/>
      <c r="B251" s="56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</row>
    <row r="252" spans="1:55" x14ac:dyDescent="0.2">
      <c r="A252" s="55"/>
      <c r="B252" s="56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</row>
    <row r="253" spans="1:55" x14ac:dyDescent="0.2">
      <c r="A253" s="55"/>
      <c r="B253" s="56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</row>
    <row r="254" spans="1:55" x14ac:dyDescent="0.2">
      <c r="A254" s="55"/>
      <c r="B254" s="56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</row>
    <row r="255" spans="1:55" x14ac:dyDescent="0.2">
      <c r="A255" s="55"/>
      <c r="B255" s="56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</row>
    <row r="256" spans="1:55" x14ac:dyDescent="0.2">
      <c r="A256" s="55"/>
      <c r="B256" s="56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</row>
    <row r="257" spans="1:55" x14ac:dyDescent="0.2">
      <c r="A257" s="55"/>
      <c r="B257" s="56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</row>
    <row r="258" spans="1:55" x14ac:dyDescent="0.2">
      <c r="A258" s="55"/>
      <c r="B258" s="56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</row>
    <row r="259" spans="1:55" x14ac:dyDescent="0.2">
      <c r="A259" s="55"/>
      <c r="B259" s="56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</row>
    <row r="260" spans="1:55" x14ac:dyDescent="0.2">
      <c r="A260" s="55"/>
      <c r="B260" s="56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</row>
    <row r="261" spans="1:55" x14ac:dyDescent="0.2">
      <c r="A261" s="55"/>
      <c r="B261" s="56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</row>
    <row r="262" spans="1:55" x14ac:dyDescent="0.2">
      <c r="A262" s="55"/>
      <c r="B262" s="56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</row>
    <row r="263" spans="1:55" x14ac:dyDescent="0.2">
      <c r="A263" s="55"/>
      <c r="B263" s="56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</row>
    <row r="264" spans="1:55" x14ac:dyDescent="0.2">
      <c r="A264" s="55"/>
      <c r="B264" s="56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</row>
    <row r="265" spans="1:55" x14ac:dyDescent="0.2">
      <c r="A265" s="55"/>
      <c r="B265" s="56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</row>
    <row r="266" spans="1:55" x14ac:dyDescent="0.2">
      <c r="A266" s="55"/>
      <c r="B266" s="56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</row>
    <row r="267" spans="1:55" x14ac:dyDescent="0.2">
      <c r="A267" s="55"/>
      <c r="B267" s="56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</row>
    <row r="268" spans="1:55" x14ac:dyDescent="0.2">
      <c r="A268" s="55"/>
      <c r="B268" s="56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</row>
    <row r="269" spans="1:55" x14ac:dyDescent="0.2">
      <c r="A269" s="55"/>
      <c r="B269" s="56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</row>
    <row r="270" spans="1:55" x14ac:dyDescent="0.2">
      <c r="A270" s="55"/>
      <c r="B270" s="56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</row>
    <row r="271" spans="1:55" x14ac:dyDescent="0.2">
      <c r="A271" s="55"/>
      <c r="B271" s="56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</row>
    <row r="272" spans="1:55" x14ac:dyDescent="0.2">
      <c r="A272" s="55"/>
      <c r="B272" s="56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</row>
    <row r="273" spans="1:55" x14ac:dyDescent="0.2">
      <c r="A273" s="55"/>
      <c r="B273" s="56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</row>
    <row r="274" spans="1:55" x14ac:dyDescent="0.2">
      <c r="A274" s="55"/>
      <c r="B274" s="56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</row>
    <row r="275" spans="1:55" x14ac:dyDescent="0.2">
      <c r="A275" s="55"/>
      <c r="B275" s="56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</row>
    <row r="276" spans="1:55" x14ac:dyDescent="0.2">
      <c r="A276" s="55"/>
      <c r="B276" s="56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</row>
    <row r="277" spans="1:55" x14ac:dyDescent="0.2">
      <c r="A277" s="55"/>
      <c r="B277" s="56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</row>
    <row r="278" spans="1:55" x14ac:dyDescent="0.2">
      <c r="A278" s="55"/>
      <c r="B278" s="56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</row>
    <row r="279" spans="1:55" x14ac:dyDescent="0.2">
      <c r="A279" s="55"/>
      <c r="B279" s="56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</row>
    <row r="280" spans="1:55" x14ac:dyDescent="0.2">
      <c r="A280" s="55"/>
      <c r="B280" s="56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</row>
    <row r="281" spans="1:55" x14ac:dyDescent="0.2">
      <c r="A281" s="55"/>
      <c r="B281" s="56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</row>
    <row r="282" spans="1:55" x14ac:dyDescent="0.2">
      <c r="A282" s="55"/>
      <c r="B282" s="56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</row>
    <row r="283" spans="1:55" x14ac:dyDescent="0.2">
      <c r="A283" s="55"/>
      <c r="B283" s="56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</row>
    <row r="284" spans="1:55" x14ac:dyDescent="0.2">
      <c r="A284" s="55"/>
      <c r="B284" s="56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</row>
    <row r="285" spans="1:55" x14ac:dyDescent="0.2">
      <c r="A285" s="55"/>
      <c r="B285" s="56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</row>
    <row r="286" spans="1:55" x14ac:dyDescent="0.2">
      <c r="A286" s="55"/>
      <c r="B286" s="56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</row>
    <row r="287" spans="1:55" x14ac:dyDescent="0.2">
      <c r="A287" s="55"/>
      <c r="B287" s="56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</row>
    <row r="288" spans="1:55" x14ac:dyDescent="0.2">
      <c r="A288" s="55"/>
      <c r="B288" s="56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</row>
    <row r="289" spans="1:55" x14ac:dyDescent="0.2">
      <c r="A289" s="55"/>
      <c r="B289" s="56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</row>
    <row r="290" spans="1:55" x14ac:dyDescent="0.2">
      <c r="A290" s="55"/>
      <c r="B290" s="56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</row>
    <row r="291" spans="1:55" x14ac:dyDescent="0.2">
      <c r="A291" s="55"/>
      <c r="B291" s="56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</row>
    <row r="292" spans="1:55" x14ac:dyDescent="0.2">
      <c r="A292" s="55"/>
      <c r="B292" s="56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</row>
    <row r="293" spans="1:55" x14ac:dyDescent="0.2">
      <c r="A293" s="55"/>
      <c r="B293" s="56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</row>
    <row r="294" spans="1:55" x14ac:dyDescent="0.2">
      <c r="A294" s="55"/>
      <c r="B294" s="56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</row>
    <row r="295" spans="1:55" x14ac:dyDescent="0.2">
      <c r="A295" s="55"/>
      <c r="B295" s="56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</row>
    <row r="296" spans="1:55" x14ac:dyDescent="0.2">
      <c r="A296" s="55"/>
      <c r="B296" s="56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</row>
    <row r="297" spans="1:55" x14ac:dyDescent="0.2">
      <c r="A297" s="55"/>
      <c r="B297" s="56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</row>
    <row r="298" spans="1:55" x14ac:dyDescent="0.2">
      <c r="A298" s="55"/>
      <c r="B298" s="56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</row>
    <row r="299" spans="1:55" x14ac:dyDescent="0.2">
      <c r="A299" s="55"/>
      <c r="B299" s="56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</row>
    <row r="300" spans="1:55" x14ac:dyDescent="0.2">
      <c r="A300" s="55"/>
      <c r="B300" s="56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</row>
    <row r="301" spans="1:55" x14ac:dyDescent="0.2">
      <c r="A301" s="55"/>
      <c r="B301" s="56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</row>
    <row r="302" spans="1:55" x14ac:dyDescent="0.2">
      <c r="A302" s="55"/>
      <c r="B302" s="56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</row>
    <row r="303" spans="1:55" x14ac:dyDescent="0.2">
      <c r="A303" s="55"/>
      <c r="B303" s="56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</row>
    <row r="304" spans="1:55" x14ac:dyDescent="0.2">
      <c r="A304" s="55"/>
      <c r="B304" s="56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</row>
    <row r="305" spans="1:55" x14ac:dyDescent="0.2">
      <c r="A305" s="55"/>
      <c r="B305" s="56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</row>
    <row r="306" spans="1:55" x14ac:dyDescent="0.2">
      <c r="A306" s="55"/>
      <c r="B306" s="56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</row>
    <row r="307" spans="1:55" x14ac:dyDescent="0.2">
      <c r="A307" s="55"/>
      <c r="B307" s="56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</row>
    <row r="308" spans="1:55" x14ac:dyDescent="0.2">
      <c r="A308" s="55"/>
      <c r="B308" s="56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</row>
    <row r="309" spans="1:55" x14ac:dyDescent="0.2">
      <c r="A309" s="55"/>
      <c r="B309" s="56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</row>
    <row r="310" spans="1:55" x14ac:dyDescent="0.2">
      <c r="A310" s="55"/>
      <c r="B310" s="56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</row>
    <row r="311" spans="1:55" x14ac:dyDescent="0.2">
      <c r="A311" s="55"/>
      <c r="B311" s="56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</row>
    <row r="312" spans="1:55" x14ac:dyDescent="0.2">
      <c r="A312" s="55"/>
      <c r="B312" s="56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</row>
    <row r="313" spans="1:55" x14ac:dyDescent="0.2">
      <c r="A313" s="55"/>
      <c r="B313" s="56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</row>
    <row r="314" spans="1:55" x14ac:dyDescent="0.2">
      <c r="A314" s="55"/>
      <c r="B314" s="56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</row>
    <row r="315" spans="1:55" x14ac:dyDescent="0.2">
      <c r="A315" s="55"/>
      <c r="B315" s="56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</row>
    <row r="316" spans="1:55" x14ac:dyDescent="0.2">
      <c r="A316" s="55"/>
      <c r="B316" s="56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</row>
    <row r="317" spans="1:55" x14ac:dyDescent="0.2">
      <c r="A317" s="55"/>
      <c r="B317" s="56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</row>
    <row r="318" spans="1:55" x14ac:dyDescent="0.2">
      <c r="A318" s="55"/>
      <c r="B318" s="56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</row>
    <row r="319" spans="1:55" x14ac:dyDescent="0.2">
      <c r="A319" s="55"/>
      <c r="B319" s="56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</row>
    <row r="320" spans="1:55" x14ac:dyDescent="0.2">
      <c r="A320" s="55"/>
      <c r="B320" s="56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</row>
    <row r="321" spans="1:55" x14ac:dyDescent="0.2">
      <c r="A321" s="55"/>
      <c r="B321" s="56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</row>
    <row r="322" spans="1:55" x14ac:dyDescent="0.2">
      <c r="A322" s="55"/>
      <c r="B322" s="56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</row>
    <row r="323" spans="1:55" x14ac:dyDescent="0.2">
      <c r="A323" s="55"/>
      <c r="B323" s="56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</row>
    <row r="324" spans="1:55" x14ac:dyDescent="0.2">
      <c r="A324" s="55"/>
      <c r="B324" s="56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</row>
    <row r="325" spans="1:55" x14ac:dyDescent="0.2">
      <c r="A325" s="55"/>
      <c r="B325" s="56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</row>
    <row r="326" spans="1:55" x14ac:dyDescent="0.2">
      <c r="A326" s="55"/>
      <c r="B326" s="56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</row>
    <row r="327" spans="1:55" x14ac:dyDescent="0.2">
      <c r="A327" s="55"/>
      <c r="B327" s="56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</row>
    <row r="328" spans="1:55" x14ac:dyDescent="0.2">
      <c r="A328" s="55"/>
      <c r="B328" s="56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</row>
    <row r="329" spans="1:55" x14ac:dyDescent="0.2">
      <c r="A329" s="55"/>
      <c r="B329" s="56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</row>
    <row r="330" spans="1:55" x14ac:dyDescent="0.2">
      <c r="A330" s="55"/>
      <c r="B330" s="56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</row>
    <row r="331" spans="1:55" x14ac:dyDescent="0.2">
      <c r="A331" s="55"/>
      <c r="B331" s="56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</row>
    <row r="332" spans="1:55" x14ac:dyDescent="0.2">
      <c r="A332" s="55"/>
      <c r="B332" s="56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</row>
    <row r="333" spans="1:55" x14ac:dyDescent="0.2">
      <c r="A333" s="55"/>
      <c r="B333" s="56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</row>
    <row r="334" spans="1:55" x14ac:dyDescent="0.2">
      <c r="A334" s="55"/>
      <c r="B334" s="56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</row>
    <row r="335" spans="1:55" x14ac:dyDescent="0.2">
      <c r="A335" s="55"/>
      <c r="B335" s="56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</row>
    <row r="336" spans="1:55" x14ac:dyDescent="0.2">
      <c r="A336" s="55"/>
      <c r="B336" s="56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</row>
    <row r="337" spans="1:55" x14ac:dyDescent="0.2">
      <c r="A337" s="55"/>
      <c r="B337" s="56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</row>
    <row r="338" spans="1:55" x14ac:dyDescent="0.2">
      <c r="A338" s="55"/>
      <c r="B338" s="56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</row>
    <row r="339" spans="1:55" x14ac:dyDescent="0.2">
      <c r="A339" s="55"/>
      <c r="B339" s="56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</row>
    <row r="340" spans="1:55" x14ac:dyDescent="0.2">
      <c r="A340" s="55"/>
      <c r="B340" s="56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</row>
    <row r="341" spans="1:55" x14ac:dyDescent="0.2">
      <c r="A341" s="55"/>
      <c r="B341" s="56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</row>
    <row r="342" spans="1:55" x14ac:dyDescent="0.2">
      <c r="A342" s="55"/>
      <c r="B342" s="56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</row>
    <row r="343" spans="1:55" x14ac:dyDescent="0.2">
      <c r="A343" s="55"/>
      <c r="B343" s="56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</row>
    <row r="344" spans="1:55" x14ac:dyDescent="0.2">
      <c r="A344" s="55"/>
      <c r="B344" s="56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</row>
    <row r="345" spans="1:55" x14ac:dyDescent="0.2">
      <c r="A345" s="55"/>
      <c r="B345" s="56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</row>
    <row r="346" spans="1:55" x14ac:dyDescent="0.2">
      <c r="A346" s="55"/>
      <c r="B346" s="56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</row>
    <row r="347" spans="1:55" x14ac:dyDescent="0.2">
      <c r="A347" s="55"/>
      <c r="B347" s="56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</row>
    <row r="348" spans="1:55" x14ac:dyDescent="0.2">
      <c r="A348" s="55"/>
      <c r="B348" s="56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</row>
    <row r="349" spans="1:55" x14ac:dyDescent="0.2">
      <c r="A349" s="55"/>
      <c r="B349" s="56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</row>
    <row r="350" spans="1:55" x14ac:dyDescent="0.2">
      <c r="A350" s="55"/>
      <c r="B350" s="56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</row>
    <row r="351" spans="1:55" x14ac:dyDescent="0.2">
      <c r="A351" s="55"/>
      <c r="B351" s="56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</row>
    <row r="352" spans="1:55" x14ac:dyDescent="0.2">
      <c r="A352" s="55"/>
      <c r="B352" s="56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</row>
    <row r="353" spans="1:55" x14ac:dyDescent="0.2">
      <c r="A353" s="55"/>
      <c r="B353" s="56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</row>
    <row r="354" spans="1:55" x14ac:dyDescent="0.2">
      <c r="A354" s="55"/>
      <c r="B354" s="56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</row>
    <row r="355" spans="1:55" x14ac:dyDescent="0.2">
      <c r="A355" s="55"/>
      <c r="B355" s="56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</row>
    <row r="356" spans="1:55" x14ac:dyDescent="0.2">
      <c r="A356" s="55"/>
      <c r="B356" s="56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</row>
    <row r="357" spans="1:55" x14ac:dyDescent="0.2">
      <c r="A357" s="55"/>
      <c r="B357" s="56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</row>
    <row r="358" spans="1:55" x14ac:dyDescent="0.2">
      <c r="A358" s="55"/>
      <c r="B358" s="56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</row>
    <row r="359" spans="1:55" x14ac:dyDescent="0.2">
      <c r="A359" s="55"/>
      <c r="B359" s="56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</row>
    <row r="360" spans="1:55" x14ac:dyDescent="0.2">
      <c r="A360" s="55"/>
      <c r="B360" s="56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</row>
    <row r="361" spans="1:55" x14ac:dyDescent="0.2">
      <c r="A361" s="55"/>
      <c r="B361" s="56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</row>
    <row r="362" spans="1:55" x14ac:dyDescent="0.2">
      <c r="A362" s="55"/>
      <c r="B362" s="56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</row>
    <row r="363" spans="1:55" x14ac:dyDescent="0.2">
      <c r="A363" s="55"/>
      <c r="B363" s="56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</row>
    <row r="364" spans="1:55" x14ac:dyDescent="0.2">
      <c r="A364" s="55"/>
      <c r="B364" s="56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</row>
    <row r="365" spans="1:55" x14ac:dyDescent="0.2">
      <c r="A365" s="55"/>
      <c r="B365" s="56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</row>
    <row r="366" spans="1:55" x14ac:dyDescent="0.2">
      <c r="A366" s="55"/>
      <c r="B366" s="56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</row>
    <row r="367" spans="1:55" x14ac:dyDescent="0.2">
      <c r="A367" s="55"/>
      <c r="B367" s="56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</row>
    <row r="368" spans="1:55" x14ac:dyDescent="0.2">
      <c r="A368" s="55"/>
      <c r="B368" s="56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</row>
    <row r="369" spans="1:55" x14ac:dyDescent="0.2">
      <c r="A369" s="55"/>
      <c r="B369" s="56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</row>
    <row r="370" spans="1:55" x14ac:dyDescent="0.2">
      <c r="A370" s="55"/>
      <c r="B370" s="56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</row>
    <row r="371" spans="1:55" x14ac:dyDescent="0.2">
      <c r="A371" s="55"/>
      <c r="B371" s="56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</row>
    <row r="372" spans="1:55" x14ac:dyDescent="0.2">
      <c r="A372" s="55"/>
      <c r="B372" s="56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</row>
    <row r="373" spans="1:55" x14ac:dyDescent="0.2">
      <c r="A373" s="55"/>
      <c r="B373" s="56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</row>
    <row r="374" spans="1:55" x14ac:dyDescent="0.2">
      <c r="A374" s="55"/>
      <c r="B374" s="56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</row>
    <row r="375" spans="1:55" x14ac:dyDescent="0.2">
      <c r="A375" s="55"/>
      <c r="B375" s="56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</row>
    <row r="376" spans="1:55" x14ac:dyDescent="0.2">
      <c r="A376" s="55"/>
      <c r="B376" s="56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</row>
    <row r="377" spans="1:55" x14ac:dyDescent="0.2">
      <c r="A377" s="55"/>
      <c r="B377" s="56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</row>
    <row r="378" spans="1:55" x14ac:dyDescent="0.2">
      <c r="A378" s="55"/>
      <c r="B378" s="56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</row>
    <row r="379" spans="1:55" x14ac:dyDescent="0.2">
      <c r="A379" s="55"/>
      <c r="B379" s="56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</row>
    <row r="380" spans="1:55" x14ac:dyDescent="0.2">
      <c r="A380" s="55"/>
      <c r="B380" s="56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</row>
    <row r="381" spans="1:55" x14ac:dyDescent="0.2">
      <c r="A381" s="55"/>
      <c r="B381" s="56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</row>
    <row r="382" spans="1:55" x14ac:dyDescent="0.2">
      <c r="A382" s="55"/>
      <c r="B382" s="56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</row>
    <row r="383" spans="1:55" x14ac:dyDescent="0.2">
      <c r="A383" s="55"/>
      <c r="B383" s="56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</row>
    <row r="384" spans="1:55" x14ac:dyDescent="0.2">
      <c r="A384" s="55"/>
      <c r="B384" s="56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</row>
    <row r="385" spans="1:55" x14ac:dyDescent="0.2">
      <c r="A385" s="55"/>
      <c r="B385" s="56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</row>
    <row r="386" spans="1:55" x14ac:dyDescent="0.2">
      <c r="A386" s="55"/>
      <c r="B386" s="56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</row>
    <row r="387" spans="1:55" x14ac:dyDescent="0.2">
      <c r="A387" s="55"/>
      <c r="B387" s="56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</row>
    <row r="388" spans="1:55" x14ac:dyDescent="0.2">
      <c r="A388" s="55"/>
      <c r="B388" s="56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</row>
    <row r="389" spans="1:55" x14ac:dyDescent="0.2">
      <c r="A389" s="55"/>
      <c r="B389" s="56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</row>
    <row r="390" spans="1:55" x14ac:dyDescent="0.2">
      <c r="A390" s="55"/>
      <c r="B390" s="56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</row>
    <row r="391" spans="1:55" x14ac:dyDescent="0.2">
      <c r="A391" s="55"/>
      <c r="B391" s="56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</row>
    <row r="392" spans="1:55" x14ac:dyDescent="0.2">
      <c r="A392" s="55"/>
      <c r="B392" s="56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</row>
    <row r="393" spans="1:55" x14ac:dyDescent="0.2">
      <c r="A393" s="55"/>
      <c r="B393" s="56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</row>
    <row r="394" spans="1:55" x14ac:dyDescent="0.2">
      <c r="A394" s="55"/>
      <c r="B394" s="56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</row>
    <row r="395" spans="1:55" x14ac:dyDescent="0.2">
      <c r="A395" s="55"/>
      <c r="B395" s="56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</row>
    <row r="396" spans="1:55" x14ac:dyDescent="0.2">
      <c r="A396" s="55"/>
      <c r="B396" s="56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</row>
    <row r="397" spans="1:55" x14ac:dyDescent="0.2">
      <c r="A397" s="55"/>
      <c r="B397" s="56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</row>
    <row r="398" spans="1:55" x14ac:dyDescent="0.2">
      <c r="A398" s="55"/>
      <c r="B398" s="56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</row>
    <row r="399" spans="1:55" x14ac:dyDescent="0.2">
      <c r="A399" s="55"/>
      <c r="B399" s="56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</row>
    <row r="400" spans="1:55" x14ac:dyDescent="0.2">
      <c r="A400" s="55"/>
      <c r="B400" s="56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</row>
    <row r="401" spans="1:55" x14ac:dyDescent="0.2">
      <c r="A401" s="55"/>
      <c r="B401" s="56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</row>
    <row r="402" spans="1:55" x14ac:dyDescent="0.2">
      <c r="A402" s="55"/>
      <c r="B402" s="56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</row>
    <row r="403" spans="1:55" x14ac:dyDescent="0.2">
      <c r="A403" s="55"/>
      <c r="B403" s="56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</row>
    <row r="404" spans="1:55" x14ac:dyDescent="0.2">
      <c r="A404" s="55"/>
      <c r="B404" s="56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</row>
    <row r="405" spans="1:55" x14ac:dyDescent="0.2">
      <c r="A405" s="55"/>
      <c r="B405" s="56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</row>
    <row r="406" spans="1:55" x14ac:dyDescent="0.2">
      <c r="A406" s="55"/>
      <c r="B406" s="56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</row>
    <row r="407" spans="1:55" x14ac:dyDescent="0.2">
      <c r="A407" s="55"/>
      <c r="B407" s="56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</row>
    <row r="408" spans="1:55" x14ac:dyDescent="0.2">
      <c r="A408" s="55"/>
      <c r="B408" s="56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</row>
    <row r="409" spans="1:55" x14ac:dyDescent="0.2">
      <c r="A409" s="55"/>
      <c r="B409" s="56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</row>
    <row r="410" spans="1:55" x14ac:dyDescent="0.2">
      <c r="A410" s="55"/>
      <c r="B410" s="56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</row>
    <row r="411" spans="1:55" x14ac:dyDescent="0.2">
      <c r="A411" s="55"/>
      <c r="B411" s="56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</row>
    <row r="412" spans="1:55" x14ac:dyDescent="0.2">
      <c r="A412" s="55"/>
      <c r="B412" s="56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</row>
    <row r="413" spans="1:55" x14ac:dyDescent="0.2">
      <c r="A413" s="55"/>
      <c r="B413" s="56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</row>
    <row r="414" spans="1:55" x14ac:dyDescent="0.2">
      <c r="A414" s="55"/>
      <c r="B414" s="56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</row>
    <row r="415" spans="1:55" x14ac:dyDescent="0.2">
      <c r="A415" s="55"/>
      <c r="B415" s="56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</row>
    <row r="416" spans="1:55" x14ac:dyDescent="0.2">
      <c r="A416" s="55"/>
      <c r="B416" s="56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</row>
    <row r="417" spans="1:55" x14ac:dyDescent="0.2">
      <c r="A417" s="55"/>
      <c r="B417" s="56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</row>
    <row r="418" spans="1:55" x14ac:dyDescent="0.2">
      <c r="A418" s="55"/>
      <c r="B418" s="56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</row>
    <row r="419" spans="1:55" x14ac:dyDescent="0.2">
      <c r="A419" s="55"/>
      <c r="B419" s="56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</row>
    <row r="420" spans="1:55" x14ac:dyDescent="0.2">
      <c r="A420" s="55"/>
      <c r="B420" s="56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</row>
    <row r="421" spans="1:55" x14ac:dyDescent="0.2">
      <c r="A421" s="55"/>
      <c r="B421" s="56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</row>
    <row r="422" spans="1:55" x14ac:dyDescent="0.2">
      <c r="A422" s="55"/>
      <c r="B422" s="56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</row>
    <row r="423" spans="1:55" x14ac:dyDescent="0.2">
      <c r="A423" s="55"/>
      <c r="B423" s="56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</row>
    <row r="424" spans="1:55" x14ac:dyDescent="0.2">
      <c r="A424" s="55"/>
      <c r="B424" s="56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</row>
    <row r="425" spans="1:55" x14ac:dyDescent="0.2">
      <c r="A425" s="55"/>
      <c r="B425" s="56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</row>
    <row r="426" spans="1:55" x14ac:dyDescent="0.2">
      <c r="A426" s="55"/>
      <c r="B426" s="56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</row>
    <row r="427" spans="1:55" x14ac:dyDescent="0.2">
      <c r="A427" s="55"/>
      <c r="B427" s="56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</row>
    <row r="428" spans="1:55" x14ac:dyDescent="0.2">
      <c r="A428" s="55"/>
      <c r="B428" s="56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</row>
    <row r="429" spans="1:55" x14ac:dyDescent="0.2">
      <c r="A429" s="55"/>
      <c r="B429" s="56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</row>
    <row r="430" spans="1:55" x14ac:dyDescent="0.2">
      <c r="A430" s="55"/>
      <c r="B430" s="56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</row>
    <row r="431" spans="1:55" x14ac:dyDescent="0.2">
      <c r="A431" s="55"/>
      <c r="B431" s="56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</row>
    <row r="432" spans="1:55" x14ac:dyDescent="0.2">
      <c r="A432" s="55"/>
      <c r="B432" s="56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</row>
    <row r="433" spans="1:55" x14ac:dyDescent="0.2">
      <c r="A433" s="55"/>
      <c r="B433" s="56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</row>
    <row r="434" spans="1:55" x14ac:dyDescent="0.2">
      <c r="A434" s="55"/>
      <c r="B434" s="56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</row>
    <row r="435" spans="1:55" x14ac:dyDescent="0.2">
      <c r="A435" s="55"/>
      <c r="B435" s="56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</row>
    <row r="436" spans="1:55" x14ac:dyDescent="0.2">
      <c r="A436" s="55"/>
      <c r="B436" s="56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</row>
    <row r="437" spans="1:55" x14ac:dyDescent="0.2">
      <c r="A437" s="55"/>
      <c r="B437" s="56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</row>
    <row r="438" spans="1:55" x14ac:dyDescent="0.2">
      <c r="A438" s="55"/>
      <c r="B438" s="56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</row>
    <row r="439" spans="1:55" x14ac:dyDescent="0.2">
      <c r="A439" s="55"/>
      <c r="B439" s="56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</row>
    <row r="440" spans="1:55" x14ac:dyDescent="0.2">
      <c r="A440" s="55"/>
      <c r="B440" s="56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</row>
    <row r="441" spans="1:55" x14ac:dyDescent="0.2">
      <c r="A441" s="55"/>
      <c r="B441" s="56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</row>
    <row r="442" spans="1:55" x14ac:dyDescent="0.2">
      <c r="A442" s="55"/>
      <c r="B442" s="56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</row>
    <row r="443" spans="1:55" x14ac:dyDescent="0.2">
      <c r="A443" s="55"/>
      <c r="B443" s="56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</row>
    <row r="444" spans="1:55" x14ac:dyDescent="0.2">
      <c r="A444" s="55"/>
      <c r="B444" s="56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</row>
    <row r="445" spans="1:55" x14ac:dyDescent="0.2">
      <c r="A445" s="55"/>
      <c r="B445" s="56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</row>
    <row r="446" spans="1:55" x14ac:dyDescent="0.2">
      <c r="A446" s="55"/>
      <c r="B446" s="56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</row>
    <row r="447" spans="1:55" x14ac:dyDescent="0.2">
      <c r="A447" s="55"/>
      <c r="B447" s="56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</row>
    <row r="448" spans="1:55" x14ac:dyDescent="0.2">
      <c r="A448" s="55"/>
      <c r="B448" s="56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</row>
    <row r="449" spans="1:55" x14ac:dyDescent="0.2">
      <c r="A449" s="55"/>
      <c r="B449" s="56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</row>
    <row r="450" spans="1:55" x14ac:dyDescent="0.2">
      <c r="A450" s="55"/>
      <c r="B450" s="56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</row>
    <row r="451" spans="1:55" x14ac:dyDescent="0.2">
      <c r="A451" s="55"/>
      <c r="B451" s="56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</row>
    <row r="452" spans="1:55" x14ac:dyDescent="0.2">
      <c r="A452" s="55"/>
      <c r="B452" s="56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</row>
    <row r="453" spans="1:55" x14ac:dyDescent="0.2">
      <c r="A453" s="55"/>
      <c r="B453" s="56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</row>
    <row r="454" spans="1:55" x14ac:dyDescent="0.2">
      <c r="A454" s="55"/>
      <c r="B454" s="56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</row>
    <row r="455" spans="1:55" x14ac:dyDescent="0.2">
      <c r="A455" s="55"/>
      <c r="B455" s="56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</row>
    <row r="456" spans="1:55" x14ac:dyDescent="0.2">
      <c r="A456" s="55"/>
      <c r="B456" s="56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</row>
    <row r="457" spans="1:55" x14ac:dyDescent="0.2">
      <c r="A457" s="55"/>
      <c r="B457" s="56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</row>
    <row r="458" spans="1:55" x14ac:dyDescent="0.2">
      <c r="A458" s="55"/>
      <c r="B458" s="56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</row>
    <row r="459" spans="1:55" x14ac:dyDescent="0.2">
      <c r="A459" s="55"/>
      <c r="B459" s="56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</row>
    <row r="460" spans="1:55" x14ac:dyDescent="0.2">
      <c r="A460" s="55"/>
      <c r="B460" s="56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</row>
    <row r="461" spans="1:55" x14ac:dyDescent="0.2">
      <c r="A461" s="55"/>
      <c r="B461" s="56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</row>
    <row r="462" spans="1:55" x14ac:dyDescent="0.2">
      <c r="A462" s="55"/>
      <c r="B462" s="56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</row>
    <row r="463" spans="1:55" x14ac:dyDescent="0.2">
      <c r="A463" s="55"/>
      <c r="B463" s="56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</row>
    <row r="464" spans="1:55" x14ac:dyDescent="0.2">
      <c r="A464" s="55"/>
      <c r="B464" s="56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</row>
    <row r="465" spans="1:55" x14ac:dyDescent="0.2">
      <c r="A465" s="55"/>
      <c r="B465" s="56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</row>
    <row r="466" spans="1:55" x14ac:dyDescent="0.2">
      <c r="A466" s="55"/>
      <c r="B466" s="56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</row>
    <row r="467" spans="1:55" x14ac:dyDescent="0.2">
      <c r="A467" s="55"/>
      <c r="B467" s="56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</row>
    <row r="468" spans="1:55" x14ac:dyDescent="0.2">
      <c r="A468" s="55"/>
      <c r="B468" s="56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</row>
    <row r="469" spans="1:55" x14ac:dyDescent="0.2">
      <c r="A469" s="55"/>
      <c r="B469" s="56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</row>
    <row r="470" spans="1:55" x14ac:dyDescent="0.2">
      <c r="A470" s="55"/>
      <c r="B470" s="56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</row>
    <row r="471" spans="1:55" x14ac:dyDescent="0.2">
      <c r="A471" s="55"/>
      <c r="B471" s="56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</row>
    <row r="472" spans="1:55" x14ac:dyDescent="0.2">
      <c r="A472" s="55"/>
      <c r="B472" s="56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</row>
    <row r="473" spans="1:55" x14ac:dyDescent="0.2">
      <c r="A473" s="55"/>
      <c r="B473" s="56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</row>
    <row r="474" spans="1:55" x14ac:dyDescent="0.2">
      <c r="A474" s="55"/>
      <c r="B474" s="56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</row>
    <row r="475" spans="1:55" x14ac:dyDescent="0.2">
      <c r="A475" s="55"/>
      <c r="B475" s="56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</row>
    <row r="476" spans="1:55" x14ac:dyDescent="0.2">
      <c r="A476" s="55"/>
      <c r="B476" s="56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</row>
    <row r="477" spans="1:55" x14ac:dyDescent="0.2">
      <c r="A477" s="55"/>
      <c r="B477" s="56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</row>
    <row r="478" spans="1:55" x14ac:dyDescent="0.2">
      <c r="A478" s="55"/>
      <c r="B478" s="56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</row>
    <row r="479" spans="1:55" x14ac:dyDescent="0.2">
      <c r="A479" s="55"/>
      <c r="B479" s="56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</row>
    <row r="480" spans="1:55" x14ac:dyDescent="0.2">
      <c r="A480" s="55"/>
      <c r="B480" s="56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</row>
    <row r="481" spans="1:55" x14ac:dyDescent="0.2">
      <c r="A481" s="55"/>
      <c r="B481" s="56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</row>
    <row r="482" spans="1:55" x14ac:dyDescent="0.2">
      <c r="A482" s="55"/>
      <c r="B482" s="56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</row>
    <row r="483" spans="1:55" x14ac:dyDescent="0.2">
      <c r="A483" s="55"/>
      <c r="B483" s="56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</row>
    <row r="484" spans="1:55" x14ac:dyDescent="0.2">
      <c r="A484" s="55"/>
      <c r="B484" s="56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</row>
    <row r="485" spans="1:55" x14ac:dyDescent="0.2">
      <c r="A485" s="55"/>
      <c r="B485" s="56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</row>
    <row r="486" spans="1:55" x14ac:dyDescent="0.2">
      <c r="A486" s="55"/>
      <c r="B486" s="56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</row>
    <row r="487" spans="1:55" x14ac:dyDescent="0.2">
      <c r="A487" s="55"/>
      <c r="B487" s="56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</row>
    <row r="488" spans="1:55" x14ac:dyDescent="0.2">
      <c r="A488" s="55"/>
      <c r="B488" s="56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</row>
    <row r="489" spans="1:55" x14ac:dyDescent="0.2">
      <c r="A489" s="55"/>
      <c r="B489" s="56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</row>
    <row r="490" spans="1:55" x14ac:dyDescent="0.2">
      <c r="A490" s="55"/>
      <c r="B490" s="56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</row>
    <row r="491" spans="1:55" x14ac:dyDescent="0.2">
      <c r="A491" s="55"/>
      <c r="B491" s="56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</row>
    <row r="492" spans="1:55" x14ac:dyDescent="0.2">
      <c r="A492" s="55"/>
      <c r="B492" s="56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</row>
    <row r="493" spans="1:55" x14ac:dyDescent="0.2">
      <c r="A493" s="55"/>
      <c r="B493" s="56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</row>
    <row r="494" spans="1:55" x14ac:dyDescent="0.2">
      <c r="A494" s="55"/>
      <c r="B494" s="56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</row>
    <row r="495" spans="1:55" x14ac:dyDescent="0.2">
      <c r="A495" s="55"/>
      <c r="B495" s="56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</row>
    <row r="496" spans="1:55" x14ac:dyDescent="0.2">
      <c r="A496" s="55"/>
      <c r="B496" s="56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</row>
    <row r="497" spans="1:55" x14ac:dyDescent="0.2">
      <c r="A497" s="55"/>
      <c r="B497" s="56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</row>
    <row r="498" spans="1:55" x14ac:dyDescent="0.2">
      <c r="A498" s="55"/>
      <c r="B498" s="56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</row>
    <row r="499" spans="1:55" x14ac:dyDescent="0.2">
      <c r="A499" s="55"/>
      <c r="B499" s="56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</row>
    <row r="500" spans="1:55" x14ac:dyDescent="0.2">
      <c r="A500" s="55"/>
      <c r="B500" s="56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</row>
    <row r="501" spans="1:55" x14ac:dyDescent="0.2">
      <c r="A501" s="55"/>
      <c r="B501" s="56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</row>
    <row r="502" spans="1:55" x14ac:dyDescent="0.2">
      <c r="A502" s="55"/>
      <c r="B502" s="56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</row>
    <row r="503" spans="1:55" x14ac:dyDescent="0.2">
      <c r="A503" s="55"/>
      <c r="B503" s="56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</row>
    <row r="504" spans="1:55" x14ac:dyDescent="0.2">
      <c r="A504" s="55"/>
      <c r="B504" s="56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</row>
    <row r="505" spans="1:55" x14ac:dyDescent="0.2">
      <c r="A505" s="55"/>
      <c r="B505" s="56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</row>
    <row r="506" spans="1:55" x14ac:dyDescent="0.2">
      <c r="A506" s="55"/>
      <c r="B506" s="56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</row>
    <row r="507" spans="1:55" x14ac:dyDescent="0.2">
      <c r="A507" s="55"/>
      <c r="B507" s="56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</row>
    <row r="508" spans="1:55" x14ac:dyDescent="0.2">
      <c r="A508" s="55"/>
      <c r="B508" s="56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</row>
    <row r="509" spans="1:55" x14ac:dyDescent="0.2">
      <c r="A509" s="55"/>
      <c r="B509" s="56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</row>
    <row r="510" spans="1:55" x14ac:dyDescent="0.2">
      <c r="A510" s="55"/>
      <c r="B510" s="56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</row>
    <row r="511" spans="1:55" x14ac:dyDescent="0.2">
      <c r="A511" s="55"/>
      <c r="B511" s="56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</row>
    <row r="512" spans="1:55" x14ac:dyDescent="0.2">
      <c r="A512" s="55"/>
      <c r="B512" s="56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</row>
    <row r="513" spans="1:55" x14ac:dyDescent="0.2">
      <c r="A513" s="55"/>
      <c r="B513" s="56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</row>
    <row r="514" spans="1:55" x14ac:dyDescent="0.2">
      <c r="A514" s="55"/>
      <c r="B514" s="56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</row>
    <row r="515" spans="1:55" x14ac:dyDescent="0.2">
      <c r="A515" s="55"/>
      <c r="B515" s="56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</row>
    <row r="516" spans="1:55" x14ac:dyDescent="0.2">
      <c r="A516" s="55"/>
      <c r="B516" s="56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</row>
    <row r="517" spans="1:55" x14ac:dyDescent="0.2">
      <c r="A517" s="55"/>
      <c r="B517" s="56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</row>
    <row r="518" spans="1:55" x14ac:dyDescent="0.2">
      <c r="A518" s="55"/>
      <c r="B518" s="56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</row>
    <row r="519" spans="1:55" x14ac:dyDescent="0.2">
      <c r="A519" s="55"/>
      <c r="B519" s="56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</row>
    <row r="520" spans="1:55" x14ac:dyDescent="0.2">
      <c r="A520" s="55"/>
      <c r="B520" s="56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</row>
    <row r="521" spans="1:55" x14ac:dyDescent="0.2">
      <c r="A521" s="55"/>
      <c r="B521" s="56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</row>
    <row r="522" spans="1:55" x14ac:dyDescent="0.2">
      <c r="A522" s="55"/>
      <c r="B522" s="56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</row>
    <row r="523" spans="1:55" x14ac:dyDescent="0.2">
      <c r="A523" s="55"/>
      <c r="B523" s="56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</row>
    <row r="524" spans="1:55" x14ac:dyDescent="0.2">
      <c r="A524" s="55"/>
      <c r="B524" s="56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</row>
    <row r="525" spans="1:55" x14ac:dyDescent="0.2">
      <c r="A525" s="55"/>
      <c r="B525" s="56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</row>
    <row r="526" spans="1:55" x14ac:dyDescent="0.2">
      <c r="A526" s="55"/>
      <c r="B526" s="56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</row>
    <row r="527" spans="1:55" x14ac:dyDescent="0.2">
      <c r="A527" s="55"/>
      <c r="B527" s="56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</row>
    <row r="528" spans="1:55" x14ac:dyDescent="0.2">
      <c r="A528" s="55"/>
      <c r="B528" s="56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</row>
    <row r="529" spans="1:55" x14ac:dyDescent="0.2">
      <c r="A529" s="55"/>
      <c r="B529" s="56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</row>
    <row r="530" spans="1:55" x14ac:dyDescent="0.2">
      <c r="A530" s="55"/>
      <c r="B530" s="56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</row>
    <row r="531" spans="1:55" x14ac:dyDescent="0.2">
      <c r="A531" s="55"/>
      <c r="B531" s="56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</row>
    <row r="532" spans="1:55" x14ac:dyDescent="0.2">
      <c r="A532" s="55"/>
      <c r="B532" s="56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</row>
    <row r="533" spans="1:55" x14ac:dyDescent="0.2">
      <c r="A533" s="55"/>
      <c r="B533" s="56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</row>
    <row r="534" spans="1:55" x14ac:dyDescent="0.2">
      <c r="A534" s="55"/>
      <c r="B534" s="56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</row>
    <row r="535" spans="1:55" x14ac:dyDescent="0.2">
      <c r="A535" s="55"/>
      <c r="B535" s="56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</row>
    <row r="536" spans="1:55" x14ac:dyDescent="0.2">
      <c r="A536" s="55"/>
      <c r="B536" s="56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</row>
    <row r="537" spans="1:55" x14ac:dyDescent="0.2">
      <c r="A537" s="55"/>
      <c r="B537" s="56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</row>
    <row r="538" spans="1:55" x14ac:dyDescent="0.2">
      <c r="A538" s="55"/>
      <c r="B538" s="56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</row>
    <row r="539" spans="1:55" x14ac:dyDescent="0.2">
      <c r="A539" s="55"/>
      <c r="B539" s="56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</row>
    <row r="540" spans="1:55" x14ac:dyDescent="0.2">
      <c r="A540" s="55"/>
      <c r="B540" s="56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</row>
    <row r="541" spans="1:55" x14ac:dyDescent="0.2">
      <c r="A541" s="55"/>
      <c r="B541" s="56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</row>
    <row r="542" spans="1:55" x14ac:dyDescent="0.2">
      <c r="A542" s="55"/>
      <c r="B542" s="56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</row>
    <row r="543" spans="1:55" x14ac:dyDescent="0.2">
      <c r="A543" s="55"/>
      <c r="B543" s="56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</row>
    <row r="544" spans="1:55" x14ac:dyDescent="0.2">
      <c r="A544" s="55"/>
      <c r="B544" s="56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</row>
    <row r="545" spans="1:55" x14ac:dyDescent="0.2">
      <c r="A545" s="55"/>
      <c r="B545" s="56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</row>
    <row r="546" spans="1:55" x14ac:dyDescent="0.2">
      <c r="A546" s="55"/>
      <c r="B546" s="56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</row>
    <row r="547" spans="1:55" x14ac:dyDescent="0.2">
      <c r="A547" s="55"/>
      <c r="B547" s="56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</row>
    <row r="548" spans="1:55" x14ac:dyDescent="0.2">
      <c r="A548" s="55"/>
      <c r="B548" s="56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</row>
    <row r="549" spans="1:55" x14ac:dyDescent="0.2">
      <c r="A549" s="55"/>
      <c r="B549" s="56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</row>
    <row r="550" spans="1:55" x14ac:dyDescent="0.2">
      <c r="A550" s="55"/>
      <c r="B550" s="56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</row>
    <row r="551" spans="1:55" x14ac:dyDescent="0.2">
      <c r="A551" s="55"/>
      <c r="B551" s="56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</row>
    <row r="552" spans="1:55" x14ac:dyDescent="0.2">
      <c r="A552" s="55"/>
      <c r="B552" s="56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</row>
    <row r="553" spans="1:55" x14ac:dyDescent="0.2">
      <c r="A553" s="55"/>
      <c r="B553" s="56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</row>
    <row r="554" spans="1:55" x14ac:dyDescent="0.2">
      <c r="A554" s="55"/>
      <c r="B554" s="56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</row>
    <row r="555" spans="1:55" x14ac:dyDescent="0.2">
      <c r="A555" s="55"/>
      <c r="B555" s="56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</row>
    <row r="556" spans="1:55" x14ac:dyDescent="0.2">
      <c r="A556" s="55"/>
      <c r="B556" s="56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</row>
    <row r="557" spans="1:55" x14ac:dyDescent="0.2">
      <c r="A557" s="55"/>
      <c r="B557" s="56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</row>
    <row r="558" spans="1:55" x14ac:dyDescent="0.2">
      <c r="A558" s="55"/>
      <c r="B558" s="56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</row>
    <row r="559" spans="1:55" x14ac:dyDescent="0.2">
      <c r="A559" s="55"/>
      <c r="B559" s="56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</row>
    <row r="560" spans="1:55" x14ac:dyDescent="0.2">
      <c r="A560" s="55"/>
      <c r="B560" s="56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</row>
    <row r="561" spans="1:55" x14ac:dyDescent="0.2">
      <c r="A561" s="55"/>
      <c r="B561" s="56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</row>
    <row r="562" spans="1:55" x14ac:dyDescent="0.2">
      <c r="A562" s="55"/>
      <c r="B562" s="56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</row>
    <row r="563" spans="1:55" x14ac:dyDescent="0.2">
      <c r="A563" s="55"/>
      <c r="B563" s="56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</row>
    <row r="564" spans="1:55" x14ac:dyDescent="0.2">
      <c r="A564" s="55"/>
      <c r="B564" s="56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</row>
    <row r="565" spans="1:55" x14ac:dyDescent="0.2">
      <c r="A565" s="55"/>
      <c r="B565" s="56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</row>
    <row r="566" spans="1:55" x14ac:dyDescent="0.2">
      <c r="A566" s="55"/>
      <c r="B566" s="56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</row>
    <row r="567" spans="1:55" x14ac:dyDescent="0.2">
      <c r="A567" s="55"/>
      <c r="B567" s="56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</row>
    <row r="568" spans="1:55" x14ac:dyDescent="0.2">
      <c r="A568" s="55"/>
      <c r="B568" s="56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</row>
    <row r="569" spans="1:55" x14ac:dyDescent="0.2">
      <c r="A569" s="55"/>
      <c r="B569" s="56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</row>
    <row r="570" spans="1:55" x14ac:dyDescent="0.2">
      <c r="A570" s="55"/>
      <c r="B570" s="56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</row>
    <row r="571" spans="1:55" x14ac:dyDescent="0.2">
      <c r="A571" s="55"/>
      <c r="B571" s="56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</row>
    <row r="572" spans="1:55" x14ac:dyDescent="0.2">
      <c r="A572" s="55"/>
      <c r="B572" s="56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</row>
    <row r="573" spans="1:55" x14ac:dyDescent="0.2">
      <c r="A573" s="55"/>
      <c r="B573" s="56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</row>
    <row r="574" spans="1:55" x14ac:dyDescent="0.2">
      <c r="A574" s="55"/>
      <c r="B574" s="56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</row>
    <row r="575" spans="1:55" x14ac:dyDescent="0.2">
      <c r="A575" s="55"/>
      <c r="B575" s="56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</row>
    <row r="576" spans="1:55" x14ac:dyDescent="0.2">
      <c r="A576" s="55"/>
      <c r="B576" s="56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</row>
    <row r="577" spans="1:55" x14ac:dyDescent="0.2">
      <c r="A577" s="55"/>
      <c r="B577" s="56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</row>
    <row r="578" spans="1:55" x14ac:dyDescent="0.2">
      <c r="A578" s="55"/>
      <c r="B578" s="56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</row>
    <row r="579" spans="1:55" x14ac:dyDescent="0.2">
      <c r="A579" s="55"/>
      <c r="B579" s="56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</row>
    <row r="580" spans="1:55" x14ac:dyDescent="0.2">
      <c r="A580" s="55"/>
      <c r="B580" s="56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</row>
    <row r="581" spans="1:55" x14ac:dyDescent="0.2">
      <c r="A581" s="55"/>
      <c r="B581" s="56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</row>
    <row r="582" spans="1:55" x14ac:dyDescent="0.2">
      <c r="A582" s="55"/>
      <c r="B582" s="56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</row>
    <row r="583" spans="1:55" x14ac:dyDescent="0.2">
      <c r="A583" s="55"/>
      <c r="B583" s="56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</row>
    <row r="584" spans="1:55" x14ac:dyDescent="0.2">
      <c r="A584" s="55"/>
      <c r="B584" s="56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</row>
    <row r="585" spans="1:55" x14ac:dyDescent="0.2">
      <c r="A585" s="55"/>
      <c r="B585" s="56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</row>
    <row r="586" spans="1:55" x14ac:dyDescent="0.2">
      <c r="A586" s="55"/>
      <c r="B586" s="56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</row>
    <row r="587" spans="1:55" x14ac:dyDescent="0.2">
      <c r="A587" s="55"/>
      <c r="B587" s="56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</row>
    <row r="588" spans="1:55" x14ac:dyDescent="0.2">
      <c r="A588" s="55"/>
      <c r="B588" s="56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</row>
    <row r="589" spans="1:55" x14ac:dyDescent="0.2">
      <c r="A589" s="55"/>
      <c r="B589" s="56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</row>
    <row r="590" spans="1:55" x14ac:dyDescent="0.2">
      <c r="A590" s="55"/>
      <c r="B590" s="56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</row>
    <row r="591" spans="1:55" x14ac:dyDescent="0.2">
      <c r="A591" s="55"/>
      <c r="B591" s="56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</row>
    <row r="592" spans="1:55" x14ac:dyDescent="0.2">
      <c r="A592" s="55"/>
      <c r="B592" s="56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</row>
    <row r="593" spans="1:55" x14ac:dyDescent="0.2">
      <c r="A593" s="55"/>
      <c r="B593" s="56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</row>
    <row r="594" spans="1:55" x14ac:dyDescent="0.2">
      <c r="A594" s="55"/>
      <c r="B594" s="56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</row>
    <row r="595" spans="1:55" x14ac:dyDescent="0.2">
      <c r="A595" s="55"/>
      <c r="B595" s="56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</row>
    <row r="596" spans="1:55" x14ac:dyDescent="0.2">
      <c r="A596" s="55"/>
      <c r="B596" s="56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</row>
    <row r="597" spans="1:55" x14ac:dyDescent="0.2">
      <c r="A597" s="55"/>
      <c r="B597" s="56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</row>
    <row r="598" spans="1:55" x14ac:dyDescent="0.2">
      <c r="A598" s="55"/>
      <c r="B598" s="56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</row>
    <row r="599" spans="1:55" x14ac:dyDescent="0.2">
      <c r="A599" s="55"/>
      <c r="B599" s="56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</row>
    <row r="600" spans="1:55" x14ac:dyDescent="0.2">
      <c r="A600" s="55"/>
      <c r="B600" s="56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</row>
    <row r="601" spans="1:55" x14ac:dyDescent="0.2">
      <c r="A601" s="55"/>
      <c r="B601" s="56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</row>
    <row r="602" spans="1:55" x14ac:dyDescent="0.2">
      <c r="A602" s="55"/>
      <c r="B602" s="56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</row>
    <row r="603" spans="1:55" x14ac:dyDescent="0.2">
      <c r="A603" s="55"/>
      <c r="B603" s="56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</row>
    <row r="604" spans="1:55" x14ac:dyDescent="0.2">
      <c r="A604" s="55"/>
      <c r="B604" s="56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</row>
    <row r="605" spans="1:55" x14ac:dyDescent="0.2">
      <c r="A605" s="55"/>
      <c r="B605" s="56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</row>
    <row r="606" spans="1:55" x14ac:dyDescent="0.2">
      <c r="A606" s="55"/>
      <c r="B606" s="56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</row>
    <row r="607" spans="1:55" x14ac:dyDescent="0.2">
      <c r="A607" s="55"/>
      <c r="B607" s="56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</row>
    <row r="608" spans="1:55" x14ac:dyDescent="0.2">
      <c r="A608" s="55"/>
      <c r="B608" s="56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</row>
    <row r="609" spans="1:55" x14ac:dyDescent="0.2">
      <c r="A609" s="55"/>
      <c r="B609" s="56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</row>
    <row r="610" spans="1:55" x14ac:dyDescent="0.2">
      <c r="A610" s="55"/>
      <c r="B610" s="56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</row>
    <row r="611" spans="1:55" x14ac:dyDescent="0.2">
      <c r="A611" s="55"/>
      <c r="B611" s="56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</row>
    <row r="612" spans="1:55" x14ac:dyDescent="0.2">
      <c r="A612" s="55"/>
      <c r="B612" s="56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</row>
    <row r="613" spans="1:55" x14ac:dyDescent="0.2">
      <c r="A613" s="55"/>
      <c r="B613" s="56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</row>
    <row r="614" spans="1:55" x14ac:dyDescent="0.2">
      <c r="A614" s="55"/>
      <c r="B614" s="56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</row>
    <row r="615" spans="1:55" x14ac:dyDescent="0.2">
      <c r="A615" s="55"/>
      <c r="B615" s="56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</row>
    <row r="616" spans="1:55" x14ac:dyDescent="0.2">
      <c r="A616" s="55"/>
      <c r="B616" s="56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</row>
    <row r="617" spans="1:55" x14ac:dyDescent="0.2">
      <c r="A617" s="55"/>
      <c r="B617" s="56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</row>
    <row r="618" spans="1:55" x14ac:dyDescent="0.2">
      <c r="A618" s="55"/>
      <c r="B618" s="56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</row>
    <row r="619" spans="1:55" x14ac:dyDescent="0.2">
      <c r="A619" s="55"/>
      <c r="B619" s="56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</row>
    <row r="620" spans="1:55" x14ac:dyDescent="0.2">
      <c r="A620" s="55"/>
      <c r="B620" s="56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</row>
    <row r="621" spans="1:55" x14ac:dyDescent="0.2">
      <c r="A621" s="55"/>
      <c r="B621" s="56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</row>
    <row r="622" spans="1:55" x14ac:dyDescent="0.2">
      <c r="A622" s="55"/>
      <c r="B622" s="56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</row>
    <row r="623" spans="1:55" x14ac:dyDescent="0.2">
      <c r="A623" s="55"/>
      <c r="B623" s="56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</row>
    <row r="624" spans="1:55" x14ac:dyDescent="0.2">
      <c r="A624" s="55"/>
      <c r="B624" s="56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</row>
    <row r="625" spans="1:55" x14ac:dyDescent="0.2">
      <c r="A625" s="55"/>
      <c r="B625" s="56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</row>
    <row r="626" spans="1:55" x14ac:dyDescent="0.2">
      <c r="A626" s="55"/>
      <c r="B626" s="56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</row>
    <row r="627" spans="1:55" x14ac:dyDescent="0.2">
      <c r="A627" s="55"/>
      <c r="B627" s="56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</row>
    <row r="628" spans="1:55" x14ac:dyDescent="0.2">
      <c r="A628" s="55"/>
      <c r="B628" s="56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</row>
    <row r="629" spans="1:55" x14ac:dyDescent="0.2">
      <c r="A629" s="55"/>
      <c r="B629" s="56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</row>
    <row r="630" spans="1:55" x14ac:dyDescent="0.2">
      <c r="A630" s="55"/>
      <c r="B630" s="56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</row>
    <row r="631" spans="1:55" x14ac:dyDescent="0.2">
      <c r="A631" s="55"/>
      <c r="B631" s="56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</row>
    <row r="632" spans="1:55" x14ac:dyDescent="0.2">
      <c r="A632" s="55"/>
      <c r="B632" s="56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</row>
    <row r="633" spans="1:55" x14ac:dyDescent="0.2">
      <c r="A633" s="55"/>
      <c r="B633" s="56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</row>
    <row r="634" spans="1:55" x14ac:dyDescent="0.2">
      <c r="A634" s="55"/>
      <c r="B634" s="56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</row>
    <row r="635" spans="1:55" x14ac:dyDescent="0.2">
      <c r="A635" s="55"/>
      <c r="B635" s="56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</row>
    <row r="636" spans="1:55" x14ac:dyDescent="0.2">
      <c r="A636" s="55"/>
      <c r="B636" s="56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</row>
    <row r="637" spans="1:55" x14ac:dyDescent="0.2">
      <c r="A637" s="55"/>
      <c r="B637" s="56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</row>
    <row r="638" spans="1:55" x14ac:dyDescent="0.2">
      <c r="A638" s="55"/>
      <c r="B638" s="56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</row>
    <row r="639" spans="1:55" x14ac:dyDescent="0.2">
      <c r="A639" s="55"/>
      <c r="B639" s="56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</row>
    <row r="640" spans="1:55" x14ac:dyDescent="0.2">
      <c r="A640" s="55"/>
      <c r="B640" s="56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</row>
    <row r="641" spans="1:55" x14ac:dyDescent="0.2">
      <c r="A641" s="55"/>
      <c r="B641" s="56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</row>
    <row r="642" spans="1:55" x14ac:dyDescent="0.2">
      <c r="A642" s="55"/>
      <c r="B642" s="56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</row>
    <row r="643" spans="1:55" x14ac:dyDescent="0.2">
      <c r="A643" s="55"/>
      <c r="B643" s="56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</row>
    <row r="644" spans="1:55" x14ac:dyDescent="0.2">
      <c r="A644" s="55"/>
      <c r="B644" s="56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</row>
    <row r="645" spans="1:55" x14ac:dyDescent="0.2">
      <c r="A645" s="55"/>
      <c r="B645" s="56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</row>
    <row r="646" spans="1:55" x14ac:dyDescent="0.2">
      <c r="A646" s="55"/>
      <c r="B646" s="56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</row>
    <row r="647" spans="1:55" x14ac:dyDescent="0.2">
      <c r="A647" s="55"/>
      <c r="B647" s="56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</row>
    <row r="648" spans="1:55" x14ac:dyDescent="0.2">
      <c r="A648" s="55"/>
      <c r="B648" s="56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</row>
    <row r="649" spans="1:55" x14ac:dyDescent="0.2">
      <c r="A649" s="55"/>
      <c r="B649" s="56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</row>
    <row r="650" spans="1:55" x14ac:dyDescent="0.2">
      <c r="A650" s="55"/>
      <c r="B650" s="56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</row>
    <row r="651" spans="1:55" x14ac:dyDescent="0.2">
      <c r="A651" s="55"/>
      <c r="B651" s="56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</row>
    <row r="652" spans="1:55" x14ac:dyDescent="0.2">
      <c r="A652" s="55"/>
      <c r="B652" s="56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</row>
    <row r="653" spans="1:55" x14ac:dyDescent="0.2">
      <c r="A653" s="55"/>
      <c r="B653" s="56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</row>
    <row r="654" spans="1:55" x14ac:dyDescent="0.2">
      <c r="A654" s="55"/>
      <c r="B654" s="56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</row>
    <row r="655" spans="1:55" x14ac:dyDescent="0.2">
      <c r="A655" s="55"/>
      <c r="B655" s="56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</row>
    <row r="656" spans="1:55" x14ac:dyDescent="0.2">
      <c r="A656" s="55"/>
      <c r="B656" s="56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</row>
    <row r="657" spans="1:55" x14ac:dyDescent="0.2">
      <c r="A657" s="55"/>
      <c r="B657" s="56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</row>
    <row r="658" spans="1:55" x14ac:dyDescent="0.2">
      <c r="A658" s="55"/>
      <c r="B658" s="56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</row>
    <row r="659" spans="1:55" x14ac:dyDescent="0.2">
      <c r="A659" s="55"/>
      <c r="B659" s="56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</row>
    <row r="660" spans="1:55" x14ac:dyDescent="0.2">
      <c r="A660" s="55"/>
      <c r="B660" s="56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</row>
    <row r="661" spans="1:55" x14ac:dyDescent="0.2">
      <c r="A661" s="55"/>
      <c r="B661" s="56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</row>
    <row r="662" spans="1:55" x14ac:dyDescent="0.2">
      <c r="A662" s="55"/>
      <c r="B662" s="56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</row>
    <row r="663" spans="1:55" x14ac:dyDescent="0.2">
      <c r="A663" s="55"/>
      <c r="B663" s="56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</row>
    <row r="664" spans="1:55" x14ac:dyDescent="0.2">
      <c r="A664" s="55"/>
      <c r="B664" s="56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</row>
    <row r="665" spans="1:55" x14ac:dyDescent="0.2">
      <c r="A665" s="55"/>
      <c r="B665" s="56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</row>
    <row r="666" spans="1:55" x14ac:dyDescent="0.2">
      <c r="A666" s="55"/>
      <c r="B666" s="56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</row>
    <row r="667" spans="1:55" x14ac:dyDescent="0.2">
      <c r="A667" s="55"/>
      <c r="B667" s="56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</row>
    <row r="668" spans="1:55" x14ac:dyDescent="0.2">
      <c r="A668" s="55"/>
      <c r="B668" s="56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</row>
    <row r="669" spans="1:55" x14ac:dyDescent="0.2">
      <c r="A669" s="55"/>
      <c r="B669" s="56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</row>
    <row r="670" spans="1:55" x14ac:dyDescent="0.2">
      <c r="A670" s="55"/>
      <c r="B670" s="56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</row>
    <row r="671" spans="1:55" x14ac:dyDescent="0.2">
      <c r="A671" s="55"/>
      <c r="B671" s="56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</row>
    <row r="672" spans="1:55" x14ac:dyDescent="0.2">
      <c r="A672" s="55"/>
      <c r="B672" s="56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</row>
    <row r="673" spans="1:55" x14ac:dyDescent="0.2">
      <c r="A673" s="55"/>
      <c r="B673" s="56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</row>
    <row r="674" spans="1:55" x14ac:dyDescent="0.2">
      <c r="A674" s="55"/>
      <c r="B674" s="56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</row>
    <row r="675" spans="1:55" x14ac:dyDescent="0.2">
      <c r="A675" s="55"/>
      <c r="B675" s="56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</row>
    <row r="676" spans="1:55" x14ac:dyDescent="0.2">
      <c r="A676" s="55"/>
      <c r="B676" s="56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</row>
    <row r="677" spans="1:55" x14ac:dyDescent="0.2">
      <c r="A677" s="55"/>
      <c r="B677" s="56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</row>
    <row r="678" spans="1:55" x14ac:dyDescent="0.2">
      <c r="A678" s="55"/>
      <c r="B678" s="56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</row>
    <row r="679" spans="1:55" x14ac:dyDescent="0.2">
      <c r="A679" s="55"/>
      <c r="B679" s="56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</row>
    <row r="680" spans="1:55" x14ac:dyDescent="0.2">
      <c r="A680" s="55"/>
      <c r="B680" s="56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</row>
    <row r="681" spans="1:55" x14ac:dyDescent="0.2">
      <c r="A681" s="55"/>
      <c r="B681" s="56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</row>
    <row r="682" spans="1:55" x14ac:dyDescent="0.2">
      <c r="A682" s="55"/>
      <c r="B682" s="56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</row>
    <row r="683" spans="1:55" x14ac:dyDescent="0.2">
      <c r="A683" s="55"/>
      <c r="B683" s="56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</row>
    <row r="684" spans="1:55" x14ac:dyDescent="0.2">
      <c r="A684" s="55"/>
      <c r="B684" s="56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</row>
    <row r="685" spans="1:55" x14ac:dyDescent="0.2">
      <c r="A685" s="55"/>
      <c r="B685" s="56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</row>
    <row r="686" spans="1:55" x14ac:dyDescent="0.2">
      <c r="A686" s="55"/>
      <c r="B686" s="56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</row>
    <row r="687" spans="1:55" x14ac:dyDescent="0.2">
      <c r="A687" s="55"/>
      <c r="B687" s="56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</row>
    <row r="688" spans="1:55" x14ac:dyDescent="0.2">
      <c r="A688" s="55"/>
      <c r="B688" s="56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</row>
    <row r="689" spans="1:55" x14ac:dyDescent="0.2">
      <c r="A689" s="55"/>
      <c r="B689" s="56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</row>
    <row r="690" spans="1:55" x14ac:dyDescent="0.2">
      <c r="A690" s="55"/>
      <c r="B690" s="56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</row>
  </sheetData>
  <mergeCells count="1">
    <mergeCell ref="A5:C5"/>
  </mergeCells>
  <conditionalFormatting sqref="A9:A42">
    <cfRule type="expression" dxfId="145" priority="21" stopIfTrue="1">
      <formula>$F9&gt;0</formula>
    </cfRule>
    <cfRule type="expression" dxfId="144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A215-8EF0-45EA-9E35-74EE0C81B556}">
  <sheetPr codeName="גיליון4">
    <pageSetUpPr fitToPage="1"/>
  </sheetPr>
  <dimension ref="A1:K120"/>
  <sheetViews>
    <sheetView rightToLeft="1" topLeftCell="A6" zoomScale="90" zoomScaleNormal="90" workbookViewId="0">
      <selection activeCell="A6" sqref="A6:K115"/>
    </sheetView>
  </sheetViews>
  <sheetFormatPr defaultRowHeight="12.75" x14ac:dyDescent="0.2"/>
  <cols>
    <col min="1" max="1" width="56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8" customWidth="1"/>
    <col min="6" max="6" width="11.42578125" style="50" bestFit="1" customWidth="1"/>
    <col min="7" max="7" width="11.85546875" style="80" customWidth="1"/>
    <col min="8" max="8" width="13.7109375" style="82" customWidth="1"/>
    <col min="9" max="9" width="10.7109375" style="80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226</v>
      </c>
      <c r="B1" s="22" t="s">
        <v>236</v>
      </c>
      <c r="C1" s="22"/>
      <c r="D1" s="22"/>
      <c r="E1" s="78"/>
      <c r="F1" s="50"/>
      <c r="G1" s="80"/>
      <c r="H1" s="81"/>
      <c r="I1" s="80"/>
      <c r="J1" s="26"/>
      <c r="K1" s="28"/>
    </row>
    <row r="2" spans="1:11" s="20" customFormat="1" ht="14.25" customHeight="1" x14ac:dyDescent="0.2">
      <c r="A2" s="23" t="s">
        <v>227</v>
      </c>
      <c r="B2" s="22" t="s">
        <v>153</v>
      </c>
      <c r="C2" s="22"/>
      <c r="D2" s="22"/>
      <c r="E2" s="78"/>
      <c r="F2" s="50"/>
      <c r="G2" s="80"/>
      <c r="H2" s="81"/>
      <c r="I2" s="80"/>
      <c r="J2" s="26"/>
      <c r="K2" s="28"/>
    </row>
    <row r="3" spans="1:11" s="20" customFormat="1" x14ac:dyDescent="0.2">
      <c r="A3" s="23" t="s">
        <v>228</v>
      </c>
      <c r="B3" s="22" t="s">
        <v>229</v>
      </c>
      <c r="C3" s="22"/>
      <c r="D3" s="22"/>
      <c r="E3" s="78"/>
      <c r="F3" s="50"/>
      <c r="G3" s="80"/>
      <c r="H3" s="81"/>
      <c r="I3" s="80"/>
      <c r="J3" s="26"/>
      <c r="K3" s="28"/>
    </row>
    <row r="4" spans="1:11" s="20" customFormat="1" ht="13.5" thickBot="1" x14ac:dyDescent="0.25">
      <c r="A4" s="23" t="s">
        <v>230</v>
      </c>
      <c r="B4" s="22" t="s">
        <v>237</v>
      </c>
      <c r="C4" s="22"/>
      <c r="D4" s="22"/>
      <c r="E4" s="78"/>
      <c r="F4" s="50"/>
      <c r="G4" s="80"/>
      <c r="H4" s="81"/>
      <c r="I4" s="80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6" t="s">
        <v>160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6</v>
      </c>
      <c r="G6" s="108" t="s">
        <v>66</v>
      </c>
      <c r="H6" s="108" t="s">
        <v>71</v>
      </c>
      <c r="I6" s="108" t="s">
        <v>7</v>
      </c>
      <c r="J6" s="109" t="s">
        <v>75</v>
      </c>
      <c r="K6" s="110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7" t="s">
        <v>9</v>
      </c>
      <c r="H7" s="67" t="s">
        <v>9</v>
      </c>
      <c r="I7" s="67" t="s">
        <v>10</v>
      </c>
      <c r="J7" s="66" t="s">
        <v>9</v>
      </c>
      <c r="K7" s="68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8" customFormat="1" ht="12.75" customHeight="1" thickBot="1" x14ac:dyDescent="0.25">
      <c r="A9" s="91" t="s">
        <v>78</v>
      </c>
      <c r="B9" s="139"/>
      <c r="C9" s="139"/>
      <c r="D9" s="139"/>
      <c r="E9" s="139"/>
      <c r="F9" s="139"/>
      <c r="G9" s="139"/>
      <c r="H9" s="139"/>
      <c r="I9" s="100">
        <v>43099.759335132709</v>
      </c>
      <c r="J9" s="96">
        <v>1</v>
      </c>
      <c r="K9" s="77">
        <v>0.16656462813168471</v>
      </c>
    </row>
    <row r="10" spans="1:11" s="138" customFormat="1" x14ac:dyDescent="0.2">
      <c r="A10" s="140" t="s">
        <v>239</v>
      </c>
      <c r="B10" s="141" t="s">
        <v>240</v>
      </c>
      <c r="C10" s="141" t="s">
        <v>240</v>
      </c>
      <c r="D10" s="142" t="s">
        <v>240</v>
      </c>
      <c r="E10" s="142" t="s">
        <v>240</v>
      </c>
      <c r="F10" s="142" t="s">
        <v>240</v>
      </c>
      <c r="G10" s="141" t="s">
        <v>240</v>
      </c>
      <c r="H10" s="141" t="s">
        <v>240</v>
      </c>
      <c r="I10" s="143">
        <v>28920.813587438337</v>
      </c>
      <c r="J10" s="141">
        <v>0.67102030344432984</v>
      </c>
      <c r="K10" s="141">
        <v>0.11176824731201503</v>
      </c>
    </row>
    <row r="11" spans="1:11" s="138" customFormat="1" x14ac:dyDescent="0.2">
      <c r="A11" s="144" t="s">
        <v>241</v>
      </c>
      <c r="B11" s="145" t="s">
        <v>240</v>
      </c>
      <c r="C11" s="145" t="s">
        <v>240</v>
      </c>
      <c r="D11" s="142" t="s">
        <v>240</v>
      </c>
      <c r="E11" s="146" t="s">
        <v>240</v>
      </c>
      <c r="F11" s="146" t="s">
        <v>240</v>
      </c>
      <c r="G11" s="145" t="s">
        <v>240</v>
      </c>
      <c r="H11" s="145" t="s">
        <v>240</v>
      </c>
      <c r="I11" s="147">
        <v>19214.979118722837</v>
      </c>
      <c r="J11" s="141">
        <v>0.44582567084219826</v>
      </c>
      <c r="K11" s="141">
        <v>7.4258787075389618E-2</v>
      </c>
    </row>
    <row r="12" spans="1:11" x14ac:dyDescent="0.2">
      <c r="A12" s="65" t="s">
        <v>1890</v>
      </c>
      <c r="B12" s="38" t="s">
        <v>243</v>
      </c>
      <c r="C12" s="38" t="s">
        <v>244</v>
      </c>
      <c r="D12" s="85" t="s">
        <v>245</v>
      </c>
      <c r="E12" s="79" t="s">
        <v>246</v>
      </c>
      <c r="F12" s="79" t="s">
        <v>247</v>
      </c>
      <c r="G12" s="38">
        <v>0</v>
      </c>
      <c r="H12" s="38">
        <v>0</v>
      </c>
      <c r="I12" s="104">
        <v>8.5857299999999999</v>
      </c>
      <c r="J12" s="46">
        <v>1.9920598473043799E-4</v>
      </c>
      <c r="K12" s="46">
        <v>3.318067076823147E-5</v>
      </c>
    </row>
    <row r="13" spans="1:11" x14ac:dyDescent="0.2">
      <c r="A13" s="65" t="s">
        <v>1890</v>
      </c>
      <c r="B13" s="38" t="s">
        <v>266</v>
      </c>
      <c r="C13" s="38" t="s">
        <v>244</v>
      </c>
      <c r="D13" s="85" t="s">
        <v>245</v>
      </c>
      <c r="E13" s="79" t="s">
        <v>246</v>
      </c>
      <c r="F13" s="79" t="s">
        <v>247</v>
      </c>
      <c r="G13" s="38">
        <v>0</v>
      </c>
      <c r="H13" s="38">
        <v>0</v>
      </c>
      <c r="I13" s="104">
        <v>0.16466192746131153</v>
      </c>
      <c r="J13" s="46">
        <v>3.8204836871812319E-6</v>
      </c>
      <c r="K13" s="46">
        <v>6.3635744463850948E-7</v>
      </c>
    </row>
    <row r="14" spans="1:11" x14ac:dyDescent="0.2">
      <c r="A14" s="65" t="s">
        <v>1890</v>
      </c>
      <c r="B14" s="38" t="s">
        <v>269</v>
      </c>
      <c r="C14" s="38" t="s">
        <v>244</v>
      </c>
      <c r="D14" s="85" t="s">
        <v>245</v>
      </c>
      <c r="E14" s="79" t="s">
        <v>246</v>
      </c>
      <c r="F14" s="79" t="s">
        <v>247</v>
      </c>
      <c r="G14" s="38">
        <v>0</v>
      </c>
      <c r="H14" s="38">
        <v>0</v>
      </c>
      <c r="I14" s="104">
        <v>1.775362585748075E-3</v>
      </c>
      <c r="J14" s="46">
        <v>4.1191937336431732E-8</v>
      </c>
      <c r="K14" s="46">
        <v>6.8611197244664097E-9</v>
      </c>
    </row>
    <row r="15" spans="1:11" x14ac:dyDescent="0.2">
      <c r="A15" s="65" t="s">
        <v>1902</v>
      </c>
      <c r="B15" s="38" t="s">
        <v>248</v>
      </c>
      <c r="C15" s="38" t="s">
        <v>249</v>
      </c>
      <c r="D15" s="85" t="s">
        <v>245</v>
      </c>
      <c r="E15" s="79" t="s">
        <v>246</v>
      </c>
      <c r="F15" s="79" t="s">
        <v>247</v>
      </c>
      <c r="G15" s="38">
        <v>0</v>
      </c>
      <c r="H15" s="38">
        <v>0</v>
      </c>
      <c r="I15" s="104">
        <v>1962.8056399999998</v>
      </c>
      <c r="J15" s="46">
        <v>4.5540988401761712E-2</v>
      </c>
      <c r="K15" s="46">
        <v>7.5855177978888053E-3</v>
      </c>
    </row>
    <row r="16" spans="1:11" x14ac:dyDescent="0.2">
      <c r="A16" s="65" t="s">
        <v>1902</v>
      </c>
      <c r="B16" s="38" t="s">
        <v>257</v>
      </c>
      <c r="C16" s="38" t="s">
        <v>249</v>
      </c>
      <c r="D16" s="85" t="s">
        <v>245</v>
      </c>
      <c r="E16" s="79" t="s">
        <v>246</v>
      </c>
      <c r="F16" s="79" t="s">
        <v>247</v>
      </c>
      <c r="G16" s="38">
        <v>0</v>
      </c>
      <c r="H16" s="38">
        <v>0</v>
      </c>
      <c r="I16" s="104">
        <v>0.14679444835627306</v>
      </c>
      <c r="J16" s="46">
        <v>3.4059226923945666E-6</v>
      </c>
      <c r="K16" s="46">
        <v>5.6730624670396734E-7</v>
      </c>
    </row>
    <row r="17" spans="1:11" x14ac:dyDescent="0.2">
      <c r="A17" s="65" t="s">
        <v>1933</v>
      </c>
      <c r="B17" s="38" t="s">
        <v>261</v>
      </c>
      <c r="C17" s="38" t="s">
        <v>249</v>
      </c>
      <c r="D17" s="85" t="s">
        <v>245</v>
      </c>
      <c r="E17" s="79" t="s">
        <v>246</v>
      </c>
      <c r="F17" s="79" t="s">
        <v>247</v>
      </c>
      <c r="G17" s="38">
        <v>0</v>
      </c>
      <c r="H17" s="38">
        <v>0</v>
      </c>
      <c r="I17" s="104">
        <v>235.15333080561075</v>
      </c>
      <c r="J17" s="46">
        <v>5.4560242199293632E-3</v>
      </c>
      <c r="K17" s="46">
        <v>9.0878064526999953E-4</v>
      </c>
    </row>
    <row r="18" spans="1:11" x14ac:dyDescent="0.2">
      <c r="A18" s="65" t="s">
        <v>1933</v>
      </c>
      <c r="B18" s="38" t="s">
        <v>263</v>
      </c>
      <c r="C18" s="38" t="s">
        <v>249</v>
      </c>
      <c r="D18" s="85" t="s">
        <v>245</v>
      </c>
      <c r="E18" s="79" t="s">
        <v>246</v>
      </c>
      <c r="F18" s="79" t="s">
        <v>247</v>
      </c>
      <c r="G18" s="38">
        <v>0</v>
      </c>
      <c r="H18" s="38">
        <v>0</v>
      </c>
      <c r="I18" s="104">
        <v>9.6633002246977046E-2</v>
      </c>
      <c r="J18" s="46">
        <v>2.2420775368044059E-6</v>
      </c>
      <c r="K18" s="46">
        <v>3.7345081116022949E-7</v>
      </c>
    </row>
    <row r="19" spans="1:11" x14ac:dyDescent="0.2">
      <c r="A19" s="65" t="s">
        <v>264</v>
      </c>
      <c r="B19" s="38" t="s">
        <v>265</v>
      </c>
      <c r="C19" s="38" t="s">
        <v>249</v>
      </c>
      <c r="D19" s="85" t="s">
        <v>245</v>
      </c>
      <c r="E19" s="79" t="s">
        <v>246</v>
      </c>
      <c r="F19" s="79" t="s">
        <v>247</v>
      </c>
      <c r="G19" s="38">
        <v>0</v>
      </c>
      <c r="H19" s="38">
        <v>0</v>
      </c>
      <c r="I19" s="104">
        <v>1.1213766960879963</v>
      </c>
      <c r="J19" s="46">
        <v>2.6018166073004209E-5</v>
      </c>
      <c r="K19" s="46">
        <v>4.3337061566183616E-6</v>
      </c>
    </row>
    <row r="20" spans="1:11" x14ac:dyDescent="0.2">
      <c r="A20" s="65" t="s">
        <v>1912</v>
      </c>
      <c r="B20" s="38" t="s">
        <v>254</v>
      </c>
      <c r="C20" s="38" t="s">
        <v>255</v>
      </c>
      <c r="D20" s="85" t="s">
        <v>245</v>
      </c>
      <c r="E20" s="79" t="s">
        <v>246</v>
      </c>
      <c r="F20" s="79" t="s">
        <v>247</v>
      </c>
      <c r="G20" s="38">
        <v>0</v>
      </c>
      <c r="H20" s="38">
        <v>0</v>
      </c>
      <c r="I20" s="104">
        <v>15862.70318</v>
      </c>
      <c r="J20" s="46">
        <v>0.36804621243138913</v>
      </c>
      <c r="K20" s="46">
        <v>6.1303480508909367E-2</v>
      </c>
    </row>
    <row r="21" spans="1:11" x14ac:dyDescent="0.2">
      <c r="A21" s="65" t="s">
        <v>1912</v>
      </c>
      <c r="B21" s="38" t="s">
        <v>256</v>
      </c>
      <c r="C21" s="38" t="s">
        <v>255</v>
      </c>
      <c r="D21" s="85" t="s">
        <v>245</v>
      </c>
      <c r="E21" s="79" t="s">
        <v>246</v>
      </c>
      <c r="F21" s="79" t="s">
        <v>247</v>
      </c>
      <c r="G21" s="38">
        <v>0</v>
      </c>
      <c r="H21" s="38">
        <v>0</v>
      </c>
      <c r="I21" s="104">
        <v>26.417049299999999</v>
      </c>
      <c r="J21" s="46">
        <v>6.1292800023749036E-4</v>
      </c>
      <c r="K21" s="46">
        <v>1.0209212443105473E-4</v>
      </c>
    </row>
    <row r="22" spans="1:11" x14ac:dyDescent="0.2">
      <c r="A22" s="65" t="s">
        <v>1912</v>
      </c>
      <c r="B22" s="38" t="s">
        <v>258</v>
      </c>
      <c r="C22" s="38" t="s">
        <v>255</v>
      </c>
      <c r="D22" s="85" t="s">
        <v>245</v>
      </c>
      <c r="E22" s="79" t="s">
        <v>246</v>
      </c>
      <c r="F22" s="79" t="s">
        <v>247</v>
      </c>
      <c r="G22" s="38">
        <v>0</v>
      </c>
      <c r="H22" s="38">
        <v>0</v>
      </c>
      <c r="I22" s="104">
        <v>5.294602803853886E-3</v>
      </c>
      <c r="J22" s="46">
        <v>1.228452985707973E-7</v>
      </c>
      <c r="K22" s="46">
        <v>2.0461681474170631E-8</v>
      </c>
    </row>
    <row r="23" spans="1:11" x14ac:dyDescent="0.2">
      <c r="A23" s="65" t="s">
        <v>1912</v>
      </c>
      <c r="B23" s="38" t="s">
        <v>259</v>
      </c>
      <c r="C23" s="38" t="s">
        <v>255</v>
      </c>
      <c r="D23" s="85" t="s">
        <v>245</v>
      </c>
      <c r="E23" s="79" t="s">
        <v>246</v>
      </c>
      <c r="F23" s="79" t="s">
        <v>247</v>
      </c>
      <c r="G23" s="38">
        <v>0</v>
      </c>
      <c r="H23" s="38">
        <v>0</v>
      </c>
      <c r="I23" s="104">
        <v>1.1809751522192033E-2</v>
      </c>
      <c r="J23" s="46">
        <v>2.7400968600224477E-7</v>
      </c>
      <c r="K23" s="46">
        <v>4.5640321453443594E-8</v>
      </c>
    </row>
    <row r="24" spans="1:11" x14ac:dyDescent="0.2">
      <c r="A24" s="65" t="s">
        <v>1912</v>
      </c>
      <c r="B24" s="38" t="s">
        <v>262</v>
      </c>
      <c r="C24" s="38" t="s">
        <v>255</v>
      </c>
      <c r="D24" s="85" t="s">
        <v>245</v>
      </c>
      <c r="E24" s="79" t="s">
        <v>246</v>
      </c>
      <c r="F24" s="79" t="s">
        <v>247</v>
      </c>
      <c r="G24" s="38">
        <v>0</v>
      </c>
      <c r="H24" s="38">
        <v>0</v>
      </c>
      <c r="I24" s="104">
        <v>867.68833095548803</v>
      </c>
      <c r="J24" s="46">
        <v>2.0132092251573041E-2</v>
      </c>
      <c r="K24" s="46">
        <v>3.3532944593960344E-3</v>
      </c>
    </row>
    <row r="25" spans="1:11" x14ac:dyDescent="0.2">
      <c r="A25" s="65" t="s">
        <v>1912</v>
      </c>
      <c r="B25" s="38" t="s">
        <v>268</v>
      </c>
      <c r="C25" s="38" t="s">
        <v>255</v>
      </c>
      <c r="D25" s="85" t="s">
        <v>245</v>
      </c>
      <c r="E25" s="79" t="s">
        <v>246</v>
      </c>
      <c r="F25" s="79" t="s">
        <v>247</v>
      </c>
      <c r="G25" s="38">
        <v>0</v>
      </c>
      <c r="H25" s="38">
        <v>0</v>
      </c>
      <c r="I25" s="104">
        <v>1.4430076843635195E-3</v>
      </c>
      <c r="J25" s="46">
        <v>3.3480643665387098E-8</v>
      </c>
      <c r="K25" s="46">
        <v>5.5766909617346472E-9</v>
      </c>
    </row>
    <row r="26" spans="1:11" x14ac:dyDescent="0.2">
      <c r="A26" s="65" t="s">
        <v>1891</v>
      </c>
      <c r="B26" s="38" t="s">
        <v>252</v>
      </c>
      <c r="C26" s="38" t="s">
        <v>253</v>
      </c>
      <c r="D26" s="85" t="s">
        <v>245</v>
      </c>
      <c r="E26" s="79" t="s">
        <v>246</v>
      </c>
      <c r="F26" s="79" t="s">
        <v>247</v>
      </c>
      <c r="G26" s="38">
        <v>0</v>
      </c>
      <c r="H26" s="38">
        <v>0</v>
      </c>
      <c r="I26" s="104">
        <v>12.078809999999999</v>
      </c>
      <c r="J26" s="46">
        <v>2.8025237695826233E-4</v>
      </c>
      <c r="K26" s="46">
        <v>4.6680132951073694E-5</v>
      </c>
    </row>
    <row r="27" spans="1:11" x14ac:dyDescent="0.2">
      <c r="A27" s="65" t="s">
        <v>1891</v>
      </c>
      <c r="B27" s="38" t="s">
        <v>260</v>
      </c>
      <c r="C27" s="38" t="s">
        <v>253</v>
      </c>
      <c r="D27" s="85" t="s">
        <v>245</v>
      </c>
      <c r="E27" s="79" t="s">
        <v>246</v>
      </c>
      <c r="F27" s="79" t="s">
        <v>247</v>
      </c>
      <c r="G27" s="38">
        <v>0</v>
      </c>
      <c r="H27" s="38">
        <v>0</v>
      </c>
      <c r="I27" s="104">
        <v>237.89711481876219</v>
      </c>
      <c r="J27" s="46">
        <v>5.5196854573812126E-3</v>
      </c>
      <c r="K27" s="46">
        <v>9.1938435561256975E-4</v>
      </c>
    </row>
    <row r="28" spans="1:11" x14ac:dyDescent="0.2">
      <c r="A28" s="65" t="s">
        <v>1891</v>
      </c>
      <c r="B28" s="38" t="s">
        <v>270</v>
      </c>
      <c r="C28" s="38" t="s">
        <v>253</v>
      </c>
      <c r="D28" s="85" t="s">
        <v>245</v>
      </c>
      <c r="E28" s="79" t="s">
        <v>246</v>
      </c>
      <c r="F28" s="79" t="s">
        <v>247</v>
      </c>
      <c r="G28" s="38">
        <v>0</v>
      </c>
      <c r="H28" s="38">
        <v>0</v>
      </c>
      <c r="I28" s="104">
        <v>2.6022108955216371E-3</v>
      </c>
      <c r="J28" s="46">
        <v>6.0376460000333425E-8</v>
      </c>
      <c r="K28" s="46">
        <v>1.0056582607863073E-8</v>
      </c>
    </row>
    <row r="29" spans="1:11" x14ac:dyDescent="0.2">
      <c r="A29" s="65" t="s">
        <v>1913</v>
      </c>
      <c r="B29" s="38" t="s">
        <v>271</v>
      </c>
      <c r="C29" s="38" t="s">
        <v>272</v>
      </c>
      <c r="D29" s="85" t="s">
        <v>245</v>
      </c>
      <c r="E29" s="79" t="s">
        <v>246</v>
      </c>
      <c r="F29" s="79" t="s">
        <v>247</v>
      </c>
      <c r="G29" s="38">
        <v>0</v>
      </c>
      <c r="H29" s="38">
        <v>0</v>
      </c>
      <c r="I29" s="104">
        <v>8.4630755605538763E-3</v>
      </c>
      <c r="J29" s="46">
        <v>1.9636015817970501E-7</v>
      </c>
      <c r="K29" s="46">
        <v>3.2706656727081348E-8</v>
      </c>
    </row>
    <row r="30" spans="1:11" x14ac:dyDescent="0.2">
      <c r="A30" s="65" t="s">
        <v>1934</v>
      </c>
      <c r="B30" s="38" t="s">
        <v>250</v>
      </c>
      <c r="C30" s="38" t="s">
        <v>238</v>
      </c>
      <c r="D30" s="85" t="s">
        <v>251</v>
      </c>
      <c r="E30" s="79" t="s">
        <v>246</v>
      </c>
      <c r="F30" s="79" t="s">
        <v>247</v>
      </c>
      <c r="G30" s="38">
        <v>0</v>
      </c>
      <c r="H30" s="38">
        <v>0</v>
      </c>
      <c r="I30" s="104">
        <v>8.7239999999999998E-2</v>
      </c>
      <c r="J30" s="46">
        <v>2.0241412329392387E-6</v>
      </c>
      <c r="K30" s="46">
        <v>3.3715033175053414E-7</v>
      </c>
    </row>
    <row r="31" spans="1:11" x14ac:dyDescent="0.2">
      <c r="A31" s="65" t="s">
        <v>1935</v>
      </c>
      <c r="B31" s="38" t="s">
        <v>267</v>
      </c>
      <c r="C31" s="38" t="s">
        <v>238</v>
      </c>
      <c r="D31" s="85" t="s">
        <v>251</v>
      </c>
      <c r="E31" s="79" t="s">
        <v>246</v>
      </c>
      <c r="F31" s="79" t="s">
        <v>247</v>
      </c>
      <c r="G31" s="38">
        <v>0</v>
      </c>
      <c r="H31" s="38">
        <v>0</v>
      </c>
      <c r="I31" s="104">
        <v>1.8386577733990983E-3</v>
      </c>
      <c r="J31" s="46">
        <v>4.2660511375531482E-8</v>
      </c>
      <c r="K31" s="46">
        <v>7.1057322131729066E-9</v>
      </c>
    </row>
    <row r="32" spans="1:11" s="138" customFormat="1" x14ac:dyDescent="0.2">
      <c r="A32" s="144" t="s">
        <v>273</v>
      </c>
      <c r="B32" s="145" t="s">
        <v>240</v>
      </c>
      <c r="C32" s="145" t="s">
        <v>240</v>
      </c>
      <c r="D32" s="142" t="s">
        <v>240</v>
      </c>
      <c r="E32" s="146" t="s">
        <v>240</v>
      </c>
      <c r="F32" s="146" t="s">
        <v>240</v>
      </c>
      <c r="G32" s="145" t="s">
        <v>240</v>
      </c>
      <c r="H32" s="145" t="s">
        <v>240</v>
      </c>
      <c r="I32" s="147">
        <v>1164.4965635437388</v>
      </c>
      <c r="J32" s="141">
        <v>2.7018632621331157E-2</v>
      </c>
      <c r="K32" s="141">
        <v>4.5003484951986299E-3</v>
      </c>
    </row>
    <row r="33" spans="1:11" x14ac:dyDescent="0.2">
      <c r="A33" s="65" t="s">
        <v>1892</v>
      </c>
      <c r="B33" s="38" t="s">
        <v>274</v>
      </c>
      <c r="C33" s="38" t="s">
        <v>244</v>
      </c>
      <c r="D33" s="85" t="s">
        <v>245</v>
      </c>
      <c r="E33" s="79" t="s">
        <v>246</v>
      </c>
      <c r="F33" s="79" t="s">
        <v>127</v>
      </c>
      <c r="G33" s="38">
        <v>0</v>
      </c>
      <c r="H33" s="38">
        <v>0</v>
      </c>
      <c r="I33" s="104">
        <v>4.02745</v>
      </c>
      <c r="J33" s="46">
        <v>9.3444837329219831E-5</v>
      </c>
      <c r="K33" s="46">
        <v>1.5564604580567269E-5</v>
      </c>
    </row>
    <row r="34" spans="1:11" x14ac:dyDescent="0.2">
      <c r="A34" s="65" t="s">
        <v>1892</v>
      </c>
      <c r="B34" s="38" t="s">
        <v>303</v>
      </c>
      <c r="C34" s="38" t="s">
        <v>244</v>
      </c>
      <c r="D34" s="85" t="s">
        <v>245</v>
      </c>
      <c r="E34" s="79" t="s">
        <v>246</v>
      </c>
      <c r="F34" s="79" t="s">
        <v>127</v>
      </c>
      <c r="G34" s="38">
        <v>0</v>
      </c>
      <c r="H34" s="38">
        <v>0</v>
      </c>
      <c r="I34" s="104">
        <v>40.967864025757002</v>
      </c>
      <c r="J34" s="46">
        <v>9.5053579550645202E-4</v>
      </c>
      <c r="K34" s="46">
        <v>1.5832564130438727E-4</v>
      </c>
    </row>
    <row r="35" spans="1:11" x14ac:dyDescent="0.2">
      <c r="A35" s="65" t="s">
        <v>1903</v>
      </c>
      <c r="B35" s="38" t="s">
        <v>275</v>
      </c>
      <c r="C35" s="38" t="s">
        <v>249</v>
      </c>
      <c r="D35" s="85" t="s">
        <v>245</v>
      </c>
      <c r="E35" s="79" t="s">
        <v>246</v>
      </c>
      <c r="F35" s="79" t="s">
        <v>127</v>
      </c>
      <c r="G35" s="38">
        <v>0</v>
      </c>
      <c r="H35" s="38">
        <v>0</v>
      </c>
      <c r="I35" s="104">
        <v>0.40648000000000001</v>
      </c>
      <c r="J35" s="46">
        <v>9.4311431495316588E-6</v>
      </c>
      <c r="K35" s="46">
        <v>1.5708948515584263E-6</v>
      </c>
    </row>
    <row r="36" spans="1:11" x14ac:dyDescent="0.2">
      <c r="A36" s="65" t="s">
        <v>1936</v>
      </c>
      <c r="B36" s="38" t="s">
        <v>282</v>
      </c>
      <c r="C36" s="38" t="s">
        <v>249</v>
      </c>
      <c r="D36" s="85" t="s">
        <v>245</v>
      </c>
      <c r="E36" s="79" t="s">
        <v>246</v>
      </c>
      <c r="F36" s="79" t="s">
        <v>128</v>
      </c>
      <c r="G36" s="38">
        <v>0</v>
      </c>
      <c r="H36" s="38">
        <v>0</v>
      </c>
      <c r="I36" s="104">
        <v>0.37163843764327054</v>
      </c>
      <c r="J36" s="46">
        <v>8.6227497177769616E-6</v>
      </c>
      <c r="K36" s="46">
        <v>1.4362451002141088E-6</v>
      </c>
    </row>
    <row r="37" spans="1:11" x14ac:dyDescent="0.2">
      <c r="A37" s="65" t="s">
        <v>1937</v>
      </c>
      <c r="B37" s="38" t="s">
        <v>284</v>
      </c>
      <c r="C37" s="38" t="s">
        <v>249</v>
      </c>
      <c r="D37" s="85" t="s">
        <v>245</v>
      </c>
      <c r="E37" s="79" t="s">
        <v>246</v>
      </c>
      <c r="F37" s="79" t="s">
        <v>128</v>
      </c>
      <c r="G37" s="38">
        <v>0</v>
      </c>
      <c r="H37" s="38">
        <v>0</v>
      </c>
      <c r="I37" s="104">
        <v>-1.1001200870157696E-3</v>
      </c>
      <c r="J37" s="46">
        <v>-2.5524970533165096E-8</v>
      </c>
      <c r="K37" s="46">
        <v>-4.2515572249288539E-9</v>
      </c>
    </row>
    <row r="38" spans="1:11" x14ac:dyDescent="0.2">
      <c r="A38" s="65" t="s">
        <v>1938</v>
      </c>
      <c r="B38" s="38" t="s">
        <v>285</v>
      </c>
      <c r="C38" s="38" t="s">
        <v>249</v>
      </c>
      <c r="D38" s="85" t="s">
        <v>245</v>
      </c>
      <c r="E38" s="79" t="s">
        <v>246</v>
      </c>
      <c r="F38" s="79" t="s">
        <v>128</v>
      </c>
      <c r="G38" s="38">
        <v>0</v>
      </c>
      <c r="H38" s="38">
        <v>0</v>
      </c>
      <c r="I38" s="104">
        <v>-1.1001200870157696E-3</v>
      </c>
      <c r="J38" s="46">
        <v>-2.5524970533165096E-8</v>
      </c>
      <c r="K38" s="46">
        <v>-4.2515572249288539E-9</v>
      </c>
    </row>
    <row r="39" spans="1:11" x14ac:dyDescent="0.2">
      <c r="A39" s="65" t="s">
        <v>1948</v>
      </c>
      <c r="B39" s="38" t="s">
        <v>288</v>
      </c>
      <c r="C39" s="38" t="s">
        <v>249</v>
      </c>
      <c r="D39" s="85" t="s">
        <v>245</v>
      </c>
      <c r="E39" s="79" t="s">
        <v>246</v>
      </c>
      <c r="F39" s="79" t="s">
        <v>289</v>
      </c>
      <c r="G39" s="38">
        <v>0</v>
      </c>
      <c r="H39" s="38">
        <v>0</v>
      </c>
      <c r="I39" s="104">
        <v>281.7024355686284</v>
      </c>
      <c r="J39" s="46">
        <v>6.5360558832401432E-3</v>
      </c>
      <c r="K39" s="46">
        <v>1.0886757176398045E-3</v>
      </c>
    </row>
    <row r="40" spans="1:11" x14ac:dyDescent="0.2">
      <c r="A40" s="65" t="s">
        <v>1939</v>
      </c>
      <c r="B40" s="38" t="s">
        <v>291</v>
      </c>
      <c r="C40" s="38" t="s">
        <v>249</v>
      </c>
      <c r="D40" s="85" t="s">
        <v>245</v>
      </c>
      <c r="E40" s="79" t="s">
        <v>246</v>
      </c>
      <c r="F40" s="79" t="s">
        <v>289</v>
      </c>
      <c r="G40" s="38">
        <v>0</v>
      </c>
      <c r="H40" s="38">
        <v>0</v>
      </c>
      <c r="I40" s="104">
        <v>5.0455763040176849E-2</v>
      </c>
      <c r="J40" s="46">
        <v>1.1706738928133156E-6</v>
      </c>
      <c r="K40" s="46">
        <v>1.9499286161992163E-7</v>
      </c>
    </row>
    <row r="41" spans="1:11" x14ac:dyDescent="0.2">
      <c r="A41" s="65" t="s">
        <v>1903</v>
      </c>
      <c r="B41" s="38" t="s">
        <v>298</v>
      </c>
      <c r="C41" s="38" t="s">
        <v>249</v>
      </c>
      <c r="D41" s="85" t="s">
        <v>245</v>
      </c>
      <c r="E41" s="79" t="s">
        <v>246</v>
      </c>
      <c r="F41" s="79" t="s">
        <v>127</v>
      </c>
      <c r="G41" s="38">
        <v>0</v>
      </c>
      <c r="H41" s="38">
        <v>0</v>
      </c>
      <c r="I41" s="104">
        <v>0.79563887347254614</v>
      </c>
      <c r="J41" s="46">
        <v>1.8460401768971878E-5</v>
      </c>
      <c r="K41" s="46">
        <v>3.0748499558102957E-6</v>
      </c>
    </row>
    <row r="42" spans="1:11" x14ac:dyDescent="0.2">
      <c r="A42" s="65" t="s">
        <v>1940</v>
      </c>
      <c r="B42" s="38" t="s">
        <v>302</v>
      </c>
      <c r="C42" s="38" t="s">
        <v>249</v>
      </c>
      <c r="D42" s="85" t="s">
        <v>245</v>
      </c>
      <c r="E42" s="79" t="s">
        <v>246</v>
      </c>
      <c r="F42" s="79" t="s">
        <v>127</v>
      </c>
      <c r="G42" s="38">
        <v>0</v>
      </c>
      <c r="H42" s="38">
        <v>0</v>
      </c>
      <c r="I42" s="104">
        <v>80.664638041122757</v>
      </c>
      <c r="J42" s="46">
        <v>1.8715797787615274E-3</v>
      </c>
      <c r="K42" s="46">
        <v>3.1173898986819456E-4</v>
      </c>
    </row>
    <row r="43" spans="1:11" x14ac:dyDescent="0.2">
      <c r="A43" s="65" t="s">
        <v>1921</v>
      </c>
      <c r="B43" s="38" t="s">
        <v>278</v>
      </c>
      <c r="C43" s="38" t="s">
        <v>255</v>
      </c>
      <c r="D43" s="85" t="s">
        <v>245</v>
      </c>
      <c r="E43" s="79" t="s">
        <v>246</v>
      </c>
      <c r="F43" s="79" t="s">
        <v>127</v>
      </c>
      <c r="G43" s="38">
        <v>0</v>
      </c>
      <c r="H43" s="38">
        <v>0</v>
      </c>
      <c r="I43" s="104">
        <v>34.721879999999999</v>
      </c>
      <c r="J43" s="46">
        <v>8.0561656342467095E-4</v>
      </c>
      <c r="K43" s="46">
        <v>1.3418722330355611E-4</v>
      </c>
    </row>
    <row r="44" spans="1:11" x14ac:dyDescent="0.2">
      <c r="A44" s="65" t="s">
        <v>1914</v>
      </c>
      <c r="B44" s="38" t="s">
        <v>279</v>
      </c>
      <c r="C44" s="38" t="s">
        <v>255</v>
      </c>
      <c r="D44" s="85" t="s">
        <v>245</v>
      </c>
      <c r="E44" s="79" t="s">
        <v>246</v>
      </c>
      <c r="F44" s="79" t="s">
        <v>127</v>
      </c>
      <c r="G44" s="38">
        <v>0</v>
      </c>
      <c r="H44" s="38">
        <v>0</v>
      </c>
      <c r="I44" s="104">
        <v>-23.677192614200369</v>
      </c>
      <c r="J44" s="46">
        <v>-5.4935788457871821E-4</v>
      </c>
      <c r="K44" s="46">
        <v>-9.1503591756063172E-5</v>
      </c>
    </row>
    <row r="45" spans="1:11" x14ac:dyDescent="0.2">
      <c r="A45" s="65" t="s">
        <v>1915</v>
      </c>
      <c r="B45" s="38" t="s">
        <v>280</v>
      </c>
      <c r="C45" s="38" t="s">
        <v>255</v>
      </c>
      <c r="D45" s="85" t="s">
        <v>245</v>
      </c>
      <c r="E45" s="79" t="s">
        <v>246</v>
      </c>
      <c r="F45" s="79" t="s">
        <v>128</v>
      </c>
      <c r="G45" s="38">
        <v>0</v>
      </c>
      <c r="H45" s="38">
        <v>0</v>
      </c>
      <c r="I45" s="104">
        <v>0.70235419957928624</v>
      </c>
      <c r="J45" s="46">
        <v>1.629601209876741E-5</v>
      </c>
      <c r="K45" s="46">
        <v>2.7143391952606282E-6</v>
      </c>
    </row>
    <row r="46" spans="1:11" x14ac:dyDescent="0.2">
      <c r="A46" s="65" t="s">
        <v>1915</v>
      </c>
      <c r="B46" s="38" t="s">
        <v>281</v>
      </c>
      <c r="C46" s="38" t="s">
        <v>255</v>
      </c>
      <c r="D46" s="85" t="s">
        <v>245</v>
      </c>
      <c r="E46" s="79" t="s">
        <v>246</v>
      </c>
      <c r="F46" s="79" t="s">
        <v>128</v>
      </c>
      <c r="G46" s="38">
        <v>0</v>
      </c>
      <c r="H46" s="38">
        <v>0</v>
      </c>
      <c r="I46" s="104">
        <v>3.0827552107360234</v>
      </c>
      <c r="J46" s="46">
        <v>7.152604233274963E-5</v>
      </c>
      <c r="K46" s="46">
        <v>1.191370864288558E-5</v>
      </c>
    </row>
    <row r="47" spans="1:11" x14ac:dyDescent="0.2">
      <c r="A47" s="65" t="s">
        <v>1915</v>
      </c>
      <c r="B47" s="38" t="s">
        <v>283</v>
      </c>
      <c r="C47" s="38" t="s">
        <v>255</v>
      </c>
      <c r="D47" s="85" t="s">
        <v>245</v>
      </c>
      <c r="E47" s="79" t="s">
        <v>246</v>
      </c>
      <c r="F47" s="79" t="s">
        <v>128</v>
      </c>
      <c r="G47" s="38">
        <v>0</v>
      </c>
      <c r="H47" s="38">
        <v>0</v>
      </c>
      <c r="I47" s="104">
        <v>1.298600645045825</v>
      </c>
      <c r="J47" s="46">
        <v>3.0130113603378577E-5</v>
      </c>
      <c r="K47" s="46">
        <v>5.0186111679121673E-6</v>
      </c>
    </row>
    <row r="48" spans="1:11" x14ac:dyDescent="0.2">
      <c r="A48" s="65" t="s">
        <v>1916</v>
      </c>
      <c r="B48" s="38" t="s">
        <v>286</v>
      </c>
      <c r="C48" s="38" t="s">
        <v>255</v>
      </c>
      <c r="D48" s="85" t="s">
        <v>245</v>
      </c>
      <c r="E48" s="79" t="s">
        <v>246</v>
      </c>
      <c r="F48" s="79" t="s">
        <v>2</v>
      </c>
      <c r="G48" s="38">
        <v>0</v>
      </c>
      <c r="H48" s="38">
        <v>0</v>
      </c>
      <c r="I48" s="104">
        <v>0.36461284066054095</v>
      </c>
      <c r="J48" s="46">
        <v>8.4597419170117568E-6</v>
      </c>
      <c r="K48" s="46">
        <v>1.4090937664970887E-6</v>
      </c>
    </row>
    <row r="49" spans="1:11" x14ac:dyDescent="0.2">
      <c r="A49" s="65" t="s">
        <v>1916</v>
      </c>
      <c r="B49" s="38" t="s">
        <v>287</v>
      </c>
      <c r="C49" s="38" t="s">
        <v>255</v>
      </c>
      <c r="D49" s="85" t="s">
        <v>245</v>
      </c>
      <c r="E49" s="79" t="s">
        <v>246</v>
      </c>
      <c r="F49" s="79" t="s">
        <v>2</v>
      </c>
      <c r="G49" s="38">
        <v>0</v>
      </c>
      <c r="H49" s="38">
        <v>0</v>
      </c>
      <c r="I49" s="104">
        <v>0.20733194768624402</v>
      </c>
      <c r="J49" s="46">
        <v>4.8105128864893143E-6</v>
      </c>
      <c r="K49" s="46">
        <v>8.0126129006076978E-7</v>
      </c>
    </row>
    <row r="50" spans="1:11" x14ac:dyDescent="0.2">
      <c r="A50" s="65" t="s">
        <v>1941</v>
      </c>
      <c r="B50" s="38" t="s">
        <v>290</v>
      </c>
      <c r="C50" s="38" t="s">
        <v>255</v>
      </c>
      <c r="D50" s="85" t="s">
        <v>245</v>
      </c>
      <c r="E50" s="79" t="s">
        <v>246</v>
      </c>
      <c r="F50" s="79" t="s">
        <v>289</v>
      </c>
      <c r="G50" s="38">
        <v>0</v>
      </c>
      <c r="H50" s="38">
        <v>0</v>
      </c>
      <c r="I50" s="104">
        <v>0.53588788907967633</v>
      </c>
      <c r="J50" s="46">
        <v>1.243366314212451E-5</v>
      </c>
      <c r="K50" s="46">
        <v>2.0710084775826031E-6</v>
      </c>
    </row>
    <row r="51" spans="1:11" x14ac:dyDescent="0.2">
      <c r="A51" s="65" t="s">
        <v>1917</v>
      </c>
      <c r="B51" s="38" t="s">
        <v>292</v>
      </c>
      <c r="C51" s="38" t="s">
        <v>255</v>
      </c>
      <c r="D51" s="85" t="s">
        <v>245</v>
      </c>
      <c r="E51" s="79" t="s">
        <v>246</v>
      </c>
      <c r="F51" s="79" t="s">
        <v>134</v>
      </c>
      <c r="G51" s="38">
        <v>0</v>
      </c>
      <c r="H51" s="38">
        <v>0</v>
      </c>
      <c r="I51" s="104">
        <v>0.39701601608204617</v>
      </c>
      <c r="J51" s="46">
        <v>9.2115599299511433E-6</v>
      </c>
      <c r="K51" s="46">
        <v>1.5343200542450396E-6</v>
      </c>
    </row>
    <row r="52" spans="1:11" x14ac:dyDescent="0.2">
      <c r="A52" s="65" t="s">
        <v>1918</v>
      </c>
      <c r="B52" s="38" t="s">
        <v>293</v>
      </c>
      <c r="C52" s="38" t="s">
        <v>255</v>
      </c>
      <c r="D52" s="85" t="s">
        <v>245</v>
      </c>
      <c r="E52" s="79" t="s">
        <v>246</v>
      </c>
      <c r="F52" s="79" t="s">
        <v>65</v>
      </c>
      <c r="G52" s="38">
        <v>0</v>
      </c>
      <c r="H52" s="38">
        <v>0</v>
      </c>
      <c r="I52" s="104">
        <v>4.7943774553747882E-2</v>
      </c>
      <c r="J52" s="46">
        <v>1.1123907718590572E-6</v>
      </c>
      <c r="K52" s="46">
        <v>1.8528495525182158E-7</v>
      </c>
    </row>
    <row r="53" spans="1:11" x14ac:dyDescent="0.2">
      <c r="A53" s="65" t="s">
        <v>1919</v>
      </c>
      <c r="B53" s="38" t="s">
        <v>294</v>
      </c>
      <c r="C53" s="38" t="s">
        <v>255</v>
      </c>
      <c r="D53" s="85" t="s">
        <v>245</v>
      </c>
      <c r="E53" s="79" t="s">
        <v>246</v>
      </c>
      <c r="F53" s="79" t="s">
        <v>154</v>
      </c>
      <c r="G53" s="38">
        <v>0</v>
      </c>
      <c r="H53" s="38">
        <v>0</v>
      </c>
      <c r="I53" s="104">
        <v>9.5135283813280916E-2</v>
      </c>
      <c r="J53" s="46">
        <v>2.2073274951150719E-6</v>
      </c>
      <c r="K53" s="46">
        <v>3.6766268338868504E-7</v>
      </c>
    </row>
    <row r="54" spans="1:11" x14ac:dyDescent="0.2">
      <c r="A54" s="65" t="s">
        <v>1920</v>
      </c>
      <c r="B54" s="38" t="s">
        <v>295</v>
      </c>
      <c r="C54" s="38" t="s">
        <v>255</v>
      </c>
      <c r="D54" s="85" t="s">
        <v>245</v>
      </c>
      <c r="E54" s="79" t="s">
        <v>246</v>
      </c>
      <c r="F54" s="79" t="s">
        <v>154</v>
      </c>
      <c r="G54" s="38">
        <v>0</v>
      </c>
      <c r="H54" s="38">
        <v>0</v>
      </c>
      <c r="I54" s="104">
        <v>-0.32523966116383002</v>
      </c>
      <c r="J54" s="46">
        <v>-7.5462059691528571E-6</v>
      </c>
      <c r="K54" s="46">
        <v>-1.256930991057045E-6</v>
      </c>
    </row>
    <row r="55" spans="1:11" x14ac:dyDescent="0.2">
      <c r="A55" s="65" t="s">
        <v>1921</v>
      </c>
      <c r="B55" s="38" t="s">
        <v>296</v>
      </c>
      <c r="C55" s="38" t="s">
        <v>255</v>
      </c>
      <c r="D55" s="85" t="s">
        <v>245</v>
      </c>
      <c r="E55" s="79" t="s">
        <v>246</v>
      </c>
      <c r="F55" s="79" t="s">
        <v>127</v>
      </c>
      <c r="G55" s="38">
        <v>0</v>
      </c>
      <c r="H55" s="38">
        <v>0</v>
      </c>
      <c r="I55" s="104">
        <v>12.135238549724036</v>
      </c>
      <c r="J55" s="46">
        <v>2.81561631362336E-4</v>
      </c>
      <c r="K55" s="46">
        <v>4.6898208424017991E-5</v>
      </c>
    </row>
    <row r="56" spans="1:11" x14ac:dyDescent="0.2">
      <c r="A56" s="65" t="s">
        <v>1921</v>
      </c>
      <c r="B56" s="38" t="s">
        <v>297</v>
      </c>
      <c r="C56" s="38" t="s">
        <v>255</v>
      </c>
      <c r="D56" s="85" t="s">
        <v>245</v>
      </c>
      <c r="E56" s="79" t="s">
        <v>246</v>
      </c>
      <c r="F56" s="79" t="s">
        <v>127</v>
      </c>
      <c r="G56" s="38">
        <v>0</v>
      </c>
      <c r="H56" s="38">
        <v>0</v>
      </c>
      <c r="I56" s="104">
        <v>271.27755230580107</v>
      </c>
      <c r="J56" s="46">
        <v>6.2941778907955421E-3</v>
      </c>
      <c r="K56" s="46">
        <v>1.048387399775031E-3</v>
      </c>
    </row>
    <row r="57" spans="1:11" x14ac:dyDescent="0.2">
      <c r="A57" s="65" t="s">
        <v>1921</v>
      </c>
      <c r="B57" s="38" t="s">
        <v>299</v>
      </c>
      <c r="C57" s="38" t="s">
        <v>255</v>
      </c>
      <c r="D57" s="85" t="s">
        <v>245</v>
      </c>
      <c r="E57" s="79" t="s">
        <v>246</v>
      </c>
      <c r="F57" s="79" t="s">
        <v>127</v>
      </c>
      <c r="G57" s="38">
        <v>0</v>
      </c>
      <c r="H57" s="38">
        <v>0</v>
      </c>
      <c r="I57" s="104">
        <v>111.76060347167838</v>
      </c>
      <c r="J57" s="46">
        <v>2.5930679241769426E-3</v>
      </c>
      <c r="K57" s="46">
        <v>4.3191339451073205E-4</v>
      </c>
    </row>
    <row r="58" spans="1:11" x14ac:dyDescent="0.2">
      <c r="A58" s="65" t="s">
        <v>1914</v>
      </c>
      <c r="B58" s="38" t="s">
        <v>300</v>
      </c>
      <c r="C58" s="38" t="s">
        <v>255</v>
      </c>
      <c r="D58" s="85" t="s">
        <v>245</v>
      </c>
      <c r="E58" s="79" t="s">
        <v>246</v>
      </c>
      <c r="F58" s="79" t="s">
        <v>127</v>
      </c>
      <c r="G58" s="38">
        <v>0</v>
      </c>
      <c r="H58" s="38">
        <v>0</v>
      </c>
      <c r="I58" s="104">
        <v>334.55174305250375</v>
      </c>
      <c r="J58" s="46">
        <v>7.7622647600213935E-3</v>
      </c>
      <c r="K58" s="46">
        <v>1.2929187432126443E-3</v>
      </c>
    </row>
    <row r="59" spans="1:11" x14ac:dyDescent="0.2">
      <c r="A59" s="65" t="s">
        <v>1921</v>
      </c>
      <c r="B59" s="38" t="s">
        <v>304</v>
      </c>
      <c r="C59" s="38" t="s">
        <v>255</v>
      </c>
      <c r="D59" s="85" t="s">
        <v>245</v>
      </c>
      <c r="E59" s="79" t="s">
        <v>246</v>
      </c>
      <c r="F59" s="79" t="s">
        <v>127</v>
      </c>
      <c r="G59" s="38">
        <v>0</v>
      </c>
      <c r="H59" s="38">
        <v>0</v>
      </c>
      <c r="I59" s="104">
        <v>2.2189680924591766</v>
      </c>
      <c r="J59" s="46">
        <v>5.1484465961980159E-5</v>
      </c>
      <c r="K59" s="46">
        <v>8.5754909275156043E-6</v>
      </c>
    </row>
    <row r="60" spans="1:11" x14ac:dyDescent="0.2">
      <c r="A60" s="65" t="s">
        <v>1914</v>
      </c>
      <c r="B60" s="38" t="s">
        <v>305</v>
      </c>
      <c r="C60" s="38" t="s">
        <v>255</v>
      </c>
      <c r="D60" s="85" t="s">
        <v>245</v>
      </c>
      <c r="E60" s="79" t="s">
        <v>246</v>
      </c>
      <c r="F60" s="79" t="s">
        <v>127</v>
      </c>
      <c r="G60" s="38">
        <v>0</v>
      </c>
      <c r="H60" s="38">
        <v>0</v>
      </c>
      <c r="I60" s="104">
        <v>1.6006012084112553</v>
      </c>
      <c r="J60" s="46">
        <v>3.7137126357606534E-5</v>
      </c>
      <c r="K60" s="46">
        <v>6.1857316416341192E-6</v>
      </c>
    </row>
    <row r="61" spans="1:11" x14ac:dyDescent="0.2">
      <c r="A61" s="65" t="s">
        <v>1893</v>
      </c>
      <c r="B61" s="38" t="s">
        <v>276</v>
      </c>
      <c r="C61" s="38" t="s">
        <v>253</v>
      </c>
      <c r="D61" s="85" t="s">
        <v>245</v>
      </c>
      <c r="E61" s="79" t="s">
        <v>246</v>
      </c>
      <c r="F61" s="79" t="s">
        <v>127</v>
      </c>
      <c r="G61" s="38">
        <v>0</v>
      </c>
      <c r="H61" s="38">
        <v>0</v>
      </c>
      <c r="I61" s="104">
        <v>2.6608400000000003</v>
      </c>
      <c r="J61" s="46">
        <v>6.1736771644360896E-5</v>
      </c>
      <c r="K61" s="46">
        <v>1.0283162410993711E-5</v>
      </c>
    </row>
    <row r="62" spans="1:11" x14ac:dyDescent="0.2">
      <c r="A62" s="65" t="s">
        <v>1893</v>
      </c>
      <c r="B62" s="38" t="s">
        <v>301</v>
      </c>
      <c r="C62" s="38" t="s">
        <v>253</v>
      </c>
      <c r="D62" s="85" t="s">
        <v>245</v>
      </c>
      <c r="E62" s="79" t="s">
        <v>246</v>
      </c>
      <c r="F62" s="79" t="s">
        <v>127</v>
      </c>
      <c r="G62" s="38">
        <v>0</v>
      </c>
      <c r="H62" s="38">
        <v>0</v>
      </c>
      <c r="I62" s="104">
        <v>1.6513307617983701</v>
      </c>
      <c r="J62" s="46">
        <v>3.8314152730135782E-5</v>
      </c>
      <c r="K62" s="46">
        <v>6.3817826016756387E-6</v>
      </c>
    </row>
    <row r="63" spans="1:11" x14ac:dyDescent="0.2">
      <c r="A63" s="65" t="s">
        <v>1942</v>
      </c>
      <c r="B63" s="38" t="s">
        <v>277</v>
      </c>
      <c r="C63" s="38" t="s">
        <v>238</v>
      </c>
      <c r="D63" s="85" t="s">
        <v>251</v>
      </c>
      <c r="E63" s="79" t="s">
        <v>246</v>
      </c>
      <c r="F63" s="79" t="s">
        <v>127</v>
      </c>
      <c r="G63" s="38">
        <v>0</v>
      </c>
      <c r="H63" s="38">
        <v>0</v>
      </c>
      <c r="I63" s="104">
        <v>0.20419999999999999</v>
      </c>
      <c r="J63" s="46">
        <v>4.7378454810430148E-6</v>
      </c>
      <c r="K63" s="46">
        <v>7.891574706953125E-7</v>
      </c>
    </row>
    <row r="64" spans="1:11" s="138" customFormat="1" x14ac:dyDescent="0.2">
      <c r="A64" s="144" t="s">
        <v>306</v>
      </c>
      <c r="B64" s="145" t="s">
        <v>240</v>
      </c>
      <c r="C64" s="145" t="s">
        <v>240</v>
      </c>
      <c r="D64" s="142" t="s">
        <v>240</v>
      </c>
      <c r="E64" s="146" t="s">
        <v>240</v>
      </c>
      <c r="F64" s="146" t="s">
        <v>240</v>
      </c>
      <c r="G64" s="145" t="s">
        <v>240</v>
      </c>
      <c r="H64" s="145" t="s">
        <v>240</v>
      </c>
      <c r="I64" s="147">
        <v>2.3730400999999999</v>
      </c>
      <c r="J64" s="141">
        <v>5.5059242478544868E-5</v>
      </c>
      <c r="K64" s="141">
        <v>9.1709222486510845E-6</v>
      </c>
    </row>
    <row r="65" spans="1:11" x14ac:dyDescent="0.2">
      <c r="A65" s="65" t="s">
        <v>1894</v>
      </c>
      <c r="B65" s="38" t="s">
        <v>316</v>
      </c>
      <c r="C65" s="38" t="s">
        <v>317</v>
      </c>
      <c r="D65" s="85" t="s">
        <v>318</v>
      </c>
      <c r="E65" s="79" t="s">
        <v>319</v>
      </c>
      <c r="F65" s="79" t="s">
        <v>247</v>
      </c>
      <c r="G65" s="38">
        <v>0</v>
      </c>
      <c r="H65" s="38">
        <v>0</v>
      </c>
      <c r="I65" s="104">
        <v>1.6590000000000001E-2</v>
      </c>
      <c r="J65" s="46">
        <v>3.8492094285261321E-7</v>
      </c>
      <c r="K65" s="46">
        <v>6.4114213706342978E-8</v>
      </c>
    </row>
    <row r="66" spans="1:11" x14ac:dyDescent="0.2">
      <c r="A66" s="65" t="s">
        <v>1895</v>
      </c>
      <c r="B66" s="38" t="s">
        <v>310</v>
      </c>
      <c r="C66" s="38" t="s">
        <v>311</v>
      </c>
      <c r="D66" s="85" t="s">
        <v>312</v>
      </c>
      <c r="E66" s="79" t="s">
        <v>313</v>
      </c>
      <c r="F66" s="79" t="s">
        <v>247</v>
      </c>
      <c r="G66" s="38">
        <v>0</v>
      </c>
      <c r="H66" s="38">
        <v>0</v>
      </c>
      <c r="I66" s="104">
        <v>9.9479999999999999E-2</v>
      </c>
      <c r="J66" s="46">
        <v>2.3081335379733552E-6</v>
      </c>
      <c r="K66" s="46">
        <v>3.8445340443080164E-7</v>
      </c>
    </row>
    <row r="67" spans="1:11" x14ac:dyDescent="0.2">
      <c r="A67" s="65" t="s">
        <v>1896</v>
      </c>
      <c r="B67" s="38" t="s">
        <v>308</v>
      </c>
      <c r="C67" s="38" t="s">
        <v>244</v>
      </c>
      <c r="D67" s="85" t="s">
        <v>245</v>
      </c>
      <c r="E67" s="79" t="s">
        <v>246</v>
      </c>
      <c r="F67" s="79" t="s">
        <v>247</v>
      </c>
      <c r="G67" s="38">
        <v>0</v>
      </c>
      <c r="H67" s="38">
        <v>0</v>
      </c>
      <c r="I67" s="104">
        <v>0.45637</v>
      </c>
      <c r="J67" s="46">
        <v>1.0588690216374146E-5</v>
      </c>
      <c r="K67" s="46">
        <v>1.7637012482919676E-6</v>
      </c>
    </row>
    <row r="68" spans="1:11" x14ac:dyDescent="0.2">
      <c r="A68" s="65" t="s">
        <v>1897</v>
      </c>
      <c r="B68" s="38" t="s">
        <v>309</v>
      </c>
      <c r="C68" s="38" t="s">
        <v>249</v>
      </c>
      <c r="D68" s="85" t="s">
        <v>245</v>
      </c>
      <c r="E68" s="79" t="s">
        <v>246</v>
      </c>
      <c r="F68" s="79" t="s">
        <v>247</v>
      </c>
      <c r="G68" s="38">
        <v>0</v>
      </c>
      <c r="H68" s="38">
        <v>0</v>
      </c>
      <c r="I68" s="104">
        <v>0.70801000000000003</v>
      </c>
      <c r="J68" s="46">
        <v>1.6427237899281414E-5</v>
      </c>
      <c r="K68" s="46">
        <v>2.7361967719245263E-6</v>
      </c>
    </row>
    <row r="69" spans="1:11" x14ac:dyDescent="0.2">
      <c r="A69" s="65" t="s">
        <v>1898</v>
      </c>
      <c r="B69" s="38" t="s">
        <v>307</v>
      </c>
      <c r="C69" s="38" t="s">
        <v>255</v>
      </c>
      <c r="D69" s="85" t="s">
        <v>245</v>
      </c>
      <c r="E69" s="79" t="s">
        <v>246</v>
      </c>
      <c r="F69" s="79" t="s">
        <v>247</v>
      </c>
      <c r="G69" s="38">
        <v>0</v>
      </c>
      <c r="H69" s="38">
        <v>0</v>
      </c>
      <c r="I69" s="104">
        <v>3.492E-2</v>
      </c>
      <c r="J69" s="46">
        <v>8.1021334083262523E-7</v>
      </c>
      <c r="K69" s="46">
        <v>1.3495288382311613E-7</v>
      </c>
    </row>
    <row r="70" spans="1:11" x14ac:dyDescent="0.2">
      <c r="A70" s="65" t="s">
        <v>1899</v>
      </c>
      <c r="B70" s="38" t="s">
        <v>315</v>
      </c>
      <c r="C70" s="38" t="s">
        <v>253</v>
      </c>
      <c r="D70" s="85" t="s">
        <v>245</v>
      </c>
      <c r="E70" s="79" t="s">
        <v>246</v>
      </c>
      <c r="F70" s="79" t="s">
        <v>247</v>
      </c>
      <c r="G70" s="38">
        <v>0</v>
      </c>
      <c r="H70" s="38">
        <v>0</v>
      </c>
      <c r="I70" s="104">
        <v>0.25130000000000002</v>
      </c>
      <c r="J70" s="46">
        <v>5.8306590077674322E-6</v>
      </c>
      <c r="K70" s="46">
        <v>9.7118154939144018E-7</v>
      </c>
    </row>
    <row r="71" spans="1:11" x14ac:dyDescent="0.2">
      <c r="A71" s="65" t="s">
        <v>1900</v>
      </c>
      <c r="B71" s="38" t="s">
        <v>314</v>
      </c>
      <c r="C71" s="38" t="s">
        <v>272</v>
      </c>
      <c r="D71" s="85" t="s">
        <v>245</v>
      </c>
      <c r="E71" s="79" t="s">
        <v>246</v>
      </c>
      <c r="F71" s="79" t="s">
        <v>247</v>
      </c>
      <c r="G71" s="38">
        <v>0</v>
      </c>
      <c r="H71" s="38">
        <v>0</v>
      </c>
      <c r="I71" s="104">
        <v>0.36402999999999996</v>
      </c>
      <c r="J71" s="46">
        <v>8.4462188563373583E-6</v>
      </c>
      <c r="K71" s="46">
        <v>1.4068413029246554E-6</v>
      </c>
    </row>
    <row r="72" spans="1:11" x14ac:dyDescent="0.2">
      <c r="A72" s="65" t="s">
        <v>1901</v>
      </c>
      <c r="B72" s="38" t="s">
        <v>320</v>
      </c>
      <c r="C72" s="38" t="s">
        <v>238</v>
      </c>
      <c r="D72" s="85" t="s">
        <v>251</v>
      </c>
      <c r="E72" s="79" t="s">
        <v>246</v>
      </c>
      <c r="F72" s="79" t="s">
        <v>247</v>
      </c>
      <c r="G72" s="38">
        <v>0</v>
      </c>
      <c r="H72" s="38">
        <v>0</v>
      </c>
      <c r="I72" s="104">
        <v>0.44233999999999996</v>
      </c>
      <c r="J72" s="46">
        <v>1.026316635692736E-5</v>
      </c>
      <c r="K72" s="46">
        <v>1.709480487695223E-6</v>
      </c>
    </row>
    <row r="73" spans="1:11" s="138" customFormat="1" x14ac:dyDescent="0.2">
      <c r="A73" s="144" t="s">
        <v>321</v>
      </c>
      <c r="B73" s="145" t="s">
        <v>240</v>
      </c>
      <c r="C73" s="145" t="s">
        <v>240</v>
      </c>
      <c r="D73" s="142" t="s">
        <v>240</v>
      </c>
      <c r="E73" s="146" t="s">
        <v>240</v>
      </c>
      <c r="F73" s="146" t="s">
        <v>240</v>
      </c>
      <c r="G73" s="145" t="s">
        <v>240</v>
      </c>
      <c r="H73" s="145" t="s">
        <v>240</v>
      </c>
      <c r="I73" s="147">
        <v>0</v>
      </c>
      <c r="J73" s="141">
        <v>0</v>
      </c>
      <c r="K73" s="141">
        <v>0</v>
      </c>
    </row>
    <row r="74" spans="1:11" s="138" customFormat="1" x14ac:dyDescent="0.2">
      <c r="A74" s="144" t="s">
        <v>322</v>
      </c>
      <c r="B74" s="145" t="s">
        <v>240</v>
      </c>
      <c r="C74" s="145" t="s">
        <v>240</v>
      </c>
      <c r="D74" s="142" t="s">
        <v>240</v>
      </c>
      <c r="E74" s="146" t="s">
        <v>240</v>
      </c>
      <c r="F74" s="146" t="s">
        <v>240</v>
      </c>
      <c r="G74" s="145" t="s">
        <v>240</v>
      </c>
      <c r="H74" s="145" t="s">
        <v>240</v>
      </c>
      <c r="I74" s="147">
        <v>0</v>
      </c>
      <c r="J74" s="141">
        <v>0</v>
      </c>
      <c r="K74" s="141">
        <v>0</v>
      </c>
    </row>
    <row r="75" spans="1:11" s="138" customFormat="1" x14ac:dyDescent="0.2">
      <c r="A75" s="144" t="s">
        <v>323</v>
      </c>
      <c r="B75" s="145" t="s">
        <v>240</v>
      </c>
      <c r="C75" s="145" t="s">
        <v>240</v>
      </c>
      <c r="D75" s="142" t="s">
        <v>240</v>
      </c>
      <c r="E75" s="146" t="s">
        <v>240</v>
      </c>
      <c r="F75" s="146" t="s">
        <v>240</v>
      </c>
      <c r="G75" s="145" t="s">
        <v>240</v>
      </c>
      <c r="H75" s="145" t="s">
        <v>240</v>
      </c>
      <c r="I75" s="147">
        <v>1507.8610271513924</v>
      </c>
      <c r="J75" s="141">
        <v>3.4985369997698836E-2</v>
      </c>
      <c r="K75" s="141">
        <v>5.8273251437161062E-3</v>
      </c>
    </row>
    <row r="76" spans="1:11" x14ac:dyDescent="0.2">
      <c r="A76" s="65" t="s">
        <v>328</v>
      </c>
      <c r="B76" s="38" t="s">
        <v>329</v>
      </c>
      <c r="C76" s="38" t="s">
        <v>244</v>
      </c>
      <c r="D76" s="85" t="s">
        <v>245</v>
      </c>
      <c r="E76" s="79" t="s">
        <v>246</v>
      </c>
      <c r="F76" s="79" t="s">
        <v>247</v>
      </c>
      <c r="G76" s="38">
        <v>8.0000000000000004E-4</v>
      </c>
      <c r="H76" s="38">
        <v>8.0000000000000004E-4</v>
      </c>
      <c r="I76" s="104">
        <v>174.00738873133599</v>
      </c>
      <c r="J76" s="46">
        <v>4.0373169459787242E-3</v>
      </c>
      <c r="K76" s="46">
        <v>6.724741957566952E-4</v>
      </c>
    </row>
    <row r="77" spans="1:11" x14ac:dyDescent="0.2">
      <c r="A77" s="65" t="s">
        <v>324</v>
      </c>
      <c r="B77" s="38" t="s">
        <v>325</v>
      </c>
      <c r="C77" s="38" t="s">
        <v>249</v>
      </c>
      <c r="D77" s="85" t="s">
        <v>245</v>
      </c>
      <c r="E77" s="79" t="s">
        <v>246</v>
      </c>
      <c r="F77" s="79" t="s">
        <v>247</v>
      </c>
      <c r="G77" s="38">
        <v>8.0000000000000004E-4</v>
      </c>
      <c r="H77" s="38">
        <v>8.0000000000000004E-4</v>
      </c>
      <c r="I77" s="104">
        <v>295.37754237144281</v>
      </c>
      <c r="J77" s="46">
        <v>6.8533455157988839E-3</v>
      </c>
      <c r="K77" s="46">
        <v>1.1415249472969899E-3</v>
      </c>
    </row>
    <row r="78" spans="1:11" x14ac:dyDescent="0.2">
      <c r="A78" s="65" t="s">
        <v>330</v>
      </c>
      <c r="B78" s="38" t="s">
        <v>331</v>
      </c>
      <c r="C78" s="38" t="s">
        <v>253</v>
      </c>
      <c r="D78" s="85" t="s">
        <v>245</v>
      </c>
      <c r="E78" s="79" t="s">
        <v>246</v>
      </c>
      <c r="F78" s="79" t="s">
        <v>247</v>
      </c>
      <c r="G78" s="38">
        <v>8.0000000000000004E-4</v>
      </c>
      <c r="H78" s="38">
        <v>8.0000000000000004E-4</v>
      </c>
      <c r="I78" s="104">
        <v>452.07119592401096</v>
      </c>
      <c r="J78" s="46">
        <v>1.0488949425652726E-2</v>
      </c>
      <c r="K78" s="46">
        <v>1.7470879605758942E-3</v>
      </c>
    </row>
    <row r="79" spans="1:11" x14ac:dyDescent="0.2">
      <c r="A79" s="65" t="s">
        <v>326</v>
      </c>
      <c r="B79" s="38" t="s">
        <v>327</v>
      </c>
      <c r="C79" s="38" t="s">
        <v>238</v>
      </c>
      <c r="D79" s="85" t="s">
        <v>251</v>
      </c>
      <c r="E79" s="79" t="s">
        <v>246</v>
      </c>
      <c r="F79" s="79" t="s">
        <v>247</v>
      </c>
      <c r="G79" s="38">
        <v>8.0000000000000004E-4</v>
      </c>
      <c r="H79" s="38">
        <v>8.0000000000000004E-4</v>
      </c>
      <c r="I79" s="104">
        <v>586.40490002460228</v>
      </c>
      <c r="J79" s="46">
        <v>1.36057581079483E-2</v>
      </c>
      <c r="K79" s="46">
        <v>2.2662380397000625E-3</v>
      </c>
    </row>
    <row r="80" spans="1:11" s="138" customFormat="1" x14ac:dyDescent="0.2">
      <c r="A80" s="144" t="s">
        <v>332</v>
      </c>
      <c r="B80" s="145" t="s">
        <v>240</v>
      </c>
      <c r="C80" s="145" t="s">
        <v>240</v>
      </c>
      <c r="D80" s="142" t="s">
        <v>240</v>
      </c>
      <c r="E80" s="146" t="s">
        <v>240</v>
      </c>
      <c r="F80" s="146" t="s">
        <v>240</v>
      </c>
      <c r="G80" s="145" t="s">
        <v>240</v>
      </c>
      <c r="H80" s="145" t="s">
        <v>240</v>
      </c>
      <c r="I80" s="147">
        <v>7031.1038377203695</v>
      </c>
      <c r="J80" s="141">
        <v>0.16313557073598262</v>
      </c>
      <c r="K80" s="141">
        <v>2.717261567468909E-2</v>
      </c>
    </row>
    <row r="81" spans="1:11" x14ac:dyDescent="0.2">
      <c r="A81" s="65" t="s">
        <v>1904</v>
      </c>
      <c r="B81" s="38" t="s">
        <v>337</v>
      </c>
      <c r="C81" s="38" t="s">
        <v>249</v>
      </c>
      <c r="D81" s="85" t="s">
        <v>245</v>
      </c>
      <c r="E81" s="79" t="s">
        <v>246</v>
      </c>
      <c r="F81" s="79" t="s">
        <v>127</v>
      </c>
      <c r="G81" s="38">
        <v>0</v>
      </c>
      <c r="H81" s="38">
        <v>0</v>
      </c>
      <c r="I81" s="104">
        <v>392.15</v>
      </c>
      <c r="J81" s="46">
        <v>9.0986586943732524E-3</v>
      </c>
      <c r="K81" s="46">
        <v>1.5155147019254005E-3</v>
      </c>
    </row>
    <row r="82" spans="1:11" x14ac:dyDescent="0.2">
      <c r="A82" s="65" t="s">
        <v>1904</v>
      </c>
      <c r="B82" s="38" t="s">
        <v>339</v>
      </c>
      <c r="C82" s="38" t="s">
        <v>249</v>
      </c>
      <c r="D82" s="85" t="s">
        <v>245</v>
      </c>
      <c r="E82" s="79" t="s">
        <v>246</v>
      </c>
      <c r="F82" s="79" t="s">
        <v>127</v>
      </c>
      <c r="G82" s="38">
        <v>0</v>
      </c>
      <c r="H82" s="38">
        <v>0</v>
      </c>
      <c r="I82" s="104">
        <v>-16.387145610302799</v>
      </c>
      <c r="J82" s="46">
        <v>-3.802143182025808E-4</v>
      </c>
      <c r="K82" s="46">
        <v>-6.3330256521754906E-5</v>
      </c>
    </row>
    <row r="83" spans="1:11" x14ac:dyDescent="0.2">
      <c r="A83" s="65" t="s">
        <v>1943</v>
      </c>
      <c r="B83" s="38" t="s">
        <v>333</v>
      </c>
      <c r="C83" s="38" t="s">
        <v>255</v>
      </c>
      <c r="D83" s="85" t="s">
        <v>245</v>
      </c>
      <c r="E83" s="79" t="s">
        <v>246</v>
      </c>
      <c r="F83" s="79" t="s">
        <v>127</v>
      </c>
      <c r="G83" s="38">
        <v>0</v>
      </c>
      <c r="H83" s="38">
        <v>0</v>
      </c>
      <c r="I83" s="104">
        <v>1.3189322537936559E-3</v>
      </c>
      <c r="J83" s="46">
        <v>3.0601847298913572E-8</v>
      </c>
      <c r="K83" s="46">
        <v>5.0971853154861392E-9</v>
      </c>
    </row>
    <row r="84" spans="1:11" x14ac:dyDescent="0.2">
      <c r="A84" s="65" t="s">
        <v>1943</v>
      </c>
      <c r="B84" s="38" t="s">
        <v>334</v>
      </c>
      <c r="C84" s="38" t="s">
        <v>255</v>
      </c>
      <c r="D84" s="85" t="s">
        <v>245</v>
      </c>
      <c r="E84" s="79" t="s">
        <v>246</v>
      </c>
      <c r="F84" s="79" t="s">
        <v>127</v>
      </c>
      <c r="G84" s="38">
        <v>0</v>
      </c>
      <c r="H84" s="38">
        <v>0</v>
      </c>
      <c r="I84" s="104">
        <v>-9.5999999999999992E-4</v>
      </c>
      <c r="J84" s="46">
        <v>-2.2273906277185574E-8</v>
      </c>
      <c r="K84" s="46">
        <v>-3.7100449160994126E-9</v>
      </c>
    </row>
    <row r="85" spans="1:11" x14ac:dyDescent="0.2">
      <c r="A85" s="65" t="s">
        <v>1943</v>
      </c>
      <c r="B85" s="38" t="s">
        <v>335</v>
      </c>
      <c r="C85" s="38" t="s">
        <v>255</v>
      </c>
      <c r="D85" s="85" t="s">
        <v>245</v>
      </c>
      <c r="E85" s="79" t="s">
        <v>246</v>
      </c>
      <c r="F85" s="79" t="s">
        <v>127</v>
      </c>
      <c r="G85" s="38">
        <v>0</v>
      </c>
      <c r="H85" s="38">
        <v>0</v>
      </c>
      <c r="I85" s="104">
        <v>19.701185769753163</v>
      </c>
      <c r="J85" s="46">
        <v>4.5710663060927507E-4</v>
      </c>
      <c r="K85" s="46">
        <v>7.6137795943961273E-5</v>
      </c>
    </row>
    <row r="86" spans="1:11" x14ac:dyDescent="0.2">
      <c r="A86" s="65" t="s">
        <v>1943</v>
      </c>
      <c r="B86" s="38" t="s">
        <v>336</v>
      </c>
      <c r="C86" s="38" t="s">
        <v>255</v>
      </c>
      <c r="D86" s="85" t="s">
        <v>245</v>
      </c>
      <c r="E86" s="79" t="s">
        <v>246</v>
      </c>
      <c r="F86" s="79" t="s">
        <v>127</v>
      </c>
      <c r="G86" s="38">
        <v>0</v>
      </c>
      <c r="H86" s="38">
        <v>0</v>
      </c>
      <c r="I86" s="104">
        <v>2197.2348940778675</v>
      </c>
      <c r="J86" s="46">
        <v>5.0980212603804358E-2</v>
      </c>
      <c r="K86" s="46">
        <v>8.4915001544268991E-3</v>
      </c>
    </row>
    <row r="87" spans="1:11" x14ac:dyDescent="0.2">
      <c r="A87" s="65" t="s">
        <v>1944</v>
      </c>
      <c r="B87" s="38" t="s">
        <v>338</v>
      </c>
      <c r="C87" s="38" t="s">
        <v>255</v>
      </c>
      <c r="D87" s="85" t="s">
        <v>245</v>
      </c>
      <c r="E87" s="79" t="s">
        <v>246</v>
      </c>
      <c r="F87" s="79" t="s">
        <v>127</v>
      </c>
      <c r="G87" s="38">
        <v>0</v>
      </c>
      <c r="H87" s="38">
        <v>0</v>
      </c>
      <c r="I87" s="104">
        <v>4028.45</v>
      </c>
      <c r="J87" s="46">
        <v>9.3468039314925228E-2</v>
      </c>
      <c r="K87" s="46">
        <v>1.5568469210688206E-2</v>
      </c>
    </row>
    <row r="88" spans="1:11" x14ac:dyDescent="0.2">
      <c r="A88" s="65" t="s">
        <v>1889</v>
      </c>
      <c r="B88" s="38" t="s">
        <v>340</v>
      </c>
      <c r="C88" s="38" t="s">
        <v>255</v>
      </c>
      <c r="D88" s="85" t="s">
        <v>245</v>
      </c>
      <c r="E88" s="79" t="s">
        <v>246</v>
      </c>
      <c r="F88" s="79" t="s">
        <v>127</v>
      </c>
      <c r="G88" s="38">
        <v>2.0400000000000001E-2</v>
      </c>
      <c r="H88" s="38">
        <v>2.0400000000000001E-2</v>
      </c>
      <c r="I88" s="104">
        <v>56.806307432236956</v>
      </c>
      <c r="J88" s="46">
        <v>1.3180191330194127E-3</v>
      </c>
      <c r="K88" s="46">
        <v>2.1953536676182396E-4</v>
      </c>
    </row>
    <row r="89" spans="1:11" x14ac:dyDescent="0.2">
      <c r="A89" s="65" t="s">
        <v>1889</v>
      </c>
      <c r="B89" s="38" t="s">
        <v>341</v>
      </c>
      <c r="C89" s="38" t="s">
        <v>255</v>
      </c>
      <c r="D89" s="85" t="s">
        <v>245</v>
      </c>
      <c r="E89" s="79" t="s">
        <v>246</v>
      </c>
      <c r="F89" s="79" t="s">
        <v>127</v>
      </c>
      <c r="G89" s="38">
        <v>1.9599999999999999E-2</v>
      </c>
      <c r="H89" s="38">
        <v>2.2400000000000003E-2</v>
      </c>
      <c r="I89" s="104">
        <v>171.03950790924497</v>
      </c>
      <c r="J89" s="46">
        <v>3.9684562175692321E-3</v>
      </c>
      <c r="K89" s="46">
        <v>6.6100443413629124E-4</v>
      </c>
    </row>
    <row r="90" spans="1:11" x14ac:dyDescent="0.2">
      <c r="A90" s="65" t="s">
        <v>1889</v>
      </c>
      <c r="B90" s="38" t="s">
        <v>342</v>
      </c>
      <c r="C90" s="38" t="s">
        <v>255</v>
      </c>
      <c r="D90" s="85" t="s">
        <v>245</v>
      </c>
      <c r="E90" s="79" t="s">
        <v>246</v>
      </c>
      <c r="F90" s="79" t="s">
        <v>127</v>
      </c>
      <c r="G90" s="38">
        <v>1.9599999999999999E-2</v>
      </c>
      <c r="H90" s="38">
        <v>2.4700000000000003E-2</v>
      </c>
      <c r="I90" s="104">
        <v>113.94116019063132</v>
      </c>
      <c r="J90" s="46">
        <v>2.6436611699999059E-3</v>
      </c>
      <c r="K90" s="46">
        <v>4.403404396872089E-4</v>
      </c>
    </row>
    <row r="91" spans="1:11" x14ac:dyDescent="0.2">
      <c r="A91" s="65" t="s">
        <v>343</v>
      </c>
      <c r="B91" s="38" t="s">
        <v>344</v>
      </c>
      <c r="C91" s="38" t="s">
        <v>255</v>
      </c>
      <c r="D91" s="85" t="s">
        <v>245</v>
      </c>
      <c r="E91" s="79" t="s">
        <v>246</v>
      </c>
      <c r="F91" s="79" t="s">
        <v>127</v>
      </c>
      <c r="G91" s="38">
        <v>1.18E-2</v>
      </c>
      <c r="H91" s="38">
        <v>2.29E-2</v>
      </c>
      <c r="I91" s="104">
        <v>68.167568918684353</v>
      </c>
      <c r="J91" s="46">
        <v>1.5816229596232953E-3</v>
      </c>
      <c r="K91" s="46">
        <v>2.6344244011418876E-4</v>
      </c>
    </row>
    <row r="92" spans="1:11" s="138" customFormat="1" x14ac:dyDescent="0.2">
      <c r="A92" s="144" t="s">
        <v>345</v>
      </c>
      <c r="B92" s="145" t="s">
        <v>240</v>
      </c>
      <c r="C92" s="145" t="s">
        <v>240</v>
      </c>
      <c r="D92" s="142" t="s">
        <v>240</v>
      </c>
      <c r="E92" s="146" t="s">
        <v>240</v>
      </c>
      <c r="F92" s="146" t="s">
        <v>240</v>
      </c>
      <c r="G92" s="145" t="s">
        <v>240</v>
      </c>
      <c r="H92" s="145" t="s">
        <v>240</v>
      </c>
      <c r="I92" s="147">
        <v>14178.945747694381</v>
      </c>
      <c r="J92" s="141">
        <v>0.32897969655567039</v>
      </c>
      <c r="K92" s="141">
        <v>5.4796380819669713E-2</v>
      </c>
    </row>
    <row r="93" spans="1:11" s="138" customFormat="1" x14ac:dyDescent="0.2">
      <c r="A93" s="144" t="s">
        <v>273</v>
      </c>
      <c r="B93" s="145" t="s">
        <v>240</v>
      </c>
      <c r="C93" s="145" t="s">
        <v>240</v>
      </c>
      <c r="D93" s="142" t="s">
        <v>240</v>
      </c>
      <c r="E93" s="146" t="s">
        <v>240</v>
      </c>
      <c r="F93" s="146" t="s">
        <v>240</v>
      </c>
      <c r="G93" s="145" t="s">
        <v>240</v>
      </c>
      <c r="H93" s="145" t="s">
        <v>240</v>
      </c>
      <c r="I93" s="147">
        <v>1383.4520006384034</v>
      </c>
      <c r="J93" s="141">
        <v>3.2098833542921534E-2</v>
      </c>
      <c r="K93" s="141">
        <v>5.3465302725375728E-3</v>
      </c>
    </row>
    <row r="94" spans="1:11" x14ac:dyDescent="0.2">
      <c r="A94" s="65" t="s">
        <v>1929</v>
      </c>
      <c r="B94" s="38" t="s">
        <v>346</v>
      </c>
      <c r="C94" s="38" t="s">
        <v>347</v>
      </c>
      <c r="D94" s="85" t="s">
        <v>318</v>
      </c>
      <c r="E94" s="79" t="s">
        <v>319</v>
      </c>
      <c r="F94" s="79" t="s">
        <v>127</v>
      </c>
      <c r="G94" s="38">
        <v>0</v>
      </c>
      <c r="H94" s="38">
        <v>0</v>
      </c>
      <c r="I94" s="104">
        <v>5.2999999999999998E-4</v>
      </c>
      <c r="J94" s="46">
        <v>1.229705242386287E-8</v>
      </c>
      <c r="K94" s="46">
        <v>2.0482539640965509E-9</v>
      </c>
    </row>
    <row r="95" spans="1:11" x14ac:dyDescent="0.2">
      <c r="A95" s="65" t="s">
        <v>1922</v>
      </c>
      <c r="B95" s="38" t="s">
        <v>348</v>
      </c>
      <c r="C95" s="38" t="s">
        <v>347</v>
      </c>
      <c r="D95" s="85" t="s">
        <v>318</v>
      </c>
      <c r="E95" s="79" t="s">
        <v>319</v>
      </c>
      <c r="F95" s="79" t="s">
        <v>128</v>
      </c>
      <c r="G95" s="38">
        <v>0</v>
      </c>
      <c r="H95" s="38">
        <v>0</v>
      </c>
      <c r="I95" s="104">
        <v>1.8213845838820717</v>
      </c>
      <c r="J95" s="46">
        <v>4.2259739079270742E-5</v>
      </c>
      <c r="K95" s="46">
        <v>7.0389777246807544E-6</v>
      </c>
    </row>
    <row r="96" spans="1:11" x14ac:dyDescent="0.2">
      <c r="A96" s="65" t="s">
        <v>1923</v>
      </c>
      <c r="B96" s="38" t="s">
        <v>349</v>
      </c>
      <c r="C96" s="38" t="s">
        <v>347</v>
      </c>
      <c r="D96" s="85" t="s">
        <v>318</v>
      </c>
      <c r="E96" s="79" t="s">
        <v>319</v>
      </c>
      <c r="F96" s="79" t="s">
        <v>2</v>
      </c>
      <c r="G96" s="38">
        <v>0</v>
      </c>
      <c r="H96" s="38">
        <v>0</v>
      </c>
      <c r="I96" s="104">
        <v>0</v>
      </c>
      <c r="J96" s="46">
        <v>0</v>
      </c>
      <c r="K96" s="46">
        <v>0</v>
      </c>
    </row>
    <row r="97" spans="1:11" x14ac:dyDescent="0.2">
      <c r="A97" s="65" t="s">
        <v>1924</v>
      </c>
      <c r="B97" s="38" t="s">
        <v>350</v>
      </c>
      <c r="C97" s="38" t="s">
        <v>347</v>
      </c>
      <c r="D97" s="85" t="s">
        <v>318</v>
      </c>
      <c r="E97" s="79" t="s">
        <v>319</v>
      </c>
      <c r="F97" s="79" t="s">
        <v>2</v>
      </c>
      <c r="G97" s="38">
        <v>0</v>
      </c>
      <c r="H97" s="38">
        <v>0</v>
      </c>
      <c r="I97" s="104">
        <v>0</v>
      </c>
      <c r="J97" s="46">
        <v>0</v>
      </c>
      <c r="K97" s="46">
        <v>0</v>
      </c>
    </row>
    <row r="98" spans="1:11" x14ac:dyDescent="0.2">
      <c r="A98" s="65" t="s">
        <v>1949</v>
      </c>
      <c r="B98" s="38" t="s">
        <v>355</v>
      </c>
      <c r="C98" s="38" t="s">
        <v>347</v>
      </c>
      <c r="D98" s="85" t="s">
        <v>318</v>
      </c>
      <c r="E98" s="79" t="s">
        <v>319</v>
      </c>
      <c r="F98" s="79" t="s">
        <v>289</v>
      </c>
      <c r="G98" s="38">
        <v>0</v>
      </c>
      <c r="H98" s="38">
        <v>0</v>
      </c>
      <c r="I98" s="104">
        <v>-1.7471722355843388E-2</v>
      </c>
      <c r="J98" s="46">
        <v>-4.0537865234902451E-7</v>
      </c>
      <c r="K98" s="46">
        <v>-6.7521744481038771E-8</v>
      </c>
    </row>
    <row r="99" spans="1:11" x14ac:dyDescent="0.2">
      <c r="A99" s="65" t="s">
        <v>1925</v>
      </c>
      <c r="B99" s="38" t="s">
        <v>356</v>
      </c>
      <c r="C99" s="38" t="s">
        <v>347</v>
      </c>
      <c r="D99" s="85" t="s">
        <v>318</v>
      </c>
      <c r="E99" s="79" t="s">
        <v>319</v>
      </c>
      <c r="F99" s="79" t="s">
        <v>289</v>
      </c>
      <c r="G99" s="38">
        <v>0</v>
      </c>
      <c r="H99" s="38">
        <v>0</v>
      </c>
      <c r="I99" s="104">
        <v>-0.10792807519965715</v>
      </c>
      <c r="J99" s="46">
        <v>-2.5041456579939582E-6</v>
      </c>
      <c r="K99" s="46">
        <v>-4.171020903113366E-7</v>
      </c>
    </row>
    <row r="100" spans="1:11" x14ac:dyDescent="0.2">
      <c r="A100" s="65" t="s">
        <v>1905</v>
      </c>
      <c r="B100" s="38" t="s">
        <v>357</v>
      </c>
      <c r="C100" s="38" t="s">
        <v>347</v>
      </c>
      <c r="D100" s="85" t="s">
        <v>318</v>
      </c>
      <c r="E100" s="79" t="s">
        <v>319</v>
      </c>
      <c r="F100" s="79" t="s">
        <v>289</v>
      </c>
      <c r="G100" s="38">
        <v>0</v>
      </c>
      <c r="H100" s="38">
        <v>0</v>
      </c>
      <c r="I100" s="104">
        <v>0.38073087105198694</v>
      </c>
      <c r="J100" s="46">
        <v>8.8337122277533149E-6</v>
      </c>
      <c r="K100" s="46">
        <v>1.4713839922380471E-6</v>
      </c>
    </row>
    <row r="101" spans="1:11" x14ac:dyDescent="0.2">
      <c r="A101" s="65" t="s">
        <v>1926</v>
      </c>
      <c r="B101" s="38" t="s">
        <v>358</v>
      </c>
      <c r="C101" s="38" t="s">
        <v>347</v>
      </c>
      <c r="D101" s="85" t="s">
        <v>318</v>
      </c>
      <c r="E101" s="79" t="s">
        <v>319</v>
      </c>
      <c r="F101" s="79" t="s">
        <v>65</v>
      </c>
      <c r="G101" s="38">
        <v>0</v>
      </c>
      <c r="H101" s="38">
        <v>0</v>
      </c>
      <c r="I101" s="104">
        <v>-5.466379079319468E-2</v>
      </c>
      <c r="J101" s="46">
        <v>-1.2683084925867686E-6</v>
      </c>
      <c r="K101" s="46">
        <v>-2.1125533242397271E-7</v>
      </c>
    </row>
    <row r="102" spans="1:11" x14ac:dyDescent="0.2">
      <c r="A102" s="65" t="s">
        <v>1927</v>
      </c>
      <c r="B102" s="38" t="s">
        <v>359</v>
      </c>
      <c r="C102" s="38" t="s">
        <v>347</v>
      </c>
      <c r="D102" s="85" t="s">
        <v>318</v>
      </c>
      <c r="E102" s="79" t="s">
        <v>319</v>
      </c>
      <c r="F102" s="79" t="s">
        <v>92</v>
      </c>
      <c r="G102" s="38">
        <v>0</v>
      </c>
      <c r="H102" s="38">
        <v>0</v>
      </c>
      <c r="I102" s="104">
        <v>277.30878819799989</v>
      </c>
      <c r="J102" s="46">
        <v>6.4341145397522441E-3</v>
      </c>
      <c r="K102" s="46">
        <v>1.0716958956704982E-3</v>
      </c>
    </row>
    <row r="103" spans="1:11" x14ac:dyDescent="0.2">
      <c r="A103" s="65" t="s">
        <v>1928</v>
      </c>
      <c r="B103" s="38" t="s">
        <v>360</v>
      </c>
      <c r="C103" s="38" t="s">
        <v>347</v>
      </c>
      <c r="D103" s="85" t="s">
        <v>318</v>
      </c>
      <c r="E103" s="79" t="s">
        <v>319</v>
      </c>
      <c r="F103" s="79" t="s">
        <v>92</v>
      </c>
      <c r="G103" s="38">
        <v>0</v>
      </c>
      <c r="H103" s="38">
        <v>0</v>
      </c>
      <c r="I103" s="104">
        <v>-272.50749041689818</v>
      </c>
      <c r="J103" s="46">
        <v>-6.3227148972677455E-3</v>
      </c>
      <c r="K103" s="46">
        <v>-1.0531406556460652E-3</v>
      </c>
    </row>
    <row r="104" spans="1:11" x14ac:dyDescent="0.2">
      <c r="A104" s="65" t="s">
        <v>1929</v>
      </c>
      <c r="B104" s="38" t="s">
        <v>361</v>
      </c>
      <c r="C104" s="38" t="s">
        <v>347</v>
      </c>
      <c r="D104" s="85" t="s">
        <v>318</v>
      </c>
      <c r="E104" s="79" t="s">
        <v>319</v>
      </c>
      <c r="F104" s="79" t="s">
        <v>127</v>
      </c>
      <c r="G104" s="38">
        <v>0</v>
      </c>
      <c r="H104" s="38">
        <v>0</v>
      </c>
      <c r="I104" s="104">
        <v>-7.4834606459606476E-2</v>
      </c>
      <c r="J104" s="46">
        <v>-1.7363114693451467E-6</v>
      </c>
      <c r="K104" s="46">
        <v>-2.8920807421225342E-7</v>
      </c>
    </row>
    <row r="105" spans="1:11" x14ac:dyDescent="0.2">
      <c r="A105" s="65" t="s">
        <v>1930</v>
      </c>
      <c r="B105" s="38" t="s">
        <v>362</v>
      </c>
      <c r="C105" s="38" t="s">
        <v>347</v>
      </c>
      <c r="D105" s="85" t="s">
        <v>318</v>
      </c>
      <c r="E105" s="79" t="s">
        <v>319</v>
      </c>
      <c r="F105" s="79" t="s">
        <v>127</v>
      </c>
      <c r="G105" s="38">
        <v>0</v>
      </c>
      <c r="H105" s="38">
        <v>0</v>
      </c>
      <c r="I105" s="104">
        <v>481.01350316125212</v>
      </c>
      <c r="J105" s="46">
        <v>1.1160468424452537E-2</v>
      </c>
      <c r="K105" s="46">
        <v>1.858939272894346E-3</v>
      </c>
    </row>
    <row r="106" spans="1:11" x14ac:dyDescent="0.2">
      <c r="A106" s="65" t="s">
        <v>1931</v>
      </c>
      <c r="B106" s="38" t="s">
        <v>363</v>
      </c>
      <c r="C106" s="38" t="s">
        <v>347</v>
      </c>
      <c r="D106" s="85" t="s">
        <v>318</v>
      </c>
      <c r="E106" s="79" t="s">
        <v>319</v>
      </c>
      <c r="F106" s="79" t="s">
        <v>127</v>
      </c>
      <c r="G106" s="38">
        <v>0</v>
      </c>
      <c r="H106" s="38">
        <v>0</v>
      </c>
      <c r="I106" s="104">
        <v>888.07449696364768</v>
      </c>
      <c r="J106" s="46">
        <v>2.0605091783882305E-2</v>
      </c>
      <c r="K106" s="46">
        <v>3.4320794506015879E-3</v>
      </c>
    </row>
    <row r="107" spans="1:11" x14ac:dyDescent="0.2">
      <c r="A107" s="65" t="s">
        <v>1906</v>
      </c>
      <c r="B107" s="38" t="s">
        <v>351</v>
      </c>
      <c r="C107" s="38" t="s">
        <v>352</v>
      </c>
      <c r="D107" s="85" t="s">
        <v>353</v>
      </c>
      <c r="E107" s="79" t="s">
        <v>354</v>
      </c>
      <c r="F107" s="79" t="s">
        <v>3</v>
      </c>
      <c r="G107" s="38">
        <v>0</v>
      </c>
      <c r="H107" s="38">
        <v>0</v>
      </c>
      <c r="I107" s="104">
        <v>7.61580290484972</v>
      </c>
      <c r="J107" s="46">
        <v>1.7670175013347948E-4</v>
      </c>
      <c r="K107" s="46">
        <v>2.9432261301200877E-5</v>
      </c>
    </row>
    <row r="108" spans="1:11" s="138" customFormat="1" x14ac:dyDescent="0.2">
      <c r="A108" s="144" t="s">
        <v>332</v>
      </c>
      <c r="B108" s="145" t="s">
        <v>240</v>
      </c>
      <c r="C108" s="145" t="s">
        <v>240</v>
      </c>
      <c r="D108" s="142" t="s">
        <v>240</v>
      </c>
      <c r="E108" s="146" t="s">
        <v>240</v>
      </c>
      <c r="F108" s="146" t="s">
        <v>240</v>
      </c>
      <c r="G108" s="145" t="s">
        <v>240</v>
      </c>
      <c r="H108" s="145" t="s">
        <v>240</v>
      </c>
      <c r="I108" s="147">
        <v>12795.493747055978</v>
      </c>
      <c r="J108" s="141">
        <v>0.29688086301274885</v>
      </c>
      <c r="K108" s="141">
        <v>4.9449850547132142E-2</v>
      </c>
    </row>
    <row r="109" spans="1:11" x14ac:dyDescent="0.2">
      <c r="A109" s="65" t="s">
        <v>1932</v>
      </c>
      <c r="B109" s="38" t="s">
        <v>364</v>
      </c>
      <c r="C109" s="38" t="s">
        <v>347</v>
      </c>
      <c r="D109" s="85" t="s">
        <v>318</v>
      </c>
      <c r="E109" s="79" t="s">
        <v>319</v>
      </c>
      <c r="F109" s="79" t="s">
        <v>127</v>
      </c>
      <c r="G109" s="38">
        <v>0</v>
      </c>
      <c r="H109" s="38">
        <v>0</v>
      </c>
      <c r="I109" s="104">
        <v>52.54210678169305</v>
      </c>
      <c r="J109" s="46">
        <v>1.2190812104805287E-3</v>
      </c>
      <c r="K109" s="46">
        <v>2.030558084860133E-4</v>
      </c>
    </row>
    <row r="110" spans="1:11" x14ac:dyDescent="0.2">
      <c r="A110" s="65" t="s">
        <v>1945</v>
      </c>
      <c r="B110" s="38" t="s">
        <v>365</v>
      </c>
      <c r="C110" s="38" t="s">
        <v>352</v>
      </c>
      <c r="D110" s="85" t="s">
        <v>353</v>
      </c>
      <c r="E110" s="79" t="s">
        <v>354</v>
      </c>
      <c r="F110" s="79" t="s">
        <v>127</v>
      </c>
      <c r="G110" s="38">
        <v>0</v>
      </c>
      <c r="H110" s="38">
        <v>0</v>
      </c>
      <c r="I110" s="104">
        <v>454.79995655121405</v>
      </c>
      <c r="J110" s="46">
        <v>1.0552262090718554E-2</v>
      </c>
      <c r="K110" s="46">
        <v>1.7576336110886098E-3</v>
      </c>
    </row>
    <row r="111" spans="1:11" x14ac:dyDescent="0.2">
      <c r="A111" s="65" t="s">
        <v>1907</v>
      </c>
      <c r="B111" s="38" t="s">
        <v>366</v>
      </c>
      <c r="C111" s="38" t="s">
        <v>352</v>
      </c>
      <c r="D111" s="85" t="s">
        <v>353</v>
      </c>
      <c r="E111" s="79" t="s">
        <v>354</v>
      </c>
      <c r="F111" s="79" t="s">
        <v>127</v>
      </c>
      <c r="G111" s="38">
        <v>0</v>
      </c>
      <c r="H111" s="38">
        <v>0</v>
      </c>
      <c r="I111" s="104">
        <v>10387.618242106151</v>
      </c>
      <c r="J111" s="46">
        <v>0.24101336996651621</v>
      </c>
      <c r="K111" s="46">
        <v>4.0144302343236925E-2</v>
      </c>
    </row>
    <row r="112" spans="1:11" x14ac:dyDescent="0.2">
      <c r="A112" s="65" t="s">
        <v>1908</v>
      </c>
      <c r="B112" s="38" t="s">
        <v>367</v>
      </c>
      <c r="C112" s="38" t="s">
        <v>352</v>
      </c>
      <c r="D112" s="85" t="s">
        <v>353</v>
      </c>
      <c r="E112" s="79" t="s">
        <v>354</v>
      </c>
      <c r="F112" s="79" t="s">
        <v>128</v>
      </c>
      <c r="G112" s="38">
        <v>0</v>
      </c>
      <c r="H112" s="38">
        <v>0</v>
      </c>
      <c r="I112" s="104">
        <v>285.27571007642302</v>
      </c>
      <c r="J112" s="46">
        <v>6.6189629472914692E-3</v>
      </c>
      <c r="K112" s="46">
        <v>1.1024851019330033E-3</v>
      </c>
    </row>
    <row r="113" spans="1:11" x14ac:dyDescent="0.2">
      <c r="A113" s="65" t="s">
        <v>1909</v>
      </c>
      <c r="B113" s="38" t="s">
        <v>368</v>
      </c>
      <c r="C113" s="38" t="s">
        <v>352</v>
      </c>
      <c r="D113" s="85" t="s">
        <v>353</v>
      </c>
      <c r="E113" s="79" t="s">
        <v>354</v>
      </c>
      <c r="F113" s="79" t="s">
        <v>2</v>
      </c>
      <c r="G113" s="38">
        <v>0</v>
      </c>
      <c r="H113" s="38">
        <v>0</v>
      </c>
      <c r="I113" s="104">
        <v>0.26203114495139118</v>
      </c>
      <c r="J113" s="46">
        <v>6.0796428795322031E-6</v>
      </c>
      <c r="K113" s="46">
        <v>1.0126534554027261E-6</v>
      </c>
    </row>
    <row r="114" spans="1:11" x14ac:dyDescent="0.2">
      <c r="A114" s="65" t="s">
        <v>1910</v>
      </c>
      <c r="B114" s="38" t="s">
        <v>369</v>
      </c>
      <c r="C114" s="38" t="s">
        <v>352</v>
      </c>
      <c r="D114" s="85" t="s">
        <v>353</v>
      </c>
      <c r="E114" s="79" t="s">
        <v>354</v>
      </c>
      <c r="F114" s="79" t="s">
        <v>289</v>
      </c>
      <c r="G114" s="38">
        <v>0</v>
      </c>
      <c r="H114" s="38">
        <v>0</v>
      </c>
      <c r="I114" s="104">
        <v>1423.0286165550826</v>
      </c>
      <c r="J114" s="46">
        <v>3.3017089619688494E-2</v>
      </c>
      <c r="K114" s="46">
        <v>5.4994792544939214E-3</v>
      </c>
    </row>
    <row r="115" spans="1:11" x14ac:dyDescent="0.2">
      <c r="A115" s="234" t="s">
        <v>1911</v>
      </c>
      <c r="B115" s="235" t="s">
        <v>370</v>
      </c>
      <c r="C115" s="235" t="s">
        <v>352</v>
      </c>
      <c r="D115" s="236" t="s">
        <v>353</v>
      </c>
      <c r="E115" s="237" t="s">
        <v>354</v>
      </c>
      <c r="F115" s="237" t="s">
        <v>3</v>
      </c>
      <c r="G115" s="235">
        <v>0</v>
      </c>
      <c r="H115" s="235">
        <v>0</v>
      </c>
      <c r="I115" s="238">
        <v>191.96708374046071</v>
      </c>
      <c r="J115" s="239">
        <v>4.454017532853809E-3</v>
      </c>
      <c r="K115" s="239">
        <v>7.4188177405179847E-4</v>
      </c>
    </row>
    <row r="116" spans="1:11" s="138" customFormat="1" x14ac:dyDescent="0.2">
      <c r="A116" s="97" t="s">
        <v>231</v>
      </c>
      <c r="B116" s="148"/>
      <c r="C116" s="148"/>
      <c r="D116" s="148"/>
      <c r="E116" s="149"/>
      <c r="F116" s="150"/>
      <c r="G116" s="151"/>
      <c r="H116" s="152"/>
      <c r="I116" s="151"/>
      <c r="J116" s="153"/>
    </row>
    <row r="117" spans="1:11" s="138" customFormat="1" x14ac:dyDescent="0.2">
      <c r="A117" s="97" t="s">
        <v>232</v>
      </c>
      <c r="B117" s="148"/>
      <c r="C117" s="148"/>
      <c r="D117" s="148"/>
      <c r="E117" s="149"/>
      <c r="F117" s="150"/>
      <c r="G117" s="151"/>
      <c r="H117" s="152"/>
      <c r="I117" s="151"/>
      <c r="J117" s="153"/>
    </row>
    <row r="118" spans="1:11" s="138" customFormat="1" x14ac:dyDescent="0.2">
      <c r="A118" s="97" t="s">
        <v>233</v>
      </c>
      <c r="B118" s="148"/>
      <c r="C118" s="148"/>
      <c r="D118" s="148"/>
      <c r="E118" s="149"/>
      <c r="F118" s="150"/>
      <c r="G118" s="151"/>
      <c r="H118" s="152"/>
      <c r="I118" s="151"/>
      <c r="J118" s="153"/>
    </row>
    <row r="119" spans="1:11" s="138" customFormat="1" x14ac:dyDescent="0.2">
      <c r="A119" s="97" t="s">
        <v>234</v>
      </c>
      <c r="B119" s="148"/>
      <c r="C119" s="148"/>
      <c r="D119" s="148"/>
      <c r="E119" s="149"/>
      <c r="F119" s="150"/>
      <c r="G119" s="151"/>
      <c r="H119" s="152"/>
      <c r="I119" s="151"/>
      <c r="J119" s="153"/>
    </row>
    <row r="120" spans="1:11" s="138" customFormat="1" x14ac:dyDescent="0.2">
      <c r="A120" s="97" t="s">
        <v>235</v>
      </c>
      <c r="B120" s="148"/>
      <c r="C120" s="148"/>
      <c r="D120" s="148"/>
      <c r="E120" s="149"/>
      <c r="F120" s="150"/>
      <c r="G120" s="151"/>
      <c r="H120" s="152"/>
      <c r="I120" s="151"/>
      <c r="J120" s="153"/>
    </row>
  </sheetData>
  <mergeCells count="1">
    <mergeCell ref="A5:K5"/>
  </mergeCells>
  <conditionalFormatting sqref="G1:G4 G10:H115 G116:G55650">
    <cfRule type="expression" dxfId="143" priority="34" stopIfTrue="1">
      <formula>LEFT(#REF!,3)="TIR"</formula>
    </cfRule>
  </conditionalFormatting>
  <conditionalFormatting sqref="G6">
    <cfRule type="expression" dxfId="142" priority="37" stopIfTrue="1">
      <formula>LEFT(#REF!,3)="TIR"</formula>
    </cfRule>
  </conditionalFormatting>
  <conditionalFormatting sqref="B10:F115 J10:K115">
    <cfRule type="expression" dxfId="141" priority="38" stopIfTrue="1">
      <formula>LEFT(#REF!,3)="TIR"</formula>
    </cfRule>
  </conditionalFormatting>
  <conditionalFormatting sqref="A10:A115 I10:J115">
    <cfRule type="expression" dxfId="140" priority="40" stopIfTrue="1">
      <formula>#REF!&gt;0</formula>
    </cfRule>
  </conditionalFormatting>
  <conditionalFormatting sqref="A10:A115 I10:K115">
    <cfRule type="expression" dxfId="13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33F9-060A-4C53-9EEF-CC752C21DE0C}">
  <sheetPr codeName="גיליון2">
    <pageSetUpPr fitToPage="1"/>
  </sheetPr>
  <dimension ref="A1:Q25"/>
  <sheetViews>
    <sheetView rightToLeft="1" zoomScale="80" zoomScaleNormal="80" workbookViewId="0">
      <selection activeCell="A7" sqref="A7:Q20"/>
    </sheetView>
  </sheetViews>
  <sheetFormatPr defaultRowHeight="12.75" x14ac:dyDescent="0.2"/>
  <cols>
    <col min="1" max="1" width="35.5703125" style="23" bestFit="1" customWidth="1"/>
    <col min="2" max="2" width="13.5703125" style="22" bestFit="1" customWidth="1"/>
    <col min="3" max="3" width="12.28515625" style="22" customWidth="1"/>
    <col min="4" max="4" width="7.5703125" style="22" customWidth="1"/>
    <col min="5" max="5" width="11.140625" style="78" customWidth="1"/>
    <col min="6" max="6" width="14.140625" style="78" customWidth="1"/>
    <col min="7" max="7" width="7.85546875" style="78" customWidth="1"/>
    <col min="8" max="8" width="11.28515625" style="50" customWidth="1"/>
    <col min="9" max="9" width="12.5703125" style="80" customWidth="1"/>
    <col min="10" max="10" width="14.140625" style="82" customWidth="1"/>
    <col min="11" max="11" width="10.5703125" style="82" customWidth="1"/>
    <col min="12" max="12" width="8.85546875" style="82" bestFit="1" customWidth="1"/>
    <col min="13" max="13" width="16.5703125" style="82" customWidth="1"/>
    <col min="14" max="14" width="10.42578125" style="80" customWidth="1"/>
    <col min="15" max="15" width="22" style="80" customWidth="1"/>
    <col min="16" max="16" width="25.42578125" style="80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78"/>
      <c r="F1" s="78"/>
      <c r="G1" s="78"/>
      <c r="H1" s="50"/>
      <c r="I1" s="80"/>
      <c r="J1" s="81"/>
      <c r="K1" s="81"/>
      <c r="L1" s="81"/>
      <c r="M1" s="81"/>
      <c r="N1" s="80"/>
      <c r="O1" s="80"/>
      <c r="P1" s="80"/>
      <c r="Q1" s="84"/>
    </row>
    <row r="2" spans="1:17" s="20" customFormat="1" x14ac:dyDescent="0.2">
      <c r="A2" s="23" t="s">
        <v>227</v>
      </c>
      <c r="B2" s="22" t="s">
        <v>153</v>
      </c>
      <c r="C2" s="22"/>
      <c r="D2" s="22"/>
      <c r="E2" s="78"/>
      <c r="F2" s="78"/>
      <c r="G2" s="78"/>
      <c r="H2" s="50"/>
      <c r="I2" s="80"/>
      <c r="J2" s="81"/>
      <c r="K2" s="81"/>
      <c r="L2" s="81"/>
      <c r="M2" s="81"/>
      <c r="N2" s="80"/>
      <c r="O2" s="80"/>
      <c r="P2" s="80"/>
      <c r="Q2" s="84"/>
    </row>
    <row r="3" spans="1:17" s="20" customFormat="1" x14ac:dyDescent="0.2">
      <c r="A3" s="23" t="s">
        <v>228</v>
      </c>
      <c r="B3" s="22" t="s">
        <v>229</v>
      </c>
      <c r="C3" s="22"/>
      <c r="D3" s="22"/>
      <c r="E3" s="78"/>
      <c r="F3" s="78"/>
      <c r="G3" s="78"/>
      <c r="H3" s="50"/>
      <c r="I3" s="80"/>
      <c r="J3" s="81"/>
      <c r="K3" s="81"/>
      <c r="L3" s="81"/>
      <c r="M3" s="81"/>
      <c r="N3" s="80"/>
      <c r="O3" s="80"/>
      <c r="P3" s="80"/>
      <c r="Q3" s="84"/>
    </row>
    <row r="4" spans="1:17" s="20" customFormat="1" ht="13.5" thickBot="1" x14ac:dyDescent="0.25">
      <c r="A4" s="23" t="s">
        <v>230</v>
      </c>
      <c r="B4" s="22" t="s">
        <v>237</v>
      </c>
      <c r="C4" s="22"/>
      <c r="D4" s="22"/>
      <c r="E4" s="78"/>
      <c r="F4" s="78"/>
      <c r="G4" s="78"/>
      <c r="H4" s="50"/>
      <c r="I4" s="80"/>
      <c r="J4" s="81"/>
      <c r="K4" s="81"/>
      <c r="L4" s="81"/>
      <c r="M4" s="81"/>
      <c r="N4" s="80"/>
      <c r="O4" s="80"/>
      <c r="P4" s="80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0" t="s">
        <v>160</v>
      </c>
      <c r="B7" s="107" t="s">
        <v>69</v>
      </c>
      <c r="C7" s="107" t="s">
        <v>76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137</v>
      </c>
      <c r="N7" s="108" t="s">
        <v>7</v>
      </c>
      <c r="O7" s="109" t="s">
        <v>17</v>
      </c>
      <c r="P7" s="109" t="s">
        <v>75</v>
      </c>
      <c r="Q7" s="110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8" customFormat="1" ht="12.75" customHeight="1" thickBot="1" x14ac:dyDescent="0.25">
      <c r="A10" s="121" t="s">
        <v>52</v>
      </c>
      <c r="B10" s="86"/>
      <c r="C10" s="86"/>
      <c r="D10" s="122"/>
      <c r="E10" s="122"/>
      <c r="F10" s="122"/>
      <c r="G10" s="122"/>
      <c r="H10" s="122"/>
      <c r="I10" s="86"/>
      <c r="J10" s="86"/>
      <c r="K10" s="125"/>
      <c r="L10" s="122"/>
      <c r="M10" s="122" t="s">
        <v>240</v>
      </c>
      <c r="N10" s="126">
        <v>6.9999999999999997E-7</v>
      </c>
      <c r="O10" s="86"/>
      <c r="P10" s="86">
        <v>1</v>
      </c>
      <c r="Q10" s="101">
        <v>0</v>
      </c>
    </row>
    <row r="11" spans="1:17" s="138" customFormat="1" x14ac:dyDescent="0.2">
      <c r="A11" s="111" t="s">
        <v>140</v>
      </c>
      <c r="B11" s="141" t="s">
        <v>240</v>
      </c>
      <c r="C11" s="141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1" t="s">
        <v>240</v>
      </c>
      <c r="J11" s="141" t="s">
        <v>240</v>
      </c>
      <c r="K11" s="154" t="s">
        <v>240</v>
      </c>
      <c r="L11" s="142" t="s">
        <v>240</v>
      </c>
      <c r="M11" s="142" t="s">
        <v>240</v>
      </c>
      <c r="N11" s="155">
        <v>0</v>
      </c>
      <c r="O11" s="141" t="s">
        <v>240</v>
      </c>
      <c r="P11" s="141">
        <v>0</v>
      </c>
      <c r="Q11" s="141">
        <v>0</v>
      </c>
    </row>
    <row r="12" spans="1:17" s="138" customFormat="1" x14ac:dyDescent="0.2">
      <c r="A12" s="112" t="s">
        <v>371</v>
      </c>
      <c r="B12" s="145" t="s">
        <v>240</v>
      </c>
      <c r="C12" s="145" t="s">
        <v>240</v>
      </c>
      <c r="D12" s="142" t="s">
        <v>240</v>
      </c>
      <c r="E12" s="146" t="s">
        <v>240</v>
      </c>
      <c r="F12" s="146" t="s">
        <v>240</v>
      </c>
      <c r="G12" s="146" t="s">
        <v>240</v>
      </c>
      <c r="H12" s="146" t="s">
        <v>240</v>
      </c>
      <c r="I12" s="145" t="s">
        <v>240</v>
      </c>
      <c r="J12" s="145" t="s">
        <v>240</v>
      </c>
      <c r="K12" s="156" t="s">
        <v>240</v>
      </c>
      <c r="L12" s="146" t="s">
        <v>240</v>
      </c>
      <c r="M12" s="146" t="s">
        <v>240</v>
      </c>
      <c r="N12" s="147">
        <v>0</v>
      </c>
      <c r="O12" s="145" t="s">
        <v>240</v>
      </c>
      <c r="P12" s="141">
        <v>0</v>
      </c>
      <c r="Q12" s="141">
        <v>0</v>
      </c>
    </row>
    <row r="13" spans="1:17" s="138" customFormat="1" x14ac:dyDescent="0.2">
      <c r="A13" s="112" t="s">
        <v>142</v>
      </c>
      <c r="B13" s="145" t="s">
        <v>240</v>
      </c>
      <c r="C13" s="145" t="s">
        <v>240</v>
      </c>
      <c r="D13" s="142" t="s">
        <v>240</v>
      </c>
      <c r="E13" s="146" t="s">
        <v>240</v>
      </c>
      <c r="F13" s="146" t="s">
        <v>240</v>
      </c>
      <c r="G13" s="146" t="s">
        <v>240</v>
      </c>
      <c r="H13" s="146" t="s">
        <v>240</v>
      </c>
      <c r="I13" s="145" t="s">
        <v>240</v>
      </c>
      <c r="J13" s="145" t="s">
        <v>240</v>
      </c>
      <c r="K13" s="156" t="s">
        <v>240</v>
      </c>
      <c r="L13" s="146" t="s">
        <v>240</v>
      </c>
      <c r="M13" s="156" t="s">
        <v>240</v>
      </c>
      <c r="N13" s="147">
        <v>0</v>
      </c>
      <c r="O13" s="145" t="s">
        <v>240</v>
      </c>
      <c r="P13" s="141">
        <v>0</v>
      </c>
      <c r="Q13" s="141">
        <v>0</v>
      </c>
    </row>
    <row r="14" spans="1:17" s="138" customFormat="1" x14ac:dyDescent="0.2">
      <c r="A14" s="112" t="s">
        <v>372</v>
      </c>
      <c r="B14" s="145" t="s">
        <v>240</v>
      </c>
      <c r="C14" s="145" t="s">
        <v>240</v>
      </c>
      <c r="D14" s="142" t="s">
        <v>240</v>
      </c>
      <c r="E14" s="146" t="s">
        <v>240</v>
      </c>
      <c r="F14" s="146" t="s">
        <v>240</v>
      </c>
      <c r="G14" s="146" t="s">
        <v>240</v>
      </c>
      <c r="H14" s="146" t="s">
        <v>240</v>
      </c>
      <c r="I14" s="145" t="s">
        <v>240</v>
      </c>
      <c r="J14" s="145" t="s">
        <v>240</v>
      </c>
      <c r="K14" s="156" t="s">
        <v>240</v>
      </c>
      <c r="L14" s="146" t="s">
        <v>240</v>
      </c>
      <c r="M14" s="146" t="s">
        <v>240</v>
      </c>
      <c r="N14" s="147">
        <v>0</v>
      </c>
      <c r="O14" s="145" t="s">
        <v>240</v>
      </c>
      <c r="P14" s="141">
        <v>0</v>
      </c>
      <c r="Q14" s="141">
        <v>0</v>
      </c>
    </row>
    <row r="15" spans="1:17" s="138" customFormat="1" x14ac:dyDescent="0.2">
      <c r="A15" s="112" t="s">
        <v>373</v>
      </c>
      <c r="B15" s="145" t="s">
        <v>240</v>
      </c>
      <c r="C15" s="145" t="s">
        <v>240</v>
      </c>
      <c r="D15" s="142" t="s">
        <v>240</v>
      </c>
      <c r="E15" s="146" t="s">
        <v>240</v>
      </c>
      <c r="F15" s="146" t="s">
        <v>240</v>
      </c>
      <c r="G15" s="146" t="s">
        <v>240</v>
      </c>
      <c r="H15" s="146" t="s">
        <v>240</v>
      </c>
      <c r="I15" s="145" t="s">
        <v>240</v>
      </c>
      <c r="J15" s="145" t="s">
        <v>240</v>
      </c>
      <c r="K15" s="156" t="s">
        <v>240</v>
      </c>
      <c r="L15" s="146" t="s">
        <v>240</v>
      </c>
      <c r="M15" s="146" t="s">
        <v>240</v>
      </c>
      <c r="N15" s="147">
        <v>0</v>
      </c>
      <c r="O15" s="145" t="s">
        <v>240</v>
      </c>
      <c r="P15" s="141">
        <v>0</v>
      </c>
      <c r="Q15" s="141">
        <v>0</v>
      </c>
    </row>
    <row r="16" spans="1:17" s="138" customFormat="1" x14ac:dyDescent="0.2">
      <c r="A16" s="112" t="s">
        <v>374</v>
      </c>
      <c r="B16" s="145" t="s">
        <v>240</v>
      </c>
      <c r="C16" s="145" t="s">
        <v>240</v>
      </c>
      <c r="D16" s="142" t="s">
        <v>240</v>
      </c>
      <c r="E16" s="146" t="s">
        <v>240</v>
      </c>
      <c r="F16" s="146" t="s">
        <v>240</v>
      </c>
      <c r="G16" s="146" t="s">
        <v>240</v>
      </c>
      <c r="H16" s="146" t="s">
        <v>240</v>
      </c>
      <c r="I16" s="145" t="s">
        <v>240</v>
      </c>
      <c r="J16" s="145" t="s">
        <v>240</v>
      </c>
      <c r="K16" s="156" t="s">
        <v>240</v>
      </c>
      <c r="L16" s="146" t="s">
        <v>240</v>
      </c>
      <c r="M16" s="146" t="s">
        <v>240</v>
      </c>
      <c r="N16" s="147">
        <v>0</v>
      </c>
      <c r="O16" s="145" t="s">
        <v>240</v>
      </c>
      <c r="P16" s="141">
        <v>0</v>
      </c>
      <c r="Q16" s="141">
        <v>0</v>
      </c>
    </row>
    <row r="17" spans="1:17" s="138" customFormat="1" x14ac:dyDescent="0.2">
      <c r="A17" s="112" t="s">
        <v>375</v>
      </c>
      <c r="B17" s="145" t="s">
        <v>240</v>
      </c>
      <c r="C17" s="145" t="s">
        <v>240</v>
      </c>
      <c r="D17" s="142" t="s">
        <v>240</v>
      </c>
      <c r="E17" s="146" t="s">
        <v>240</v>
      </c>
      <c r="F17" s="146" t="s">
        <v>240</v>
      </c>
      <c r="G17" s="146" t="s">
        <v>240</v>
      </c>
      <c r="H17" s="146" t="s">
        <v>240</v>
      </c>
      <c r="I17" s="145" t="s">
        <v>240</v>
      </c>
      <c r="J17" s="145" t="s">
        <v>240</v>
      </c>
      <c r="K17" s="156" t="s">
        <v>240</v>
      </c>
      <c r="L17" s="146" t="s">
        <v>240</v>
      </c>
      <c r="M17" s="146" t="s">
        <v>240</v>
      </c>
      <c r="N17" s="147">
        <v>0</v>
      </c>
      <c r="O17" s="145" t="s">
        <v>240</v>
      </c>
      <c r="P17" s="141">
        <v>0</v>
      </c>
      <c r="Q17" s="141">
        <v>0</v>
      </c>
    </row>
    <row r="18" spans="1:17" s="138" customFormat="1" x14ac:dyDescent="0.2">
      <c r="A18" s="112" t="s">
        <v>376</v>
      </c>
      <c r="B18" s="145" t="s">
        <v>240</v>
      </c>
      <c r="C18" s="145" t="s">
        <v>240</v>
      </c>
      <c r="D18" s="142" t="s">
        <v>240</v>
      </c>
      <c r="E18" s="146" t="s">
        <v>240</v>
      </c>
      <c r="F18" s="146" t="s">
        <v>240</v>
      </c>
      <c r="G18" s="146" t="s">
        <v>240</v>
      </c>
      <c r="H18" s="146" t="s">
        <v>240</v>
      </c>
      <c r="I18" s="145" t="s">
        <v>240</v>
      </c>
      <c r="J18" s="145" t="s">
        <v>240</v>
      </c>
      <c r="K18" s="156" t="s">
        <v>240</v>
      </c>
      <c r="L18" s="146" t="s">
        <v>240</v>
      </c>
      <c r="M18" s="146" t="s">
        <v>240</v>
      </c>
      <c r="N18" s="147">
        <v>0</v>
      </c>
      <c r="O18" s="145" t="s">
        <v>240</v>
      </c>
      <c r="P18" s="141">
        <v>0</v>
      </c>
      <c r="Q18" s="141">
        <v>0</v>
      </c>
    </row>
    <row r="19" spans="1:17" s="138" customFormat="1" x14ac:dyDescent="0.2">
      <c r="A19" s="112" t="s">
        <v>377</v>
      </c>
      <c r="B19" s="145" t="s">
        <v>240</v>
      </c>
      <c r="C19" s="145" t="s">
        <v>240</v>
      </c>
      <c r="D19" s="142" t="s">
        <v>240</v>
      </c>
      <c r="E19" s="146" t="s">
        <v>240</v>
      </c>
      <c r="F19" s="146" t="s">
        <v>240</v>
      </c>
      <c r="G19" s="146" t="s">
        <v>240</v>
      </c>
      <c r="H19" s="146" t="s">
        <v>240</v>
      </c>
      <c r="I19" s="145" t="s">
        <v>240</v>
      </c>
      <c r="J19" s="145" t="s">
        <v>240</v>
      </c>
      <c r="K19" s="156" t="s">
        <v>240</v>
      </c>
      <c r="L19" s="146" t="s">
        <v>240</v>
      </c>
      <c r="M19" s="146" t="s">
        <v>240</v>
      </c>
      <c r="N19" s="147">
        <v>0</v>
      </c>
      <c r="O19" s="145" t="s">
        <v>240</v>
      </c>
      <c r="P19" s="141">
        <v>0</v>
      </c>
      <c r="Q19" s="141">
        <v>0</v>
      </c>
    </row>
    <row r="20" spans="1:17" s="138" customFormat="1" x14ac:dyDescent="0.2">
      <c r="A20" s="202" t="s">
        <v>378</v>
      </c>
      <c r="B20" s="203" t="s">
        <v>240</v>
      </c>
      <c r="C20" s="203" t="s">
        <v>240</v>
      </c>
      <c r="D20" s="241" t="s">
        <v>240</v>
      </c>
      <c r="E20" s="204" t="s">
        <v>240</v>
      </c>
      <c r="F20" s="204" t="s">
        <v>240</v>
      </c>
      <c r="G20" s="204" t="s">
        <v>240</v>
      </c>
      <c r="H20" s="204" t="s">
        <v>240</v>
      </c>
      <c r="I20" s="203" t="s">
        <v>240</v>
      </c>
      <c r="J20" s="203" t="s">
        <v>240</v>
      </c>
      <c r="K20" s="205" t="s">
        <v>240</v>
      </c>
      <c r="L20" s="204" t="s">
        <v>240</v>
      </c>
      <c r="M20" s="204" t="s">
        <v>240</v>
      </c>
      <c r="N20" s="207">
        <v>0</v>
      </c>
      <c r="O20" s="203" t="s">
        <v>240</v>
      </c>
      <c r="P20" s="242">
        <v>0</v>
      </c>
      <c r="Q20" s="242">
        <v>0</v>
      </c>
    </row>
    <row r="21" spans="1:17" s="138" customFormat="1" x14ac:dyDescent="0.2">
      <c r="A21" s="97" t="s">
        <v>231</v>
      </c>
      <c r="B21" s="148"/>
      <c r="C21" s="148"/>
      <c r="D21" s="148"/>
      <c r="E21" s="149"/>
      <c r="F21" s="149"/>
      <c r="G21" s="149"/>
      <c r="H21" s="150"/>
      <c r="I21" s="151"/>
      <c r="J21" s="152"/>
      <c r="K21" s="152"/>
      <c r="L21" s="152"/>
      <c r="M21" s="152"/>
      <c r="N21" s="151"/>
      <c r="O21" s="151"/>
      <c r="P21" s="151"/>
      <c r="Q21" s="157"/>
    </row>
    <row r="22" spans="1:17" s="138" customFormat="1" x14ac:dyDescent="0.2">
      <c r="A22" s="97" t="s">
        <v>232</v>
      </c>
      <c r="B22" s="148"/>
      <c r="C22" s="148"/>
      <c r="D22" s="148"/>
      <c r="E22" s="149"/>
      <c r="F22" s="149"/>
      <c r="G22" s="149"/>
      <c r="H22" s="150"/>
      <c r="I22" s="151"/>
      <c r="J22" s="152"/>
      <c r="K22" s="152"/>
      <c r="L22" s="152"/>
      <c r="M22" s="152"/>
      <c r="N22" s="151"/>
      <c r="O22" s="151"/>
      <c r="P22" s="151"/>
      <c r="Q22" s="157"/>
    </row>
    <row r="23" spans="1:17" s="138" customFormat="1" x14ac:dyDescent="0.2">
      <c r="A23" s="97" t="s">
        <v>233</v>
      </c>
      <c r="B23" s="148"/>
      <c r="C23" s="148"/>
      <c r="D23" s="148"/>
      <c r="E23" s="149"/>
      <c r="F23" s="149"/>
      <c r="G23" s="149"/>
      <c r="H23" s="150"/>
      <c r="I23" s="151"/>
      <c r="J23" s="152"/>
      <c r="K23" s="152"/>
      <c r="L23" s="152"/>
      <c r="M23" s="152"/>
      <c r="N23" s="151"/>
      <c r="O23" s="151"/>
      <c r="P23" s="151"/>
      <c r="Q23" s="157"/>
    </row>
    <row r="24" spans="1:17" s="138" customFormat="1" x14ac:dyDescent="0.2">
      <c r="A24" s="97" t="s">
        <v>234</v>
      </c>
      <c r="B24" s="148"/>
      <c r="C24" s="148"/>
      <c r="D24" s="148"/>
      <c r="E24" s="149"/>
      <c r="F24" s="149"/>
      <c r="G24" s="149"/>
      <c r="H24" s="150"/>
      <c r="I24" s="151"/>
      <c r="J24" s="152"/>
      <c r="K24" s="152"/>
      <c r="L24" s="152"/>
      <c r="M24" s="152"/>
      <c r="N24" s="151"/>
      <c r="O24" s="151"/>
      <c r="P24" s="151"/>
      <c r="Q24" s="157"/>
    </row>
    <row r="25" spans="1:17" s="138" customFormat="1" x14ac:dyDescent="0.2">
      <c r="A25" s="97" t="s">
        <v>235</v>
      </c>
      <c r="B25" s="148"/>
      <c r="C25" s="148"/>
      <c r="D25" s="148"/>
      <c r="E25" s="149"/>
      <c r="F25" s="149"/>
      <c r="G25" s="149"/>
      <c r="H25" s="150"/>
      <c r="I25" s="151"/>
      <c r="J25" s="152"/>
      <c r="K25" s="152"/>
      <c r="L25" s="152"/>
      <c r="M25" s="152"/>
      <c r="N25" s="151"/>
      <c r="O25" s="151"/>
      <c r="P25" s="151"/>
      <c r="Q25" s="157"/>
    </row>
  </sheetData>
  <mergeCells count="2">
    <mergeCell ref="A6:Q6"/>
    <mergeCell ref="A5:Q5"/>
  </mergeCells>
  <conditionalFormatting sqref="I1:I4 G10:G20 I10:M20 O10:O20 I21:I55555">
    <cfRule type="expression" dxfId="138" priority="57" stopIfTrue="1">
      <formula>LEFT(#REF!,3)="TIR"</formula>
    </cfRule>
  </conditionalFormatting>
  <conditionalFormatting sqref="I7">
    <cfRule type="expression" dxfId="137" priority="62" stopIfTrue="1">
      <formula>LEFT(#REF!,3)="TIR"</formula>
    </cfRule>
  </conditionalFormatting>
  <conditionalFormatting sqref="B10:F20 H10:H20 P10:Q20">
    <cfRule type="expression" dxfId="136" priority="63" stopIfTrue="1">
      <formula>OR(LEFT(#REF!,3)="TIR",LEFT(#REF!,2)="IR")</formula>
    </cfRule>
  </conditionalFormatting>
  <conditionalFormatting sqref="A10:A20 N10:N20">
    <cfRule type="expression" dxfId="135" priority="66" stopIfTrue="1">
      <formula>#REF!&gt;0</formula>
    </cfRule>
    <cfRule type="expression" dxfId="134" priority="67" stopIfTrue="1">
      <formula>LEFT(#REF!,3)="TIR"</formula>
    </cfRule>
  </conditionalFormatting>
  <conditionalFormatting sqref="F11:F20">
    <cfRule type="expression" dxfId="133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D122-D586-425B-9BF6-66E25C07C7B7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160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137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8" customFormat="1" ht="12.75" customHeight="1" thickBot="1" x14ac:dyDescent="0.25">
      <c r="A10" s="121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86" t="s">
        <v>240</v>
      </c>
      <c r="G10" s="158"/>
      <c r="H10" s="158" t="s">
        <v>240</v>
      </c>
      <c r="I10" s="158" t="s">
        <v>240</v>
      </c>
      <c r="J10" s="158" t="s">
        <v>240</v>
      </c>
      <c r="K10" s="158" t="s">
        <v>240</v>
      </c>
      <c r="L10" s="159" t="s">
        <v>240</v>
      </c>
      <c r="M10" s="159" t="s">
        <v>240</v>
      </c>
      <c r="N10" s="160" t="s">
        <v>240</v>
      </c>
      <c r="O10" s="158"/>
      <c r="P10" s="158" t="s">
        <v>240</v>
      </c>
      <c r="Q10" s="124">
        <v>4.9999999999999998E-7</v>
      </c>
      <c r="R10" s="86" t="s">
        <v>240</v>
      </c>
      <c r="S10" s="86">
        <v>1</v>
      </c>
      <c r="T10" s="101">
        <v>0</v>
      </c>
    </row>
    <row r="11" spans="1:20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61" t="s">
        <v>240</v>
      </c>
      <c r="H11" s="161" t="s">
        <v>240</v>
      </c>
      <c r="I11" s="161" t="s">
        <v>240</v>
      </c>
      <c r="J11" s="161" t="s">
        <v>240</v>
      </c>
      <c r="K11" s="161" t="s">
        <v>240</v>
      </c>
      <c r="L11" s="162" t="s">
        <v>240</v>
      </c>
      <c r="M11" s="162" t="s">
        <v>240</v>
      </c>
      <c r="N11" s="163" t="s">
        <v>240</v>
      </c>
      <c r="O11" s="161" t="s">
        <v>240</v>
      </c>
      <c r="P11" s="161" t="s">
        <v>240</v>
      </c>
      <c r="Q11" s="143">
        <v>0</v>
      </c>
      <c r="R11" s="141" t="s">
        <v>240</v>
      </c>
      <c r="S11" s="141">
        <v>0</v>
      </c>
      <c r="T11" s="141">
        <v>0</v>
      </c>
    </row>
    <row r="12" spans="1:20" s="138" customFormat="1" x14ac:dyDescent="0.2">
      <c r="A12" s="112" t="s">
        <v>141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5" t="s">
        <v>240</v>
      </c>
      <c r="G12" s="161" t="s">
        <v>240</v>
      </c>
      <c r="H12" s="164" t="s">
        <v>240</v>
      </c>
      <c r="I12" s="164" t="s">
        <v>240</v>
      </c>
      <c r="J12" s="164" t="s">
        <v>240</v>
      </c>
      <c r="K12" s="164" t="s">
        <v>240</v>
      </c>
      <c r="L12" s="165" t="s">
        <v>240</v>
      </c>
      <c r="M12" s="165" t="s">
        <v>240</v>
      </c>
      <c r="N12" s="166" t="s">
        <v>240</v>
      </c>
      <c r="O12" s="164" t="s">
        <v>240</v>
      </c>
      <c r="P12" s="164" t="s">
        <v>240</v>
      </c>
      <c r="Q12" s="147">
        <v>0</v>
      </c>
      <c r="R12" s="145" t="s">
        <v>240</v>
      </c>
      <c r="S12" s="145">
        <v>0</v>
      </c>
      <c r="T12" s="141">
        <v>0</v>
      </c>
    </row>
    <row r="13" spans="1:20" s="138" customFormat="1" x14ac:dyDescent="0.2">
      <c r="A13" s="112" t="s">
        <v>142</v>
      </c>
      <c r="B13" s="145" t="s">
        <v>240</v>
      </c>
      <c r="C13" s="145" t="s">
        <v>240</v>
      </c>
      <c r="D13" s="145" t="s">
        <v>240</v>
      </c>
      <c r="E13" s="145" t="s">
        <v>240</v>
      </c>
      <c r="F13" s="145" t="s">
        <v>240</v>
      </c>
      <c r="G13" s="161" t="s">
        <v>240</v>
      </c>
      <c r="H13" s="164" t="s">
        <v>240</v>
      </c>
      <c r="I13" s="164" t="s">
        <v>240</v>
      </c>
      <c r="J13" s="164" t="s">
        <v>240</v>
      </c>
      <c r="K13" s="164" t="s">
        <v>240</v>
      </c>
      <c r="L13" s="165" t="s">
        <v>240</v>
      </c>
      <c r="M13" s="165" t="s">
        <v>240</v>
      </c>
      <c r="N13" s="166" t="s">
        <v>240</v>
      </c>
      <c r="O13" s="164" t="s">
        <v>240</v>
      </c>
      <c r="P13" s="164" t="s">
        <v>240</v>
      </c>
      <c r="Q13" s="147">
        <v>0</v>
      </c>
      <c r="R13" s="145" t="s">
        <v>240</v>
      </c>
      <c r="S13" s="145">
        <v>0</v>
      </c>
      <c r="T13" s="141">
        <v>0</v>
      </c>
    </row>
    <row r="14" spans="1:20" s="138" customFormat="1" x14ac:dyDescent="0.2">
      <c r="A14" s="112" t="s">
        <v>379</v>
      </c>
      <c r="B14" s="145" t="s">
        <v>240</v>
      </c>
      <c r="C14" s="145" t="s">
        <v>240</v>
      </c>
      <c r="D14" s="145" t="s">
        <v>240</v>
      </c>
      <c r="E14" s="145" t="s">
        <v>240</v>
      </c>
      <c r="F14" s="145" t="s">
        <v>240</v>
      </c>
      <c r="G14" s="161" t="s">
        <v>240</v>
      </c>
      <c r="H14" s="164" t="s">
        <v>240</v>
      </c>
      <c r="I14" s="164" t="s">
        <v>240</v>
      </c>
      <c r="J14" s="164" t="s">
        <v>240</v>
      </c>
      <c r="K14" s="164" t="s">
        <v>240</v>
      </c>
      <c r="L14" s="165" t="s">
        <v>240</v>
      </c>
      <c r="M14" s="165" t="s">
        <v>240</v>
      </c>
      <c r="N14" s="166" t="s">
        <v>240</v>
      </c>
      <c r="O14" s="164" t="s">
        <v>240</v>
      </c>
      <c r="P14" s="164" t="s">
        <v>240</v>
      </c>
      <c r="Q14" s="147">
        <v>0</v>
      </c>
      <c r="R14" s="145" t="s">
        <v>240</v>
      </c>
      <c r="S14" s="145">
        <v>0</v>
      </c>
      <c r="T14" s="141">
        <v>0</v>
      </c>
    </row>
    <row r="15" spans="1:20" s="138" customFormat="1" x14ac:dyDescent="0.2">
      <c r="A15" s="112" t="s">
        <v>380</v>
      </c>
      <c r="B15" s="145" t="s">
        <v>240</v>
      </c>
      <c r="C15" s="145" t="s">
        <v>240</v>
      </c>
      <c r="D15" s="145" t="s">
        <v>240</v>
      </c>
      <c r="E15" s="145" t="s">
        <v>240</v>
      </c>
      <c r="F15" s="145" t="s">
        <v>240</v>
      </c>
      <c r="G15" s="161" t="s">
        <v>240</v>
      </c>
      <c r="H15" s="164" t="s">
        <v>240</v>
      </c>
      <c r="I15" s="164" t="s">
        <v>240</v>
      </c>
      <c r="J15" s="164" t="s">
        <v>240</v>
      </c>
      <c r="K15" s="164" t="s">
        <v>240</v>
      </c>
      <c r="L15" s="165" t="s">
        <v>240</v>
      </c>
      <c r="M15" s="165" t="s">
        <v>240</v>
      </c>
      <c r="N15" s="166" t="s">
        <v>240</v>
      </c>
      <c r="O15" s="164" t="s">
        <v>240</v>
      </c>
      <c r="P15" s="164" t="s">
        <v>240</v>
      </c>
      <c r="Q15" s="147">
        <v>0</v>
      </c>
      <c r="R15" s="145" t="s">
        <v>240</v>
      </c>
      <c r="S15" s="145">
        <v>0</v>
      </c>
      <c r="T15" s="141">
        <v>0</v>
      </c>
    </row>
    <row r="16" spans="1:20" s="138" customFormat="1" x14ac:dyDescent="0.2">
      <c r="A16" s="112" t="s">
        <v>146</v>
      </c>
      <c r="B16" s="145" t="s">
        <v>240</v>
      </c>
      <c r="C16" s="145" t="s">
        <v>240</v>
      </c>
      <c r="D16" s="145" t="s">
        <v>240</v>
      </c>
      <c r="E16" s="145" t="s">
        <v>240</v>
      </c>
      <c r="F16" s="145" t="s">
        <v>240</v>
      </c>
      <c r="G16" s="161" t="s">
        <v>240</v>
      </c>
      <c r="H16" s="164" t="s">
        <v>240</v>
      </c>
      <c r="I16" s="164" t="s">
        <v>240</v>
      </c>
      <c r="J16" s="164" t="s">
        <v>240</v>
      </c>
      <c r="K16" s="164" t="s">
        <v>240</v>
      </c>
      <c r="L16" s="165" t="s">
        <v>240</v>
      </c>
      <c r="M16" s="165" t="s">
        <v>240</v>
      </c>
      <c r="N16" s="166" t="s">
        <v>240</v>
      </c>
      <c r="O16" s="164" t="s">
        <v>240</v>
      </c>
      <c r="P16" s="164" t="s">
        <v>240</v>
      </c>
      <c r="Q16" s="147">
        <v>0</v>
      </c>
      <c r="R16" s="145" t="s">
        <v>240</v>
      </c>
      <c r="S16" s="145">
        <v>0</v>
      </c>
      <c r="T16" s="141">
        <v>0</v>
      </c>
    </row>
    <row r="17" spans="1:20" s="138" customFormat="1" x14ac:dyDescent="0.2">
      <c r="A17" s="202" t="s">
        <v>147</v>
      </c>
      <c r="B17" s="203" t="s">
        <v>240</v>
      </c>
      <c r="C17" s="203" t="s">
        <v>240</v>
      </c>
      <c r="D17" s="203" t="s">
        <v>240</v>
      </c>
      <c r="E17" s="203" t="s">
        <v>240</v>
      </c>
      <c r="F17" s="203" t="s">
        <v>240</v>
      </c>
      <c r="G17" s="243" t="s">
        <v>240</v>
      </c>
      <c r="H17" s="244" t="s">
        <v>240</v>
      </c>
      <c r="I17" s="244" t="s">
        <v>240</v>
      </c>
      <c r="J17" s="244" t="s">
        <v>240</v>
      </c>
      <c r="K17" s="244" t="s">
        <v>240</v>
      </c>
      <c r="L17" s="245" t="s">
        <v>240</v>
      </c>
      <c r="M17" s="245" t="s">
        <v>240</v>
      </c>
      <c r="N17" s="246" t="s">
        <v>240</v>
      </c>
      <c r="O17" s="244" t="s">
        <v>240</v>
      </c>
      <c r="P17" s="244" t="s">
        <v>240</v>
      </c>
      <c r="Q17" s="207">
        <v>0</v>
      </c>
      <c r="R17" s="203" t="s">
        <v>240</v>
      </c>
      <c r="S17" s="203">
        <v>0</v>
      </c>
      <c r="T17" s="242">
        <v>0</v>
      </c>
    </row>
    <row r="18" spans="1:20" s="138" customFormat="1" x14ac:dyDescent="0.2">
      <c r="A18" s="97" t="s">
        <v>231</v>
      </c>
      <c r="B18" s="148"/>
      <c r="C18" s="148"/>
      <c r="D18" s="148"/>
      <c r="E18" s="148"/>
      <c r="F18" s="97"/>
      <c r="G18" s="167"/>
      <c r="H18" s="167"/>
      <c r="I18" s="167"/>
      <c r="J18" s="168"/>
      <c r="K18" s="153"/>
      <c r="L18" s="169"/>
      <c r="M18" s="169"/>
      <c r="N18" s="169"/>
      <c r="O18" s="153"/>
      <c r="P18" s="153"/>
      <c r="Q18" s="153"/>
    </row>
    <row r="19" spans="1:20" s="138" customFormat="1" x14ac:dyDescent="0.2">
      <c r="A19" s="97" t="s">
        <v>232</v>
      </c>
      <c r="B19" s="148"/>
      <c r="C19" s="148"/>
      <c r="D19" s="148"/>
      <c r="E19" s="148"/>
      <c r="F19" s="97"/>
      <c r="G19" s="167"/>
      <c r="H19" s="167"/>
      <c r="I19" s="167"/>
      <c r="J19" s="168"/>
      <c r="K19" s="153"/>
      <c r="L19" s="169"/>
      <c r="M19" s="169"/>
      <c r="N19" s="169"/>
      <c r="O19" s="153"/>
      <c r="P19" s="153"/>
      <c r="Q19" s="153"/>
    </row>
    <row r="20" spans="1:20" s="138" customFormat="1" x14ac:dyDescent="0.2">
      <c r="A20" s="97" t="s">
        <v>233</v>
      </c>
      <c r="B20" s="148"/>
      <c r="C20" s="148"/>
      <c r="D20" s="148"/>
      <c r="E20" s="148"/>
      <c r="F20" s="97"/>
      <c r="G20" s="167"/>
      <c r="H20" s="167"/>
      <c r="I20" s="167"/>
      <c r="J20" s="168"/>
      <c r="K20" s="153"/>
      <c r="L20" s="169"/>
      <c r="M20" s="169"/>
      <c r="N20" s="169"/>
      <c r="O20" s="153"/>
      <c r="P20" s="153"/>
      <c r="Q20" s="153"/>
    </row>
    <row r="21" spans="1:20" s="138" customFormat="1" x14ac:dyDescent="0.2">
      <c r="A21" s="97" t="s">
        <v>234</v>
      </c>
      <c r="B21" s="148"/>
      <c r="C21" s="148"/>
      <c r="D21" s="148"/>
      <c r="E21" s="148"/>
      <c r="F21" s="97"/>
      <c r="G21" s="167"/>
      <c r="H21" s="167"/>
      <c r="I21" s="167"/>
      <c r="J21" s="168"/>
      <c r="K21" s="153"/>
      <c r="L21" s="169"/>
      <c r="M21" s="169"/>
      <c r="N21" s="169"/>
      <c r="O21" s="153"/>
      <c r="P21" s="153"/>
      <c r="Q21" s="153"/>
    </row>
    <row r="22" spans="1:20" s="138" customFormat="1" x14ac:dyDescent="0.2">
      <c r="A22" s="97" t="s">
        <v>235</v>
      </c>
      <c r="B22" s="148"/>
      <c r="C22" s="148"/>
      <c r="D22" s="148"/>
      <c r="E22" s="148"/>
      <c r="F22" s="97"/>
      <c r="G22" s="167"/>
      <c r="H22" s="167"/>
      <c r="I22" s="167"/>
      <c r="J22" s="168"/>
      <c r="K22" s="153"/>
      <c r="L22" s="169"/>
      <c r="M22" s="169"/>
      <c r="N22" s="169"/>
      <c r="O22" s="153"/>
      <c r="P22" s="153"/>
      <c r="Q22" s="153"/>
    </row>
  </sheetData>
  <mergeCells count="2">
    <mergeCell ref="A6:T6"/>
    <mergeCell ref="A5:T5"/>
  </mergeCells>
  <conditionalFormatting sqref="K1:K4 J10:J17 L10:P17 R10:R17 K18:K55552">
    <cfRule type="expression" dxfId="132" priority="84" stopIfTrue="1">
      <formula>LEFT(#REF!,3)="TIR"</formula>
    </cfRule>
  </conditionalFormatting>
  <conditionalFormatting sqref="L7">
    <cfRule type="expression" dxfId="131" priority="89" stopIfTrue="1">
      <formula>LEFT(#REF!,3)="TIR"</formula>
    </cfRule>
  </conditionalFormatting>
  <conditionalFormatting sqref="B10:I17 K10:K17">
    <cfRule type="expression" dxfId="130" priority="90" stopIfTrue="1">
      <formula>LEFT(#REF!,3)="TIR"</formula>
    </cfRule>
  </conditionalFormatting>
  <conditionalFormatting sqref="A10:A17 Q10:Q17">
    <cfRule type="expression" dxfId="129" priority="92" stopIfTrue="1">
      <formula>#REF!&gt;0</formula>
    </cfRule>
    <cfRule type="expression" dxfId="128" priority="93" stopIfTrue="1">
      <formula>LEFT(#REF!,3)="TIR"</formula>
    </cfRule>
  </conditionalFormatting>
  <conditionalFormatting sqref="S10:T17">
    <cfRule type="expression" dxfId="127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9659-6719-4133-BD92-55EC4B5A9103}">
  <sheetPr codeName="גיליון5">
    <pageSetUpPr fitToPage="1"/>
  </sheetPr>
  <dimension ref="A1:T25"/>
  <sheetViews>
    <sheetView rightToLeft="1" zoomScale="80" zoomScaleNormal="80" workbookViewId="0">
      <selection activeCell="A7" sqref="A7:T20"/>
    </sheetView>
  </sheetViews>
  <sheetFormatPr defaultRowHeight="12.75" x14ac:dyDescent="0.2"/>
  <cols>
    <col min="1" max="1" width="25" style="23" bestFit="1" customWidth="1"/>
    <col min="2" max="2" width="14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7.28515625" style="22" bestFit="1" customWidth="1"/>
    <col min="7" max="7" width="8.5703125" style="78" bestFit="1" customWidth="1"/>
    <col min="8" max="8" width="11.140625" style="78" customWidth="1"/>
    <col min="9" max="9" width="14.140625" style="78" customWidth="1"/>
    <col min="10" max="10" width="7.85546875" style="50" customWidth="1"/>
    <col min="11" max="11" width="11.28515625" style="80" customWidth="1"/>
    <col min="12" max="12" width="12.5703125" style="82" customWidth="1"/>
    <col min="13" max="13" width="14.140625" style="82" customWidth="1"/>
    <col min="14" max="14" width="10.5703125" style="82" customWidth="1"/>
    <col min="15" max="15" width="8.85546875" style="80" bestFit="1" customWidth="1"/>
    <col min="16" max="16" width="16.5703125" style="80" customWidth="1"/>
    <col min="17" max="17" width="10.42578125" style="80" customWidth="1"/>
    <col min="18" max="18" width="22" style="84" customWidth="1"/>
    <col min="19" max="19" width="25.42578125" style="84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78"/>
      <c r="H1" s="78"/>
      <c r="I1" s="78"/>
      <c r="J1" s="50"/>
      <c r="K1" s="80"/>
      <c r="L1" s="81"/>
      <c r="M1" s="81"/>
      <c r="N1" s="81"/>
      <c r="O1" s="80"/>
      <c r="P1" s="80"/>
      <c r="Q1" s="80"/>
      <c r="R1" s="84"/>
      <c r="S1" s="84"/>
      <c r="T1" s="57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78"/>
      <c r="H2" s="78"/>
      <c r="I2" s="78"/>
      <c r="J2" s="50"/>
      <c r="K2" s="80"/>
      <c r="L2" s="81"/>
      <c r="M2" s="81"/>
      <c r="N2" s="81"/>
      <c r="O2" s="80"/>
      <c r="P2" s="80"/>
      <c r="Q2" s="80"/>
      <c r="R2" s="84"/>
      <c r="S2" s="84"/>
      <c r="T2" s="57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78"/>
      <c r="H3" s="78"/>
      <c r="I3" s="78"/>
      <c r="J3" s="50"/>
      <c r="K3" s="80"/>
      <c r="L3" s="81"/>
      <c r="M3" s="81"/>
      <c r="N3" s="81"/>
      <c r="O3" s="80"/>
      <c r="P3" s="80"/>
      <c r="Q3" s="80"/>
      <c r="R3" s="84"/>
      <c r="S3" s="84"/>
      <c r="T3" s="57"/>
    </row>
    <row r="4" spans="1:20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22"/>
      <c r="G4" s="78"/>
      <c r="H4" s="78"/>
      <c r="I4" s="78"/>
      <c r="J4" s="50"/>
      <c r="K4" s="80"/>
      <c r="L4" s="81"/>
      <c r="M4" s="81"/>
      <c r="N4" s="81"/>
      <c r="O4" s="80"/>
      <c r="P4" s="80"/>
      <c r="Q4" s="80"/>
      <c r="R4" s="84"/>
      <c r="S4" s="84"/>
      <c r="T4" s="57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160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137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69"/>
      <c r="I8" s="70" t="s">
        <v>40</v>
      </c>
      <c r="J8" s="69" t="s">
        <v>16</v>
      </c>
      <c r="K8" s="43"/>
      <c r="L8" s="67" t="s">
        <v>9</v>
      </c>
      <c r="M8" s="67" t="s">
        <v>9</v>
      </c>
      <c r="N8" s="15" t="s">
        <v>136</v>
      </c>
      <c r="O8" s="67"/>
      <c r="P8" s="15" t="s">
        <v>138</v>
      </c>
      <c r="Q8" s="15" t="s">
        <v>138</v>
      </c>
      <c r="R8" s="71" t="s">
        <v>9</v>
      </c>
      <c r="S8" s="71" t="s">
        <v>9</v>
      </c>
      <c r="T8" s="68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8" customFormat="1" ht="12.75" customHeight="1" thickBot="1" x14ac:dyDescent="0.25">
      <c r="A10" s="121" t="s">
        <v>53</v>
      </c>
      <c r="B10" s="86"/>
      <c r="C10" s="86"/>
      <c r="D10" s="86"/>
      <c r="E10" s="86"/>
      <c r="F10" s="86"/>
      <c r="G10" s="122"/>
      <c r="H10" s="122"/>
      <c r="I10" s="122"/>
      <c r="J10" s="122"/>
      <c r="K10" s="122"/>
      <c r="L10" s="86"/>
      <c r="M10" s="86"/>
      <c r="N10" s="125"/>
      <c r="O10" s="122"/>
      <c r="P10" s="124" t="s">
        <v>240</v>
      </c>
      <c r="Q10" s="126">
        <v>127.61224060000001</v>
      </c>
      <c r="R10" s="86" t="s">
        <v>240</v>
      </c>
      <c r="S10" s="86">
        <v>1</v>
      </c>
      <c r="T10" s="101">
        <v>4.9317410882300527E-4</v>
      </c>
    </row>
    <row r="11" spans="1:20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2" t="s">
        <v>240</v>
      </c>
      <c r="H11" s="142" t="s">
        <v>240</v>
      </c>
      <c r="I11" s="142" t="s">
        <v>240</v>
      </c>
      <c r="J11" s="142" t="s">
        <v>240</v>
      </c>
      <c r="K11" s="142" t="s">
        <v>240</v>
      </c>
      <c r="L11" s="141" t="s">
        <v>240</v>
      </c>
      <c r="M11" s="141" t="s">
        <v>240</v>
      </c>
      <c r="N11" s="154" t="s">
        <v>240</v>
      </c>
      <c r="O11" s="142" t="s">
        <v>240</v>
      </c>
      <c r="P11" s="143" t="s">
        <v>240</v>
      </c>
      <c r="Q11" s="155">
        <v>6.0115803999999997</v>
      </c>
      <c r="R11" s="141" t="s">
        <v>240</v>
      </c>
      <c r="S11" s="141">
        <v>4.7108179996958689E-2</v>
      </c>
      <c r="T11" s="141">
        <v>2.3232534688273827E-5</v>
      </c>
    </row>
    <row r="12" spans="1:20" s="138" customFormat="1" x14ac:dyDescent="0.2">
      <c r="A12" s="112" t="s">
        <v>141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5" t="s">
        <v>240</v>
      </c>
      <c r="G12" s="146" t="s">
        <v>240</v>
      </c>
      <c r="H12" s="146" t="s">
        <v>240</v>
      </c>
      <c r="I12" s="146" t="s">
        <v>240</v>
      </c>
      <c r="J12" s="146" t="s">
        <v>240</v>
      </c>
      <c r="K12" s="146" t="s">
        <v>240</v>
      </c>
      <c r="L12" s="145" t="s">
        <v>240</v>
      </c>
      <c r="M12" s="145" t="s">
        <v>240</v>
      </c>
      <c r="N12" s="156" t="s">
        <v>240</v>
      </c>
      <c r="O12" s="146" t="s">
        <v>240</v>
      </c>
      <c r="P12" s="147" t="s">
        <v>240</v>
      </c>
      <c r="Q12" s="147">
        <v>0</v>
      </c>
      <c r="R12" s="145" t="s">
        <v>240</v>
      </c>
      <c r="S12" s="145">
        <v>0</v>
      </c>
      <c r="T12" s="145">
        <v>0</v>
      </c>
    </row>
    <row r="13" spans="1:20" s="138" customFormat="1" x14ac:dyDescent="0.2">
      <c r="A13" s="112" t="s">
        <v>142</v>
      </c>
      <c r="B13" s="145" t="s">
        <v>240</v>
      </c>
      <c r="C13" s="145" t="s">
        <v>240</v>
      </c>
      <c r="D13" s="145" t="s">
        <v>240</v>
      </c>
      <c r="E13" s="145" t="s">
        <v>240</v>
      </c>
      <c r="F13" s="145" t="s">
        <v>240</v>
      </c>
      <c r="G13" s="146" t="s">
        <v>240</v>
      </c>
      <c r="H13" s="146" t="s">
        <v>240</v>
      </c>
      <c r="I13" s="146" t="s">
        <v>240</v>
      </c>
      <c r="J13" s="146" t="s">
        <v>240</v>
      </c>
      <c r="K13" s="146" t="s">
        <v>240</v>
      </c>
      <c r="L13" s="145" t="s">
        <v>240</v>
      </c>
      <c r="M13" s="145" t="s">
        <v>240</v>
      </c>
      <c r="N13" s="156" t="s">
        <v>240</v>
      </c>
      <c r="O13" s="146" t="s">
        <v>240</v>
      </c>
      <c r="P13" s="147" t="s">
        <v>240</v>
      </c>
      <c r="Q13" s="147">
        <v>6.0115800999999998</v>
      </c>
      <c r="R13" s="145" t="s">
        <v>240</v>
      </c>
      <c r="S13" s="145">
        <v>4.7108177646087032E-2</v>
      </c>
      <c r="T13" s="145">
        <v>2.3232533528884789E-5</v>
      </c>
    </row>
    <row r="14" spans="1:20" x14ac:dyDescent="0.2">
      <c r="A14" s="30" t="s">
        <v>381</v>
      </c>
      <c r="B14" s="38" t="s">
        <v>382</v>
      </c>
      <c r="C14" s="38" t="s">
        <v>383</v>
      </c>
      <c r="D14" s="38" t="s">
        <v>240</v>
      </c>
      <c r="E14" s="38" t="s">
        <v>384</v>
      </c>
      <c r="F14" s="38" t="s">
        <v>215</v>
      </c>
      <c r="G14" s="79" t="s">
        <v>385</v>
      </c>
      <c r="H14" s="79" t="s">
        <v>240</v>
      </c>
      <c r="I14" s="79" t="s">
        <v>386</v>
      </c>
      <c r="J14" s="79">
        <v>3.46</v>
      </c>
      <c r="K14" s="79" t="s">
        <v>247</v>
      </c>
      <c r="L14" s="38">
        <v>7.2000000000000008E-2</v>
      </c>
      <c r="M14" s="38">
        <v>0.45</v>
      </c>
      <c r="N14" s="88">
        <v>45132.05</v>
      </c>
      <c r="O14" s="79">
        <v>13.320000000000002</v>
      </c>
      <c r="P14" s="104">
        <v>0</v>
      </c>
      <c r="Q14" s="104">
        <v>6.0115800000000004</v>
      </c>
      <c r="R14" s="38">
        <v>7.7305105620766954E-5</v>
      </c>
      <c r="S14" s="38">
        <v>4.7108176862463144E-2</v>
      </c>
      <c r="T14" s="38">
        <v>2.3232533142421778E-5</v>
      </c>
    </row>
    <row r="15" spans="1:20" s="138" customFormat="1" x14ac:dyDescent="0.2">
      <c r="A15" s="112" t="s">
        <v>379</v>
      </c>
      <c r="B15" s="145" t="s">
        <v>240</v>
      </c>
      <c r="C15" s="145" t="s">
        <v>240</v>
      </c>
      <c r="D15" s="145" t="s">
        <v>240</v>
      </c>
      <c r="E15" s="145" t="s">
        <v>240</v>
      </c>
      <c r="F15" s="145" t="s">
        <v>240</v>
      </c>
      <c r="G15" s="146" t="s">
        <v>240</v>
      </c>
      <c r="H15" s="146" t="s">
        <v>240</v>
      </c>
      <c r="I15" s="146" t="s">
        <v>240</v>
      </c>
      <c r="J15" s="146" t="s">
        <v>240</v>
      </c>
      <c r="K15" s="146" t="s">
        <v>240</v>
      </c>
      <c r="L15" s="145" t="s">
        <v>240</v>
      </c>
      <c r="M15" s="145" t="s">
        <v>240</v>
      </c>
      <c r="N15" s="156" t="s">
        <v>240</v>
      </c>
      <c r="O15" s="146" t="s">
        <v>240</v>
      </c>
      <c r="P15" s="147" t="s">
        <v>240</v>
      </c>
      <c r="Q15" s="147">
        <v>0</v>
      </c>
      <c r="R15" s="145" t="s">
        <v>240</v>
      </c>
      <c r="S15" s="145">
        <v>0</v>
      </c>
      <c r="T15" s="145">
        <v>0</v>
      </c>
    </row>
    <row r="16" spans="1:20" s="138" customFormat="1" x14ac:dyDescent="0.2">
      <c r="A16" s="112" t="s">
        <v>387</v>
      </c>
      <c r="B16" s="145" t="s">
        <v>240</v>
      </c>
      <c r="C16" s="145" t="s">
        <v>240</v>
      </c>
      <c r="D16" s="145" t="s">
        <v>240</v>
      </c>
      <c r="E16" s="145" t="s">
        <v>240</v>
      </c>
      <c r="F16" s="145" t="s">
        <v>240</v>
      </c>
      <c r="G16" s="146" t="s">
        <v>240</v>
      </c>
      <c r="H16" s="146" t="s">
        <v>240</v>
      </c>
      <c r="I16" s="146" t="s">
        <v>240</v>
      </c>
      <c r="J16" s="146" t="s">
        <v>240</v>
      </c>
      <c r="K16" s="146" t="s">
        <v>240</v>
      </c>
      <c r="L16" s="145" t="s">
        <v>240</v>
      </c>
      <c r="M16" s="145" t="s">
        <v>240</v>
      </c>
      <c r="N16" s="156" t="s">
        <v>240</v>
      </c>
      <c r="O16" s="146" t="s">
        <v>240</v>
      </c>
      <c r="P16" s="147" t="s">
        <v>240</v>
      </c>
      <c r="Q16" s="147">
        <v>0</v>
      </c>
      <c r="R16" s="145" t="s">
        <v>240</v>
      </c>
      <c r="S16" s="145">
        <v>0</v>
      </c>
      <c r="T16" s="145">
        <v>0</v>
      </c>
    </row>
    <row r="17" spans="1:20" s="138" customFormat="1" x14ac:dyDescent="0.2">
      <c r="A17" s="112" t="s">
        <v>376</v>
      </c>
      <c r="B17" s="145" t="s">
        <v>240</v>
      </c>
      <c r="C17" s="145" t="s">
        <v>240</v>
      </c>
      <c r="D17" s="145" t="s">
        <v>240</v>
      </c>
      <c r="E17" s="145" t="s">
        <v>240</v>
      </c>
      <c r="F17" s="145" t="s">
        <v>240</v>
      </c>
      <c r="G17" s="146" t="s">
        <v>240</v>
      </c>
      <c r="H17" s="146" t="s">
        <v>240</v>
      </c>
      <c r="I17" s="146" t="s">
        <v>240</v>
      </c>
      <c r="J17" s="146" t="s">
        <v>240</v>
      </c>
      <c r="K17" s="146" t="s">
        <v>240</v>
      </c>
      <c r="L17" s="145" t="s">
        <v>240</v>
      </c>
      <c r="M17" s="145" t="s">
        <v>240</v>
      </c>
      <c r="N17" s="156" t="s">
        <v>240</v>
      </c>
      <c r="O17" s="146" t="s">
        <v>240</v>
      </c>
      <c r="P17" s="147" t="s">
        <v>240</v>
      </c>
      <c r="Q17" s="147">
        <v>121.60066019999999</v>
      </c>
      <c r="R17" s="145" t="s">
        <v>240</v>
      </c>
      <c r="S17" s="145">
        <v>0.95289182000304129</v>
      </c>
      <c r="T17" s="145">
        <v>4.6994157413473143E-4</v>
      </c>
    </row>
    <row r="18" spans="1:20" s="138" customFormat="1" x14ac:dyDescent="0.2">
      <c r="A18" s="112" t="s">
        <v>146</v>
      </c>
      <c r="B18" s="145" t="s">
        <v>240</v>
      </c>
      <c r="C18" s="145" t="s">
        <v>240</v>
      </c>
      <c r="D18" s="145" t="s">
        <v>240</v>
      </c>
      <c r="E18" s="145" t="s">
        <v>240</v>
      </c>
      <c r="F18" s="145" t="s">
        <v>240</v>
      </c>
      <c r="G18" s="146" t="s">
        <v>240</v>
      </c>
      <c r="H18" s="146" t="s">
        <v>240</v>
      </c>
      <c r="I18" s="146" t="s">
        <v>240</v>
      </c>
      <c r="J18" s="146" t="s">
        <v>240</v>
      </c>
      <c r="K18" s="146" t="s">
        <v>240</v>
      </c>
      <c r="L18" s="145" t="s">
        <v>240</v>
      </c>
      <c r="M18" s="145" t="s">
        <v>240</v>
      </c>
      <c r="N18" s="156" t="s">
        <v>240</v>
      </c>
      <c r="O18" s="146" t="s">
        <v>240</v>
      </c>
      <c r="P18" s="147" t="s">
        <v>240</v>
      </c>
      <c r="Q18" s="147">
        <v>121.60066010000001</v>
      </c>
      <c r="R18" s="145" t="s">
        <v>240</v>
      </c>
      <c r="S18" s="145">
        <v>0.95289181921941746</v>
      </c>
      <c r="T18" s="145">
        <v>4.6994157374826849E-4</v>
      </c>
    </row>
    <row r="19" spans="1:20" x14ac:dyDescent="0.2">
      <c r="A19" s="30" t="s">
        <v>388</v>
      </c>
      <c r="B19" s="38" t="s">
        <v>389</v>
      </c>
      <c r="C19" s="38" t="s">
        <v>221</v>
      </c>
      <c r="D19" s="38" t="s">
        <v>390</v>
      </c>
      <c r="E19" s="38" t="s">
        <v>240</v>
      </c>
      <c r="F19" s="38" t="s">
        <v>184</v>
      </c>
      <c r="G19" s="79" t="s">
        <v>391</v>
      </c>
      <c r="H19" s="79" t="s">
        <v>354</v>
      </c>
      <c r="I19" s="79" t="s">
        <v>392</v>
      </c>
      <c r="J19" s="79">
        <v>4.5999999999999999E-2</v>
      </c>
      <c r="K19" s="79" t="s">
        <v>128</v>
      </c>
      <c r="L19" s="38">
        <v>0.04</v>
      </c>
      <c r="M19" s="38">
        <v>1.1430000000000001E-2</v>
      </c>
      <c r="N19" s="88">
        <v>30000</v>
      </c>
      <c r="O19" s="79">
        <v>103.9242</v>
      </c>
      <c r="P19" s="104">
        <v>0</v>
      </c>
      <c r="Q19" s="104">
        <v>121.60066</v>
      </c>
      <c r="R19" s="38">
        <v>2.2528103809502356E-4</v>
      </c>
      <c r="S19" s="38">
        <v>0.95289181843579351</v>
      </c>
      <c r="T19" s="38">
        <v>4.6994157336180544E-4</v>
      </c>
    </row>
    <row r="20" spans="1:20" s="138" customFormat="1" x14ac:dyDescent="0.2">
      <c r="A20" s="202" t="s">
        <v>147</v>
      </c>
      <c r="B20" s="203" t="s">
        <v>240</v>
      </c>
      <c r="C20" s="203" t="s">
        <v>240</v>
      </c>
      <c r="D20" s="203" t="s">
        <v>240</v>
      </c>
      <c r="E20" s="203" t="s">
        <v>240</v>
      </c>
      <c r="F20" s="203" t="s">
        <v>240</v>
      </c>
      <c r="G20" s="204" t="s">
        <v>240</v>
      </c>
      <c r="H20" s="204" t="s">
        <v>240</v>
      </c>
      <c r="I20" s="204" t="s">
        <v>240</v>
      </c>
      <c r="J20" s="204" t="s">
        <v>240</v>
      </c>
      <c r="K20" s="204" t="s">
        <v>240</v>
      </c>
      <c r="L20" s="203" t="s">
        <v>240</v>
      </c>
      <c r="M20" s="203" t="s">
        <v>240</v>
      </c>
      <c r="N20" s="205" t="s">
        <v>240</v>
      </c>
      <c r="O20" s="204" t="s">
        <v>240</v>
      </c>
      <c r="P20" s="207" t="s">
        <v>240</v>
      </c>
      <c r="Q20" s="207">
        <v>0</v>
      </c>
      <c r="R20" s="203" t="s">
        <v>240</v>
      </c>
      <c r="S20" s="203">
        <v>0</v>
      </c>
      <c r="T20" s="203">
        <v>0</v>
      </c>
    </row>
    <row r="21" spans="1:20" s="138" customFormat="1" x14ac:dyDescent="0.2">
      <c r="A21" s="97" t="s">
        <v>231</v>
      </c>
      <c r="B21" s="148"/>
      <c r="C21" s="148"/>
      <c r="D21" s="148"/>
      <c r="E21" s="148"/>
      <c r="F21" s="148"/>
      <c r="G21" s="149"/>
      <c r="H21" s="149"/>
      <c r="I21" s="149"/>
      <c r="J21" s="150"/>
      <c r="K21" s="151"/>
      <c r="L21" s="152"/>
      <c r="M21" s="152"/>
      <c r="N21" s="152"/>
      <c r="O21" s="151"/>
      <c r="P21" s="151"/>
      <c r="Q21" s="151"/>
      <c r="R21" s="157"/>
      <c r="S21" s="157"/>
      <c r="T21" s="157"/>
    </row>
    <row r="22" spans="1:20" s="138" customFormat="1" x14ac:dyDescent="0.2">
      <c r="A22" s="97" t="s">
        <v>232</v>
      </c>
      <c r="B22" s="148"/>
      <c r="C22" s="148"/>
      <c r="D22" s="148"/>
      <c r="E22" s="148"/>
      <c r="F22" s="148"/>
      <c r="G22" s="149"/>
      <c r="H22" s="149"/>
      <c r="I22" s="149"/>
      <c r="J22" s="150"/>
      <c r="K22" s="151"/>
      <c r="L22" s="152"/>
      <c r="M22" s="152"/>
      <c r="N22" s="152"/>
      <c r="O22" s="151"/>
      <c r="P22" s="151"/>
      <c r="Q22" s="151"/>
      <c r="R22" s="157"/>
      <c r="S22" s="157"/>
      <c r="T22" s="157"/>
    </row>
    <row r="23" spans="1:20" s="138" customFormat="1" x14ac:dyDescent="0.2">
      <c r="A23" s="97" t="s">
        <v>233</v>
      </c>
      <c r="B23" s="148"/>
      <c r="C23" s="148"/>
      <c r="D23" s="148"/>
      <c r="E23" s="148"/>
      <c r="F23" s="148"/>
      <c r="G23" s="149"/>
      <c r="H23" s="149"/>
      <c r="I23" s="149"/>
      <c r="J23" s="150"/>
      <c r="K23" s="151"/>
      <c r="L23" s="152"/>
      <c r="M23" s="152"/>
      <c r="N23" s="152"/>
      <c r="O23" s="151"/>
      <c r="P23" s="151"/>
      <c r="Q23" s="151"/>
      <c r="R23" s="157"/>
      <c r="S23" s="157"/>
      <c r="T23" s="157"/>
    </row>
    <row r="24" spans="1:20" s="138" customFormat="1" x14ac:dyDescent="0.2">
      <c r="A24" s="97" t="s">
        <v>234</v>
      </c>
      <c r="B24" s="148"/>
      <c r="C24" s="148"/>
      <c r="D24" s="148"/>
      <c r="E24" s="148"/>
      <c r="F24" s="148"/>
      <c r="G24" s="149"/>
      <c r="H24" s="149"/>
      <c r="I24" s="149"/>
      <c r="J24" s="150"/>
      <c r="K24" s="151"/>
      <c r="L24" s="152"/>
      <c r="M24" s="152"/>
      <c r="N24" s="152"/>
      <c r="O24" s="151"/>
      <c r="P24" s="151"/>
      <c r="Q24" s="151"/>
      <c r="R24" s="157"/>
      <c r="S24" s="157"/>
      <c r="T24" s="157"/>
    </row>
    <row r="25" spans="1:20" s="138" customFormat="1" x14ac:dyDescent="0.2">
      <c r="A25" s="97" t="s">
        <v>235</v>
      </c>
      <c r="B25" s="148"/>
      <c r="C25" s="148"/>
      <c r="D25" s="148"/>
      <c r="E25" s="148"/>
      <c r="F25" s="148"/>
      <c r="G25" s="149"/>
      <c r="H25" s="149"/>
      <c r="I25" s="149"/>
      <c r="J25" s="150"/>
      <c r="K25" s="151"/>
      <c r="L25" s="152"/>
      <c r="M25" s="152"/>
      <c r="N25" s="152"/>
      <c r="O25" s="151"/>
      <c r="P25" s="151"/>
      <c r="Q25" s="151"/>
      <c r="R25" s="157"/>
      <c r="S25" s="157"/>
      <c r="T25" s="157"/>
    </row>
  </sheetData>
  <mergeCells count="2">
    <mergeCell ref="A6:T6"/>
    <mergeCell ref="A5:T5"/>
  </mergeCells>
  <conditionalFormatting sqref="B11:I20 K11:K20 S11:T20">
    <cfRule type="expression" dxfId="126" priority="101" stopIfTrue="1">
      <formula>OR(LEFT(#REF!,3)="TIR",LEFT(#REF!,2)="IR")</formula>
    </cfRule>
  </conditionalFormatting>
  <conditionalFormatting sqref="A11:A20 P11:Q20">
    <cfRule type="expression" dxfId="125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68F0-2EE9-4B95-8BFB-2F00200B2D68}">
  <sheetPr codeName="גיליון6">
    <pageSetUpPr fitToPage="1"/>
  </sheetPr>
  <dimension ref="A1:S286"/>
  <sheetViews>
    <sheetView rightToLeft="1" topLeftCell="A7" zoomScale="80" zoomScaleNormal="80" workbookViewId="0">
      <selection activeCell="A7" sqref="A7:N281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8" bestFit="1" customWidth="1"/>
    <col min="8" max="8" width="10.85546875" style="78" bestFit="1" customWidth="1"/>
    <col min="9" max="9" width="11.42578125" style="78" bestFit="1" customWidth="1"/>
    <col min="10" max="10" width="16.5703125" style="78" customWidth="1"/>
    <col min="11" max="11" width="12" style="50" bestFit="1" customWidth="1"/>
    <col min="12" max="12" width="22" style="80" customWidth="1"/>
    <col min="13" max="13" width="25.42578125" style="80" customWidth="1"/>
    <col min="14" max="14" width="20.7109375" style="82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78"/>
      <c r="H1" s="78"/>
      <c r="I1" s="78"/>
      <c r="J1" s="78"/>
      <c r="K1" s="50"/>
      <c r="L1" s="80"/>
      <c r="M1" s="80"/>
      <c r="N1" s="81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78"/>
      <c r="H2" s="78"/>
      <c r="I2" s="78"/>
      <c r="J2" s="78"/>
      <c r="K2" s="50"/>
      <c r="L2" s="80"/>
      <c r="M2" s="80"/>
      <c r="N2" s="81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78"/>
      <c r="H3" s="78"/>
      <c r="I3" s="78"/>
      <c r="J3" s="78"/>
      <c r="K3" s="50"/>
      <c r="L3" s="80"/>
      <c r="M3" s="80"/>
      <c r="N3" s="81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22"/>
      <c r="G4" s="78"/>
      <c r="H4" s="78"/>
      <c r="I4" s="78"/>
      <c r="J4" s="78"/>
      <c r="K4" s="50"/>
      <c r="L4" s="80"/>
      <c r="M4" s="80"/>
      <c r="N4" s="81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6" t="s">
        <v>160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6</v>
      </c>
      <c r="H7" s="108" t="s">
        <v>67</v>
      </c>
      <c r="I7" s="108" t="s">
        <v>68</v>
      </c>
      <c r="J7" s="108" t="s">
        <v>137</v>
      </c>
      <c r="K7" s="108" t="s">
        <v>7</v>
      </c>
      <c r="L7" s="108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7"/>
      <c r="J8" s="15" t="s">
        <v>138</v>
      </c>
      <c r="K8" s="15" t="s">
        <v>138</v>
      </c>
      <c r="L8" s="67" t="s">
        <v>9</v>
      </c>
      <c r="M8" s="71" t="s">
        <v>9</v>
      </c>
      <c r="N8" s="68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6">
        <v>12</v>
      </c>
      <c r="N9" s="61">
        <v>13</v>
      </c>
    </row>
    <row r="10" spans="1:19" s="138" customFormat="1" ht="12.75" customHeight="1" thickBot="1" x14ac:dyDescent="0.25">
      <c r="A10" s="170" t="s">
        <v>59</v>
      </c>
      <c r="B10" s="89" t="s">
        <v>240</v>
      </c>
      <c r="C10" s="89" t="s">
        <v>240</v>
      </c>
      <c r="D10" s="89" t="s">
        <v>240</v>
      </c>
      <c r="E10" s="89" t="s">
        <v>240</v>
      </c>
      <c r="F10" s="89" t="s">
        <v>240</v>
      </c>
      <c r="G10" s="171" t="s">
        <v>240</v>
      </c>
      <c r="H10" s="172" t="s">
        <v>240</v>
      </c>
      <c r="I10" s="171" t="s">
        <v>240</v>
      </c>
      <c r="J10" s="171" t="s">
        <v>240</v>
      </c>
      <c r="K10" s="129">
        <v>143253.13715783032</v>
      </c>
      <c r="L10" s="89" t="s">
        <v>240</v>
      </c>
      <c r="M10" s="89">
        <v>1</v>
      </c>
      <c r="N10" s="102">
        <v>0.55362038877885444</v>
      </c>
    </row>
    <row r="11" spans="1:19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1" t="s">
        <v>240</v>
      </c>
      <c r="G11" s="142" t="s">
        <v>240</v>
      </c>
      <c r="H11" s="154" t="s">
        <v>240</v>
      </c>
      <c r="I11" s="142" t="s">
        <v>240</v>
      </c>
      <c r="J11" s="142" t="s">
        <v>240</v>
      </c>
      <c r="K11" s="155">
        <v>91676.568330858601</v>
      </c>
      <c r="L11" s="141" t="s">
        <v>240</v>
      </c>
      <c r="M11" s="141">
        <v>0.63996202910274269</v>
      </c>
      <c r="N11" s="141">
        <v>0.35429602735556498</v>
      </c>
    </row>
    <row r="12" spans="1:19" s="138" customFormat="1" x14ac:dyDescent="0.2">
      <c r="A12" s="112" t="s">
        <v>393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5" t="s">
        <v>240</v>
      </c>
      <c r="G12" s="146" t="s">
        <v>240</v>
      </c>
      <c r="H12" s="156" t="s">
        <v>240</v>
      </c>
      <c r="I12" s="142" t="s">
        <v>240</v>
      </c>
      <c r="J12" s="142" t="s">
        <v>240</v>
      </c>
      <c r="K12" s="173">
        <v>59775.713870614753</v>
      </c>
      <c r="L12" s="145" t="s">
        <v>240</v>
      </c>
      <c r="M12" s="141">
        <v>0.41727333206501693</v>
      </c>
      <c r="N12" s="141">
        <v>0.23101102432488271</v>
      </c>
    </row>
    <row r="13" spans="1:19" x14ac:dyDescent="0.2">
      <c r="A13" s="30" t="s">
        <v>481</v>
      </c>
      <c r="B13" s="38" t="s">
        <v>482</v>
      </c>
      <c r="C13" s="38" t="s">
        <v>383</v>
      </c>
      <c r="D13" s="38" t="s">
        <v>240</v>
      </c>
      <c r="E13" s="38" t="s">
        <v>240</v>
      </c>
      <c r="F13" s="38" t="s">
        <v>218</v>
      </c>
      <c r="G13" s="79" t="s">
        <v>247</v>
      </c>
      <c r="H13" s="88">
        <v>20919.843040377858</v>
      </c>
      <c r="I13" s="85">
        <v>2578</v>
      </c>
      <c r="J13" s="79">
        <v>0</v>
      </c>
      <c r="K13" s="83">
        <v>539.31355358094117</v>
      </c>
      <c r="L13" s="38">
        <v>1.1813153317809343E-4</v>
      </c>
      <c r="M13" s="46">
        <v>3.7647591130011205E-3</v>
      </c>
      <c r="N13" s="46">
        <v>2.0842474037984157E-3</v>
      </c>
      <c r="O13" s="28"/>
      <c r="P13" s="28"/>
      <c r="Q13" s="28"/>
      <c r="R13" s="28"/>
    </row>
    <row r="14" spans="1:19" x14ac:dyDescent="0.2">
      <c r="A14" s="30" t="s">
        <v>407</v>
      </c>
      <c r="B14" s="38" t="s">
        <v>408</v>
      </c>
      <c r="C14" s="38" t="s">
        <v>383</v>
      </c>
      <c r="D14" s="38" t="s">
        <v>240</v>
      </c>
      <c r="E14" s="38" t="s">
        <v>409</v>
      </c>
      <c r="F14" s="38" t="s">
        <v>410</v>
      </c>
      <c r="G14" s="79" t="s">
        <v>247</v>
      </c>
      <c r="H14" s="88">
        <v>13791.338378665409</v>
      </c>
      <c r="I14" s="85">
        <v>3258</v>
      </c>
      <c r="J14" s="85">
        <v>0</v>
      </c>
      <c r="K14" s="83">
        <v>449.3218043518462</v>
      </c>
      <c r="L14" s="38">
        <v>1.2618774402712283E-5</v>
      </c>
      <c r="M14" s="46">
        <v>3.1365582162211371E-3</v>
      </c>
      <c r="N14" s="46">
        <v>1.7364625790918563E-3</v>
      </c>
      <c r="O14" s="28"/>
      <c r="P14" s="28"/>
      <c r="Q14" s="28"/>
      <c r="R14" s="28"/>
    </row>
    <row r="15" spans="1:19" x14ac:dyDescent="0.2">
      <c r="A15" s="30" t="s">
        <v>447</v>
      </c>
      <c r="B15" s="38" t="s">
        <v>448</v>
      </c>
      <c r="C15" s="38" t="s">
        <v>383</v>
      </c>
      <c r="D15" s="38" t="s">
        <v>240</v>
      </c>
      <c r="E15" s="38" t="s">
        <v>449</v>
      </c>
      <c r="F15" s="38" t="s">
        <v>201</v>
      </c>
      <c r="G15" s="79" t="s">
        <v>247</v>
      </c>
      <c r="H15" s="88">
        <v>5325.8536643128564</v>
      </c>
      <c r="I15" s="85">
        <v>24100</v>
      </c>
      <c r="J15" s="85">
        <v>0</v>
      </c>
      <c r="K15" s="83">
        <v>1283.5307330993985</v>
      </c>
      <c r="L15" s="38">
        <v>1.0436373222471529E-4</v>
      </c>
      <c r="M15" s="46">
        <v>8.9598787053805171E-3</v>
      </c>
      <c r="N15" s="46">
        <v>4.9603715322841411E-3</v>
      </c>
      <c r="O15" s="28"/>
      <c r="P15" s="28"/>
      <c r="Q15" s="28"/>
      <c r="R15" s="28"/>
    </row>
    <row r="16" spans="1:19" x14ac:dyDescent="0.2">
      <c r="A16" s="30" t="s">
        <v>456</v>
      </c>
      <c r="B16" s="38" t="s">
        <v>457</v>
      </c>
      <c r="C16" s="38" t="s">
        <v>383</v>
      </c>
      <c r="D16" s="38" t="s">
        <v>240</v>
      </c>
      <c r="E16" s="38" t="s">
        <v>458</v>
      </c>
      <c r="F16" s="38" t="s">
        <v>437</v>
      </c>
      <c r="G16" s="79" t="s">
        <v>247</v>
      </c>
      <c r="H16" s="88">
        <v>49841.320342503597</v>
      </c>
      <c r="I16" s="85">
        <v>5200</v>
      </c>
      <c r="J16" s="85">
        <v>0</v>
      </c>
      <c r="K16" s="83">
        <v>2591.7486578101871</v>
      </c>
      <c r="L16" s="38">
        <v>3.7905203106124071E-4</v>
      </c>
      <c r="M16" s="46">
        <v>1.8092090052832188E-2</v>
      </c>
      <c r="N16" s="46">
        <v>1.0016149928871001E-2</v>
      </c>
      <c r="O16" s="28"/>
      <c r="P16" s="28"/>
      <c r="Q16" s="28"/>
      <c r="R16" s="28"/>
    </row>
    <row r="17" spans="1:18" x14ac:dyDescent="0.2">
      <c r="A17" s="30" t="s">
        <v>478</v>
      </c>
      <c r="B17" s="38" t="s">
        <v>479</v>
      </c>
      <c r="C17" s="38" t="s">
        <v>383</v>
      </c>
      <c r="D17" s="38" t="s">
        <v>240</v>
      </c>
      <c r="E17" s="38" t="s">
        <v>480</v>
      </c>
      <c r="F17" s="38" t="s">
        <v>211</v>
      </c>
      <c r="G17" s="79" t="s">
        <v>247</v>
      </c>
      <c r="H17" s="88">
        <v>364.86712035208421</v>
      </c>
      <c r="I17" s="85">
        <v>37960</v>
      </c>
      <c r="J17" s="85">
        <v>0.68289443800000005</v>
      </c>
      <c r="K17" s="83">
        <v>139.18645329235977</v>
      </c>
      <c r="L17" s="38">
        <v>3.4167651375102595E-6</v>
      </c>
      <c r="M17" s="46">
        <v>9.7161190361234428E-4</v>
      </c>
      <c r="N17" s="46">
        <v>5.3790415982002892E-4</v>
      </c>
      <c r="O17" s="28"/>
      <c r="P17" s="28"/>
      <c r="Q17" s="28"/>
      <c r="R17" s="28"/>
    </row>
    <row r="18" spans="1:18" x14ac:dyDescent="0.2">
      <c r="A18" s="30" t="s">
        <v>416</v>
      </c>
      <c r="B18" s="38" t="s">
        <v>417</v>
      </c>
      <c r="C18" s="38" t="s">
        <v>383</v>
      </c>
      <c r="D18" s="38" t="s">
        <v>240</v>
      </c>
      <c r="E18" s="38" t="s">
        <v>418</v>
      </c>
      <c r="F18" s="38" t="s">
        <v>198</v>
      </c>
      <c r="G18" s="79" t="s">
        <v>247</v>
      </c>
      <c r="H18" s="88">
        <v>8225.5744371285164</v>
      </c>
      <c r="I18" s="85">
        <v>46240</v>
      </c>
      <c r="J18" s="85">
        <v>0</v>
      </c>
      <c r="K18" s="83">
        <v>3803.5056197177787</v>
      </c>
      <c r="L18" s="38">
        <v>1.8610600077262007E-4</v>
      </c>
      <c r="M18" s="46">
        <v>2.6550941188305251E-2</v>
      </c>
      <c r="N18" s="46">
        <v>1.4699142383114053E-2</v>
      </c>
      <c r="O18" s="28"/>
      <c r="P18" s="28"/>
      <c r="Q18" s="28"/>
      <c r="R18" s="28"/>
    </row>
    <row r="19" spans="1:18" x14ac:dyDescent="0.2">
      <c r="A19" s="30" t="s">
        <v>489</v>
      </c>
      <c r="B19" s="38" t="s">
        <v>490</v>
      </c>
      <c r="C19" s="38" t="s">
        <v>383</v>
      </c>
      <c r="D19" s="38" t="s">
        <v>240</v>
      </c>
      <c r="E19" s="38" t="s">
        <v>418</v>
      </c>
      <c r="F19" s="38" t="s">
        <v>198</v>
      </c>
      <c r="G19" s="79" t="s">
        <v>247</v>
      </c>
      <c r="H19" s="88">
        <v>771.34814647705093</v>
      </c>
      <c r="I19" s="85">
        <v>49774.93</v>
      </c>
      <c r="J19" s="85">
        <v>0</v>
      </c>
      <c r="K19" s="83">
        <v>383.93799995636965</v>
      </c>
      <c r="L19" s="38">
        <v>1.7466291097528821E-5</v>
      </c>
      <c r="M19" s="46">
        <v>2.6801367674996377E-3</v>
      </c>
      <c r="N19" s="46">
        <v>1.4837783592036519E-3</v>
      </c>
      <c r="O19" s="28"/>
      <c r="P19" s="28"/>
      <c r="Q19" s="28"/>
      <c r="R19" s="28"/>
    </row>
    <row r="20" spans="1:18" x14ac:dyDescent="0.2">
      <c r="A20" s="30" t="s">
        <v>463</v>
      </c>
      <c r="B20" s="38" t="s">
        <v>464</v>
      </c>
      <c r="C20" s="38" t="s">
        <v>383</v>
      </c>
      <c r="D20" s="38" t="s">
        <v>240</v>
      </c>
      <c r="E20" s="38" t="s">
        <v>465</v>
      </c>
      <c r="F20" s="38" t="s">
        <v>437</v>
      </c>
      <c r="G20" s="79" t="s">
        <v>247</v>
      </c>
      <c r="H20" s="88">
        <v>49011.68447928856</v>
      </c>
      <c r="I20" s="85">
        <v>4130</v>
      </c>
      <c r="J20" s="85">
        <v>14.213388499999999</v>
      </c>
      <c r="K20" s="83">
        <v>2038.3959574936111</v>
      </c>
      <c r="L20" s="38">
        <v>2.8368086100119929E-4</v>
      </c>
      <c r="M20" s="46">
        <v>1.4229328571337265E-2</v>
      </c>
      <c r="N20" s="46">
        <v>7.8776464157257978E-3</v>
      </c>
      <c r="O20" s="28"/>
      <c r="P20" s="28"/>
      <c r="Q20" s="28"/>
      <c r="R20" s="28"/>
    </row>
    <row r="21" spans="1:18" x14ac:dyDescent="0.2">
      <c r="A21" s="30" t="s">
        <v>496</v>
      </c>
      <c r="B21" s="38" t="s">
        <v>497</v>
      </c>
      <c r="C21" s="38" t="s">
        <v>383</v>
      </c>
      <c r="D21" s="38" t="s">
        <v>240</v>
      </c>
      <c r="E21" s="38" t="s">
        <v>498</v>
      </c>
      <c r="F21" s="38" t="s">
        <v>406</v>
      </c>
      <c r="G21" s="79" t="s">
        <v>247</v>
      </c>
      <c r="H21" s="88">
        <v>1423.6990386854527</v>
      </c>
      <c r="I21" s="85">
        <v>148890</v>
      </c>
      <c r="J21" s="85">
        <v>0</v>
      </c>
      <c r="K21" s="83">
        <v>2119.7454986674297</v>
      </c>
      <c r="L21" s="38">
        <v>3.7895751309941053E-4</v>
      </c>
      <c r="M21" s="46">
        <v>1.4797201239174138E-2</v>
      </c>
      <c r="N21" s="46">
        <v>8.1920323028705326E-3</v>
      </c>
      <c r="O21" s="28"/>
      <c r="P21" s="28"/>
      <c r="Q21" s="28"/>
      <c r="R21" s="28"/>
    </row>
    <row r="22" spans="1:18" x14ac:dyDescent="0.2">
      <c r="A22" s="30" t="s">
        <v>499</v>
      </c>
      <c r="B22" s="38" t="s">
        <v>500</v>
      </c>
      <c r="C22" s="38" t="s">
        <v>383</v>
      </c>
      <c r="D22" s="38" t="s">
        <v>240</v>
      </c>
      <c r="E22" s="38" t="s">
        <v>498</v>
      </c>
      <c r="F22" s="38" t="s">
        <v>406</v>
      </c>
      <c r="G22" s="79" t="s">
        <v>247</v>
      </c>
      <c r="H22" s="88">
        <v>135.34073146848959</v>
      </c>
      <c r="I22" s="85">
        <v>144974.94</v>
      </c>
      <c r="J22" s="85">
        <v>0</v>
      </c>
      <c r="K22" s="83">
        <v>196.21014422110991</v>
      </c>
      <c r="L22" s="38">
        <v>3.4289171497752641E-5</v>
      </c>
      <c r="M22" s="46">
        <v>1.3696743269568594E-3</v>
      </c>
      <c r="N22" s="46">
        <v>7.5827963339027225E-4</v>
      </c>
      <c r="O22" s="28"/>
      <c r="P22" s="28"/>
      <c r="Q22" s="28"/>
      <c r="R22" s="28"/>
    </row>
    <row r="23" spans="1:18" x14ac:dyDescent="0.2">
      <c r="A23" s="30" t="s">
        <v>466</v>
      </c>
      <c r="B23" s="38" t="s">
        <v>467</v>
      </c>
      <c r="C23" s="38" t="s">
        <v>383</v>
      </c>
      <c r="D23" s="38" t="s">
        <v>240</v>
      </c>
      <c r="E23" s="38" t="s">
        <v>468</v>
      </c>
      <c r="F23" s="38" t="s">
        <v>437</v>
      </c>
      <c r="G23" s="79" t="s">
        <v>247</v>
      </c>
      <c r="H23" s="88">
        <v>61029.471319223732</v>
      </c>
      <c r="I23" s="85">
        <v>2100</v>
      </c>
      <c r="J23" s="85">
        <v>0</v>
      </c>
      <c r="K23" s="83">
        <v>1281.6188977036984</v>
      </c>
      <c r="L23" s="38">
        <v>1.5997655414695384E-4</v>
      </c>
      <c r="M23" s="46">
        <v>8.9465328517843497E-3</v>
      </c>
      <c r="N23" s="46">
        <v>4.9529829956276453E-3</v>
      </c>
      <c r="O23" s="28"/>
      <c r="P23" s="28"/>
      <c r="Q23" s="28"/>
      <c r="R23" s="28"/>
    </row>
    <row r="24" spans="1:18" x14ac:dyDescent="0.2">
      <c r="A24" s="30" t="s">
        <v>491</v>
      </c>
      <c r="B24" s="38" t="s">
        <v>492</v>
      </c>
      <c r="C24" s="38" t="s">
        <v>383</v>
      </c>
      <c r="D24" s="38" t="s">
        <v>240</v>
      </c>
      <c r="E24" s="38" t="s">
        <v>468</v>
      </c>
      <c r="F24" s="38" t="s">
        <v>437</v>
      </c>
      <c r="G24" s="79" t="s">
        <v>247</v>
      </c>
      <c r="H24" s="88">
        <v>37039.603212504648</v>
      </c>
      <c r="I24" s="85">
        <v>2606.06</v>
      </c>
      <c r="J24" s="85">
        <v>0</v>
      </c>
      <c r="K24" s="83">
        <v>965.27428343905535</v>
      </c>
      <c r="L24" s="38">
        <v>9.7110094063235984E-5</v>
      </c>
      <c r="M24" s="46">
        <v>6.7382418464983175E-3</v>
      </c>
      <c r="N24" s="46">
        <v>3.7304280707443445E-3</v>
      </c>
      <c r="O24" s="28"/>
      <c r="P24" s="28"/>
      <c r="Q24" s="28"/>
      <c r="R24" s="28"/>
    </row>
    <row r="25" spans="1:18" x14ac:dyDescent="0.2">
      <c r="A25" s="30" t="s">
        <v>394</v>
      </c>
      <c r="B25" s="38" t="s">
        <v>395</v>
      </c>
      <c r="C25" s="38" t="s">
        <v>383</v>
      </c>
      <c r="D25" s="38" t="s">
        <v>240</v>
      </c>
      <c r="E25" s="38" t="s">
        <v>396</v>
      </c>
      <c r="F25" s="38" t="s">
        <v>209</v>
      </c>
      <c r="G25" s="79" t="s">
        <v>247</v>
      </c>
      <c r="H25" s="88">
        <v>573585.19730054925</v>
      </c>
      <c r="I25" s="85">
        <v>256.8</v>
      </c>
      <c r="J25" s="120">
        <v>0</v>
      </c>
      <c r="K25" s="83">
        <v>1472.9667866272762</v>
      </c>
      <c r="L25" s="38">
        <v>2.0740848029259375E-4</v>
      </c>
      <c r="M25" s="46">
        <v>1.0282265476702425E-2</v>
      </c>
      <c r="N25" s="46">
        <v>5.6924718107393898E-3</v>
      </c>
      <c r="O25" s="28"/>
      <c r="P25" s="28"/>
      <c r="Q25" s="28"/>
      <c r="R25" s="28"/>
    </row>
    <row r="26" spans="1:18" x14ac:dyDescent="0.2">
      <c r="A26" s="30" t="s">
        <v>242</v>
      </c>
      <c r="B26" s="38" t="s">
        <v>411</v>
      </c>
      <c r="C26" s="38" t="s">
        <v>383</v>
      </c>
      <c r="D26" s="38" t="s">
        <v>240</v>
      </c>
      <c r="E26" s="38" t="s">
        <v>412</v>
      </c>
      <c r="F26" s="38" t="s">
        <v>203</v>
      </c>
      <c r="G26" s="79" t="s">
        <v>247</v>
      </c>
      <c r="H26" s="88">
        <v>347768.46971187287</v>
      </c>
      <c r="I26" s="85">
        <v>1050</v>
      </c>
      <c r="J26" s="85">
        <v>14.56482173</v>
      </c>
      <c r="K26" s="83">
        <v>3666.133753681363</v>
      </c>
      <c r="L26" s="38">
        <v>2.9876580136134907E-4</v>
      </c>
      <c r="M26" s="46">
        <v>2.5591996283070365E-2</v>
      </c>
      <c r="N26" s="46">
        <v>1.4168250931860414E-2</v>
      </c>
      <c r="O26" s="28"/>
      <c r="P26" s="28"/>
      <c r="Q26" s="28"/>
      <c r="R26" s="28"/>
    </row>
    <row r="27" spans="1:18" x14ac:dyDescent="0.2">
      <c r="A27" s="30" t="s">
        <v>422</v>
      </c>
      <c r="B27" s="38" t="s">
        <v>423</v>
      </c>
      <c r="C27" s="38" t="s">
        <v>383</v>
      </c>
      <c r="D27" s="38" t="s">
        <v>240</v>
      </c>
      <c r="E27" s="38" t="s">
        <v>424</v>
      </c>
      <c r="F27" s="38" t="s">
        <v>203</v>
      </c>
      <c r="G27" s="79" t="s">
        <v>247</v>
      </c>
      <c r="H27" s="88">
        <v>417522.62549829605</v>
      </c>
      <c r="I27" s="85">
        <v>2131</v>
      </c>
      <c r="J27" s="85">
        <v>0</v>
      </c>
      <c r="K27" s="83">
        <v>8897.4071493686879</v>
      </c>
      <c r="L27" s="38">
        <v>3.1266039067405222E-4</v>
      </c>
      <c r="M27" s="46">
        <v>6.2109684478085091E-2</v>
      </c>
      <c r="N27" s="46">
        <v>3.4385187667689443E-2</v>
      </c>
      <c r="O27" s="28"/>
      <c r="P27" s="28"/>
      <c r="Q27" s="28"/>
      <c r="R27" s="28"/>
    </row>
    <row r="28" spans="1:18" x14ac:dyDescent="0.2">
      <c r="A28" s="30" t="s">
        <v>419</v>
      </c>
      <c r="B28" s="38" t="s">
        <v>420</v>
      </c>
      <c r="C28" s="38" t="s">
        <v>383</v>
      </c>
      <c r="D28" s="38" t="s">
        <v>240</v>
      </c>
      <c r="E28" s="38" t="s">
        <v>421</v>
      </c>
      <c r="F28" s="38" t="s">
        <v>203</v>
      </c>
      <c r="G28" s="79" t="s">
        <v>247</v>
      </c>
      <c r="H28" s="88">
        <v>258741.39636090756</v>
      </c>
      <c r="I28" s="85">
        <v>1960.0000000000002</v>
      </c>
      <c r="J28" s="85">
        <v>0</v>
      </c>
      <c r="K28" s="83">
        <v>5071.3313686320007</v>
      </c>
      <c r="L28" s="38">
        <v>1.7779808873618304E-4</v>
      </c>
      <c r="M28" s="46">
        <v>3.5401188897138218E-2</v>
      </c>
      <c r="N28" s="46">
        <v>1.9598819960467324E-2</v>
      </c>
      <c r="O28" s="28"/>
      <c r="P28" s="28"/>
      <c r="Q28" s="28"/>
      <c r="R28" s="28"/>
    </row>
    <row r="29" spans="1:18" x14ac:dyDescent="0.2">
      <c r="A29" s="30" t="s">
        <v>425</v>
      </c>
      <c r="B29" s="38" t="s">
        <v>426</v>
      </c>
      <c r="C29" s="38" t="s">
        <v>383</v>
      </c>
      <c r="D29" s="38" t="s">
        <v>240</v>
      </c>
      <c r="E29" s="38" t="s">
        <v>427</v>
      </c>
      <c r="F29" s="38" t="s">
        <v>203</v>
      </c>
      <c r="G29" s="79" t="s">
        <v>247</v>
      </c>
      <c r="H29" s="88">
        <v>39138.416973870044</v>
      </c>
      <c r="I29" s="85">
        <v>6623</v>
      </c>
      <c r="J29" s="85">
        <v>0</v>
      </c>
      <c r="K29" s="83">
        <v>2592.1373561297896</v>
      </c>
      <c r="L29" s="38">
        <v>1.6654460620847849E-4</v>
      </c>
      <c r="M29" s="46">
        <v>1.809480341972463E-2</v>
      </c>
      <c r="N29" s="46">
        <v>1.0017652104104895E-2</v>
      </c>
      <c r="O29" s="28"/>
      <c r="P29" s="28"/>
      <c r="Q29" s="28"/>
      <c r="R29" s="28"/>
    </row>
    <row r="30" spans="1:18" x14ac:dyDescent="0.2">
      <c r="A30" s="30" t="s">
        <v>459</v>
      </c>
      <c r="B30" s="38" t="s">
        <v>460</v>
      </c>
      <c r="C30" s="38" t="s">
        <v>383</v>
      </c>
      <c r="D30" s="38" t="s">
        <v>240</v>
      </c>
      <c r="E30" s="38" t="s">
        <v>461</v>
      </c>
      <c r="F30" s="38" t="s">
        <v>462</v>
      </c>
      <c r="G30" s="79" t="s">
        <v>247</v>
      </c>
      <c r="H30" s="88">
        <v>422704.38442965603</v>
      </c>
      <c r="I30" s="85">
        <v>97.1</v>
      </c>
      <c r="J30" s="85">
        <v>0</v>
      </c>
      <c r="K30" s="83">
        <v>410.44595727696498</v>
      </c>
      <c r="L30" s="38">
        <v>1.3185970301248483E-4</v>
      </c>
      <c r="M30" s="46">
        <v>2.8651795375674929E-3</v>
      </c>
      <c r="N30" s="46">
        <v>1.586221809509334E-3</v>
      </c>
      <c r="O30" s="28"/>
      <c r="P30" s="28"/>
      <c r="Q30" s="28"/>
      <c r="R30" s="28"/>
    </row>
    <row r="31" spans="1:18" x14ac:dyDescent="0.2">
      <c r="A31" s="30" t="s">
        <v>431</v>
      </c>
      <c r="B31" s="38" t="s">
        <v>432</v>
      </c>
      <c r="C31" s="38" t="s">
        <v>383</v>
      </c>
      <c r="D31" s="38" t="s">
        <v>240</v>
      </c>
      <c r="E31" s="38" t="s">
        <v>433</v>
      </c>
      <c r="F31" s="38" t="s">
        <v>218</v>
      </c>
      <c r="G31" s="79" t="s">
        <v>247</v>
      </c>
      <c r="H31" s="88">
        <v>20230.800079688208</v>
      </c>
      <c r="I31" s="85">
        <v>297</v>
      </c>
      <c r="J31" s="85">
        <v>0</v>
      </c>
      <c r="K31" s="83">
        <v>60.085476194363672</v>
      </c>
      <c r="L31" s="38">
        <v>1.723508849804318E-5</v>
      </c>
      <c r="M31" s="46">
        <v>4.1943567440456118E-4</v>
      </c>
      <c r="N31" s="46">
        <v>2.322081411315742E-4</v>
      </c>
      <c r="O31" s="28"/>
      <c r="P31" s="28"/>
      <c r="Q31" s="28"/>
      <c r="R31" s="28"/>
    </row>
    <row r="32" spans="1:18" x14ac:dyDescent="0.2">
      <c r="A32" s="30" t="s">
        <v>438</v>
      </c>
      <c r="B32" s="38" t="s">
        <v>439</v>
      </c>
      <c r="C32" s="38" t="s">
        <v>383</v>
      </c>
      <c r="D32" s="38" t="s">
        <v>240</v>
      </c>
      <c r="E32" s="38" t="s">
        <v>440</v>
      </c>
      <c r="F32" s="38" t="s">
        <v>203</v>
      </c>
      <c r="G32" s="79" t="s">
        <v>247</v>
      </c>
      <c r="H32" s="88">
        <v>25317.125356428809</v>
      </c>
      <c r="I32" s="85">
        <v>8676</v>
      </c>
      <c r="J32" s="85">
        <v>0</v>
      </c>
      <c r="K32" s="83">
        <v>2196.5137958840651</v>
      </c>
      <c r="L32" s="38">
        <v>2.5233843579080411E-4</v>
      </c>
      <c r="M32" s="46">
        <v>1.5333093846761887E-2</v>
      </c>
      <c r="N32" s="46">
        <v>8.488713376626978E-3</v>
      </c>
      <c r="O32" s="28"/>
      <c r="P32" s="28"/>
      <c r="Q32" s="28"/>
      <c r="R32" s="28"/>
    </row>
    <row r="33" spans="1:18" x14ac:dyDescent="0.2">
      <c r="A33" s="30" t="s">
        <v>403</v>
      </c>
      <c r="B33" s="38" t="s">
        <v>404</v>
      </c>
      <c r="C33" s="38" t="s">
        <v>383</v>
      </c>
      <c r="D33" s="38" t="s">
        <v>240</v>
      </c>
      <c r="E33" s="38" t="s">
        <v>405</v>
      </c>
      <c r="F33" s="38" t="s">
        <v>406</v>
      </c>
      <c r="G33" s="79" t="s">
        <v>247</v>
      </c>
      <c r="H33" s="88">
        <v>254.62444215218039</v>
      </c>
      <c r="I33" s="85">
        <v>35900</v>
      </c>
      <c r="J33" s="85">
        <v>0</v>
      </c>
      <c r="K33" s="83">
        <v>91.410174732632754</v>
      </c>
      <c r="L33" s="38">
        <v>3.3074694241357451E-5</v>
      </c>
      <c r="M33" s="46">
        <v>6.3810242865341819E-4</v>
      </c>
      <c r="N33" s="46">
        <v>3.5326651463183663E-4</v>
      </c>
      <c r="O33" s="28"/>
      <c r="P33" s="28"/>
      <c r="Q33" s="28"/>
      <c r="R33" s="28"/>
    </row>
    <row r="34" spans="1:18" x14ac:dyDescent="0.2">
      <c r="A34" s="30" t="s">
        <v>472</v>
      </c>
      <c r="B34" s="38" t="s">
        <v>473</v>
      </c>
      <c r="C34" s="38" t="s">
        <v>383</v>
      </c>
      <c r="D34" s="38" t="s">
        <v>240</v>
      </c>
      <c r="E34" s="38" t="s">
        <v>474</v>
      </c>
      <c r="F34" s="38" t="s">
        <v>204</v>
      </c>
      <c r="G34" s="79" t="s">
        <v>247</v>
      </c>
      <c r="H34" s="88">
        <v>55626.459909124183</v>
      </c>
      <c r="I34" s="85">
        <v>1700</v>
      </c>
      <c r="J34" s="85">
        <v>0</v>
      </c>
      <c r="K34" s="83">
        <v>945.64981845511113</v>
      </c>
      <c r="L34" s="38">
        <v>2.1716085686065514E-4</v>
      </c>
      <c r="M34" s="46">
        <v>6.6012503266384571E-3</v>
      </c>
      <c r="N34" s="46">
        <v>3.6545867722601226E-3</v>
      </c>
      <c r="O34" s="28"/>
      <c r="P34" s="28"/>
      <c r="Q34" s="28"/>
      <c r="R34" s="28"/>
    </row>
    <row r="35" spans="1:18" x14ac:dyDescent="0.2">
      <c r="A35" s="30" t="s">
        <v>450</v>
      </c>
      <c r="B35" s="38" t="s">
        <v>451</v>
      </c>
      <c r="C35" s="38" t="s">
        <v>383</v>
      </c>
      <c r="D35" s="38" t="s">
        <v>240</v>
      </c>
      <c r="E35" s="38" t="s">
        <v>452</v>
      </c>
      <c r="F35" s="38" t="s">
        <v>204</v>
      </c>
      <c r="G35" s="79" t="s">
        <v>247</v>
      </c>
      <c r="H35" s="88">
        <v>53398.207651184755</v>
      </c>
      <c r="I35" s="85">
        <v>1940.0000000000002</v>
      </c>
      <c r="J35" s="85">
        <v>0</v>
      </c>
      <c r="K35" s="83">
        <v>1035.9252284329843</v>
      </c>
      <c r="L35" s="38">
        <v>2.4908346523274836E-4</v>
      </c>
      <c r="M35" s="46">
        <v>7.2314313598008341E-3</v>
      </c>
      <c r="N35" s="46">
        <v>4.003467840840538E-3</v>
      </c>
      <c r="O35" s="28"/>
      <c r="P35" s="28"/>
      <c r="Q35" s="28"/>
      <c r="R35" s="28"/>
    </row>
    <row r="36" spans="1:18" x14ac:dyDescent="0.2">
      <c r="A36" s="30" t="s">
        <v>453</v>
      </c>
      <c r="B36" s="38" t="s">
        <v>454</v>
      </c>
      <c r="C36" s="38" t="s">
        <v>383</v>
      </c>
      <c r="D36" s="38" t="s">
        <v>240</v>
      </c>
      <c r="E36" s="38" t="s">
        <v>455</v>
      </c>
      <c r="F36" s="38" t="s">
        <v>200</v>
      </c>
      <c r="G36" s="79" t="s">
        <v>247</v>
      </c>
      <c r="H36" s="88">
        <v>12998.726902624634</v>
      </c>
      <c r="I36" s="85">
        <v>5700</v>
      </c>
      <c r="J36" s="85">
        <v>0</v>
      </c>
      <c r="K36" s="83">
        <v>740.92743344960411</v>
      </c>
      <c r="L36" s="38">
        <v>1.2170172777413896E-4</v>
      </c>
      <c r="M36" s="46">
        <v>5.1721550267571532E-3</v>
      </c>
      <c r="N36" s="46">
        <v>2.8634104767378018E-3</v>
      </c>
      <c r="O36" s="28"/>
      <c r="P36" s="28"/>
      <c r="Q36" s="28"/>
      <c r="R36" s="28"/>
    </row>
    <row r="37" spans="1:18" x14ac:dyDescent="0.2">
      <c r="A37" s="30" t="s">
        <v>400</v>
      </c>
      <c r="B37" s="38" t="s">
        <v>401</v>
      </c>
      <c r="C37" s="38" t="s">
        <v>383</v>
      </c>
      <c r="D37" s="38" t="s">
        <v>240</v>
      </c>
      <c r="E37" s="38" t="s">
        <v>402</v>
      </c>
      <c r="F37" s="38" t="s">
        <v>215</v>
      </c>
      <c r="G37" s="79" t="s">
        <v>247</v>
      </c>
      <c r="H37" s="88">
        <v>193617.48644298979</v>
      </c>
      <c r="I37" s="85">
        <v>1128</v>
      </c>
      <c r="J37" s="85">
        <v>0</v>
      </c>
      <c r="K37" s="83">
        <v>2184.0052470455835</v>
      </c>
      <c r="L37" s="38">
        <v>1.5121036589066354E-4</v>
      </c>
      <c r="M37" s="46">
        <v>1.5245776046351696E-2</v>
      </c>
      <c r="N37" s="46">
        <v>8.4403724620165724E-3</v>
      </c>
      <c r="O37" s="28"/>
      <c r="P37" s="28"/>
      <c r="Q37" s="28"/>
      <c r="R37" s="28"/>
    </row>
    <row r="38" spans="1:18" x14ac:dyDescent="0.2">
      <c r="A38" s="30" t="s">
        <v>493</v>
      </c>
      <c r="B38" s="38" t="s">
        <v>494</v>
      </c>
      <c r="C38" s="38" t="s">
        <v>383</v>
      </c>
      <c r="D38" s="38" t="s">
        <v>240</v>
      </c>
      <c r="E38" s="38" t="s">
        <v>495</v>
      </c>
      <c r="F38" s="38" t="s">
        <v>437</v>
      </c>
      <c r="G38" s="79" t="s">
        <v>247</v>
      </c>
      <c r="H38" s="88">
        <v>207492.35846877901</v>
      </c>
      <c r="I38" s="85">
        <v>771</v>
      </c>
      <c r="J38" s="85">
        <v>0</v>
      </c>
      <c r="K38" s="83">
        <v>1599.7660837775709</v>
      </c>
      <c r="L38" s="38">
        <v>2.5523991912960916E-4</v>
      </c>
      <c r="M38" s="46">
        <v>1.1167406979820731E-2</v>
      </c>
      <c r="N38" s="46">
        <v>6.1825041938200461E-3</v>
      </c>
      <c r="O38" s="28"/>
      <c r="P38" s="28"/>
      <c r="Q38" s="28"/>
      <c r="R38" s="28"/>
    </row>
    <row r="39" spans="1:18" x14ac:dyDescent="0.2">
      <c r="A39" s="30" t="s">
        <v>444</v>
      </c>
      <c r="B39" s="38" t="s">
        <v>445</v>
      </c>
      <c r="C39" s="38" t="s">
        <v>383</v>
      </c>
      <c r="D39" s="38" t="s">
        <v>240</v>
      </c>
      <c r="E39" s="38" t="s">
        <v>446</v>
      </c>
      <c r="F39" s="38" t="s">
        <v>437</v>
      </c>
      <c r="G39" s="79" t="s">
        <v>247</v>
      </c>
      <c r="H39" s="88">
        <v>4134.160502678249</v>
      </c>
      <c r="I39" s="85">
        <v>13830.000000000002</v>
      </c>
      <c r="J39" s="85">
        <v>0</v>
      </c>
      <c r="K39" s="83">
        <v>571.75439752040188</v>
      </c>
      <c r="L39" s="38">
        <v>8.7147758340137211E-5</v>
      </c>
      <c r="M39" s="46">
        <v>3.9912172875520811E-3</v>
      </c>
      <c r="N39" s="46">
        <v>2.2096192664354682E-3</v>
      </c>
      <c r="O39" s="28"/>
      <c r="P39" s="28"/>
      <c r="Q39" s="28"/>
      <c r="R39" s="28"/>
    </row>
    <row r="40" spans="1:18" x14ac:dyDescent="0.2">
      <c r="A40" s="30" t="s">
        <v>397</v>
      </c>
      <c r="B40" s="38" t="s">
        <v>398</v>
      </c>
      <c r="C40" s="38" t="s">
        <v>383</v>
      </c>
      <c r="D40" s="38" t="s">
        <v>240</v>
      </c>
      <c r="E40" s="38" t="s">
        <v>399</v>
      </c>
      <c r="F40" s="38" t="s">
        <v>196</v>
      </c>
      <c r="G40" s="79" t="s">
        <v>247</v>
      </c>
      <c r="H40" s="88">
        <v>6726.8783509802597</v>
      </c>
      <c r="I40" s="85">
        <v>52350</v>
      </c>
      <c r="J40" s="85">
        <v>0</v>
      </c>
      <c r="K40" s="83">
        <v>3521.5208167381661</v>
      </c>
      <c r="L40" s="38">
        <v>1.0826445212497429E-4</v>
      </c>
      <c r="M40" s="46">
        <v>2.4582503996811611E-2</v>
      </c>
      <c r="N40" s="46">
        <v>1.3609375419872588E-2</v>
      </c>
      <c r="O40" s="28"/>
      <c r="P40" s="28"/>
      <c r="Q40" s="28"/>
      <c r="R40" s="28"/>
    </row>
    <row r="41" spans="1:18" x14ac:dyDescent="0.2">
      <c r="A41" s="30" t="s">
        <v>441</v>
      </c>
      <c r="B41" s="38" t="s">
        <v>442</v>
      </c>
      <c r="C41" s="38" t="s">
        <v>383</v>
      </c>
      <c r="D41" s="38" t="s">
        <v>240</v>
      </c>
      <c r="E41" s="38" t="s">
        <v>443</v>
      </c>
      <c r="F41" s="38" t="s">
        <v>180</v>
      </c>
      <c r="G41" s="79" t="s">
        <v>247</v>
      </c>
      <c r="H41" s="88">
        <v>138.89793093317664</v>
      </c>
      <c r="I41" s="85">
        <v>17380</v>
      </c>
      <c r="J41" s="85">
        <v>0</v>
      </c>
      <c r="K41" s="83">
        <v>24.1404603961861</v>
      </c>
      <c r="L41" s="38">
        <v>1.0218762910580442E-6</v>
      </c>
      <c r="M41" s="46">
        <v>1.6851610285915867E-4</v>
      </c>
      <c r="N41" s="46">
        <v>9.3293950380384853E-5</v>
      </c>
      <c r="O41" s="28"/>
      <c r="P41" s="28"/>
      <c r="Q41" s="28"/>
      <c r="R41" s="28"/>
    </row>
    <row r="42" spans="1:18" x14ac:dyDescent="0.2">
      <c r="A42" s="30" t="s">
        <v>483</v>
      </c>
      <c r="B42" s="38" t="s">
        <v>484</v>
      </c>
      <c r="C42" s="38" t="s">
        <v>383</v>
      </c>
      <c r="D42" s="38" t="s">
        <v>240</v>
      </c>
      <c r="E42" s="38" t="s">
        <v>485</v>
      </c>
      <c r="F42" s="38" t="s">
        <v>208</v>
      </c>
      <c r="G42" s="79" t="s">
        <v>247</v>
      </c>
      <c r="H42" s="88">
        <v>689.09900878107112</v>
      </c>
      <c r="I42" s="85">
        <v>12180</v>
      </c>
      <c r="J42" s="85">
        <v>0</v>
      </c>
      <c r="K42" s="83">
        <v>83.93225926953447</v>
      </c>
      <c r="L42" s="38">
        <v>4.7715590077488343E-5</v>
      </c>
      <c r="M42" s="46">
        <v>5.8590171869717176E-4</v>
      </c>
      <c r="N42" s="46">
        <v>3.2436713729132728E-4</v>
      </c>
      <c r="O42" s="28"/>
      <c r="P42" s="28"/>
      <c r="Q42" s="28"/>
      <c r="R42" s="28"/>
    </row>
    <row r="43" spans="1:18" x14ac:dyDescent="0.2">
      <c r="A43" s="30" t="s">
        <v>428</v>
      </c>
      <c r="B43" s="38" t="s">
        <v>429</v>
      </c>
      <c r="C43" s="38" t="s">
        <v>383</v>
      </c>
      <c r="D43" s="38" t="s">
        <v>240</v>
      </c>
      <c r="E43" s="38" t="s">
        <v>430</v>
      </c>
      <c r="F43" s="38" t="s">
        <v>218</v>
      </c>
      <c r="G43" s="79" t="s">
        <v>247</v>
      </c>
      <c r="H43" s="88">
        <v>3.9698554965670431E-3</v>
      </c>
      <c r="I43" s="85">
        <v>9371</v>
      </c>
      <c r="J43" s="85">
        <v>0</v>
      </c>
      <c r="K43" s="83">
        <v>0</v>
      </c>
      <c r="L43" s="38">
        <v>3.3127417077822165E-10</v>
      </c>
      <c r="M43" s="46">
        <v>0</v>
      </c>
      <c r="N43" s="46">
        <v>0</v>
      </c>
      <c r="O43" s="28"/>
      <c r="P43" s="28"/>
      <c r="Q43" s="28"/>
      <c r="R43" s="28"/>
    </row>
    <row r="44" spans="1:18" x14ac:dyDescent="0.2">
      <c r="A44" s="30" t="s">
        <v>434</v>
      </c>
      <c r="B44" s="38" t="s">
        <v>435</v>
      </c>
      <c r="C44" s="38" t="s">
        <v>383</v>
      </c>
      <c r="D44" s="38" t="s">
        <v>240</v>
      </c>
      <c r="E44" s="38" t="s">
        <v>436</v>
      </c>
      <c r="F44" s="38" t="s">
        <v>437</v>
      </c>
      <c r="G44" s="79" t="s">
        <v>247</v>
      </c>
      <c r="H44" s="88">
        <v>12938.641833810572</v>
      </c>
      <c r="I44" s="85">
        <v>20480</v>
      </c>
      <c r="J44" s="85">
        <v>0</v>
      </c>
      <c r="K44" s="83">
        <v>2649.8338475644055</v>
      </c>
      <c r="L44" s="38">
        <v>1.0669042111196753E-4</v>
      </c>
      <c r="M44" s="46">
        <v>1.849756242786452E-2</v>
      </c>
      <c r="N44" s="46">
        <v>1.0240627702775488E-2</v>
      </c>
      <c r="O44" s="28"/>
      <c r="P44" s="28"/>
      <c r="Q44" s="28"/>
      <c r="R44" s="28"/>
    </row>
    <row r="45" spans="1:18" x14ac:dyDescent="0.2">
      <c r="A45" s="30" t="s">
        <v>469</v>
      </c>
      <c r="B45" s="38" t="s">
        <v>470</v>
      </c>
      <c r="C45" s="38" t="s">
        <v>383</v>
      </c>
      <c r="D45" s="38" t="s">
        <v>240</v>
      </c>
      <c r="E45" s="38" t="s">
        <v>471</v>
      </c>
      <c r="F45" s="38" t="s">
        <v>206</v>
      </c>
      <c r="G45" s="79" t="s">
        <v>247</v>
      </c>
      <c r="H45" s="88">
        <v>66633.079370859996</v>
      </c>
      <c r="I45" s="85">
        <v>2010.0000000000002</v>
      </c>
      <c r="J45" s="85">
        <v>0</v>
      </c>
      <c r="K45" s="83">
        <v>1339.3248953229449</v>
      </c>
      <c r="L45" s="38">
        <v>2.7978704286035273E-4</v>
      </c>
      <c r="M45" s="46">
        <v>9.3493582192711953E-3</v>
      </c>
      <c r="N45" s="46">
        <v>5.1759953321856983E-3</v>
      </c>
      <c r="O45" s="28"/>
      <c r="P45" s="28"/>
      <c r="Q45" s="28"/>
      <c r="R45" s="28"/>
    </row>
    <row r="46" spans="1:18" x14ac:dyDescent="0.2">
      <c r="A46" s="30" t="s">
        <v>413</v>
      </c>
      <c r="B46" s="38" t="s">
        <v>414</v>
      </c>
      <c r="C46" s="38" t="s">
        <v>383</v>
      </c>
      <c r="D46" s="38" t="s">
        <v>240</v>
      </c>
      <c r="E46" s="38" t="s">
        <v>415</v>
      </c>
      <c r="F46" s="38" t="s">
        <v>211</v>
      </c>
      <c r="G46" s="79" t="s">
        <v>247</v>
      </c>
      <c r="H46" s="88">
        <v>4952.4950230536151</v>
      </c>
      <c r="I46" s="85">
        <v>9250</v>
      </c>
      <c r="J46" s="85">
        <v>0</v>
      </c>
      <c r="K46" s="83">
        <v>458.10578963245939</v>
      </c>
      <c r="L46" s="38">
        <v>4.2768083944853057E-5</v>
      </c>
      <c r="M46" s="46">
        <v>3.1978761423405171E-3</v>
      </c>
      <c r="N46" s="46">
        <v>1.7704094331891802E-3</v>
      </c>
      <c r="O46" s="28"/>
      <c r="P46" s="28"/>
      <c r="Q46" s="28"/>
      <c r="R46" s="28"/>
    </row>
    <row r="47" spans="1:18" x14ac:dyDescent="0.2">
      <c r="A47" s="30" t="s">
        <v>486</v>
      </c>
      <c r="B47" s="38" t="s">
        <v>487</v>
      </c>
      <c r="C47" s="38" t="s">
        <v>383</v>
      </c>
      <c r="D47" s="38" t="s">
        <v>240</v>
      </c>
      <c r="E47" s="38" t="s">
        <v>488</v>
      </c>
      <c r="F47" s="38" t="s">
        <v>224</v>
      </c>
      <c r="G47" s="79" t="s">
        <v>247</v>
      </c>
      <c r="H47" s="88">
        <v>123391.02765032054</v>
      </c>
      <c r="I47" s="85">
        <v>1230</v>
      </c>
      <c r="J47" s="85">
        <v>0</v>
      </c>
      <c r="K47" s="83">
        <v>1517.7096400989426</v>
      </c>
      <c r="L47" s="38">
        <v>3.062030773570394E-4</v>
      </c>
      <c r="M47" s="46">
        <v>1.0594599673072384E-2</v>
      </c>
      <c r="N47" s="46">
        <v>5.8653863899626579E-3</v>
      </c>
      <c r="O47" s="28"/>
      <c r="P47" s="28"/>
      <c r="Q47" s="28"/>
      <c r="R47" s="28"/>
    </row>
    <row r="48" spans="1:18" x14ac:dyDescent="0.2">
      <c r="A48" s="30" t="s">
        <v>475</v>
      </c>
      <c r="B48" s="38" t="s">
        <v>476</v>
      </c>
      <c r="C48" s="38" t="s">
        <v>383</v>
      </c>
      <c r="D48" s="38" t="s">
        <v>240</v>
      </c>
      <c r="E48" s="38" t="s">
        <v>477</v>
      </c>
      <c r="F48" s="38" t="s">
        <v>213</v>
      </c>
      <c r="G48" s="79" t="s">
        <v>247</v>
      </c>
      <c r="H48" s="88">
        <v>125733.63415535068</v>
      </c>
      <c r="I48" s="85">
        <v>2269</v>
      </c>
      <c r="J48" s="85">
        <v>0</v>
      </c>
      <c r="K48" s="83">
        <v>2852.8961589849068</v>
      </c>
      <c r="L48" s="38">
        <v>3.5293957127873382E-4</v>
      </c>
      <c r="M48" s="46">
        <v>1.991506933521257E-2</v>
      </c>
      <c r="N48" s="46">
        <v>1.1025388427918224E-2</v>
      </c>
      <c r="O48" s="28"/>
      <c r="P48" s="28"/>
      <c r="Q48" s="28"/>
      <c r="R48" s="28"/>
    </row>
    <row r="49" spans="1:18" s="138" customFormat="1" x14ac:dyDescent="0.2">
      <c r="A49" s="112" t="s">
        <v>501</v>
      </c>
      <c r="B49" s="145" t="s">
        <v>240</v>
      </c>
      <c r="C49" s="145" t="s">
        <v>240</v>
      </c>
      <c r="D49" s="145" t="s">
        <v>240</v>
      </c>
      <c r="E49" s="145" t="s">
        <v>240</v>
      </c>
      <c r="F49" s="145" t="s">
        <v>240</v>
      </c>
      <c r="G49" s="146" t="s">
        <v>240</v>
      </c>
      <c r="H49" s="156" t="s">
        <v>240</v>
      </c>
      <c r="I49" s="142" t="s">
        <v>240</v>
      </c>
      <c r="J49" s="142" t="s">
        <v>240</v>
      </c>
      <c r="K49" s="173">
        <v>24651.349939962802</v>
      </c>
      <c r="L49" s="145" t="s">
        <v>240</v>
      </c>
      <c r="M49" s="141">
        <v>0.17208244391048116</v>
      </c>
      <c r="N49" s="141">
        <v>9.5268349499735991E-2</v>
      </c>
    </row>
    <row r="50" spans="1:18" x14ac:dyDescent="0.2">
      <c r="A50" s="30" t="s">
        <v>636</v>
      </c>
      <c r="B50" s="38" t="s">
        <v>637</v>
      </c>
      <c r="C50" s="38" t="s">
        <v>383</v>
      </c>
      <c r="D50" s="38" t="s">
        <v>240</v>
      </c>
      <c r="E50" s="38" t="s">
        <v>638</v>
      </c>
      <c r="F50" s="38" t="s">
        <v>196</v>
      </c>
      <c r="G50" s="79" t="s">
        <v>247</v>
      </c>
      <c r="H50" s="88">
        <v>2011.2175939601293</v>
      </c>
      <c r="I50" s="85">
        <v>3456</v>
      </c>
      <c r="J50" s="85">
        <v>0</v>
      </c>
      <c r="K50" s="83">
        <v>69.50768004726207</v>
      </c>
      <c r="L50" s="38">
        <v>5.8261158164454973E-5</v>
      </c>
      <c r="M50" s="46">
        <v>4.8520878094754328E-4</v>
      </c>
      <c r="N50" s="46">
        <v>2.6862147394709297E-4</v>
      </c>
      <c r="O50" s="28"/>
      <c r="P50" s="28"/>
      <c r="Q50" s="28"/>
      <c r="R50" s="28"/>
    </row>
    <row r="51" spans="1:18" x14ac:dyDescent="0.2">
      <c r="A51" s="30" t="s">
        <v>582</v>
      </c>
      <c r="B51" s="38" t="s">
        <v>583</v>
      </c>
      <c r="C51" s="38" t="s">
        <v>383</v>
      </c>
      <c r="D51" s="38" t="s">
        <v>240</v>
      </c>
      <c r="E51" s="38" t="s">
        <v>584</v>
      </c>
      <c r="F51" s="38" t="s">
        <v>462</v>
      </c>
      <c r="G51" s="79" t="s">
        <v>247</v>
      </c>
      <c r="H51" s="88">
        <v>59173.433287226777</v>
      </c>
      <c r="I51" s="85">
        <v>64.900000000000006</v>
      </c>
      <c r="J51" s="85">
        <v>0</v>
      </c>
      <c r="K51" s="83">
        <v>38.403558172069211</v>
      </c>
      <c r="L51" s="38">
        <v>7.7818382899666989E-5</v>
      </c>
      <c r="M51" s="46">
        <v>2.680817951634649E-4</v>
      </c>
      <c r="N51" s="46">
        <v>1.4841554766293065E-4</v>
      </c>
      <c r="O51" s="28"/>
      <c r="P51" s="28"/>
      <c r="Q51" s="28"/>
      <c r="R51" s="28"/>
    </row>
    <row r="52" spans="1:18" x14ac:dyDescent="0.2">
      <c r="A52" s="30" t="s">
        <v>609</v>
      </c>
      <c r="B52" s="38" t="s">
        <v>610</v>
      </c>
      <c r="C52" s="38" t="s">
        <v>383</v>
      </c>
      <c r="D52" s="38" t="s">
        <v>240</v>
      </c>
      <c r="E52" s="38" t="s">
        <v>611</v>
      </c>
      <c r="F52" s="38" t="s">
        <v>196</v>
      </c>
      <c r="G52" s="79" t="s">
        <v>127</v>
      </c>
      <c r="H52" s="88">
        <v>8031.7385117373997</v>
      </c>
      <c r="I52" s="85">
        <v>2845</v>
      </c>
      <c r="J52" s="85">
        <v>0</v>
      </c>
      <c r="K52" s="83">
        <v>228.50296065892903</v>
      </c>
      <c r="L52" s="38">
        <v>1.6411553602605321E-4</v>
      </c>
      <c r="M52" s="46">
        <v>1.5950991733407833E-3</v>
      </c>
      <c r="N52" s="46">
        <v>8.8307942448575389E-4</v>
      </c>
      <c r="O52" s="28"/>
      <c r="P52" s="28"/>
      <c r="Q52" s="28"/>
      <c r="R52" s="28"/>
    </row>
    <row r="53" spans="1:18" x14ac:dyDescent="0.2">
      <c r="A53" s="30" t="s">
        <v>621</v>
      </c>
      <c r="B53" s="38" t="s">
        <v>622</v>
      </c>
      <c r="C53" s="38" t="s">
        <v>383</v>
      </c>
      <c r="D53" s="38" t="s">
        <v>240</v>
      </c>
      <c r="E53" s="38" t="s">
        <v>623</v>
      </c>
      <c r="F53" s="38" t="s">
        <v>524</v>
      </c>
      <c r="G53" s="79" t="s">
        <v>247</v>
      </c>
      <c r="H53" s="88">
        <v>107597.48513013008</v>
      </c>
      <c r="I53" s="85">
        <v>465.10000000000008</v>
      </c>
      <c r="J53" s="85">
        <v>7.3533627619999997</v>
      </c>
      <c r="K53" s="83">
        <v>507.78926606537732</v>
      </c>
      <c r="L53" s="38">
        <v>7.0705464974230524E-4</v>
      </c>
      <c r="M53" s="46">
        <v>3.5446990979744919E-3</v>
      </c>
      <c r="N53" s="46">
        <v>1.9624176927246929E-3</v>
      </c>
      <c r="O53" s="28"/>
      <c r="P53" s="28"/>
      <c r="Q53" s="28"/>
      <c r="R53" s="28"/>
    </row>
    <row r="54" spans="1:18" x14ac:dyDescent="0.2">
      <c r="A54" s="30" t="s">
        <v>618</v>
      </c>
      <c r="B54" s="38" t="s">
        <v>619</v>
      </c>
      <c r="C54" s="38" t="s">
        <v>383</v>
      </c>
      <c r="D54" s="38" t="s">
        <v>240</v>
      </c>
      <c r="E54" s="38" t="s">
        <v>620</v>
      </c>
      <c r="F54" s="38" t="s">
        <v>462</v>
      </c>
      <c r="G54" s="79" t="s">
        <v>247</v>
      </c>
      <c r="H54" s="88">
        <v>8039.9968558690744</v>
      </c>
      <c r="I54" s="85">
        <v>2496</v>
      </c>
      <c r="J54" s="85">
        <v>0</v>
      </c>
      <c r="K54" s="83">
        <v>200.6783215224921</v>
      </c>
      <c r="L54" s="38">
        <v>5.6082735179704708E-5</v>
      </c>
      <c r="M54" s="46">
        <v>1.4008651084645575E-3</v>
      </c>
      <c r="N54" s="46">
        <v>7.7554748597488037E-4</v>
      </c>
      <c r="O54" s="28"/>
      <c r="P54" s="28"/>
      <c r="Q54" s="28"/>
      <c r="R54" s="28"/>
    </row>
    <row r="55" spans="1:18" x14ac:dyDescent="0.2">
      <c r="A55" s="30" t="s">
        <v>658</v>
      </c>
      <c r="B55" s="38" t="s">
        <v>659</v>
      </c>
      <c r="C55" s="38" t="s">
        <v>383</v>
      </c>
      <c r="D55" s="38" t="s">
        <v>240</v>
      </c>
      <c r="E55" s="38" t="s">
        <v>620</v>
      </c>
      <c r="F55" s="38" t="s">
        <v>462</v>
      </c>
      <c r="G55" s="79" t="s">
        <v>247</v>
      </c>
      <c r="H55" s="88">
        <v>23965.416930956679</v>
      </c>
      <c r="I55" s="85">
        <v>2410.11</v>
      </c>
      <c r="J55" s="85">
        <v>0</v>
      </c>
      <c r="K55" s="83">
        <v>577.59290996595087</v>
      </c>
      <c r="L55" s="38">
        <v>1.6716998219084151E-4</v>
      </c>
      <c r="M55" s="46">
        <v>4.0319738989700663E-3</v>
      </c>
      <c r="N55" s="46">
        <v>2.2321829574940017E-3</v>
      </c>
      <c r="O55" s="28"/>
      <c r="P55" s="28"/>
      <c r="Q55" s="28"/>
      <c r="R55" s="28"/>
    </row>
    <row r="56" spans="1:18" x14ac:dyDescent="0.2">
      <c r="A56" s="30" t="s">
        <v>680</v>
      </c>
      <c r="B56" s="38" t="s">
        <v>681</v>
      </c>
      <c r="C56" s="38" t="s">
        <v>383</v>
      </c>
      <c r="D56" s="38" t="s">
        <v>240</v>
      </c>
      <c r="E56" s="38" t="s">
        <v>682</v>
      </c>
      <c r="F56" s="38" t="s">
        <v>224</v>
      </c>
      <c r="G56" s="79" t="s">
        <v>247</v>
      </c>
      <c r="H56" s="88">
        <v>16.657722603358291</v>
      </c>
      <c r="I56" s="85">
        <v>585</v>
      </c>
      <c r="J56" s="85">
        <v>0</v>
      </c>
      <c r="K56" s="83">
        <v>9.7447677229646007E-2</v>
      </c>
      <c r="L56" s="38">
        <v>7.9043830103567653E-8</v>
      </c>
      <c r="M56" s="46">
        <v>6.8024811995762594E-7</v>
      </c>
      <c r="N56" s="46">
        <v>3.7659922863702572E-7</v>
      </c>
      <c r="O56" s="28"/>
      <c r="P56" s="28"/>
      <c r="Q56" s="28"/>
      <c r="R56" s="28"/>
    </row>
    <row r="57" spans="1:18" x14ac:dyDescent="0.2">
      <c r="A57" s="30" t="s">
        <v>561</v>
      </c>
      <c r="B57" s="38" t="s">
        <v>562</v>
      </c>
      <c r="C57" s="38" t="s">
        <v>383</v>
      </c>
      <c r="D57" s="38" t="s">
        <v>240</v>
      </c>
      <c r="E57" s="38" t="s">
        <v>563</v>
      </c>
      <c r="F57" s="38" t="s">
        <v>204</v>
      </c>
      <c r="G57" s="79" t="s">
        <v>247</v>
      </c>
      <c r="H57" s="88">
        <v>2570.9022909447372</v>
      </c>
      <c r="I57" s="85">
        <v>9525</v>
      </c>
      <c r="J57" s="85">
        <v>0</v>
      </c>
      <c r="K57" s="83">
        <v>244.87844319942749</v>
      </c>
      <c r="L57" s="38">
        <v>1.7519029182283652E-4</v>
      </c>
      <c r="M57" s="46">
        <v>1.7094106841767148E-3</v>
      </c>
      <c r="N57" s="46">
        <v>9.4636460755664041E-4</v>
      </c>
      <c r="O57" s="28"/>
      <c r="P57" s="28"/>
      <c r="Q57" s="28"/>
      <c r="R57" s="28"/>
    </row>
    <row r="58" spans="1:18" x14ac:dyDescent="0.2">
      <c r="A58" s="30" t="s">
        <v>573</v>
      </c>
      <c r="B58" s="38" t="s">
        <v>574</v>
      </c>
      <c r="C58" s="38" t="s">
        <v>383</v>
      </c>
      <c r="D58" s="38" t="s">
        <v>240</v>
      </c>
      <c r="E58" s="38" t="s">
        <v>575</v>
      </c>
      <c r="F58" s="38" t="s">
        <v>213</v>
      </c>
      <c r="G58" s="79" t="s">
        <v>247</v>
      </c>
      <c r="H58" s="88">
        <v>46036.706111125663</v>
      </c>
      <c r="I58" s="85">
        <v>1226</v>
      </c>
      <c r="J58" s="85">
        <v>0</v>
      </c>
      <c r="K58" s="83">
        <v>564.41001692240059</v>
      </c>
      <c r="L58" s="38">
        <v>4.2307370621186909E-4</v>
      </c>
      <c r="M58" s="46">
        <v>3.9399487377407812E-3</v>
      </c>
      <c r="N58" s="46">
        <v>2.1812359519568082E-3</v>
      </c>
      <c r="O58" s="28"/>
      <c r="P58" s="28"/>
      <c r="Q58" s="28"/>
      <c r="R58" s="28"/>
    </row>
    <row r="59" spans="1:18" x14ac:dyDescent="0.2">
      <c r="A59" s="30" t="s">
        <v>518</v>
      </c>
      <c r="B59" s="38" t="s">
        <v>519</v>
      </c>
      <c r="C59" s="38" t="s">
        <v>383</v>
      </c>
      <c r="D59" s="38" t="s">
        <v>240</v>
      </c>
      <c r="E59" s="38" t="s">
        <v>520</v>
      </c>
      <c r="F59" s="38" t="s">
        <v>406</v>
      </c>
      <c r="G59" s="79" t="s">
        <v>247</v>
      </c>
      <c r="H59" s="88">
        <v>4147.2922100765445</v>
      </c>
      <c r="I59" s="85">
        <v>11870</v>
      </c>
      <c r="J59" s="85">
        <v>0</v>
      </c>
      <c r="K59" s="83">
        <v>492.28358528907438</v>
      </c>
      <c r="L59" s="38">
        <v>1.5158277746517084E-4</v>
      </c>
      <c r="M59" s="46">
        <v>3.436459368751533E-3</v>
      </c>
      <c r="N59" s="46">
        <v>1.9024939717509604E-3</v>
      </c>
      <c r="O59" s="28"/>
      <c r="P59" s="28"/>
      <c r="Q59" s="28"/>
      <c r="R59" s="28"/>
    </row>
    <row r="60" spans="1:18" x14ac:dyDescent="0.2">
      <c r="A60" s="30" t="s">
        <v>576</v>
      </c>
      <c r="B60" s="38" t="s">
        <v>577</v>
      </c>
      <c r="C60" s="38" t="s">
        <v>383</v>
      </c>
      <c r="D60" s="38" t="s">
        <v>240</v>
      </c>
      <c r="E60" s="38" t="s">
        <v>578</v>
      </c>
      <c r="F60" s="38" t="s">
        <v>206</v>
      </c>
      <c r="G60" s="79" t="s">
        <v>247</v>
      </c>
      <c r="H60" s="88">
        <v>2339.477632079554</v>
      </c>
      <c r="I60" s="85">
        <v>6250</v>
      </c>
      <c r="J60" s="85">
        <v>3.172442115</v>
      </c>
      <c r="K60" s="83">
        <v>149.38979411963072</v>
      </c>
      <c r="L60" s="38">
        <v>1.0671279051253574E-4</v>
      </c>
      <c r="M60" s="46">
        <v>1.0428378539105868E-3</v>
      </c>
      <c r="N60" s="46">
        <v>5.773362981152853E-4</v>
      </c>
      <c r="O60" s="28"/>
      <c r="P60" s="28"/>
      <c r="Q60" s="28"/>
      <c r="R60" s="28"/>
    </row>
    <row r="61" spans="1:18" x14ac:dyDescent="0.2">
      <c r="A61" s="30" t="s">
        <v>645</v>
      </c>
      <c r="B61" s="38" t="s">
        <v>646</v>
      </c>
      <c r="C61" s="38" t="s">
        <v>383</v>
      </c>
      <c r="D61" s="38" t="s">
        <v>240</v>
      </c>
      <c r="E61" s="38" t="s">
        <v>647</v>
      </c>
      <c r="F61" s="38" t="s">
        <v>524</v>
      </c>
      <c r="G61" s="79" t="s">
        <v>247</v>
      </c>
      <c r="H61" s="88">
        <v>25271.629819974278</v>
      </c>
      <c r="I61" s="85">
        <v>1693</v>
      </c>
      <c r="J61" s="85">
        <v>0</v>
      </c>
      <c r="K61" s="83">
        <v>427.84869284119515</v>
      </c>
      <c r="L61" s="38">
        <v>4.4556583599605269E-4</v>
      </c>
      <c r="M61" s="46">
        <v>2.9866619421381976E-3</v>
      </c>
      <c r="N61" s="46">
        <v>1.6534769455575575E-3</v>
      </c>
      <c r="O61" s="28"/>
      <c r="P61" s="28"/>
      <c r="Q61" s="28"/>
      <c r="R61" s="28"/>
    </row>
    <row r="62" spans="1:18" x14ac:dyDescent="0.2">
      <c r="A62" s="30" t="s">
        <v>624</v>
      </c>
      <c r="B62" s="38" t="s">
        <v>625</v>
      </c>
      <c r="C62" s="38" t="s">
        <v>383</v>
      </c>
      <c r="D62" s="38" t="s">
        <v>240</v>
      </c>
      <c r="E62" s="38" t="s">
        <v>626</v>
      </c>
      <c r="F62" s="38" t="s">
        <v>201</v>
      </c>
      <c r="G62" s="79" t="s">
        <v>247</v>
      </c>
      <c r="H62" s="88">
        <v>80122.345072128839</v>
      </c>
      <c r="I62" s="85">
        <v>356.8</v>
      </c>
      <c r="J62" s="85">
        <v>0</v>
      </c>
      <c r="K62" s="83">
        <v>285.87652717556773</v>
      </c>
      <c r="L62" s="38">
        <v>1.0620897224820215E-4</v>
      </c>
      <c r="M62" s="46">
        <v>1.9956039556788267E-3</v>
      </c>
      <c r="N62" s="46">
        <v>1.104807037791532E-3</v>
      </c>
      <c r="O62" s="28"/>
      <c r="P62" s="28"/>
      <c r="Q62" s="28"/>
      <c r="R62" s="28"/>
    </row>
    <row r="63" spans="1:18" x14ac:dyDescent="0.2">
      <c r="A63" s="30" t="s">
        <v>521</v>
      </c>
      <c r="B63" s="38" t="s">
        <v>522</v>
      </c>
      <c r="C63" s="38" t="s">
        <v>383</v>
      </c>
      <c r="D63" s="38" t="s">
        <v>240</v>
      </c>
      <c r="E63" s="38" t="s">
        <v>523</v>
      </c>
      <c r="F63" s="38" t="s">
        <v>524</v>
      </c>
      <c r="G63" s="79" t="s">
        <v>247</v>
      </c>
      <c r="H63" s="88">
        <v>20697.440139303329</v>
      </c>
      <c r="I63" s="85">
        <v>8972</v>
      </c>
      <c r="J63" s="85">
        <v>0</v>
      </c>
      <c r="K63" s="83">
        <v>1856.9743292585961</v>
      </c>
      <c r="L63" s="38">
        <v>6.2020127748807822E-4</v>
      </c>
      <c r="M63" s="46">
        <v>1.2962887697270177E-2</v>
      </c>
      <c r="N63" s="46">
        <v>7.1765189266593454E-3</v>
      </c>
      <c r="O63" s="28"/>
      <c r="P63" s="28"/>
      <c r="Q63" s="28"/>
      <c r="R63" s="28"/>
    </row>
    <row r="64" spans="1:18" x14ac:dyDescent="0.2">
      <c r="A64" s="30" t="s">
        <v>633</v>
      </c>
      <c r="B64" s="38" t="s">
        <v>634</v>
      </c>
      <c r="C64" s="38" t="s">
        <v>383</v>
      </c>
      <c r="D64" s="38" t="s">
        <v>240</v>
      </c>
      <c r="E64" s="38" t="s">
        <v>635</v>
      </c>
      <c r="F64" s="38" t="s">
        <v>197</v>
      </c>
      <c r="G64" s="79" t="s">
        <v>247</v>
      </c>
      <c r="H64" s="88">
        <v>254.91695782034847</v>
      </c>
      <c r="I64" s="85">
        <v>4910</v>
      </c>
      <c r="J64" s="85">
        <v>0</v>
      </c>
      <c r="K64" s="83">
        <v>12.516422628979109</v>
      </c>
      <c r="L64" s="38">
        <v>1.0307701326881621E-5</v>
      </c>
      <c r="M64" s="46">
        <v>8.7372764585176506E-5</v>
      </c>
      <c r="N64" s="46">
        <v>4.8371343898328741E-5</v>
      </c>
      <c r="O64" s="28"/>
      <c r="P64" s="28"/>
      <c r="Q64" s="28"/>
      <c r="R64" s="28"/>
    </row>
    <row r="65" spans="1:18" x14ac:dyDescent="0.2">
      <c r="A65" s="30" t="s">
        <v>579</v>
      </c>
      <c r="B65" s="38" t="s">
        <v>580</v>
      </c>
      <c r="C65" s="38" t="s">
        <v>383</v>
      </c>
      <c r="D65" s="38" t="s">
        <v>240</v>
      </c>
      <c r="E65" s="38" t="s">
        <v>581</v>
      </c>
      <c r="F65" s="38" t="s">
        <v>437</v>
      </c>
      <c r="G65" s="79" t="s">
        <v>247</v>
      </c>
      <c r="H65" s="88">
        <v>50643.968919113213</v>
      </c>
      <c r="I65" s="85">
        <v>1695</v>
      </c>
      <c r="J65" s="85">
        <v>0</v>
      </c>
      <c r="K65" s="83">
        <v>858.41527317896896</v>
      </c>
      <c r="L65" s="38">
        <v>5.8393808969263211E-4</v>
      </c>
      <c r="M65" s="46">
        <v>5.9922965054035977E-3</v>
      </c>
      <c r="N65" s="46">
        <v>3.3174575209997106E-3</v>
      </c>
      <c r="O65" s="28"/>
      <c r="P65" s="28"/>
      <c r="Q65" s="28"/>
      <c r="R65" s="28"/>
    </row>
    <row r="66" spans="1:18" x14ac:dyDescent="0.2">
      <c r="A66" s="30" t="s">
        <v>555</v>
      </c>
      <c r="B66" s="38" t="s">
        <v>556</v>
      </c>
      <c r="C66" s="38" t="s">
        <v>383</v>
      </c>
      <c r="D66" s="38" t="s">
        <v>240</v>
      </c>
      <c r="E66" s="38" t="s">
        <v>557</v>
      </c>
      <c r="F66" s="38" t="s">
        <v>524</v>
      </c>
      <c r="G66" s="79" t="s">
        <v>247</v>
      </c>
      <c r="H66" s="88">
        <v>661.60807287698879</v>
      </c>
      <c r="I66" s="85">
        <v>28940.000000000004</v>
      </c>
      <c r="J66" s="85">
        <v>0</v>
      </c>
      <c r="K66" s="83">
        <v>191.46937626970657</v>
      </c>
      <c r="L66" s="38">
        <v>8.5579972884956585E-5</v>
      </c>
      <c r="M66" s="46">
        <v>1.3365806855507368E-3</v>
      </c>
      <c r="N66" s="46">
        <v>7.3995831876890665E-4</v>
      </c>
      <c r="O66" s="28"/>
      <c r="P66" s="28"/>
      <c r="Q66" s="28"/>
      <c r="R66" s="28"/>
    </row>
    <row r="67" spans="1:18" x14ac:dyDescent="0.2">
      <c r="A67" s="30" t="s">
        <v>597</v>
      </c>
      <c r="B67" s="38" t="s">
        <v>598</v>
      </c>
      <c r="C67" s="38" t="s">
        <v>383</v>
      </c>
      <c r="D67" s="38" t="s">
        <v>240</v>
      </c>
      <c r="E67" s="38" t="s">
        <v>599</v>
      </c>
      <c r="F67" s="38" t="s">
        <v>462</v>
      </c>
      <c r="G67" s="79" t="s">
        <v>247</v>
      </c>
      <c r="H67" s="88">
        <v>4539.9737050857993</v>
      </c>
      <c r="I67" s="85">
        <v>7013</v>
      </c>
      <c r="J67" s="85">
        <v>0</v>
      </c>
      <c r="K67" s="83">
        <v>318.38835589222271</v>
      </c>
      <c r="L67" s="38">
        <v>2.8593176728431639E-4</v>
      </c>
      <c r="M67" s="46">
        <v>2.2225576501088123E-3</v>
      </c>
      <c r="N67" s="46">
        <v>1.2304532303366576E-3</v>
      </c>
      <c r="O67" s="28"/>
      <c r="P67" s="28"/>
      <c r="Q67" s="28"/>
      <c r="R67" s="28"/>
    </row>
    <row r="68" spans="1:18" x14ac:dyDescent="0.2">
      <c r="A68" s="30" t="s">
        <v>525</v>
      </c>
      <c r="B68" s="38" t="s">
        <v>526</v>
      </c>
      <c r="C68" s="38" t="s">
        <v>383</v>
      </c>
      <c r="D68" s="38" t="s">
        <v>240</v>
      </c>
      <c r="E68" s="38" t="s">
        <v>527</v>
      </c>
      <c r="F68" s="38" t="s">
        <v>206</v>
      </c>
      <c r="G68" s="79" t="s">
        <v>247</v>
      </c>
      <c r="H68" s="88">
        <v>16675.644411527661</v>
      </c>
      <c r="I68" s="85">
        <v>1392</v>
      </c>
      <c r="J68" s="85">
        <v>0</v>
      </c>
      <c r="K68" s="83">
        <v>232.12497020846504</v>
      </c>
      <c r="L68" s="38">
        <v>1.7892138225238284E-4</v>
      </c>
      <c r="M68" s="46">
        <v>1.6203831540018523E-3</v>
      </c>
      <c r="N68" s="46">
        <v>8.9707715168921189E-4</v>
      </c>
      <c r="O68" s="28"/>
      <c r="P68" s="28"/>
      <c r="Q68" s="28"/>
      <c r="R68" s="28"/>
    </row>
    <row r="69" spans="1:18" x14ac:dyDescent="0.2">
      <c r="A69" s="30" t="s">
        <v>552</v>
      </c>
      <c r="B69" s="38" t="s">
        <v>553</v>
      </c>
      <c r="C69" s="38" t="s">
        <v>383</v>
      </c>
      <c r="D69" s="38" t="s">
        <v>240</v>
      </c>
      <c r="E69" s="38" t="s">
        <v>554</v>
      </c>
      <c r="F69" s="38" t="s">
        <v>212</v>
      </c>
      <c r="G69" s="79" t="s">
        <v>247</v>
      </c>
      <c r="H69" s="88">
        <v>8210.9817184376025</v>
      </c>
      <c r="I69" s="85">
        <v>5496</v>
      </c>
      <c r="J69" s="85">
        <v>0</v>
      </c>
      <c r="K69" s="83">
        <v>451.27555520563203</v>
      </c>
      <c r="L69" s="38">
        <v>3.2180096534381271E-4</v>
      </c>
      <c r="M69" s="46">
        <v>3.1501966669563088E-3</v>
      </c>
      <c r="N69" s="46">
        <v>1.7440131034902032E-3</v>
      </c>
      <c r="O69" s="28"/>
      <c r="P69" s="28"/>
      <c r="Q69" s="28"/>
      <c r="R69" s="28"/>
    </row>
    <row r="70" spans="1:18" x14ac:dyDescent="0.2">
      <c r="A70" s="30" t="s">
        <v>594</v>
      </c>
      <c r="B70" s="38" t="s">
        <v>595</v>
      </c>
      <c r="C70" s="38" t="s">
        <v>383</v>
      </c>
      <c r="D70" s="38" t="s">
        <v>240</v>
      </c>
      <c r="E70" s="38" t="s">
        <v>596</v>
      </c>
      <c r="F70" s="38" t="s">
        <v>213</v>
      </c>
      <c r="G70" s="79" t="s">
        <v>247</v>
      </c>
      <c r="H70" s="88">
        <v>10373.786102901573</v>
      </c>
      <c r="I70" s="85">
        <v>5140</v>
      </c>
      <c r="J70" s="85">
        <v>0</v>
      </c>
      <c r="K70" s="83">
        <v>533.2126056891409</v>
      </c>
      <c r="L70" s="38">
        <v>7.3857627715148407E-4</v>
      </c>
      <c r="M70" s="46">
        <v>3.7221705316070634E-3</v>
      </c>
      <c r="N70" s="46">
        <v>2.0606694968094978E-3</v>
      </c>
      <c r="O70" s="28"/>
      <c r="P70" s="28"/>
      <c r="Q70" s="28"/>
      <c r="R70" s="28"/>
    </row>
    <row r="71" spans="1:18" x14ac:dyDescent="0.2">
      <c r="A71" s="30" t="s">
        <v>642</v>
      </c>
      <c r="B71" s="38" t="s">
        <v>643</v>
      </c>
      <c r="C71" s="38" t="s">
        <v>383</v>
      </c>
      <c r="D71" s="38" t="s">
        <v>240</v>
      </c>
      <c r="E71" s="38" t="s">
        <v>644</v>
      </c>
      <c r="F71" s="38" t="s">
        <v>517</v>
      </c>
      <c r="G71" s="79" t="s">
        <v>247</v>
      </c>
      <c r="H71" s="88">
        <v>2626.388491105788</v>
      </c>
      <c r="I71" s="85">
        <v>23400</v>
      </c>
      <c r="J71" s="85">
        <v>0</v>
      </c>
      <c r="K71" s="83">
        <v>614.57490691875444</v>
      </c>
      <c r="L71" s="38">
        <v>3.8608314276139272E-4</v>
      </c>
      <c r="M71" s="46">
        <v>4.2901322729263615E-3</v>
      </c>
      <c r="N71" s="46">
        <v>2.3751046968502028E-3</v>
      </c>
      <c r="O71" s="28"/>
      <c r="P71" s="28"/>
      <c r="Q71" s="28"/>
      <c r="R71" s="28"/>
    </row>
    <row r="72" spans="1:18" x14ac:dyDescent="0.2">
      <c r="A72" s="30" t="s">
        <v>639</v>
      </c>
      <c r="B72" s="38" t="s">
        <v>640</v>
      </c>
      <c r="C72" s="38" t="s">
        <v>383</v>
      </c>
      <c r="D72" s="38" t="s">
        <v>240</v>
      </c>
      <c r="E72" s="38" t="s">
        <v>641</v>
      </c>
      <c r="F72" s="38" t="s">
        <v>206</v>
      </c>
      <c r="G72" s="79" t="s">
        <v>247</v>
      </c>
      <c r="H72" s="88">
        <v>5720.8542862212771</v>
      </c>
      <c r="I72" s="85">
        <v>6380</v>
      </c>
      <c r="J72" s="85">
        <v>0</v>
      </c>
      <c r="K72" s="83">
        <v>364.99050346091752</v>
      </c>
      <c r="L72" s="38">
        <v>3.9544003285127107E-4</v>
      </c>
      <c r="M72" s="46">
        <v>2.5478709276627303E-3</v>
      </c>
      <c r="N72" s="46">
        <v>1.4105532935309814E-3</v>
      </c>
      <c r="O72" s="28"/>
      <c r="P72" s="28"/>
      <c r="Q72" s="28"/>
      <c r="R72" s="28"/>
    </row>
    <row r="73" spans="1:18" x14ac:dyDescent="0.2">
      <c r="A73" s="30" t="s">
        <v>677</v>
      </c>
      <c r="B73" s="38" t="s">
        <v>678</v>
      </c>
      <c r="C73" s="38" t="s">
        <v>383</v>
      </c>
      <c r="D73" s="38" t="s">
        <v>240</v>
      </c>
      <c r="E73" s="38" t="s">
        <v>679</v>
      </c>
      <c r="F73" s="38" t="s">
        <v>437</v>
      </c>
      <c r="G73" s="79" t="s">
        <v>247</v>
      </c>
      <c r="H73" s="88">
        <v>1019.0880234391321</v>
      </c>
      <c r="I73" s="85">
        <v>1753</v>
      </c>
      <c r="J73" s="85">
        <v>0</v>
      </c>
      <c r="K73" s="83">
        <v>17.864613050887986</v>
      </c>
      <c r="L73" s="38">
        <v>2.1649006726526605E-5</v>
      </c>
      <c r="M73" s="46">
        <v>1.2470660960957176E-4</v>
      </c>
      <c r="N73" s="46">
        <v>6.904012169534395E-5</v>
      </c>
      <c r="O73" s="28"/>
      <c r="P73" s="28"/>
      <c r="Q73" s="28"/>
      <c r="R73" s="28"/>
    </row>
    <row r="74" spans="1:18" x14ac:dyDescent="0.2">
      <c r="A74" s="30" t="s">
        <v>540</v>
      </c>
      <c r="B74" s="38" t="s">
        <v>541</v>
      </c>
      <c r="C74" s="38" t="s">
        <v>383</v>
      </c>
      <c r="D74" s="38" t="s">
        <v>240</v>
      </c>
      <c r="E74" s="38" t="s">
        <v>542</v>
      </c>
      <c r="F74" s="38" t="s">
        <v>437</v>
      </c>
      <c r="G74" s="79" t="s">
        <v>247</v>
      </c>
      <c r="H74" s="88">
        <v>743.96288185809431</v>
      </c>
      <c r="I74" s="85">
        <v>22170</v>
      </c>
      <c r="J74" s="85">
        <v>0</v>
      </c>
      <c r="K74" s="83">
        <v>164.93657089226903</v>
      </c>
      <c r="L74" s="38">
        <v>1.1812812235160594E-4</v>
      </c>
      <c r="M74" s="46">
        <v>1.1513644598969502E-3</v>
      </c>
      <c r="N74" s="46">
        <v>6.3741883991430526E-4</v>
      </c>
      <c r="O74" s="28"/>
      <c r="P74" s="28"/>
      <c r="Q74" s="28"/>
      <c r="R74" s="28"/>
    </row>
    <row r="75" spans="1:18" x14ac:dyDescent="0.2">
      <c r="A75" s="30" t="s">
        <v>505</v>
      </c>
      <c r="B75" s="38" t="s">
        <v>506</v>
      </c>
      <c r="C75" s="38" t="s">
        <v>383</v>
      </c>
      <c r="D75" s="38" t="s">
        <v>240</v>
      </c>
      <c r="E75" s="38" t="s">
        <v>507</v>
      </c>
      <c r="F75" s="38" t="s">
        <v>437</v>
      </c>
      <c r="G75" s="79" t="s">
        <v>247</v>
      </c>
      <c r="H75" s="88">
        <v>894.28898206707265</v>
      </c>
      <c r="I75" s="85">
        <v>207340</v>
      </c>
      <c r="J75" s="85">
        <v>0</v>
      </c>
      <c r="K75" s="83">
        <v>1854.2187754074214</v>
      </c>
      <c r="L75" s="38">
        <v>4.1852668278163506E-4</v>
      </c>
      <c r="M75" s="46">
        <v>1.2943652140507893E-2</v>
      </c>
      <c r="N75" s="46">
        <v>7.1658697302462316E-3</v>
      </c>
      <c r="O75" s="28"/>
      <c r="P75" s="28"/>
      <c r="Q75" s="28"/>
      <c r="R75" s="28"/>
    </row>
    <row r="76" spans="1:18" x14ac:dyDescent="0.2">
      <c r="A76" s="30" t="s">
        <v>627</v>
      </c>
      <c r="B76" s="38" t="s">
        <v>628</v>
      </c>
      <c r="C76" s="38" t="s">
        <v>383</v>
      </c>
      <c r="D76" s="38" t="s">
        <v>240</v>
      </c>
      <c r="E76" s="38" t="s">
        <v>629</v>
      </c>
      <c r="F76" s="38" t="s">
        <v>209</v>
      </c>
      <c r="G76" s="79" t="s">
        <v>247</v>
      </c>
      <c r="H76" s="88">
        <v>58495.747612998341</v>
      </c>
      <c r="I76" s="85">
        <v>1323</v>
      </c>
      <c r="J76" s="85">
        <v>0</v>
      </c>
      <c r="K76" s="83">
        <v>773.89874091996796</v>
      </c>
      <c r="L76" s="38">
        <v>3.1867227151338072E-4</v>
      </c>
      <c r="M76" s="46">
        <v>5.4023161815110457E-3</v>
      </c>
      <c r="N76" s="46">
        <v>2.9908323847144414E-3</v>
      </c>
      <c r="O76" s="28"/>
      <c r="P76" s="28"/>
      <c r="Q76" s="28"/>
      <c r="R76" s="28"/>
    </row>
    <row r="77" spans="1:18" x14ac:dyDescent="0.2">
      <c r="A77" s="30" t="s">
        <v>648</v>
      </c>
      <c r="B77" s="38" t="s">
        <v>649</v>
      </c>
      <c r="C77" s="38" t="s">
        <v>383</v>
      </c>
      <c r="D77" s="38" t="s">
        <v>240</v>
      </c>
      <c r="E77" s="38" t="s">
        <v>650</v>
      </c>
      <c r="F77" s="38" t="s">
        <v>224</v>
      </c>
      <c r="G77" s="79" t="s">
        <v>247</v>
      </c>
      <c r="H77" s="88">
        <v>2164.2450763646402</v>
      </c>
      <c r="I77" s="85">
        <v>9800</v>
      </c>
      <c r="J77" s="85">
        <v>0</v>
      </c>
      <c r="K77" s="83">
        <v>212.09601748373473</v>
      </c>
      <c r="L77" s="38">
        <v>1.1568633739053686E-4</v>
      </c>
      <c r="M77" s="46">
        <v>1.4805680468278765E-3</v>
      </c>
      <c r="N77" s="46">
        <v>8.1967265769839815E-4</v>
      </c>
      <c r="O77" s="28"/>
      <c r="P77" s="28"/>
      <c r="Q77" s="28"/>
      <c r="R77" s="28"/>
    </row>
    <row r="78" spans="1:18" x14ac:dyDescent="0.2">
      <c r="A78" s="30" t="s">
        <v>654</v>
      </c>
      <c r="B78" s="38" t="s">
        <v>655</v>
      </c>
      <c r="C78" s="38" t="s">
        <v>383</v>
      </c>
      <c r="D78" s="38" t="s">
        <v>240</v>
      </c>
      <c r="E78" s="38" t="s">
        <v>650</v>
      </c>
      <c r="F78" s="38" t="s">
        <v>224</v>
      </c>
      <c r="G78" s="79" t="s">
        <v>247</v>
      </c>
      <c r="H78" s="88">
        <v>2405.173517053664</v>
      </c>
      <c r="I78" s="85">
        <v>9551.77</v>
      </c>
      <c r="J78" s="85">
        <v>0</v>
      </c>
      <c r="K78" s="83">
        <v>229.73664240756648</v>
      </c>
      <c r="L78" s="38">
        <v>1.285645912717977E-4</v>
      </c>
      <c r="M78" s="46">
        <v>1.6037110737369209E-3</v>
      </c>
      <c r="N78" s="46">
        <v>8.8784714813118829E-4</v>
      </c>
      <c r="O78" s="28"/>
      <c r="P78" s="28"/>
      <c r="Q78" s="28"/>
      <c r="R78" s="28"/>
    </row>
    <row r="79" spans="1:18" x14ac:dyDescent="0.2">
      <c r="A79" s="30" t="s">
        <v>660</v>
      </c>
      <c r="B79" s="38" t="s">
        <v>661</v>
      </c>
      <c r="C79" s="38" t="s">
        <v>383</v>
      </c>
      <c r="D79" s="38" t="s">
        <v>240</v>
      </c>
      <c r="E79" s="38" t="s">
        <v>662</v>
      </c>
      <c r="F79" s="38" t="s">
        <v>207</v>
      </c>
      <c r="G79" s="79" t="s">
        <v>247</v>
      </c>
      <c r="H79" s="88">
        <v>39301.835814211525</v>
      </c>
      <c r="I79" s="85">
        <v>545.16999999999996</v>
      </c>
      <c r="J79" s="85">
        <v>0</v>
      </c>
      <c r="K79" s="83">
        <v>214.26181827333957</v>
      </c>
      <c r="L79" s="38">
        <v>1.4748870816228454E-4</v>
      </c>
      <c r="M79" s="46">
        <v>1.4956867439299066E-3</v>
      </c>
      <c r="N79" s="46">
        <v>8.2804267666585385E-4</v>
      </c>
      <c r="O79" s="28"/>
      <c r="P79" s="28"/>
      <c r="Q79" s="28"/>
      <c r="R79" s="28"/>
    </row>
    <row r="80" spans="1:18" x14ac:dyDescent="0.2">
      <c r="A80" s="30" t="s">
        <v>675</v>
      </c>
      <c r="B80" s="38" t="s">
        <v>676</v>
      </c>
      <c r="C80" s="38" t="s">
        <v>383</v>
      </c>
      <c r="D80" s="38" t="s">
        <v>240</v>
      </c>
      <c r="E80" s="38" t="s">
        <v>662</v>
      </c>
      <c r="F80" s="38" t="s">
        <v>224</v>
      </c>
      <c r="G80" s="79" t="s">
        <v>247</v>
      </c>
      <c r="H80" s="88">
        <v>8759.0212622025574</v>
      </c>
      <c r="I80" s="85">
        <v>556</v>
      </c>
      <c r="J80" s="85">
        <v>0</v>
      </c>
      <c r="K80" s="83">
        <v>48.700158217846209</v>
      </c>
      <c r="L80" s="38">
        <v>3.2870137080494934E-5</v>
      </c>
      <c r="M80" s="46">
        <v>3.3995875541762419E-4</v>
      </c>
      <c r="N80" s="46">
        <v>1.882080983430806E-4</v>
      </c>
      <c r="O80" s="28"/>
      <c r="P80" s="28"/>
      <c r="Q80" s="28"/>
      <c r="R80" s="28"/>
    </row>
    <row r="81" spans="1:18" x14ac:dyDescent="0.2">
      <c r="A81" s="30" t="s">
        <v>612</v>
      </c>
      <c r="B81" s="38" t="s">
        <v>613</v>
      </c>
      <c r="C81" s="38" t="s">
        <v>383</v>
      </c>
      <c r="D81" s="38" t="s">
        <v>240</v>
      </c>
      <c r="E81" s="38" t="s">
        <v>614</v>
      </c>
      <c r="F81" s="38" t="s">
        <v>437</v>
      </c>
      <c r="G81" s="79" t="s">
        <v>247</v>
      </c>
      <c r="H81" s="88">
        <v>629.55117633256543</v>
      </c>
      <c r="I81" s="85">
        <v>64800</v>
      </c>
      <c r="J81" s="85">
        <v>5.0364094109999993</v>
      </c>
      <c r="K81" s="83">
        <v>412.98557167416294</v>
      </c>
      <c r="L81" s="38">
        <v>1.1649949894160905E-4</v>
      </c>
      <c r="M81" s="46">
        <v>2.8829076965983138E-3</v>
      </c>
      <c r="N81" s="46">
        <v>1.5960364798043103E-3</v>
      </c>
      <c r="O81" s="28"/>
      <c r="P81" s="28"/>
      <c r="Q81" s="28"/>
      <c r="R81" s="28"/>
    </row>
    <row r="82" spans="1:18" x14ac:dyDescent="0.2">
      <c r="A82" s="30" t="s">
        <v>669</v>
      </c>
      <c r="B82" s="38" t="s">
        <v>670</v>
      </c>
      <c r="C82" s="38" t="s">
        <v>383</v>
      </c>
      <c r="D82" s="38" t="s">
        <v>240</v>
      </c>
      <c r="E82" s="38" t="s">
        <v>671</v>
      </c>
      <c r="F82" s="38" t="s">
        <v>206</v>
      </c>
      <c r="G82" s="79" t="s">
        <v>247</v>
      </c>
      <c r="H82" s="88">
        <v>1893.1927453483763</v>
      </c>
      <c r="I82" s="85">
        <v>14030.000000000002</v>
      </c>
      <c r="J82" s="85">
        <v>0</v>
      </c>
      <c r="K82" s="83">
        <v>265.6149421723772</v>
      </c>
      <c r="L82" s="38">
        <v>1.4903849220744049E-4</v>
      </c>
      <c r="M82" s="46">
        <v>1.8541649240095435E-3</v>
      </c>
      <c r="N82" s="46">
        <v>1.0265035060902786E-3</v>
      </c>
      <c r="O82" s="28"/>
      <c r="P82" s="28"/>
      <c r="Q82" s="28"/>
      <c r="R82" s="28"/>
    </row>
    <row r="83" spans="1:18" x14ac:dyDescent="0.2">
      <c r="A83" s="30" t="s">
        <v>567</v>
      </c>
      <c r="B83" s="38" t="s">
        <v>568</v>
      </c>
      <c r="C83" s="38" t="s">
        <v>383</v>
      </c>
      <c r="D83" s="38" t="s">
        <v>240</v>
      </c>
      <c r="E83" s="38" t="s">
        <v>569</v>
      </c>
      <c r="F83" s="38" t="s">
        <v>204</v>
      </c>
      <c r="G83" s="79" t="s">
        <v>247</v>
      </c>
      <c r="H83" s="88">
        <v>78372.911136829425</v>
      </c>
      <c r="I83" s="85">
        <v>186.1</v>
      </c>
      <c r="J83" s="85">
        <v>0</v>
      </c>
      <c r="K83" s="83">
        <v>145.85198760798417</v>
      </c>
      <c r="L83" s="38">
        <v>7.4364075171301321E-5</v>
      </c>
      <c r="M83" s="46">
        <v>1.0181416651789659E-3</v>
      </c>
      <c r="N83" s="46">
        <v>5.6366398450832941E-4</v>
      </c>
      <c r="O83" s="28"/>
      <c r="P83" s="28"/>
      <c r="Q83" s="28"/>
      <c r="R83" s="28"/>
    </row>
    <row r="84" spans="1:18" x14ac:dyDescent="0.2">
      <c r="A84" s="30" t="s">
        <v>603</v>
      </c>
      <c r="B84" s="38" t="s">
        <v>604</v>
      </c>
      <c r="C84" s="38" t="s">
        <v>383</v>
      </c>
      <c r="D84" s="38" t="s">
        <v>240</v>
      </c>
      <c r="E84" s="38" t="s">
        <v>605</v>
      </c>
      <c r="F84" s="38" t="s">
        <v>437</v>
      </c>
      <c r="G84" s="79" t="s">
        <v>247</v>
      </c>
      <c r="H84" s="88">
        <v>19535.136549198978</v>
      </c>
      <c r="I84" s="85">
        <v>659</v>
      </c>
      <c r="J84" s="85">
        <v>0</v>
      </c>
      <c r="K84" s="83">
        <v>128.73654985922124</v>
      </c>
      <c r="L84" s="38">
        <v>1.3020474187091342E-4</v>
      </c>
      <c r="M84" s="46">
        <v>8.9866478607993538E-4</v>
      </c>
      <c r="N84" s="46">
        <v>4.9751914825143996E-4</v>
      </c>
      <c r="O84" s="28"/>
      <c r="P84" s="28"/>
      <c r="Q84" s="28"/>
      <c r="R84" s="28"/>
    </row>
    <row r="85" spans="1:18" x14ac:dyDescent="0.2">
      <c r="A85" s="30" t="s">
        <v>600</v>
      </c>
      <c r="B85" s="38" t="s">
        <v>601</v>
      </c>
      <c r="C85" s="38" t="s">
        <v>383</v>
      </c>
      <c r="D85" s="38" t="s">
        <v>240</v>
      </c>
      <c r="E85" s="38" t="s">
        <v>602</v>
      </c>
      <c r="F85" s="38" t="s">
        <v>437</v>
      </c>
      <c r="G85" s="79" t="s">
        <v>247</v>
      </c>
      <c r="H85" s="88">
        <v>18302.167337388222</v>
      </c>
      <c r="I85" s="85">
        <v>8629</v>
      </c>
      <c r="J85" s="85">
        <v>19.306424500000002</v>
      </c>
      <c r="K85" s="83">
        <v>1598.6004440462709</v>
      </c>
      <c r="L85" s="38">
        <v>5.0387489902739492E-4</v>
      </c>
      <c r="M85" s="46">
        <v>1.1159270056927269E-2</v>
      </c>
      <c r="N85" s="46">
        <v>6.1779994274043029E-3</v>
      </c>
      <c r="O85" s="28"/>
      <c r="P85" s="28"/>
      <c r="Q85" s="28"/>
      <c r="R85" s="28"/>
    </row>
    <row r="86" spans="1:18" x14ac:dyDescent="0.2">
      <c r="A86" s="30" t="s">
        <v>656</v>
      </c>
      <c r="B86" s="38" t="s">
        <v>657</v>
      </c>
      <c r="C86" s="38" t="s">
        <v>383</v>
      </c>
      <c r="D86" s="38" t="s">
        <v>240</v>
      </c>
      <c r="E86" s="38" t="s">
        <v>602</v>
      </c>
      <c r="F86" s="38" t="s">
        <v>437</v>
      </c>
      <c r="G86" s="79" t="s">
        <v>247</v>
      </c>
      <c r="H86" s="88">
        <v>5073.2089264148854</v>
      </c>
      <c r="I86" s="85">
        <v>8530.44</v>
      </c>
      <c r="J86" s="85">
        <v>0</v>
      </c>
      <c r="K86" s="83">
        <v>432.76704350276742</v>
      </c>
      <c r="L86" s="38">
        <v>1.4769493957988257E-4</v>
      </c>
      <c r="M86" s="46">
        <v>3.0209952262753082E-3</v>
      </c>
      <c r="N86" s="46">
        <v>1.6724845516695997E-3</v>
      </c>
      <c r="O86" s="28"/>
      <c r="P86" s="28"/>
      <c r="Q86" s="28"/>
      <c r="R86" s="28"/>
    </row>
    <row r="87" spans="1:18" x14ac:dyDescent="0.2">
      <c r="A87" s="30" t="s">
        <v>514</v>
      </c>
      <c r="B87" s="38" t="s">
        <v>515</v>
      </c>
      <c r="C87" s="38" t="s">
        <v>383</v>
      </c>
      <c r="D87" s="38" t="s">
        <v>240</v>
      </c>
      <c r="E87" s="38" t="s">
        <v>516</v>
      </c>
      <c r="F87" s="38" t="s">
        <v>517</v>
      </c>
      <c r="G87" s="79" t="s">
        <v>247</v>
      </c>
      <c r="H87" s="88">
        <v>6024.6892660486656</v>
      </c>
      <c r="I87" s="85">
        <v>5810</v>
      </c>
      <c r="J87" s="85">
        <v>0</v>
      </c>
      <c r="K87" s="83">
        <v>350.03444635742744</v>
      </c>
      <c r="L87" s="38">
        <v>9.6958297011772465E-5</v>
      </c>
      <c r="M87" s="46">
        <v>2.4434679288857326E-3</v>
      </c>
      <c r="N87" s="46">
        <v>1.3527536647583815E-3</v>
      </c>
      <c r="O87" s="28"/>
      <c r="P87" s="28"/>
      <c r="Q87" s="28"/>
      <c r="R87" s="28"/>
    </row>
    <row r="88" spans="1:18" x14ac:dyDescent="0.2">
      <c r="A88" s="30" t="s">
        <v>585</v>
      </c>
      <c r="B88" s="38" t="s">
        <v>586</v>
      </c>
      <c r="C88" s="38" t="s">
        <v>383</v>
      </c>
      <c r="D88" s="38" t="s">
        <v>240</v>
      </c>
      <c r="E88" s="38" t="s">
        <v>587</v>
      </c>
      <c r="F88" s="38" t="s">
        <v>517</v>
      </c>
      <c r="G88" s="79" t="s">
        <v>247</v>
      </c>
      <c r="H88" s="88">
        <v>419.49358562342456</v>
      </c>
      <c r="I88" s="85">
        <v>60430.000000000007</v>
      </c>
      <c r="J88" s="85">
        <v>0</v>
      </c>
      <c r="K88" s="83">
        <v>253.49997379223547</v>
      </c>
      <c r="L88" s="38">
        <v>1.9159131263906548E-4</v>
      </c>
      <c r="M88" s="46">
        <v>1.7695945709931627E-3</v>
      </c>
      <c r="N88" s="46">
        <v>9.7968363437418498E-4</v>
      </c>
      <c r="O88" s="28"/>
      <c r="P88" s="28"/>
      <c r="Q88" s="28"/>
      <c r="R88" s="28"/>
    </row>
    <row r="89" spans="1:18" x14ac:dyDescent="0.2">
      <c r="A89" s="30" t="s">
        <v>511</v>
      </c>
      <c r="B89" s="38" t="s">
        <v>512</v>
      </c>
      <c r="C89" s="38" t="s">
        <v>383</v>
      </c>
      <c r="D89" s="38" t="s">
        <v>240</v>
      </c>
      <c r="E89" s="38" t="s">
        <v>513</v>
      </c>
      <c r="F89" s="38" t="s">
        <v>204</v>
      </c>
      <c r="G89" s="79" t="s">
        <v>247</v>
      </c>
      <c r="H89" s="88">
        <v>5802.1161835371895</v>
      </c>
      <c r="I89" s="85">
        <v>4006</v>
      </c>
      <c r="J89" s="85">
        <v>0</v>
      </c>
      <c r="K89" s="83">
        <v>232.43277431249982</v>
      </c>
      <c r="L89" s="38">
        <v>9.17012661354873E-5</v>
      </c>
      <c r="M89" s="46">
        <v>1.6225318266951116E-3</v>
      </c>
      <c r="N89" s="46">
        <v>8.9826670070101262E-4</v>
      </c>
      <c r="O89" s="28"/>
      <c r="P89" s="28"/>
      <c r="Q89" s="28"/>
      <c r="R89" s="28"/>
    </row>
    <row r="90" spans="1:18" x14ac:dyDescent="0.2">
      <c r="A90" s="30" t="s">
        <v>549</v>
      </c>
      <c r="B90" s="38" t="s">
        <v>550</v>
      </c>
      <c r="C90" s="38" t="s">
        <v>383</v>
      </c>
      <c r="D90" s="38" t="s">
        <v>240</v>
      </c>
      <c r="E90" s="38" t="s">
        <v>551</v>
      </c>
      <c r="F90" s="38" t="s">
        <v>200</v>
      </c>
      <c r="G90" s="79" t="s">
        <v>247</v>
      </c>
      <c r="H90" s="88">
        <v>359.23013448672197</v>
      </c>
      <c r="I90" s="85">
        <v>11700</v>
      </c>
      <c r="J90" s="85">
        <v>0</v>
      </c>
      <c r="K90" s="83">
        <v>42.029925734946467</v>
      </c>
      <c r="L90" s="38">
        <v>1.2827074457481939E-5</v>
      </c>
      <c r="M90" s="46">
        <v>2.9339619759000216E-4</v>
      </c>
      <c r="N90" s="46">
        <v>1.624301169760146E-4</v>
      </c>
      <c r="O90" s="28"/>
      <c r="P90" s="28"/>
      <c r="Q90" s="28"/>
      <c r="R90" s="28"/>
    </row>
    <row r="91" spans="1:18" x14ac:dyDescent="0.2">
      <c r="A91" s="30" t="s">
        <v>666</v>
      </c>
      <c r="B91" s="38" t="s">
        <v>667</v>
      </c>
      <c r="C91" s="38" t="s">
        <v>383</v>
      </c>
      <c r="D91" s="38" t="s">
        <v>240</v>
      </c>
      <c r="E91" s="38" t="s">
        <v>668</v>
      </c>
      <c r="F91" s="38" t="s">
        <v>206</v>
      </c>
      <c r="G91" s="79" t="s">
        <v>247</v>
      </c>
      <c r="H91" s="88">
        <v>7259.4031248802812</v>
      </c>
      <c r="I91" s="85">
        <v>5418</v>
      </c>
      <c r="J91" s="85">
        <v>0</v>
      </c>
      <c r="K91" s="83">
        <v>393.31446130601364</v>
      </c>
      <c r="L91" s="38">
        <v>3.4774327791371181E-4</v>
      </c>
      <c r="M91" s="46">
        <v>2.745590561641077E-3</v>
      </c>
      <c r="N91" s="46">
        <v>1.5200149141632866E-3</v>
      </c>
      <c r="O91" s="28"/>
      <c r="P91" s="28"/>
      <c r="Q91" s="28"/>
      <c r="R91" s="28"/>
    </row>
    <row r="92" spans="1:18" x14ac:dyDescent="0.2">
      <c r="A92" s="30" t="s">
        <v>588</v>
      </c>
      <c r="B92" s="38" t="s">
        <v>589</v>
      </c>
      <c r="C92" s="38" t="s">
        <v>383</v>
      </c>
      <c r="D92" s="38" t="s">
        <v>240</v>
      </c>
      <c r="E92" s="38" t="s">
        <v>590</v>
      </c>
      <c r="F92" s="38" t="s">
        <v>216</v>
      </c>
      <c r="G92" s="79" t="s">
        <v>247</v>
      </c>
      <c r="H92" s="88">
        <v>3966.747517592757</v>
      </c>
      <c r="I92" s="85">
        <v>13000</v>
      </c>
      <c r="J92" s="85">
        <v>0</v>
      </c>
      <c r="K92" s="83">
        <v>515.67717728705838</v>
      </c>
      <c r="L92" s="38">
        <v>6.2590047242837179E-4</v>
      </c>
      <c r="M92" s="46">
        <v>3.5997618447888287E-3</v>
      </c>
      <c r="N92" s="46">
        <v>1.9929015520232774E-3</v>
      </c>
      <c r="O92" s="28"/>
      <c r="P92" s="28"/>
      <c r="Q92" s="28"/>
      <c r="R92" s="28"/>
    </row>
    <row r="93" spans="1:18" x14ac:dyDescent="0.2">
      <c r="A93" s="30" t="s">
        <v>528</v>
      </c>
      <c r="B93" s="38" t="s">
        <v>529</v>
      </c>
      <c r="C93" s="38" t="s">
        <v>383</v>
      </c>
      <c r="D93" s="38" t="s">
        <v>240</v>
      </c>
      <c r="E93" s="38" t="s">
        <v>530</v>
      </c>
      <c r="F93" s="38" t="s">
        <v>218</v>
      </c>
      <c r="G93" s="79" t="s">
        <v>247</v>
      </c>
      <c r="H93" s="88">
        <v>6483.4543859971764</v>
      </c>
      <c r="I93" s="85">
        <v>1260</v>
      </c>
      <c r="J93" s="85">
        <v>0</v>
      </c>
      <c r="K93" s="83">
        <v>81.691525263564415</v>
      </c>
      <c r="L93" s="38">
        <v>6.6037953486353584E-5</v>
      </c>
      <c r="M93" s="46">
        <v>5.702599390445467E-4</v>
      </c>
      <c r="N93" s="46">
        <v>3.1570752915884779E-4</v>
      </c>
      <c r="O93" s="28"/>
      <c r="P93" s="28"/>
      <c r="Q93" s="28"/>
      <c r="R93" s="28"/>
    </row>
    <row r="94" spans="1:18" x14ac:dyDescent="0.2">
      <c r="A94" s="30" t="s">
        <v>564</v>
      </c>
      <c r="B94" s="38" t="s">
        <v>565</v>
      </c>
      <c r="C94" s="38" t="s">
        <v>383</v>
      </c>
      <c r="D94" s="38" t="s">
        <v>240</v>
      </c>
      <c r="E94" s="38" t="s">
        <v>566</v>
      </c>
      <c r="F94" s="38" t="s">
        <v>196</v>
      </c>
      <c r="G94" s="79" t="s">
        <v>247</v>
      </c>
      <c r="H94" s="88">
        <v>6341.7762503428839</v>
      </c>
      <c r="I94" s="85">
        <v>6890.0000000000009</v>
      </c>
      <c r="J94" s="85">
        <v>0</v>
      </c>
      <c r="K94" s="83">
        <v>436.94838364862471</v>
      </c>
      <c r="L94" s="38">
        <v>1.2643125852908576E-4</v>
      </c>
      <c r="M94" s="46">
        <v>3.0501836980171208E-3</v>
      </c>
      <c r="N94" s="46">
        <v>1.6886438847431623E-3</v>
      </c>
      <c r="O94" s="28"/>
      <c r="P94" s="28"/>
      <c r="Q94" s="28"/>
      <c r="R94" s="28"/>
    </row>
    <row r="95" spans="1:18" x14ac:dyDescent="0.2">
      <c r="A95" s="30" t="s">
        <v>606</v>
      </c>
      <c r="B95" s="38" t="s">
        <v>607</v>
      </c>
      <c r="C95" s="38" t="s">
        <v>383</v>
      </c>
      <c r="D95" s="38" t="s">
        <v>240</v>
      </c>
      <c r="E95" s="38" t="s">
        <v>608</v>
      </c>
      <c r="F95" s="38" t="s">
        <v>437</v>
      </c>
      <c r="G95" s="79" t="s">
        <v>247</v>
      </c>
      <c r="H95" s="88">
        <v>84491.1449286305</v>
      </c>
      <c r="I95" s="85">
        <v>720</v>
      </c>
      <c r="J95" s="85">
        <v>0</v>
      </c>
      <c r="K95" s="83">
        <v>608.33624348613955</v>
      </c>
      <c r="L95" s="38">
        <v>4.3996216683148923E-4</v>
      </c>
      <c r="M95" s="46">
        <v>4.246582347553758E-3</v>
      </c>
      <c r="N95" s="46">
        <v>2.350994570234132E-3</v>
      </c>
      <c r="O95" s="28"/>
      <c r="P95" s="28"/>
      <c r="Q95" s="28"/>
      <c r="R95" s="28"/>
    </row>
    <row r="96" spans="1:18" x14ac:dyDescent="0.2">
      <c r="A96" s="30" t="s">
        <v>630</v>
      </c>
      <c r="B96" s="38" t="s">
        <v>631</v>
      </c>
      <c r="C96" s="38" t="s">
        <v>383</v>
      </c>
      <c r="D96" s="38" t="s">
        <v>240</v>
      </c>
      <c r="E96" s="38" t="s">
        <v>632</v>
      </c>
      <c r="F96" s="38" t="s">
        <v>209</v>
      </c>
      <c r="G96" s="79" t="s">
        <v>247</v>
      </c>
      <c r="H96" s="88">
        <v>26123.863928898703</v>
      </c>
      <c r="I96" s="85">
        <v>1040</v>
      </c>
      <c r="J96" s="85">
        <v>0</v>
      </c>
      <c r="K96" s="83">
        <v>271.68818486054647</v>
      </c>
      <c r="L96" s="38">
        <v>1.7513001013290128E-4</v>
      </c>
      <c r="M96" s="46">
        <v>1.8965601050761757E-3</v>
      </c>
      <c r="N96" s="46">
        <v>1.0499743427147374E-3</v>
      </c>
      <c r="O96" s="28"/>
      <c r="P96" s="28"/>
      <c r="Q96" s="28"/>
      <c r="R96" s="28"/>
    </row>
    <row r="97" spans="1:18" x14ac:dyDescent="0.2">
      <c r="A97" s="30" t="s">
        <v>672</v>
      </c>
      <c r="B97" s="38" t="s">
        <v>673</v>
      </c>
      <c r="C97" s="38" t="s">
        <v>383</v>
      </c>
      <c r="D97" s="38" t="s">
        <v>240</v>
      </c>
      <c r="E97" s="38" t="s">
        <v>674</v>
      </c>
      <c r="F97" s="38" t="s">
        <v>406</v>
      </c>
      <c r="G97" s="79" t="s">
        <v>247</v>
      </c>
      <c r="H97" s="88">
        <v>1553.8588997911595</v>
      </c>
      <c r="I97" s="85">
        <v>25989.999999999996</v>
      </c>
      <c r="J97" s="85">
        <v>0</v>
      </c>
      <c r="K97" s="83">
        <v>403.84792805572232</v>
      </c>
      <c r="L97" s="38">
        <v>2.016639042161524E-4</v>
      </c>
      <c r="M97" s="46">
        <v>2.8191210054323594E-3</v>
      </c>
      <c r="N97" s="46">
        <v>1.5607228670420979E-3</v>
      </c>
      <c r="O97" s="28"/>
      <c r="P97" s="28"/>
      <c r="Q97" s="28"/>
      <c r="R97" s="28"/>
    </row>
    <row r="98" spans="1:18" x14ac:dyDescent="0.2">
      <c r="A98" s="30" t="s">
        <v>508</v>
      </c>
      <c r="B98" s="38" t="s">
        <v>509</v>
      </c>
      <c r="C98" s="38" t="s">
        <v>383</v>
      </c>
      <c r="D98" s="38" t="s">
        <v>240</v>
      </c>
      <c r="E98" s="38" t="s">
        <v>510</v>
      </c>
      <c r="F98" s="38" t="s">
        <v>203</v>
      </c>
      <c r="G98" s="79" t="s">
        <v>247</v>
      </c>
      <c r="H98" s="88">
        <v>6002.774671243742</v>
      </c>
      <c r="I98" s="85">
        <v>10050</v>
      </c>
      <c r="J98" s="85">
        <v>9.3124969479999997</v>
      </c>
      <c r="K98" s="83">
        <v>612.59135138236434</v>
      </c>
      <c r="L98" s="38">
        <v>1.6931812895298466E-4</v>
      </c>
      <c r="M98" s="46">
        <v>4.2762857661360438E-3</v>
      </c>
      <c r="N98" s="46">
        <v>2.3674389883777186E-3</v>
      </c>
      <c r="O98" s="28"/>
      <c r="P98" s="28"/>
      <c r="Q98" s="28"/>
      <c r="R98" s="28"/>
    </row>
    <row r="99" spans="1:18" x14ac:dyDescent="0.2">
      <c r="A99" s="30" t="s">
        <v>543</v>
      </c>
      <c r="B99" s="38" t="s">
        <v>544</v>
      </c>
      <c r="C99" s="38" t="s">
        <v>383</v>
      </c>
      <c r="D99" s="38" t="s">
        <v>240</v>
      </c>
      <c r="E99" s="38" t="s">
        <v>545</v>
      </c>
      <c r="F99" s="38" t="s">
        <v>517</v>
      </c>
      <c r="G99" s="79" t="s">
        <v>247</v>
      </c>
      <c r="H99" s="88">
        <v>4200.6555822457467</v>
      </c>
      <c r="I99" s="85">
        <v>19700</v>
      </c>
      <c r="J99" s="85">
        <v>0</v>
      </c>
      <c r="K99" s="83">
        <v>827.52914970241216</v>
      </c>
      <c r="L99" s="38">
        <v>2.7465556749112246E-4</v>
      </c>
      <c r="M99" s="46">
        <v>5.7766912901228481E-3</v>
      </c>
      <c r="N99" s="46">
        <v>3.1980940778932334E-3</v>
      </c>
      <c r="O99" s="28"/>
      <c r="P99" s="28"/>
      <c r="Q99" s="28"/>
      <c r="R99" s="28"/>
    </row>
    <row r="100" spans="1:18" x14ac:dyDescent="0.2">
      <c r="A100" s="30" t="s">
        <v>663</v>
      </c>
      <c r="B100" s="38" t="s">
        <v>664</v>
      </c>
      <c r="C100" s="38" t="s">
        <v>383</v>
      </c>
      <c r="D100" s="38" t="s">
        <v>240</v>
      </c>
      <c r="E100" s="38" t="s">
        <v>665</v>
      </c>
      <c r="F100" s="38" t="s">
        <v>462</v>
      </c>
      <c r="G100" s="79" t="s">
        <v>247</v>
      </c>
      <c r="H100" s="88">
        <v>3912.3552737957143</v>
      </c>
      <c r="I100" s="85">
        <v>29840.000000000004</v>
      </c>
      <c r="J100" s="85">
        <v>0</v>
      </c>
      <c r="K100" s="83">
        <v>1167.4468137006411</v>
      </c>
      <c r="L100" s="38">
        <v>3.843537503502994E-4</v>
      </c>
      <c r="M100" s="46">
        <v>8.1495375030732967E-3</v>
      </c>
      <c r="N100" s="46">
        <v>4.5117501208192931E-3</v>
      </c>
      <c r="O100" s="28"/>
      <c r="P100" s="28"/>
      <c r="Q100" s="28"/>
      <c r="R100" s="28"/>
    </row>
    <row r="101" spans="1:18" x14ac:dyDescent="0.2">
      <c r="A101" s="30" t="s">
        <v>502</v>
      </c>
      <c r="B101" s="38" t="s">
        <v>503</v>
      </c>
      <c r="C101" s="38" t="s">
        <v>383</v>
      </c>
      <c r="D101" s="38" t="s">
        <v>240</v>
      </c>
      <c r="E101" s="38" t="s">
        <v>504</v>
      </c>
      <c r="F101" s="38" t="s">
        <v>215</v>
      </c>
      <c r="G101" s="79" t="s">
        <v>247</v>
      </c>
      <c r="H101" s="88">
        <v>1745.3992040064447</v>
      </c>
      <c r="I101" s="85">
        <v>11670</v>
      </c>
      <c r="J101" s="85">
        <v>0</v>
      </c>
      <c r="K101" s="83">
        <v>203.68808710755209</v>
      </c>
      <c r="L101" s="38">
        <v>1.8280345938019658E-4</v>
      </c>
      <c r="M101" s="46">
        <v>1.4218752283458691E-3</v>
      </c>
      <c r="N101" s="46">
        <v>7.8717911671186244E-4</v>
      </c>
      <c r="O101" s="28"/>
      <c r="P101" s="28"/>
      <c r="Q101" s="28"/>
      <c r="R101" s="28"/>
    </row>
    <row r="102" spans="1:18" x14ac:dyDescent="0.2">
      <c r="A102" s="30" t="s">
        <v>651</v>
      </c>
      <c r="B102" s="38" t="s">
        <v>652</v>
      </c>
      <c r="C102" s="38" t="s">
        <v>383</v>
      </c>
      <c r="D102" s="38" t="s">
        <v>240</v>
      </c>
      <c r="E102" s="38" t="s">
        <v>653</v>
      </c>
      <c r="F102" s="38" t="s">
        <v>206</v>
      </c>
      <c r="G102" s="79" t="s">
        <v>247</v>
      </c>
      <c r="H102" s="88">
        <v>1496.170631233151</v>
      </c>
      <c r="I102" s="85">
        <v>862.00000000000011</v>
      </c>
      <c r="J102" s="85">
        <v>0</v>
      </c>
      <c r="K102" s="83">
        <v>12.89699084122976</v>
      </c>
      <c r="L102" s="38">
        <v>9.7559378666741713E-6</v>
      </c>
      <c r="M102" s="46">
        <v>9.0029378044408157E-5</v>
      </c>
      <c r="N102" s="46">
        <v>4.9842099274463705E-5</v>
      </c>
      <c r="O102" s="28"/>
      <c r="P102" s="28"/>
      <c r="Q102" s="28"/>
      <c r="R102" s="28"/>
    </row>
    <row r="103" spans="1:18" x14ac:dyDescent="0.2">
      <c r="A103" s="30" t="s">
        <v>591</v>
      </c>
      <c r="B103" s="38" t="s">
        <v>592</v>
      </c>
      <c r="C103" s="38" t="s">
        <v>383</v>
      </c>
      <c r="D103" s="38" t="s">
        <v>240</v>
      </c>
      <c r="E103" s="38" t="s">
        <v>593</v>
      </c>
      <c r="F103" s="38" t="s">
        <v>406</v>
      </c>
      <c r="G103" s="79" t="s">
        <v>247</v>
      </c>
      <c r="H103" s="88">
        <v>11586.002790634144</v>
      </c>
      <c r="I103" s="85">
        <v>695.5</v>
      </c>
      <c r="J103" s="85">
        <v>0</v>
      </c>
      <c r="K103" s="83">
        <v>80.580649375430099</v>
      </c>
      <c r="L103" s="38">
        <v>1.7837240760622722E-4</v>
      </c>
      <c r="M103" s="46">
        <v>5.6250530336832843E-4</v>
      </c>
      <c r="N103" s="46">
        <v>3.1141440474094143E-4</v>
      </c>
      <c r="O103" s="28"/>
      <c r="P103" s="28"/>
      <c r="Q103" s="28"/>
      <c r="R103" s="28"/>
    </row>
    <row r="104" spans="1:18" x14ac:dyDescent="0.2">
      <c r="A104" s="30" t="s">
        <v>570</v>
      </c>
      <c r="B104" s="38" t="s">
        <v>571</v>
      </c>
      <c r="C104" s="38" t="s">
        <v>383</v>
      </c>
      <c r="D104" s="38" t="s">
        <v>240</v>
      </c>
      <c r="E104" s="38" t="s">
        <v>572</v>
      </c>
      <c r="F104" s="38" t="s">
        <v>406</v>
      </c>
      <c r="G104" s="79" t="s">
        <v>247</v>
      </c>
      <c r="H104" s="88">
        <v>24967.204742021298</v>
      </c>
      <c r="I104" s="85">
        <v>5200</v>
      </c>
      <c r="J104" s="85">
        <v>0</v>
      </c>
      <c r="K104" s="83">
        <v>1298.2946465851076</v>
      </c>
      <c r="L104" s="38">
        <v>4.6346143661066025E-4</v>
      </c>
      <c r="M104" s="46">
        <v>9.062940416828015E-3</v>
      </c>
      <c r="N104" s="46">
        <v>5.0174285970439186E-3</v>
      </c>
      <c r="O104" s="28"/>
      <c r="P104" s="28"/>
      <c r="Q104" s="28"/>
      <c r="R104" s="28"/>
    </row>
    <row r="105" spans="1:18" x14ac:dyDescent="0.2">
      <c r="A105" s="30" t="s">
        <v>558</v>
      </c>
      <c r="B105" s="38" t="s">
        <v>559</v>
      </c>
      <c r="C105" s="38" t="s">
        <v>383</v>
      </c>
      <c r="D105" s="38" t="s">
        <v>240</v>
      </c>
      <c r="E105" s="38" t="s">
        <v>560</v>
      </c>
      <c r="F105" s="38" t="s">
        <v>211</v>
      </c>
      <c r="G105" s="79" t="s">
        <v>247</v>
      </c>
      <c r="H105" s="88">
        <v>489.07052669483642</v>
      </c>
      <c r="I105" s="85">
        <v>8571</v>
      </c>
      <c r="J105" s="85">
        <v>1.5553781010000001</v>
      </c>
      <c r="K105" s="83">
        <v>43.473612943822197</v>
      </c>
      <c r="L105" s="38">
        <v>3.8884452762746371E-5</v>
      </c>
      <c r="M105" s="46">
        <v>3.0347407258470569E-4</v>
      </c>
      <c r="N105" s="46">
        <v>1.6800943404864704E-4</v>
      </c>
      <c r="O105" s="28"/>
      <c r="P105" s="28"/>
      <c r="Q105" s="28"/>
      <c r="R105" s="28"/>
    </row>
    <row r="106" spans="1:18" x14ac:dyDescent="0.2">
      <c r="A106" s="30" t="s">
        <v>615</v>
      </c>
      <c r="B106" s="38" t="s">
        <v>616</v>
      </c>
      <c r="C106" s="38" t="s">
        <v>383</v>
      </c>
      <c r="D106" s="38" t="s">
        <v>240</v>
      </c>
      <c r="E106" s="38" t="s">
        <v>617</v>
      </c>
      <c r="F106" s="38" t="s">
        <v>206</v>
      </c>
      <c r="G106" s="79" t="s">
        <v>247</v>
      </c>
      <c r="H106" s="88">
        <v>11629.540195864995</v>
      </c>
      <c r="I106" s="85">
        <v>901.10000000000014</v>
      </c>
      <c r="J106" s="85">
        <v>0</v>
      </c>
      <c r="K106" s="83">
        <v>104.79378669971597</v>
      </c>
      <c r="L106" s="38">
        <v>1.4546469001312142E-4</v>
      </c>
      <c r="M106" s="46">
        <v>7.3152873841958899E-4</v>
      </c>
      <c r="N106" s="46">
        <v>4.0498922456675779E-4</v>
      </c>
      <c r="O106" s="28"/>
      <c r="P106" s="28"/>
      <c r="Q106" s="28"/>
      <c r="R106" s="28"/>
    </row>
    <row r="107" spans="1:18" x14ac:dyDescent="0.2">
      <c r="A107" s="30" t="s">
        <v>531</v>
      </c>
      <c r="B107" s="38" t="s">
        <v>532</v>
      </c>
      <c r="C107" s="38" t="s">
        <v>383</v>
      </c>
      <c r="D107" s="38" t="s">
        <v>240</v>
      </c>
      <c r="E107" s="38" t="s">
        <v>533</v>
      </c>
      <c r="F107" s="38" t="s">
        <v>437</v>
      </c>
      <c r="G107" s="79" t="s">
        <v>247</v>
      </c>
      <c r="H107" s="88">
        <v>488.52702213639196</v>
      </c>
      <c r="I107" s="85">
        <v>14130.000000000002</v>
      </c>
      <c r="J107" s="85">
        <v>0</v>
      </c>
      <c r="K107" s="83">
        <v>69.028868201754705</v>
      </c>
      <c r="L107" s="38">
        <v>4.216903644432329E-5</v>
      </c>
      <c r="M107" s="46">
        <v>4.818663630779798E-4</v>
      </c>
      <c r="N107" s="46">
        <v>2.6677104326668381E-4</v>
      </c>
      <c r="O107" s="28"/>
      <c r="P107" s="28"/>
      <c r="Q107" s="28"/>
      <c r="R107" s="28"/>
    </row>
    <row r="108" spans="1:18" x14ac:dyDescent="0.2">
      <c r="A108" s="30" t="s">
        <v>546</v>
      </c>
      <c r="B108" s="38" t="s">
        <v>547</v>
      </c>
      <c r="C108" s="38" t="s">
        <v>383</v>
      </c>
      <c r="D108" s="38" t="s">
        <v>240</v>
      </c>
      <c r="E108" s="38" t="s">
        <v>548</v>
      </c>
      <c r="F108" s="38" t="s">
        <v>437</v>
      </c>
      <c r="G108" s="79" t="s">
        <v>247</v>
      </c>
      <c r="H108" s="88">
        <v>16907.363832163464</v>
      </c>
      <c r="I108" s="85">
        <v>1726.0000000000002</v>
      </c>
      <c r="J108" s="85">
        <v>2.8742518509999999</v>
      </c>
      <c r="K108" s="83">
        <v>294.69535159460924</v>
      </c>
      <c r="L108" s="38">
        <v>9.478375329286689E-5</v>
      </c>
      <c r="M108" s="46">
        <v>2.0571650816269813E-3</v>
      </c>
      <c r="N108" s="46">
        <v>1.1388885322726136E-3</v>
      </c>
      <c r="O108" s="28"/>
      <c r="P108" s="28"/>
      <c r="Q108" s="28"/>
      <c r="R108" s="28"/>
    </row>
    <row r="109" spans="1:18" x14ac:dyDescent="0.2">
      <c r="A109" s="30" t="s">
        <v>537</v>
      </c>
      <c r="B109" s="38" t="s">
        <v>538</v>
      </c>
      <c r="C109" s="38" t="s">
        <v>383</v>
      </c>
      <c r="D109" s="38" t="s">
        <v>240</v>
      </c>
      <c r="E109" s="38" t="s">
        <v>539</v>
      </c>
      <c r="F109" s="38" t="s">
        <v>218</v>
      </c>
      <c r="G109" s="79" t="s">
        <v>247</v>
      </c>
      <c r="H109" s="88">
        <v>146317.2947886163</v>
      </c>
      <c r="I109" s="85">
        <v>99.3</v>
      </c>
      <c r="J109" s="85">
        <v>0</v>
      </c>
      <c r="K109" s="83">
        <v>145.29307368978519</v>
      </c>
      <c r="L109" s="38">
        <v>1.3019669609615135E-4</v>
      </c>
      <c r="M109" s="46">
        <v>1.014240082782322E-3</v>
      </c>
      <c r="N109" s="46">
        <v>5.6150398894504671E-4</v>
      </c>
      <c r="O109" s="28"/>
      <c r="P109" s="28"/>
      <c r="Q109" s="28"/>
      <c r="R109" s="28"/>
    </row>
    <row r="110" spans="1:18" x14ac:dyDescent="0.2">
      <c r="A110" s="30" t="s">
        <v>534</v>
      </c>
      <c r="B110" s="38" t="s">
        <v>535</v>
      </c>
      <c r="C110" s="38" t="s">
        <v>383</v>
      </c>
      <c r="D110" s="38" t="s">
        <v>240</v>
      </c>
      <c r="E110" s="38" t="s">
        <v>536</v>
      </c>
      <c r="F110" s="38" t="s">
        <v>206</v>
      </c>
      <c r="G110" s="79" t="s">
        <v>247</v>
      </c>
      <c r="H110" s="88">
        <v>2444.3236051415192</v>
      </c>
      <c r="I110" s="85">
        <v>19640</v>
      </c>
      <c r="J110" s="85">
        <v>0</v>
      </c>
      <c r="K110" s="83">
        <v>480.06515604979438</v>
      </c>
      <c r="L110" s="38">
        <v>1.7743884996675052E-4</v>
      </c>
      <c r="M110" s="46">
        <v>3.3511667916974039E-3</v>
      </c>
      <c r="N110" s="46">
        <v>1.855274262082303E-3</v>
      </c>
      <c r="O110" s="28"/>
      <c r="P110" s="28"/>
      <c r="Q110" s="28"/>
      <c r="R110" s="28"/>
    </row>
    <row r="111" spans="1:18" s="138" customFormat="1" x14ac:dyDescent="0.2">
      <c r="A111" s="112" t="s">
        <v>683</v>
      </c>
      <c r="B111" s="145" t="s">
        <v>240</v>
      </c>
      <c r="C111" s="145" t="s">
        <v>240</v>
      </c>
      <c r="D111" s="145" t="s">
        <v>240</v>
      </c>
      <c r="E111" s="145" t="s">
        <v>240</v>
      </c>
      <c r="F111" s="145" t="s">
        <v>240</v>
      </c>
      <c r="G111" s="146" t="s">
        <v>240</v>
      </c>
      <c r="H111" s="156" t="s">
        <v>240</v>
      </c>
      <c r="I111" s="142" t="s">
        <v>240</v>
      </c>
      <c r="J111" s="142" t="s">
        <v>240</v>
      </c>
      <c r="K111" s="173">
        <v>7249.5045200810973</v>
      </c>
      <c r="L111" s="145" t="s">
        <v>240</v>
      </c>
      <c r="M111" s="141">
        <v>5.0606253125848794E-2</v>
      </c>
      <c r="N111" s="141">
        <v>2.8016653530173529E-2</v>
      </c>
    </row>
    <row r="112" spans="1:18" x14ac:dyDescent="0.2">
      <c r="A112" s="30" t="s">
        <v>739</v>
      </c>
      <c r="B112" s="38" t="s">
        <v>740</v>
      </c>
      <c r="C112" s="38" t="s">
        <v>383</v>
      </c>
      <c r="D112" s="38" t="s">
        <v>240</v>
      </c>
      <c r="E112" s="38" t="s">
        <v>741</v>
      </c>
      <c r="F112" s="38" t="s">
        <v>192</v>
      </c>
      <c r="G112" s="79" t="s">
        <v>247</v>
      </c>
      <c r="H112" s="88">
        <v>1720.490972512524</v>
      </c>
      <c r="I112" s="85">
        <v>411.8</v>
      </c>
      <c r="J112" s="85">
        <v>0</v>
      </c>
      <c r="K112" s="83">
        <v>7.0849817777951269</v>
      </c>
      <c r="L112" s="38">
        <v>6.6804035556184034E-5</v>
      </c>
      <c r="M112" s="46">
        <v>4.9457777458578023E-5</v>
      </c>
      <c r="N112" s="46">
        <v>2.738083398475603E-5</v>
      </c>
      <c r="O112" s="28"/>
      <c r="P112" s="28"/>
      <c r="Q112" s="28"/>
      <c r="R112" s="28"/>
    </row>
    <row r="113" spans="1:18" x14ac:dyDescent="0.2">
      <c r="A113" s="30" t="s">
        <v>736</v>
      </c>
      <c r="B113" s="38" t="s">
        <v>737</v>
      </c>
      <c r="C113" s="38" t="s">
        <v>383</v>
      </c>
      <c r="D113" s="38" t="s">
        <v>240</v>
      </c>
      <c r="E113" s="38" t="s">
        <v>738</v>
      </c>
      <c r="F113" s="38" t="s">
        <v>708</v>
      </c>
      <c r="G113" s="79" t="s">
        <v>247</v>
      </c>
      <c r="H113" s="88">
        <v>113931.7970074406</v>
      </c>
      <c r="I113" s="85">
        <v>208.4</v>
      </c>
      <c r="J113" s="85">
        <v>0</v>
      </c>
      <c r="K113" s="83">
        <v>237.43386496350621</v>
      </c>
      <c r="L113" s="38">
        <v>2.4581502053067962E-4</v>
      </c>
      <c r="M113" s="46">
        <v>1.6574426897325919E-3</v>
      </c>
      <c r="N113" s="46">
        <v>9.1759406626842779E-4</v>
      </c>
      <c r="O113" s="28"/>
      <c r="P113" s="28"/>
      <c r="Q113" s="28"/>
      <c r="R113" s="28"/>
    </row>
    <row r="114" spans="1:18" x14ac:dyDescent="0.2">
      <c r="A114" s="30" t="s">
        <v>693</v>
      </c>
      <c r="B114" s="38" t="s">
        <v>694</v>
      </c>
      <c r="C114" s="38" t="s">
        <v>383</v>
      </c>
      <c r="D114" s="38" t="s">
        <v>240</v>
      </c>
      <c r="E114" s="38" t="s">
        <v>695</v>
      </c>
      <c r="F114" s="38" t="s">
        <v>517</v>
      </c>
      <c r="G114" s="79" t="s">
        <v>247</v>
      </c>
      <c r="H114" s="88">
        <v>7663.2523457507868</v>
      </c>
      <c r="I114" s="85">
        <v>1078</v>
      </c>
      <c r="J114" s="85">
        <v>0</v>
      </c>
      <c r="K114" s="83">
        <v>82.609860287193484</v>
      </c>
      <c r="L114" s="38">
        <v>1.7291009996958632E-4</v>
      </c>
      <c r="M114" s="46">
        <v>5.7667051435095196E-4</v>
      </c>
      <c r="N114" s="46">
        <v>3.1925655435227602E-4</v>
      </c>
      <c r="O114" s="28"/>
      <c r="P114" s="28"/>
      <c r="Q114" s="28"/>
      <c r="R114" s="28"/>
    </row>
    <row r="115" spans="1:18" x14ac:dyDescent="0.2">
      <c r="A115" s="30" t="s">
        <v>784</v>
      </c>
      <c r="B115" s="38" t="s">
        <v>785</v>
      </c>
      <c r="C115" s="38" t="s">
        <v>383</v>
      </c>
      <c r="D115" s="38" t="s">
        <v>240</v>
      </c>
      <c r="E115" s="38" t="s">
        <v>786</v>
      </c>
      <c r="F115" s="38" t="s">
        <v>216</v>
      </c>
      <c r="G115" s="79" t="s">
        <v>247</v>
      </c>
      <c r="H115" s="88">
        <v>106185.51199988267</v>
      </c>
      <c r="I115" s="85">
        <v>223.5</v>
      </c>
      <c r="J115" s="85">
        <v>0</v>
      </c>
      <c r="K115" s="83">
        <v>237.32461929362029</v>
      </c>
      <c r="L115" s="38">
        <v>3.5770390497183419E-4</v>
      </c>
      <c r="M115" s="46">
        <v>1.6566800839561784E-3</v>
      </c>
      <c r="N115" s="46">
        <v>9.1717187216200477E-4</v>
      </c>
      <c r="O115" s="28"/>
      <c r="P115" s="28"/>
      <c r="Q115" s="28"/>
      <c r="R115" s="28"/>
    </row>
    <row r="116" spans="1:18" x14ac:dyDescent="0.2">
      <c r="A116" s="30" t="s">
        <v>730</v>
      </c>
      <c r="B116" s="38" t="s">
        <v>731</v>
      </c>
      <c r="C116" s="38" t="s">
        <v>383</v>
      </c>
      <c r="D116" s="38" t="s">
        <v>240</v>
      </c>
      <c r="E116" s="38" t="s">
        <v>732</v>
      </c>
      <c r="F116" s="38" t="s">
        <v>708</v>
      </c>
      <c r="G116" s="79" t="s">
        <v>247</v>
      </c>
      <c r="H116" s="88">
        <v>24899.304542547779</v>
      </c>
      <c r="I116" s="85">
        <v>259.3</v>
      </c>
      <c r="J116" s="85">
        <v>0</v>
      </c>
      <c r="K116" s="83">
        <v>64.563896663155916</v>
      </c>
      <c r="L116" s="38">
        <v>4.5281424718070299E-4</v>
      </c>
      <c r="M116" s="46">
        <v>4.5069795987798933E-4</v>
      </c>
      <c r="N116" s="46">
        <v>2.4951557976948899E-4</v>
      </c>
      <c r="O116" s="28"/>
      <c r="P116" s="28"/>
      <c r="Q116" s="28"/>
      <c r="R116" s="28"/>
    </row>
    <row r="117" spans="1:18" x14ac:dyDescent="0.2">
      <c r="A117" s="30" t="s">
        <v>705</v>
      </c>
      <c r="B117" s="38" t="s">
        <v>706</v>
      </c>
      <c r="C117" s="38" t="s">
        <v>383</v>
      </c>
      <c r="D117" s="38" t="s">
        <v>240</v>
      </c>
      <c r="E117" s="38" t="s">
        <v>707</v>
      </c>
      <c r="F117" s="38" t="s">
        <v>708</v>
      </c>
      <c r="G117" s="79" t="s">
        <v>247</v>
      </c>
      <c r="H117" s="88">
        <v>4564.3935921187021</v>
      </c>
      <c r="I117" s="85">
        <v>1423</v>
      </c>
      <c r="J117" s="85">
        <v>0</v>
      </c>
      <c r="K117" s="83">
        <v>64.95132081584913</v>
      </c>
      <c r="L117" s="38">
        <v>3.4384031938826273E-4</v>
      </c>
      <c r="M117" s="46">
        <v>4.5340243225730183E-4</v>
      </c>
      <c r="N117" s="46">
        <v>2.5101283081956565E-4</v>
      </c>
      <c r="O117" s="28"/>
      <c r="P117" s="28"/>
      <c r="Q117" s="28"/>
      <c r="R117" s="28"/>
    </row>
    <row r="118" spans="1:18" x14ac:dyDescent="0.2">
      <c r="A118" s="30" t="s">
        <v>696</v>
      </c>
      <c r="B118" s="38" t="s">
        <v>697</v>
      </c>
      <c r="C118" s="38" t="s">
        <v>383</v>
      </c>
      <c r="D118" s="38" t="s">
        <v>240</v>
      </c>
      <c r="E118" s="38" t="s">
        <v>698</v>
      </c>
      <c r="F118" s="38" t="s">
        <v>204</v>
      </c>
      <c r="G118" s="79" t="s">
        <v>247</v>
      </c>
      <c r="H118" s="88">
        <v>3029.6265631695856</v>
      </c>
      <c r="I118" s="85">
        <v>1195</v>
      </c>
      <c r="J118" s="85">
        <v>0</v>
      </c>
      <c r="K118" s="83">
        <v>36.204037429876543</v>
      </c>
      <c r="L118" s="38">
        <v>1.6648312230981688E-4</v>
      </c>
      <c r="M118" s="46">
        <v>2.5272771087720368E-4</v>
      </c>
      <c r="N118" s="46">
        <v>1.3991521355102742E-4</v>
      </c>
      <c r="O118" s="28"/>
      <c r="P118" s="28"/>
      <c r="Q118" s="28"/>
      <c r="R118" s="28"/>
    </row>
    <row r="119" spans="1:18" x14ac:dyDescent="0.2">
      <c r="A119" s="30" t="s">
        <v>796</v>
      </c>
      <c r="B119" s="38" t="s">
        <v>797</v>
      </c>
      <c r="C119" s="38" t="s">
        <v>383</v>
      </c>
      <c r="D119" s="38" t="s">
        <v>240</v>
      </c>
      <c r="E119" s="38" t="s">
        <v>798</v>
      </c>
      <c r="F119" s="38" t="s">
        <v>201</v>
      </c>
      <c r="G119" s="79" t="s">
        <v>247</v>
      </c>
      <c r="H119" s="88">
        <v>2741.3105842373297</v>
      </c>
      <c r="I119" s="85">
        <v>5281.14</v>
      </c>
      <c r="J119" s="85">
        <v>0</v>
      </c>
      <c r="K119" s="83">
        <v>144.77244975913973</v>
      </c>
      <c r="L119" s="38">
        <v>2.2480641728998723E-4</v>
      </c>
      <c r="M119" s="46">
        <v>1.0106057893841131E-3</v>
      </c>
      <c r="N119" s="46">
        <v>5.5949197002099372E-4</v>
      </c>
      <c r="O119" s="28"/>
      <c r="P119" s="28"/>
      <c r="Q119" s="28"/>
      <c r="R119" s="28"/>
    </row>
    <row r="120" spans="1:18" x14ac:dyDescent="0.2">
      <c r="A120" s="30" t="s">
        <v>712</v>
      </c>
      <c r="B120" s="38" t="s">
        <v>713</v>
      </c>
      <c r="C120" s="38" t="s">
        <v>383</v>
      </c>
      <c r="D120" s="38" t="s">
        <v>240</v>
      </c>
      <c r="E120" s="38" t="s">
        <v>714</v>
      </c>
      <c r="F120" s="38" t="s">
        <v>218</v>
      </c>
      <c r="G120" s="79" t="s">
        <v>247</v>
      </c>
      <c r="H120" s="88">
        <v>486.495396351083</v>
      </c>
      <c r="I120" s="85">
        <v>1187</v>
      </c>
      <c r="J120" s="85">
        <v>0</v>
      </c>
      <c r="K120" s="83">
        <v>5.7747003092429567</v>
      </c>
      <c r="L120" s="38">
        <v>3.4655761480556792E-5</v>
      </c>
      <c r="M120" s="46">
        <v>4.0311161233981442E-5</v>
      </c>
      <c r="N120" s="46">
        <v>2.2317080754483893E-5</v>
      </c>
      <c r="O120" s="28"/>
      <c r="P120" s="28"/>
      <c r="Q120" s="28"/>
      <c r="R120" s="28"/>
    </row>
    <row r="121" spans="1:18" x14ac:dyDescent="0.2">
      <c r="A121" s="30" t="s">
        <v>773</v>
      </c>
      <c r="B121" s="38" t="s">
        <v>774</v>
      </c>
      <c r="C121" s="38" t="s">
        <v>383</v>
      </c>
      <c r="D121" s="38" t="s">
        <v>240</v>
      </c>
      <c r="E121" s="38" t="s">
        <v>775</v>
      </c>
      <c r="F121" s="38" t="s">
        <v>524</v>
      </c>
      <c r="G121" s="79" t="s">
        <v>247</v>
      </c>
      <c r="H121" s="88">
        <v>15206.167193123309</v>
      </c>
      <c r="I121" s="85">
        <v>9712</v>
      </c>
      <c r="J121" s="85">
        <v>0</v>
      </c>
      <c r="K121" s="83">
        <v>1476.8229577898674</v>
      </c>
      <c r="L121" s="38">
        <v>6.5143958138348332E-4</v>
      </c>
      <c r="M121" s="46">
        <v>1.0309184057608216E-2</v>
      </c>
      <c r="N121" s="46">
        <v>5.7073744859658278E-3</v>
      </c>
      <c r="O121" s="28"/>
      <c r="P121" s="28"/>
      <c r="Q121" s="28"/>
      <c r="R121" s="28"/>
    </row>
    <row r="122" spans="1:18" x14ac:dyDescent="0.2">
      <c r="A122" s="30" t="s">
        <v>684</v>
      </c>
      <c r="B122" s="38" t="s">
        <v>685</v>
      </c>
      <c r="C122" s="38" t="s">
        <v>383</v>
      </c>
      <c r="D122" s="38" t="s">
        <v>240</v>
      </c>
      <c r="E122" s="38" t="s">
        <v>686</v>
      </c>
      <c r="F122" s="38" t="s">
        <v>524</v>
      </c>
      <c r="G122" s="79" t="s">
        <v>247</v>
      </c>
      <c r="H122" s="88">
        <v>31707.742530006195</v>
      </c>
      <c r="I122" s="85">
        <v>593.6</v>
      </c>
      <c r="J122" s="85">
        <v>2.1155310840000001</v>
      </c>
      <c r="K122" s="83">
        <v>190.33269073170592</v>
      </c>
      <c r="L122" s="38">
        <v>5.1873206852302422E-4</v>
      </c>
      <c r="M122" s="46">
        <v>1.328645881744323E-3</v>
      </c>
      <c r="N122" s="46">
        <v>7.3556544960071601E-4</v>
      </c>
      <c r="O122" s="28"/>
      <c r="P122" s="28"/>
      <c r="Q122" s="28"/>
      <c r="R122" s="28"/>
    </row>
    <row r="123" spans="1:18" x14ac:dyDescent="0.2">
      <c r="A123" s="30" t="s">
        <v>793</v>
      </c>
      <c r="B123" s="38" t="s">
        <v>794</v>
      </c>
      <c r="C123" s="38" t="s">
        <v>383</v>
      </c>
      <c r="D123" s="38" t="s">
        <v>240</v>
      </c>
      <c r="E123" s="38" t="s">
        <v>795</v>
      </c>
      <c r="F123" s="38" t="s">
        <v>214</v>
      </c>
      <c r="G123" s="79" t="s">
        <v>247</v>
      </c>
      <c r="H123" s="88">
        <v>82.243914201905383</v>
      </c>
      <c r="I123" s="85">
        <v>12180</v>
      </c>
      <c r="J123" s="85">
        <v>0</v>
      </c>
      <c r="K123" s="83">
        <v>10.017308749792077</v>
      </c>
      <c r="L123" s="38">
        <v>1.6262100432258916E-5</v>
      </c>
      <c r="M123" s="46">
        <v>6.9927325492044365E-5</v>
      </c>
      <c r="N123" s="46">
        <v>3.8713193125171102E-5</v>
      </c>
      <c r="O123" s="28"/>
      <c r="P123" s="28"/>
      <c r="Q123" s="28"/>
      <c r="R123" s="28"/>
    </row>
    <row r="124" spans="1:18" x14ac:dyDescent="0.2">
      <c r="A124" s="30" t="s">
        <v>748</v>
      </c>
      <c r="B124" s="38" t="s">
        <v>749</v>
      </c>
      <c r="C124" s="38" t="s">
        <v>383</v>
      </c>
      <c r="D124" s="38" t="s">
        <v>240</v>
      </c>
      <c r="E124" s="38" t="s">
        <v>750</v>
      </c>
      <c r="F124" s="38" t="s">
        <v>224</v>
      </c>
      <c r="G124" s="79" t="s">
        <v>247</v>
      </c>
      <c r="H124" s="88">
        <v>3471.6229612656562</v>
      </c>
      <c r="I124" s="85">
        <v>8198</v>
      </c>
      <c r="J124" s="85">
        <v>0</v>
      </c>
      <c r="K124" s="83">
        <v>284.60365036455852</v>
      </c>
      <c r="L124" s="38">
        <v>2.7457690327022886E-4</v>
      </c>
      <c r="M124" s="46">
        <v>1.9867184482737998E-3</v>
      </c>
      <c r="N124" s="46">
        <v>1.0998878397274637E-3</v>
      </c>
      <c r="O124" s="28"/>
      <c r="P124" s="28"/>
      <c r="Q124" s="28"/>
      <c r="R124" s="28"/>
    </row>
    <row r="125" spans="1:18" x14ac:dyDescent="0.2">
      <c r="A125" s="30" t="s">
        <v>770</v>
      </c>
      <c r="B125" s="38" t="s">
        <v>771</v>
      </c>
      <c r="C125" s="38" t="s">
        <v>383</v>
      </c>
      <c r="D125" s="38" t="s">
        <v>240</v>
      </c>
      <c r="E125" s="38" t="s">
        <v>772</v>
      </c>
      <c r="F125" s="38" t="s">
        <v>209</v>
      </c>
      <c r="G125" s="79" t="s">
        <v>247</v>
      </c>
      <c r="H125" s="88">
        <v>295.88482184610547</v>
      </c>
      <c r="I125" s="85">
        <v>320</v>
      </c>
      <c r="J125" s="85">
        <v>0</v>
      </c>
      <c r="K125" s="83">
        <v>0.94683142990753755</v>
      </c>
      <c r="L125" s="38">
        <v>2.543789243893885E-6</v>
      </c>
      <c r="M125" s="46">
        <v>6.6094987425256745E-6</v>
      </c>
      <c r="N125" s="46">
        <v>3.6591532634704137E-6</v>
      </c>
      <c r="O125" s="28"/>
      <c r="P125" s="28"/>
      <c r="Q125" s="28"/>
      <c r="R125" s="28"/>
    </row>
    <row r="126" spans="1:18" x14ac:dyDescent="0.2">
      <c r="A126" s="30" t="s">
        <v>760</v>
      </c>
      <c r="B126" s="38" t="s">
        <v>761</v>
      </c>
      <c r="C126" s="38" t="s">
        <v>383</v>
      </c>
      <c r="D126" s="38" t="s">
        <v>240</v>
      </c>
      <c r="E126" s="38" t="s">
        <v>762</v>
      </c>
      <c r="F126" s="38" t="s">
        <v>462</v>
      </c>
      <c r="G126" s="79" t="s">
        <v>247</v>
      </c>
      <c r="H126" s="88">
        <v>306584.40249792335</v>
      </c>
      <c r="I126" s="85">
        <v>70</v>
      </c>
      <c r="J126" s="85">
        <v>0</v>
      </c>
      <c r="K126" s="83">
        <v>214.60908174854634</v>
      </c>
      <c r="L126" s="38">
        <v>3.2499105028430456E-4</v>
      </c>
      <c r="M126" s="46">
        <v>1.4981108686792598E-3</v>
      </c>
      <c r="N126" s="46">
        <v>8.2938472155203921E-4</v>
      </c>
      <c r="O126" s="28"/>
      <c r="P126" s="28"/>
      <c r="Q126" s="28"/>
      <c r="R126" s="28"/>
    </row>
    <row r="127" spans="1:18" x14ac:dyDescent="0.2">
      <c r="A127" s="30" t="s">
        <v>699</v>
      </c>
      <c r="B127" s="38" t="s">
        <v>700</v>
      </c>
      <c r="C127" s="38" t="s">
        <v>383</v>
      </c>
      <c r="D127" s="38" t="s">
        <v>240</v>
      </c>
      <c r="E127" s="38" t="s">
        <v>701</v>
      </c>
      <c r="F127" s="38" t="s">
        <v>211</v>
      </c>
      <c r="G127" s="79" t="s">
        <v>247</v>
      </c>
      <c r="H127" s="88">
        <v>6116.5600798297464</v>
      </c>
      <c r="I127" s="85">
        <v>1929</v>
      </c>
      <c r="J127" s="85">
        <v>0</v>
      </c>
      <c r="K127" s="83">
        <v>117.9884439399158</v>
      </c>
      <c r="L127" s="38">
        <v>3.8608914129857402E-4</v>
      </c>
      <c r="M127" s="46">
        <v>8.2363602138723886E-4</v>
      </c>
      <c r="N127" s="46">
        <v>4.5598169437267204E-4</v>
      </c>
      <c r="O127" s="28"/>
      <c r="P127" s="28"/>
      <c r="Q127" s="28"/>
      <c r="R127" s="28"/>
    </row>
    <row r="128" spans="1:18" x14ac:dyDescent="0.2">
      <c r="A128" s="30" t="s">
        <v>745</v>
      </c>
      <c r="B128" s="38" t="s">
        <v>746</v>
      </c>
      <c r="C128" s="38" t="s">
        <v>383</v>
      </c>
      <c r="D128" s="38" t="s">
        <v>240</v>
      </c>
      <c r="E128" s="38" t="s">
        <v>747</v>
      </c>
      <c r="F128" s="38" t="s">
        <v>708</v>
      </c>
      <c r="G128" s="79" t="s">
        <v>247</v>
      </c>
      <c r="H128" s="88">
        <v>11881.359621699206</v>
      </c>
      <c r="I128" s="85">
        <v>316.89999999999998</v>
      </c>
      <c r="J128" s="85">
        <v>0</v>
      </c>
      <c r="K128" s="83">
        <v>37.652028641164783</v>
      </c>
      <c r="L128" s="38">
        <v>1.5884904975552489E-4</v>
      </c>
      <c r="M128" s="46">
        <v>2.6283563060599049E-4</v>
      </c>
      <c r="N128" s="46">
        <v>1.4551116400102383E-4</v>
      </c>
      <c r="O128" s="28"/>
      <c r="P128" s="28"/>
      <c r="Q128" s="28"/>
      <c r="R128" s="28"/>
    </row>
    <row r="129" spans="1:18" x14ac:dyDescent="0.2">
      <c r="A129" s="30" t="s">
        <v>709</v>
      </c>
      <c r="B129" s="38" t="s">
        <v>710</v>
      </c>
      <c r="C129" s="38" t="s">
        <v>383</v>
      </c>
      <c r="D129" s="38" t="s">
        <v>240</v>
      </c>
      <c r="E129" s="38" t="s">
        <v>711</v>
      </c>
      <c r="F129" s="38" t="s">
        <v>206</v>
      </c>
      <c r="G129" s="79" t="s">
        <v>247</v>
      </c>
      <c r="H129" s="88">
        <v>10446.471022947271</v>
      </c>
      <c r="I129" s="85">
        <v>39.799999999999997</v>
      </c>
      <c r="J129" s="85">
        <v>0</v>
      </c>
      <c r="K129" s="83">
        <v>4.1576954253450609</v>
      </c>
      <c r="L129" s="38">
        <v>5.9747114456001408E-5</v>
      </c>
      <c r="M129" s="46">
        <v>2.9023416225532891E-5</v>
      </c>
      <c r="N129" s="46">
        <v>1.606795497447003E-5</v>
      </c>
      <c r="O129" s="28"/>
      <c r="P129" s="28"/>
      <c r="Q129" s="28"/>
      <c r="R129" s="28"/>
    </row>
    <row r="130" spans="1:18" x14ac:dyDescent="0.2">
      <c r="A130" s="30" t="s">
        <v>751</v>
      </c>
      <c r="B130" s="38" t="s">
        <v>752</v>
      </c>
      <c r="C130" s="38" t="s">
        <v>383</v>
      </c>
      <c r="D130" s="38" t="s">
        <v>240</v>
      </c>
      <c r="E130" s="38" t="s">
        <v>753</v>
      </c>
      <c r="F130" s="38" t="s">
        <v>437</v>
      </c>
      <c r="G130" s="79" t="s">
        <v>247</v>
      </c>
      <c r="H130" s="88">
        <v>4728.7090452180564</v>
      </c>
      <c r="I130" s="85">
        <v>12000</v>
      </c>
      <c r="J130" s="85">
        <v>0</v>
      </c>
      <c r="K130" s="83">
        <v>567.44508542616677</v>
      </c>
      <c r="L130" s="38">
        <v>2.6621671707500842E-4</v>
      </c>
      <c r="M130" s="46">
        <v>3.9611354884394575E-3</v>
      </c>
      <c r="N130" s="46">
        <v>2.1929653691155696E-3</v>
      </c>
      <c r="O130" s="28"/>
      <c r="P130" s="28"/>
      <c r="Q130" s="28"/>
      <c r="R130" s="28"/>
    </row>
    <row r="131" spans="1:18" x14ac:dyDescent="0.2">
      <c r="A131" s="30" t="s">
        <v>763</v>
      </c>
      <c r="B131" s="38" t="s">
        <v>764</v>
      </c>
      <c r="C131" s="38" t="s">
        <v>383</v>
      </c>
      <c r="D131" s="38" t="s">
        <v>240</v>
      </c>
      <c r="E131" s="38" t="s">
        <v>765</v>
      </c>
      <c r="F131" s="38" t="s">
        <v>766</v>
      </c>
      <c r="G131" s="79" t="s">
        <v>247</v>
      </c>
      <c r="H131" s="88">
        <v>70147.667608050528</v>
      </c>
      <c r="I131" s="85">
        <v>950.50000000000011</v>
      </c>
      <c r="J131" s="85">
        <v>0</v>
      </c>
      <c r="K131" s="83">
        <v>666.75358060276744</v>
      </c>
      <c r="L131" s="38">
        <v>3.5073833804025265E-4</v>
      </c>
      <c r="M131" s="46">
        <v>4.654373327043904E-3</v>
      </c>
      <c r="N131" s="46">
        <v>2.5767559708399766E-3</v>
      </c>
      <c r="O131" s="28"/>
      <c r="P131" s="28"/>
      <c r="Q131" s="28"/>
      <c r="R131" s="28"/>
    </row>
    <row r="132" spans="1:18" x14ac:dyDescent="0.2">
      <c r="A132" s="30" t="s">
        <v>718</v>
      </c>
      <c r="B132" s="38" t="s">
        <v>719</v>
      </c>
      <c r="C132" s="38" t="s">
        <v>383</v>
      </c>
      <c r="D132" s="38" t="s">
        <v>240</v>
      </c>
      <c r="E132" s="38" t="s">
        <v>720</v>
      </c>
      <c r="F132" s="38" t="s">
        <v>218</v>
      </c>
      <c r="G132" s="79" t="s">
        <v>247</v>
      </c>
      <c r="H132" s="88">
        <v>1621.0069161179613</v>
      </c>
      <c r="I132" s="85">
        <v>4902</v>
      </c>
      <c r="J132" s="85">
        <v>0</v>
      </c>
      <c r="K132" s="83">
        <v>79.461759028102463</v>
      </c>
      <c r="L132" s="38">
        <v>2.4633117285930784E-4</v>
      </c>
      <c r="M132" s="46">
        <v>5.5469472155820793E-4</v>
      </c>
      <c r="N132" s="46">
        <v>3.070903074026335E-4</v>
      </c>
      <c r="O132" s="28"/>
      <c r="P132" s="28"/>
      <c r="Q132" s="28"/>
      <c r="R132" s="28"/>
    </row>
    <row r="133" spans="1:18" x14ac:dyDescent="0.2">
      <c r="A133" s="30" t="s">
        <v>754</v>
      </c>
      <c r="B133" s="38" t="s">
        <v>755</v>
      </c>
      <c r="C133" s="38" t="s">
        <v>383</v>
      </c>
      <c r="D133" s="38" t="s">
        <v>240</v>
      </c>
      <c r="E133" s="38" t="s">
        <v>756</v>
      </c>
      <c r="F133" s="38" t="s">
        <v>211</v>
      </c>
      <c r="G133" s="79" t="s">
        <v>247</v>
      </c>
      <c r="H133" s="88">
        <v>8382.5588207642886</v>
      </c>
      <c r="I133" s="85">
        <v>3351</v>
      </c>
      <c r="J133" s="85">
        <v>0</v>
      </c>
      <c r="K133" s="83">
        <v>280.89954608381134</v>
      </c>
      <c r="L133" s="38">
        <v>8.3825588207642882E-4</v>
      </c>
      <c r="M133" s="46">
        <v>1.9608613930341221E-3</v>
      </c>
      <c r="N133" s="46">
        <v>1.0855728467529969E-3</v>
      </c>
      <c r="O133" s="28"/>
      <c r="P133" s="28"/>
      <c r="Q133" s="28"/>
      <c r="R133" s="28"/>
    </row>
    <row r="134" spans="1:18" x14ac:dyDescent="0.2">
      <c r="A134" s="30" t="s">
        <v>787</v>
      </c>
      <c r="B134" s="38" t="s">
        <v>788</v>
      </c>
      <c r="C134" s="38" t="s">
        <v>383</v>
      </c>
      <c r="D134" s="38" t="s">
        <v>240</v>
      </c>
      <c r="E134" s="38" t="s">
        <v>789</v>
      </c>
      <c r="F134" s="38" t="s">
        <v>406</v>
      </c>
      <c r="G134" s="79" t="s">
        <v>247</v>
      </c>
      <c r="H134" s="88">
        <v>5580.290478557883</v>
      </c>
      <c r="I134" s="85">
        <v>6516</v>
      </c>
      <c r="J134" s="85">
        <v>0</v>
      </c>
      <c r="K134" s="83">
        <v>363.61172756820594</v>
      </c>
      <c r="L134" s="38">
        <v>5.8618368470567583E-4</v>
      </c>
      <c r="M134" s="46">
        <v>2.5382461758418156E-3</v>
      </c>
      <c r="N134" s="46">
        <v>1.4052248346859866E-3</v>
      </c>
      <c r="O134" s="28"/>
      <c r="P134" s="28"/>
      <c r="Q134" s="28"/>
      <c r="R134" s="28"/>
    </row>
    <row r="135" spans="1:18" x14ac:dyDescent="0.2">
      <c r="A135" s="30" t="s">
        <v>776</v>
      </c>
      <c r="B135" s="38" t="s">
        <v>777</v>
      </c>
      <c r="C135" s="38" t="s">
        <v>383</v>
      </c>
      <c r="D135" s="38" t="s">
        <v>240</v>
      </c>
      <c r="E135" s="38" t="s">
        <v>778</v>
      </c>
      <c r="F135" s="38" t="s">
        <v>437</v>
      </c>
      <c r="G135" s="79" t="s">
        <v>247</v>
      </c>
      <c r="H135" s="88">
        <v>470114.46669872879</v>
      </c>
      <c r="I135" s="85">
        <v>52.2</v>
      </c>
      <c r="J135" s="85">
        <v>0</v>
      </c>
      <c r="K135" s="83">
        <v>245.39975161673644</v>
      </c>
      <c r="L135" s="38">
        <v>4.9682643171264926E-4</v>
      </c>
      <c r="M135" s="46">
        <v>1.7130497557366945E-3</v>
      </c>
      <c r="N135" s="46">
        <v>9.4837927176847053E-4</v>
      </c>
      <c r="O135" s="28"/>
      <c r="P135" s="28"/>
      <c r="Q135" s="28"/>
      <c r="R135" s="28"/>
    </row>
    <row r="136" spans="1:18" x14ac:dyDescent="0.2">
      <c r="A136" s="30" t="s">
        <v>724</v>
      </c>
      <c r="B136" s="38" t="s">
        <v>725</v>
      </c>
      <c r="C136" s="38" t="s">
        <v>383</v>
      </c>
      <c r="D136" s="38" t="s">
        <v>240</v>
      </c>
      <c r="E136" s="38" t="s">
        <v>726</v>
      </c>
      <c r="F136" s="38" t="s">
        <v>211</v>
      </c>
      <c r="G136" s="79" t="s">
        <v>247</v>
      </c>
      <c r="H136" s="88">
        <v>327.60584772154294</v>
      </c>
      <c r="I136" s="85">
        <v>10160</v>
      </c>
      <c r="J136" s="85">
        <v>0</v>
      </c>
      <c r="K136" s="83">
        <v>33.284754097167799</v>
      </c>
      <c r="L136" s="38">
        <v>9.8533290099428705E-5</v>
      </c>
      <c r="M136" s="46">
        <v>2.323492159232509E-4</v>
      </c>
      <c r="N136" s="46">
        <v>1.2863326325189217E-4</v>
      </c>
      <c r="O136" s="28"/>
      <c r="P136" s="28"/>
      <c r="Q136" s="28"/>
      <c r="R136" s="28"/>
    </row>
    <row r="137" spans="1:18" x14ac:dyDescent="0.2">
      <c r="A137" s="30" t="s">
        <v>733</v>
      </c>
      <c r="B137" s="38" t="s">
        <v>734</v>
      </c>
      <c r="C137" s="38" t="s">
        <v>383</v>
      </c>
      <c r="D137" s="38" t="s">
        <v>240</v>
      </c>
      <c r="E137" s="38" t="s">
        <v>735</v>
      </c>
      <c r="F137" s="38" t="s">
        <v>210</v>
      </c>
      <c r="G137" s="79" t="s">
        <v>247</v>
      </c>
      <c r="H137" s="88">
        <v>8430.8376960363821</v>
      </c>
      <c r="I137" s="85">
        <v>3.2</v>
      </c>
      <c r="J137" s="85">
        <v>0</v>
      </c>
      <c r="K137" s="83">
        <v>0.26978678287191077</v>
      </c>
      <c r="L137" s="38">
        <v>8.9363714458201481E-5</v>
      </c>
      <c r="M137" s="46">
        <v>1.8832870834421653E-6</v>
      </c>
      <c r="N137" s="46">
        <v>1.0426261273174466E-6</v>
      </c>
      <c r="O137" s="28"/>
      <c r="P137" s="28"/>
      <c r="Q137" s="28"/>
      <c r="R137" s="28"/>
    </row>
    <row r="138" spans="1:18" x14ac:dyDescent="0.2">
      <c r="A138" s="30" t="s">
        <v>757</v>
      </c>
      <c r="B138" s="38" t="s">
        <v>758</v>
      </c>
      <c r="C138" s="38" t="s">
        <v>383</v>
      </c>
      <c r="D138" s="38" t="s">
        <v>240</v>
      </c>
      <c r="E138" s="38" t="s">
        <v>759</v>
      </c>
      <c r="F138" s="38" t="s">
        <v>437</v>
      </c>
      <c r="G138" s="79" t="s">
        <v>247</v>
      </c>
      <c r="H138" s="88">
        <v>183096.3797861347</v>
      </c>
      <c r="I138" s="85">
        <v>162.1</v>
      </c>
      <c r="J138" s="85">
        <v>0</v>
      </c>
      <c r="K138" s="83">
        <v>296.79923162287736</v>
      </c>
      <c r="L138" s="38">
        <v>3.7807632688925392E-4</v>
      </c>
      <c r="M138" s="46">
        <v>2.0718515315715311E-3</v>
      </c>
      <c r="N138" s="46">
        <v>1.147019250400696E-3</v>
      </c>
      <c r="O138" s="28"/>
      <c r="P138" s="28"/>
      <c r="Q138" s="28"/>
      <c r="R138" s="28"/>
    </row>
    <row r="139" spans="1:18" x14ac:dyDescent="0.2">
      <c r="A139" s="30" t="s">
        <v>779</v>
      </c>
      <c r="B139" s="38" t="s">
        <v>780</v>
      </c>
      <c r="C139" s="38" t="s">
        <v>383</v>
      </c>
      <c r="D139" s="38" t="s">
        <v>240</v>
      </c>
      <c r="E139" s="38" t="s">
        <v>759</v>
      </c>
      <c r="F139" s="38" t="s">
        <v>437</v>
      </c>
      <c r="G139" s="79" t="s">
        <v>247</v>
      </c>
      <c r="H139" s="88">
        <v>252380.83130684885</v>
      </c>
      <c r="I139" s="85">
        <v>138.9571</v>
      </c>
      <c r="J139" s="85">
        <v>0</v>
      </c>
      <c r="K139" s="83">
        <v>350.70125823180621</v>
      </c>
      <c r="L139" s="38">
        <v>5.2114202251952785E-4</v>
      </c>
      <c r="M139" s="46">
        <v>2.4481227091412189E-3</v>
      </c>
      <c r="N139" s="46">
        <v>1.3553306460131042E-3</v>
      </c>
      <c r="O139" s="28"/>
      <c r="P139" s="28"/>
      <c r="Q139" s="28"/>
      <c r="R139" s="28"/>
    </row>
    <row r="140" spans="1:18" x14ac:dyDescent="0.2">
      <c r="A140" s="30" t="s">
        <v>790</v>
      </c>
      <c r="B140" s="38" t="s">
        <v>791</v>
      </c>
      <c r="C140" s="38" t="s">
        <v>383</v>
      </c>
      <c r="D140" s="38" t="s">
        <v>240</v>
      </c>
      <c r="E140" s="38" t="s">
        <v>792</v>
      </c>
      <c r="F140" s="38" t="s">
        <v>211</v>
      </c>
      <c r="G140" s="79" t="s">
        <v>247</v>
      </c>
      <c r="H140" s="88">
        <v>861.88696926915168</v>
      </c>
      <c r="I140" s="85">
        <v>16300</v>
      </c>
      <c r="J140" s="85">
        <v>0</v>
      </c>
      <c r="K140" s="83">
        <v>140.48757599087173</v>
      </c>
      <c r="L140" s="38">
        <v>2.329892738618662E-4</v>
      </c>
      <c r="M140" s="46">
        <v>9.8069458566962049E-4</v>
      </c>
      <c r="N140" s="46">
        <v>5.4293251779173287E-4</v>
      </c>
      <c r="O140" s="28"/>
      <c r="P140" s="28"/>
      <c r="Q140" s="28"/>
      <c r="R140" s="28"/>
    </row>
    <row r="141" spans="1:18" x14ac:dyDescent="0.2">
      <c r="A141" s="30" t="s">
        <v>721</v>
      </c>
      <c r="B141" s="38" t="s">
        <v>722</v>
      </c>
      <c r="C141" s="38" t="s">
        <v>383</v>
      </c>
      <c r="D141" s="38" t="s">
        <v>240</v>
      </c>
      <c r="E141" s="38" t="s">
        <v>723</v>
      </c>
      <c r="F141" s="38" t="s">
        <v>206</v>
      </c>
      <c r="G141" s="79" t="s">
        <v>247</v>
      </c>
      <c r="H141" s="88">
        <v>41935.850606665983</v>
      </c>
      <c r="I141" s="85">
        <v>93.7</v>
      </c>
      <c r="J141" s="85">
        <v>0</v>
      </c>
      <c r="K141" s="83">
        <v>39.293891976658074</v>
      </c>
      <c r="L141" s="38">
        <v>1.9304536321493405E-4</v>
      </c>
      <c r="M141" s="46">
        <v>2.742969037625033E-4</v>
      </c>
      <c r="N141" s="46">
        <v>1.5185635850183311E-4</v>
      </c>
      <c r="O141" s="28"/>
      <c r="P141" s="28"/>
      <c r="Q141" s="28"/>
      <c r="R141" s="28"/>
    </row>
    <row r="142" spans="1:18" x14ac:dyDescent="0.2">
      <c r="A142" s="30" t="s">
        <v>702</v>
      </c>
      <c r="B142" s="38" t="s">
        <v>703</v>
      </c>
      <c r="C142" s="38" t="s">
        <v>383</v>
      </c>
      <c r="D142" s="38" t="s">
        <v>240</v>
      </c>
      <c r="E142" s="38" t="s">
        <v>704</v>
      </c>
      <c r="F142" s="38" t="s">
        <v>216</v>
      </c>
      <c r="G142" s="79" t="s">
        <v>247</v>
      </c>
      <c r="H142" s="88">
        <v>3742.550816418126</v>
      </c>
      <c r="I142" s="85">
        <v>2433</v>
      </c>
      <c r="J142" s="85">
        <v>0</v>
      </c>
      <c r="K142" s="83">
        <v>91.056261331589695</v>
      </c>
      <c r="L142" s="38">
        <v>3.5539282090782246E-4</v>
      </c>
      <c r="M142" s="46">
        <v>6.356318830998284E-4</v>
      </c>
      <c r="N142" s="46">
        <v>3.518987702419624E-4</v>
      </c>
      <c r="O142" s="28"/>
      <c r="P142" s="28"/>
      <c r="Q142" s="28"/>
      <c r="R142" s="28"/>
    </row>
    <row r="143" spans="1:18" x14ac:dyDescent="0.2">
      <c r="A143" s="30" t="s">
        <v>742</v>
      </c>
      <c r="B143" s="38" t="s">
        <v>743</v>
      </c>
      <c r="C143" s="38" t="s">
        <v>383</v>
      </c>
      <c r="D143" s="38" t="s">
        <v>240</v>
      </c>
      <c r="E143" s="38" t="s">
        <v>744</v>
      </c>
      <c r="F143" s="38" t="s">
        <v>224</v>
      </c>
      <c r="G143" s="79" t="s">
        <v>247</v>
      </c>
      <c r="H143" s="88">
        <v>22898.993604215062</v>
      </c>
      <c r="I143" s="85">
        <v>25.4</v>
      </c>
      <c r="J143" s="85">
        <v>0</v>
      </c>
      <c r="K143" s="83">
        <v>5.8163443545766498</v>
      </c>
      <c r="L143" s="38">
        <v>1.7192249786750471E-4</v>
      </c>
      <c r="M143" s="46">
        <v>4.0601863735580495E-5</v>
      </c>
      <c r="N143" s="46">
        <v>2.2478019586438144E-5</v>
      </c>
      <c r="O143" s="28"/>
      <c r="P143" s="28"/>
      <c r="Q143" s="28"/>
      <c r="R143" s="28"/>
    </row>
    <row r="144" spans="1:18" x14ac:dyDescent="0.2">
      <c r="A144" s="30" t="s">
        <v>727</v>
      </c>
      <c r="B144" s="38" t="s">
        <v>728</v>
      </c>
      <c r="C144" s="38" t="s">
        <v>383</v>
      </c>
      <c r="D144" s="38" t="s">
        <v>240</v>
      </c>
      <c r="E144" s="38" t="s">
        <v>729</v>
      </c>
      <c r="F144" s="38" t="s">
        <v>206</v>
      </c>
      <c r="G144" s="79" t="s">
        <v>247</v>
      </c>
      <c r="H144" s="88">
        <v>29482.878804907788</v>
      </c>
      <c r="I144" s="85">
        <v>150.1</v>
      </c>
      <c r="J144" s="85">
        <v>0</v>
      </c>
      <c r="K144" s="83">
        <v>44.25380107049611</v>
      </c>
      <c r="L144" s="38">
        <v>6.5127152224885227E-4</v>
      </c>
      <c r="M144" s="46">
        <v>3.0892029276635751E-4</v>
      </c>
      <c r="N144" s="46">
        <v>1.7102457258298838E-4</v>
      </c>
      <c r="O144" s="28"/>
      <c r="P144" s="28"/>
      <c r="Q144" s="28"/>
      <c r="R144" s="28"/>
    </row>
    <row r="145" spans="1:18" x14ac:dyDescent="0.2">
      <c r="A145" s="30" t="s">
        <v>799</v>
      </c>
      <c r="B145" s="38" t="s">
        <v>800</v>
      </c>
      <c r="C145" s="38" t="s">
        <v>383</v>
      </c>
      <c r="D145" s="38" t="s">
        <v>240</v>
      </c>
      <c r="E145" s="38" t="s">
        <v>801</v>
      </c>
      <c r="F145" s="38" t="s">
        <v>766</v>
      </c>
      <c r="G145" s="79" t="s">
        <v>247</v>
      </c>
      <c r="H145" s="88">
        <v>14865.740279196076</v>
      </c>
      <c r="I145" s="85">
        <v>228.5</v>
      </c>
      <c r="J145" s="85">
        <v>0.38429721239999998</v>
      </c>
      <c r="K145" s="83">
        <v>34.352513750398479</v>
      </c>
      <c r="L145" s="38">
        <v>6.4049680150559432E-5</v>
      </c>
      <c r="M145" s="46">
        <v>2.3980287225787113E-4</v>
      </c>
      <c r="N145" s="46">
        <v>1.3275975936968858E-4</v>
      </c>
      <c r="O145" s="28"/>
      <c r="P145" s="28"/>
      <c r="Q145" s="28"/>
      <c r="R145" s="28"/>
    </row>
    <row r="146" spans="1:18" x14ac:dyDescent="0.2">
      <c r="A146" s="30" t="s">
        <v>687</v>
      </c>
      <c r="B146" s="38" t="s">
        <v>688</v>
      </c>
      <c r="C146" s="38" t="s">
        <v>383</v>
      </c>
      <c r="D146" s="38" t="s">
        <v>240</v>
      </c>
      <c r="E146" s="38" t="s">
        <v>689</v>
      </c>
      <c r="F146" s="38" t="s">
        <v>209</v>
      </c>
      <c r="G146" s="79" t="s">
        <v>247</v>
      </c>
      <c r="H146" s="88">
        <v>5404.0859350655992</v>
      </c>
      <c r="I146" s="85">
        <v>1269</v>
      </c>
      <c r="J146" s="85">
        <v>0</v>
      </c>
      <c r="K146" s="83">
        <v>68.577850515982462</v>
      </c>
      <c r="L146" s="38">
        <v>6.2508642631669165E-4</v>
      </c>
      <c r="M146" s="46">
        <v>4.7871796650726222E-4</v>
      </c>
      <c r="N146" s="46">
        <v>2.6502802673317313E-4</v>
      </c>
      <c r="O146" s="28"/>
      <c r="P146" s="28"/>
      <c r="Q146" s="28"/>
      <c r="R146" s="28"/>
    </row>
    <row r="147" spans="1:18" x14ac:dyDescent="0.2">
      <c r="A147" s="30" t="s">
        <v>715</v>
      </c>
      <c r="B147" s="38" t="s">
        <v>716</v>
      </c>
      <c r="C147" s="38" t="s">
        <v>383</v>
      </c>
      <c r="D147" s="38" t="s">
        <v>240</v>
      </c>
      <c r="E147" s="38" t="s">
        <v>717</v>
      </c>
      <c r="F147" s="38" t="s">
        <v>224</v>
      </c>
      <c r="G147" s="79" t="s">
        <v>247</v>
      </c>
      <c r="H147" s="88">
        <v>149961.23596154794</v>
      </c>
      <c r="I147" s="85">
        <v>196.2</v>
      </c>
      <c r="J147" s="85">
        <v>0</v>
      </c>
      <c r="K147" s="83">
        <v>294.22394493994636</v>
      </c>
      <c r="L147" s="38">
        <v>8.2033074396037527E-4</v>
      </c>
      <c r="M147" s="46">
        <v>2.0538743568022716E-3</v>
      </c>
      <c r="N147" s="46">
        <v>1.1370667199157932E-3</v>
      </c>
      <c r="O147" s="28"/>
      <c r="P147" s="28"/>
      <c r="Q147" s="28"/>
      <c r="R147" s="28"/>
    </row>
    <row r="148" spans="1:18" x14ac:dyDescent="0.2">
      <c r="A148" s="30" t="s">
        <v>781</v>
      </c>
      <c r="B148" s="38" t="s">
        <v>782</v>
      </c>
      <c r="C148" s="38" t="s">
        <v>383</v>
      </c>
      <c r="D148" s="38" t="s">
        <v>240</v>
      </c>
      <c r="E148" s="38" t="s">
        <v>783</v>
      </c>
      <c r="F148" s="38" t="s">
        <v>437</v>
      </c>
      <c r="G148" s="79" t="s">
        <v>247</v>
      </c>
      <c r="H148" s="88">
        <v>47210.984143516122</v>
      </c>
      <c r="I148" s="85">
        <v>853.7</v>
      </c>
      <c r="J148" s="85">
        <v>0</v>
      </c>
      <c r="K148" s="83">
        <v>403.04017163319713</v>
      </c>
      <c r="L148" s="38">
        <v>7.6024129055581513E-4</v>
      </c>
      <c r="M148" s="46">
        <v>2.8134823406285635E-3</v>
      </c>
      <c r="N148" s="46">
        <v>1.5576011872412269E-3</v>
      </c>
      <c r="O148" s="28"/>
      <c r="P148" s="28"/>
      <c r="Q148" s="28"/>
      <c r="R148" s="28"/>
    </row>
    <row r="149" spans="1:18" x14ac:dyDescent="0.2">
      <c r="A149" s="30" t="s">
        <v>767</v>
      </c>
      <c r="B149" s="38" t="s">
        <v>768</v>
      </c>
      <c r="C149" s="38" t="s">
        <v>383</v>
      </c>
      <c r="D149" s="38" t="s">
        <v>240</v>
      </c>
      <c r="E149" s="38" t="s">
        <v>769</v>
      </c>
      <c r="F149" s="38" t="s">
        <v>766</v>
      </c>
      <c r="G149" s="79" t="s">
        <v>247</v>
      </c>
      <c r="H149" s="88">
        <v>2823.2985472295882</v>
      </c>
      <c r="I149" s="85">
        <v>727.6</v>
      </c>
      <c r="J149" s="85">
        <v>0</v>
      </c>
      <c r="K149" s="83">
        <v>20.542320229642481</v>
      </c>
      <c r="L149" s="38">
        <v>7.0582463680739701E-5</v>
      </c>
      <c r="M149" s="46">
        <v>1.4339874600449281E-4</v>
      </c>
      <c r="N149" s="46">
        <v>7.9388469513407502E-5</v>
      </c>
      <c r="O149" s="28"/>
      <c r="P149" s="28"/>
      <c r="Q149" s="28"/>
      <c r="R149" s="28"/>
    </row>
    <row r="150" spans="1:18" x14ac:dyDescent="0.2">
      <c r="A150" s="30" t="s">
        <v>690</v>
      </c>
      <c r="B150" s="38" t="s">
        <v>691</v>
      </c>
      <c r="C150" s="38" t="s">
        <v>383</v>
      </c>
      <c r="D150" s="38" t="s">
        <v>240</v>
      </c>
      <c r="E150" s="38" t="s">
        <v>692</v>
      </c>
      <c r="F150" s="38" t="s">
        <v>213</v>
      </c>
      <c r="G150" s="79" t="s">
        <v>247</v>
      </c>
      <c r="H150" s="88">
        <v>41407.25390030993</v>
      </c>
      <c r="I150" s="85">
        <v>13</v>
      </c>
      <c r="J150" s="85">
        <v>0</v>
      </c>
      <c r="K150" s="83">
        <v>5.3829430070402902</v>
      </c>
      <c r="L150" s="38">
        <v>1.0056298875204739E-4</v>
      </c>
      <c r="M150" s="46">
        <v>3.7576440654905788E-5</v>
      </c>
      <c r="N150" s="46">
        <v>2.0803083684294493E-5</v>
      </c>
      <c r="O150" s="28"/>
      <c r="P150" s="28"/>
      <c r="Q150" s="28"/>
      <c r="R150" s="28"/>
    </row>
    <row r="151" spans="1:18" s="138" customFormat="1" x14ac:dyDescent="0.2">
      <c r="A151" s="112" t="s">
        <v>802</v>
      </c>
      <c r="B151" s="145" t="s">
        <v>240</v>
      </c>
      <c r="C151" s="145" t="s">
        <v>240</v>
      </c>
      <c r="D151" s="145" t="s">
        <v>240</v>
      </c>
      <c r="E151" s="145" t="s">
        <v>240</v>
      </c>
      <c r="F151" s="145" t="s">
        <v>240</v>
      </c>
      <c r="G151" s="146" t="s">
        <v>240</v>
      </c>
      <c r="H151" s="156" t="s">
        <v>240</v>
      </c>
      <c r="I151" s="142" t="s">
        <v>240</v>
      </c>
      <c r="J151" s="142" t="s">
        <v>240</v>
      </c>
      <c r="K151" s="173">
        <v>0</v>
      </c>
      <c r="L151" s="145" t="s">
        <v>240</v>
      </c>
      <c r="M151" s="141">
        <v>0</v>
      </c>
      <c r="N151" s="141">
        <v>0</v>
      </c>
    </row>
    <row r="152" spans="1:18" s="138" customFormat="1" x14ac:dyDescent="0.2">
      <c r="A152" s="112" t="s">
        <v>803</v>
      </c>
      <c r="B152" s="145" t="s">
        <v>240</v>
      </c>
      <c r="C152" s="145" t="s">
        <v>240</v>
      </c>
      <c r="D152" s="145" t="s">
        <v>240</v>
      </c>
      <c r="E152" s="145" t="s">
        <v>240</v>
      </c>
      <c r="F152" s="145" t="s">
        <v>240</v>
      </c>
      <c r="G152" s="146" t="s">
        <v>240</v>
      </c>
      <c r="H152" s="156" t="s">
        <v>240</v>
      </c>
      <c r="I152" s="142" t="s">
        <v>240</v>
      </c>
      <c r="J152" s="142" t="s">
        <v>240</v>
      </c>
      <c r="K152" s="173">
        <v>0</v>
      </c>
      <c r="L152" s="145" t="s">
        <v>240</v>
      </c>
      <c r="M152" s="141">
        <v>0</v>
      </c>
      <c r="N152" s="141">
        <v>0</v>
      </c>
    </row>
    <row r="153" spans="1:18" s="138" customFormat="1" x14ac:dyDescent="0.2">
      <c r="A153" s="112" t="s">
        <v>804</v>
      </c>
      <c r="B153" s="145" t="s">
        <v>240</v>
      </c>
      <c r="C153" s="145" t="s">
        <v>240</v>
      </c>
      <c r="D153" s="145" t="s">
        <v>240</v>
      </c>
      <c r="E153" s="145" t="s">
        <v>240</v>
      </c>
      <c r="F153" s="145" t="s">
        <v>240</v>
      </c>
      <c r="G153" s="146" t="s">
        <v>240</v>
      </c>
      <c r="H153" s="156" t="s">
        <v>240</v>
      </c>
      <c r="I153" s="142" t="s">
        <v>240</v>
      </c>
      <c r="J153" s="142" t="s">
        <v>240</v>
      </c>
      <c r="K153" s="173">
        <v>0</v>
      </c>
      <c r="L153" s="145" t="s">
        <v>240</v>
      </c>
      <c r="M153" s="141">
        <v>0</v>
      </c>
      <c r="N153" s="141">
        <v>0</v>
      </c>
    </row>
    <row r="154" spans="1:18" s="138" customFormat="1" x14ac:dyDescent="0.2">
      <c r="A154" s="112" t="s">
        <v>376</v>
      </c>
      <c r="B154" s="145" t="s">
        <v>240</v>
      </c>
      <c r="C154" s="145" t="s">
        <v>240</v>
      </c>
      <c r="D154" s="145" t="s">
        <v>240</v>
      </c>
      <c r="E154" s="145" t="s">
        <v>240</v>
      </c>
      <c r="F154" s="145" t="s">
        <v>240</v>
      </c>
      <c r="G154" s="146" t="s">
        <v>240</v>
      </c>
      <c r="H154" s="156" t="s">
        <v>240</v>
      </c>
      <c r="I154" s="142" t="s">
        <v>240</v>
      </c>
      <c r="J154" s="142" t="s">
        <v>240</v>
      </c>
      <c r="K154" s="173">
        <v>51576.568826971612</v>
      </c>
      <c r="L154" s="145" t="s">
        <v>240</v>
      </c>
      <c r="M154" s="141">
        <v>0.36003797089725653</v>
      </c>
      <c r="N154" s="141">
        <v>0.19932436142328905</v>
      </c>
    </row>
    <row r="155" spans="1:18" s="138" customFormat="1" x14ac:dyDescent="0.2">
      <c r="A155" s="112" t="s">
        <v>146</v>
      </c>
      <c r="B155" s="145" t="s">
        <v>240</v>
      </c>
      <c r="C155" s="145" t="s">
        <v>240</v>
      </c>
      <c r="D155" s="145" t="s">
        <v>240</v>
      </c>
      <c r="E155" s="145" t="s">
        <v>240</v>
      </c>
      <c r="F155" s="145" t="s">
        <v>240</v>
      </c>
      <c r="G155" s="146" t="s">
        <v>240</v>
      </c>
      <c r="H155" s="156" t="s">
        <v>240</v>
      </c>
      <c r="I155" s="142" t="s">
        <v>240</v>
      </c>
      <c r="J155" s="142" t="s">
        <v>240</v>
      </c>
      <c r="K155" s="173">
        <v>13887.169975043953</v>
      </c>
      <c r="L155" s="145" t="s">
        <v>240</v>
      </c>
      <c r="M155" s="141">
        <v>9.69414719326087E-2</v>
      </c>
      <c r="N155" s="141">
        <v>5.3668775380125232E-2</v>
      </c>
    </row>
    <row r="156" spans="1:18" x14ac:dyDescent="0.2">
      <c r="A156" s="30" t="s">
        <v>845</v>
      </c>
      <c r="B156" s="38" t="s">
        <v>846</v>
      </c>
      <c r="C156" s="38" t="s">
        <v>807</v>
      </c>
      <c r="D156" s="38" t="s">
        <v>390</v>
      </c>
      <c r="E156" s="38" t="s">
        <v>638</v>
      </c>
      <c r="F156" s="38" t="s">
        <v>185</v>
      </c>
      <c r="G156" s="79" t="s">
        <v>127</v>
      </c>
      <c r="H156" s="88">
        <v>11526.736608986132</v>
      </c>
      <c r="I156" s="85">
        <v>944.99999999999989</v>
      </c>
      <c r="J156" s="85">
        <v>0</v>
      </c>
      <c r="K156" s="83">
        <v>388.32711126510986</v>
      </c>
      <c r="L156" s="38">
        <v>3.3390769189416087E-4</v>
      </c>
      <c r="M156" s="46">
        <v>2.7107756169923681E-3</v>
      </c>
      <c r="N156" s="46">
        <v>1.500740650971554E-3</v>
      </c>
      <c r="O156" s="28"/>
      <c r="P156" s="28"/>
      <c r="Q156" s="28"/>
      <c r="R156" s="28"/>
    </row>
    <row r="157" spans="1:18" x14ac:dyDescent="0.2">
      <c r="A157" s="30" t="s">
        <v>821</v>
      </c>
      <c r="B157" s="38" t="s">
        <v>822</v>
      </c>
      <c r="C157" s="38" t="s">
        <v>807</v>
      </c>
      <c r="D157" s="38" t="s">
        <v>390</v>
      </c>
      <c r="E157" s="38" t="s">
        <v>240</v>
      </c>
      <c r="F157" s="38" t="s">
        <v>168</v>
      </c>
      <c r="G157" s="79" t="s">
        <v>127</v>
      </c>
      <c r="H157" s="88">
        <v>4151.8524771083448</v>
      </c>
      <c r="I157" s="85">
        <v>1057</v>
      </c>
      <c r="J157" s="85">
        <v>0</v>
      </c>
      <c r="K157" s="83">
        <v>156.45031260315719</v>
      </c>
      <c r="L157" s="38">
        <v>1.2070118943469906E-4</v>
      </c>
      <c r="M157" s="46">
        <v>1.0921248616760607E-3</v>
      </c>
      <c r="N157" s="46">
        <v>6.0462259051615331E-4</v>
      </c>
      <c r="O157" s="28"/>
      <c r="P157" s="28"/>
      <c r="Q157" s="28"/>
      <c r="R157" s="28"/>
    </row>
    <row r="158" spans="1:18" x14ac:dyDescent="0.2">
      <c r="A158" s="30" t="s">
        <v>838</v>
      </c>
      <c r="B158" s="38" t="s">
        <v>839</v>
      </c>
      <c r="C158" s="38" t="s">
        <v>807</v>
      </c>
      <c r="D158" s="38" t="s">
        <v>390</v>
      </c>
      <c r="E158" s="38" t="s">
        <v>741</v>
      </c>
      <c r="F158" s="38" t="s">
        <v>180</v>
      </c>
      <c r="G158" s="79" t="s">
        <v>127</v>
      </c>
      <c r="H158" s="88">
        <v>3026.6700655234581</v>
      </c>
      <c r="I158" s="85">
        <v>118</v>
      </c>
      <c r="J158" s="85">
        <v>0</v>
      </c>
      <c r="K158" s="83">
        <v>12.732292923894278</v>
      </c>
      <c r="L158" s="38">
        <v>1.1752097389897531E-4</v>
      </c>
      <c r="M158" s="46">
        <v>8.8879679541442567E-5</v>
      </c>
      <c r="N158" s="46">
        <v>4.9205602742273431E-5</v>
      </c>
      <c r="O158" s="28"/>
      <c r="P158" s="28"/>
      <c r="Q158" s="28"/>
      <c r="R158" s="28"/>
    </row>
    <row r="159" spans="1:18" x14ac:dyDescent="0.2">
      <c r="A159" s="30" t="s">
        <v>819</v>
      </c>
      <c r="B159" s="38" t="s">
        <v>820</v>
      </c>
      <c r="C159" s="38" t="s">
        <v>807</v>
      </c>
      <c r="D159" s="38" t="s">
        <v>390</v>
      </c>
      <c r="E159" s="38" t="s">
        <v>240</v>
      </c>
      <c r="F159" s="38" t="s">
        <v>168</v>
      </c>
      <c r="G159" s="79" t="s">
        <v>127</v>
      </c>
      <c r="H159" s="88">
        <v>8590.5635783021789</v>
      </c>
      <c r="I159" s="85">
        <v>2489</v>
      </c>
      <c r="J159" s="85">
        <v>0</v>
      </c>
      <c r="K159" s="83">
        <v>762.26518939406355</v>
      </c>
      <c r="L159" s="38">
        <v>2.1054356474030502E-4</v>
      </c>
      <c r="M159" s="46">
        <v>5.321106431018202E-3</v>
      </c>
      <c r="N159" s="46">
        <v>2.9458730110739598E-3</v>
      </c>
      <c r="O159" s="28"/>
      <c r="P159" s="28"/>
      <c r="Q159" s="28"/>
      <c r="R159" s="28"/>
    </row>
    <row r="160" spans="1:18" x14ac:dyDescent="0.2">
      <c r="A160" s="30" t="s">
        <v>840</v>
      </c>
      <c r="B160" s="38" t="s">
        <v>841</v>
      </c>
      <c r="C160" s="38" t="s">
        <v>807</v>
      </c>
      <c r="D160" s="38" t="s">
        <v>390</v>
      </c>
      <c r="E160" s="38" t="s">
        <v>611</v>
      </c>
      <c r="F160" s="38" t="s">
        <v>185</v>
      </c>
      <c r="G160" s="79" t="s">
        <v>127</v>
      </c>
      <c r="H160" s="88">
        <v>12306.128936337805</v>
      </c>
      <c r="I160" s="85">
        <v>803.99999999999989</v>
      </c>
      <c r="J160" s="85">
        <v>0</v>
      </c>
      <c r="K160" s="83">
        <v>352.72565120157515</v>
      </c>
      <c r="L160" s="38">
        <v>2.5151358118922546E-4</v>
      </c>
      <c r="M160" s="46">
        <v>2.462254287757459E-3</v>
      </c>
      <c r="N160" s="46">
        <v>1.3631541760606861E-3</v>
      </c>
      <c r="O160" s="28"/>
      <c r="P160" s="28"/>
      <c r="Q160" s="28"/>
      <c r="R160" s="28"/>
    </row>
    <row r="161" spans="1:18" x14ac:dyDescent="0.2">
      <c r="A161" s="30" t="s">
        <v>827</v>
      </c>
      <c r="B161" s="38" t="s">
        <v>828</v>
      </c>
      <c r="C161" s="38" t="s">
        <v>829</v>
      </c>
      <c r="D161" s="38" t="s">
        <v>390</v>
      </c>
      <c r="E161" s="38" t="s">
        <v>240</v>
      </c>
      <c r="F161" s="38" t="s">
        <v>185</v>
      </c>
      <c r="G161" s="79" t="s">
        <v>127</v>
      </c>
      <c r="H161" s="88">
        <v>423.36419473257746</v>
      </c>
      <c r="I161" s="85">
        <v>16396</v>
      </c>
      <c r="J161" s="85">
        <v>0</v>
      </c>
      <c r="K161" s="83">
        <v>247.46373835817985</v>
      </c>
      <c r="L161" s="38">
        <v>4.2461739778186896E-6</v>
      </c>
      <c r="M161" s="46">
        <v>1.727457724611885E-3</v>
      </c>
      <c r="N161" s="46">
        <v>9.5635581709866704E-4</v>
      </c>
      <c r="O161" s="28"/>
      <c r="P161" s="28"/>
      <c r="Q161" s="28"/>
      <c r="R161" s="28"/>
    </row>
    <row r="162" spans="1:18" x14ac:dyDescent="0.2">
      <c r="A162" s="30" t="s">
        <v>823</v>
      </c>
      <c r="B162" s="38" t="s">
        <v>824</v>
      </c>
      <c r="C162" s="38" t="s">
        <v>807</v>
      </c>
      <c r="D162" s="38" t="s">
        <v>390</v>
      </c>
      <c r="E162" s="38" t="s">
        <v>240</v>
      </c>
      <c r="F162" s="38" t="s">
        <v>187</v>
      </c>
      <c r="G162" s="79" t="s">
        <v>127</v>
      </c>
      <c r="H162" s="88">
        <v>6869.8923952440873</v>
      </c>
      <c r="I162" s="85">
        <v>8188</v>
      </c>
      <c r="J162" s="85">
        <v>0</v>
      </c>
      <c r="K162" s="83">
        <v>2005.3367039339737</v>
      </c>
      <c r="L162" s="38">
        <v>1.3953128686225712E-4</v>
      </c>
      <c r="M162" s="46">
        <v>1.3998553495722594E-2</v>
      </c>
      <c r="N162" s="46">
        <v>7.7498846286435333E-3</v>
      </c>
      <c r="O162" s="28"/>
      <c r="P162" s="28"/>
      <c r="Q162" s="28"/>
      <c r="R162" s="28"/>
    </row>
    <row r="163" spans="1:18" x14ac:dyDescent="0.2">
      <c r="A163" s="30" t="s">
        <v>834</v>
      </c>
      <c r="B163" s="38" t="s">
        <v>835</v>
      </c>
      <c r="C163" s="38" t="s">
        <v>829</v>
      </c>
      <c r="D163" s="38" t="s">
        <v>390</v>
      </c>
      <c r="E163" s="38" t="s">
        <v>409</v>
      </c>
      <c r="F163" s="38" t="s">
        <v>180</v>
      </c>
      <c r="G163" s="79" t="s">
        <v>127</v>
      </c>
      <c r="H163" s="88">
        <v>65122.883344627349</v>
      </c>
      <c r="I163" s="85">
        <v>898</v>
      </c>
      <c r="J163" s="85">
        <v>0</v>
      </c>
      <c r="K163" s="83">
        <v>2084.824450524151</v>
      </c>
      <c r="L163" s="38">
        <v>5.9455782810530792E-5</v>
      </c>
      <c r="M163" s="46">
        <v>1.4553429627353839E-2</v>
      </c>
      <c r="N163" s="46">
        <v>8.0570753683613314E-3</v>
      </c>
      <c r="O163" s="28"/>
      <c r="P163" s="28"/>
      <c r="Q163" s="28"/>
      <c r="R163" s="28"/>
    </row>
    <row r="164" spans="1:18" x14ac:dyDescent="0.2">
      <c r="A164" s="30" t="s">
        <v>830</v>
      </c>
      <c r="B164" s="38" t="s">
        <v>831</v>
      </c>
      <c r="C164" s="38" t="s">
        <v>829</v>
      </c>
      <c r="D164" s="38" t="s">
        <v>390</v>
      </c>
      <c r="E164" s="38" t="s">
        <v>240</v>
      </c>
      <c r="F164" s="38" t="s">
        <v>185</v>
      </c>
      <c r="G164" s="79" t="s">
        <v>127</v>
      </c>
      <c r="H164" s="88">
        <v>3281.96833841124</v>
      </c>
      <c r="I164" s="85">
        <v>877.99999999999989</v>
      </c>
      <c r="J164" s="85">
        <v>0</v>
      </c>
      <c r="K164" s="83">
        <v>102.72790633720068</v>
      </c>
      <c r="L164" s="38">
        <v>9.2449314946255919E-5</v>
      </c>
      <c r="M164" s="46">
        <v>7.1710755083862041E-4</v>
      </c>
      <c r="N164" s="46">
        <v>3.9700536109152921E-4</v>
      </c>
      <c r="O164" s="28"/>
      <c r="P164" s="28"/>
      <c r="Q164" s="28"/>
      <c r="R164" s="28"/>
    </row>
    <row r="165" spans="1:18" x14ac:dyDescent="0.2">
      <c r="A165" s="30" t="s">
        <v>825</v>
      </c>
      <c r="B165" s="38" t="s">
        <v>826</v>
      </c>
      <c r="C165" s="38" t="s">
        <v>807</v>
      </c>
      <c r="D165" s="38" t="s">
        <v>390</v>
      </c>
      <c r="E165" s="38" t="s">
        <v>240</v>
      </c>
      <c r="F165" s="38" t="s">
        <v>180</v>
      </c>
      <c r="G165" s="79" t="s">
        <v>127</v>
      </c>
      <c r="H165" s="88">
        <v>2688.4279302277969</v>
      </c>
      <c r="I165" s="85">
        <v>1784</v>
      </c>
      <c r="J165" s="85">
        <v>0</v>
      </c>
      <c r="K165" s="83">
        <v>170.98294094952783</v>
      </c>
      <c r="L165" s="38">
        <v>1.2708259882385987E-4</v>
      </c>
      <c r="M165" s="46">
        <v>1.1935720525348492E-3</v>
      </c>
      <c r="N165" s="46">
        <v>6.6078582375991856E-4</v>
      </c>
      <c r="O165" s="28"/>
      <c r="P165" s="28"/>
      <c r="Q165" s="28"/>
      <c r="R165" s="28"/>
    </row>
    <row r="166" spans="1:18" x14ac:dyDescent="0.2">
      <c r="A166" s="30" t="s">
        <v>855</v>
      </c>
      <c r="B166" s="38" t="s">
        <v>856</v>
      </c>
      <c r="C166" s="38" t="s">
        <v>807</v>
      </c>
      <c r="D166" s="38" t="s">
        <v>390</v>
      </c>
      <c r="E166" s="38" t="s">
        <v>418</v>
      </c>
      <c r="F166" s="38" t="s">
        <v>168</v>
      </c>
      <c r="G166" s="79" t="s">
        <v>127</v>
      </c>
      <c r="H166" s="88">
        <v>471.53525708697384</v>
      </c>
      <c r="I166" s="85">
        <v>12769</v>
      </c>
      <c r="J166" s="85">
        <v>0</v>
      </c>
      <c r="K166" s="83">
        <v>214.64985127650209</v>
      </c>
      <c r="L166" s="38">
        <v>1.0668621576583862E-5</v>
      </c>
      <c r="M166" s="46">
        <v>1.4983954664811972E-3</v>
      </c>
      <c r="N166" s="46">
        <v>8.295422806977933E-4</v>
      </c>
      <c r="O166" s="28"/>
      <c r="P166" s="28"/>
      <c r="Q166" s="28"/>
      <c r="R166" s="28"/>
    </row>
    <row r="167" spans="1:18" x14ac:dyDescent="0.2">
      <c r="A167" s="30" t="s">
        <v>808</v>
      </c>
      <c r="B167" s="38" t="s">
        <v>809</v>
      </c>
      <c r="C167" s="38" t="s">
        <v>807</v>
      </c>
      <c r="D167" s="38" t="s">
        <v>390</v>
      </c>
      <c r="E167" s="38" t="s">
        <v>810</v>
      </c>
      <c r="F167" s="38" t="s">
        <v>185</v>
      </c>
      <c r="G167" s="79" t="s">
        <v>127</v>
      </c>
      <c r="H167" s="88">
        <v>2219.0238587231906</v>
      </c>
      <c r="I167" s="85">
        <v>5497</v>
      </c>
      <c r="J167" s="85">
        <v>0</v>
      </c>
      <c r="K167" s="83">
        <v>434.85777845149244</v>
      </c>
      <c r="L167" s="38">
        <v>1.6488511359215268E-5</v>
      </c>
      <c r="M167" s="46">
        <v>3.0355899150214371E-3</v>
      </c>
      <c r="N167" s="46">
        <v>1.6805644689273378E-3</v>
      </c>
      <c r="O167" s="28"/>
      <c r="P167" s="28"/>
      <c r="Q167" s="28"/>
      <c r="R167" s="28"/>
    </row>
    <row r="168" spans="1:18" x14ac:dyDescent="0.2">
      <c r="A168" s="30" t="s">
        <v>811</v>
      </c>
      <c r="B168" s="38" t="s">
        <v>812</v>
      </c>
      <c r="C168" s="38" t="s">
        <v>221</v>
      </c>
      <c r="D168" s="38" t="s">
        <v>390</v>
      </c>
      <c r="E168" s="38" t="s">
        <v>813</v>
      </c>
      <c r="F168" s="38" t="s">
        <v>406</v>
      </c>
      <c r="G168" s="79" t="s">
        <v>127</v>
      </c>
      <c r="H168" s="88">
        <v>292</v>
      </c>
      <c r="I168" s="85">
        <v>0.05</v>
      </c>
      <c r="J168" s="85">
        <v>0</v>
      </c>
      <c r="K168" s="83">
        <v>5.2000000000000006E-4</v>
      </c>
      <c r="L168" s="38">
        <v>1.0403721396891995E-4</v>
      </c>
      <c r="M168" s="46">
        <v>3.6299379568008045E-9</v>
      </c>
      <c r="N168" s="46">
        <v>2.0096076628871821E-9</v>
      </c>
      <c r="O168" s="28"/>
      <c r="P168" s="28"/>
      <c r="Q168" s="28"/>
      <c r="R168" s="28"/>
    </row>
    <row r="169" spans="1:18" x14ac:dyDescent="0.2">
      <c r="A169" s="30" t="s">
        <v>851</v>
      </c>
      <c r="B169" s="38" t="s">
        <v>852</v>
      </c>
      <c r="C169" s="38" t="s">
        <v>807</v>
      </c>
      <c r="D169" s="38" t="s">
        <v>390</v>
      </c>
      <c r="E169" s="38" t="s">
        <v>772</v>
      </c>
      <c r="F169" s="38" t="s">
        <v>188</v>
      </c>
      <c r="G169" s="79" t="s">
        <v>127</v>
      </c>
      <c r="H169" s="88">
        <v>798.44241024112102</v>
      </c>
      <c r="I169" s="85">
        <v>91</v>
      </c>
      <c r="J169" s="85">
        <v>0</v>
      </c>
      <c r="K169" s="83">
        <v>2.5902669326473471</v>
      </c>
      <c r="L169" s="38">
        <v>6.8643913613671771E-6</v>
      </c>
      <c r="M169" s="46">
        <v>1.8081746648197302E-5</v>
      </c>
      <c r="N169" s="46">
        <v>1.0010423609175739E-5</v>
      </c>
      <c r="O169" s="28"/>
      <c r="P169" s="28"/>
      <c r="Q169" s="28"/>
      <c r="R169" s="28"/>
    </row>
    <row r="170" spans="1:18" x14ac:dyDescent="0.2">
      <c r="A170" s="30" t="s">
        <v>842</v>
      </c>
      <c r="B170" s="38" t="s">
        <v>843</v>
      </c>
      <c r="C170" s="38" t="s">
        <v>221</v>
      </c>
      <c r="D170" s="38" t="s">
        <v>390</v>
      </c>
      <c r="E170" s="38" t="s">
        <v>844</v>
      </c>
      <c r="F170" s="38" t="s">
        <v>184</v>
      </c>
      <c r="G170" s="79" t="s">
        <v>127</v>
      </c>
      <c r="H170" s="88">
        <v>1114.7354234360257</v>
      </c>
      <c r="I170" s="85">
        <v>714</v>
      </c>
      <c r="J170" s="85">
        <v>0</v>
      </c>
      <c r="K170" s="83">
        <v>28.374586927057159</v>
      </c>
      <c r="L170" s="38">
        <v>6.1479203261023439E-6</v>
      </c>
      <c r="M170" s="46">
        <v>1.9807305787513207E-4</v>
      </c>
      <c r="N170" s="46">
        <v>1.0965728330744716E-4</v>
      </c>
      <c r="O170" s="28"/>
      <c r="P170" s="28"/>
      <c r="Q170" s="28"/>
      <c r="R170" s="28"/>
    </row>
    <row r="171" spans="1:18" x14ac:dyDescent="0.2">
      <c r="A171" s="30" t="s">
        <v>817</v>
      </c>
      <c r="B171" s="38" t="s">
        <v>818</v>
      </c>
      <c r="C171" s="38" t="s">
        <v>807</v>
      </c>
      <c r="D171" s="38" t="s">
        <v>390</v>
      </c>
      <c r="E171" s="38" t="s">
        <v>240</v>
      </c>
      <c r="F171" s="38" t="s">
        <v>185</v>
      </c>
      <c r="G171" s="79" t="s">
        <v>127</v>
      </c>
      <c r="H171" s="88">
        <v>16292.062347665944</v>
      </c>
      <c r="I171" s="85">
        <v>4300</v>
      </c>
      <c r="J171" s="85">
        <v>0</v>
      </c>
      <c r="K171" s="83">
        <v>2497.4916975593333</v>
      </c>
      <c r="L171" s="38">
        <v>2.4380557234966187E-4</v>
      </c>
      <c r="M171" s="46">
        <v>1.7434115211087498E-2</v>
      </c>
      <c r="N171" s="46">
        <v>9.6518816411775999E-3</v>
      </c>
      <c r="O171" s="28"/>
      <c r="P171" s="28"/>
      <c r="Q171" s="28"/>
      <c r="R171" s="28"/>
    </row>
    <row r="172" spans="1:18" x14ac:dyDescent="0.2">
      <c r="A172" s="30" t="s">
        <v>853</v>
      </c>
      <c r="B172" s="38" t="s">
        <v>854</v>
      </c>
      <c r="C172" s="38" t="s">
        <v>807</v>
      </c>
      <c r="D172" s="38" t="s">
        <v>390</v>
      </c>
      <c r="E172" s="38" t="s">
        <v>455</v>
      </c>
      <c r="F172" s="38" t="s">
        <v>187</v>
      </c>
      <c r="G172" s="79" t="s">
        <v>127</v>
      </c>
      <c r="H172" s="88">
        <v>1074.7861407547825</v>
      </c>
      <c r="I172" s="85">
        <v>1592</v>
      </c>
      <c r="J172" s="85">
        <v>0</v>
      </c>
      <c r="K172" s="83">
        <v>60.999272419521589</v>
      </c>
      <c r="L172" s="38">
        <v>1.0062780093575536E-5</v>
      </c>
      <c r="M172" s="46">
        <v>4.2581456594779584E-4</v>
      </c>
      <c r="N172" s="46">
        <v>2.357396255477179E-4</v>
      </c>
      <c r="O172" s="28"/>
      <c r="P172" s="28"/>
      <c r="Q172" s="28"/>
      <c r="R172" s="28"/>
    </row>
    <row r="173" spans="1:18" x14ac:dyDescent="0.2">
      <c r="A173" s="30" t="s">
        <v>849</v>
      </c>
      <c r="B173" s="38" t="s">
        <v>850</v>
      </c>
      <c r="C173" s="38" t="s">
        <v>829</v>
      </c>
      <c r="D173" s="38" t="s">
        <v>390</v>
      </c>
      <c r="E173" s="38" t="s">
        <v>402</v>
      </c>
      <c r="F173" s="38" t="s">
        <v>167</v>
      </c>
      <c r="G173" s="79" t="s">
        <v>127</v>
      </c>
      <c r="H173" s="88">
        <v>3237.3074640748605</v>
      </c>
      <c r="I173" s="85">
        <v>307</v>
      </c>
      <c r="J173" s="85">
        <v>0</v>
      </c>
      <c r="K173" s="83">
        <v>35.430873387919462</v>
      </c>
      <c r="L173" s="38">
        <v>2.5282553509828365E-6</v>
      </c>
      <c r="M173" s="46">
        <v>2.4733052337194683E-4</v>
      </c>
      <c r="N173" s="46">
        <v>1.3692722050605475E-4</v>
      </c>
      <c r="O173" s="28"/>
      <c r="P173" s="28"/>
      <c r="Q173" s="28"/>
      <c r="R173" s="28"/>
    </row>
    <row r="174" spans="1:18" x14ac:dyDescent="0.2">
      <c r="A174" s="30" t="s">
        <v>814</v>
      </c>
      <c r="B174" s="38" t="s">
        <v>815</v>
      </c>
      <c r="C174" s="38" t="s">
        <v>221</v>
      </c>
      <c r="D174" s="38" t="s">
        <v>390</v>
      </c>
      <c r="E174" s="38" t="s">
        <v>816</v>
      </c>
      <c r="F174" s="38" t="s">
        <v>187</v>
      </c>
      <c r="G174" s="79" t="s">
        <v>127</v>
      </c>
      <c r="H174" s="88">
        <v>9181.2624057091307</v>
      </c>
      <c r="I174" s="85">
        <v>12132</v>
      </c>
      <c r="J174" s="85">
        <v>0</v>
      </c>
      <c r="K174" s="83">
        <v>3970.9492417451856</v>
      </c>
      <c r="L174" s="38">
        <v>1.6376907044362651E-4</v>
      </c>
      <c r="M174" s="46">
        <v>2.7719806494500426E-2</v>
      </c>
      <c r="N174" s="46">
        <v>1.5346250048359942E-2</v>
      </c>
      <c r="O174" s="28"/>
      <c r="P174" s="28"/>
      <c r="Q174" s="28"/>
      <c r="R174" s="28"/>
    </row>
    <row r="175" spans="1:18" x14ac:dyDescent="0.2">
      <c r="A175" s="30" t="s">
        <v>836</v>
      </c>
      <c r="B175" s="38" t="s">
        <v>837</v>
      </c>
      <c r="C175" s="38" t="s">
        <v>807</v>
      </c>
      <c r="D175" s="38" t="s">
        <v>390</v>
      </c>
      <c r="E175" s="38" t="s">
        <v>551</v>
      </c>
      <c r="F175" s="38" t="s">
        <v>187</v>
      </c>
      <c r="G175" s="79" t="s">
        <v>127</v>
      </c>
      <c r="H175" s="88">
        <v>1933.0741226066518</v>
      </c>
      <c r="I175" s="85">
        <v>3265</v>
      </c>
      <c r="J175" s="85">
        <v>0</v>
      </c>
      <c r="K175" s="83">
        <v>225.0045118692598</v>
      </c>
      <c r="L175" s="38">
        <v>6.9024514710982869E-5</v>
      </c>
      <c r="M175" s="46">
        <v>1.5706777270878139E-3</v>
      </c>
      <c r="N175" s="46">
        <v>8.6955921391664297E-4</v>
      </c>
      <c r="O175" s="28"/>
      <c r="P175" s="28"/>
      <c r="Q175" s="28"/>
      <c r="R175" s="28"/>
    </row>
    <row r="176" spans="1:18" x14ac:dyDescent="0.2">
      <c r="A176" s="30" t="s">
        <v>832</v>
      </c>
      <c r="B176" s="38" t="s">
        <v>833</v>
      </c>
      <c r="C176" s="38" t="s">
        <v>807</v>
      </c>
      <c r="D176" s="38" t="s">
        <v>390</v>
      </c>
      <c r="E176" s="38" t="s">
        <v>399</v>
      </c>
      <c r="F176" s="38" t="s">
        <v>185</v>
      </c>
      <c r="G176" s="79" t="s">
        <v>127</v>
      </c>
      <c r="H176" s="88">
        <v>155.51386558393949</v>
      </c>
      <c r="I176" s="85">
        <v>14356</v>
      </c>
      <c r="J176" s="85">
        <v>0</v>
      </c>
      <c r="K176" s="83">
        <v>79.590658982437404</v>
      </c>
      <c r="L176" s="38">
        <v>2.5028880524989164E-6</v>
      </c>
      <c r="M176" s="46">
        <v>5.5559452701372776E-4</v>
      </c>
      <c r="N176" s="46">
        <v>3.0758845804874371E-4</v>
      </c>
      <c r="O176" s="28"/>
      <c r="P176" s="28"/>
      <c r="Q176" s="28"/>
      <c r="R176" s="28"/>
    </row>
    <row r="177" spans="1:18" x14ac:dyDescent="0.2">
      <c r="A177" s="30" t="s">
        <v>847</v>
      </c>
      <c r="B177" s="38" t="s">
        <v>848</v>
      </c>
      <c r="C177" s="38" t="s">
        <v>829</v>
      </c>
      <c r="D177" s="38" t="s">
        <v>390</v>
      </c>
      <c r="E177" s="38" t="s">
        <v>632</v>
      </c>
      <c r="F177" s="38" t="s">
        <v>188</v>
      </c>
      <c r="G177" s="79" t="s">
        <v>127</v>
      </c>
      <c r="H177" s="88">
        <v>1031.7758905459234</v>
      </c>
      <c r="I177" s="85">
        <v>291</v>
      </c>
      <c r="J177" s="85">
        <v>0</v>
      </c>
      <c r="K177" s="83">
        <v>10.703797839758858</v>
      </c>
      <c r="L177" s="38">
        <v>6.9168528307293292E-6</v>
      </c>
      <c r="M177" s="46">
        <v>7.4719465500890642E-5</v>
      </c>
      <c r="N177" s="46">
        <v>4.1366219539951278E-5</v>
      </c>
      <c r="O177" s="28"/>
      <c r="P177" s="28"/>
      <c r="Q177" s="28"/>
      <c r="R177" s="28"/>
    </row>
    <row r="178" spans="1:18" x14ac:dyDescent="0.2">
      <c r="A178" s="30" t="s">
        <v>805</v>
      </c>
      <c r="B178" s="38" t="s">
        <v>806</v>
      </c>
      <c r="C178" s="38" t="s">
        <v>807</v>
      </c>
      <c r="D178" s="38" t="s">
        <v>390</v>
      </c>
      <c r="E178" s="38" t="s">
        <v>240</v>
      </c>
      <c r="F178" s="38" t="s">
        <v>185</v>
      </c>
      <c r="G178" s="79" t="s">
        <v>127</v>
      </c>
      <c r="H178" s="88">
        <v>119.10611188516016</v>
      </c>
      <c r="I178" s="85">
        <v>10054</v>
      </c>
      <c r="J178" s="85">
        <v>0</v>
      </c>
      <c r="K178" s="83">
        <v>42.690620062005024</v>
      </c>
      <c r="L178" s="38">
        <v>8.1878255897006368E-7</v>
      </c>
      <c r="M178" s="46">
        <v>2.9800827338929601E-4</v>
      </c>
      <c r="N178" s="46">
        <v>1.6498345617309724E-4</v>
      </c>
      <c r="O178" s="28"/>
      <c r="P178" s="28"/>
      <c r="Q178" s="28"/>
      <c r="R178" s="28"/>
    </row>
    <row r="179" spans="1:18" s="138" customFormat="1" x14ac:dyDescent="0.2">
      <c r="A179" s="112" t="s">
        <v>147</v>
      </c>
      <c r="B179" s="145" t="s">
        <v>240</v>
      </c>
      <c r="C179" s="145" t="s">
        <v>240</v>
      </c>
      <c r="D179" s="145" t="s">
        <v>240</v>
      </c>
      <c r="E179" s="145" t="s">
        <v>240</v>
      </c>
      <c r="F179" s="145" t="s">
        <v>240</v>
      </c>
      <c r="G179" s="146" t="s">
        <v>240</v>
      </c>
      <c r="H179" s="156" t="s">
        <v>240</v>
      </c>
      <c r="I179" s="142" t="s">
        <v>240</v>
      </c>
      <c r="J179" s="142" t="s">
        <v>240</v>
      </c>
      <c r="K179" s="173">
        <v>37689.39885192769</v>
      </c>
      <c r="L179" s="145" t="s">
        <v>240</v>
      </c>
      <c r="M179" s="141">
        <v>0.26309649896464804</v>
      </c>
      <c r="N179" s="141">
        <v>0.14565558604316392</v>
      </c>
    </row>
    <row r="180" spans="1:18" x14ac:dyDescent="0.2">
      <c r="A180" s="30" t="s">
        <v>857</v>
      </c>
      <c r="B180" s="38" t="s">
        <v>858</v>
      </c>
      <c r="C180" s="38" t="s">
        <v>859</v>
      </c>
      <c r="D180" s="38" t="s">
        <v>390</v>
      </c>
      <c r="E180" s="38" t="s">
        <v>240</v>
      </c>
      <c r="F180" s="38" t="s">
        <v>168</v>
      </c>
      <c r="G180" s="79" t="s">
        <v>128</v>
      </c>
      <c r="H180" s="88">
        <v>1713.2661783494439</v>
      </c>
      <c r="I180" s="85">
        <v>5934</v>
      </c>
      <c r="J180" s="85">
        <v>0</v>
      </c>
      <c r="K180" s="83">
        <v>396.52483809946915</v>
      </c>
      <c r="L180" s="38">
        <v>2.1875957505888642E-6</v>
      </c>
      <c r="M180" s="46">
        <v>2.7680010781376092E-3</v>
      </c>
      <c r="N180" s="46">
        <v>1.5324218330188314E-3</v>
      </c>
      <c r="O180" s="28"/>
      <c r="P180" s="28"/>
      <c r="Q180" s="28"/>
      <c r="R180" s="28"/>
    </row>
    <row r="181" spans="1:18" x14ac:dyDescent="0.2">
      <c r="A181" s="30" t="s">
        <v>860</v>
      </c>
      <c r="B181" s="38" t="s">
        <v>861</v>
      </c>
      <c r="C181" s="38" t="s">
        <v>221</v>
      </c>
      <c r="D181" s="38" t="s">
        <v>390</v>
      </c>
      <c r="E181" s="38" t="s">
        <v>240</v>
      </c>
      <c r="F181" s="38" t="s">
        <v>186</v>
      </c>
      <c r="G181" s="79" t="s">
        <v>128</v>
      </c>
      <c r="H181" s="88">
        <v>29259.730895784294</v>
      </c>
      <c r="I181" s="85">
        <v>286.90000000000003</v>
      </c>
      <c r="J181" s="85">
        <v>0</v>
      </c>
      <c r="K181" s="83">
        <v>327.41523873876281</v>
      </c>
      <c r="L181" s="38">
        <v>5.1751538805230289E-6</v>
      </c>
      <c r="M181" s="46">
        <v>2.2855711591016005E-3</v>
      </c>
      <c r="N181" s="46">
        <v>1.265338793683565E-3</v>
      </c>
      <c r="O181" s="28"/>
      <c r="P181" s="28"/>
      <c r="Q181" s="28"/>
      <c r="R181" s="28"/>
    </row>
    <row r="182" spans="1:18" x14ac:dyDescent="0.2">
      <c r="A182" s="30" t="s">
        <v>862</v>
      </c>
      <c r="B182" s="38" t="s">
        <v>863</v>
      </c>
      <c r="C182" s="38" t="s">
        <v>859</v>
      </c>
      <c r="D182" s="38" t="s">
        <v>390</v>
      </c>
      <c r="E182" s="38" t="s">
        <v>240</v>
      </c>
      <c r="F182" s="38" t="s">
        <v>166</v>
      </c>
      <c r="G182" s="79" t="s">
        <v>128</v>
      </c>
      <c r="H182" s="88">
        <v>47.803344262751999</v>
      </c>
      <c r="I182" s="85">
        <v>3539</v>
      </c>
      <c r="J182" s="85">
        <v>8.8748948229999999E-2</v>
      </c>
      <c r="K182" s="83">
        <v>6.6871218548284856</v>
      </c>
      <c r="L182" s="38">
        <v>1.8372609233399339E-8</v>
      </c>
      <c r="M182" s="46">
        <v>4.6680456620373308E-5</v>
      </c>
      <c r="N182" s="46">
        <v>2.584325254254552E-5</v>
      </c>
      <c r="O182" s="28"/>
      <c r="P182" s="28"/>
      <c r="Q182" s="28"/>
      <c r="R182" s="28"/>
    </row>
    <row r="183" spans="1:18" x14ac:dyDescent="0.2">
      <c r="A183" s="30" t="s">
        <v>864</v>
      </c>
      <c r="B183" s="38" t="s">
        <v>865</v>
      </c>
      <c r="C183" s="38" t="s">
        <v>221</v>
      </c>
      <c r="D183" s="38" t="s">
        <v>390</v>
      </c>
      <c r="E183" s="38" t="s">
        <v>240</v>
      </c>
      <c r="F183" s="38" t="s">
        <v>166</v>
      </c>
      <c r="G183" s="79" t="s">
        <v>128</v>
      </c>
      <c r="H183" s="88">
        <v>167.31170491963201</v>
      </c>
      <c r="I183" s="85">
        <v>922.00000000000011</v>
      </c>
      <c r="J183" s="85">
        <v>0</v>
      </c>
      <c r="K183" s="83">
        <v>6.0166570696759356</v>
      </c>
      <c r="L183" s="38">
        <v>4.6038297369835017E-8</v>
      </c>
      <c r="M183" s="46">
        <v>4.2000176673597265E-5</v>
      </c>
      <c r="N183" s="46">
        <v>2.3252154138817494E-5</v>
      </c>
      <c r="O183" s="28"/>
      <c r="P183" s="28"/>
      <c r="Q183" s="28"/>
      <c r="R183" s="28"/>
    </row>
    <row r="184" spans="1:18" x14ac:dyDescent="0.2">
      <c r="A184" s="30" t="s">
        <v>866</v>
      </c>
      <c r="B184" s="38" t="s">
        <v>867</v>
      </c>
      <c r="C184" s="38" t="s">
        <v>859</v>
      </c>
      <c r="D184" s="38" t="s">
        <v>390</v>
      </c>
      <c r="E184" s="38" t="s">
        <v>240</v>
      </c>
      <c r="F184" s="38" t="s">
        <v>166</v>
      </c>
      <c r="G184" s="79" t="s">
        <v>128</v>
      </c>
      <c r="H184" s="88">
        <v>19.918060109479999</v>
      </c>
      <c r="I184" s="85">
        <v>626.79999999999995</v>
      </c>
      <c r="J184" s="85">
        <v>0</v>
      </c>
      <c r="K184" s="83">
        <v>0.48693840894126633</v>
      </c>
      <c r="L184" s="38">
        <v>4.4552963193988399E-8</v>
      </c>
      <c r="M184" s="46">
        <v>3.3991465639232594E-6</v>
      </c>
      <c r="N184" s="46">
        <v>1.881836842235502E-6</v>
      </c>
      <c r="O184" s="28"/>
      <c r="P184" s="28"/>
      <c r="Q184" s="28"/>
      <c r="R184" s="28"/>
    </row>
    <row r="185" spans="1:18" x14ac:dyDescent="0.2">
      <c r="A185" s="30" t="s">
        <v>868</v>
      </c>
      <c r="B185" s="38" t="s">
        <v>869</v>
      </c>
      <c r="C185" s="38" t="s">
        <v>221</v>
      </c>
      <c r="D185" s="38" t="s">
        <v>390</v>
      </c>
      <c r="E185" s="38" t="s">
        <v>240</v>
      </c>
      <c r="F185" s="38" t="s">
        <v>189</v>
      </c>
      <c r="G185" s="79" t="s">
        <v>128</v>
      </c>
      <c r="H185" s="88">
        <v>127.475584700672</v>
      </c>
      <c r="I185" s="85">
        <v>633.90000000000009</v>
      </c>
      <c r="J185" s="85">
        <v>0</v>
      </c>
      <c r="K185" s="83">
        <v>3.1517065632872394</v>
      </c>
      <c r="L185" s="38">
        <v>1.2538565657684909E-8</v>
      </c>
      <c r="M185" s="46">
        <v>2.200096015918186E-5</v>
      </c>
      <c r="N185" s="46">
        <v>1.2180180116834349E-5</v>
      </c>
      <c r="O185" s="28"/>
      <c r="P185" s="28"/>
      <c r="Q185" s="28"/>
      <c r="R185" s="28"/>
    </row>
    <row r="186" spans="1:18" x14ac:dyDescent="0.2">
      <c r="A186" s="30" t="s">
        <v>862</v>
      </c>
      <c r="B186" s="38" t="s">
        <v>863</v>
      </c>
      <c r="C186" s="38" t="s">
        <v>859</v>
      </c>
      <c r="D186" s="38" t="s">
        <v>390</v>
      </c>
      <c r="E186" s="38" t="s">
        <v>240</v>
      </c>
      <c r="F186" s="38" t="s">
        <v>166</v>
      </c>
      <c r="G186" s="79" t="s">
        <v>128</v>
      </c>
      <c r="H186" s="88">
        <v>2230.9218953624022</v>
      </c>
      <c r="I186" s="85">
        <v>3539</v>
      </c>
      <c r="J186" s="85">
        <v>5.9168599159999999</v>
      </c>
      <c r="K186" s="83">
        <v>313.85461645533206</v>
      </c>
      <c r="L186" s="38">
        <v>8.5742654297233863E-7</v>
      </c>
      <c r="M186" s="46">
        <v>2.1909092022853235E-3</v>
      </c>
      <c r="N186" s="46">
        <v>1.2129320043483705E-3</v>
      </c>
      <c r="O186" s="28"/>
      <c r="P186" s="28"/>
      <c r="Q186" s="28"/>
      <c r="R186" s="28"/>
    </row>
    <row r="187" spans="1:18" x14ac:dyDescent="0.2">
      <c r="A187" s="30" t="s">
        <v>870</v>
      </c>
      <c r="B187" s="38" t="s">
        <v>871</v>
      </c>
      <c r="C187" s="38" t="s">
        <v>221</v>
      </c>
      <c r="D187" s="38" t="s">
        <v>390</v>
      </c>
      <c r="E187" s="38" t="s">
        <v>240</v>
      </c>
      <c r="F187" s="38" t="s">
        <v>186</v>
      </c>
      <c r="G187" s="79" t="s">
        <v>135</v>
      </c>
      <c r="H187" s="88">
        <v>9066.6492745162068</v>
      </c>
      <c r="I187" s="85">
        <v>8106</v>
      </c>
      <c r="J187" s="85">
        <v>0</v>
      </c>
      <c r="K187" s="83">
        <v>258.6262974160507</v>
      </c>
      <c r="L187" s="38">
        <v>2.951003062875022E-6</v>
      </c>
      <c r="M187" s="46">
        <v>1.8053796415718774E-3</v>
      </c>
      <c r="N187" s="46">
        <v>9.9949497906045171E-4</v>
      </c>
      <c r="O187" s="28"/>
      <c r="P187" s="28"/>
      <c r="Q187" s="28"/>
      <c r="R187" s="28"/>
    </row>
    <row r="188" spans="1:18" x14ac:dyDescent="0.2">
      <c r="A188" s="30" t="s">
        <v>872</v>
      </c>
      <c r="B188" s="38" t="s">
        <v>873</v>
      </c>
      <c r="C188" s="38" t="s">
        <v>874</v>
      </c>
      <c r="D188" s="38" t="s">
        <v>390</v>
      </c>
      <c r="E188" s="38" t="s">
        <v>240</v>
      </c>
      <c r="F188" s="38" t="s">
        <v>180</v>
      </c>
      <c r="G188" s="79" t="s">
        <v>128</v>
      </c>
      <c r="H188" s="88">
        <v>2576.3373772468467</v>
      </c>
      <c r="I188" s="85">
        <v>5285</v>
      </c>
      <c r="J188" s="85">
        <v>0</v>
      </c>
      <c r="K188" s="83">
        <v>531.06262631665777</v>
      </c>
      <c r="L188" s="38">
        <v>2.6224289738520953E-6</v>
      </c>
      <c r="M188" s="46">
        <v>3.7071622782791492E-3</v>
      </c>
      <c r="N188" s="46">
        <v>2.0523606217672068E-3</v>
      </c>
      <c r="O188" s="28"/>
      <c r="P188" s="28"/>
      <c r="Q188" s="28"/>
      <c r="R188" s="28"/>
    </row>
    <row r="189" spans="1:18" x14ac:dyDescent="0.2">
      <c r="A189" s="30" t="s">
        <v>875</v>
      </c>
      <c r="B189" s="38" t="s">
        <v>876</v>
      </c>
      <c r="C189" s="38" t="s">
        <v>859</v>
      </c>
      <c r="D189" s="38" t="s">
        <v>390</v>
      </c>
      <c r="E189" s="38" t="s">
        <v>240</v>
      </c>
      <c r="F189" s="38" t="s">
        <v>189</v>
      </c>
      <c r="G189" s="79" t="s">
        <v>128</v>
      </c>
      <c r="H189" s="88">
        <v>45.73186601136608</v>
      </c>
      <c r="I189" s="85">
        <v>1947.5000000000002</v>
      </c>
      <c r="J189" s="85">
        <v>0</v>
      </c>
      <c r="K189" s="83">
        <v>3.4737167261193669</v>
      </c>
      <c r="L189" s="38">
        <v>8.0617950940635479E-8</v>
      </c>
      <c r="M189" s="46">
        <v>2.4248800375604832E-5</v>
      </c>
      <c r="N189" s="46">
        <v>1.342463029136318E-5</v>
      </c>
      <c r="O189" s="28"/>
      <c r="P189" s="28"/>
      <c r="Q189" s="28"/>
      <c r="R189" s="28"/>
    </row>
    <row r="190" spans="1:18" x14ac:dyDescent="0.2">
      <c r="A190" s="30" t="s">
        <v>877</v>
      </c>
      <c r="B190" s="38" t="s">
        <v>878</v>
      </c>
      <c r="C190" s="38" t="s">
        <v>859</v>
      </c>
      <c r="D190" s="38" t="s">
        <v>390</v>
      </c>
      <c r="E190" s="38" t="s">
        <v>240</v>
      </c>
      <c r="F190" s="38" t="s">
        <v>172</v>
      </c>
      <c r="G190" s="79" t="s">
        <v>128</v>
      </c>
      <c r="H190" s="88">
        <v>135.38651411904982</v>
      </c>
      <c r="I190" s="85">
        <v>47590</v>
      </c>
      <c r="J190" s="85">
        <v>0</v>
      </c>
      <c r="K190" s="83">
        <v>251.29805313758459</v>
      </c>
      <c r="L190" s="38">
        <v>1.07211942521397E-6</v>
      </c>
      <c r="M190" s="46">
        <v>1.7542237337581994E-3</v>
      </c>
      <c r="N190" s="46">
        <v>9.7117402548830807E-4</v>
      </c>
      <c r="O190" s="28"/>
      <c r="P190" s="28"/>
      <c r="Q190" s="28"/>
      <c r="R190" s="28"/>
    </row>
    <row r="191" spans="1:18" x14ac:dyDescent="0.2">
      <c r="A191" s="30" t="s">
        <v>879</v>
      </c>
      <c r="B191" s="38" t="s">
        <v>880</v>
      </c>
      <c r="C191" s="38" t="s">
        <v>221</v>
      </c>
      <c r="D191" s="38" t="s">
        <v>390</v>
      </c>
      <c r="E191" s="38" t="s">
        <v>240</v>
      </c>
      <c r="F191" s="38" t="s">
        <v>172</v>
      </c>
      <c r="G191" s="79" t="s">
        <v>128</v>
      </c>
      <c r="H191" s="88">
        <v>2055.1714047173987</v>
      </c>
      <c r="I191" s="85">
        <v>3329</v>
      </c>
      <c r="J191" s="85">
        <v>0</v>
      </c>
      <c r="K191" s="83">
        <v>266.84548360907064</v>
      </c>
      <c r="L191" s="38">
        <v>7.9563248239325014E-6</v>
      </c>
      <c r="M191" s="46">
        <v>1.8627549029873701E-3</v>
      </c>
      <c r="N191" s="46">
        <v>1.0312590935915851E-3</v>
      </c>
      <c r="O191" s="28"/>
      <c r="P191" s="28"/>
      <c r="Q191" s="28"/>
      <c r="R191" s="28"/>
    </row>
    <row r="192" spans="1:18" x14ac:dyDescent="0.2">
      <c r="A192" s="30" t="s">
        <v>881</v>
      </c>
      <c r="B192" s="38" t="s">
        <v>882</v>
      </c>
      <c r="C192" s="38" t="s">
        <v>883</v>
      </c>
      <c r="D192" s="38" t="s">
        <v>390</v>
      </c>
      <c r="E192" s="38" t="s">
        <v>240</v>
      </c>
      <c r="F192" s="38" t="s">
        <v>167</v>
      </c>
      <c r="G192" s="79" t="s">
        <v>2</v>
      </c>
      <c r="H192" s="88">
        <v>940.13243716745603</v>
      </c>
      <c r="I192" s="85">
        <v>123.8</v>
      </c>
      <c r="J192" s="85">
        <v>0</v>
      </c>
      <c r="K192" s="83">
        <v>5.1194599710115778</v>
      </c>
      <c r="L192" s="38">
        <v>7.055766924369206E-8</v>
      </c>
      <c r="M192" s="46">
        <v>3.573715782134091E-5</v>
      </c>
      <c r="N192" s="46">
        <v>1.9784819206902034E-5</v>
      </c>
      <c r="O192" s="28"/>
      <c r="P192" s="28"/>
      <c r="Q192" s="28"/>
      <c r="R192" s="28"/>
    </row>
    <row r="193" spans="1:18" x14ac:dyDescent="0.2">
      <c r="A193" s="30" t="s">
        <v>884</v>
      </c>
      <c r="B193" s="38" t="s">
        <v>885</v>
      </c>
      <c r="C193" s="38" t="s">
        <v>883</v>
      </c>
      <c r="D193" s="38" t="s">
        <v>390</v>
      </c>
      <c r="E193" s="38" t="s">
        <v>240</v>
      </c>
      <c r="F193" s="38" t="s">
        <v>166</v>
      </c>
      <c r="G193" s="79" t="s">
        <v>2</v>
      </c>
      <c r="H193" s="88">
        <v>191.213377051008</v>
      </c>
      <c r="I193" s="85">
        <v>344.20000000000005</v>
      </c>
      <c r="J193" s="85">
        <v>0</v>
      </c>
      <c r="K193" s="83">
        <v>2.8949669273669931</v>
      </c>
      <c r="L193" s="38">
        <v>9.4397917970407964E-9</v>
      </c>
      <c r="M193" s="46">
        <v>2.0208750641023935E-5</v>
      </c>
      <c r="N193" s="46">
        <v>1.1187976386618595E-5</v>
      </c>
      <c r="O193" s="28"/>
      <c r="P193" s="28"/>
      <c r="Q193" s="28"/>
      <c r="R193" s="28"/>
    </row>
    <row r="194" spans="1:18" x14ac:dyDescent="0.2">
      <c r="A194" s="30" t="s">
        <v>886</v>
      </c>
      <c r="B194" s="38" t="s">
        <v>885</v>
      </c>
      <c r="C194" s="38" t="s">
        <v>883</v>
      </c>
      <c r="D194" s="38" t="s">
        <v>390</v>
      </c>
      <c r="E194" s="38" t="s">
        <v>240</v>
      </c>
      <c r="F194" s="38" t="s">
        <v>166</v>
      </c>
      <c r="G194" s="79" t="s">
        <v>2</v>
      </c>
      <c r="H194" s="88">
        <v>20260.378686960066</v>
      </c>
      <c r="I194" s="85">
        <v>344.20000000000005</v>
      </c>
      <c r="J194" s="85">
        <v>0</v>
      </c>
      <c r="K194" s="83">
        <v>306.74175242219462</v>
      </c>
      <c r="L194" s="38">
        <v>1.0002111749905816E-6</v>
      </c>
      <c r="M194" s="46">
        <v>2.1412567885633065E-3</v>
      </c>
      <c r="N194" s="46">
        <v>1.185443415759779E-3</v>
      </c>
      <c r="O194" s="28"/>
      <c r="P194" s="28"/>
      <c r="Q194" s="28"/>
      <c r="R194" s="28"/>
    </row>
    <row r="195" spans="1:18" x14ac:dyDescent="0.2">
      <c r="A195" s="30" t="s">
        <v>887</v>
      </c>
      <c r="B195" s="38" t="s">
        <v>888</v>
      </c>
      <c r="C195" s="38" t="s">
        <v>883</v>
      </c>
      <c r="D195" s="38" t="s">
        <v>390</v>
      </c>
      <c r="E195" s="38" t="s">
        <v>240</v>
      </c>
      <c r="F195" s="38" t="s">
        <v>166</v>
      </c>
      <c r="G195" s="79" t="s">
        <v>2</v>
      </c>
      <c r="H195" s="88">
        <v>239.01672131376</v>
      </c>
      <c r="I195" s="85">
        <v>10.725</v>
      </c>
      <c r="J195" s="85">
        <v>0</v>
      </c>
      <c r="K195" s="83">
        <v>0.11275609047642202</v>
      </c>
      <c r="L195" s="38">
        <v>1.6968271414834937E-7</v>
      </c>
      <c r="M195" s="46">
        <v>7.8711079361698073E-7</v>
      </c>
      <c r="N195" s="46">
        <v>4.3576058357426555E-7</v>
      </c>
      <c r="O195" s="28"/>
      <c r="P195" s="28"/>
      <c r="Q195" s="28"/>
      <c r="R195" s="28"/>
    </row>
    <row r="196" spans="1:18" x14ac:dyDescent="0.2">
      <c r="A196" s="30" t="s">
        <v>889</v>
      </c>
      <c r="B196" s="38" t="s">
        <v>890</v>
      </c>
      <c r="C196" s="38" t="s">
        <v>883</v>
      </c>
      <c r="D196" s="38" t="s">
        <v>390</v>
      </c>
      <c r="E196" s="38" t="s">
        <v>240</v>
      </c>
      <c r="F196" s="38" t="s">
        <v>167</v>
      </c>
      <c r="G196" s="79" t="s">
        <v>2</v>
      </c>
      <c r="H196" s="88">
        <v>180.42734914052238</v>
      </c>
      <c r="I196" s="85">
        <v>118.05000000000001</v>
      </c>
      <c r="J196" s="85">
        <v>0</v>
      </c>
      <c r="K196" s="83">
        <v>0.93687753932550144</v>
      </c>
      <c r="L196" s="38">
        <v>3.0652386857167399E-7</v>
      </c>
      <c r="M196" s="46">
        <v>6.540014117061107E-6</v>
      </c>
      <c r="N196" s="46">
        <v>3.620685158106567E-6</v>
      </c>
      <c r="O196" s="28"/>
      <c r="P196" s="28"/>
      <c r="Q196" s="28"/>
      <c r="R196" s="28"/>
    </row>
    <row r="197" spans="1:18" x14ac:dyDescent="0.2">
      <c r="A197" s="30" t="s">
        <v>891</v>
      </c>
      <c r="B197" s="38" t="s">
        <v>892</v>
      </c>
      <c r="C197" s="38" t="s">
        <v>883</v>
      </c>
      <c r="D197" s="38" t="s">
        <v>390</v>
      </c>
      <c r="E197" s="38" t="s">
        <v>240</v>
      </c>
      <c r="F197" s="38" t="s">
        <v>175</v>
      </c>
      <c r="G197" s="79" t="s">
        <v>2</v>
      </c>
      <c r="H197" s="88">
        <v>7670.1380945226692</v>
      </c>
      <c r="I197" s="85">
        <v>1220</v>
      </c>
      <c r="J197" s="85">
        <v>0</v>
      </c>
      <c r="K197" s="83">
        <v>411.60200692933228</v>
      </c>
      <c r="L197" s="38">
        <v>1.0941841984995215E-5</v>
      </c>
      <c r="M197" s="46">
        <v>2.8732495154772516E-3</v>
      </c>
      <c r="N197" s="46">
        <v>1.5906895138171713E-3</v>
      </c>
      <c r="O197" s="28"/>
      <c r="P197" s="28"/>
      <c r="Q197" s="28"/>
      <c r="R197" s="28"/>
    </row>
    <row r="198" spans="1:18" x14ac:dyDescent="0.2">
      <c r="A198" s="30" t="s">
        <v>893</v>
      </c>
      <c r="B198" s="38" t="s">
        <v>894</v>
      </c>
      <c r="C198" s="38" t="s">
        <v>883</v>
      </c>
      <c r="D198" s="38" t="s">
        <v>390</v>
      </c>
      <c r="E198" s="38" t="s">
        <v>240</v>
      </c>
      <c r="F198" s="38" t="s">
        <v>167</v>
      </c>
      <c r="G198" s="79" t="s">
        <v>2</v>
      </c>
      <c r="H198" s="88">
        <v>23.901672131375999</v>
      </c>
      <c r="I198" s="85">
        <v>1252</v>
      </c>
      <c r="J198" s="85">
        <v>0</v>
      </c>
      <c r="K198" s="83">
        <v>1.3162763658641223</v>
      </c>
      <c r="L198" s="38">
        <v>1.1316694904331746E-8</v>
      </c>
      <c r="M198" s="46">
        <v>9.1884645040192304E-6</v>
      </c>
      <c r="N198" s="46">
        <v>5.0869212909958307E-6</v>
      </c>
      <c r="O198" s="28"/>
      <c r="P198" s="28"/>
      <c r="Q198" s="28"/>
      <c r="R198" s="28"/>
    </row>
    <row r="199" spans="1:18" x14ac:dyDescent="0.2">
      <c r="A199" s="30" t="s">
        <v>895</v>
      </c>
      <c r="B199" s="38" t="s">
        <v>896</v>
      </c>
      <c r="C199" s="38" t="s">
        <v>897</v>
      </c>
      <c r="D199" s="38" t="s">
        <v>390</v>
      </c>
      <c r="E199" s="38" t="s">
        <v>240</v>
      </c>
      <c r="F199" s="38" t="s">
        <v>167</v>
      </c>
      <c r="G199" s="79" t="s">
        <v>134</v>
      </c>
      <c r="H199" s="88">
        <v>1274.7558470067199</v>
      </c>
      <c r="I199" s="85">
        <v>11</v>
      </c>
      <c r="J199" s="85">
        <v>0</v>
      </c>
      <c r="K199" s="83">
        <v>0.35058590255548217</v>
      </c>
      <c r="L199" s="38">
        <v>3.2086863441785426E-6</v>
      </c>
      <c r="M199" s="46">
        <v>2.4473174515488707E-6</v>
      </c>
      <c r="N199" s="46">
        <v>1.3548848389917612E-6</v>
      </c>
      <c r="O199" s="28"/>
      <c r="P199" s="28"/>
      <c r="Q199" s="28"/>
      <c r="R199" s="28"/>
    </row>
    <row r="200" spans="1:18" x14ac:dyDescent="0.2">
      <c r="A200" s="30" t="s">
        <v>898</v>
      </c>
      <c r="B200" s="38" t="s">
        <v>899</v>
      </c>
      <c r="C200" s="38" t="s">
        <v>897</v>
      </c>
      <c r="D200" s="38" t="s">
        <v>390</v>
      </c>
      <c r="E200" s="38" t="s">
        <v>240</v>
      </c>
      <c r="F200" s="38" t="s">
        <v>167</v>
      </c>
      <c r="G200" s="79" t="s">
        <v>134</v>
      </c>
      <c r="H200" s="88">
        <v>79.672240437919996</v>
      </c>
      <c r="I200" s="85">
        <v>719</v>
      </c>
      <c r="J200" s="85">
        <v>0</v>
      </c>
      <c r="K200" s="83">
        <v>1.4322230905533617</v>
      </c>
      <c r="L200" s="38">
        <v>1.1556733980506066E-7</v>
      </c>
      <c r="M200" s="46">
        <v>9.9978479980888521E-6</v>
      </c>
      <c r="N200" s="46">
        <v>5.5350124956538422E-6</v>
      </c>
      <c r="O200" s="28"/>
      <c r="P200" s="28"/>
      <c r="Q200" s="28"/>
      <c r="R200" s="28"/>
    </row>
    <row r="201" spans="1:18" x14ac:dyDescent="0.2">
      <c r="A201" s="30" t="s">
        <v>900</v>
      </c>
      <c r="B201" s="38" t="s">
        <v>901</v>
      </c>
      <c r="C201" s="38" t="s">
        <v>897</v>
      </c>
      <c r="D201" s="38" t="s">
        <v>390</v>
      </c>
      <c r="E201" s="38" t="s">
        <v>240</v>
      </c>
      <c r="F201" s="38" t="s">
        <v>182</v>
      </c>
      <c r="G201" s="79" t="s">
        <v>134</v>
      </c>
      <c r="H201" s="88">
        <v>557.70568306543998</v>
      </c>
      <c r="I201" s="85">
        <v>390</v>
      </c>
      <c r="J201" s="85">
        <v>0</v>
      </c>
      <c r="K201" s="83">
        <v>5.4380654203208314</v>
      </c>
      <c r="L201" s="38">
        <v>4.0611003400682852E-6</v>
      </c>
      <c r="M201" s="46">
        <v>3.7961230924593281E-5</v>
      </c>
      <c r="N201" s="46">
        <v>2.1016111422997206E-5</v>
      </c>
      <c r="O201" s="28"/>
      <c r="P201" s="28"/>
      <c r="Q201" s="28"/>
      <c r="R201" s="28"/>
    </row>
    <row r="202" spans="1:18" x14ac:dyDescent="0.2">
      <c r="A202" s="30" t="s">
        <v>902</v>
      </c>
      <c r="B202" s="38" t="s">
        <v>903</v>
      </c>
      <c r="C202" s="38" t="s">
        <v>904</v>
      </c>
      <c r="D202" s="38" t="s">
        <v>390</v>
      </c>
      <c r="E202" s="38" t="s">
        <v>240</v>
      </c>
      <c r="F202" s="38" t="s">
        <v>175</v>
      </c>
      <c r="G202" s="79" t="s">
        <v>289</v>
      </c>
      <c r="H202" s="88">
        <v>21980.736690788646</v>
      </c>
      <c r="I202" s="85">
        <v>82000</v>
      </c>
      <c r="J202" s="85">
        <v>0</v>
      </c>
      <c r="K202" s="83">
        <v>590.97760358007497</v>
      </c>
      <c r="L202" s="38">
        <v>1.5322136204198785E-5</v>
      </c>
      <c r="M202" s="46">
        <v>4.1254077593355634E-3</v>
      </c>
      <c r="N202" s="46">
        <v>2.2839098475946574E-3</v>
      </c>
      <c r="O202" s="28"/>
      <c r="P202" s="28"/>
      <c r="Q202" s="28"/>
      <c r="R202" s="28"/>
    </row>
    <row r="203" spans="1:18" x14ac:dyDescent="0.2">
      <c r="A203" s="30" t="s">
        <v>905</v>
      </c>
      <c r="B203" s="38" t="s">
        <v>906</v>
      </c>
      <c r="C203" s="38" t="s">
        <v>907</v>
      </c>
      <c r="D203" s="38" t="s">
        <v>390</v>
      </c>
      <c r="E203" s="38" t="s">
        <v>240</v>
      </c>
      <c r="F203" s="38" t="s">
        <v>167</v>
      </c>
      <c r="G203" s="79" t="s">
        <v>65</v>
      </c>
      <c r="H203" s="88">
        <v>3639.4279432041858</v>
      </c>
      <c r="I203" s="85">
        <v>257</v>
      </c>
      <c r="J203" s="85">
        <v>0</v>
      </c>
      <c r="K203" s="83">
        <v>4.272601052677298</v>
      </c>
      <c r="L203" s="38">
        <v>2.39546131973249E-7</v>
      </c>
      <c r="M203" s="46">
        <v>2.9825532183423838E-5</v>
      </c>
      <c r="N203" s="46">
        <v>1.6512022722923343E-5</v>
      </c>
      <c r="O203" s="28"/>
      <c r="P203" s="28"/>
      <c r="Q203" s="28"/>
      <c r="R203" s="28"/>
    </row>
    <row r="204" spans="1:18" x14ac:dyDescent="0.2">
      <c r="A204" s="30" t="s">
        <v>908</v>
      </c>
      <c r="B204" s="38" t="s">
        <v>909</v>
      </c>
      <c r="C204" s="38" t="s">
        <v>221</v>
      </c>
      <c r="D204" s="38" t="s">
        <v>390</v>
      </c>
      <c r="E204" s="38" t="s">
        <v>240</v>
      </c>
      <c r="F204" s="38" t="s">
        <v>177</v>
      </c>
      <c r="G204" s="79" t="s">
        <v>154</v>
      </c>
      <c r="H204" s="88">
        <v>3.2952438645123712</v>
      </c>
      <c r="I204" s="85">
        <v>49460</v>
      </c>
      <c r="J204" s="85">
        <v>0</v>
      </c>
      <c r="K204" s="83">
        <v>0.55446734111504836</v>
      </c>
      <c r="L204" s="38">
        <v>5.5716549118448016E-8</v>
      </c>
      <c r="M204" s="46">
        <v>3.8705423986921795E-6</v>
      </c>
      <c r="N204" s="46">
        <v>2.1428111875490041E-6</v>
      </c>
      <c r="O204" s="28"/>
      <c r="P204" s="28"/>
      <c r="Q204" s="28"/>
      <c r="R204" s="28"/>
    </row>
    <row r="205" spans="1:18" x14ac:dyDescent="0.2">
      <c r="A205" s="30" t="s">
        <v>910</v>
      </c>
      <c r="B205" s="38" t="s">
        <v>911</v>
      </c>
      <c r="C205" s="38" t="s">
        <v>221</v>
      </c>
      <c r="D205" s="38" t="s">
        <v>390</v>
      </c>
      <c r="E205" s="38" t="s">
        <v>240</v>
      </c>
      <c r="F205" s="38" t="s">
        <v>177</v>
      </c>
      <c r="G205" s="79" t="s">
        <v>154</v>
      </c>
      <c r="H205" s="88">
        <v>18.222634832961063</v>
      </c>
      <c r="I205" s="85">
        <v>15865</v>
      </c>
      <c r="J205" s="85">
        <v>0</v>
      </c>
      <c r="K205" s="83">
        <v>0.98352534928183799</v>
      </c>
      <c r="L205" s="38">
        <v>3.5239303797800503E-8</v>
      </c>
      <c r="M205" s="46">
        <v>6.8656461477575233E-6</v>
      </c>
      <c r="N205" s="46">
        <v>3.800961689539565E-6</v>
      </c>
      <c r="O205" s="28"/>
      <c r="P205" s="28"/>
      <c r="Q205" s="28"/>
      <c r="R205" s="28"/>
    </row>
    <row r="206" spans="1:18" x14ac:dyDescent="0.2">
      <c r="A206" s="30" t="s">
        <v>912</v>
      </c>
      <c r="B206" s="38" t="s">
        <v>913</v>
      </c>
      <c r="C206" s="38" t="s">
        <v>897</v>
      </c>
      <c r="D206" s="38" t="s">
        <v>390</v>
      </c>
      <c r="E206" s="38" t="s">
        <v>240</v>
      </c>
      <c r="F206" s="38" t="s">
        <v>167</v>
      </c>
      <c r="G206" s="79" t="s">
        <v>134</v>
      </c>
      <c r="H206" s="88">
        <v>541.77123497785601</v>
      </c>
      <c r="I206" s="85">
        <v>31</v>
      </c>
      <c r="J206" s="85">
        <v>0</v>
      </c>
      <c r="K206" s="83">
        <v>0.41990629692440701</v>
      </c>
      <c r="L206" s="38">
        <v>8.91145202728617E-7</v>
      </c>
      <c r="M206" s="46">
        <v>2.9312188567414882E-6</v>
      </c>
      <c r="N206" s="46">
        <v>1.6227825230651319E-6</v>
      </c>
      <c r="O206" s="28"/>
      <c r="P206" s="28"/>
      <c r="Q206" s="28"/>
      <c r="R206" s="28"/>
    </row>
    <row r="207" spans="1:18" x14ac:dyDescent="0.2">
      <c r="A207" s="30" t="s">
        <v>914</v>
      </c>
      <c r="B207" s="38" t="s">
        <v>915</v>
      </c>
      <c r="C207" s="38" t="s">
        <v>897</v>
      </c>
      <c r="D207" s="38" t="s">
        <v>390</v>
      </c>
      <c r="E207" s="38" t="s">
        <v>240</v>
      </c>
      <c r="F207" s="38" t="s">
        <v>167</v>
      </c>
      <c r="G207" s="79" t="s">
        <v>134</v>
      </c>
      <c r="H207" s="88">
        <v>175.27892896342399</v>
      </c>
      <c r="I207" s="85">
        <v>92</v>
      </c>
      <c r="J207" s="85">
        <v>0</v>
      </c>
      <c r="K207" s="83">
        <v>0.40317378793880448</v>
      </c>
      <c r="L207" s="38">
        <v>1.8107395087926257E-6</v>
      </c>
      <c r="M207" s="46">
        <v>2.8144150692812014E-6</v>
      </c>
      <c r="N207" s="46">
        <v>1.5581175648405253E-6</v>
      </c>
      <c r="O207" s="28"/>
      <c r="P207" s="28"/>
      <c r="Q207" s="28"/>
      <c r="R207" s="28"/>
    </row>
    <row r="208" spans="1:18" x14ac:dyDescent="0.2">
      <c r="A208" s="30" t="s">
        <v>916</v>
      </c>
      <c r="B208" s="38" t="s">
        <v>917</v>
      </c>
      <c r="C208" s="38" t="s">
        <v>904</v>
      </c>
      <c r="D208" s="38" t="s">
        <v>390</v>
      </c>
      <c r="E208" s="38" t="s">
        <v>240</v>
      </c>
      <c r="F208" s="38" t="s">
        <v>174</v>
      </c>
      <c r="G208" s="79" t="s">
        <v>289</v>
      </c>
      <c r="H208" s="88">
        <v>201.22559557844261</v>
      </c>
      <c r="I208" s="85">
        <v>4161000</v>
      </c>
      <c r="J208" s="85">
        <v>4.0906265839999998</v>
      </c>
      <c r="K208" s="83">
        <v>278.62445320143746</v>
      </c>
      <c r="L208" s="38">
        <v>1.5282685793804358E-6</v>
      </c>
      <c r="M208" s="46">
        <v>1.9449797660937834E-3</v>
      </c>
      <c r="N208" s="46">
        <v>1.0767804542718457E-3</v>
      </c>
      <c r="O208" s="28"/>
      <c r="P208" s="28"/>
      <c r="Q208" s="28"/>
      <c r="R208" s="28"/>
    </row>
    <row r="209" spans="1:18" x14ac:dyDescent="0.2">
      <c r="A209" s="30" t="s">
        <v>918</v>
      </c>
      <c r="B209" s="38" t="s">
        <v>919</v>
      </c>
      <c r="C209" s="38" t="s">
        <v>221</v>
      </c>
      <c r="D209" s="38" t="s">
        <v>390</v>
      </c>
      <c r="E209" s="38" t="s">
        <v>240</v>
      </c>
      <c r="F209" s="38" t="s">
        <v>177</v>
      </c>
      <c r="G209" s="79" t="s">
        <v>154</v>
      </c>
      <c r="H209" s="88">
        <v>8.8117497924339521</v>
      </c>
      <c r="I209" s="85">
        <v>20800</v>
      </c>
      <c r="J209" s="85">
        <v>0</v>
      </c>
      <c r="K209" s="83">
        <v>0.62353350136473595</v>
      </c>
      <c r="L209" s="38">
        <v>2.022333417301405E-7</v>
      </c>
      <c r="M209" s="46">
        <v>4.3526690845014638E-6</v>
      </c>
      <c r="N209" s="46">
        <v>2.409726350787401E-6</v>
      </c>
      <c r="O209" s="28"/>
      <c r="P209" s="28"/>
      <c r="Q209" s="28"/>
      <c r="R209" s="28"/>
    </row>
    <row r="210" spans="1:18" x14ac:dyDescent="0.2">
      <c r="A210" s="30" t="s">
        <v>920</v>
      </c>
      <c r="B210" s="38" t="s">
        <v>921</v>
      </c>
      <c r="C210" s="38" t="s">
        <v>829</v>
      </c>
      <c r="D210" s="38" t="s">
        <v>390</v>
      </c>
      <c r="E210" s="38" t="s">
        <v>240</v>
      </c>
      <c r="F210" s="38" t="s">
        <v>185</v>
      </c>
      <c r="G210" s="79" t="s">
        <v>127</v>
      </c>
      <c r="H210" s="88">
        <v>4396.440519769716</v>
      </c>
      <c r="I210" s="85">
        <v>1932.9999999999998</v>
      </c>
      <c r="J210" s="85">
        <v>0</v>
      </c>
      <c r="K210" s="83">
        <v>302.96509101567329</v>
      </c>
      <c r="L210" s="38">
        <v>2.4498962248980195E-5</v>
      </c>
      <c r="M210" s="46">
        <v>2.1148932374296207E-3</v>
      </c>
      <c r="N210" s="46">
        <v>1.1708480163315569E-3</v>
      </c>
      <c r="O210" s="28"/>
      <c r="P210" s="28"/>
      <c r="Q210" s="28"/>
      <c r="R210" s="28"/>
    </row>
    <row r="211" spans="1:18" x14ac:dyDescent="0.2">
      <c r="A211" s="30" t="s">
        <v>922</v>
      </c>
      <c r="B211" s="38" t="s">
        <v>923</v>
      </c>
      <c r="C211" s="38" t="s">
        <v>907</v>
      </c>
      <c r="D211" s="38" t="s">
        <v>390</v>
      </c>
      <c r="E211" s="38" t="s">
        <v>240</v>
      </c>
      <c r="F211" s="38" t="s">
        <v>174</v>
      </c>
      <c r="G211" s="79" t="s">
        <v>65</v>
      </c>
      <c r="H211" s="88">
        <v>3030.8718855818024</v>
      </c>
      <c r="I211" s="85">
        <v>38020</v>
      </c>
      <c r="J211" s="85">
        <v>0</v>
      </c>
      <c r="K211" s="83">
        <v>526.38776579982664</v>
      </c>
      <c r="L211" s="38">
        <v>3.1727123727704798E-7</v>
      </c>
      <c r="M211" s="46">
        <v>3.6745287136006979E-3</v>
      </c>
      <c r="N211" s="46">
        <v>2.0342940150026825E-3</v>
      </c>
      <c r="O211" s="28"/>
      <c r="P211" s="28"/>
      <c r="Q211" s="28"/>
      <c r="R211" s="28"/>
    </row>
    <row r="212" spans="1:18" x14ac:dyDescent="0.2">
      <c r="A212" s="30" t="s">
        <v>924</v>
      </c>
      <c r="B212" s="38" t="s">
        <v>925</v>
      </c>
      <c r="C212" s="38" t="s">
        <v>221</v>
      </c>
      <c r="D212" s="38" t="s">
        <v>390</v>
      </c>
      <c r="E212" s="38" t="s">
        <v>240</v>
      </c>
      <c r="F212" s="38" t="s">
        <v>189</v>
      </c>
      <c r="G212" s="79" t="s">
        <v>92</v>
      </c>
      <c r="H212" s="88">
        <v>1481.7636384628606</v>
      </c>
      <c r="I212" s="85">
        <v>66640</v>
      </c>
      <c r="J212" s="85">
        <v>0</v>
      </c>
      <c r="K212" s="83">
        <v>515.74371886749782</v>
      </c>
      <c r="L212" s="38">
        <v>3.5248104849601237E-6</v>
      </c>
      <c r="M212" s="46">
        <v>3.600226348266795E-3</v>
      </c>
      <c r="N212" s="46">
        <v>1.9931587106193386E-3</v>
      </c>
      <c r="O212" s="28"/>
      <c r="P212" s="28"/>
      <c r="Q212" s="28"/>
      <c r="R212" s="28"/>
    </row>
    <row r="213" spans="1:18" x14ac:dyDescent="0.2">
      <c r="A213" s="30" t="s">
        <v>926</v>
      </c>
      <c r="B213" s="38" t="s">
        <v>927</v>
      </c>
      <c r="C213" s="38" t="s">
        <v>221</v>
      </c>
      <c r="D213" s="38" t="s">
        <v>390</v>
      </c>
      <c r="E213" s="38" t="s">
        <v>240</v>
      </c>
      <c r="F213" s="38" t="s">
        <v>180</v>
      </c>
      <c r="G213" s="79" t="s">
        <v>92</v>
      </c>
      <c r="H213" s="88">
        <v>2806.5879524119732</v>
      </c>
      <c r="I213" s="85">
        <v>40915</v>
      </c>
      <c r="J213" s="85">
        <v>0</v>
      </c>
      <c r="K213" s="83">
        <v>599.76516511659895</v>
      </c>
      <c r="L213" s="38">
        <v>1.5068410816551664E-6</v>
      </c>
      <c r="M213" s="46">
        <v>4.1867506500454692E-3</v>
      </c>
      <c r="N213" s="46">
        <v>2.3178705225982946E-3</v>
      </c>
      <c r="O213" s="28"/>
      <c r="P213" s="28"/>
      <c r="Q213" s="28"/>
      <c r="R213" s="28"/>
    </row>
    <row r="214" spans="1:18" x14ac:dyDescent="0.2">
      <c r="A214" s="30" t="s">
        <v>928</v>
      </c>
      <c r="B214" s="38" t="s">
        <v>929</v>
      </c>
      <c r="C214" s="38" t="s">
        <v>829</v>
      </c>
      <c r="D214" s="38" t="s">
        <v>390</v>
      </c>
      <c r="E214" s="38" t="s">
        <v>240</v>
      </c>
      <c r="F214" s="38" t="s">
        <v>166</v>
      </c>
      <c r="G214" s="79" t="s">
        <v>127</v>
      </c>
      <c r="H214" s="88">
        <v>9.5606688525503998</v>
      </c>
      <c r="I214" s="85">
        <v>7245.9999999999991</v>
      </c>
      <c r="J214" s="85">
        <v>0</v>
      </c>
      <c r="K214" s="83">
        <v>2.469711021923934</v>
      </c>
      <c r="L214" s="38">
        <v>5.0872893448782919E-9</v>
      </c>
      <c r="M214" s="46">
        <v>1.7240188040021136E-5</v>
      </c>
      <c r="N214" s="46">
        <v>9.5445196053370595E-6</v>
      </c>
      <c r="O214" s="28"/>
      <c r="P214" s="28"/>
      <c r="Q214" s="28"/>
      <c r="R214" s="28"/>
    </row>
    <row r="215" spans="1:18" x14ac:dyDescent="0.2">
      <c r="A215" s="30" t="s">
        <v>930</v>
      </c>
      <c r="B215" s="38" t="s">
        <v>931</v>
      </c>
      <c r="C215" s="38" t="s">
        <v>829</v>
      </c>
      <c r="D215" s="38" t="s">
        <v>390</v>
      </c>
      <c r="E215" s="38" t="s">
        <v>240</v>
      </c>
      <c r="F215" s="38" t="s">
        <v>181</v>
      </c>
      <c r="G215" s="79" t="s">
        <v>127</v>
      </c>
      <c r="H215" s="88">
        <v>3813.2309790820004</v>
      </c>
      <c r="I215" s="85">
        <v>4212</v>
      </c>
      <c r="J215" s="85">
        <v>0</v>
      </c>
      <c r="K215" s="83">
        <v>572.58637470446013</v>
      </c>
      <c r="L215" s="38">
        <v>1.8173753389680469E-6</v>
      </c>
      <c r="M215" s="46">
        <v>3.9970250290128611E-3</v>
      </c>
      <c r="N215" s="46">
        <v>2.2128345505209122E-3</v>
      </c>
      <c r="O215" s="28"/>
      <c r="P215" s="28"/>
      <c r="Q215" s="28"/>
      <c r="R215" s="28"/>
    </row>
    <row r="216" spans="1:18" x14ac:dyDescent="0.2">
      <c r="A216" s="30" t="s">
        <v>932</v>
      </c>
      <c r="B216" s="38" t="s">
        <v>933</v>
      </c>
      <c r="C216" s="38" t="s">
        <v>807</v>
      </c>
      <c r="D216" s="38" t="s">
        <v>390</v>
      </c>
      <c r="E216" s="38" t="s">
        <v>240</v>
      </c>
      <c r="F216" s="38" t="s">
        <v>174</v>
      </c>
      <c r="G216" s="79" t="s">
        <v>127</v>
      </c>
      <c r="H216" s="88">
        <v>380.27239840145853</v>
      </c>
      <c r="I216" s="85">
        <v>116195</v>
      </c>
      <c r="J216" s="85">
        <v>0</v>
      </c>
      <c r="K216" s="83">
        <v>1575.2220349613026</v>
      </c>
      <c r="L216" s="38">
        <v>1.2680176855839101E-6</v>
      </c>
      <c r="M216" s="46">
        <v>1.0996073567490453E-2</v>
      </c>
      <c r="N216" s="46">
        <v>6.08765052347495E-3</v>
      </c>
      <c r="O216" s="28"/>
      <c r="P216" s="28"/>
      <c r="Q216" s="28"/>
      <c r="R216" s="28"/>
    </row>
    <row r="217" spans="1:18" x14ac:dyDescent="0.2">
      <c r="A217" s="30" t="s">
        <v>934</v>
      </c>
      <c r="B217" s="38" t="s">
        <v>935</v>
      </c>
      <c r="C217" s="38" t="s">
        <v>807</v>
      </c>
      <c r="D217" s="38" t="s">
        <v>390</v>
      </c>
      <c r="E217" s="38" t="s">
        <v>240</v>
      </c>
      <c r="F217" s="38" t="s">
        <v>186</v>
      </c>
      <c r="G217" s="79" t="s">
        <v>127</v>
      </c>
      <c r="H217" s="88">
        <v>4403.0648394351456</v>
      </c>
      <c r="I217" s="85">
        <v>3931</v>
      </c>
      <c r="J217" s="85">
        <v>0</v>
      </c>
      <c r="K217" s="83">
        <v>617.0461670494509</v>
      </c>
      <c r="L217" s="38">
        <v>1.0382431646917612E-6</v>
      </c>
      <c r="M217" s="46">
        <v>4.3073832747524072E-3</v>
      </c>
      <c r="N217" s="46">
        <v>2.3846552031879628E-3</v>
      </c>
      <c r="O217" s="28"/>
      <c r="P217" s="28"/>
      <c r="Q217" s="28"/>
      <c r="R217" s="28"/>
    </row>
    <row r="218" spans="1:18" x14ac:dyDescent="0.2">
      <c r="A218" s="30" t="s">
        <v>936</v>
      </c>
      <c r="B218" s="38" t="s">
        <v>937</v>
      </c>
      <c r="C218" s="38" t="s">
        <v>829</v>
      </c>
      <c r="D218" s="38" t="s">
        <v>390</v>
      </c>
      <c r="E218" s="38" t="s">
        <v>240</v>
      </c>
      <c r="F218" s="38" t="s">
        <v>181</v>
      </c>
      <c r="G218" s="79" t="s">
        <v>127</v>
      </c>
      <c r="H218" s="88">
        <v>4966.8293078035258</v>
      </c>
      <c r="I218" s="85">
        <v>2123</v>
      </c>
      <c r="J218" s="85">
        <v>0</v>
      </c>
      <c r="K218" s="83">
        <v>375.9142277491224</v>
      </c>
      <c r="L218" s="38">
        <v>5.69279029531077E-7</v>
      </c>
      <c r="M218" s="46">
        <v>2.6241256227076955E-3</v>
      </c>
      <c r="N218" s="46">
        <v>1.452769447447988E-3</v>
      </c>
      <c r="O218" s="28"/>
      <c r="P218" s="28"/>
      <c r="Q218" s="28"/>
      <c r="R218" s="28"/>
    </row>
    <row r="219" spans="1:18" x14ac:dyDescent="0.2">
      <c r="A219" s="30" t="s">
        <v>938</v>
      </c>
      <c r="B219" s="38" t="s">
        <v>939</v>
      </c>
      <c r="C219" s="38" t="s">
        <v>807</v>
      </c>
      <c r="D219" s="38" t="s">
        <v>390</v>
      </c>
      <c r="E219" s="38" t="s">
        <v>240</v>
      </c>
      <c r="F219" s="38" t="s">
        <v>187</v>
      </c>
      <c r="G219" s="79" t="s">
        <v>127</v>
      </c>
      <c r="H219" s="88">
        <v>2556.5515803514195</v>
      </c>
      <c r="I219" s="85">
        <v>4206</v>
      </c>
      <c r="J219" s="85">
        <v>0</v>
      </c>
      <c r="K219" s="83">
        <v>383.33931443060936</v>
      </c>
      <c r="L219" s="38">
        <v>2.2986726739586575E-6</v>
      </c>
      <c r="M219" s="46">
        <v>2.6759575534339754E-3</v>
      </c>
      <c r="N219" s="46">
        <v>1.4814646610878297E-3</v>
      </c>
      <c r="O219" s="28"/>
      <c r="P219" s="28"/>
      <c r="Q219" s="28"/>
      <c r="R219" s="28"/>
    </row>
    <row r="220" spans="1:18" x14ac:dyDescent="0.2">
      <c r="A220" s="30" t="s">
        <v>940</v>
      </c>
      <c r="B220" s="38" t="s">
        <v>941</v>
      </c>
      <c r="C220" s="38" t="s">
        <v>807</v>
      </c>
      <c r="D220" s="38" t="s">
        <v>390</v>
      </c>
      <c r="E220" s="38" t="s">
        <v>240</v>
      </c>
      <c r="F220" s="38" t="s">
        <v>185</v>
      </c>
      <c r="G220" s="79" t="s">
        <v>127</v>
      </c>
      <c r="H220" s="88">
        <v>2555.4343206949297</v>
      </c>
      <c r="I220" s="85">
        <v>9574</v>
      </c>
      <c r="J220" s="85">
        <v>0</v>
      </c>
      <c r="K220" s="83">
        <v>872.20320984278055</v>
      </c>
      <c r="L220" s="38">
        <v>2.1786285612492191E-6</v>
      </c>
      <c r="M220" s="46">
        <v>6.0885452643303969E-3</v>
      </c>
      <c r="N220" s="46">
        <v>3.3707427963362473E-3</v>
      </c>
      <c r="O220" s="28"/>
      <c r="P220" s="28"/>
      <c r="Q220" s="28"/>
      <c r="R220" s="28"/>
    </row>
    <row r="221" spans="1:18" x14ac:dyDescent="0.2">
      <c r="A221" s="30" t="s">
        <v>942</v>
      </c>
      <c r="B221" s="38" t="s">
        <v>943</v>
      </c>
      <c r="C221" s="38" t="s">
        <v>829</v>
      </c>
      <c r="D221" s="38" t="s">
        <v>390</v>
      </c>
      <c r="E221" s="38" t="s">
        <v>240</v>
      </c>
      <c r="F221" s="38" t="s">
        <v>174</v>
      </c>
      <c r="G221" s="79" t="s">
        <v>127</v>
      </c>
      <c r="H221" s="88">
        <v>1749.0105635297689</v>
      </c>
      <c r="I221" s="85">
        <v>9660</v>
      </c>
      <c r="J221" s="85">
        <v>0</v>
      </c>
      <c r="K221" s="83">
        <v>602.3225088419706</v>
      </c>
      <c r="L221" s="38">
        <v>9.6874550143866007E-7</v>
      </c>
      <c r="M221" s="46">
        <v>4.2046025713095327E-3</v>
      </c>
      <c r="N221" s="46">
        <v>2.3277537101889546E-3</v>
      </c>
      <c r="O221" s="28"/>
      <c r="P221" s="28"/>
      <c r="Q221" s="28"/>
      <c r="R221" s="28"/>
    </row>
    <row r="222" spans="1:18" x14ac:dyDescent="0.2">
      <c r="A222" s="30" t="s">
        <v>944</v>
      </c>
      <c r="B222" s="38" t="s">
        <v>945</v>
      </c>
      <c r="C222" s="38" t="s">
        <v>829</v>
      </c>
      <c r="D222" s="38" t="s">
        <v>390</v>
      </c>
      <c r="E222" s="38" t="s">
        <v>240</v>
      </c>
      <c r="F222" s="38" t="s">
        <v>185</v>
      </c>
      <c r="G222" s="79" t="s">
        <v>127</v>
      </c>
      <c r="H222" s="88">
        <v>1571.0255535717858</v>
      </c>
      <c r="I222" s="85">
        <v>16112</v>
      </c>
      <c r="J222" s="85">
        <v>0</v>
      </c>
      <c r="K222" s="83">
        <v>902.38576654961366</v>
      </c>
      <c r="L222" s="38">
        <v>9.2086933270660015E-7</v>
      </c>
      <c r="M222" s="46">
        <v>6.2992391262985236E-3</v>
      </c>
      <c r="N222" s="46">
        <v>3.48738721411236E-3</v>
      </c>
      <c r="O222" s="28"/>
      <c r="P222" s="28"/>
      <c r="Q222" s="28"/>
      <c r="R222" s="28"/>
    </row>
    <row r="223" spans="1:18" x14ac:dyDescent="0.2">
      <c r="A223" s="30" t="s">
        <v>946</v>
      </c>
      <c r="B223" s="38" t="s">
        <v>947</v>
      </c>
      <c r="C223" s="38" t="s">
        <v>829</v>
      </c>
      <c r="D223" s="38" t="s">
        <v>390</v>
      </c>
      <c r="E223" s="38" t="s">
        <v>240</v>
      </c>
      <c r="F223" s="38" t="s">
        <v>185</v>
      </c>
      <c r="G223" s="79" t="s">
        <v>127</v>
      </c>
      <c r="H223" s="88">
        <v>1244.9996772152188</v>
      </c>
      <c r="I223" s="85">
        <v>24156</v>
      </c>
      <c r="J223" s="85">
        <v>0</v>
      </c>
      <c r="K223" s="83">
        <v>1072.1456649557219</v>
      </c>
      <c r="L223" s="38">
        <v>1.2521603943407312E-6</v>
      </c>
      <c r="M223" s="46">
        <v>7.4842735470042557E-3</v>
      </c>
      <c r="N223" s="46">
        <v>4.1434464308197924E-3</v>
      </c>
      <c r="O223" s="28"/>
      <c r="P223" s="28"/>
      <c r="Q223" s="28"/>
      <c r="R223" s="28"/>
    </row>
    <row r="224" spans="1:18" x14ac:dyDescent="0.2">
      <c r="A224" s="30" t="s">
        <v>948</v>
      </c>
      <c r="B224" s="38" t="s">
        <v>949</v>
      </c>
      <c r="C224" s="38" t="s">
        <v>807</v>
      </c>
      <c r="D224" s="38" t="s">
        <v>390</v>
      </c>
      <c r="E224" s="38" t="s">
        <v>240</v>
      </c>
      <c r="F224" s="38" t="s">
        <v>174</v>
      </c>
      <c r="G224" s="79" t="s">
        <v>127</v>
      </c>
      <c r="H224" s="88">
        <v>1124.5178823433848</v>
      </c>
      <c r="I224" s="85">
        <v>16680</v>
      </c>
      <c r="J224" s="85">
        <v>0</v>
      </c>
      <c r="K224" s="83">
        <v>668.68556257658747</v>
      </c>
      <c r="L224" s="38">
        <v>4.6743006280596589E-7</v>
      </c>
      <c r="M224" s="46">
        <v>4.6678598168489504E-3</v>
      </c>
      <c r="N224" s="46">
        <v>2.5842223665691086E-3</v>
      </c>
      <c r="O224" s="28"/>
      <c r="P224" s="28"/>
      <c r="Q224" s="28"/>
      <c r="R224" s="28"/>
    </row>
    <row r="225" spans="1:18" x14ac:dyDescent="0.2">
      <c r="A225" s="30" t="s">
        <v>950</v>
      </c>
      <c r="B225" s="38" t="s">
        <v>951</v>
      </c>
      <c r="C225" s="38" t="s">
        <v>829</v>
      </c>
      <c r="D225" s="38" t="s">
        <v>390</v>
      </c>
      <c r="E225" s="38" t="s">
        <v>240</v>
      </c>
      <c r="F225" s="38" t="s">
        <v>174</v>
      </c>
      <c r="G225" s="79" t="s">
        <v>127</v>
      </c>
      <c r="H225" s="88">
        <v>2708.7207607998703</v>
      </c>
      <c r="I225" s="85">
        <v>4546</v>
      </c>
      <c r="J225" s="85">
        <v>0</v>
      </c>
      <c r="K225" s="83">
        <v>438.98855922299305</v>
      </c>
      <c r="L225" s="38">
        <v>1.2626241571137618E-5</v>
      </c>
      <c r="M225" s="46">
        <v>3.0644254494708464E-3</v>
      </c>
      <c r="N225" s="46">
        <v>1.696528408719866E-3</v>
      </c>
      <c r="O225" s="28"/>
      <c r="P225" s="28"/>
      <c r="Q225" s="28"/>
      <c r="R225" s="28"/>
    </row>
    <row r="226" spans="1:18" x14ac:dyDescent="0.2">
      <c r="A226" s="30" t="s">
        <v>952</v>
      </c>
      <c r="B226" s="38" t="s">
        <v>953</v>
      </c>
      <c r="C226" s="38" t="s">
        <v>829</v>
      </c>
      <c r="D226" s="38" t="s">
        <v>390</v>
      </c>
      <c r="E226" s="38" t="s">
        <v>240</v>
      </c>
      <c r="F226" s="38" t="s">
        <v>166</v>
      </c>
      <c r="G226" s="79" t="s">
        <v>127</v>
      </c>
      <c r="H226" s="88">
        <v>51.786956284647999</v>
      </c>
      <c r="I226" s="85">
        <v>1162</v>
      </c>
      <c r="J226" s="85">
        <v>0</v>
      </c>
      <c r="K226" s="83">
        <v>2.1452902001784286</v>
      </c>
      <c r="L226" s="38">
        <v>4.892874152509798E-8</v>
      </c>
      <c r="M226" s="46">
        <v>1.4975519857654757E-5</v>
      </c>
      <c r="N226" s="46">
        <v>8.2907531257602811E-6</v>
      </c>
      <c r="O226" s="28"/>
      <c r="P226" s="28"/>
      <c r="Q226" s="28"/>
      <c r="R226" s="28"/>
    </row>
    <row r="227" spans="1:18" x14ac:dyDescent="0.2">
      <c r="A227" s="30" t="s">
        <v>954</v>
      </c>
      <c r="B227" s="38" t="s">
        <v>955</v>
      </c>
      <c r="C227" s="38" t="s">
        <v>829</v>
      </c>
      <c r="D227" s="38" t="s">
        <v>390</v>
      </c>
      <c r="E227" s="38" t="s">
        <v>240</v>
      </c>
      <c r="F227" s="38" t="s">
        <v>166</v>
      </c>
      <c r="G227" s="79" t="s">
        <v>127</v>
      </c>
      <c r="H227" s="88">
        <v>11.1541136613088</v>
      </c>
      <c r="I227" s="85">
        <v>691</v>
      </c>
      <c r="J227" s="85">
        <v>0</v>
      </c>
      <c r="K227" s="83">
        <v>0.27477210904973015</v>
      </c>
      <c r="L227" s="38">
        <v>4.7849419836238596E-8</v>
      </c>
      <c r="M227" s="46">
        <v>1.9180879002112022E-6</v>
      </c>
      <c r="N227" s="46">
        <v>1.0618925690269424E-6</v>
      </c>
      <c r="O227" s="28"/>
      <c r="P227" s="28"/>
      <c r="Q227" s="28"/>
      <c r="R227" s="28"/>
    </row>
    <row r="228" spans="1:18" x14ac:dyDescent="0.2">
      <c r="A228" s="30" t="s">
        <v>956</v>
      </c>
      <c r="B228" s="38" t="s">
        <v>957</v>
      </c>
      <c r="C228" s="38" t="s">
        <v>883</v>
      </c>
      <c r="D228" s="38" t="s">
        <v>390</v>
      </c>
      <c r="E228" s="38" t="s">
        <v>240</v>
      </c>
      <c r="F228" s="38" t="s">
        <v>167</v>
      </c>
      <c r="G228" s="79" t="s">
        <v>127</v>
      </c>
      <c r="H228" s="88">
        <v>47.803344262751999</v>
      </c>
      <c r="I228" s="85">
        <v>2492</v>
      </c>
      <c r="J228" s="85">
        <v>0</v>
      </c>
      <c r="K228" s="83">
        <v>4.2468395436340352</v>
      </c>
      <c r="L228" s="38">
        <v>3.0208348112746048E-8</v>
      </c>
      <c r="M228" s="46">
        <v>2.9645700107461135E-5</v>
      </c>
      <c r="N228" s="46">
        <v>1.641246401911396E-5</v>
      </c>
      <c r="O228" s="28"/>
      <c r="P228" s="28"/>
      <c r="Q228" s="28"/>
      <c r="R228" s="28"/>
    </row>
    <row r="229" spans="1:18" x14ac:dyDescent="0.2">
      <c r="A229" s="30" t="s">
        <v>958</v>
      </c>
      <c r="B229" s="38" t="s">
        <v>959</v>
      </c>
      <c r="C229" s="38" t="s">
        <v>883</v>
      </c>
      <c r="D229" s="38" t="s">
        <v>390</v>
      </c>
      <c r="E229" s="38" t="s">
        <v>240</v>
      </c>
      <c r="F229" s="38" t="s">
        <v>166</v>
      </c>
      <c r="G229" s="79" t="s">
        <v>127</v>
      </c>
      <c r="H229" s="88">
        <v>3.1868896175168002</v>
      </c>
      <c r="I229" s="85">
        <v>6000</v>
      </c>
      <c r="J229" s="85">
        <v>0</v>
      </c>
      <c r="K229" s="83">
        <v>0.68167568918684351</v>
      </c>
      <c r="L229" s="38">
        <v>4.5995772807674113E-9</v>
      </c>
      <c r="M229" s="46">
        <v>4.7585393430916747E-6</v>
      </c>
      <c r="N229" s="46">
        <v>2.6344244011418878E-6</v>
      </c>
      <c r="O229" s="28"/>
      <c r="P229" s="28"/>
      <c r="Q229" s="28"/>
      <c r="R229" s="28"/>
    </row>
    <row r="230" spans="1:18" x14ac:dyDescent="0.2">
      <c r="A230" s="30" t="s">
        <v>960</v>
      </c>
      <c r="B230" s="38" t="s">
        <v>961</v>
      </c>
      <c r="C230" s="38" t="s">
        <v>883</v>
      </c>
      <c r="D230" s="38" t="s">
        <v>390</v>
      </c>
      <c r="E230" s="38" t="s">
        <v>240</v>
      </c>
      <c r="F230" s="38" t="s">
        <v>167</v>
      </c>
      <c r="G230" s="79" t="s">
        <v>127</v>
      </c>
      <c r="H230" s="88">
        <v>63.737792350336001</v>
      </c>
      <c r="I230" s="85">
        <v>1106</v>
      </c>
      <c r="J230" s="85">
        <v>0</v>
      </c>
      <c r="K230" s="83">
        <v>2.5131110408021633</v>
      </c>
      <c r="L230" s="38">
        <v>7.6084961925446427E-8</v>
      </c>
      <c r="M230" s="46">
        <v>1.7543148378197974E-5</v>
      </c>
      <c r="N230" s="46">
        <v>9.7122446255430933E-6</v>
      </c>
      <c r="O230" s="28"/>
      <c r="P230" s="28"/>
      <c r="Q230" s="28"/>
      <c r="R230" s="28"/>
    </row>
    <row r="231" spans="1:18" x14ac:dyDescent="0.2">
      <c r="A231" s="30" t="s">
        <v>962</v>
      </c>
      <c r="B231" s="38" t="s">
        <v>963</v>
      </c>
      <c r="C231" s="38" t="s">
        <v>829</v>
      </c>
      <c r="D231" s="38" t="s">
        <v>390</v>
      </c>
      <c r="E231" s="38" t="s">
        <v>240</v>
      </c>
      <c r="F231" s="38" t="s">
        <v>166</v>
      </c>
      <c r="G231" s="79" t="s">
        <v>127</v>
      </c>
      <c r="H231" s="88">
        <v>127.475584700672</v>
      </c>
      <c r="I231" s="85">
        <v>764</v>
      </c>
      <c r="J231" s="85">
        <v>0</v>
      </c>
      <c r="K231" s="83">
        <v>3.4720015102583228</v>
      </c>
      <c r="L231" s="38">
        <v>3.2207254967462019E-7</v>
      </c>
      <c r="M231" s="46">
        <v>2.4236827054146929E-5</v>
      </c>
      <c r="N231" s="46">
        <v>1.341800161648268E-5</v>
      </c>
      <c r="O231" s="28"/>
      <c r="P231" s="28"/>
      <c r="Q231" s="28"/>
      <c r="R231" s="28"/>
    </row>
    <row r="232" spans="1:18" x14ac:dyDescent="0.2">
      <c r="A232" s="30" t="s">
        <v>964</v>
      </c>
      <c r="B232" s="38" t="s">
        <v>965</v>
      </c>
      <c r="C232" s="38" t="s">
        <v>829</v>
      </c>
      <c r="D232" s="38" t="s">
        <v>390</v>
      </c>
      <c r="E232" s="38" t="s">
        <v>240</v>
      </c>
      <c r="F232" s="38" t="s">
        <v>167</v>
      </c>
      <c r="G232" s="79" t="s">
        <v>127</v>
      </c>
      <c r="H232" s="88">
        <v>15.934448087584</v>
      </c>
      <c r="I232" s="85">
        <v>5637</v>
      </c>
      <c r="J232" s="85">
        <v>0</v>
      </c>
      <c r="K232" s="83">
        <v>3.2021715499551973</v>
      </c>
      <c r="L232" s="38">
        <v>1.4987449034638469E-7</v>
      </c>
      <c r="M232" s="46">
        <v>2.2353238564173141E-5</v>
      </c>
      <c r="N232" s="46">
        <v>1.2375208624364016E-5</v>
      </c>
      <c r="O232" s="28"/>
      <c r="P232" s="28"/>
      <c r="Q232" s="28"/>
      <c r="R232" s="28"/>
    </row>
    <row r="233" spans="1:18" x14ac:dyDescent="0.2">
      <c r="A233" s="30" t="s">
        <v>966</v>
      </c>
      <c r="B233" s="38" t="s">
        <v>967</v>
      </c>
      <c r="C233" s="38" t="s">
        <v>829</v>
      </c>
      <c r="D233" s="38" t="s">
        <v>390</v>
      </c>
      <c r="E233" s="38" t="s">
        <v>240</v>
      </c>
      <c r="F233" s="38" t="s">
        <v>166</v>
      </c>
      <c r="G233" s="79" t="s">
        <v>127</v>
      </c>
      <c r="H233" s="88">
        <v>15.934448087584</v>
      </c>
      <c r="I233" s="85">
        <v>1349</v>
      </c>
      <c r="J233" s="85">
        <v>0</v>
      </c>
      <c r="K233" s="83">
        <v>0.76631708726087666</v>
      </c>
      <c r="L233" s="38">
        <v>1.1478806377650355E-8</v>
      </c>
      <c r="M233" s="46">
        <v>5.349391311525558E-6</v>
      </c>
      <c r="N233" s="46">
        <v>2.9615320976170057E-6</v>
      </c>
      <c r="O233" s="28"/>
      <c r="P233" s="28"/>
      <c r="Q233" s="28"/>
      <c r="R233" s="28"/>
    </row>
    <row r="234" spans="1:18" x14ac:dyDescent="0.2">
      <c r="A234" s="30" t="s">
        <v>968</v>
      </c>
      <c r="B234" s="38" t="s">
        <v>969</v>
      </c>
      <c r="C234" s="38" t="s">
        <v>829</v>
      </c>
      <c r="D234" s="38" t="s">
        <v>390</v>
      </c>
      <c r="E234" s="38" t="s">
        <v>240</v>
      </c>
      <c r="F234" s="38" t="s">
        <v>167</v>
      </c>
      <c r="G234" s="79" t="s">
        <v>127</v>
      </c>
      <c r="H234" s="88">
        <v>39.836120218959998</v>
      </c>
      <c r="I234" s="85">
        <v>616</v>
      </c>
      <c r="J234" s="85">
        <v>0</v>
      </c>
      <c r="K234" s="83">
        <v>0.87481713445644915</v>
      </c>
      <c r="L234" s="38">
        <v>2.1427032980415881E-7</v>
      </c>
      <c r="M234" s="46">
        <v>6.1067921569676492E-6</v>
      </c>
      <c r="N234" s="46">
        <v>3.3808446481320889E-6</v>
      </c>
      <c r="O234" s="28"/>
      <c r="P234" s="28"/>
      <c r="Q234" s="28"/>
      <c r="R234" s="28"/>
    </row>
    <row r="235" spans="1:18" x14ac:dyDescent="0.2">
      <c r="A235" s="30" t="s">
        <v>970</v>
      </c>
      <c r="B235" s="38" t="s">
        <v>971</v>
      </c>
      <c r="C235" s="38" t="s">
        <v>807</v>
      </c>
      <c r="D235" s="38" t="s">
        <v>390</v>
      </c>
      <c r="E235" s="38" t="s">
        <v>240</v>
      </c>
      <c r="F235" s="38" t="s">
        <v>179</v>
      </c>
      <c r="G235" s="79" t="s">
        <v>127</v>
      </c>
      <c r="H235" s="88">
        <v>346.992323527292</v>
      </c>
      <c r="I235" s="85">
        <v>49521</v>
      </c>
      <c r="J235" s="85">
        <v>0</v>
      </c>
      <c r="K235" s="83">
        <v>612.58845426687742</v>
      </c>
      <c r="L235" s="38">
        <v>2.9919550887715208E-6</v>
      </c>
      <c r="M235" s="46">
        <v>4.2762655423870611E-3</v>
      </c>
      <c r="N235" s="46">
        <v>2.3674277920979437E-3</v>
      </c>
      <c r="O235" s="28"/>
      <c r="P235" s="28"/>
      <c r="Q235" s="28"/>
      <c r="R235" s="28"/>
    </row>
    <row r="236" spans="1:18" x14ac:dyDescent="0.2">
      <c r="A236" s="30" t="s">
        <v>972</v>
      </c>
      <c r="B236" s="38" t="s">
        <v>973</v>
      </c>
      <c r="C236" s="38" t="s">
        <v>829</v>
      </c>
      <c r="D236" s="38" t="s">
        <v>390</v>
      </c>
      <c r="E236" s="38" t="s">
        <v>240</v>
      </c>
      <c r="F236" s="38" t="s">
        <v>166</v>
      </c>
      <c r="G236" s="79" t="s">
        <v>127</v>
      </c>
      <c r="H236" s="88">
        <v>127.475584700672</v>
      </c>
      <c r="I236" s="85">
        <v>459.99999999999994</v>
      </c>
      <c r="J236" s="85">
        <v>0</v>
      </c>
      <c r="K236" s="83">
        <v>2.09047211350632</v>
      </c>
      <c r="L236" s="38">
        <v>4.7390493807015813E-8</v>
      </c>
      <c r="M236" s="46">
        <v>1.4592853985481135E-5</v>
      </c>
      <c r="N236" s="46">
        <v>8.0789014968351213E-6</v>
      </c>
      <c r="O236" s="28"/>
      <c r="P236" s="28"/>
      <c r="Q236" s="28"/>
      <c r="R236" s="28"/>
    </row>
    <row r="237" spans="1:18" x14ac:dyDescent="0.2">
      <c r="A237" s="30" t="s">
        <v>974</v>
      </c>
      <c r="B237" s="38" t="s">
        <v>975</v>
      </c>
      <c r="C237" s="38" t="s">
        <v>883</v>
      </c>
      <c r="D237" s="38" t="s">
        <v>390</v>
      </c>
      <c r="E237" s="38" t="s">
        <v>240</v>
      </c>
      <c r="F237" s="38" t="s">
        <v>166</v>
      </c>
      <c r="G237" s="79" t="s">
        <v>127</v>
      </c>
      <c r="H237" s="88">
        <v>151.377256832048</v>
      </c>
      <c r="I237" s="85">
        <v>1250</v>
      </c>
      <c r="J237" s="85">
        <v>0</v>
      </c>
      <c r="K237" s="83">
        <v>6.745749007578139</v>
      </c>
      <c r="L237" s="38">
        <v>5.8366454589060638E-7</v>
      </c>
      <c r="M237" s="46">
        <v>4.7089712249344697E-5</v>
      </c>
      <c r="N237" s="46">
        <v>2.6069824802966598E-5</v>
      </c>
      <c r="O237" s="28"/>
      <c r="P237" s="28"/>
      <c r="Q237" s="28"/>
      <c r="R237" s="28"/>
    </row>
    <row r="238" spans="1:18" x14ac:dyDescent="0.2">
      <c r="A238" s="30" t="s">
        <v>976</v>
      </c>
      <c r="B238" s="38" t="s">
        <v>977</v>
      </c>
      <c r="C238" s="38" t="s">
        <v>807</v>
      </c>
      <c r="D238" s="38" t="s">
        <v>390</v>
      </c>
      <c r="E238" s="38" t="s">
        <v>240</v>
      </c>
      <c r="F238" s="38" t="s">
        <v>185</v>
      </c>
      <c r="G238" s="79" t="s">
        <v>127</v>
      </c>
      <c r="H238" s="88">
        <v>2718.7760977082794</v>
      </c>
      <c r="I238" s="85">
        <v>15771</v>
      </c>
      <c r="J238" s="85">
        <v>0</v>
      </c>
      <c r="K238" s="83">
        <v>1528.5942058788107</v>
      </c>
      <c r="L238" s="38">
        <v>3.5744928924759295E-7</v>
      </c>
      <c r="M238" s="46">
        <v>1.0670581016279381E-2</v>
      </c>
      <c r="N238" s="46">
        <v>5.9074512107288547E-3</v>
      </c>
      <c r="O238" s="28"/>
      <c r="P238" s="28"/>
      <c r="Q238" s="28"/>
      <c r="R238" s="28"/>
    </row>
    <row r="239" spans="1:18" x14ac:dyDescent="0.2">
      <c r="A239" s="30" t="s">
        <v>978</v>
      </c>
      <c r="B239" s="38" t="s">
        <v>979</v>
      </c>
      <c r="C239" s="38" t="s">
        <v>807</v>
      </c>
      <c r="D239" s="38" t="s">
        <v>390</v>
      </c>
      <c r="E239" s="38" t="s">
        <v>240</v>
      </c>
      <c r="F239" s="38" t="s">
        <v>174</v>
      </c>
      <c r="G239" s="79" t="s">
        <v>127</v>
      </c>
      <c r="H239" s="88">
        <v>1154.9929223353004</v>
      </c>
      <c r="I239" s="85">
        <v>10017</v>
      </c>
      <c r="J239" s="85">
        <v>0</v>
      </c>
      <c r="K239" s="83">
        <v>412.45496027232343</v>
      </c>
      <c r="L239" s="38">
        <v>3.9872122530306905E-6</v>
      </c>
      <c r="M239" s="46">
        <v>2.8792036841601438E-3</v>
      </c>
      <c r="N239" s="46">
        <v>1.5939858629982488E-3</v>
      </c>
      <c r="O239" s="28"/>
      <c r="P239" s="28"/>
      <c r="Q239" s="28"/>
      <c r="R239" s="28"/>
    </row>
    <row r="240" spans="1:18" x14ac:dyDescent="0.2">
      <c r="A240" s="30" t="s">
        <v>980</v>
      </c>
      <c r="B240" s="38" t="s">
        <v>981</v>
      </c>
      <c r="C240" s="38" t="s">
        <v>829</v>
      </c>
      <c r="D240" s="38" t="s">
        <v>390</v>
      </c>
      <c r="E240" s="38" t="s">
        <v>240</v>
      </c>
      <c r="F240" s="38" t="s">
        <v>167</v>
      </c>
      <c r="G240" s="79" t="s">
        <v>127</v>
      </c>
      <c r="H240" s="88">
        <v>55.770568306544</v>
      </c>
      <c r="I240" s="85">
        <v>2255</v>
      </c>
      <c r="J240" s="85">
        <v>0</v>
      </c>
      <c r="K240" s="83">
        <v>4.4834378140893021</v>
      </c>
      <c r="L240" s="38">
        <v>4.6329931198588379E-7</v>
      </c>
      <c r="M240" s="46">
        <v>3.1297309804459202E-5</v>
      </c>
      <c r="N240" s="46">
        <v>1.7326828821676956E-5</v>
      </c>
      <c r="O240" s="28"/>
      <c r="P240" s="28"/>
      <c r="Q240" s="28"/>
      <c r="R240" s="28"/>
    </row>
    <row r="241" spans="1:18" x14ac:dyDescent="0.2">
      <c r="A241" s="30" t="s">
        <v>982</v>
      </c>
      <c r="B241" s="38" t="s">
        <v>983</v>
      </c>
      <c r="C241" s="38" t="s">
        <v>883</v>
      </c>
      <c r="D241" s="38" t="s">
        <v>390</v>
      </c>
      <c r="E241" s="38" t="s">
        <v>240</v>
      </c>
      <c r="F241" s="38" t="s">
        <v>167</v>
      </c>
      <c r="G241" s="79" t="s">
        <v>127</v>
      </c>
      <c r="H241" s="88">
        <v>39.836120218959998</v>
      </c>
      <c r="I241" s="85">
        <v>700</v>
      </c>
      <c r="J241" s="85">
        <v>0</v>
      </c>
      <c r="K241" s="83">
        <v>0.99411038006414687</v>
      </c>
      <c r="L241" s="38">
        <v>6.2356091508311849E-8</v>
      </c>
      <c r="M241" s="46">
        <v>6.9395365420086931E-6</v>
      </c>
      <c r="N241" s="46">
        <v>3.8418689183319197E-6</v>
      </c>
      <c r="O241" s="28"/>
      <c r="P241" s="28"/>
      <c r="Q241" s="28"/>
      <c r="R241" s="28"/>
    </row>
    <row r="242" spans="1:18" x14ac:dyDescent="0.2">
      <c r="A242" s="30" t="s">
        <v>984</v>
      </c>
      <c r="B242" s="38" t="s">
        <v>985</v>
      </c>
      <c r="C242" s="38" t="s">
        <v>807</v>
      </c>
      <c r="D242" s="38" t="s">
        <v>390</v>
      </c>
      <c r="E242" s="38" t="s">
        <v>240</v>
      </c>
      <c r="F242" s="38" t="s">
        <v>187</v>
      </c>
      <c r="G242" s="79" t="s">
        <v>127</v>
      </c>
      <c r="H242" s="88">
        <v>1107.9412355251095</v>
      </c>
      <c r="I242" s="85">
        <v>26360.000000000004</v>
      </c>
      <c r="J242" s="85">
        <v>0</v>
      </c>
      <c r="K242" s="83">
        <v>1041.1700489774105</v>
      </c>
      <c r="L242" s="38">
        <v>1.8089262489425703E-6</v>
      </c>
      <c r="M242" s="46">
        <v>7.2680436158985675E-3</v>
      </c>
      <c r="N242" s="46">
        <v>4.0237371322954353E-3</v>
      </c>
      <c r="O242" s="28"/>
      <c r="P242" s="28"/>
      <c r="Q242" s="28"/>
      <c r="R242" s="28"/>
    </row>
    <row r="243" spans="1:18" x14ac:dyDescent="0.2">
      <c r="A243" s="30" t="s">
        <v>986</v>
      </c>
      <c r="B243" s="38" t="s">
        <v>987</v>
      </c>
      <c r="C243" s="38" t="s">
        <v>829</v>
      </c>
      <c r="D243" s="38" t="s">
        <v>390</v>
      </c>
      <c r="E243" s="38" t="s">
        <v>240</v>
      </c>
      <c r="F243" s="38" t="s">
        <v>175</v>
      </c>
      <c r="G243" s="79" t="s">
        <v>127</v>
      </c>
      <c r="H243" s="88">
        <v>2061.914581793093</v>
      </c>
      <c r="I243" s="85">
        <v>19448</v>
      </c>
      <c r="J243" s="85">
        <v>0</v>
      </c>
      <c r="K243" s="83">
        <v>1429.5690921431158</v>
      </c>
      <c r="L243" s="38">
        <v>7.685901811068892E-7</v>
      </c>
      <c r="M243" s="46">
        <v>9.9793213643068514E-3</v>
      </c>
      <c r="N243" s="46">
        <v>5.5247557734566868E-3</v>
      </c>
      <c r="O243" s="28"/>
      <c r="P243" s="28"/>
      <c r="Q243" s="28"/>
      <c r="R243" s="28"/>
    </row>
    <row r="244" spans="1:18" x14ac:dyDescent="0.2">
      <c r="A244" s="30" t="s">
        <v>988</v>
      </c>
      <c r="B244" s="38" t="s">
        <v>989</v>
      </c>
      <c r="C244" s="38" t="s">
        <v>829</v>
      </c>
      <c r="D244" s="38" t="s">
        <v>390</v>
      </c>
      <c r="E244" s="38" t="s">
        <v>240</v>
      </c>
      <c r="F244" s="38" t="s">
        <v>166</v>
      </c>
      <c r="G244" s="79" t="s">
        <v>127</v>
      </c>
      <c r="H244" s="88">
        <v>4936.9564786902865</v>
      </c>
      <c r="I244" s="85">
        <v>1158</v>
      </c>
      <c r="J244" s="85">
        <v>13.904197379999999</v>
      </c>
      <c r="K244" s="83">
        <v>217.71509059683257</v>
      </c>
      <c r="L244" s="38">
        <v>5.5147663366932041E-6</v>
      </c>
      <c r="M244" s="46">
        <v>1.5197928290880162E-3</v>
      </c>
      <c r="N244" s="46">
        <v>8.4138829690302266E-4</v>
      </c>
      <c r="O244" s="28"/>
      <c r="P244" s="28"/>
      <c r="Q244" s="28"/>
      <c r="R244" s="28"/>
    </row>
    <row r="245" spans="1:18" x14ac:dyDescent="0.2">
      <c r="A245" s="30" t="s">
        <v>990</v>
      </c>
      <c r="B245" s="38" t="s">
        <v>991</v>
      </c>
      <c r="C245" s="38" t="s">
        <v>829</v>
      </c>
      <c r="D245" s="38" t="s">
        <v>390</v>
      </c>
      <c r="E245" s="38" t="s">
        <v>240</v>
      </c>
      <c r="F245" s="38" t="s">
        <v>182</v>
      </c>
      <c r="G245" s="79" t="s">
        <v>127</v>
      </c>
      <c r="H245" s="88">
        <v>666.03730798763513</v>
      </c>
      <c r="I245" s="85">
        <v>15459</v>
      </c>
      <c r="J245" s="85">
        <v>0</v>
      </c>
      <c r="K245" s="83">
        <v>367.06205199637105</v>
      </c>
      <c r="L245" s="38">
        <v>1.9368658342544737E-6</v>
      </c>
      <c r="M245" s="46">
        <v>2.5623316827746495E-3</v>
      </c>
      <c r="N245" s="46">
        <v>1.4185590623980778E-3</v>
      </c>
      <c r="O245" s="28"/>
      <c r="P245" s="28"/>
      <c r="Q245" s="28"/>
      <c r="R245" s="28"/>
    </row>
    <row r="246" spans="1:18" x14ac:dyDescent="0.2">
      <c r="A246" s="30" t="s">
        <v>992</v>
      </c>
      <c r="B246" s="38" t="s">
        <v>993</v>
      </c>
      <c r="C246" s="38" t="s">
        <v>829</v>
      </c>
      <c r="D246" s="38" t="s">
        <v>390</v>
      </c>
      <c r="E246" s="38" t="s">
        <v>240</v>
      </c>
      <c r="F246" s="38" t="s">
        <v>167</v>
      </c>
      <c r="G246" s="79" t="s">
        <v>127</v>
      </c>
      <c r="H246" s="88">
        <v>175.27892896342399</v>
      </c>
      <c r="I246" s="85">
        <v>675</v>
      </c>
      <c r="J246" s="85">
        <v>0</v>
      </c>
      <c r="K246" s="83">
        <v>4.2178683268435941</v>
      </c>
      <c r="L246" s="38">
        <v>1.208010061546297E-7</v>
      </c>
      <c r="M246" s="46">
        <v>2.944346218537974E-5</v>
      </c>
      <c r="N246" s="46">
        <v>1.6300500982065429E-5</v>
      </c>
      <c r="O246" s="28"/>
      <c r="P246" s="28"/>
      <c r="Q246" s="28"/>
      <c r="R246" s="28"/>
    </row>
    <row r="247" spans="1:18" x14ac:dyDescent="0.2">
      <c r="A247" s="30" t="s">
        <v>994</v>
      </c>
      <c r="B247" s="38" t="s">
        <v>995</v>
      </c>
      <c r="C247" s="38" t="s">
        <v>829</v>
      </c>
      <c r="D247" s="38" t="s">
        <v>390</v>
      </c>
      <c r="E247" s="38" t="s">
        <v>240</v>
      </c>
      <c r="F247" s="38" t="s">
        <v>189</v>
      </c>
      <c r="G247" s="79" t="s">
        <v>127</v>
      </c>
      <c r="H247" s="88">
        <v>12216.544970737261</v>
      </c>
      <c r="I247" s="85">
        <v>1007</v>
      </c>
      <c r="J247" s="85">
        <v>0</v>
      </c>
      <c r="K247" s="83">
        <v>438.5684669772898</v>
      </c>
      <c r="L247" s="38">
        <v>1.4543322048401317E-4</v>
      </c>
      <c r="M247" s="46">
        <v>3.0614929325707778E-3</v>
      </c>
      <c r="N247" s="46">
        <v>1.6949049075735492E-3</v>
      </c>
      <c r="O247" s="28"/>
      <c r="P247" s="28"/>
      <c r="Q247" s="28"/>
      <c r="R247" s="28"/>
    </row>
    <row r="248" spans="1:18" x14ac:dyDescent="0.2">
      <c r="A248" s="30" t="s">
        <v>996</v>
      </c>
      <c r="B248" s="38" t="s">
        <v>997</v>
      </c>
      <c r="C248" s="38" t="s">
        <v>807</v>
      </c>
      <c r="D248" s="38" t="s">
        <v>390</v>
      </c>
      <c r="E248" s="38" t="s">
        <v>240</v>
      </c>
      <c r="F248" s="38" t="s">
        <v>185</v>
      </c>
      <c r="G248" s="79" t="s">
        <v>127</v>
      </c>
      <c r="H248" s="88">
        <v>733.24721157874944</v>
      </c>
      <c r="I248" s="85">
        <v>31824</v>
      </c>
      <c r="J248" s="85">
        <v>0</v>
      </c>
      <c r="K248" s="83">
        <v>831.88773260765618</v>
      </c>
      <c r="L248" s="38">
        <v>1.5218885802686929E-6</v>
      </c>
      <c r="M248" s="46">
        <v>5.8071170315182486E-3</v>
      </c>
      <c r="N248" s="46">
        <v>3.2149383886734399E-3</v>
      </c>
      <c r="O248" s="28"/>
      <c r="P248" s="28"/>
      <c r="Q248" s="28"/>
      <c r="R248" s="28"/>
    </row>
    <row r="249" spans="1:18" x14ac:dyDescent="0.2">
      <c r="A249" s="30" t="s">
        <v>998</v>
      </c>
      <c r="B249" s="38" t="s">
        <v>999</v>
      </c>
      <c r="C249" s="38" t="s">
        <v>807</v>
      </c>
      <c r="D249" s="38" t="s">
        <v>390</v>
      </c>
      <c r="E249" s="38" t="s">
        <v>240</v>
      </c>
      <c r="F249" s="38" t="s">
        <v>174</v>
      </c>
      <c r="G249" s="79" t="s">
        <v>127</v>
      </c>
      <c r="H249" s="88">
        <v>2038.998873094024</v>
      </c>
      <c r="I249" s="85">
        <v>5948</v>
      </c>
      <c r="J249" s="85">
        <v>0</v>
      </c>
      <c r="K249" s="83">
        <v>432.36196280425094</v>
      </c>
      <c r="L249" s="38">
        <v>2.6507303936206862E-6</v>
      </c>
      <c r="M249" s="46">
        <v>3.0181674997308617E-3</v>
      </c>
      <c r="N249" s="46">
        <v>1.6709190646007027E-3</v>
      </c>
      <c r="O249" s="28"/>
      <c r="P249" s="28"/>
      <c r="Q249" s="28"/>
      <c r="R249" s="28"/>
    </row>
    <row r="250" spans="1:18" x14ac:dyDescent="0.2">
      <c r="A250" s="30" t="s">
        <v>1000</v>
      </c>
      <c r="B250" s="38" t="s">
        <v>1001</v>
      </c>
      <c r="C250" s="38" t="s">
        <v>807</v>
      </c>
      <c r="D250" s="38" t="s">
        <v>390</v>
      </c>
      <c r="E250" s="38" t="s">
        <v>240</v>
      </c>
      <c r="F250" s="38" t="s">
        <v>174</v>
      </c>
      <c r="G250" s="79" t="s">
        <v>127</v>
      </c>
      <c r="H250" s="88">
        <v>977.309017816655</v>
      </c>
      <c r="I250" s="85">
        <v>11861</v>
      </c>
      <c r="J250" s="85">
        <v>0</v>
      </c>
      <c r="K250" s="83">
        <v>413.24988956705675</v>
      </c>
      <c r="L250" s="38">
        <v>8.6163971886052598E-6</v>
      </c>
      <c r="M250" s="46">
        <v>2.8847528072753845E-3</v>
      </c>
      <c r="N250" s="46">
        <v>1.5970579706946902E-3</v>
      </c>
      <c r="O250" s="28"/>
      <c r="P250" s="28"/>
      <c r="Q250" s="28"/>
      <c r="R250" s="28"/>
    </row>
    <row r="251" spans="1:18" x14ac:dyDescent="0.2">
      <c r="A251" s="30" t="s">
        <v>992</v>
      </c>
      <c r="B251" s="38" t="s">
        <v>993</v>
      </c>
      <c r="C251" s="38" t="s">
        <v>829</v>
      </c>
      <c r="D251" s="38" t="s">
        <v>390</v>
      </c>
      <c r="E251" s="38" t="s">
        <v>240</v>
      </c>
      <c r="F251" s="38" t="s">
        <v>167</v>
      </c>
      <c r="G251" s="79" t="s">
        <v>127</v>
      </c>
      <c r="H251" s="88">
        <v>22143.54757136948</v>
      </c>
      <c r="I251" s="85">
        <v>675</v>
      </c>
      <c r="J251" s="85">
        <v>0</v>
      </c>
      <c r="K251" s="83">
        <v>532.85679287054222</v>
      </c>
      <c r="L251" s="38">
        <v>1.5261177383235455E-5</v>
      </c>
      <c r="M251" s="46">
        <v>3.7196867268844721E-3</v>
      </c>
      <c r="N251" s="46">
        <v>2.059294411873326E-3</v>
      </c>
      <c r="O251" s="28"/>
      <c r="P251" s="28"/>
      <c r="Q251" s="28"/>
      <c r="R251" s="28"/>
    </row>
    <row r="252" spans="1:18" x14ac:dyDescent="0.2">
      <c r="A252" s="30" t="s">
        <v>1002</v>
      </c>
      <c r="B252" s="38" t="s">
        <v>1003</v>
      </c>
      <c r="C252" s="38" t="s">
        <v>807</v>
      </c>
      <c r="D252" s="38" t="s">
        <v>390</v>
      </c>
      <c r="E252" s="38" t="s">
        <v>240</v>
      </c>
      <c r="F252" s="38" t="s">
        <v>187</v>
      </c>
      <c r="G252" s="79" t="s">
        <v>127</v>
      </c>
      <c r="H252" s="88">
        <v>1997.0105119611173</v>
      </c>
      <c r="I252" s="85">
        <v>8293</v>
      </c>
      <c r="J252" s="85">
        <v>2.669753359</v>
      </c>
      <c r="K252" s="83">
        <v>593.07682480884887</v>
      </c>
      <c r="L252" s="38">
        <v>7.1577150882998156E-6</v>
      </c>
      <c r="M252" s="46">
        <v>4.140061687831811E-3</v>
      </c>
      <c r="N252" s="46">
        <v>2.2920225611858872E-3</v>
      </c>
      <c r="O252" s="28"/>
      <c r="P252" s="28"/>
      <c r="Q252" s="28"/>
      <c r="R252" s="28"/>
    </row>
    <row r="253" spans="1:18" x14ac:dyDescent="0.2">
      <c r="A253" s="30" t="s">
        <v>988</v>
      </c>
      <c r="B253" s="38" t="s">
        <v>989</v>
      </c>
      <c r="C253" s="38" t="s">
        <v>829</v>
      </c>
      <c r="D253" s="38" t="s">
        <v>390</v>
      </c>
      <c r="E253" s="38" t="s">
        <v>240</v>
      </c>
      <c r="F253" s="38" t="s">
        <v>166</v>
      </c>
      <c r="G253" s="79" t="s">
        <v>127</v>
      </c>
      <c r="H253" s="88">
        <v>47.803344262751999</v>
      </c>
      <c r="I253" s="85">
        <v>1158</v>
      </c>
      <c r="J253" s="85">
        <v>7.0681244039999994E-2</v>
      </c>
      <c r="K253" s="83">
        <v>2.0441323642348608</v>
      </c>
      <c r="L253" s="38">
        <v>5.3398136049908462E-8</v>
      </c>
      <c r="M253" s="46">
        <v>1.4269372418579015E-5</v>
      </c>
      <c r="N253" s="46">
        <v>7.8998155060039771E-6</v>
      </c>
      <c r="O253" s="28"/>
      <c r="P253" s="28"/>
      <c r="Q253" s="28"/>
      <c r="R253" s="28"/>
    </row>
    <row r="254" spans="1:18" x14ac:dyDescent="0.2">
      <c r="A254" s="30" t="s">
        <v>1004</v>
      </c>
      <c r="B254" s="38" t="s">
        <v>1005</v>
      </c>
      <c r="C254" s="38" t="s">
        <v>829</v>
      </c>
      <c r="D254" s="38" t="s">
        <v>390</v>
      </c>
      <c r="E254" s="38" t="s">
        <v>240</v>
      </c>
      <c r="F254" s="38" t="s">
        <v>172</v>
      </c>
      <c r="G254" s="79" t="s">
        <v>127</v>
      </c>
      <c r="H254" s="88">
        <v>6588.4247275293428</v>
      </c>
      <c r="I254" s="85">
        <v>1079</v>
      </c>
      <c r="J254" s="85">
        <v>0</v>
      </c>
      <c r="K254" s="83">
        <v>253.43265148214115</v>
      </c>
      <c r="L254" s="38">
        <v>4.4109444756668391E-5</v>
      </c>
      <c r="M254" s="46">
        <v>1.7691246175147958E-3</v>
      </c>
      <c r="N254" s="46">
        <v>9.7942345854678333E-4</v>
      </c>
      <c r="O254" s="28"/>
      <c r="P254" s="28"/>
      <c r="Q254" s="28"/>
      <c r="R254" s="28"/>
    </row>
    <row r="255" spans="1:18" x14ac:dyDescent="0.2">
      <c r="A255" s="30" t="s">
        <v>1006</v>
      </c>
      <c r="B255" s="38" t="s">
        <v>1007</v>
      </c>
      <c r="C255" s="38" t="s">
        <v>807</v>
      </c>
      <c r="D255" s="38" t="s">
        <v>390</v>
      </c>
      <c r="E255" s="38" t="s">
        <v>240</v>
      </c>
      <c r="F255" s="38" t="s">
        <v>175</v>
      </c>
      <c r="G255" s="79" t="s">
        <v>127</v>
      </c>
      <c r="H255" s="88">
        <v>183.04041180791589</v>
      </c>
      <c r="I255" s="85">
        <v>194972</v>
      </c>
      <c r="J255" s="85">
        <v>0</v>
      </c>
      <c r="K255" s="83">
        <v>1272.2684718466126</v>
      </c>
      <c r="L255" s="38">
        <v>3.6769098361446973E-7</v>
      </c>
      <c r="M255" s="46">
        <v>8.8812608023018744E-3</v>
      </c>
      <c r="N255" s="46">
        <v>4.9168470582167641E-3</v>
      </c>
      <c r="O255" s="28"/>
      <c r="P255" s="28"/>
      <c r="Q255" s="28"/>
      <c r="R255" s="28"/>
    </row>
    <row r="256" spans="1:18" x14ac:dyDescent="0.2">
      <c r="A256" s="30" t="s">
        <v>1008</v>
      </c>
      <c r="B256" s="38" t="s">
        <v>1009</v>
      </c>
      <c r="C256" s="38" t="s">
        <v>807</v>
      </c>
      <c r="D256" s="38" t="s">
        <v>390</v>
      </c>
      <c r="E256" s="38" t="s">
        <v>240</v>
      </c>
      <c r="F256" s="38" t="s">
        <v>177</v>
      </c>
      <c r="G256" s="79" t="s">
        <v>127</v>
      </c>
      <c r="H256" s="88">
        <v>9.0826354099228794</v>
      </c>
      <c r="I256" s="85">
        <v>6659.9999999999991</v>
      </c>
      <c r="J256" s="85">
        <v>0</v>
      </c>
      <c r="K256" s="83">
        <v>2.1564810427425796</v>
      </c>
      <c r="L256" s="38">
        <v>1.4686104472896088E-7</v>
      </c>
      <c r="M256" s="46">
        <v>1.5053639211870514E-5</v>
      </c>
      <c r="N256" s="46">
        <v>8.3340015930123619E-6</v>
      </c>
      <c r="O256" s="28"/>
      <c r="P256" s="28"/>
      <c r="Q256" s="28"/>
      <c r="R256" s="28"/>
    </row>
    <row r="257" spans="1:18" x14ac:dyDescent="0.2">
      <c r="A257" s="30" t="s">
        <v>1010</v>
      </c>
      <c r="B257" s="38" t="s">
        <v>1011</v>
      </c>
      <c r="C257" s="38" t="s">
        <v>829</v>
      </c>
      <c r="D257" s="38" t="s">
        <v>390</v>
      </c>
      <c r="E257" s="38" t="s">
        <v>240</v>
      </c>
      <c r="F257" s="38" t="s">
        <v>167</v>
      </c>
      <c r="G257" s="79" t="s">
        <v>127</v>
      </c>
      <c r="H257" s="88">
        <v>23.901672131375999</v>
      </c>
      <c r="I257" s="85">
        <v>811.99999999999989</v>
      </c>
      <c r="J257" s="85">
        <v>0</v>
      </c>
      <c r="K257" s="83">
        <v>0.69190082452464619</v>
      </c>
      <c r="L257" s="38">
        <v>1.490085265820753E-8</v>
      </c>
      <c r="M257" s="46">
        <v>4.8299174332380503E-6</v>
      </c>
      <c r="N257" s="46">
        <v>2.6739407671590161E-6</v>
      </c>
      <c r="O257" s="28"/>
      <c r="P257" s="28"/>
      <c r="Q257" s="28"/>
      <c r="R257" s="28"/>
    </row>
    <row r="258" spans="1:18" x14ac:dyDescent="0.2">
      <c r="A258" s="30" t="s">
        <v>1012</v>
      </c>
      <c r="B258" s="38" t="s">
        <v>1013</v>
      </c>
      <c r="C258" s="38" t="s">
        <v>807</v>
      </c>
      <c r="D258" s="38" t="s">
        <v>390</v>
      </c>
      <c r="E258" s="38" t="s">
        <v>240</v>
      </c>
      <c r="F258" s="38" t="s">
        <v>170</v>
      </c>
      <c r="G258" s="79" t="s">
        <v>127</v>
      </c>
      <c r="H258" s="88">
        <v>2887.0940382980521</v>
      </c>
      <c r="I258" s="85">
        <v>2685</v>
      </c>
      <c r="J258" s="85">
        <v>0</v>
      </c>
      <c r="K258" s="83">
        <v>276.35336304808465</v>
      </c>
      <c r="L258" s="38">
        <v>9.6935411030966085E-6</v>
      </c>
      <c r="M258" s="46">
        <v>1.9291260808034527E-3</v>
      </c>
      <c r="N258" s="46">
        <v>1.0680035308578352E-3</v>
      </c>
      <c r="O258" s="28"/>
      <c r="P258" s="28"/>
      <c r="Q258" s="28"/>
      <c r="R258" s="28"/>
    </row>
    <row r="259" spans="1:18" x14ac:dyDescent="0.2">
      <c r="A259" s="30" t="s">
        <v>1014</v>
      </c>
      <c r="B259" s="38" t="s">
        <v>1015</v>
      </c>
      <c r="C259" s="38" t="s">
        <v>829</v>
      </c>
      <c r="D259" s="38" t="s">
        <v>390</v>
      </c>
      <c r="E259" s="38" t="s">
        <v>240</v>
      </c>
      <c r="F259" s="38" t="s">
        <v>170</v>
      </c>
      <c r="G259" s="79" t="s">
        <v>127</v>
      </c>
      <c r="H259" s="88">
        <v>2177.127031476517</v>
      </c>
      <c r="I259" s="85">
        <v>2792</v>
      </c>
      <c r="J259" s="85">
        <v>0</v>
      </c>
      <c r="K259" s="83">
        <v>216.69990362408305</v>
      </c>
      <c r="L259" s="38">
        <v>1.2629994839747392E-6</v>
      </c>
      <c r="M259" s="46">
        <v>1.5127061642310293E-3</v>
      </c>
      <c r="N259" s="46">
        <v>8.3746497474975205E-4</v>
      </c>
      <c r="O259" s="28"/>
      <c r="P259" s="28"/>
      <c r="Q259" s="28"/>
      <c r="R259" s="28"/>
    </row>
    <row r="260" spans="1:18" x14ac:dyDescent="0.2">
      <c r="A260" s="30" t="s">
        <v>1016</v>
      </c>
      <c r="B260" s="38" t="s">
        <v>1017</v>
      </c>
      <c r="C260" s="38" t="s">
        <v>829</v>
      </c>
      <c r="D260" s="38" t="s">
        <v>390</v>
      </c>
      <c r="E260" s="38" t="s">
        <v>240</v>
      </c>
      <c r="F260" s="38" t="s">
        <v>185</v>
      </c>
      <c r="G260" s="79" t="s">
        <v>127</v>
      </c>
      <c r="H260" s="88">
        <v>573.1066608152006</v>
      </c>
      <c r="I260" s="85">
        <v>9517</v>
      </c>
      <c r="J260" s="85">
        <v>0</v>
      </c>
      <c r="K260" s="83">
        <v>194.44422961683028</v>
      </c>
      <c r="L260" s="38">
        <v>1.0964490097162134E-5</v>
      </c>
      <c r="M260" s="46">
        <v>1.3573470953211987E-3</v>
      </c>
      <c r="N260" s="46">
        <v>7.5145502661957085E-4</v>
      </c>
      <c r="O260" s="28"/>
      <c r="P260" s="28"/>
      <c r="Q260" s="28"/>
      <c r="R260" s="28"/>
    </row>
    <row r="261" spans="1:18" x14ac:dyDescent="0.2">
      <c r="A261" s="30" t="s">
        <v>1018</v>
      </c>
      <c r="B261" s="38" t="s">
        <v>1019</v>
      </c>
      <c r="C261" s="38" t="s">
        <v>829</v>
      </c>
      <c r="D261" s="38" t="s">
        <v>390</v>
      </c>
      <c r="E261" s="38" t="s">
        <v>240</v>
      </c>
      <c r="F261" s="38" t="s">
        <v>167</v>
      </c>
      <c r="G261" s="79" t="s">
        <v>127</v>
      </c>
      <c r="H261" s="88">
        <v>2045.2428490466059</v>
      </c>
      <c r="I261" s="85">
        <v>3979</v>
      </c>
      <c r="J261" s="85">
        <v>0</v>
      </c>
      <c r="K261" s="83">
        <v>290.12045919490151</v>
      </c>
      <c r="L261" s="38">
        <v>8.4919507777392139E-6</v>
      </c>
      <c r="M261" s="46">
        <v>2.0252293593770229E-3</v>
      </c>
      <c r="N261" s="46">
        <v>1.1212082653046579E-3</v>
      </c>
      <c r="O261" s="28"/>
      <c r="P261" s="28"/>
      <c r="Q261" s="28"/>
      <c r="R261" s="28"/>
    </row>
    <row r="262" spans="1:18" x14ac:dyDescent="0.2">
      <c r="A262" s="30" t="s">
        <v>1020</v>
      </c>
      <c r="B262" s="38" t="s">
        <v>1021</v>
      </c>
      <c r="C262" s="38" t="s">
        <v>829</v>
      </c>
      <c r="D262" s="38" t="s">
        <v>390</v>
      </c>
      <c r="E262" s="38" t="s">
        <v>240</v>
      </c>
      <c r="F262" s="38" t="s">
        <v>177</v>
      </c>
      <c r="G262" s="79" t="s">
        <v>127</v>
      </c>
      <c r="H262" s="88">
        <v>1226.0696536736989</v>
      </c>
      <c r="I262" s="85">
        <v>5787</v>
      </c>
      <c r="J262" s="85">
        <v>0</v>
      </c>
      <c r="K262" s="83">
        <v>252.94620027266603</v>
      </c>
      <c r="L262" s="38">
        <v>4.1557771109943272E-6</v>
      </c>
      <c r="M262" s="46">
        <v>1.7657288719197853E-3</v>
      </c>
      <c r="N262" s="46">
        <v>9.7754350455027958E-4</v>
      </c>
      <c r="O262" s="28"/>
      <c r="P262" s="28"/>
      <c r="Q262" s="28"/>
      <c r="R262" s="28"/>
    </row>
    <row r="263" spans="1:18" x14ac:dyDescent="0.2">
      <c r="A263" s="30" t="s">
        <v>1022</v>
      </c>
      <c r="B263" s="38" t="s">
        <v>1023</v>
      </c>
      <c r="C263" s="38" t="s">
        <v>221</v>
      </c>
      <c r="D263" s="38" t="s">
        <v>390</v>
      </c>
      <c r="E263" s="38" t="s">
        <v>240</v>
      </c>
      <c r="F263" s="38" t="s">
        <v>184</v>
      </c>
      <c r="G263" s="79" t="s">
        <v>128</v>
      </c>
      <c r="H263" s="88">
        <v>5278.3929971525822</v>
      </c>
      <c r="I263" s="85">
        <v>271</v>
      </c>
      <c r="J263" s="85">
        <v>0</v>
      </c>
      <c r="K263" s="83">
        <v>55.791626896227555</v>
      </c>
      <c r="L263" s="38">
        <v>1.3957042541472149E-5</v>
      </c>
      <c r="M263" s="46">
        <v>3.8946181565824051E-4</v>
      </c>
      <c r="N263" s="46">
        <v>2.1561400179923365E-4</v>
      </c>
      <c r="O263" s="28"/>
      <c r="P263" s="28"/>
      <c r="Q263" s="28"/>
      <c r="R263" s="28"/>
    </row>
    <row r="264" spans="1:18" x14ac:dyDescent="0.2">
      <c r="A264" s="30" t="s">
        <v>1024</v>
      </c>
      <c r="B264" s="38" t="s">
        <v>1025</v>
      </c>
      <c r="C264" s="38" t="s">
        <v>874</v>
      </c>
      <c r="D264" s="38" t="s">
        <v>390</v>
      </c>
      <c r="E264" s="38" t="s">
        <v>240</v>
      </c>
      <c r="F264" s="38" t="s">
        <v>184</v>
      </c>
      <c r="G264" s="79" t="s">
        <v>128</v>
      </c>
      <c r="H264" s="88">
        <v>132549.14475378586</v>
      </c>
      <c r="I264" s="85">
        <v>455.40000000000003</v>
      </c>
      <c r="J264" s="85">
        <v>0</v>
      </c>
      <c r="K264" s="83">
        <v>2354.33342891543</v>
      </c>
      <c r="L264" s="38">
        <v>8.6272673009948257E-5</v>
      </c>
      <c r="M264" s="46">
        <v>1.643477745497136E-2</v>
      </c>
      <c r="N264" s="46">
        <v>9.0986278841151975E-3</v>
      </c>
      <c r="O264" s="28"/>
      <c r="P264" s="28"/>
      <c r="Q264" s="28"/>
      <c r="R264" s="28"/>
    </row>
    <row r="265" spans="1:18" x14ac:dyDescent="0.2">
      <c r="A265" s="30" t="s">
        <v>1026</v>
      </c>
      <c r="B265" s="38" t="s">
        <v>1027</v>
      </c>
      <c r="C265" s="38" t="s">
        <v>883</v>
      </c>
      <c r="D265" s="38" t="s">
        <v>390</v>
      </c>
      <c r="E265" s="38" t="s">
        <v>240</v>
      </c>
      <c r="F265" s="38" t="s">
        <v>172</v>
      </c>
      <c r="G265" s="79" t="s">
        <v>2</v>
      </c>
      <c r="H265" s="88">
        <v>8912.6860108841483</v>
      </c>
      <c r="I265" s="85">
        <v>975</v>
      </c>
      <c r="J265" s="85">
        <v>0</v>
      </c>
      <c r="K265" s="83">
        <v>382.23257166030993</v>
      </c>
      <c r="L265" s="38">
        <v>2.0991108224678359E-4</v>
      </c>
      <c r="M265" s="46">
        <v>2.6682317696064277E-3</v>
      </c>
      <c r="N265" s="46">
        <v>1.4771875096416013E-3</v>
      </c>
      <c r="O265" s="28"/>
      <c r="P265" s="28"/>
      <c r="Q265" s="28"/>
      <c r="R265" s="28"/>
    </row>
    <row r="266" spans="1:18" x14ac:dyDescent="0.2">
      <c r="A266" s="30" t="s">
        <v>1028</v>
      </c>
      <c r="B266" s="38" t="s">
        <v>1029</v>
      </c>
      <c r="C266" s="38" t="s">
        <v>874</v>
      </c>
      <c r="D266" s="38" t="s">
        <v>390</v>
      </c>
      <c r="E266" s="38" t="s">
        <v>1030</v>
      </c>
      <c r="F266" s="38" t="s">
        <v>184</v>
      </c>
      <c r="G266" s="79" t="s">
        <v>128</v>
      </c>
      <c r="H266" s="88">
        <v>2067.8507167151029</v>
      </c>
      <c r="I266" s="85">
        <v>2060</v>
      </c>
      <c r="J266" s="85">
        <v>0</v>
      </c>
      <c r="K266" s="83">
        <v>166.14390585914447</v>
      </c>
      <c r="L266" s="38">
        <v>2.8781864756517602E-5</v>
      </c>
      <c r="M266" s="46">
        <v>1.1597924426331693E-3</v>
      </c>
      <c r="N266" s="46">
        <v>6.4208474299335251E-4</v>
      </c>
      <c r="O266" s="28"/>
      <c r="P266" s="28"/>
      <c r="Q266" s="28"/>
      <c r="R266" s="28"/>
    </row>
    <row r="267" spans="1:18" x14ac:dyDescent="0.2">
      <c r="A267" s="30" t="s">
        <v>1031</v>
      </c>
      <c r="B267" s="38" t="s">
        <v>1032</v>
      </c>
      <c r="C267" s="38" t="s">
        <v>829</v>
      </c>
      <c r="D267" s="38" t="s">
        <v>390</v>
      </c>
      <c r="E267" s="38" t="s">
        <v>449</v>
      </c>
      <c r="F267" s="38" t="s">
        <v>189</v>
      </c>
      <c r="G267" s="79" t="s">
        <v>127</v>
      </c>
      <c r="H267" s="88">
        <v>13056.760705315666</v>
      </c>
      <c r="I267" s="85">
        <v>6766</v>
      </c>
      <c r="J267" s="85">
        <v>0</v>
      </c>
      <c r="K267" s="83">
        <v>3149.3938305118609</v>
      </c>
      <c r="L267" s="38">
        <v>2.5585612445616429E-4</v>
      </c>
      <c r="M267" s="46">
        <v>2.1984815781325544E-2</v>
      </c>
      <c r="N267" s="46">
        <v>1.2171242260088942E-2</v>
      </c>
      <c r="O267" s="28"/>
      <c r="P267" s="28"/>
      <c r="Q267" s="28"/>
      <c r="R267" s="28"/>
    </row>
    <row r="268" spans="1:18" x14ac:dyDescent="0.2">
      <c r="A268" s="30" t="s">
        <v>1033</v>
      </c>
      <c r="B268" s="38" t="s">
        <v>1034</v>
      </c>
      <c r="C268" s="38" t="s">
        <v>829</v>
      </c>
      <c r="D268" s="38" t="s">
        <v>390</v>
      </c>
      <c r="E268" s="38" t="s">
        <v>443</v>
      </c>
      <c r="F268" s="38" t="s">
        <v>180</v>
      </c>
      <c r="G268" s="79" t="s">
        <v>127</v>
      </c>
      <c r="H268" s="88">
        <v>2884.5544622404323</v>
      </c>
      <c r="I268" s="85">
        <v>4809</v>
      </c>
      <c r="J268" s="85">
        <v>0</v>
      </c>
      <c r="K268" s="83">
        <v>494.53046886238332</v>
      </c>
      <c r="L268" s="38">
        <v>2.1190225883325803E-5</v>
      </c>
      <c r="M268" s="46">
        <v>3.4521440763808915E-3</v>
      </c>
      <c r="N268" s="46">
        <v>1.9111773456866085E-3</v>
      </c>
      <c r="O268" s="28"/>
      <c r="P268" s="28"/>
      <c r="Q268" s="28"/>
      <c r="R268" s="28"/>
    </row>
    <row r="269" spans="1:18" x14ac:dyDescent="0.2">
      <c r="A269" s="30" t="s">
        <v>1035</v>
      </c>
      <c r="B269" s="38" t="s">
        <v>1036</v>
      </c>
      <c r="C269" s="38" t="s">
        <v>807</v>
      </c>
      <c r="D269" s="38" t="s">
        <v>390</v>
      </c>
      <c r="E269" s="38" t="s">
        <v>566</v>
      </c>
      <c r="F269" s="38" t="s">
        <v>185</v>
      </c>
      <c r="G269" s="79" t="s">
        <v>127</v>
      </c>
      <c r="H269" s="88">
        <v>4389.5893629178918</v>
      </c>
      <c r="I269" s="85">
        <v>1902</v>
      </c>
      <c r="J269" s="85">
        <v>0</v>
      </c>
      <c r="K269" s="83">
        <v>297.64181318486675</v>
      </c>
      <c r="L269" s="38">
        <v>8.7511965996843602E-5</v>
      </c>
      <c r="M269" s="46">
        <v>2.0777332984822342E-3</v>
      </c>
      <c r="N269" s="46">
        <v>1.1502755164845063E-3</v>
      </c>
      <c r="O269" s="28"/>
      <c r="P269" s="28"/>
      <c r="Q269" s="28"/>
      <c r="R269" s="28"/>
    </row>
    <row r="270" spans="1:18" x14ac:dyDescent="0.2">
      <c r="A270" s="30" t="s">
        <v>1037</v>
      </c>
      <c r="B270" s="38" t="s">
        <v>1038</v>
      </c>
      <c r="C270" s="38" t="s">
        <v>829</v>
      </c>
      <c r="D270" s="38" t="s">
        <v>390</v>
      </c>
      <c r="E270" s="38" t="s">
        <v>240</v>
      </c>
      <c r="F270" s="38" t="s">
        <v>167</v>
      </c>
      <c r="G270" s="79" t="s">
        <v>127</v>
      </c>
      <c r="H270" s="88">
        <v>664.69484446533261</v>
      </c>
      <c r="I270" s="85">
        <v>10208</v>
      </c>
      <c r="J270" s="85">
        <v>1.2440593690000001</v>
      </c>
      <c r="K270" s="83">
        <v>243.13661660419325</v>
      </c>
      <c r="L270" s="38">
        <v>6.2236066467448467E-6</v>
      </c>
      <c r="M270" s="46">
        <v>1.6972516024993957E-3</v>
      </c>
      <c r="N270" s="46">
        <v>9.3963309203124921E-4</v>
      </c>
      <c r="O270" s="28"/>
      <c r="P270" s="28"/>
      <c r="Q270" s="28"/>
      <c r="R270" s="28"/>
    </row>
    <row r="271" spans="1:18" x14ac:dyDescent="0.2">
      <c r="A271" s="30" t="s">
        <v>1039</v>
      </c>
      <c r="B271" s="38" t="s">
        <v>1040</v>
      </c>
      <c r="C271" s="38" t="s">
        <v>883</v>
      </c>
      <c r="D271" s="38" t="s">
        <v>390</v>
      </c>
      <c r="E271" s="38" t="s">
        <v>240</v>
      </c>
      <c r="F271" s="38" t="s">
        <v>166</v>
      </c>
      <c r="G271" s="79" t="s">
        <v>2</v>
      </c>
      <c r="H271" s="88">
        <v>65169.200066585327</v>
      </c>
      <c r="I271" s="85">
        <v>577</v>
      </c>
      <c r="J271" s="85">
        <v>0</v>
      </c>
      <c r="K271" s="83">
        <v>1653.9892144466771</v>
      </c>
      <c r="L271" s="38">
        <v>3.6800168648476537E-4</v>
      </c>
      <c r="M271" s="46">
        <v>1.1545919672421421E-2</v>
      </c>
      <c r="N271" s="46">
        <v>6.3920565378553706E-3</v>
      </c>
      <c r="O271" s="28"/>
      <c r="P271" s="28"/>
      <c r="Q271" s="28"/>
      <c r="R271" s="28"/>
    </row>
    <row r="272" spans="1:18" x14ac:dyDescent="0.2">
      <c r="A272" s="30" t="s">
        <v>1041</v>
      </c>
      <c r="B272" s="38" t="s">
        <v>1042</v>
      </c>
      <c r="C272" s="38" t="s">
        <v>829</v>
      </c>
      <c r="D272" s="38" t="s">
        <v>390</v>
      </c>
      <c r="E272" s="38" t="s">
        <v>240</v>
      </c>
      <c r="F272" s="38" t="s">
        <v>167</v>
      </c>
      <c r="G272" s="79" t="s">
        <v>127</v>
      </c>
      <c r="H272" s="88">
        <v>1272.8714830453293</v>
      </c>
      <c r="I272" s="85">
        <v>3394</v>
      </c>
      <c r="J272" s="85">
        <v>0</v>
      </c>
      <c r="K272" s="83">
        <v>154.01248524865628</v>
      </c>
      <c r="L272" s="38">
        <v>2.222852943522931E-6</v>
      </c>
      <c r="M272" s="46">
        <v>1.0751072423563872E-3</v>
      </c>
      <c r="N272" s="46">
        <v>5.9520128949230519E-4</v>
      </c>
      <c r="O272" s="28"/>
      <c r="P272" s="28"/>
      <c r="Q272" s="28"/>
      <c r="R272" s="28"/>
    </row>
    <row r="273" spans="1:18" x14ac:dyDescent="0.2">
      <c r="A273" s="30" t="s">
        <v>1043</v>
      </c>
      <c r="B273" s="38" t="s">
        <v>1044</v>
      </c>
      <c r="C273" s="38" t="s">
        <v>829</v>
      </c>
      <c r="D273" s="38" t="s">
        <v>390</v>
      </c>
      <c r="E273" s="38" t="s">
        <v>240</v>
      </c>
      <c r="F273" s="38" t="s">
        <v>167</v>
      </c>
      <c r="G273" s="79" t="s">
        <v>127</v>
      </c>
      <c r="H273" s="88">
        <v>269.21888459613871</v>
      </c>
      <c r="I273" s="85">
        <v>1082</v>
      </c>
      <c r="J273" s="85">
        <v>0</v>
      </c>
      <c r="K273" s="83">
        <v>10.384660790745249</v>
      </c>
      <c r="L273" s="38">
        <v>7.1078183362349184E-7</v>
      </c>
      <c r="M273" s="46">
        <v>7.2491681486206219E-5</v>
      </c>
      <c r="N273" s="46">
        <v>4.0132872887626371E-5</v>
      </c>
      <c r="O273" s="28"/>
      <c r="P273" s="28"/>
      <c r="Q273" s="28"/>
      <c r="R273" s="28"/>
    </row>
    <row r="274" spans="1:18" x14ac:dyDescent="0.2">
      <c r="A274" s="30" t="s">
        <v>1045</v>
      </c>
      <c r="B274" s="38" t="s">
        <v>1046</v>
      </c>
      <c r="C274" s="38" t="s">
        <v>807</v>
      </c>
      <c r="D274" s="38" t="s">
        <v>390</v>
      </c>
      <c r="E274" s="38" t="s">
        <v>240</v>
      </c>
      <c r="F274" s="38" t="s">
        <v>185</v>
      </c>
      <c r="G274" s="79" t="s">
        <v>127</v>
      </c>
      <c r="H274" s="88">
        <v>655.43881296544214</v>
      </c>
      <c r="I274" s="85">
        <v>10117</v>
      </c>
      <c r="J274" s="85">
        <v>0</v>
      </c>
      <c r="K274" s="83">
        <v>236.39780486759031</v>
      </c>
      <c r="L274" s="38">
        <v>3.7993210397744612E-6</v>
      </c>
      <c r="M274" s="46">
        <v>1.6502103169101078E-3</v>
      </c>
      <c r="N274" s="46">
        <v>9.135900772146504E-4</v>
      </c>
      <c r="O274" s="28"/>
      <c r="P274" s="28"/>
      <c r="Q274" s="28"/>
      <c r="R274" s="28"/>
    </row>
    <row r="275" spans="1:18" x14ac:dyDescent="0.2">
      <c r="A275" s="30" t="s">
        <v>1047</v>
      </c>
      <c r="B275" s="38" t="s">
        <v>1048</v>
      </c>
      <c r="C275" s="38" t="s">
        <v>807</v>
      </c>
      <c r="D275" s="38" t="s">
        <v>390</v>
      </c>
      <c r="E275" s="38" t="s">
        <v>240</v>
      </c>
      <c r="F275" s="38" t="s">
        <v>187</v>
      </c>
      <c r="G275" s="79" t="s">
        <v>127</v>
      </c>
      <c r="H275" s="88">
        <v>3944.3178340371533</v>
      </c>
      <c r="I275" s="85">
        <v>14374</v>
      </c>
      <c r="J275" s="85">
        <v>0</v>
      </c>
      <c r="K275" s="83">
        <v>2021.1990150595277</v>
      </c>
      <c r="L275" s="38">
        <v>2.5159549233577456E-5</v>
      </c>
      <c r="M275" s="46">
        <v>1.4109282736563424E-2</v>
      </c>
      <c r="N275" s="46">
        <v>7.8111865940070219E-3</v>
      </c>
      <c r="O275" s="28"/>
      <c r="P275" s="28"/>
      <c r="Q275" s="28"/>
      <c r="R275" s="28"/>
    </row>
    <row r="276" spans="1:18" x14ac:dyDescent="0.2">
      <c r="A276" s="30" t="s">
        <v>1049</v>
      </c>
      <c r="B276" s="38" t="s">
        <v>1050</v>
      </c>
      <c r="C276" s="38" t="s">
        <v>807</v>
      </c>
      <c r="D276" s="38" t="s">
        <v>390</v>
      </c>
      <c r="E276" s="38" t="s">
        <v>240</v>
      </c>
      <c r="F276" s="38" t="s">
        <v>185</v>
      </c>
      <c r="G276" s="79" t="s">
        <v>127</v>
      </c>
      <c r="H276" s="88">
        <v>124.84150837888465</v>
      </c>
      <c r="I276" s="85">
        <v>7645.9999999999991</v>
      </c>
      <c r="J276" s="85">
        <v>0</v>
      </c>
      <c r="K276" s="83">
        <v>34.029285869765538</v>
      </c>
      <c r="L276" s="38">
        <v>2.027190992516642E-6</v>
      </c>
      <c r="M276" s="46">
        <v>2.3754653157978309E-4</v>
      </c>
      <c r="N276" s="46">
        <v>1.3151060316626793E-4</v>
      </c>
      <c r="O276" s="28"/>
      <c r="P276" s="28"/>
      <c r="Q276" s="28"/>
      <c r="R276" s="28"/>
    </row>
    <row r="277" spans="1:18" x14ac:dyDescent="0.2">
      <c r="A277" s="30" t="s">
        <v>1051</v>
      </c>
      <c r="B277" s="38" t="s">
        <v>1052</v>
      </c>
      <c r="C277" s="38" t="s">
        <v>883</v>
      </c>
      <c r="D277" s="38" t="s">
        <v>390</v>
      </c>
      <c r="E277" s="38" t="s">
        <v>240</v>
      </c>
      <c r="F277" s="38" t="s">
        <v>184</v>
      </c>
      <c r="G277" s="79" t="s">
        <v>128</v>
      </c>
      <c r="H277" s="88">
        <v>20855.395570487537</v>
      </c>
      <c r="I277" s="85">
        <v>735</v>
      </c>
      <c r="J277" s="85">
        <v>0</v>
      </c>
      <c r="K277" s="83">
        <v>597.86590015504328</v>
      </c>
      <c r="L277" s="38">
        <v>9.3947105591145176E-5</v>
      </c>
      <c r="M277" s="46">
        <v>4.1734925462493678E-3</v>
      </c>
      <c r="N277" s="46">
        <v>2.3105305660202267E-3</v>
      </c>
      <c r="O277" s="28"/>
      <c r="P277" s="28"/>
      <c r="Q277" s="28"/>
      <c r="R277" s="28"/>
    </row>
    <row r="278" spans="1:18" x14ac:dyDescent="0.2">
      <c r="A278" s="30" t="s">
        <v>1053</v>
      </c>
      <c r="B278" s="38" t="s">
        <v>1054</v>
      </c>
      <c r="C278" s="38" t="s">
        <v>807</v>
      </c>
      <c r="D278" s="38" t="s">
        <v>390</v>
      </c>
      <c r="E278" s="38" t="s">
        <v>240</v>
      </c>
      <c r="F278" s="38" t="s">
        <v>180</v>
      </c>
      <c r="G278" s="79" t="s">
        <v>127</v>
      </c>
      <c r="H278" s="88">
        <v>2967.843075257224</v>
      </c>
      <c r="I278" s="85">
        <v>196</v>
      </c>
      <c r="J278" s="85">
        <v>0</v>
      </c>
      <c r="K278" s="83">
        <v>20.737506689426542</v>
      </c>
      <c r="L278" s="38">
        <v>7.3976955290436448E-5</v>
      </c>
      <c r="M278" s="46">
        <v>1.4476127434876924E-4</v>
      </c>
      <c r="N278" s="46">
        <v>8.0142792985088028E-5</v>
      </c>
      <c r="O278" s="28"/>
      <c r="P278" s="28"/>
      <c r="Q278" s="28"/>
      <c r="R278" s="28"/>
    </row>
    <row r="279" spans="1:18" x14ac:dyDescent="0.2">
      <c r="A279" s="30" t="s">
        <v>1055</v>
      </c>
      <c r="B279" s="38" t="s">
        <v>1056</v>
      </c>
      <c r="C279" s="38" t="s">
        <v>807</v>
      </c>
      <c r="D279" s="38" t="s">
        <v>390</v>
      </c>
      <c r="E279" s="38" t="s">
        <v>240</v>
      </c>
      <c r="F279" s="38" t="s">
        <v>180</v>
      </c>
      <c r="G279" s="79" t="s">
        <v>127</v>
      </c>
      <c r="H279" s="88">
        <v>1481.3881430025133</v>
      </c>
      <c r="I279" s="85">
        <v>1219</v>
      </c>
      <c r="J279" s="85">
        <v>0</v>
      </c>
      <c r="K279" s="83">
        <v>64.377202977917591</v>
      </c>
      <c r="L279" s="38">
        <v>4.3352354392106929E-5</v>
      </c>
      <c r="M279" s="46">
        <v>4.4939471661964008E-4</v>
      </c>
      <c r="N279" s="46">
        <v>2.4879407773012826E-4</v>
      </c>
      <c r="O279" s="28"/>
      <c r="P279" s="28"/>
      <c r="Q279" s="28"/>
      <c r="R279" s="28"/>
    </row>
    <row r="280" spans="1:18" x14ac:dyDescent="0.2">
      <c r="A280" s="30" t="s">
        <v>1057</v>
      </c>
      <c r="B280" s="38" t="s">
        <v>1058</v>
      </c>
      <c r="C280" s="38" t="s">
        <v>807</v>
      </c>
      <c r="D280" s="38" t="s">
        <v>390</v>
      </c>
      <c r="E280" s="38" t="s">
        <v>240</v>
      </c>
      <c r="F280" s="38" t="s">
        <v>186</v>
      </c>
      <c r="G280" s="79" t="s">
        <v>127</v>
      </c>
      <c r="H280" s="88">
        <v>2202.7370041991171</v>
      </c>
      <c r="I280" s="85">
        <v>346</v>
      </c>
      <c r="J280" s="85">
        <v>0</v>
      </c>
      <c r="K280" s="83">
        <v>27.17054067205099</v>
      </c>
      <c r="L280" s="38">
        <v>7.4199388979428988E-5</v>
      </c>
      <c r="M280" s="46">
        <v>1.8966803248514984E-4</v>
      </c>
      <c r="N280" s="46">
        <v>1.0500408988334905E-4</v>
      </c>
      <c r="O280" s="28"/>
      <c r="P280" s="28"/>
      <c r="Q280" s="28"/>
      <c r="R280" s="28"/>
    </row>
    <row r="281" spans="1:18" x14ac:dyDescent="0.2">
      <c r="A281" s="247" t="s">
        <v>1047</v>
      </c>
      <c r="B281" s="235" t="s">
        <v>1048</v>
      </c>
      <c r="C281" s="235" t="s">
        <v>807</v>
      </c>
      <c r="D281" s="235" t="s">
        <v>390</v>
      </c>
      <c r="E281" s="235" t="s">
        <v>240</v>
      </c>
      <c r="F281" s="235" t="s">
        <v>187</v>
      </c>
      <c r="G281" s="237" t="s">
        <v>127</v>
      </c>
      <c r="H281" s="248">
        <v>137.75573849699643</v>
      </c>
      <c r="I281" s="236">
        <v>14374</v>
      </c>
      <c r="J281" s="236">
        <v>0</v>
      </c>
      <c r="K281" s="249">
        <v>70.590600093071828</v>
      </c>
      <c r="L281" s="235">
        <v>8.7870005175915458E-7</v>
      </c>
      <c r="M281" s="239">
        <v>4.9276826667536125E-4</v>
      </c>
      <c r="N281" s="239">
        <v>2.7280655937469571E-4</v>
      </c>
      <c r="O281" s="28"/>
      <c r="P281" s="28"/>
      <c r="Q281" s="28"/>
      <c r="R281" s="28"/>
    </row>
    <row r="282" spans="1:18" s="138" customFormat="1" x14ac:dyDescent="0.2">
      <c r="A282" s="97" t="s">
        <v>231</v>
      </c>
      <c r="B282" s="148"/>
      <c r="C282" s="148"/>
      <c r="D282" s="148"/>
      <c r="E282" s="148"/>
      <c r="F282" s="148"/>
      <c r="G282" s="149"/>
      <c r="H282" s="149"/>
      <c r="I282" s="149"/>
      <c r="J282" s="149"/>
      <c r="K282" s="150"/>
      <c r="L282" s="151"/>
      <c r="M282" s="151"/>
      <c r="N282" s="152"/>
      <c r="O282" s="169"/>
      <c r="P282" s="169"/>
      <c r="Q282" s="153"/>
      <c r="R282" s="153"/>
    </row>
    <row r="283" spans="1:18" s="138" customFormat="1" x14ac:dyDescent="0.2">
      <c r="A283" s="97" t="s">
        <v>232</v>
      </c>
      <c r="B283" s="148"/>
      <c r="C283" s="148"/>
      <c r="D283" s="148"/>
      <c r="E283" s="148"/>
      <c r="F283" s="148"/>
      <c r="G283" s="149"/>
      <c r="H283" s="149"/>
      <c r="I283" s="149"/>
      <c r="J283" s="149"/>
      <c r="K283" s="150"/>
      <c r="L283" s="151"/>
      <c r="M283" s="151"/>
      <c r="N283" s="152"/>
      <c r="O283" s="169"/>
      <c r="P283" s="169"/>
      <c r="Q283" s="153"/>
      <c r="R283" s="153"/>
    </row>
    <row r="284" spans="1:18" s="138" customFormat="1" x14ac:dyDescent="0.2">
      <c r="A284" s="97" t="s">
        <v>233</v>
      </c>
      <c r="B284" s="148"/>
      <c r="C284" s="148"/>
      <c r="D284" s="148"/>
      <c r="E284" s="148"/>
      <c r="F284" s="148"/>
      <c r="G284" s="149"/>
      <c r="H284" s="149"/>
      <c r="I284" s="149"/>
      <c r="J284" s="149"/>
      <c r="K284" s="150"/>
      <c r="L284" s="151"/>
      <c r="M284" s="151"/>
      <c r="N284" s="152"/>
      <c r="O284" s="169"/>
      <c r="P284" s="169"/>
      <c r="Q284" s="153"/>
      <c r="R284" s="153"/>
    </row>
    <row r="285" spans="1:18" s="138" customFormat="1" x14ac:dyDescent="0.2">
      <c r="A285" s="97" t="s">
        <v>234</v>
      </c>
      <c r="B285" s="148"/>
      <c r="C285" s="148"/>
      <c r="D285" s="148"/>
      <c r="E285" s="148"/>
      <c r="F285" s="148"/>
      <c r="G285" s="149"/>
      <c r="H285" s="149"/>
      <c r="I285" s="149"/>
      <c r="J285" s="149"/>
      <c r="K285" s="150"/>
      <c r="L285" s="151"/>
      <c r="M285" s="151"/>
      <c r="N285" s="152"/>
      <c r="O285" s="169"/>
      <c r="P285" s="169"/>
      <c r="Q285" s="153"/>
      <c r="R285" s="153"/>
    </row>
    <row r="286" spans="1:18" s="138" customFormat="1" x14ac:dyDescent="0.2">
      <c r="A286" s="97" t="s">
        <v>235</v>
      </c>
      <c r="B286" s="148"/>
      <c r="C286" s="148"/>
      <c r="D286" s="148"/>
      <c r="E286" s="148"/>
      <c r="F286" s="148"/>
      <c r="G286" s="149"/>
      <c r="H286" s="149"/>
      <c r="I286" s="149"/>
      <c r="J286" s="149"/>
      <c r="K286" s="150"/>
      <c r="L286" s="151"/>
      <c r="M286" s="151"/>
      <c r="N286" s="152"/>
      <c r="O286" s="169"/>
      <c r="P286" s="169"/>
      <c r="Q286" s="153"/>
      <c r="R286" s="153"/>
    </row>
  </sheetData>
  <mergeCells count="2">
    <mergeCell ref="A6:N6"/>
    <mergeCell ref="A5:N5"/>
  </mergeCells>
  <conditionalFormatting sqref="B10:G281 M10:N281">
    <cfRule type="expression" dxfId="124" priority="112" stopIfTrue="1">
      <formula>LEFT(#REF!,3)="TIR"</formula>
    </cfRule>
  </conditionalFormatting>
  <conditionalFormatting sqref="L1:M4 H10:J281 L10:M55816">
    <cfRule type="expression" dxfId="123" priority="114" stopIfTrue="1">
      <formula>LEFT(#REF!,3)="TIR"</formula>
    </cfRule>
  </conditionalFormatting>
  <conditionalFormatting sqref="A10:A281 K10:K281">
    <cfRule type="expression" dxfId="122" priority="117" stopIfTrue="1">
      <formula>#REF!&gt;0</formula>
    </cfRule>
    <cfRule type="expression" dxfId="121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1EF3-6F4F-472C-BB90-2F619D90F165}">
  <sheetPr codeName="גיליון7">
    <pageSetUpPr fitToPage="1"/>
  </sheetPr>
  <dimension ref="A1:S91"/>
  <sheetViews>
    <sheetView rightToLeft="1" zoomScale="80" zoomScaleNormal="80" workbookViewId="0">
      <selection activeCell="A7" sqref="A7:M86"/>
    </sheetView>
  </sheetViews>
  <sheetFormatPr defaultRowHeight="12.75" x14ac:dyDescent="0.2"/>
  <cols>
    <col min="1" max="1" width="36.570312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.7109375" style="22" bestFit="1" customWidth="1"/>
    <col min="7" max="7" width="10.85546875" style="78" bestFit="1" customWidth="1"/>
    <col min="8" max="8" width="10.28515625" style="78" bestFit="1" customWidth="1"/>
    <col min="9" max="9" width="16.5703125" style="78" customWidth="1"/>
    <col min="10" max="10" width="10.85546875" style="78" bestFit="1" customWidth="1"/>
    <col min="11" max="11" width="22" style="50" customWidth="1"/>
    <col min="12" max="12" width="25.42578125" style="50" customWidth="1"/>
    <col min="13" max="13" width="20.7109375" style="80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78"/>
      <c r="H1" s="78"/>
      <c r="I1" s="78"/>
      <c r="J1" s="78"/>
      <c r="K1" s="50"/>
      <c r="L1" s="50"/>
      <c r="M1" s="80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78"/>
      <c r="H2" s="78"/>
      <c r="I2" s="78"/>
      <c r="J2" s="78"/>
      <c r="K2" s="50"/>
      <c r="L2" s="50"/>
      <c r="M2" s="80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78"/>
      <c r="H3" s="78"/>
      <c r="I3" s="78"/>
      <c r="J3" s="78"/>
      <c r="K3" s="50"/>
      <c r="L3" s="50"/>
      <c r="M3" s="80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22"/>
      <c r="G4" s="78"/>
      <c r="H4" s="78"/>
      <c r="I4" s="78"/>
      <c r="J4" s="78"/>
      <c r="K4" s="50"/>
      <c r="L4" s="50"/>
      <c r="M4" s="80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6" t="s">
        <v>160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137</v>
      </c>
      <c r="J7" s="108" t="s">
        <v>7</v>
      </c>
      <c r="K7" s="108" t="s">
        <v>17</v>
      </c>
      <c r="L7" s="109" t="s">
        <v>75</v>
      </c>
      <c r="M7" s="110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6"/>
      <c r="I8" s="15" t="s">
        <v>138</v>
      </c>
      <c r="J8" s="15" t="s">
        <v>138</v>
      </c>
      <c r="K8" s="66" t="s">
        <v>9</v>
      </c>
      <c r="L8" s="66" t="s">
        <v>9</v>
      </c>
      <c r="M8" s="72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6">
        <v>11</v>
      </c>
      <c r="M9" s="61">
        <v>12</v>
      </c>
    </row>
    <row r="10" spans="1:19" s="138" customFormat="1" ht="12.75" customHeight="1" thickBot="1" x14ac:dyDescent="0.25">
      <c r="A10" s="170" t="s">
        <v>162</v>
      </c>
      <c r="B10" s="89"/>
      <c r="C10" s="89"/>
      <c r="D10" s="89"/>
      <c r="E10" s="89"/>
      <c r="F10" s="171"/>
      <c r="G10" s="172"/>
      <c r="H10" s="171"/>
      <c r="I10" s="174" t="s">
        <v>240</v>
      </c>
      <c r="J10" s="129">
        <v>48770.843598576437</v>
      </c>
      <c r="K10" s="89" t="s">
        <v>240</v>
      </c>
      <c r="L10" s="89">
        <v>1</v>
      </c>
      <c r="M10" s="102">
        <v>0.18848127119456051</v>
      </c>
    </row>
    <row r="11" spans="1:19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2" t="s">
        <v>240</v>
      </c>
      <c r="G11" s="154" t="s">
        <v>240</v>
      </c>
      <c r="H11" s="142" t="s">
        <v>240</v>
      </c>
      <c r="I11" s="143" t="s">
        <v>240</v>
      </c>
      <c r="J11" s="175">
        <v>3091.2544735151519</v>
      </c>
      <c r="K11" s="141" t="s">
        <v>240</v>
      </c>
      <c r="L11" s="141">
        <v>6.3383247970010145E-2</v>
      </c>
      <c r="M11" s="141">
        <v>1.1946555149827558E-2</v>
      </c>
    </row>
    <row r="12" spans="1:19" s="138" customFormat="1" x14ac:dyDescent="0.2">
      <c r="A12" s="112" t="s">
        <v>1059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6" t="s">
        <v>240</v>
      </c>
      <c r="G12" s="156" t="s">
        <v>240</v>
      </c>
      <c r="H12" s="142" t="s">
        <v>240</v>
      </c>
      <c r="I12" s="147" t="s">
        <v>240</v>
      </c>
      <c r="J12" s="147">
        <v>3091.2544730151521</v>
      </c>
      <c r="K12" s="145" t="s">
        <v>240</v>
      </c>
      <c r="L12" s="141">
        <v>6.338324795975811E-2</v>
      </c>
      <c r="M12" s="141">
        <v>1.1946555147895244E-2</v>
      </c>
    </row>
    <row r="13" spans="1:19" x14ac:dyDescent="0.2">
      <c r="A13" s="30" t="s">
        <v>1092</v>
      </c>
      <c r="B13" s="38" t="s">
        <v>1093</v>
      </c>
      <c r="C13" s="38" t="s">
        <v>383</v>
      </c>
      <c r="D13" s="38" t="s">
        <v>1094</v>
      </c>
      <c r="E13" s="73" t="s">
        <v>1063</v>
      </c>
      <c r="F13" s="79" t="s">
        <v>247</v>
      </c>
      <c r="G13" s="88">
        <v>3775.1340844604297</v>
      </c>
      <c r="H13" s="85">
        <v>423.20000000000005</v>
      </c>
      <c r="I13" s="104">
        <v>0</v>
      </c>
      <c r="J13" s="104">
        <v>15.976367424542563</v>
      </c>
      <c r="K13" s="38">
        <v>4.2672109261818284E-4</v>
      </c>
      <c r="L13" s="46">
        <v>3.2758029686837109E-4</v>
      </c>
      <c r="M13" s="46">
        <v>6.1742750772042089E-5</v>
      </c>
      <c r="N13" s="28"/>
      <c r="O13" s="28"/>
      <c r="P13" s="28"/>
      <c r="Q13" s="28"/>
      <c r="R13" s="28"/>
    </row>
    <row r="14" spans="1:19" x14ac:dyDescent="0.2">
      <c r="A14" s="30" t="s">
        <v>1095</v>
      </c>
      <c r="B14" s="38" t="s">
        <v>1096</v>
      </c>
      <c r="C14" s="38" t="s">
        <v>383</v>
      </c>
      <c r="D14" s="38" t="s">
        <v>1094</v>
      </c>
      <c r="E14" s="73" t="s">
        <v>1063</v>
      </c>
      <c r="F14" s="79" t="s">
        <v>247</v>
      </c>
      <c r="G14" s="88">
        <v>5765.8912521310158</v>
      </c>
      <c r="H14" s="85">
        <v>1630</v>
      </c>
      <c r="I14" s="104">
        <v>0</v>
      </c>
      <c r="J14" s="104">
        <v>93.98402740973556</v>
      </c>
      <c r="K14" s="38">
        <v>1.94262486119236E-3</v>
      </c>
      <c r="L14" s="46">
        <v>1.9270535523908561E-3</v>
      </c>
      <c r="M14" s="46">
        <v>3.6321350321462213E-4</v>
      </c>
      <c r="N14" s="28"/>
      <c r="O14" s="28"/>
      <c r="P14" s="28"/>
      <c r="Q14" s="28"/>
      <c r="R14" s="28"/>
    </row>
    <row r="15" spans="1:19" x14ac:dyDescent="0.2">
      <c r="A15" s="30" t="s">
        <v>1097</v>
      </c>
      <c r="B15" s="38" t="s">
        <v>1098</v>
      </c>
      <c r="C15" s="38" t="s">
        <v>383</v>
      </c>
      <c r="D15" s="38" t="s">
        <v>1099</v>
      </c>
      <c r="E15" s="73" t="s">
        <v>1063</v>
      </c>
      <c r="F15" s="79" t="s">
        <v>247</v>
      </c>
      <c r="G15" s="88">
        <v>465.72673167620735</v>
      </c>
      <c r="H15" s="85">
        <v>1954</v>
      </c>
      <c r="I15" s="104">
        <v>0</v>
      </c>
      <c r="J15" s="104">
        <v>9.1003003369530902</v>
      </c>
      <c r="K15" s="38">
        <v>4.7555813522905163E-5</v>
      </c>
      <c r="L15" s="46">
        <v>1.865930475153544E-4</v>
      </c>
      <c r="M15" s="46">
        <v>3.5169294791761024E-5</v>
      </c>
      <c r="N15" s="28"/>
      <c r="O15" s="28"/>
      <c r="P15" s="28"/>
      <c r="Q15" s="28"/>
      <c r="R15" s="28"/>
    </row>
    <row r="16" spans="1:19" x14ac:dyDescent="0.2">
      <c r="A16" s="30" t="s">
        <v>1085</v>
      </c>
      <c r="B16" s="38" t="s">
        <v>1086</v>
      </c>
      <c r="C16" s="38" t="s">
        <v>383</v>
      </c>
      <c r="D16" s="38" t="s">
        <v>1087</v>
      </c>
      <c r="E16" s="73" t="s">
        <v>1063</v>
      </c>
      <c r="F16" s="79" t="s">
        <v>247</v>
      </c>
      <c r="G16" s="88">
        <v>15797.574900911102</v>
      </c>
      <c r="H16" s="85">
        <v>1063</v>
      </c>
      <c r="I16" s="104">
        <v>0</v>
      </c>
      <c r="J16" s="104">
        <v>167.92822150434881</v>
      </c>
      <c r="K16" s="38">
        <v>6.4905833476974339E-4</v>
      </c>
      <c r="L16" s="46">
        <v>3.4432092847631298E-3</v>
      </c>
      <c r="M16" s="46">
        <v>6.4898046298106815E-4</v>
      </c>
      <c r="N16" s="28"/>
      <c r="O16" s="28"/>
      <c r="P16" s="28"/>
      <c r="Q16" s="28"/>
      <c r="R16" s="28"/>
    </row>
    <row r="17" spans="1:18" x14ac:dyDescent="0.2">
      <c r="A17" s="30" t="s">
        <v>1088</v>
      </c>
      <c r="B17" s="38" t="s">
        <v>1089</v>
      </c>
      <c r="C17" s="38" t="s">
        <v>383</v>
      </c>
      <c r="D17" s="38" t="s">
        <v>1087</v>
      </c>
      <c r="E17" s="73" t="s">
        <v>1063</v>
      </c>
      <c r="F17" s="79" t="s">
        <v>247</v>
      </c>
      <c r="G17" s="88">
        <v>5287.1551995226764</v>
      </c>
      <c r="H17" s="85">
        <v>1834</v>
      </c>
      <c r="I17" s="104">
        <v>0</v>
      </c>
      <c r="J17" s="104">
        <v>96.966426325815533</v>
      </c>
      <c r="K17" s="38">
        <v>8.265140938906325E-5</v>
      </c>
      <c r="L17" s="46">
        <v>1.988204820157055E-3</v>
      </c>
      <c r="M17" s="46">
        <v>3.7473937189835436E-4</v>
      </c>
      <c r="N17" s="28"/>
      <c r="O17" s="28"/>
      <c r="P17" s="28"/>
      <c r="Q17" s="28"/>
      <c r="R17" s="28"/>
    </row>
    <row r="18" spans="1:18" x14ac:dyDescent="0.2">
      <c r="A18" s="30" t="s">
        <v>1090</v>
      </c>
      <c r="B18" s="38" t="s">
        <v>1091</v>
      </c>
      <c r="C18" s="38" t="s">
        <v>383</v>
      </c>
      <c r="D18" s="38" t="s">
        <v>1087</v>
      </c>
      <c r="E18" s="73" t="s">
        <v>1063</v>
      </c>
      <c r="F18" s="79" t="s">
        <v>247</v>
      </c>
      <c r="G18" s="88">
        <v>12984.517483928901</v>
      </c>
      <c r="H18" s="85">
        <v>399.5</v>
      </c>
      <c r="I18" s="104">
        <v>0</v>
      </c>
      <c r="J18" s="104">
        <v>51.873147441274149</v>
      </c>
      <c r="K18" s="38">
        <v>2.27643195852811E-3</v>
      </c>
      <c r="L18" s="46">
        <v>1.0636098048299552E-3</v>
      </c>
      <c r="M18" s="46">
        <v>2.0047052806934835E-4</v>
      </c>
      <c r="N18" s="28"/>
      <c r="O18" s="28"/>
      <c r="P18" s="28"/>
      <c r="Q18" s="28"/>
      <c r="R18" s="28"/>
    </row>
    <row r="19" spans="1:18" x14ac:dyDescent="0.2">
      <c r="A19" s="30" t="s">
        <v>1076</v>
      </c>
      <c r="B19" s="38" t="s">
        <v>1077</v>
      </c>
      <c r="C19" s="38" t="s">
        <v>383</v>
      </c>
      <c r="D19" s="38" t="s">
        <v>1078</v>
      </c>
      <c r="E19" s="73" t="s">
        <v>1063</v>
      </c>
      <c r="F19" s="79" t="s">
        <v>247</v>
      </c>
      <c r="G19" s="88">
        <v>3570.0544836042209</v>
      </c>
      <c r="H19" s="85">
        <v>12280</v>
      </c>
      <c r="I19" s="104">
        <v>0</v>
      </c>
      <c r="J19" s="104">
        <v>438.40269058659834</v>
      </c>
      <c r="K19" s="38">
        <v>2.5518815576220147E-4</v>
      </c>
      <c r="L19" s="46">
        <v>8.9890323447141453E-3</v>
      </c>
      <c r="M19" s="46">
        <v>1.6942642431407428E-3</v>
      </c>
      <c r="N19" s="28"/>
      <c r="O19" s="28"/>
      <c r="P19" s="28"/>
      <c r="Q19" s="28"/>
      <c r="R19" s="28"/>
    </row>
    <row r="20" spans="1:18" x14ac:dyDescent="0.2">
      <c r="A20" s="30" t="s">
        <v>1079</v>
      </c>
      <c r="B20" s="38" t="s">
        <v>1080</v>
      </c>
      <c r="C20" s="38" t="s">
        <v>383</v>
      </c>
      <c r="D20" s="38" t="s">
        <v>1078</v>
      </c>
      <c r="E20" s="73" t="s">
        <v>1063</v>
      </c>
      <c r="F20" s="79" t="s">
        <v>247</v>
      </c>
      <c r="G20" s="88">
        <v>103.72292183596286</v>
      </c>
      <c r="H20" s="85">
        <v>18050</v>
      </c>
      <c r="I20" s="104">
        <v>0</v>
      </c>
      <c r="J20" s="104">
        <v>18.721987391391295</v>
      </c>
      <c r="K20" s="38">
        <v>1.2122915069399498E-5</v>
      </c>
      <c r="L20" s="46">
        <v>3.8387663632576103E-4</v>
      </c>
      <c r="M20" s="46">
        <v>7.2353556396571438E-5</v>
      </c>
      <c r="N20" s="28"/>
      <c r="O20" s="28"/>
      <c r="P20" s="28"/>
      <c r="Q20" s="28"/>
      <c r="R20" s="28"/>
    </row>
    <row r="21" spans="1:18" x14ac:dyDescent="0.2">
      <c r="A21" s="30" t="s">
        <v>1081</v>
      </c>
      <c r="B21" s="38" t="s">
        <v>1082</v>
      </c>
      <c r="C21" s="38" t="s">
        <v>383</v>
      </c>
      <c r="D21" s="38" t="s">
        <v>1078</v>
      </c>
      <c r="E21" s="73" t="s">
        <v>1063</v>
      </c>
      <c r="F21" s="79" t="s">
        <v>247</v>
      </c>
      <c r="G21" s="88">
        <v>1027.3568145589554</v>
      </c>
      <c r="H21" s="85">
        <v>4127</v>
      </c>
      <c r="I21" s="104">
        <v>0</v>
      </c>
      <c r="J21" s="104">
        <v>42.399015736848085</v>
      </c>
      <c r="K21" s="38">
        <v>4.7281991107397562E-4</v>
      </c>
      <c r="L21" s="46">
        <v>8.6935169885159961E-4</v>
      </c>
      <c r="M21" s="46">
        <v>1.6385651331470025E-4</v>
      </c>
      <c r="N21" s="28"/>
      <c r="O21" s="28"/>
      <c r="P21" s="28"/>
      <c r="Q21" s="28"/>
      <c r="R21" s="28"/>
    </row>
    <row r="22" spans="1:18" x14ac:dyDescent="0.2">
      <c r="A22" s="30" t="s">
        <v>1083</v>
      </c>
      <c r="B22" s="38" t="s">
        <v>1084</v>
      </c>
      <c r="C22" s="38" t="s">
        <v>383</v>
      </c>
      <c r="D22" s="38" t="s">
        <v>1078</v>
      </c>
      <c r="E22" s="73" t="s">
        <v>1063</v>
      </c>
      <c r="F22" s="79" t="s">
        <v>247</v>
      </c>
      <c r="G22" s="88">
        <v>685.91790088974301</v>
      </c>
      <c r="H22" s="85">
        <v>15770.000000000002</v>
      </c>
      <c r="I22" s="104">
        <v>0</v>
      </c>
      <c r="J22" s="104">
        <v>108.16925297031247</v>
      </c>
      <c r="K22" s="38">
        <v>2.0646869213511261E-3</v>
      </c>
      <c r="L22" s="46">
        <v>2.2179081801543786E-3</v>
      </c>
      <c r="M22" s="46">
        <v>4.1803415318831155E-4</v>
      </c>
      <c r="N22" s="28"/>
      <c r="O22" s="28"/>
      <c r="P22" s="28"/>
      <c r="Q22" s="28"/>
      <c r="R22" s="28"/>
    </row>
    <row r="23" spans="1:18" x14ac:dyDescent="0.2">
      <c r="A23" s="30" t="s">
        <v>1060</v>
      </c>
      <c r="B23" s="38" t="s">
        <v>1061</v>
      </c>
      <c r="C23" s="38" t="s">
        <v>383</v>
      </c>
      <c r="D23" s="38" t="s">
        <v>1062</v>
      </c>
      <c r="E23" s="73" t="s">
        <v>1063</v>
      </c>
      <c r="F23" s="79" t="s">
        <v>247</v>
      </c>
      <c r="G23" s="88">
        <v>85056.676961586854</v>
      </c>
      <c r="H23" s="85">
        <v>1313</v>
      </c>
      <c r="I23" s="104">
        <v>0</v>
      </c>
      <c r="J23" s="104">
        <v>1116.7941685056353</v>
      </c>
      <c r="K23" s="38">
        <v>9.3606328961235818E-4</v>
      </c>
      <c r="L23" s="46">
        <v>2.2898807691286958E-2</v>
      </c>
      <c r="M23" s="46">
        <v>4.3159963824935445E-3</v>
      </c>
      <c r="N23" s="28"/>
      <c r="O23" s="28"/>
      <c r="P23" s="28"/>
      <c r="Q23" s="28"/>
      <c r="R23" s="28"/>
    </row>
    <row r="24" spans="1:18" x14ac:dyDescent="0.2">
      <c r="A24" s="30" t="s">
        <v>1064</v>
      </c>
      <c r="B24" s="38" t="s">
        <v>1065</v>
      </c>
      <c r="C24" s="38" t="s">
        <v>383</v>
      </c>
      <c r="D24" s="38" t="s">
        <v>1062</v>
      </c>
      <c r="E24" s="73" t="s">
        <v>1063</v>
      </c>
      <c r="F24" s="79" t="s">
        <v>247</v>
      </c>
      <c r="G24" s="88">
        <v>50548.316295622244</v>
      </c>
      <c r="H24" s="85">
        <v>1268</v>
      </c>
      <c r="I24" s="104">
        <v>0</v>
      </c>
      <c r="J24" s="104">
        <v>640.95265062849001</v>
      </c>
      <c r="K24" s="38">
        <v>2.6408639083657433E-4</v>
      </c>
      <c r="L24" s="46">
        <v>1.3142127618378917E-2</v>
      </c>
      <c r="M24" s="46">
        <v>2.4770449197132004E-3</v>
      </c>
      <c r="N24" s="28"/>
      <c r="O24" s="28"/>
      <c r="P24" s="28"/>
      <c r="Q24" s="28"/>
      <c r="R24" s="28"/>
    </row>
    <row r="25" spans="1:18" x14ac:dyDescent="0.2">
      <c r="A25" s="30" t="s">
        <v>1066</v>
      </c>
      <c r="B25" s="38" t="s">
        <v>1067</v>
      </c>
      <c r="C25" s="38" t="s">
        <v>383</v>
      </c>
      <c r="D25" s="38" t="s">
        <v>1062</v>
      </c>
      <c r="E25" s="73" t="s">
        <v>1063</v>
      </c>
      <c r="F25" s="79" t="s">
        <v>247</v>
      </c>
      <c r="G25" s="88">
        <v>3014.1638193056347</v>
      </c>
      <c r="H25" s="85">
        <v>1828</v>
      </c>
      <c r="I25" s="104">
        <v>0</v>
      </c>
      <c r="J25" s="104">
        <v>55.098914587655436</v>
      </c>
      <c r="K25" s="38">
        <v>3.5213804277284769E-5</v>
      </c>
      <c r="L25" s="46">
        <v>1.1297511078783905E-3</v>
      </c>
      <c r="M25" s="46">
        <v>2.129369249463821E-4</v>
      </c>
      <c r="N25" s="28"/>
      <c r="O25" s="28"/>
      <c r="P25" s="28"/>
      <c r="Q25" s="28"/>
      <c r="R25" s="28"/>
    </row>
    <row r="26" spans="1:18" x14ac:dyDescent="0.2">
      <c r="A26" s="30" t="s">
        <v>1068</v>
      </c>
      <c r="B26" s="38" t="s">
        <v>1069</v>
      </c>
      <c r="C26" s="38" t="s">
        <v>383</v>
      </c>
      <c r="D26" s="38" t="s">
        <v>1062</v>
      </c>
      <c r="E26" s="73" t="s">
        <v>1063</v>
      </c>
      <c r="F26" s="79" t="s">
        <v>247</v>
      </c>
      <c r="G26" s="88">
        <v>3753.4266011955565</v>
      </c>
      <c r="H26" s="85">
        <v>1082</v>
      </c>
      <c r="I26" s="104">
        <v>0</v>
      </c>
      <c r="J26" s="104">
        <v>40.612075964925566</v>
      </c>
      <c r="K26" s="38">
        <v>8.0721531940663936E-5</v>
      </c>
      <c r="L26" s="46">
        <v>8.3271218966798812E-4</v>
      </c>
      <c r="M26" s="46">
        <v>1.5695065204782838E-4</v>
      </c>
      <c r="N26" s="28"/>
      <c r="O26" s="28"/>
      <c r="P26" s="28"/>
      <c r="Q26" s="28"/>
      <c r="R26" s="28"/>
    </row>
    <row r="27" spans="1:18" x14ac:dyDescent="0.2">
      <c r="A27" s="30" t="s">
        <v>1070</v>
      </c>
      <c r="B27" s="38" t="s">
        <v>1071</v>
      </c>
      <c r="C27" s="38" t="s">
        <v>383</v>
      </c>
      <c r="D27" s="38" t="s">
        <v>1062</v>
      </c>
      <c r="E27" s="73" t="s">
        <v>1063</v>
      </c>
      <c r="F27" s="79" t="s">
        <v>247</v>
      </c>
      <c r="G27" s="88">
        <v>344.29094143385123</v>
      </c>
      <c r="H27" s="85">
        <v>1617.0000000000002</v>
      </c>
      <c r="I27" s="104">
        <v>0</v>
      </c>
      <c r="J27" s="104">
        <v>5.5671845229853743</v>
      </c>
      <c r="K27" s="38">
        <v>1.7347472076478579E-4</v>
      </c>
      <c r="L27" s="46">
        <v>1.1414985085777507E-4</v>
      </c>
      <c r="M27" s="46">
        <v>2.151510899634294E-5</v>
      </c>
      <c r="N27" s="28"/>
      <c r="O27" s="28"/>
      <c r="P27" s="28"/>
      <c r="Q27" s="28"/>
      <c r="R27" s="28"/>
    </row>
    <row r="28" spans="1:18" x14ac:dyDescent="0.2">
      <c r="A28" s="30" t="s">
        <v>1072</v>
      </c>
      <c r="B28" s="38" t="s">
        <v>1073</v>
      </c>
      <c r="C28" s="38" t="s">
        <v>383</v>
      </c>
      <c r="D28" s="38" t="s">
        <v>1062</v>
      </c>
      <c r="E28" s="73" t="s">
        <v>1063</v>
      </c>
      <c r="F28" s="79" t="s">
        <v>247</v>
      </c>
      <c r="G28" s="88">
        <v>14299.534415504128</v>
      </c>
      <c r="H28" s="85">
        <v>948.1</v>
      </c>
      <c r="I28" s="104">
        <v>0</v>
      </c>
      <c r="J28" s="104">
        <v>135.57388578294766</v>
      </c>
      <c r="K28" s="38">
        <v>3.4327901223419324E-3</v>
      </c>
      <c r="L28" s="46">
        <v>2.7798142451426634E-3</v>
      </c>
      <c r="M28" s="46">
        <v>5.2394292260923684E-4</v>
      </c>
      <c r="N28" s="28"/>
      <c r="O28" s="28"/>
      <c r="P28" s="28"/>
      <c r="Q28" s="28"/>
      <c r="R28" s="28"/>
    </row>
    <row r="29" spans="1:18" x14ac:dyDescent="0.2">
      <c r="A29" s="30" t="s">
        <v>1074</v>
      </c>
      <c r="B29" s="38" t="s">
        <v>1075</v>
      </c>
      <c r="C29" s="38" t="s">
        <v>383</v>
      </c>
      <c r="D29" s="38" t="s">
        <v>1062</v>
      </c>
      <c r="E29" s="73" t="s">
        <v>1063</v>
      </c>
      <c r="F29" s="79" t="s">
        <v>247</v>
      </c>
      <c r="G29" s="88">
        <v>12972.205969570172</v>
      </c>
      <c r="H29" s="85">
        <v>409.6</v>
      </c>
      <c r="I29" s="104">
        <v>0</v>
      </c>
      <c r="J29" s="104">
        <v>53.134155794692099</v>
      </c>
      <c r="K29" s="38">
        <v>8.0164119831283357E-4</v>
      </c>
      <c r="L29" s="46">
        <v>1.0894655879244014E-3</v>
      </c>
      <c r="M29" s="46">
        <v>2.0534385893472039E-4</v>
      </c>
      <c r="N29" s="28"/>
      <c r="O29" s="28"/>
      <c r="P29" s="28"/>
      <c r="Q29" s="28"/>
      <c r="R29" s="28"/>
    </row>
    <row r="30" spans="1:18" s="138" customFormat="1" x14ac:dyDescent="0.2">
      <c r="A30" s="112" t="s">
        <v>1100</v>
      </c>
      <c r="B30" s="145" t="s">
        <v>240</v>
      </c>
      <c r="C30" s="145" t="s">
        <v>240</v>
      </c>
      <c r="D30" s="145" t="s">
        <v>240</v>
      </c>
      <c r="E30" s="145" t="s">
        <v>240</v>
      </c>
      <c r="F30" s="146" t="s">
        <v>240</v>
      </c>
      <c r="G30" s="156" t="s">
        <v>240</v>
      </c>
      <c r="H30" s="142" t="s">
        <v>240</v>
      </c>
      <c r="I30" s="147" t="s">
        <v>240</v>
      </c>
      <c r="J30" s="147">
        <v>0</v>
      </c>
      <c r="K30" s="145" t="s">
        <v>240</v>
      </c>
      <c r="L30" s="141">
        <v>0</v>
      </c>
      <c r="M30" s="141">
        <v>0</v>
      </c>
    </row>
    <row r="31" spans="1:18" s="138" customFormat="1" x14ac:dyDescent="0.2">
      <c r="A31" s="112" t="s">
        <v>1101</v>
      </c>
      <c r="B31" s="145" t="s">
        <v>240</v>
      </c>
      <c r="C31" s="145" t="s">
        <v>240</v>
      </c>
      <c r="D31" s="145" t="s">
        <v>240</v>
      </c>
      <c r="E31" s="145" t="s">
        <v>240</v>
      </c>
      <c r="F31" s="146" t="s">
        <v>240</v>
      </c>
      <c r="G31" s="156" t="s">
        <v>240</v>
      </c>
      <c r="H31" s="142" t="s">
        <v>240</v>
      </c>
      <c r="I31" s="147" t="s">
        <v>240</v>
      </c>
      <c r="J31" s="147">
        <v>0</v>
      </c>
      <c r="K31" s="145" t="s">
        <v>240</v>
      </c>
      <c r="L31" s="141">
        <v>0</v>
      </c>
      <c r="M31" s="141">
        <v>0</v>
      </c>
    </row>
    <row r="32" spans="1:18" s="138" customFormat="1" x14ac:dyDescent="0.2">
      <c r="A32" s="112" t="s">
        <v>1102</v>
      </c>
      <c r="B32" s="145" t="s">
        <v>240</v>
      </c>
      <c r="C32" s="145" t="s">
        <v>240</v>
      </c>
      <c r="D32" s="145" t="s">
        <v>240</v>
      </c>
      <c r="E32" s="145" t="s">
        <v>240</v>
      </c>
      <c r="F32" s="146" t="s">
        <v>240</v>
      </c>
      <c r="G32" s="156" t="s">
        <v>240</v>
      </c>
      <c r="H32" s="142" t="s">
        <v>240</v>
      </c>
      <c r="I32" s="147" t="s">
        <v>240</v>
      </c>
      <c r="J32" s="147">
        <v>0</v>
      </c>
      <c r="K32" s="145" t="s">
        <v>240</v>
      </c>
      <c r="L32" s="141">
        <v>0</v>
      </c>
      <c r="M32" s="141">
        <v>0</v>
      </c>
    </row>
    <row r="33" spans="1:18" s="138" customFormat="1" x14ac:dyDescent="0.2">
      <c r="A33" s="112" t="s">
        <v>1103</v>
      </c>
      <c r="B33" s="145" t="s">
        <v>240</v>
      </c>
      <c r="C33" s="145" t="s">
        <v>240</v>
      </c>
      <c r="D33" s="145" t="s">
        <v>240</v>
      </c>
      <c r="E33" s="145" t="s">
        <v>240</v>
      </c>
      <c r="F33" s="146" t="s">
        <v>240</v>
      </c>
      <c r="G33" s="156" t="s">
        <v>240</v>
      </c>
      <c r="H33" s="142" t="s">
        <v>240</v>
      </c>
      <c r="I33" s="147" t="s">
        <v>240</v>
      </c>
      <c r="J33" s="147">
        <v>0</v>
      </c>
      <c r="K33" s="145" t="s">
        <v>240</v>
      </c>
      <c r="L33" s="141">
        <v>0</v>
      </c>
      <c r="M33" s="141">
        <v>0</v>
      </c>
    </row>
    <row r="34" spans="1:18" s="138" customFormat="1" x14ac:dyDescent="0.2">
      <c r="A34" s="112" t="s">
        <v>144</v>
      </c>
      <c r="B34" s="145" t="s">
        <v>240</v>
      </c>
      <c r="C34" s="145" t="s">
        <v>240</v>
      </c>
      <c r="D34" s="145" t="s">
        <v>240</v>
      </c>
      <c r="E34" s="145" t="s">
        <v>240</v>
      </c>
      <c r="F34" s="146" t="s">
        <v>240</v>
      </c>
      <c r="G34" s="156" t="s">
        <v>240</v>
      </c>
      <c r="H34" s="142" t="s">
        <v>240</v>
      </c>
      <c r="I34" s="147" t="s">
        <v>240</v>
      </c>
      <c r="J34" s="147">
        <v>0</v>
      </c>
      <c r="K34" s="145" t="s">
        <v>240</v>
      </c>
      <c r="L34" s="141">
        <v>0</v>
      </c>
      <c r="M34" s="141">
        <v>0</v>
      </c>
    </row>
    <row r="35" spans="1:18" s="138" customFormat="1" x14ac:dyDescent="0.2">
      <c r="A35" s="112" t="s">
        <v>376</v>
      </c>
      <c r="B35" s="145" t="s">
        <v>240</v>
      </c>
      <c r="C35" s="145" t="s">
        <v>240</v>
      </c>
      <c r="D35" s="145" t="s">
        <v>240</v>
      </c>
      <c r="E35" s="145" t="s">
        <v>240</v>
      </c>
      <c r="F35" s="146" t="s">
        <v>240</v>
      </c>
      <c r="G35" s="156" t="s">
        <v>240</v>
      </c>
      <c r="H35" s="142" t="s">
        <v>240</v>
      </c>
      <c r="I35" s="147" t="s">
        <v>240</v>
      </c>
      <c r="J35" s="147">
        <v>45679.589125061291</v>
      </c>
      <c r="K35" s="145" t="s">
        <v>240</v>
      </c>
      <c r="L35" s="141">
        <v>0.93661675202998995</v>
      </c>
      <c r="M35" s="141">
        <v>0.17653471604473298</v>
      </c>
    </row>
    <row r="36" spans="1:18" s="138" customFormat="1" x14ac:dyDescent="0.2">
      <c r="A36" s="112" t="s">
        <v>1104</v>
      </c>
      <c r="B36" s="145" t="s">
        <v>240</v>
      </c>
      <c r="C36" s="145" t="s">
        <v>240</v>
      </c>
      <c r="D36" s="145" t="s">
        <v>240</v>
      </c>
      <c r="E36" s="145" t="s">
        <v>240</v>
      </c>
      <c r="F36" s="146" t="s">
        <v>240</v>
      </c>
      <c r="G36" s="156" t="s">
        <v>240</v>
      </c>
      <c r="H36" s="142" t="s">
        <v>240</v>
      </c>
      <c r="I36" s="147" t="s">
        <v>240</v>
      </c>
      <c r="J36" s="147">
        <v>25164.389493251401</v>
      </c>
      <c r="K36" s="145" t="s">
        <v>240</v>
      </c>
      <c r="L36" s="141">
        <v>0.51597199548924599</v>
      </c>
      <c r="M36" s="141">
        <v>9.7251057610607122E-2</v>
      </c>
    </row>
    <row r="37" spans="1:18" x14ac:dyDescent="0.2">
      <c r="A37" s="30" t="s">
        <v>1146</v>
      </c>
      <c r="B37" s="38" t="s">
        <v>1147</v>
      </c>
      <c r="C37" s="38" t="s">
        <v>859</v>
      </c>
      <c r="D37" s="38" t="s">
        <v>240</v>
      </c>
      <c r="E37" s="73" t="s">
        <v>1107</v>
      </c>
      <c r="F37" s="79" t="s">
        <v>128</v>
      </c>
      <c r="G37" s="88">
        <v>237958.68424031502</v>
      </c>
      <c r="H37" s="85">
        <v>349.56</v>
      </c>
      <c r="I37" s="104">
        <v>0</v>
      </c>
      <c r="J37" s="104">
        <v>3244.3022113082106</v>
      </c>
      <c r="K37" s="38">
        <v>2.3359183462437827E-4</v>
      </c>
      <c r="L37" s="46">
        <v>6.6521347016497132E-2</v>
      </c>
      <c r="M37" s="46">
        <v>1.2538028047243865E-2</v>
      </c>
      <c r="N37" s="28"/>
      <c r="O37" s="28"/>
      <c r="P37" s="28"/>
      <c r="Q37" s="28"/>
      <c r="R37" s="28"/>
    </row>
    <row r="38" spans="1:18" x14ac:dyDescent="0.2">
      <c r="A38" s="30" t="s">
        <v>1114</v>
      </c>
      <c r="B38" s="38" t="s">
        <v>1115</v>
      </c>
      <c r="C38" s="38" t="s">
        <v>829</v>
      </c>
      <c r="D38" s="38" t="s">
        <v>240</v>
      </c>
      <c r="E38" s="73" t="s">
        <v>1107</v>
      </c>
      <c r="F38" s="79" t="s">
        <v>127</v>
      </c>
      <c r="G38" s="88">
        <v>3.1868896175168002</v>
      </c>
      <c r="H38" s="85">
        <v>6790.0000000000009</v>
      </c>
      <c r="I38" s="104">
        <v>0</v>
      </c>
      <c r="J38" s="104">
        <v>0.77142965492977789</v>
      </c>
      <c r="K38" s="38">
        <v>4.0069248113138256E-7</v>
      </c>
      <c r="L38" s="46">
        <v>1.5817435131515649E-5</v>
      </c>
      <c r="M38" s="46">
        <v>2.9812902806255695E-6</v>
      </c>
      <c r="N38" s="28"/>
      <c r="O38" s="28"/>
      <c r="P38" s="28"/>
      <c r="Q38" s="28"/>
      <c r="R38" s="28"/>
    </row>
    <row r="39" spans="1:18" x14ac:dyDescent="0.2">
      <c r="A39" s="30" t="s">
        <v>1154</v>
      </c>
      <c r="B39" s="38" t="s">
        <v>1155</v>
      </c>
      <c r="C39" s="38" t="s">
        <v>829</v>
      </c>
      <c r="D39" s="38" t="s">
        <v>240</v>
      </c>
      <c r="E39" s="73" t="s">
        <v>1107</v>
      </c>
      <c r="F39" s="79" t="s">
        <v>127</v>
      </c>
      <c r="G39" s="88">
        <v>15679.408075840447</v>
      </c>
      <c r="H39" s="85">
        <v>1448.04</v>
      </c>
      <c r="I39" s="104">
        <v>0</v>
      </c>
      <c r="J39" s="104">
        <v>809.41221898351819</v>
      </c>
      <c r="K39" s="38">
        <v>2.1514936603105714E-3</v>
      </c>
      <c r="L39" s="46">
        <v>1.6596231667543763E-2</v>
      </c>
      <c r="M39" s="46">
        <v>3.1280788417380689E-3</v>
      </c>
      <c r="N39" s="28"/>
      <c r="O39" s="28"/>
      <c r="P39" s="28"/>
      <c r="Q39" s="28"/>
      <c r="R39" s="28"/>
    </row>
    <row r="40" spans="1:18" x14ac:dyDescent="0.2">
      <c r="A40" s="30" t="s">
        <v>1105</v>
      </c>
      <c r="B40" s="38" t="s">
        <v>1106</v>
      </c>
      <c r="C40" s="38" t="s">
        <v>883</v>
      </c>
      <c r="D40" s="38" t="s">
        <v>240</v>
      </c>
      <c r="E40" s="73" t="s">
        <v>1107</v>
      </c>
      <c r="F40" s="79" t="s">
        <v>127</v>
      </c>
      <c r="G40" s="88">
        <v>853.23772915482175</v>
      </c>
      <c r="H40" s="85">
        <v>48430.5</v>
      </c>
      <c r="I40" s="104">
        <v>0</v>
      </c>
      <c r="J40" s="104">
        <v>1473.1553188137891</v>
      </c>
      <c r="K40" s="38">
        <v>5.626069952159563E-5</v>
      </c>
      <c r="L40" s="46">
        <v>3.0205655882007111E-2</v>
      </c>
      <c r="M40" s="46">
        <v>5.6932004179061539E-3</v>
      </c>
      <c r="N40" s="28"/>
      <c r="O40" s="28"/>
      <c r="P40" s="28"/>
      <c r="Q40" s="28"/>
      <c r="R40" s="28"/>
    </row>
    <row r="41" spans="1:18" x14ac:dyDescent="0.2">
      <c r="A41" s="30" t="s">
        <v>1140</v>
      </c>
      <c r="B41" s="38" t="s">
        <v>1141</v>
      </c>
      <c r="C41" s="38" t="s">
        <v>883</v>
      </c>
      <c r="D41" s="38" t="s">
        <v>240</v>
      </c>
      <c r="E41" s="73" t="s">
        <v>1107</v>
      </c>
      <c r="F41" s="79" t="s">
        <v>127</v>
      </c>
      <c r="G41" s="88">
        <v>20975.646734279413</v>
      </c>
      <c r="H41" s="85">
        <v>3713.5</v>
      </c>
      <c r="I41" s="104">
        <v>0</v>
      </c>
      <c r="J41" s="104">
        <v>2776.8877368253679</v>
      </c>
      <c r="K41" s="38">
        <v>1.8574382182212669E-3</v>
      </c>
      <c r="L41" s="46">
        <v>5.6937455494545153E-2</v>
      </c>
      <c r="M41" s="46">
        <v>1.0731643990195584E-2</v>
      </c>
      <c r="N41" s="28"/>
      <c r="O41" s="28"/>
      <c r="P41" s="28"/>
      <c r="Q41" s="28"/>
      <c r="R41" s="28"/>
    </row>
    <row r="42" spans="1:18" x14ac:dyDescent="0.2">
      <c r="A42" s="30" t="s">
        <v>1122</v>
      </c>
      <c r="B42" s="38" t="s">
        <v>1123</v>
      </c>
      <c r="C42" s="38" t="s">
        <v>221</v>
      </c>
      <c r="D42" s="38" t="s">
        <v>240</v>
      </c>
      <c r="E42" s="73" t="s">
        <v>1107</v>
      </c>
      <c r="F42" s="79" t="s">
        <v>128</v>
      </c>
      <c r="G42" s="88">
        <v>1301.40148029958</v>
      </c>
      <c r="H42" s="85">
        <v>2723</v>
      </c>
      <c r="I42" s="104">
        <v>0</v>
      </c>
      <c r="J42" s="104">
        <v>138.21556414104504</v>
      </c>
      <c r="K42" s="38">
        <v>2.9463105365201389E-5</v>
      </c>
      <c r="L42" s="46">
        <v>2.8339793602643239E-3</v>
      </c>
      <c r="M42" s="46">
        <v>5.3415203236176711E-4</v>
      </c>
      <c r="N42" s="28"/>
      <c r="O42" s="28"/>
      <c r="P42" s="28"/>
      <c r="Q42" s="28"/>
      <c r="R42" s="28"/>
    </row>
    <row r="43" spans="1:18" x14ac:dyDescent="0.2">
      <c r="A43" s="30" t="s">
        <v>1132</v>
      </c>
      <c r="B43" s="38" t="s">
        <v>1133</v>
      </c>
      <c r="C43" s="38" t="s">
        <v>883</v>
      </c>
      <c r="D43" s="38" t="s">
        <v>240</v>
      </c>
      <c r="E43" s="73" t="s">
        <v>1107</v>
      </c>
      <c r="F43" s="79" t="s">
        <v>127</v>
      </c>
      <c r="G43" s="88">
        <v>7128.1958466789201</v>
      </c>
      <c r="H43" s="85">
        <v>3367.4999999999995</v>
      </c>
      <c r="I43" s="104">
        <v>0</v>
      </c>
      <c r="J43" s="104">
        <v>855.74971261356973</v>
      </c>
      <c r="K43" s="38">
        <v>6.1771131478415367E-4</v>
      </c>
      <c r="L43" s="46">
        <v>1.7546338128925622E-2</v>
      </c>
      <c r="M43" s="46">
        <v>3.3071561153494872E-3</v>
      </c>
      <c r="N43" s="28"/>
      <c r="O43" s="28"/>
      <c r="P43" s="28"/>
      <c r="Q43" s="28"/>
      <c r="R43" s="28"/>
    </row>
    <row r="44" spans="1:18" x14ac:dyDescent="0.2">
      <c r="A44" s="30" t="s">
        <v>1134</v>
      </c>
      <c r="B44" s="38" t="s">
        <v>1135</v>
      </c>
      <c r="C44" s="38" t="s">
        <v>883</v>
      </c>
      <c r="D44" s="38" t="s">
        <v>240</v>
      </c>
      <c r="E44" s="73" t="s">
        <v>1107</v>
      </c>
      <c r="F44" s="79" t="s">
        <v>2</v>
      </c>
      <c r="G44" s="88">
        <v>50732.502710410248</v>
      </c>
      <c r="H44" s="85">
        <v>558</v>
      </c>
      <c r="I44" s="104">
        <v>0</v>
      </c>
      <c r="J44" s="104">
        <v>1245.1880841975767</v>
      </c>
      <c r="K44" s="38">
        <v>4.0289345496760602E-5</v>
      </c>
      <c r="L44" s="46">
        <v>2.5531403443550899E-2</v>
      </c>
      <c r="M44" s="46">
        <v>4.8121913764216529E-3</v>
      </c>
      <c r="N44" s="28"/>
      <c r="O44" s="28"/>
      <c r="P44" s="28"/>
      <c r="Q44" s="28"/>
      <c r="R44" s="28"/>
    </row>
    <row r="45" spans="1:18" x14ac:dyDescent="0.2">
      <c r="A45" s="30" t="s">
        <v>1116</v>
      </c>
      <c r="B45" s="38" t="s">
        <v>1117</v>
      </c>
      <c r="C45" s="38" t="s">
        <v>829</v>
      </c>
      <c r="D45" s="38" t="s">
        <v>240</v>
      </c>
      <c r="E45" s="73" t="s">
        <v>1107</v>
      </c>
      <c r="F45" s="79" t="s">
        <v>127</v>
      </c>
      <c r="G45" s="88">
        <v>15.934448087584</v>
      </c>
      <c r="H45" s="85">
        <v>1305</v>
      </c>
      <c r="I45" s="104">
        <v>0</v>
      </c>
      <c r="J45" s="104">
        <v>0.74132231199069232</v>
      </c>
      <c r="K45" s="38">
        <v>3.7454043079127491E-8</v>
      </c>
      <c r="L45" s="46">
        <v>1.5200112552745155E-5</v>
      </c>
      <c r="M45" s="46">
        <v>2.8649365362418028E-6</v>
      </c>
      <c r="N45" s="28"/>
      <c r="O45" s="28"/>
      <c r="P45" s="28"/>
      <c r="Q45" s="28"/>
      <c r="R45" s="28"/>
    </row>
    <row r="46" spans="1:18" x14ac:dyDescent="0.2">
      <c r="A46" s="30" t="s">
        <v>1128</v>
      </c>
      <c r="B46" s="38" t="s">
        <v>1129</v>
      </c>
      <c r="C46" s="38" t="s">
        <v>829</v>
      </c>
      <c r="D46" s="38" t="s">
        <v>240</v>
      </c>
      <c r="E46" s="73" t="s">
        <v>1107</v>
      </c>
      <c r="F46" s="79" t="s">
        <v>127</v>
      </c>
      <c r="G46" s="88">
        <v>883.85539803905499</v>
      </c>
      <c r="H46" s="85">
        <v>2077</v>
      </c>
      <c r="I46" s="104">
        <v>0</v>
      </c>
      <c r="J46" s="104">
        <v>65.445117083520174</v>
      </c>
      <c r="K46" s="38">
        <v>9.6831874340641793E-5</v>
      </c>
      <c r="L46" s="46">
        <v>1.3418902002636354E-3</v>
      </c>
      <c r="M46" s="46">
        <v>2.5292117074921341E-4</v>
      </c>
      <c r="N46" s="28"/>
      <c r="O46" s="28"/>
      <c r="P46" s="28"/>
      <c r="Q46" s="28"/>
      <c r="R46" s="28"/>
    </row>
    <row r="47" spans="1:18" x14ac:dyDescent="0.2">
      <c r="A47" s="30" t="s">
        <v>1136</v>
      </c>
      <c r="B47" s="38" t="s">
        <v>1137</v>
      </c>
      <c r="C47" s="38" t="s">
        <v>829</v>
      </c>
      <c r="D47" s="38" t="s">
        <v>240</v>
      </c>
      <c r="E47" s="73" t="s">
        <v>1107</v>
      </c>
      <c r="F47" s="79" t="s">
        <v>127</v>
      </c>
      <c r="G47" s="88">
        <v>9428.0074970308469</v>
      </c>
      <c r="H47" s="85">
        <v>3754</v>
      </c>
      <c r="I47" s="104">
        <v>0</v>
      </c>
      <c r="J47" s="104">
        <v>1261.7511861046164</v>
      </c>
      <c r="K47" s="38">
        <v>8.8941723359714197E-5</v>
      </c>
      <c r="L47" s="46">
        <v>2.5871014175802478E-2</v>
      </c>
      <c r="M47" s="46">
        <v>4.8762016389477456E-3</v>
      </c>
      <c r="N47" s="28"/>
      <c r="O47" s="28"/>
      <c r="P47" s="28"/>
      <c r="Q47" s="28"/>
      <c r="R47" s="28"/>
    </row>
    <row r="48" spans="1:18" x14ac:dyDescent="0.2">
      <c r="A48" s="30" t="s">
        <v>1138</v>
      </c>
      <c r="B48" s="38" t="s">
        <v>1139</v>
      </c>
      <c r="C48" s="38" t="s">
        <v>829</v>
      </c>
      <c r="D48" s="38" t="s">
        <v>240</v>
      </c>
      <c r="E48" s="73" t="s">
        <v>1107</v>
      </c>
      <c r="F48" s="79" t="s">
        <v>127</v>
      </c>
      <c r="G48" s="88">
        <v>7911.4344850150783</v>
      </c>
      <c r="H48" s="85">
        <v>2356</v>
      </c>
      <c r="I48" s="104">
        <v>0</v>
      </c>
      <c r="J48" s="104">
        <v>664.49245840152594</v>
      </c>
      <c r="K48" s="38">
        <v>3.5115948504759623E-5</v>
      </c>
      <c r="L48" s="46">
        <v>1.3624789102908234E-2</v>
      </c>
      <c r="M48" s="46">
        <v>2.5680175698739394E-3</v>
      </c>
      <c r="N48" s="28"/>
      <c r="O48" s="28"/>
      <c r="P48" s="28"/>
      <c r="Q48" s="28"/>
      <c r="R48" s="28"/>
    </row>
    <row r="49" spans="1:18" x14ac:dyDescent="0.2">
      <c r="A49" s="30" t="s">
        <v>1142</v>
      </c>
      <c r="B49" s="38" t="s">
        <v>1143</v>
      </c>
      <c r="C49" s="38" t="s">
        <v>829</v>
      </c>
      <c r="D49" s="38" t="s">
        <v>240</v>
      </c>
      <c r="E49" s="73" t="s">
        <v>1107</v>
      </c>
      <c r="F49" s="79" t="s">
        <v>127</v>
      </c>
      <c r="G49" s="88">
        <v>11242.46887447981</v>
      </c>
      <c r="H49" s="85">
        <v>4047</v>
      </c>
      <c r="I49" s="104">
        <v>0</v>
      </c>
      <c r="J49" s="104">
        <v>1622.0133801450097</v>
      </c>
      <c r="K49" s="38">
        <v>1.023641724553806E-5</v>
      </c>
      <c r="L49" s="46">
        <v>3.3257849577003305E-2</v>
      </c>
      <c r="M49" s="46">
        <v>6.26848176547106E-3</v>
      </c>
      <c r="N49" s="28"/>
      <c r="O49" s="28"/>
      <c r="P49" s="28"/>
      <c r="Q49" s="28"/>
      <c r="R49" s="28"/>
    </row>
    <row r="50" spans="1:18" x14ac:dyDescent="0.2">
      <c r="A50" s="30" t="s">
        <v>1150</v>
      </c>
      <c r="B50" s="38" t="s">
        <v>1151</v>
      </c>
      <c r="C50" s="38" t="s">
        <v>829</v>
      </c>
      <c r="D50" s="38" t="s">
        <v>240</v>
      </c>
      <c r="E50" s="73" t="s">
        <v>1107</v>
      </c>
      <c r="F50" s="79" t="s">
        <v>127</v>
      </c>
      <c r="G50" s="88">
        <v>10.22966111013071</v>
      </c>
      <c r="H50" s="85">
        <v>1554</v>
      </c>
      <c r="I50" s="104">
        <v>0</v>
      </c>
      <c r="J50" s="104">
        <v>0.56672417636052352</v>
      </c>
      <c r="K50" s="38">
        <v>1.776827657645261E-7</v>
      </c>
      <c r="L50" s="46">
        <v>1.1620142990043863E-5</v>
      </c>
      <c r="M50" s="46">
        <v>2.1901793222260286E-6</v>
      </c>
      <c r="N50" s="28"/>
      <c r="O50" s="28"/>
      <c r="P50" s="28"/>
      <c r="Q50" s="28"/>
      <c r="R50" s="28"/>
    </row>
    <row r="51" spans="1:18" x14ac:dyDescent="0.2">
      <c r="A51" s="30" t="s">
        <v>1126</v>
      </c>
      <c r="B51" s="38" t="s">
        <v>1127</v>
      </c>
      <c r="C51" s="38" t="s">
        <v>221</v>
      </c>
      <c r="D51" s="38" t="s">
        <v>240</v>
      </c>
      <c r="E51" s="73" t="s">
        <v>1107</v>
      </c>
      <c r="F51" s="79" t="s">
        <v>128</v>
      </c>
      <c r="G51" s="88">
        <v>11445.90521788918</v>
      </c>
      <c r="H51" s="85">
        <v>1646.3999999999999</v>
      </c>
      <c r="I51" s="104">
        <v>0</v>
      </c>
      <c r="J51" s="104">
        <v>734.99352922955404</v>
      </c>
      <c r="K51" s="38">
        <v>4.8142572249111143E-4</v>
      </c>
      <c r="L51" s="46">
        <v>1.5070346850654181E-2</v>
      </c>
      <c r="M51" s="46">
        <v>2.8404781317542416E-3</v>
      </c>
      <c r="N51" s="28"/>
      <c r="O51" s="28"/>
      <c r="P51" s="28"/>
      <c r="Q51" s="28"/>
      <c r="R51" s="28"/>
    </row>
    <row r="52" spans="1:18" x14ac:dyDescent="0.2">
      <c r="A52" s="30" t="s">
        <v>1156</v>
      </c>
      <c r="B52" s="38" t="s">
        <v>1157</v>
      </c>
      <c r="C52" s="38" t="s">
        <v>859</v>
      </c>
      <c r="D52" s="38" t="s">
        <v>240</v>
      </c>
      <c r="E52" s="73" t="s">
        <v>1107</v>
      </c>
      <c r="F52" s="79" t="s">
        <v>128</v>
      </c>
      <c r="G52" s="88">
        <v>5299.5666659263834</v>
      </c>
      <c r="H52" s="85">
        <v>9447</v>
      </c>
      <c r="I52" s="104">
        <v>0</v>
      </c>
      <c r="J52" s="104">
        <v>1952.6854403702716</v>
      </c>
      <c r="K52" s="38">
        <v>1.7848292152361383E-3</v>
      </c>
      <c r="L52" s="46">
        <v>4.0037967283126273E-2</v>
      </c>
      <c r="M52" s="46">
        <v>7.5464069695698639E-3</v>
      </c>
      <c r="N52" s="28"/>
      <c r="O52" s="28"/>
      <c r="P52" s="28"/>
      <c r="Q52" s="28"/>
      <c r="R52" s="28"/>
    </row>
    <row r="53" spans="1:18" x14ac:dyDescent="0.2">
      <c r="A53" s="30" t="s">
        <v>1130</v>
      </c>
      <c r="B53" s="38" t="s">
        <v>1131</v>
      </c>
      <c r="C53" s="38" t="s">
        <v>904</v>
      </c>
      <c r="D53" s="38" t="s">
        <v>240</v>
      </c>
      <c r="E53" s="73" t="s">
        <v>1107</v>
      </c>
      <c r="F53" s="79" t="s">
        <v>289</v>
      </c>
      <c r="G53" s="88">
        <v>25400.343622382767</v>
      </c>
      <c r="H53" s="85">
        <v>147300</v>
      </c>
      <c r="I53" s="104">
        <v>0</v>
      </c>
      <c r="J53" s="104">
        <v>1226.753385363591</v>
      </c>
      <c r="K53" s="38">
        <v>3.9046213122311029E-6</v>
      </c>
      <c r="L53" s="46">
        <v>2.5153417387256318E-2</v>
      </c>
      <c r="M53" s="46">
        <v>4.7409480840374316E-3</v>
      </c>
      <c r="N53" s="28"/>
      <c r="O53" s="28"/>
      <c r="P53" s="28"/>
      <c r="Q53" s="28"/>
      <c r="R53" s="28"/>
    </row>
    <row r="54" spans="1:18" x14ac:dyDescent="0.2">
      <c r="A54" s="30" t="s">
        <v>1118</v>
      </c>
      <c r="B54" s="38" t="s">
        <v>1119</v>
      </c>
      <c r="C54" s="38" t="s">
        <v>829</v>
      </c>
      <c r="D54" s="38" t="s">
        <v>240</v>
      </c>
      <c r="E54" s="73" t="s">
        <v>1107</v>
      </c>
      <c r="F54" s="79" t="s">
        <v>127</v>
      </c>
      <c r="G54" s="88">
        <v>4.2075523233767678</v>
      </c>
      <c r="H54" s="85">
        <v>2951</v>
      </c>
      <c r="I54" s="104">
        <v>0</v>
      </c>
      <c r="J54" s="104">
        <v>0.44264773721091216</v>
      </c>
      <c r="K54" s="38">
        <v>8.002185322329375E-8</v>
      </c>
      <c r="L54" s="46">
        <v>9.0760730089940979E-6</v>
      </c>
      <c r="M54" s="46">
        <v>1.7106697781898474E-6</v>
      </c>
      <c r="N54" s="28"/>
      <c r="O54" s="28"/>
      <c r="P54" s="28"/>
      <c r="Q54" s="28"/>
      <c r="R54" s="28"/>
    </row>
    <row r="55" spans="1:18" x14ac:dyDescent="0.2">
      <c r="A55" s="30" t="s">
        <v>1112</v>
      </c>
      <c r="B55" s="38" t="s">
        <v>1113</v>
      </c>
      <c r="C55" s="38" t="s">
        <v>829</v>
      </c>
      <c r="D55" s="38" t="s">
        <v>240</v>
      </c>
      <c r="E55" s="73" t="s">
        <v>1107</v>
      </c>
      <c r="F55" s="79" t="s">
        <v>127</v>
      </c>
      <c r="G55" s="88">
        <v>15.934448087584</v>
      </c>
      <c r="H55" s="85">
        <v>2810</v>
      </c>
      <c r="I55" s="104">
        <v>0</v>
      </c>
      <c r="J55" s="104">
        <v>1.5962572388458587</v>
      </c>
      <c r="K55" s="38">
        <v>1.2510669641012135E-7</v>
      </c>
      <c r="L55" s="46">
        <v>3.2729744270661985E-5</v>
      </c>
      <c r="M55" s="46">
        <v>6.1689438060072542E-6</v>
      </c>
      <c r="N55" s="28"/>
      <c r="O55" s="28"/>
      <c r="P55" s="28"/>
      <c r="Q55" s="28"/>
      <c r="R55" s="28"/>
    </row>
    <row r="56" spans="1:18" x14ac:dyDescent="0.2">
      <c r="A56" s="30" t="s">
        <v>1108</v>
      </c>
      <c r="B56" s="38" t="s">
        <v>1109</v>
      </c>
      <c r="C56" s="38" t="s">
        <v>829</v>
      </c>
      <c r="D56" s="38" t="s">
        <v>240</v>
      </c>
      <c r="E56" s="73" t="s">
        <v>1107</v>
      </c>
      <c r="F56" s="79" t="s">
        <v>127</v>
      </c>
      <c r="G56" s="88">
        <v>13.755764281322165</v>
      </c>
      <c r="H56" s="85">
        <v>23682</v>
      </c>
      <c r="I56" s="104">
        <v>0</v>
      </c>
      <c r="J56" s="104">
        <v>11.613486876441499</v>
      </c>
      <c r="K56" s="38">
        <v>2.668948122458701E-8</v>
      </c>
      <c r="L56" s="46">
        <v>2.3812355947807479E-4</v>
      </c>
      <c r="M56" s="46">
        <v>4.4881831191801076E-5</v>
      </c>
      <c r="N56" s="28"/>
      <c r="O56" s="28"/>
      <c r="P56" s="28"/>
      <c r="Q56" s="28"/>
      <c r="R56" s="28"/>
    </row>
    <row r="57" spans="1:18" x14ac:dyDescent="0.2">
      <c r="A57" s="30" t="s">
        <v>1120</v>
      </c>
      <c r="B57" s="38" t="s">
        <v>1121</v>
      </c>
      <c r="C57" s="38" t="s">
        <v>829</v>
      </c>
      <c r="D57" s="38" t="s">
        <v>240</v>
      </c>
      <c r="E57" s="73" t="s">
        <v>1107</v>
      </c>
      <c r="F57" s="79" t="s">
        <v>127</v>
      </c>
      <c r="G57" s="88">
        <v>7.5276359834424289</v>
      </c>
      <c r="H57" s="85">
        <v>4328</v>
      </c>
      <c r="I57" s="104">
        <v>0</v>
      </c>
      <c r="J57" s="104">
        <v>1.1614630443204794</v>
      </c>
      <c r="K57" s="38">
        <v>3.1874874867461475E-8</v>
      </c>
      <c r="L57" s="46">
        <v>2.3814700723248946E-5</v>
      </c>
      <c r="M57" s="46">
        <v>4.4886250654359809E-6</v>
      </c>
      <c r="N57" s="28"/>
      <c r="O57" s="28"/>
      <c r="P57" s="28"/>
      <c r="Q57" s="28"/>
      <c r="R57" s="28"/>
    </row>
    <row r="58" spans="1:18" x14ac:dyDescent="0.2">
      <c r="A58" s="30" t="s">
        <v>1124</v>
      </c>
      <c r="B58" s="38" t="s">
        <v>1125</v>
      </c>
      <c r="C58" s="38" t="s">
        <v>221</v>
      </c>
      <c r="D58" s="38" t="s">
        <v>240</v>
      </c>
      <c r="E58" s="73" t="s">
        <v>1107</v>
      </c>
      <c r="F58" s="79" t="s">
        <v>128</v>
      </c>
      <c r="G58" s="88">
        <v>36035.173796451752</v>
      </c>
      <c r="H58" s="85">
        <v>2493.5</v>
      </c>
      <c r="I58" s="104">
        <v>15.0689931</v>
      </c>
      <c r="J58" s="104">
        <v>3519.6330828033024</v>
      </c>
      <c r="K58" s="38">
        <v>7.6157211643054811E-4</v>
      </c>
      <c r="L58" s="46">
        <v>7.216674601269428E-2</v>
      </c>
      <c r="M58" s="46">
        <v>1.36020800264476E-2</v>
      </c>
      <c r="N58" s="28"/>
      <c r="O58" s="28"/>
      <c r="P58" s="28"/>
      <c r="Q58" s="28"/>
      <c r="R58" s="28"/>
    </row>
    <row r="59" spans="1:18" x14ac:dyDescent="0.2">
      <c r="A59" s="30" t="s">
        <v>1144</v>
      </c>
      <c r="B59" s="38" t="s">
        <v>1145</v>
      </c>
      <c r="C59" s="38" t="s">
        <v>829</v>
      </c>
      <c r="D59" s="38" t="s">
        <v>240</v>
      </c>
      <c r="E59" s="73" t="s">
        <v>1107</v>
      </c>
      <c r="F59" s="79" t="s">
        <v>127</v>
      </c>
      <c r="G59" s="88">
        <v>5938.1003691787255</v>
      </c>
      <c r="H59" s="85">
        <v>1620</v>
      </c>
      <c r="I59" s="104">
        <v>0</v>
      </c>
      <c r="J59" s="104">
        <v>342.94311058948364</v>
      </c>
      <c r="K59" s="38">
        <v>1.7805151218376565E-4</v>
      </c>
      <c r="L59" s="46">
        <v>7.0317239827176938E-3</v>
      </c>
      <c r="M59" s="46">
        <v>1.3253482749519087E-3</v>
      </c>
      <c r="N59" s="28"/>
      <c r="O59" s="28"/>
      <c r="P59" s="28"/>
      <c r="Q59" s="28"/>
      <c r="R59" s="28"/>
    </row>
    <row r="60" spans="1:18" x14ac:dyDescent="0.2">
      <c r="A60" s="30" t="s">
        <v>1152</v>
      </c>
      <c r="B60" s="38" t="s">
        <v>1153</v>
      </c>
      <c r="C60" s="38" t="s">
        <v>829</v>
      </c>
      <c r="D60" s="38" t="s">
        <v>240</v>
      </c>
      <c r="E60" s="73" t="s">
        <v>1107</v>
      </c>
      <c r="F60" s="79" t="s">
        <v>127</v>
      </c>
      <c r="G60" s="88">
        <v>9706.8469815122571</v>
      </c>
      <c r="H60" s="85">
        <v>2442</v>
      </c>
      <c r="I60" s="104">
        <v>0</v>
      </c>
      <c r="J60" s="104">
        <v>845.05188967606398</v>
      </c>
      <c r="K60" s="38">
        <v>2.9805953281117765E-4</v>
      </c>
      <c r="L60" s="46">
        <v>1.7326989392095118E-2</v>
      </c>
      <c r="M60" s="46">
        <v>3.265812986596753E-3</v>
      </c>
      <c r="N60" s="28"/>
      <c r="O60" s="28"/>
      <c r="P60" s="28"/>
      <c r="Q60" s="28"/>
      <c r="R60" s="28"/>
    </row>
    <row r="61" spans="1:18" x14ac:dyDescent="0.2">
      <c r="A61" s="30" t="s">
        <v>1110</v>
      </c>
      <c r="B61" s="38" t="s">
        <v>1111</v>
      </c>
      <c r="C61" s="38" t="s">
        <v>883</v>
      </c>
      <c r="D61" s="38" t="s">
        <v>240</v>
      </c>
      <c r="E61" s="73" t="s">
        <v>1107</v>
      </c>
      <c r="F61" s="79" t="s">
        <v>127</v>
      </c>
      <c r="G61" s="88">
        <v>11640.577808248352</v>
      </c>
      <c r="H61" s="85">
        <v>4904</v>
      </c>
      <c r="I61" s="104">
        <v>0</v>
      </c>
      <c r="J61" s="104">
        <v>2035.0942807817767</v>
      </c>
      <c r="K61" s="38">
        <v>1.1264025382132545E-4</v>
      </c>
      <c r="L61" s="46">
        <v>4.1727682578801627E-2</v>
      </c>
      <c r="M61" s="46">
        <v>7.8648866564556465E-3</v>
      </c>
      <c r="N61" s="28"/>
      <c r="O61" s="28"/>
      <c r="P61" s="28"/>
      <c r="Q61" s="28"/>
      <c r="R61" s="28"/>
    </row>
    <row r="62" spans="1:18" x14ac:dyDescent="0.2">
      <c r="A62" s="30" t="s">
        <v>1148</v>
      </c>
      <c r="B62" s="38" t="s">
        <v>1149</v>
      </c>
      <c r="C62" s="38" t="s">
        <v>829</v>
      </c>
      <c r="D62" s="38" t="s">
        <v>240</v>
      </c>
      <c r="E62" s="73" t="s">
        <v>1107</v>
      </c>
      <c r="F62" s="79" t="s">
        <v>127</v>
      </c>
      <c r="G62" s="88">
        <v>3615.7771253226301</v>
      </c>
      <c r="H62" s="85">
        <v>2589</v>
      </c>
      <c r="I62" s="104">
        <v>0</v>
      </c>
      <c r="J62" s="104">
        <v>333.72845467950299</v>
      </c>
      <c r="K62" s="38">
        <v>5.5392190315439366E-5</v>
      </c>
      <c r="L62" s="46">
        <v>6.8427861823830366E-3</v>
      </c>
      <c r="M62" s="46">
        <v>1.2897370381681284E-3</v>
      </c>
      <c r="N62" s="28"/>
      <c r="O62" s="28"/>
      <c r="P62" s="28"/>
      <c r="Q62" s="28"/>
      <c r="R62" s="28"/>
    </row>
    <row r="63" spans="1:18" s="138" customFormat="1" x14ac:dyDescent="0.2">
      <c r="A63" s="112" t="s">
        <v>1158</v>
      </c>
      <c r="B63" s="145" t="s">
        <v>240</v>
      </c>
      <c r="C63" s="145" t="s">
        <v>240</v>
      </c>
      <c r="D63" s="145" t="s">
        <v>240</v>
      </c>
      <c r="E63" s="145" t="s">
        <v>240</v>
      </c>
      <c r="F63" s="146" t="s">
        <v>240</v>
      </c>
      <c r="G63" s="156" t="s">
        <v>240</v>
      </c>
      <c r="H63" s="142" t="s">
        <v>240</v>
      </c>
      <c r="I63" s="147" t="s">
        <v>240</v>
      </c>
      <c r="J63" s="147">
        <v>8.4101739153426802</v>
      </c>
      <c r="K63" s="145" t="s">
        <v>240</v>
      </c>
      <c r="L63" s="141">
        <v>1.7244265825223831E-4</v>
      </c>
      <c r="M63" s="141">
        <v>3.2502211435551042E-5</v>
      </c>
    </row>
    <row r="64" spans="1:18" x14ac:dyDescent="0.2">
      <c r="A64" s="30" t="s">
        <v>1159</v>
      </c>
      <c r="B64" s="38" t="s">
        <v>1160</v>
      </c>
      <c r="C64" s="38" t="s">
        <v>829</v>
      </c>
      <c r="D64" s="38" t="s">
        <v>240</v>
      </c>
      <c r="E64" s="73" t="s">
        <v>190</v>
      </c>
      <c r="F64" s="79" t="s">
        <v>127</v>
      </c>
      <c r="G64" s="88">
        <v>15.934448087584</v>
      </c>
      <c r="H64" s="85">
        <v>14805.000000000002</v>
      </c>
      <c r="I64" s="104">
        <v>0</v>
      </c>
      <c r="J64" s="104">
        <v>8.4101738153426808</v>
      </c>
      <c r="K64" s="38">
        <v>4.7176416579765007E-8</v>
      </c>
      <c r="L64" s="46">
        <v>1.7244265620183294E-4</v>
      </c>
      <c r="M64" s="46">
        <v>3.2502211049088038E-5</v>
      </c>
      <c r="N64" s="28"/>
      <c r="O64" s="28"/>
      <c r="P64" s="28"/>
      <c r="Q64" s="28"/>
      <c r="R64" s="28"/>
    </row>
    <row r="65" spans="1:18" s="138" customFormat="1" x14ac:dyDescent="0.2">
      <c r="A65" s="112" t="s">
        <v>144</v>
      </c>
      <c r="B65" s="145" t="s">
        <v>240</v>
      </c>
      <c r="C65" s="145" t="s">
        <v>240</v>
      </c>
      <c r="D65" s="145" t="s">
        <v>240</v>
      </c>
      <c r="E65" s="145" t="s">
        <v>240</v>
      </c>
      <c r="F65" s="146" t="s">
        <v>240</v>
      </c>
      <c r="G65" s="156" t="s">
        <v>240</v>
      </c>
      <c r="H65" s="142" t="s">
        <v>240</v>
      </c>
      <c r="I65" s="147" t="s">
        <v>240</v>
      </c>
      <c r="J65" s="147">
        <v>20506.78945779457</v>
      </c>
      <c r="K65" s="145" t="s">
        <v>240</v>
      </c>
      <c r="L65" s="141">
        <v>0.42047231388044187</v>
      </c>
      <c r="M65" s="141">
        <v>7.9251156222303928E-2</v>
      </c>
    </row>
    <row r="66" spans="1:18" x14ac:dyDescent="0.2">
      <c r="A66" s="30" t="s">
        <v>1181</v>
      </c>
      <c r="B66" s="38" t="s">
        <v>1182</v>
      </c>
      <c r="C66" s="38" t="s">
        <v>807</v>
      </c>
      <c r="D66" s="38" t="s">
        <v>240</v>
      </c>
      <c r="E66" s="73" t="s">
        <v>1107</v>
      </c>
      <c r="F66" s="79" t="s">
        <v>127</v>
      </c>
      <c r="G66" s="88">
        <v>4016.0888830947474</v>
      </c>
      <c r="H66" s="85">
        <v>4151</v>
      </c>
      <c r="I66" s="104">
        <v>0</v>
      </c>
      <c r="J66" s="104">
        <v>594.31348354844147</v>
      </c>
      <c r="K66" s="38">
        <v>9.2320104673756967E-4</v>
      </c>
      <c r="L66" s="46">
        <v>1.2185835628354576E-2</v>
      </c>
      <c r="M66" s="46">
        <v>2.2968017898002367E-3</v>
      </c>
      <c r="N66" s="28"/>
      <c r="O66" s="28"/>
      <c r="P66" s="28"/>
      <c r="Q66" s="28"/>
      <c r="R66" s="28"/>
    </row>
    <row r="67" spans="1:18" x14ac:dyDescent="0.2">
      <c r="A67" s="30" t="s">
        <v>1195</v>
      </c>
      <c r="B67" s="38" t="s">
        <v>1196</v>
      </c>
      <c r="C67" s="38" t="s">
        <v>829</v>
      </c>
      <c r="D67" s="38" t="s">
        <v>240</v>
      </c>
      <c r="E67" s="73" t="s">
        <v>1107</v>
      </c>
      <c r="F67" s="79" t="s">
        <v>127</v>
      </c>
      <c r="G67" s="88">
        <v>6415.5664338674524</v>
      </c>
      <c r="H67" s="85">
        <v>1617.0000000000002</v>
      </c>
      <c r="I67" s="104">
        <v>0</v>
      </c>
      <c r="J67" s="104">
        <v>369.83206340325432</v>
      </c>
      <c r="K67" s="38">
        <v>7.7577250069044937E-4</v>
      </c>
      <c r="L67" s="46">
        <v>7.5830565172764269E-3</v>
      </c>
      <c r="M67" s="46">
        <v>1.4292641319164578E-3</v>
      </c>
      <c r="N67" s="28"/>
      <c r="O67" s="28"/>
      <c r="P67" s="28"/>
      <c r="Q67" s="28"/>
      <c r="R67" s="28"/>
    </row>
    <row r="68" spans="1:18" x14ac:dyDescent="0.2">
      <c r="A68" s="30" t="s">
        <v>1185</v>
      </c>
      <c r="B68" s="38" t="s">
        <v>1186</v>
      </c>
      <c r="C68" s="38" t="s">
        <v>829</v>
      </c>
      <c r="D68" s="38" t="s">
        <v>240</v>
      </c>
      <c r="E68" s="73" t="s">
        <v>1107</v>
      </c>
      <c r="F68" s="79" t="s">
        <v>127</v>
      </c>
      <c r="G68" s="88">
        <v>6967.7938096127882</v>
      </c>
      <c r="H68" s="85">
        <v>2523</v>
      </c>
      <c r="I68" s="104">
        <v>0</v>
      </c>
      <c r="J68" s="104">
        <v>626.71786575531451</v>
      </c>
      <c r="K68" s="38">
        <v>4.1478172772969267E-4</v>
      </c>
      <c r="L68" s="46">
        <v>1.2850256823804616E-2</v>
      </c>
      <c r="M68" s="46">
        <v>2.4220327413272697E-3</v>
      </c>
      <c r="N68" s="28"/>
      <c r="O68" s="28"/>
      <c r="P68" s="28"/>
      <c r="Q68" s="28"/>
      <c r="R68" s="28"/>
    </row>
    <row r="69" spans="1:18" x14ac:dyDescent="0.2">
      <c r="A69" s="30" t="s">
        <v>1191</v>
      </c>
      <c r="B69" s="38" t="s">
        <v>1192</v>
      </c>
      <c r="C69" s="38" t="s">
        <v>874</v>
      </c>
      <c r="D69" s="38" t="s">
        <v>240</v>
      </c>
      <c r="E69" s="73" t="s">
        <v>1107</v>
      </c>
      <c r="F69" s="79" t="s">
        <v>128</v>
      </c>
      <c r="G69" s="88">
        <v>8728.2384560100381</v>
      </c>
      <c r="H69" s="85">
        <v>2946</v>
      </c>
      <c r="I69" s="104">
        <v>0</v>
      </c>
      <c r="J69" s="104">
        <v>1002.8993692722354</v>
      </c>
      <c r="K69" s="38">
        <v>1.3387308196940878E-3</v>
      </c>
      <c r="L69" s="46">
        <v>2.0563502602639189E-2</v>
      </c>
      <c r="M69" s="46">
        <v>3.8758351107580878E-3</v>
      </c>
      <c r="N69" s="28"/>
      <c r="O69" s="28"/>
      <c r="P69" s="28"/>
      <c r="Q69" s="28"/>
      <c r="R69" s="28"/>
    </row>
    <row r="70" spans="1:18" x14ac:dyDescent="0.2">
      <c r="A70" s="30" t="s">
        <v>1163</v>
      </c>
      <c r="B70" s="38" t="s">
        <v>1164</v>
      </c>
      <c r="C70" s="38" t="s">
        <v>829</v>
      </c>
      <c r="D70" s="38" t="s">
        <v>240</v>
      </c>
      <c r="E70" s="73" t="s">
        <v>1107</v>
      </c>
      <c r="F70" s="79" t="s">
        <v>127</v>
      </c>
      <c r="G70" s="88">
        <v>997.18990064029401</v>
      </c>
      <c r="H70" s="85">
        <v>22535</v>
      </c>
      <c r="I70" s="104">
        <v>0</v>
      </c>
      <c r="J70" s="104">
        <v>801.11519267632434</v>
      </c>
      <c r="K70" s="38">
        <v>5.3942864701318333E-5</v>
      </c>
      <c r="L70" s="46">
        <v>1.6426108993933992E-2</v>
      </c>
      <c r="M70" s="46">
        <v>3.0960139039570818E-3</v>
      </c>
      <c r="N70" s="28"/>
      <c r="O70" s="28"/>
      <c r="P70" s="28"/>
      <c r="Q70" s="28"/>
      <c r="R70" s="28"/>
    </row>
    <row r="71" spans="1:18" x14ac:dyDescent="0.2">
      <c r="A71" s="30" t="s">
        <v>1165</v>
      </c>
      <c r="B71" s="38" t="s">
        <v>1166</v>
      </c>
      <c r="C71" s="38" t="s">
        <v>807</v>
      </c>
      <c r="D71" s="38" t="s">
        <v>240</v>
      </c>
      <c r="E71" s="73" t="s">
        <v>1107</v>
      </c>
      <c r="F71" s="79" t="s">
        <v>127</v>
      </c>
      <c r="G71" s="88">
        <v>1291.9325066151446</v>
      </c>
      <c r="H71" s="85">
        <v>20521</v>
      </c>
      <c r="I71" s="104">
        <v>0</v>
      </c>
      <c r="J71" s="104">
        <v>945.14377941333623</v>
      </c>
      <c r="K71" s="38">
        <v>1.204203062186584E-4</v>
      </c>
      <c r="L71" s="46">
        <v>1.9379278882125466E-2</v>
      </c>
      <c r="M71" s="46">
        <v>3.6526311185369094E-3</v>
      </c>
      <c r="N71" s="28"/>
      <c r="O71" s="28"/>
      <c r="P71" s="28"/>
      <c r="Q71" s="28"/>
      <c r="R71" s="28"/>
    </row>
    <row r="72" spans="1:18" x14ac:dyDescent="0.2">
      <c r="A72" s="30" t="s">
        <v>1167</v>
      </c>
      <c r="B72" s="38" t="s">
        <v>1168</v>
      </c>
      <c r="C72" s="38" t="s">
        <v>221</v>
      </c>
      <c r="D72" s="38" t="s">
        <v>240</v>
      </c>
      <c r="E72" s="73" t="s">
        <v>1107</v>
      </c>
      <c r="F72" s="79" t="s">
        <v>127</v>
      </c>
      <c r="G72" s="88">
        <v>5500.8318806415809</v>
      </c>
      <c r="H72" s="85">
        <v>2893</v>
      </c>
      <c r="I72" s="104">
        <v>0</v>
      </c>
      <c r="J72" s="104">
        <v>567.33077133439565</v>
      </c>
      <c r="K72" s="38">
        <v>2.1023113904738655E-4</v>
      </c>
      <c r="L72" s="46">
        <v>1.1632580646010301E-2</v>
      </c>
      <c r="M72" s="46">
        <v>2.1925235874332635E-3</v>
      </c>
      <c r="N72" s="28"/>
      <c r="O72" s="28"/>
      <c r="P72" s="28"/>
      <c r="Q72" s="28"/>
      <c r="R72" s="28"/>
    </row>
    <row r="73" spans="1:18" x14ac:dyDescent="0.2">
      <c r="A73" s="30" t="s">
        <v>1177</v>
      </c>
      <c r="B73" s="38" t="s">
        <v>1178</v>
      </c>
      <c r="C73" s="38" t="s">
        <v>829</v>
      </c>
      <c r="D73" s="38" t="s">
        <v>240</v>
      </c>
      <c r="E73" s="73" t="s">
        <v>1107</v>
      </c>
      <c r="F73" s="79" t="s">
        <v>127</v>
      </c>
      <c r="G73" s="88">
        <v>2055.6626820131605</v>
      </c>
      <c r="H73" s="85">
        <v>16671</v>
      </c>
      <c r="I73" s="104">
        <v>0</v>
      </c>
      <c r="J73" s="104">
        <v>1221.7238091687134</v>
      </c>
      <c r="K73" s="38">
        <v>4.2856349962278983E-4</v>
      </c>
      <c r="L73" s="46">
        <v>2.5050290686470189E-2</v>
      </c>
      <c r="M73" s="46">
        <v>4.7215106323791603E-3</v>
      </c>
      <c r="N73" s="28"/>
      <c r="O73" s="28"/>
      <c r="P73" s="28"/>
      <c r="Q73" s="28"/>
      <c r="R73" s="28"/>
    </row>
    <row r="74" spans="1:18" x14ac:dyDescent="0.2">
      <c r="A74" s="30" t="s">
        <v>1183</v>
      </c>
      <c r="B74" s="38" t="s">
        <v>1184</v>
      </c>
      <c r="C74" s="38" t="s">
        <v>807</v>
      </c>
      <c r="D74" s="38" t="s">
        <v>240</v>
      </c>
      <c r="E74" s="73" t="s">
        <v>1107</v>
      </c>
      <c r="F74" s="79" t="s">
        <v>127</v>
      </c>
      <c r="G74" s="88">
        <v>4057.9425391626874</v>
      </c>
      <c r="H74" s="85">
        <v>2565</v>
      </c>
      <c r="I74" s="104">
        <v>0</v>
      </c>
      <c r="J74" s="104">
        <v>371.06739609033957</v>
      </c>
      <c r="K74" s="38">
        <v>2.2207970569713587E-4</v>
      </c>
      <c r="L74" s="46">
        <v>7.6083858451275717E-3</v>
      </c>
      <c r="M74" s="46">
        <v>1.4340382358283452E-3</v>
      </c>
      <c r="N74" s="28"/>
      <c r="O74" s="28"/>
      <c r="P74" s="28"/>
      <c r="Q74" s="28"/>
      <c r="R74" s="28"/>
    </row>
    <row r="75" spans="1:18" x14ac:dyDescent="0.2">
      <c r="A75" s="30" t="s">
        <v>1197</v>
      </c>
      <c r="B75" s="38" t="s">
        <v>1198</v>
      </c>
      <c r="C75" s="38" t="s">
        <v>829</v>
      </c>
      <c r="D75" s="38" t="s">
        <v>240</v>
      </c>
      <c r="E75" s="73" t="s">
        <v>1107</v>
      </c>
      <c r="F75" s="79" t="s">
        <v>127</v>
      </c>
      <c r="G75" s="88">
        <v>8583.3829682065534</v>
      </c>
      <c r="H75" s="85">
        <v>4527</v>
      </c>
      <c r="I75" s="104">
        <v>0</v>
      </c>
      <c r="J75" s="104">
        <v>1385.2511478764957</v>
      </c>
      <c r="K75" s="38">
        <v>1.6794751114687054E-4</v>
      </c>
      <c r="L75" s="46">
        <v>2.8403264033696758E-2</v>
      </c>
      <c r="M75" s="46">
        <v>5.3534833111459051E-3</v>
      </c>
      <c r="N75" s="28"/>
      <c r="O75" s="28"/>
      <c r="P75" s="28"/>
      <c r="Q75" s="28"/>
      <c r="R75" s="28"/>
    </row>
    <row r="76" spans="1:18" x14ac:dyDescent="0.2">
      <c r="A76" s="30" t="s">
        <v>1187</v>
      </c>
      <c r="B76" s="38" t="s">
        <v>1188</v>
      </c>
      <c r="C76" s="38" t="s">
        <v>859</v>
      </c>
      <c r="D76" s="38" t="s">
        <v>240</v>
      </c>
      <c r="E76" s="73" t="s">
        <v>1107</v>
      </c>
      <c r="F76" s="79" t="s">
        <v>128</v>
      </c>
      <c r="G76" s="88">
        <v>14890.6703013227</v>
      </c>
      <c r="H76" s="85">
        <v>3088.2000000000003</v>
      </c>
      <c r="I76" s="104">
        <v>0</v>
      </c>
      <c r="J76" s="104">
        <v>1793.5673090528867</v>
      </c>
      <c r="K76" s="38">
        <v>1.2963597785198675E-3</v>
      </c>
      <c r="L76" s="46">
        <v>3.6775400561355857E-2</v>
      </c>
      <c r="M76" s="46">
        <v>6.931474246493507E-3</v>
      </c>
      <c r="N76" s="28"/>
      <c r="O76" s="28"/>
      <c r="P76" s="28"/>
      <c r="Q76" s="28"/>
      <c r="R76" s="28"/>
    </row>
    <row r="77" spans="1:18" x14ac:dyDescent="0.2">
      <c r="A77" s="30" t="s">
        <v>1189</v>
      </c>
      <c r="B77" s="38" t="s">
        <v>1190</v>
      </c>
      <c r="C77" s="38" t="s">
        <v>859</v>
      </c>
      <c r="D77" s="38" t="s">
        <v>240</v>
      </c>
      <c r="E77" s="73" t="s">
        <v>1107</v>
      </c>
      <c r="F77" s="79" t="s">
        <v>128</v>
      </c>
      <c r="G77" s="88">
        <v>6713.6766664664738</v>
      </c>
      <c r="H77" s="85">
        <v>4268.2</v>
      </c>
      <c r="I77" s="104">
        <v>0</v>
      </c>
      <c r="J77" s="104">
        <v>1117.6432410481104</v>
      </c>
      <c r="K77" s="38">
        <v>1.3322679703042086E-3</v>
      </c>
      <c r="L77" s="46">
        <v>2.2916217120360273E-2</v>
      </c>
      <c r="M77" s="46">
        <v>4.3192777338160546E-3</v>
      </c>
      <c r="N77" s="28"/>
      <c r="O77" s="28"/>
      <c r="P77" s="28"/>
      <c r="Q77" s="28"/>
      <c r="R77" s="28"/>
    </row>
    <row r="78" spans="1:18" x14ac:dyDescent="0.2">
      <c r="A78" s="30" t="s">
        <v>1193</v>
      </c>
      <c r="B78" s="38" t="s">
        <v>1194</v>
      </c>
      <c r="C78" s="38" t="s">
        <v>859</v>
      </c>
      <c r="D78" s="38" t="s">
        <v>240</v>
      </c>
      <c r="E78" s="73" t="s">
        <v>1107</v>
      </c>
      <c r="F78" s="79" t="s">
        <v>128</v>
      </c>
      <c r="G78" s="88">
        <v>21414.444521495298</v>
      </c>
      <c r="H78" s="85">
        <v>1174.0999999999999</v>
      </c>
      <c r="I78" s="104">
        <v>0</v>
      </c>
      <c r="J78" s="104">
        <v>980.64070124681803</v>
      </c>
      <c r="K78" s="38">
        <v>8.2521362263592891E-4</v>
      </c>
      <c r="L78" s="46">
        <v>2.0107109676393661E-2</v>
      </c>
      <c r="M78" s="46">
        <v>3.7898135918551252E-3</v>
      </c>
      <c r="N78" s="28"/>
      <c r="O78" s="28"/>
      <c r="P78" s="28"/>
      <c r="Q78" s="28"/>
      <c r="R78" s="28"/>
    </row>
    <row r="79" spans="1:18" x14ac:dyDescent="0.2">
      <c r="A79" s="30" t="s">
        <v>1161</v>
      </c>
      <c r="B79" s="38" t="s">
        <v>1162</v>
      </c>
      <c r="C79" s="38" t="s">
        <v>829</v>
      </c>
      <c r="D79" s="38" t="s">
        <v>240</v>
      </c>
      <c r="E79" s="73" t="s">
        <v>1107</v>
      </c>
      <c r="F79" s="79" t="s">
        <v>127</v>
      </c>
      <c r="G79" s="88">
        <v>2157.8483595315538</v>
      </c>
      <c r="H79" s="85">
        <v>2906</v>
      </c>
      <c r="I79" s="104">
        <v>0</v>
      </c>
      <c r="J79" s="104">
        <v>223.55071638574768</v>
      </c>
      <c r="K79" s="38">
        <v>9.7290302595707055E-6</v>
      </c>
      <c r="L79" s="46">
        <v>4.5836959111421414E-3</v>
      </c>
      <c r="M79" s="46">
        <v>8.6394083210138009E-4</v>
      </c>
      <c r="N79" s="28"/>
      <c r="O79" s="28"/>
      <c r="P79" s="28"/>
      <c r="Q79" s="28"/>
      <c r="R79" s="28"/>
    </row>
    <row r="80" spans="1:18" x14ac:dyDescent="0.2">
      <c r="A80" s="30" t="s">
        <v>1175</v>
      </c>
      <c r="B80" s="38" t="s">
        <v>1176</v>
      </c>
      <c r="C80" s="38" t="s">
        <v>829</v>
      </c>
      <c r="D80" s="38" t="s">
        <v>240</v>
      </c>
      <c r="E80" s="73" t="s">
        <v>1107</v>
      </c>
      <c r="F80" s="79" t="s">
        <v>127</v>
      </c>
      <c r="G80" s="88">
        <v>40782.703258489222</v>
      </c>
      <c r="H80" s="85">
        <v>2082</v>
      </c>
      <c r="I80" s="104">
        <v>0</v>
      </c>
      <c r="J80" s="104">
        <v>3027.0268187246193</v>
      </c>
      <c r="K80" s="38">
        <v>5.525838233300667E-5</v>
      </c>
      <c r="L80" s="46">
        <v>6.2066320682076015E-2</v>
      </c>
      <c r="M80" s="46">
        <v>1.1698339020526929E-2</v>
      </c>
      <c r="N80" s="28"/>
      <c r="O80" s="28"/>
      <c r="P80" s="28"/>
      <c r="Q80" s="28"/>
      <c r="R80" s="28"/>
    </row>
    <row r="81" spans="1:18" x14ac:dyDescent="0.2">
      <c r="A81" s="30" t="s">
        <v>1179</v>
      </c>
      <c r="B81" s="38" t="s">
        <v>1180</v>
      </c>
      <c r="C81" s="38" t="s">
        <v>829</v>
      </c>
      <c r="D81" s="38" t="s">
        <v>240</v>
      </c>
      <c r="E81" s="73" t="s">
        <v>1107</v>
      </c>
      <c r="F81" s="79" t="s">
        <v>127</v>
      </c>
      <c r="G81" s="88">
        <v>3938.7919472858202</v>
      </c>
      <c r="H81" s="85">
        <v>7744</v>
      </c>
      <c r="I81" s="104">
        <v>0</v>
      </c>
      <c r="J81" s="104">
        <v>1087.3964724970026</v>
      </c>
      <c r="K81" s="38">
        <v>8.5146689668926177E-5</v>
      </c>
      <c r="L81" s="46">
        <v>2.2296035751342685E-2</v>
      </c>
      <c r="M81" s="46">
        <v>4.2023851610124372E-3</v>
      </c>
      <c r="N81" s="28"/>
      <c r="O81" s="28"/>
      <c r="P81" s="28"/>
      <c r="Q81" s="28"/>
      <c r="R81" s="28"/>
    </row>
    <row r="82" spans="1:18" x14ac:dyDescent="0.2">
      <c r="A82" s="30" t="s">
        <v>1161</v>
      </c>
      <c r="B82" s="38" t="s">
        <v>1162</v>
      </c>
      <c r="C82" s="38" t="s">
        <v>829</v>
      </c>
      <c r="D82" s="38" t="s">
        <v>240</v>
      </c>
      <c r="E82" s="73" t="s">
        <v>1107</v>
      </c>
      <c r="F82" s="79" t="s">
        <v>127</v>
      </c>
      <c r="G82" s="88">
        <v>43.819732240855998</v>
      </c>
      <c r="H82" s="85">
        <v>2906</v>
      </c>
      <c r="I82" s="104">
        <v>0</v>
      </c>
      <c r="J82" s="104">
        <v>4.5396760584472169</v>
      </c>
      <c r="K82" s="38">
        <v>1.9756879534858716E-7</v>
      </c>
      <c r="L82" s="46">
        <v>9.3081762042347056E-5</v>
      </c>
      <c r="M82" s="46">
        <v>1.7544168834771162E-5</v>
      </c>
      <c r="N82" s="28"/>
      <c r="O82" s="28"/>
      <c r="P82" s="28"/>
      <c r="Q82" s="28"/>
      <c r="R82" s="28"/>
    </row>
    <row r="83" spans="1:18" x14ac:dyDescent="0.2">
      <c r="A83" s="30" t="s">
        <v>1169</v>
      </c>
      <c r="B83" s="38" t="s">
        <v>1170</v>
      </c>
      <c r="C83" s="38" t="s">
        <v>829</v>
      </c>
      <c r="D83" s="38" t="s">
        <v>240</v>
      </c>
      <c r="E83" s="73" t="s">
        <v>1107</v>
      </c>
      <c r="F83" s="79" t="s">
        <v>127</v>
      </c>
      <c r="G83" s="88">
        <v>6786.7343546426209</v>
      </c>
      <c r="H83" s="85">
        <v>8858</v>
      </c>
      <c r="I83" s="104">
        <v>0</v>
      </c>
      <c r="J83" s="104">
        <v>2143.1672323089033</v>
      </c>
      <c r="K83" s="38">
        <v>3.2258457034493403E-5</v>
      </c>
      <c r="L83" s="46">
        <v>4.3943616188985908E-2</v>
      </c>
      <c r="M83" s="46">
        <v>8.2825486401859327E-3</v>
      </c>
      <c r="N83" s="28"/>
      <c r="O83" s="28"/>
      <c r="P83" s="28"/>
      <c r="Q83" s="28"/>
      <c r="R83" s="28"/>
    </row>
    <row r="84" spans="1:18" x14ac:dyDescent="0.2">
      <c r="A84" s="30" t="s">
        <v>1171</v>
      </c>
      <c r="B84" s="38" t="s">
        <v>1172</v>
      </c>
      <c r="C84" s="38" t="s">
        <v>829</v>
      </c>
      <c r="D84" s="38" t="s">
        <v>240</v>
      </c>
      <c r="E84" s="73" t="s">
        <v>1107</v>
      </c>
      <c r="F84" s="79" t="s">
        <v>127</v>
      </c>
      <c r="G84" s="88">
        <v>5869.2106141892009</v>
      </c>
      <c r="H84" s="85">
        <v>5447</v>
      </c>
      <c r="I84" s="104">
        <v>0</v>
      </c>
      <c r="J84" s="104">
        <v>1139.7158911251163</v>
      </c>
      <c r="K84" s="38">
        <v>2.4929266283389308E-5</v>
      </c>
      <c r="L84" s="46">
        <v>2.3368795924587682E-2</v>
      </c>
      <c r="M84" s="46">
        <v>4.4045803621525518E-3</v>
      </c>
      <c r="N84" s="28"/>
      <c r="O84" s="28"/>
      <c r="P84" s="28"/>
      <c r="Q84" s="28"/>
      <c r="R84" s="28"/>
    </row>
    <row r="85" spans="1:18" x14ac:dyDescent="0.2">
      <c r="A85" s="30" t="s">
        <v>1173</v>
      </c>
      <c r="B85" s="38" t="s">
        <v>1174</v>
      </c>
      <c r="C85" s="38" t="s">
        <v>829</v>
      </c>
      <c r="D85" s="38" t="s">
        <v>240</v>
      </c>
      <c r="E85" s="73" t="s">
        <v>1107</v>
      </c>
      <c r="F85" s="79" t="s">
        <v>127</v>
      </c>
      <c r="G85" s="88">
        <v>5248.5768369227499</v>
      </c>
      <c r="H85" s="85">
        <v>5901</v>
      </c>
      <c r="I85" s="104">
        <v>0</v>
      </c>
      <c r="J85" s="104">
        <v>1104.1465207080666</v>
      </c>
      <c r="K85" s="38">
        <v>4.432615744512473E-5</v>
      </c>
      <c r="L85" s="46">
        <v>2.2639479640665788E-2</v>
      </c>
      <c r="M85" s="46">
        <v>4.2671179018560603E-3</v>
      </c>
      <c r="N85" s="28"/>
      <c r="O85" s="28"/>
      <c r="P85" s="28"/>
      <c r="Q85" s="28"/>
      <c r="R85" s="28"/>
    </row>
    <row r="86" spans="1:18" s="138" customFormat="1" x14ac:dyDescent="0.2">
      <c r="A86" s="202" t="s">
        <v>1103</v>
      </c>
      <c r="B86" s="203" t="s">
        <v>240</v>
      </c>
      <c r="C86" s="203" t="s">
        <v>240</v>
      </c>
      <c r="D86" s="203" t="s">
        <v>240</v>
      </c>
      <c r="E86" s="203" t="s">
        <v>240</v>
      </c>
      <c r="F86" s="204" t="s">
        <v>240</v>
      </c>
      <c r="G86" s="205" t="s">
        <v>240</v>
      </c>
      <c r="H86" s="241" t="s">
        <v>240</v>
      </c>
      <c r="I86" s="207" t="s">
        <v>240</v>
      </c>
      <c r="J86" s="207">
        <v>0</v>
      </c>
      <c r="K86" s="203" t="s">
        <v>240</v>
      </c>
      <c r="L86" s="242">
        <v>0</v>
      </c>
      <c r="M86" s="242">
        <v>0</v>
      </c>
    </row>
    <row r="87" spans="1:18" s="138" customFormat="1" x14ac:dyDescent="0.2">
      <c r="A87" s="97" t="s">
        <v>231</v>
      </c>
      <c r="B87" s="148"/>
      <c r="C87" s="148"/>
      <c r="D87" s="148"/>
      <c r="E87" s="148"/>
      <c r="F87" s="148"/>
      <c r="G87" s="149"/>
      <c r="H87" s="149"/>
      <c r="I87" s="149"/>
      <c r="J87" s="149"/>
      <c r="K87" s="150"/>
      <c r="L87" s="150"/>
      <c r="M87" s="151"/>
      <c r="N87" s="169"/>
      <c r="O87" s="169"/>
      <c r="P87" s="169"/>
      <c r="Q87" s="153"/>
      <c r="R87" s="153"/>
    </row>
    <row r="88" spans="1:18" s="138" customFormat="1" x14ac:dyDescent="0.2">
      <c r="A88" s="97" t="s">
        <v>232</v>
      </c>
      <c r="B88" s="148"/>
      <c r="C88" s="148"/>
      <c r="D88" s="148"/>
      <c r="E88" s="148"/>
      <c r="F88" s="148"/>
      <c r="G88" s="149"/>
      <c r="H88" s="149"/>
      <c r="I88" s="149"/>
      <c r="J88" s="149"/>
      <c r="K88" s="150"/>
      <c r="L88" s="150"/>
      <c r="M88" s="151"/>
      <c r="N88" s="169"/>
      <c r="O88" s="169"/>
      <c r="P88" s="169"/>
      <c r="Q88" s="153"/>
      <c r="R88" s="153"/>
    </row>
    <row r="89" spans="1:18" s="138" customFormat="1" x14ac:dyDescent="0.2">
      <c r="A89" s="97" t="s">
        <v>233</v>
      </c>
      <c r="B89" s="148"/>
      <c r="C89" s="148"/>
      <c r="D89" s="148"/>
      <c r="E89" s="148"/>
      <c r="F89" s="148"/>
      <c r="G89" s="149"/>
      <c r="H89" s="149"/>
      <c r="I89" s="149"/>
      <c r="J89" s="149"/>
      <c r="K89" s="150"/>
      <c r="L89" s="150"/>
      <c r="M89" s="151"/>
      <c r="N89" s="169"/>
      <c r="O89" s="169"/>
      <c r="P89" s="169"/>
      <c r="Q89" s="153"/>
      <c r="R89" s="153"/>
    </row>
    <row r="90" spans="1:18" s="138" customFormat="1" x14ac:dyDescent="0.2">
      <c r="A90" s="97" t="s">
        <v>234</v>
      </c>
      <c r="B90" s="148"/>
      <c r="C90" s="148"/>
      <c r="D90" s="148"/>
      <c r="E90" s="148"/>
      <c r="F90" s="148"/>
      <c r="G90" s="149"/>
      <c r="H90" s="149"/>
      <c r="I90" s="149"/>
      <c r="J90" s="149"/>
      <c r="K90" s="150"/>
      <c r="L90" s="150"/>
      <c r="M90" s="151"/>
      <c r="N90" s="169"/>
      <c r="O90" s="169"/>
      <c r="P90" s="169"/>
      <c r="Q90" s="153"/>
      <c r="R90" s="153"/>
    </row>
    <row r="91" spans="1:18" s="138" customFormat="1" x14ac:dyDescent="0.2">
      <c r="A91" s="97" t="s">
        <v>235</v>
      </c>
      <c r="B91" s="148"/>
      <c r="C91" s="148"/>
      <c r="D91" s="148"/>
      <c r="E91" s="148"/>
      <c r="F91" s="148"/>
      <c r="G91" s="149"/>
      <c r="H91" s="149"/>
      <c r="I91" s="149"/>
      <c r="J91" s="149"/>
      <c r="K91" s="150"/>
      <c r="L91" s="150"/>
      <c r="M91" s="151"/>
      <c r="N91" s="169"/>
      <c r="O91" s="169"/>
      <c r="P91" s="169"/>
      <c r="Q91" s="153"/>
      <c r="R91" s="153"/>
    </row>
  </sheetData>
  <mergeCells count="2">
    <mergeCell ref="A6:M6"/>
    <mergeCell ref="A5:M5"/>
  </mergeCells>
  <conditionalFormatting sqref="C10:E86">
    <cfRule type="expression" dxfId="120" priority="11" stopIfTrue="1">
      <formula>LEFT($IC10,3)="TIR"</formula>
    </cfRule>
  </conditionalFormatting>
  <conditionalFormatting sqref="M1:M4 G10:H86 K10:K86 M87:M55621">
    <cfRule type="expression" dxfId="119" priority="130" stopIfTrue="1">
      <formula>LEFT(#REF!,3)="TIR"</formula>
    </cfRule>
  </conditionalFormatting>
  <conditionalFormatting sqref="B10:F86 L10:M86">
    <cfRule type="expression" dxfId="118" priority="134" stopIfTrue="1">
      <formula>OR(LEFT(#REF!,3)="TIR",LEFT(#REF!,2)="IR")</formula>
    </cfRule>
  </conditionalFormatting>
  <conditionalFormatting sqref="A10:A86 I10:J86">
    <cfRule type="expression" dxfId="117" priority="136" stopIfTrue="1">
      <formula>#REF!&gt;0</formula>
    </cfRule>
    <cfRule type="expression" dxfId="116" priority="137" stopIfTrue="1">
      <formula>LEFT(#REF!,3)="TIR"</formula>
    </cfRule>
  </conditionalFormatting>
  <conditionalFormatting sqref="C10:D86">
    <cfRule type="expression" dxfId="11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4181-8A41-4DA7-8654-DA57AFE25729}">
  <sheetPr codeName="גיליון8">
    <pageSetUpPr fitToPage="1"/>
  </sheetPr>
  <dimension ref="A1:S39"/>
  <sheetViews>
    <sheetView rightToLeft="1" zoomScale="80" zoomScaleNormal="80" workbookViewId="0">
      <selection activeCell="A7" sqref="A7:N34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78" bestFit="1" customWidth="1"/>
    <col min="7" max="7" width="11.140625" style="78" customWidth="1"/>
    <col min="8" max="8" width="12.7109375" style="78" bestFit="1" customWidth="1"/>
    <col min="9" max="9" width="12.42578125" style="50" bestFit="1" customWidth="1"/>
    <col min="10" max="10" width="10.28515625" style="80" bestFit="1" customWidth="1"/>
    <col min="11" max="11" width="10.42578125" style="82" customWidth="1"/>
    <col min="12" max="12" width="22" style="82" customWidth="1"/>
    <col min="13" max="13" width="25.42578125" style="82" customWidth="1"/>
    <col min="14" max="14" width="20.7109375" style="82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78"/>
      <c r="G1" s="78"/>
      <c r="H1" s="78"/>
      <c r="I1" s="50"/>
      <c r="J1" s="80"/>
      <c r="K1" s="81"/>
      <c r="L1" s="81"/>
      <c r="M1" s="81"/>
      <c r="N1" s="81"/>
      <c r="O1" s="26"/>
      <c r="P1" s="26"/>
      <c r="Q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78"/>
      <c r="G2" s="78"/>
      <c r="H2" s="78"/>
      <c r="I2" s="50"/>
      <c r="J2" s="80"/>
      <c r="K2" s="81"/>
      <c r="L2" s="81"/>
      <c r="M2" s="81"/>
      <c r="N2" s="81"/>
      <c r="O2" s="26"/>
      <c r="P2" s="26"/>
      <c r="Q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78"/>
      <c r="G3" s="78"/>
      <c r="H3" s="78"/>
      <c r="I3" s="50"/>
      <c r="J3" s="80"/>
      <c r="K3" s="81"/>
      <c r="L3" s="81"/>
      <c r="M3" s="81"/>
      <c r="N3" s="81"/>
      <c r="O3" s="26"/>
      <c r="P3" s="26"/>
      <c r="Q3" s="28"/>
    </row>
    <row r="4" spans="1:19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78"/>
      <c r="G4" s="78"/>
      <c r="H4" s="78"/>
      <c r="I4" s="50"/>
      <c r="J4" s="80"/>
      <c r="K4" s="81"/>
      <c r="L4" s="81"/>
      <c r="M4" s="81"/>
      <c r="N4" s="81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6" t="s">
        <v>160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6</v>
      </c>
      <c r="I7" s="108" t="s">
        <v>67</v>
      </c>
      <c r="J7" s="108" t="s">
        <v>68</v>
      </c>
      <c r="K7" s="108" t="s">
        <v>7</v>
      </c>
      <c r="L7" s="109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0"/>
      <c r="H8" s="43"/>
      <c r="I8" s="15" t="s">
        <v>136</v>
      </c>
      <c r="J8" s="66"/>
      <c r="K8" s="15" t="s">
        <v>138</v>
      </c>
      <c r="L8" s="74" t="s">
        <v>9</v>
      </c>
      <c r="M8" s="74" t="s">
        <v>9</v>
      </c>
      <c r="N8" s="72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8" customFormat="1" ht="12.75" customHeight="1" thickBot="1" x14ac:dyDescent="0.25">
      <c r="A10" s="121" t="s">
        <v>54</v>
      </c>
      <c r="B10" s="86"/>
      <c r="C10" s="86"/>
      <c r="D10" s="86"/>
      <c r="E10" s="86"/>
      <c r="F10" s="122"/>
      <c r="G10" s="122"/>
      <c r="H10" s="122"/>
      <c r="I10" s="125"/>
      <c r="J10" s="122"/>
      <c r="K10" s="124">
        <v>14351.919865673623</v>
      </c>
      <c r="L10" s="86"/>
      <c r="M10" s="86">
        <v>1</v>
      </c>
      <c r="N10" s="101">
        <v>5.5464861806154779E-2</v>
      </c>
    </row>
    <row r="11" spans="1:19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2" t="s">
        <v>240</v>
      </c>
      <c r="G11" s="142" t="s">
        <v>240</v>
      </c>
      <c r="H11" s="142" t="s">
        <v>240</v>
      </c>
      <c r="I11" s="154" t="s">
        <v>240</v>
      </c>
      <c r="J11" s="142" t="s">
        <v>240</v>
      </c>
      <c r="K11" s="143">
        <v>0</v>
      </c>
      <c r="L11" s="141" t="s">
        <v>240</v>
      </c>
      <c r="M11" s="141">
        <v>0</v>
      </c>
      <c r="N11" s="141">
        <v>0</v>
      </c>
    </row>
    <row r="12" spans="1:19" s="138" customFormat="1" x14ac:dyDescent="0.2">
      <c r="A12" s="112" t="s">
        <v>58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2" t="s">
        <v>240</v>
      </c>
      <c r="G12" s="146" t="s">
        <v>240</v>
      </c>
      <c r="H12" s="146" t="s">
        <v>240</v>
      </c>
      <c r="I12" s="156" t="s">
        <v>240</v>
      </c>
      <c r="J12" s="146" t="s">
        <v>240</v>
      </c>
      <c r="K12" s="147">
        <v>0</v>
      </c>
      <c r="L12" s="145" t="s">
        <v>240</v>
      </c>
      <c r="M12" s="145">
        <v>0</v>
      </c>
      <c r="N12" s="141">
        <v>0</v>
      </c>
    </row>
    <row r="13" spans="1:19" s="138" customFormat="1" x14ac:dyDescent="0.2">
      <c r="A13" s="112" t="s">
        <v>1199</v>
      </c>
      <c r="B13" s="145" t="s">
        <v>240</v>
      </c>
      <c r="C13" s="145" t="s">
        <v>240</v>
      </c>
      <c r="D13" s="145" t="s">
        <v>240</v>
      </c>
      <c r="E13" s="145" t="s">
        <v>240</v>
      </c>
      <c r="F13" s="142" t="s">
        <v>240</v>
      </c>
      <c r="G13" s="146" t="s">
        <v>240</v>
      </c>
      <c r="H13" s="146" t="s">
        <v>240</v>
      </c>
      <c r="I13" s="156" t="s">
        <v>240</v>
      </c>
      <c r="J13" s="146" t="s">
        <v>240</v>
      </c>
      <c r="K13" s="147">
        <v>0</v>
      </c>
      <c r="L13" s="145" t="s">
        <v>240</v>
      </c>
      <c r="M13" s="145">
        <v>0</v>
      </c>
      <c r="N13" s="141">
        <v>0</v>
      </c>
    </row>
    <row r="14" spans="1:19" s="138" customFormat="1" x14ac:dyDescent="0.2">
      <c r="A14" s="112" t="s">
        <v>59</v>
      </c>
      <c r="B14" s="145" t="s">
        <v>240</v>
      </c>
      <c r="C14" s="145" t="s">
        <v>240</v>
      </c>
      <c r="D14" s="145" t="s">
        <v>240</v>
      </c>
      <c r="E14" s="145" t="s">
        <v>240</v>
      </c>
      <c r="F14" s="142" t="s">
        <v>240</v>
      </c>
      <c r="G14" s="146" t="s">
        <v>240</v>
      </c>
      <c r="H14" s="146" t="s">
        <v>240</v>
      </c>
      <c r="I14" s="156" t="s">
        <v>240</v>
      </c>
      <c r="J14" s="146" t="s">
        <v>240</v>
      </c>
      <c r="K14" s="147">
        <v>0</v>
      </c>
      <c r="L14" s="145" t="s">
        <v>240</v>
      </c>
      <c r="M14" s="145">
        <v>0</v>
      </c>
      <c r="N14" s="141">
        <v>0</v>
      </c>
    </row>
    <row r="15" spans="1:19" s="138" customFormat="1" x14ac:dyDescent="0.2">
      <c r="A15" s="112" t="s">
        <v>144</v>
      </c>
      <c r="B15" s="145" t="s">
        <v>240</v>
      </c>
      <c r="C15" s="145" t="s">
        <v>240</v>
      </c>
      <c r="D15" s="145" t="s">
        <v>240</v>
      </c>
      <c r="E15" s="145" t="s">
        <v>240</v>
      </c>
      <c r="F15" s="142" t="s">
        <v>240</v>
      </c>
      <c r="G15" s="146" t="s">
        <v>240</v>
      </c>
      <c r="H15" s="146" t="s">
        <v>240</v>
      </c>
      <c r="I15" s="156" t="s">
        <v>240</v>
      </c>
      <c r="J15" s="146" t="s">
        <v>240</v>
      </c>
      <c r="K15" s="147">
        <v>0</v>
      </c>
      <c r="L15" s="145" t="s">
        <v>240</v>
      </c>
      <c r="M15" s="145">
        <v>0</v>
      </c>
      <c r="N15" s="141">
        <v>0</v>
      </c>
    </row>
    <row r="16" spans="1:19" s="138" customFormat="1" x14ac:dyDescent="0.2">
      <c r="A16" s="112" t="s">
        <v>376</v>
      </c>
      <c r="B16" s="145" t="s">
        <v>240</v>
      </c>
      <c r="C16" s="145" t="s">
        <v>240</v>
      </c>
      <c r="D16" s="145" t="s">
        <v>240</v>
      </c>
      <c r="E16" s="145" t="s">
        <v>240</v>
      </c>
      <c r="F16" s="142" t="s">
        <v>240</v>
      </c>
      <c r="G16" s="146" t="s">
        <v>240</v>
      </c>
      <c r="H16" s="146" t="s">
        <v>240</v>
      </c>
      <c r="I16" s="156" t="s">
        <v>240</v>
      </c>
      <c r="J16" s="146" t="s">
        <v>240</v>
      </c>
      <c r="K16" s="147">
        <v>14351.919865273623</v>
      </c>
      <c r="L16" s="145" t="s">
        <v>240</v>
      </c>
      <c r="M16" s="145">
        <v>0.99999999997212918</v>
      </c>
      <c r="N16" s="141">
        <v>0</v>
      </c>
    </row>
    <row r="17" spans="1:16" s="138" customFormat="1" x14ac:dyDescent="0.2">
      <c r="A17" s="112" t="s">
        <v>58</v>
      </c>
      <c r="B17" s="145" t="s">
        <v>240</v>
      </c>
      <c r="C17" s="145" t="s">
        <v>240</v>
      </c>
      <c r="D17" s="145" t="s">
        <v>240</v>
      </c>
      <c r="E17" s="145" t="s">
        <v>240</v>
      </c>
      <c r="F17" s="142" t="s">
        <v>240</v>
      </c>
      <c r="G17" s="146" t="s">
        <v>240</v>
      </c>
      <c r="H17" s="146" t="s">
        <v>240</v>
      </c>
      <c r="I17" s="156" t="s">
        <v>240</v>
      </c>
      <c r="J17" s="146" t="s">
        <v>240</v>
      </c>
      <c r="K17" s="147">
        <v>0</v>
      </c>
      <c r="L17" s="145" t="s">
        <v>240</v>
      </c>
      <c r="M17" s="145">
        <v>0</v>
      </c>
      <c r="N17" s="141">
        <v>0</v>
      </c>
    </row>
    <row r="18" spans="1:16" s="138" customFormat="1" x14ac:dyDescent="0.2">
      <c r="A18" s="112" t="s">
        <v>1199</v>
      </c>
      <c r="B18" s="145" t="s">
        <v>240</v>
      </c>
      <c r="C18" s="145" t="s">
        <v>240</v>
      </c>
      <c r="D18" s="145" t="s">
        <v>240</v>
      </c>
      <c r="E18" s="145" t="s">
        <v>240</v>
      </c>
      <c r="F18" s="142" t="s">
        <v>240</v>
      </c>
      <c r="G18" s="146" t="s">
        <v>240</v>
      </c>
      <c r="H18" s="146" t="s">
        <v>240</v>
      </c>
      <c r="I18" s="156" t="s">
        <v>240</v>
      </c>
      <c r="J18" s="146" t="s">
        <v>240</v>
      </c>
      <c r="K18" s="147">
        <v>0</v>
      </c>
      <c r="L18" s="145" t="s">
        <v>240</v>
      </c>
      <c r="M18" s="145">
        <v>0</v>
      </c>
      <c r="N18" s="141">
        <v>0</v>
      </c>
    </row>
    <row r="19" spans="1:16" s="138" customFormat="1" x14ac:dyDescent="0.2">
      <c r="A19" s="112" t="s">
        <v>59</v>
      </c>
      <c r="B19" s="145" t="s">
        <v>240</v>
      </c>
      <c r="C19" s="145" t="s">
        <v>240</v>
      </c>
      <c r="D19" s="145" t="s">
        <v>240</v>
      </c>
      <c r="E19" s="145" t="s">
        <v>240</v>
      </c>
      <c r="F19" s="142" t="s">
        <v>240</v>
      </c>
      <c r="G19" s="146" t="s">
        <v>240</v>
      </c>
      <c r="H19" s="146" t="s">
        <v>240</v>
      </c>
      <c r="I19" s="156" t="s">
        <v>240</v>
      </c>
      <c r="J19" s="146" t="s">
        <v>240</v>
      </c>
      <c r="K19" s="147">
        <v>8682.5601331576709</v>
      </c>
      <c r="L19" s="145" t="s">
        <v>240</v>
      </c>
      <c r="M19" s="145">
        <v>0.60497551647597259</v>
      </c>
      <c r="N19" s="141">
        <v>0</v>
      </c>
    </row>
    <row r="20" spans="1:16" x14ac:dyDescent="0.2">
      <c r="A20" s="30" t="s">
        <v>1210</v>
      </c>
      <c r="B20" s="38" t="s">
        <v>1211</v>
      </c>
      <c r="C20" s="38" t="s">
        <v>221</v>
      </c>
      <c r="D20" s="38" t="s">
        <v>240</v>
      </c>
      <c r="E20" s="38" t="s">
        <v>240</v>
      </c>
      <c r="F20" s="85" t="s">
        <v>385</v>
      </c>
      <c r="G20" s="79" t="s">
        <v>240</v>
      </c>
      <c r="H20" s="79" t="s">
        <v>128</v>
      </c>
      <c r="I20" s="88">
        <v>1199.3584316735046</v>
      </c>
      <c r="J20" s="79">
        <v>7240.0000000000009</v>
      </c>
      <c r="K20" s="104">
        <v>338.67689682517675</v>
      </c>
      <c r="L20" s="38">
        <v>4.5341175693259551E-4</v>
      </c>
      <c r="M20" s="38">
        <v>2.3598020334214053E-2</v>
      </c>
      <c r="N20" s="46">
        <v>1.3088609367360128E-3</v>
      </c>
      <c r="O20" s="28"/>
      <c r="P20" s="28"/>
    </row>
    <row r="21" spans="1:16" x14ac:dyDescent="0.2">
      <c r="A21" s="30" t="s">
        <v>1222</v>
      </c>
      <c r="B21" s="38" t="s">
        <v>1223</v>
      </c>
      <c r="C21" s="38" t="s">
        <v>221</v>
      </c>
      <c r="D21" s="38" t="s">
        <v>240</v>
      </c>
      <c r="E21" s="38" t="s">
        <v>240</v>
      </c>
      <c r="F21" s="85" t="s">
        <v>385</v>
      </c>
      <c r="G21" s="79" t="s">
        <v>240</v>
      </c>
      <c r="H21" s="79" t="s">
        <v>127</v>
      </c>
      <c r="I21" s="88">
        <v>133.21538542487801</v>
      </c>
      <c r="J21" s="79">
        <v>102960.99999999999</v>
      </c>
      <c r="K21" s="104">
        <v>488.97501845379713</v>
      </c>
      <c r="L21" s="38">
        <v>5.3700831994613609E-5</v>
      </c>
      <c r="M21" s="38">
        <v>3.4070355954488644E-2</v>
      </c>
      <c r="N21" s="46">
        <v>1.8897075847022153E-3</v>
      </c>
      <c r="O21" s="28"/>
      <c r="P21" s="28"/>
    </row>
    <row r="22" spans="1:16" x14ac:dyDescent="0.2">
      <c r="A22" s="30" t="s">
        <v>1218</v>
      </c>
      <c r="B22" s="38" t="s">
        <v>1219</v>
      </c>
      <c r="C22" s="38" t="s">
        <v>221</v>
      </c>
      <c r="D22" s="38" t="s">
        <v>240</v>
      </c>
      <c r="E22" s="38" t="s">
        <v>240</v>
      </c>
      <c r="F22" s="85" t="s">
        <v>385</v>
      </c>
      <c r="G22" s="79" t="s">
        <v>240</v>
      </c>
      <c r="H22" s="79" t="s">
        <v>127</v>
      </c>
      <c r="I22" s="88">
        <v>203.79291564016401</v>
      </c>
      <c r="J22" s="79">
        <v>88619</v>
      </c>
      <c r="K22" s="104">
        <v>643.83630450642875</v>
      </c>
      <c r="L22" s="38">
        <v>1.3839634998527299E-4</v>
      </c>
      <c r="M22" s="38">
        <v>4.4860639589155739E-2</v>
      </c>
      <c r="N22" s="46">
        <v>2.488189175348239E-3</v>
      </c>
      <c r="O22" s="28"/>
      <c r="P22" s="28"/>
    </row>
    <row r="23" spans="1:16" x14ac:dyDescent="0.2">
      <c r="A23" s="30" t="s">
        <v>1208</v>
      </c>
      <c r="B23" s="38" t="s">
        <v>1209</v>
      </c>
      <c r="C23" s="38" t="s">
        <v>221</v>
      </c>
      <c r="D23" s="38" t="s">
        <v>240</v>
      </c>
      <c r="E23" s="38" t="s">
        <v>240</v>
      </c>
      <c r="F23" s="85" t="s">
        <v>385</v>
      </c>
      <c r="G23" s="79" t="s">
        <v>240</v>
      </c>
      <c r="H23" s="79" t="s">
        <v>128</v>
      </c>
      <c r="I23" s="88">
        <v>20798.499272872428</v>
      </c>
      <c r="J23" s="79">
        <v>2403.1999999999998</v>
      </c>
      <c r="K23" s="104">
        <v>1949.48513344292</v>
      </c>
      <c r="L23" s="38">
        <v>1.8261234742820528E-4</v>
      </c>
      <c r="M23" s="38">
        <v>0.13583444944572359</v>
      </c>
      <c r="N23" s="46">
        <v>7.5340389670221775E-3</v>
      </c>
      <c r="O23" s="28"/>
      <c r="P23" s="28"/>
    </row>
    <row r="24" spans="1:16" x14ac:dyDescent="0.2">
      <c r="A24" s="30" t="s">
        <v>1214</v>
      </c>
      <c r="B24" s="38" t="s">
        <v>1215</v>
      </c>
      <c r="C24" s="38" t="s">
        <v>221</v>
      </c>
      <c r="D24" s="38" t="s">
        <v>240</v>
      </c>
      <c r="E24" s="38" t="s">
        <v>240</v>
      </c>
      <c r="F24" s="85" t="s">
        <v>385</v>
      </c>
      <c r="G24" s="79" t="s">
        <v>240</v>
      </c>
      <c r="H24" s="79" t="s">
        <v>289</v>
      </c>
      <c r="I24" s="88">
        <v>24047.720144938168</v>
      </c>
      <c r="J24" s="79">
        <v>92126</v>
      </c>
      <c r="K24" s="104">
        <v>726.39199681403829</v>
      </c>
      <c r="L24" s="38">
        <v>4.7252832505914128E-4</v>
      </c>
      <c r="M24" s="38">
        <v>5.0612879922176481E-2</v>
      </c>
      <c r="N24" s="46">
        <v>2.8072363904950246E-3</v>
      </c>
      <c r="O24" s="28"/>
      <c r="P24" s="28"/>
    </row>
    <row r="25" spans="1:16" x14ac:dyDescent="0.2">
      <c r="A25" s="30" t="s">
        <v>1202</v>
      </c>
      <c r="B25" s="38" t="s">
        <v>1203</v>
      </c>
      <c r="C25" s="38" t="s">
        <v>221</v>
      </c>
      <c r="D25" s="38" t="s">
        <v>240</v>
      </c>
      <c r="E25" s="38" t="s">
        <v>240</v>
      </c>
      <c r="F25" s="85" t="s">
        <v>385</v>
      </c>
      <c r="G25" s="79" t="s">
        <v>240</v>
      </c>
      <c r="H25" s="79" t="s">
        <v>127</v>
      </c>
      <c r="I25" s="88">
        <v>13.737539478414883</v>
      </c>
      <c r="J25" s="79">
        <v>106648</v>
      </c>
      <c r="K25" s="104">
        <v>52.230141578494276</v>
      </c>
      <c r="L25" s="38" t="s">
        <v>240</v>
      </c>
      <c r="M25" s="38">
        <v>3.6392442312485557E-3</v>
      </c>
      <c r="N25" s="46">
        <v>2.0185017836504712E-4</v>
      </c>
      <c r="O25" s="28"/>
      <c r="P25" s="28"/>
    </row>
    <row r="26" spans="1:16" x14ac:dyDescent="0.2">
      <c r="A26" s="30" t="s">
        <v>1220</v>
      </c>
      <c r="B26" s="38" t="s">
        <v>1221</v>
      </c>
      <c r="C26" s="38" t="s">
        <v>221</v>
      </c>
      <c r="D26" s="38" t="s">
        <v>240</v>
      </c>
      <c r="E26" s="38" t="s">
        <v>240</v>
      </c>
      <c r="F26" s="85" t="s">
        <v>385</v>
      </c>
      <c r="G26" s="79" t="s">
        <v>240</v>
      </c>
      <c r="H26" s="79" t="s">
        <v>127</v>
      </c>
      <c r="I26" s="88">
        <v>10932.481537826112</v>
      </c>
      <c r="J26" s="79">
        <v>1128.18</v>
      </c>
      <c r="K26" s="104">
        <v>439.7002202648639</v>
      </c>
      <c r="L26" s="38">
        <v>1.0171926776207605E-4</v>
      </c>
      <c r="M26" s="38">
        <v>3.0637031448072827E-2</v>
      </c>
      <c r="N26" s="46">
        <v>1.6992787154181774E-3</v>
      </c>
      <c r="O26" s="28"/>
      <c r="P26" s="28"/>
    </row>
    <row r="27" spans="1:16" x14ac:dyDescent="0.2">
      <c r="A27" s="30" t="s">
        <v>1200</v>
      </c>
      <c r="B27" s="38" t="s">
        <v>1201</v>
      </c>
      <c r="C27" s="38" t="s">
        <v>221</v>
      </c>
      <c r="D27" s="38" t="s">
        <v>240</v>
      </c>
      <c r="E27" s="38" t="s">
        <v>240</v>
      </c>
      <c r="F27" s="85" t="s">
        <v>385</v>
      </c>
      <c r="G27" s="79" t="s">
        <v>240</v>
      </c>
      <c r="H27" s="79" t="s">
        <v>127</v>
      </c>
      <c r="I27" s="88">
        <v>40.812385915746042</v>
      </c>
      <c r="J27" s="79">
        <v>75981</v>
      </c>
      <c r="K27" s="104">
        <v>110.54943409990858</v>
      </c>
      <c r="L27" s="38">
        <v>1.8917394046419785E-3</v>
      </c>
      <c r="M27" s="38">
        <v>7.7027627756141902E-3</v>
      </c>
      <c r="N27" s="46">
        <v>4.2723267287503427E-4</v>
      </c>
      <c r="O27" s="28"/>
      <c r="P27" s="28"/>
    </row>
    <row r="28" spans="1:16" x14ac:dyDescent="0.2">
      <c r="A28" s="30" t="s">
        <v>1204</v>
      </c>
      <c r="B28" s="38" t="s">
        <v>1205</v>
      </c>
      <c r="C28" s="38" t="s">
        <v>221</v>
      </c>
      <c r="D28" s="38" t="s">
        <v>240</v>
      </c>
      <c r="E28" s="38" t="s">
        <v>240</v>
      </c>
      <c r="F28" s="85" t="s">
        <v>385</v>
      </c>
      <c r="G28" s="79" t="s">
        <v>240</v>
      </c>
      <c r="H28" s="79" t="s">
        <v>128</v>
      </c>
      <c r="I28" s="88">
        <v>252212.35092944687</v>
      </c>
      <c r="J28" s="79">
        <v>84.01</v>
      </c>
      <c r="K28" s="104">
        <v>826.40958949729838</v>
      </c>
      <c r="L28" s="38">
        <v>1.7677338776992248E-4</v>
      </c>
      <c r="M28" s="38">
        <v>5.7581814644455581E-2</v>
      </c>
      <c r="N28" s="46">
        <v>3.1937673918023485E-3</v>
      </c>
      <c r="O28" s="28"/>
      <c r="P28" s="28"/>
    </row>
    <row r="29" spans="1:16" x14ac:dyDescent="0.2">
      <c r="A29" s="30" t="s">
        <v>1216</v>
      </c>
      <c r="B29" s="38" t="s">
        <v>1217</v>
      </c>
      <c r="C29" s="38" t="s">
        <v>221</v>
      </c>
      <c r="D29" s="38" t="s">
        <v>240</v>
      </c>
      <c r="E29" s="38" t="s">
        <v>240</v>
      </c>
      <c r="F29" s="85" t="s">
        <v>385</v>
      </c>
      <c r="G29" s="79" t="s">
        <v>240</v>
      </c>
      <c r="H29" s="79" t="s">
        <v>289</v>
      </c>
      <c r="I29" s="88">
        <v>3051.0040329707413</v>
      </c>
      <c r="J29" s="79">
        <v>912700</v>
      </c>
      <c r="K29" s="104">
        <v>913.03149475962982</v>
      </c>
      <c r="L29" s="38">
        <v>2.2141079732678501E-4</v>
      </c>
      <c r="M29" s="38">
        <v>6.3617376860038349E-2</v>
      </c>
      <c r="N29" s="46">
        <v>3.528529016012096E-3</v>
      </c>
      <c r="O29" s="28"/>
      <c r="P29" s="28"/>
    </row>
    <row r="30" spans="1:16" x14ac:dyDescent="0.2">
      <c r="A30" s="30" t="s">
        <v>1206</v>
      </c>
      <c r="B30" s="38" t="s">
        <v>1207</v>
      </c>
      <c r="C30" s="38" t="s">
        <v>221</v>
      </c>
      <c r="D30" s="38" t="s">
        <v>240</v>
      </c>
      <c r="E30" s="38" t="s">
        <v>240</v>
      </c>
      <c r="F30" s="85" t="s">
        <v>385</v>
      </c>
      <c r="G30" s="79" t="s">
        <v>240</v>
      </c>
      <c r="H30" s="79" t="s">
        <v>128</v>
      </c>
      <c r="I30" s="88">
        <v>26453.8327917815</v>
      </c>
      <c r="J30" s="79">
        <v>1047.32</v>
      </c>
      <c r="K30" s="104">
        <v>1080.6026150970013</v>
      </c>
      <c r="L30" s="38">
        <v>2.2096300848192509E-4</v>
      </c>
      <c r="M30" s="38">
        <v>7.5293244751285543E-2</v>
      </c>
      <c r="N30" s="46">
        <v>4.1761294150670413E-3</v>
      </c>
      <c r="O30" s="28"/>
      <c r="P30" s="28"/>
    </row>
    <row r="31" spans="1:16" x14ac:dyDescent="0.2">
      <c r="A31" s="30" t="s">
        <v>1212</v>
      </c>
      <c r="B31" s="38" t="s">
        <v>1213</v>
      </c>
      <c r="C31" s="38" t="s">
        <v>221</v>
      </c>
      <c r="D31" s="38" t="s">
        <v>240</v>
      </c>
      <c r="E31" s="38" t="s">
        <v>240</v>
      </c>
      <c r="F31" s="85" t="s">
        <v>385</v>
      </c>
      <c r="G31" s="79" t="s">
        <v>240</v>
      </c>
      <c r="H31" s="79" t="s">
        <v>127</v>
      </c>
      <c r="I31" s="88">
        <v>1868.1633740782943</v>
      </c>
      <c r="J31" s="79">
        <v>16706.77</v>
      </c>
      <c r="K31" s="104">
        <v>1112.6712877181121</v>
      </c>
      <c r="L31" s="38">
        <v>9.5093040992714583E-6</v>
      </c>
      <c r="M31" s="38">
        <v>7.7527696512531205E-2</v>
      </c>
      <c r="N31" s="46">
        <v>4.3000629732170507E-3</v>
      </c>
      <c r="O31" s="28"/>
      <c r="P31" s="28"/>
    </row>
    <row r="32" spans="1:16" s="138" customFormat="1" x14ac:dyDescent="0.2">
      <c r="A32" s="112" t="s">
        <v>144</v>
      </c>
      <c r="B32" s="145" t="s">
        <v>240</v>
      </c>
      <c r="C32" s="145" t="s">
        <v>240</v>
      </c>
      <c r="D32" s="145" t="s">
        <v>240</v>
      </c>
      <c r="E32" s="145" t="s">
        <v>240</v>
      </c>
      <c r="F32" s="142" t="s">
        <v>240</v>
      </c>
      <c r="G32" s="146" t="s">
        <v>240</v>
      </c>
      <c r="H32" s="146" t="s">
        <v>240</v>
      </c>
      <c r="I32" s="156" t="s">
        <v>240</v>
      </c>
      <c r="J32" s="146" t="s">
        <v>240</v>
      </c>
      <c r="K32" s="147">
        <v>5669.3597319159535</v>
      </c>
      <c r="L32" s="145" t="s">
        <v>240</v>
      </c>
      <c r="M32" s="145">
        <v>0.3950244834822213</v>
      </c>
      <c r="N32" s="141">
        <v>2.1909978386389077E-2</v>
      </c>
    </row>
    <row r="33" spans="1:16" x14ac:dyDescent="0.2">
      <c r="A33" s="30" t="s">
        <v>1224</v>
      </c>
      <c r="B33" s="38" t="s">
        <v>1225</v>
      </c>
      <c r="C33" s="38" t="s">
        <v>221</v>
      </c>
      <c r="D33" s="38" t="s">
        <v>240</v>
      </c>
      <c r="E33" s="38" t="s">
        <v>240</v>
      </c>
      <c r="F33" s="85" t="s">
        <v>1226</v>
      </c>
      <c r="G33" s="79" t="s">
        <v>319</v>
      </c>
      <c r="H33" s="79" t="s">
        <v>127</v>
      </c>
      <c r="I33" s="88">
        <v>1557269.5768941017</v>
      </c>
      <c r="J33" s="79">
        <v>100</v>
      </c>
      <c r="K33" s="104">
        <v>5551.6660384660636</v>
      </c>
      <c r="L33" s="38" t="s">
        <v>240</v>
      </c>
      <c r="M33" s="38">
        <v>0.38682392951094491</v>
      </c>
      <c r="N33" s="46">
        <v>2.1455135793638318E-2</v>
      </c>
      <c r="O33" s="28"/>
      <c r="P33" s="28"/>
    </row>
    <row r="34" spans="1:16" x14ac:dyDescent="0.2">
      <c r="A34" s="247" t="s">
        <v>1227</v>
      </c>
      <c r="B34" s="235" t="s">
        <v>1228</v>
      </c>
      <c r="C34" s="235" t="s">
        <v>221</v>
      </c>
      <c r="D34" s="235" t="s">
        <v>240</v>
      </c>
      <c r="E34" s="235" t="s">
        <v>240</v>
      </c>
      <c r="F34" s="236" t="s">
        <v>1229</v>
      </c>
      <c r="G34" s="237" t="s">
        <v>354</v>
      </c>
      <c r="H34" s="237" t="s">
        <v>2</v>
      </c>
      <c r="I34" s="248">
        <v>26757.08052556793</v>
      </c>
      <c r="J34" s="237">
        <v>100</v>
      </c>
      <c r="K34" s="238">
        <v>117.69369334989052</v>
      </c>
      <c r="L34" s="235" t="s">
        <v>240</v>
      </c>
      <c r="M34" s="235">
        <v>8.2005539643086947E-3</v>
      </c>
      <c r="N34" s="239">
        <v>4.5484259236429646E-4</v>
      </c>
      <c r="O34" s="28"/>
      <c r="P34" s="28"/>
    </row>
    <row r="35" spans="1:16" s="138" customFormat="1" x14ac:dyDescent="0.2">
      <c r="A35" s="97" t="s">
        <v>231</v>
      </c>
      <c r="B35" s="148"/>
      <c r="C35" s="148"/>
      <c r="D35" s="148"/>
      <c r="E35" s="148"/>
      <c r="F35" s="149"/>
      <c r="G35" s="149"/>
      <c r="H35" s="149"/>
      <c r="I35" s="150"/>
      <c r="J35" s="151"/>
      <c r="K35" s="152"/>
      <c r="L35" s="152"/>
      <c r="M35" s="152"/>
      <c r="N35" s="152"/>
      <c r="O35" s="153"/>
      <c r="P35" s="153"/>
    </row>
    <row r="36" spans="1:16" s="138" customFormat="1" x14ac:dyDescent="0.2">
      <c r="A36" s="97" t="s">
        <v>232</v>
      </c>
      <c r="B36" s="148"/>
      <c r="C36" s="148"/>
      <c r="D36" s="148"/>
      <c r="E36" s="148"/>
      <c r="F36" s="149"/>
      <c r="G36" s="149"/>
      <c r="H36" s="149"/>
      <c r="I36" s="150"/>
      <c r="J36" s="151"/>
      <c r="K36" s="152"/>
      <c r="L36" s="152"/>
      <c r="M36" s="152"/>
      <c r="N36" s="152"/>
      <c r="O36" s="153"/>
      <c r="P36" s="153"/>
    </row>
    <row r="37" spans="1:16" s="138" customFormat="1" x14ac:dyDescent="0.2">
      <c r="A37" s="97" t="s">
        <v>233</v>
      </c>
      <c r="B37" s="148"/>
      <c r="C37" s="148"/>
      <c r="D37" s="148"/>
      <c r="E37" s="148"/>
      <c r="F37" s="149"/>
      <c r="G37" s="149"/>
      <c r="H37" s="149"/>
      <c r="I37" s="150"/>
      <c r="J37" s="151"/>
      <c r="K37" s="152"/>
      <c r="L37" s="152"/>
      <c r="M37" s="152"/>
      <c r="N37" s="152"/>
      <c r="O37" s="153"/>
      <c r="P37" s="153"/>
    </row>
    <row r="38" spans="1:16" s="138" customFormat="1" x14ac:dyDescent="0.2">
      <c r="A38" s="97" t="s">
        <v>234</v>
      </c>
      <c r="B38" s="148"/>
      <c r="C38" s="148"/>
      <c r="D38" s="148"/>
      <c r="E38" s="148"/>
      <c r="F38" s="149"/>
      <c r="G38" s="149"/>
      <c r="H38" s="149"/>
      <c r="I38" s="150"/>
      <c r="J38" s="151"/>
      <c r="K38" s="152"/>
      <c r="L38" s="152"/>
      <c r="M38" s="152"/>
      <c r="N38" s="152"/>
      <c r="O38" s="153"/>
      <c r="P38" s="153"/>
    </row>
    <row r="39" spans="1:16" s="138" customFormat="1" x14ac:dyDescent="0.2">
      <c r="A39" s="97" t="s">
        <v>235</v>
      </c>
      <c r="B39" s="148"/>
      <c r="C39" s="148"/>
      <c r="D39" s="148"/>
      <c r="E39" s="148"/>
      <c r="F39" s="149"/>
      <c r="G39" s="149"/>
      <c r="H39" s="149"/>
      <c r="I39" s="150"/>
      <c r="J39" s="151"/>
      <c r="K39" s="152"/>
      <c r="L39" s="152"/>
      <c r="M39" s="152"/>
      <c r="N39" s="152"/>
      <c r="O39" s="153"/>
      <c r="P39" s="153"/>
    </row>
  </sheetData>
  <mergeCells count="2">
    <mergeCell ref="A6:N6"/>
    <mergeCell ref="A5:N5"/>
  </mergeCells>
  <conditionalFormatting sqref="C10:D34">
    <cfRule type="expression" dxfId="114" priority="9" stopIfTrue="1">
      <formula>LEFT($IB10,3)="TIR"</formula>
    </cfRule>
  </conditionalFormatting>
  <conditionalFormatting sqref="J1:J4 I10:J34 L10:L34 J35:J55569">
    <cfRule type="expression" dxfId="113" priority="152" stopIfTrue="1">
      <formula>LEFT(#REF!,3)="TIR"</formula>
    </cfRule>
  </conditionalFormatting>
  <conditionalFormatting sqref="B10:H34 M10:N34">
    <cfRule type="expression" dxfId="112" priority="156" stopIfTrue="1">
      <formula>OR(LEFT(#REF!,3)="TIR",LEFT(#REF!,2)="IR")</formula>
    </cfRule>
  </conditionalFormatting>
  <conditionalFormatting sqref="A10:A34 K10:K34">
    <cfRule type="expression" dxfId="111" priority="158" stopIfTrue="1">
      <formula>#REF!&gt;0</formula>
    </cfRule>
    <cfRule type="expression" dxfId="110" priority="159" stopIfTrue="1">
      <formula>LEFT(#REF!,3)="TIR"</formula>
    </cfRule>
  </conditionalFormatting>
  <conditionalFormatting sqref="C10:D34">
    <cfRule type="expression" dxfId="10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2D13-59AE-45D2-8433-5539AEB1E485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78" customWidth="1"/>
    <col min="6" max="6" width="10.140625" style="78" customWidth="1"/>
    <col min="7" max="7" width="8.5703125" style="78" bestFit="1" customWidth="1"/>
    <col min="8" max="8" width="9.85546875" style="50" customWidth="1"/>
    <col min="9" max="9" width="20.85546875" style="80" customWidth="1"/>
    <col min="10" max="10" width="24" style="80" customWidth="1"/>
    <col min="11" max="11" width="19.7109375" style="82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78"/>
      <c r="F1" s="78"/>
      <c r="G1" s="78"/>
      <c r="H1" s="50"/>
      <c r="I1" s="80"/>
      <c r="J1" s="80"/>
      <c r="K1" s="81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78"/>
      <c r="F2" s="78"/>
      <c r="G2" s="78"/>
      <c r="H2" s="50"/>
      <c r="I2" s="80"/>
      <c r="J2" s="80"/>
      <c r="K2" s="81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78"/>
      <c r="F3" s="78"/>
      <c r="G3" s="78"/>
      <c r="H3" s="50"/>
      <c r="I3" s="80"/>
      <c r="J3" s="80"/>
      <c r="K3" s="81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237</v>
      </c>
      <c r="C4" s="22"/>
      <c r="D4" s="22"/>
      <c r="E4" s="78"/>
      <c r="F4" s="78"/>
      <c r="G4" s="78"/>
      <c r="H4" s="50"/>
      <c r="I4" s="80"/>
      <c r="J4" s="80"/>
      <c r="K4" s="81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160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6"/>
      <c r="H8" s="15" t="s">
        <v>138</v>
      </c>
      <c r="I8" s="66" t="s">
        <v>9</v>
      </c>
      <c r="J8" s="66" t="s">
        <v>9</v>
      </c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6">
        <v>9</v>
      </c>
      <c r="K9" s="61">
        <v>10</v>
      </c>
    </row>
    <row r="10" spans="1:16" s="138" customFormat="1" ht="12.75" customHeight="1" thickBot="1" x14ac:dyDescent="0.25">
      <c r="A10" s="170" t="s">
        <v>55</v>
      </c>
      <c r="B10" s="89"/>
      <c r="C10" s="89"/>
      <c r="D10" s="89"/>
      <c r="E10" s="171"/>
      <c r="F10" s="176"/>
      <c r="G10" s="171"/>
      <c r="H10" s="174">
        <v>2.0000000000000002E-7</v>
      </c>
      <c r="I10" s="89"/>
      <c r="J10" s="103">
        <v>1</v>
      </c>
      <c r="K10" s="102">
        <v>0</v>
      </c>
    </row>
    <row r="11" spans="1:16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2" t="s">
        <v>240</v>
      </c>
      <c r="F11" s="154" t="s">
        <v>240</v>
      </c>
      <c r="G11" s="142" t="s">
        <v>240</v>
      </c>
      <c r="H11" s="143">
        <v>0</v>
      </c>
      <c r="I11" s="141" t="s">
        <v>240</v>
      </c>
      <c r="J11" s="141">
        <v>0</v>
      </c>
      <c r="K11" s="141">
        <v>0</v>
      </c>
    </row>
    <row r="12" spans="1:16" s="138" customFormat="1" x14ac:dyDescent="0.2">
      <c r="A12" s="112" t="s">
        <v>1230</v>
      </c>
      <c r="B12" s="141" t="s">
        <v>240</v>
      </c>
      <c r="C12" s="145" t="s">
        <v>240</v>
      </c>
      <c r="D12" s="145" t="s">
        <v>240</v>
      </c>
      <c r="E12" s="146" t="s">
        <v>240</v>
      </c>
      <c r="F12" s="156" t="s">
        <v>240</v>
      </c>
      <c r="G12" s="142" t="s">
        <v>240</v>
      </c>
      <c r="H12" s="147">
        <v>0</v>
      </c>
      <c r="I12" s="145" t="s">
        <v>240</v>
      </c>
      <c r="J12" s="141">
        <v>0</v>
      </c>
      <c r="K12" s="141">
        <v>0</v>
      </c>
    </row>
    <row r="13" spans="1:16" s="138" customFormat="1" x14ac:dyDescent="0.2">
      <c r="A13" s="112" t="s">
        <v>376</v>
      </c>
      <c r="B13" s="141" t="s">
        <v>240</v>
      </c>
      <c r="C13" s="145" t="s">
        <v>240</v>
      </c>
      <c r="D13" s="145" t="s">
        <v>240</v>
      </c>
      <c r="E13" s="146" t="s">
        <v>240</v>
      </c>
      <c r="F13" s="156" t="s">
        <v>240</v>
      </c>
      <c r="G13" s="142" t="s">
        <v>240</v>
      </c>
      <c r="H13" s="147">
        <v>0</v>
      </c>
      <c r="I13" s="145" t="s">
        <v>240</v>
      </c>
      <c r="J13" s="141">
        <v>0</v>
      </c>
      <c r="K13" s="141">
        <v>0</v>
      </c>
    </row>
    <row r="14" spans="1:16" s="138" customFormat="1" x14ac:dyDescent="0.2">
      <c r="A14" s="202" t="s">
        <v>1231</v>
      </c>
      <c r="B14" s="242" t="s">
        <v>240</v>
      </c>
      <c r="C14" s="203" t="s">
        <v>240</v>
      </c>
      <c r="D14" s="203" t="s">
        <v>240</v>
      </c>
      <c r="E14" s="204" t="s">
        <v>240</v>
      </c>
      <c r="F14" s="205" t="s">
        <v>240</v>
      </c>
      <c r="G14" s="241" t="s">
        <v>240</v>
      </c>
      <c r="H14" s="207">
        <v>0</v>
      </c>
      <c r="I14" s="203" t="s">
        <v>240</v>
      </c>
      <c r="J14" s="242">
        <v>0</v>
      </c>
      <c r="K14" s="242">
        <v>0</v>
      </c>
    </row>
    <row r="15" spans="1:16" s="138" customFormat="1" x14ac:dyDescent="0.2">
      <c r="A15" s="97" t="s">
        <v>231</v>
      </c>
      <c r="B15" s="148"/>
      <c r="C15" s="148"/>
      <c r="D15" s="148"/>
      <c r="E15" s="149"/>
      <c r="F15" s="149"/>
      <c r="G15" s="149"/>
      <c r="H15" s="150"/>
      <c r="I15" s="151"/>
      <c r="J15" s="151"/>
      <c r="K15" s="152"/>
      <c r="L15" s="169"/>
      <c r="M15" s="169"/>
      <c r="N15" s="153"/>
      <c r="O15" s="153"/>
    </row>
    <row r="16" spans="1:16" s="138" customFormat="1" x14ac:dyDescent="0.2">
      <c r="A16" s="97" t="s">
        <v>232</v>
      </c>
      <c r="B16" s="148"/>
      <c r="C16" s="148"/>
      <c r="D16" s="148"/>
      <c r="E16" s="149"/>
      <c r="F16" s="149"/>
      <c r="G16" s="149"/>
      <c r="H16" s="150"/>
      <c r="I16" s="151"/>
      <c r="J16" s="151"/>
      <c r="K16" s="152"/>
      <c r="L16" s="169"/>
      <c r="M16" s="169"/>
      <c r="N16" s="153"/>
      <c r="O16" s="153"/>
    </row>
    <row r="17" spans="1:15" s="138" customFormat="1" x14ac:dyDescent="0.2">
      <c r="A17" s="97" t="s">
        <v>233</v>
      </c>
      <c r="B17" s="148"/>
      <c r="C17" s="148"/>
      <c r="D17" s="148"/>
      <c r="E17" s="149"/>
      <c r="F17" s="149"/>
      <c r="G17" s="149"/>
      <c r="H17" s="150"/>
      <c r="I17" s="151"/>
      <c r="J17" s="151"/>
      <c r="K17" s="152"/>
      <c r="L17" s="169"/>
      <c r="M17" s="169"/>
      <c r="N17" s="153"/>
      <c r="O17" s="153"/>
    </row>
    <row r="18" spans="1:15" s="138" customFormat="1" x14ac:dyDescent="0.2">
      <c r="A18" s="97" t="s">
        <v>234</v>
      </c>
      <c r="B18" s="148"/>
      <c r="C18" s="148"/>
      <c r="D18" s="148"/>
      <c r="E18" s="149"/>
      <c r="F18" s="149"/>
      <c r="G18" s="149"/>
      <c r="H18" s="150"/>
      <c r="I18" s="151"/>
      <c r="J18" s="151"/>
      <c r="K18" s="152"/>
      <c r="L18" s="169"/>
      <c r="M18" s="169"/>
      <c r="N18" s="153"/>
      <c r="O18" s="153"/>
    </row>
    <row r="19" spans="1:15" s="138" customFormat="1" x14ac:dyDescent="0.2">
      <c r="A19" s="97" t="s">
        <v>235</v>
      </c>
      <c r="B19" s="148"/>
      <c r="C19" s="148"/>
      <c r="D19" s="148"/>
      <c r="E19" s="149"/>
      <c r="F19" s="149"/>
      <c r="G19" s="149"/>
      <c r="H19" s="150"/>
      <c r="I19" s="151"/>
      <c r="J19" s="151"/>
      <c r="K19" s="152"/>
      <c r="L19" s="169"/>
      <c r="M19" s="169"/>
      <c r="N19" s="153"/>
      <c r="O19" s="153"/>
    </row>
  </sheetData>
  <mergeCells count="2">
    <mergeCell ref="A6:K6"/>
    <mergeCell ref="A5:K5"/>
  </mergeCells>
  <conditionalFormatting sqref="B11:E14 J11:K14">
    <cfRule type="expression" dxfId="108" priority="168" stopIfTrue="1">
      <formula>OR(LEFT(#REF!,3)="TIR",LEFT(#REF!,2)="IR")</formula>
    </cfRule>
  </conditionalFormatting>
  <conditionalFormatting sqref="A10:A14 H10:H14">
    <cfRule type="expression" dxfId="107" priority="170" stopIfTrue="1">
      <formula>#REF!&gt;0</formula>
    </cfRule>
  </conditionalFormatting>
  <conditionalFormatting sqref="G11:G14">
    <cfRule type="expression" dxfId="106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3D58-1DBE-4947-9560-5B80FBCD8F92}">
  <sheetPr codeName="גיליון10">
    <pageSetUpPr fitToPage="1"/>
  </sheetPr>
  <dimension ref="A1:P79"/>
  <sheetViews>
    <sheetView rightToLeft="1" topLeftCell="A7" zoomScale="90" zoomScaleNormal="90" workbookViewId="0">
      <selection activeCell="A7" sqref="A7:K74"/>
    </sheetView>
  </sheetViews>
  <sheetFormatPr defaultRowHeight="12.75" x14ac:dyDescent="0.2"/>
  <cols>
    <col min="1" max="1" width="27.7109375" style="23" bestFit="1" customWidth="1"/>
    <col min="2" max="2" width="15.85546875" style="22" bestFit="1" customWidth="1"/>
    <col min="3" max="3" width="11.5703125" style="22" customWidth="1"/>
    <col min="4" max="4" width="31" style="22" bestFit="1" customWidth="1"/>
    <col min="5" max="5" width="11.28515625" style="22" bestFit="1" customWidth="1"/>
    <col min="6" max="6" width="10.140625" style="78" customWidth="1"/>
    <col min="7" max="7" width="10.42578125" style="78" bestFit="1" customWidth="1"/>
    <col min="8" max="8" width="9.5703125" style="78" customWidth="1"/>
    <col min="9" max="9" width="21.140625" style="50" customWidth="1"/>
    <col min="10" max="10" width="24" style="80" customWidth="1"/>
    <col min="11" max="11" width="19.5703125" style="82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22"/>
      <c r="F1" s="78"/>
      <c r="G1" s="78"/>
      <c r="H1" s="78"/>
      <c r="I1" s="50"/>
      <c r="J1" s="80"/>
      <c r="K1" s="81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22"/>
      <c r="F2" s="78"/>
      <c r="G2" s="78"/>
      <c r="H2" s="78"/>
      <c r="I2" s="50"/>
      <c r="J2" s="80"/>
      <c r="K2" s="81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22"/>
      <c r="F3" s="78"/>
      <c r="G3" s="78"/>
      <c r="H3" s="78"/>
      <c r="I3" s="50"/>
      <c r="J3" s="80"/>
      <c r="K3" s="81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237</v>
      </c>
      <c r="C4" s="22"/>
      <c r="D4" s="22"/>
      <c r="E4" s="22"/>
      <c r="F4" s="78"/>
      <c r="G4" s="78"/>
      <c r="H4" s="78"/>
      <c r="I4" s="50"/>
      <c r="J4" s="80"/>
      <c r="K4" s="81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160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6"/>
      <c r="H8" s="15" t="s">
        <v>138</v>
      </c>
      <c r="I8" s="66" t="s">
        <v>9</v>
      </c>
      <c r="J8" s="74"/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6">
        <v>9</v>
      </c>
      <c r="K9" s="61">
        <v>10</v>
      </c>
    </row>
    <row r="10" spans="1:16" s="138" customFormat="1" ht="12.75" customHeight="1" thickBot="1" x14ac:dyDescent="0.25">
      <c r="A10" s="170" t="s">
        <v>56</v>
      </c>
      <c r="B10" s="89"/>
      <c r="C10" s="89"/>
      <c r="D10" s="89"/>
      <c r="E10" s="171"/>
      <c r="F10" s="172"/>
      <c r="G10" s="176"/>
      <c r="H10" s="129">
        <v>-18.039142674316231</v>
      </c>
      <c r="I10" s="89"/>
      <c r="J10" s="89">
        <v>1</v>
      </c>
      <c r="K10" s="102">
        <v>-6.9714614135040515E-5</v>
      </c>
    </row>
    <row r="11" spans="1:16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2" t="s">
        <v>240</v>
      </c>
      <c r="F11" s="154" t="s">
        <v>240</v>
      </c>
      <c r="G11" s="142" t="s">
        <v>240</v>
      </c>
      <c r="H11" s="143">
        <v>-1.4658165071666371</v>
      </c>
      <c r="I11" s="141" t="s">
        <v>240</v>
      </c>
      <c r="J11" s="141">
        <v>8.1257548300986457E-2</v>
      </c>
      <c r="K11" s="141">
        <v>-5.6648386253626879E-6</v>
      </c>
    </row>
    <row r="12" spans="1:16" s="138" customFormat="1" x14ac:dyDescent="0.2">
      <c r="A12" s="112" t="s">
        <v>1232</v>
      </c>
      <c r="B12" s="141" t="s">
        <v>240</v>
      </c>
      <c r="C12" s="141" t="s">
        <v>240</v>
      </c>
      <c r="D12" s="141" t="s">
        <v>240</v>
      </c>
      <c r="E12" s="142" t="s">
        <v>240</v>
      </c>
      <c r="F12" s="156" t="s">
        <v>240</v>
      </c>
      <c r="G12" s="142" t="s">
        <v>240</v>
      </c>
      <c r="H12" s="147">
        <v>-1.4658168071666369</v>
      </c>
      <c r="I12" s="145" t="s">
        <v>240</v>
      </c>
      <c r="J12" s="141">
        <v>8.1257564931488543E-2</v>
      </c>
      <c r="K12" s="145">
        <v>-5.664839784751723E-6</v>
      </c>
    </row>
    <row r="13" spans="1:16" x14ac:dyDescent="0.2">
      <c r="A13" s="30" t="s">
        <v>1233</v>
      </c>
      <c r="B13" s="46" t="s">
        <v>1234</v>
      </c>
      <c r="C13" s="46" t="s">
        <v>383</v>
      </c>
      <c r="D13" s="46" t="s">
        <v>221</v>
      </c>
      <c r="E13" s="85" t="s">
        <v>247</v>
      </c>
      <c r="F13" s="88">
        <v>6.3204278300606873</v>
      </c>
      <c r="G13" s="85">
        <v>514200</v>
      </c>
      <c r="H13" s="113">
        <v>32.499639902172056</v>
      </c>
      <c r="I13" s="38" t="s">
        <v>240</v>
      </c>
      <c r="J13" s="46">
        <v>-1.8016177647092062</v>
      </c>
      <c r="K13" s="38">
        <v>1.2559908728553652E-4</v>
      </c>
      <c r="L13" s="28"/>
      <c r="M13" s="28"/>
      <c r="N13" s="28"/>
      <c r="O13" s="28"/>
    </row>
    <row r="14" spans="1:16" x14ac:dyDescent="0.2">
      <c r="A14" s="30" t="s">
        <v>1235</v>
      </c>
      <c r="B14" s="46" t="s">
        <v>1236</v>
      </c>
      <c r="C14" s="46" t="s">
        <v>383</v>
      </c>
      <c r="D14" s="46" t="s">
        <v>221</v>
      </c>
      <c r="E14" s="85" t="s">
        <v>247</v>
      </c>
      <c r="F14" s="88">
        <v>-6.3204278300606873</v>
      </c>
      <c r="G14" s="85">
        <v>576400</v>
      </c>
      <c r="H14" s="113">
        <v>-36.430946012469803</v>
      </c>
      <c r="I14" s="38" t="s">
        <v>240</v>
      </c>
      <c r="J14" s="46">
        <v>2.0195497463601444</v>
      </c>
      <c r="K14" s="38">
        <v>-1.4079213129401642E-4</v>
      </c>
      <c r="L14" s="28"/>
      <c r="M14" s="28"/>
      <c r="N14" s="28"/>
      <c r="O14" s="28"/>
    </row>
    <row r="15" spans="1:16" x14ac:dyDescent="0.2">
      <c r="A15" s="30" t="s">
        <v>1237</v>
      </c>
      <c r="B15" s="46" t="s">
        <v>1238</v>
      </c>
      <c r="C15" s="46" t="s">
        <v>383</v>
      </c>
      <c r="D15" s="46" t="s">
        <v>221</v>
      </c>
      <c r="E15" s="85" t="s">
        <v>247</v>
      </c>
      <c r="F15" s="88">
        <v>1.5148132815847928</v>
      </c>
      <c r="G15" s="85">
        <v>230000</v>
      </c>
      <c r="H15" s="113">
        <v>3.4840705476450236</v>
      </c>
      <c r="I15" s="38" t="s">
        <v>240</v>
      </c>
      <c r="J15" s="46">
        <v>-0.19313947511516572</v>
      </c>
      <c r="K15" s="38">
        <v>1.3464643981898037E-5</v>
      </c>
      <c r="L15" s="28"/>
      <c r="M15" s="28"/>
      <c r="N15" s="28"/>
      <c r="O15" s="28"/>
    </row>
    <row r="16" spans="1:16" x14ac:dyDescent="0.2">
      <c r="A16" s="30" t="s">
        <v>1239</v>
      </c>
      <c r="B16" s="46" t="s">
        <v>1240</v>
      </c>
      <c r="C16" s="46" t="s">
        <v>383</v>
      </c>
      <c r="D16" s="46" t="s">
        <v>221</v>
      </c>
      <c r="E16" s="85" t="s">
        <v>247</v>
      </c>
      <c r="F16" s="88">
        <v>-1.5148132815847928</v>
      </c>
      <c r="G16" s="85">
        <v>154000</v>
      </c>
      <c r="H16" s="113">
        <v>-2.3328124536405808</v>
      </c>
      <c r="I16" s="38" t="s">
        <v>240</v>
      </c>
      <c r="J16" s="46">
        <v>0.12931947464232835</v>
      </c>
      <c r="K16" s="38">
        <v>-9.0154572748360767E-6</v>
      </c>
      <c r="L16" s="28"/>
      <c r="M16" s="28"/>
      <c r="N16" s="28"/>
      <c r="O16" s="28"/>
    </row>
    <row r="17" spans="1:15" x14ac:dyDescent="0.2">
      <c r="A17" s="30" t="s">
        <v>1241</v>
      </c>
      <c r="B17" s="46" t="s">
        <v>1242</v>
      </c>
      <c r="C17" s="46" t="s">
        <v>383</v>
      </c>
      <c r="D17" s="46" t="s">
        <v>221</v>
      </c>
      <c r="E17" s="85" t="s">
        <v>247</v>
      </c>
      <c r="F17" s="88">
        <v>1.5461542460313746</v>
      </c>
      <c r="G17" s="85">
        <v>200000</v>
      </c>
      <c r="H17" s="113">
        <v>3.0923084920627493</v>
      </c>
      <c r="I17" s="38" t="s">
        <v>240</v>
      </c>
      <c r="J17" s="46">
        <v>-0.17142214283085172</v>
      </c>
      <c r="K17" s="38">
        <v>1.1950628541654629E-5</v>
      </c>
      <c r="L17" s="28"/>
      <c r="M17" s="28"/>
      <c r="N17" s="28"/>
      <c r="O17" s="28"/>
    </row>
    <row r="18" spans="1:15" x14ac:dyDescent="0.2">
      <c r="A18" s="30" t="s">
        <v>1243</v>
      </c>
      <c r="B18" s="46" t="s">
        <v>1244</v>
      </c>
      <c r="C18" s="46" t="s">
        <v>383</v>
      </c>
      <c r="D18" s="46" t="s">
        <v>221</v>
      </c>
      <c r="E18" s="85" t="s">
        <v>247</v>
      </c>
      <c r="F18" s="88">
        <v>-1.5461542460313746</v>
      </c>
      <c r="G18" s="85">
        <v>115000</v>
      </c>
      <c r="H18" s="113">
        <v>-1.778077382936081</v>
      </c>
      <c r="I18" s="38" t="s">
        <v>240</v>
      </c>
      <c r="J18" s="46">
        <v>9.8567732127739754E-2</v>
      </c>
      <c r="K18" s="38">
        <v>-6.8716114114514122E-6</v>
      </c>
      <c r="L18" s="28"/>
      <c r="M18" s="28"/>
      <c r="N18" s="28"/>
      <c r="O18" s="28"/>
    </row>
    <row r="19" spans="1:15" s="138" customFormat="1" x14ac:dyDescent="0.2">
      <c r="A19" s="112" t="s">
        <v>1245</v>
      </c>
      <c r="B19" s="141" t="s">
        <v>240</v>
      </c>
      <c r="C19" s="141" t="s">
        <v>240</v>
      </c>
      <c r="D19" s="141" t="s">
        <v>240</v>
      </c>
      <c r="E19" s="142" t="s">
        <v>240</v>
      </c>
      <c r="F19" s="156" t="s">
        <v>240</v>
      </c>
      <c r="G19" s="142" t="s">
        <v>240</v>
      </c>
      <c r="H19" s="147">
        <v>0</v>
      </c>
      <c r="I19" s="145" t="s">
        <v>240</v>
      </c>
      <c r="J19" s="141">
        <v>0</v>
      </c>
      <c r="K19" s="145">
        <v>0</v>
      </c>
    </row>
    <row r="20" spans="1:15" s="138" customFormat="1" x14ac:dyDescent="0.2">
      <c r="A20" s="112" t="s">
        <v>1246</v>
      </c>
      <c r="B20" s="141" t="s">
        <v>240</v>
      </c>
      <c r="C20" s="141" t="s">
        <v>240</v>
      </c>
      <c r="D20" s="141" t="s">
        <v>240</v>
      </c>
      <c r="E20" s="142" t="s">
        <v>240</v>
      </c>
      <c r="F20" s="156" t="s">
        <v>240</v>
      </c>
      <c r="G20" s="142" t="s">
        <v>240</v>
      </c>
      <c r="H20" s="147">
        <v>0</v>
      </c>
      <c r="I20" s="145" t="s">
        <v>240</v>
      </c>
      <c r="J20" s="141">
        <v>0</v>
      </c>
      <c r="K20" s="145">
        <v>0</v>
      </c>
    </row>
    <row r="21" spans="1:15" s="138" customFormat="1" x14ac:dyDescent="0.2">
      <c r="A21" s="112" t="s">
        <v>144</v>
      </c>
      <c r="B21" s="141" t="s">
        <v>240</v>
      </c>
      <c r="C21" s="141" t="s">
        <v>240</v>
      </c>
      <c r="D21" s="141" t="s">
        <v>240</v>
      </c>
      <c r="E21" s="142" t="s">
        <v>240</v>
      </c>
      <c r="F21" s="156" t="s">
        <v>240</v>
      </c>
      <c r="G21" s="142" t="s">
        <v>240</v>
      </c>
      <c r="H21" s="147">
        <v>0</v>
      </c>
      <c r="I21" s="145" t="s">
        <v>240</v>
      </c>
      <c r="J21" s="141">
        <v>0</v>
      </c>
      <c r="K21" s="145">
        <v>0</v>
      </c>
    </row>
    <row r="22" spans="1:15" s="138" customFormat="1" x14ac:dyDescent="0.2">
      <c r="A22" s="112" t="s">
        <v>376</v>
      </c>
      <c r="B22" s="141" t="s">
        <v>240</v>
      </c>
      <c r="C22" s="141" t="s">
        <v>240</v>
      </c>
      <c r="D22" s="141" t="s">
        <v>240</v>
      </c>
      <c r="E22" s="142" t="s">
        <v>240</v>
      </c>
      <c r="F22" s="156" t="s">
        <v>240</v>
      </c>
      <c r="G22" s="142" t="s">
        <v>240</v>
      </c>
      <c r="H22" s="147">
        <v>-16.573326167149602</v>
      </c>
      <c r="I22" s="145" t="s">
        <v>240</v>
      </c>
      <c r="J22" s="141">
        <v>0.91874245169901414</v>
      </c>
      <c r="K22" s="145">
        <v>-6.4049775509677861E-5</v>
      </c>
    </row>
    <row r="23" spans="1:15" s="138" customFormat="1" x14ac:dyDescent="0.2">
      <c r="A23" s="112" t="s">
        <v>1232</v>
      </c>
      <c r="B23" s="141" t="s">
        <v>240</v>
      </c>
      <c r="C23" s="141" t="s">
        <v>240</v>
      </c>
      <c r="D23" s="141" t="s">
        <v>240</v>
      </c>
      <c r="E23" s="142" t="s">
        <v>240</v>
      </c>
      <c r="F23" s="156" t="s">
        <v>240</v>
      </c>
      <c r="G23" s="142" t="s">
        <v>240</v>
      </c>
      <c r="H23" s="147">
        <v>-12.095665946559121</v>
      </c>
      <c r="I23" s="145" t="s">
        <v>240</v>
      </c>
      <c r="J23" s="141">
        <v>0.67052332613238264</v>
      </c>
      <c r="K23" s="145">
        <v>-4.6745274949862974E-5</v>
      </c>
    </row>
    <row r="24" spans="1:15" x14ac:dyDescent="0.2">
      <c r="A24" s="30" t="s">
        <v>1247</v>
      </c>
      <c r="B24" s="46" t="s">
        <v>1248</v>
      </c>
      <c r="C24" s="46" t="s">
        <v>829</v>
      </c>
      <c r="D24" s="46" t="s">
        <v>180</v>
      </c>
      <c r="E24" s="85" t="s">
        <v>127</v>
      </c>
      <c r="F24" s="88">
        <v>101.77978204027478</v>
      </c>
      <c r="G24" s="85">
        <v>128</v>
      </c>
      <c r="H24" s="113">
        <v>46.444150140618191</v>
      </c>
      <c r="I24" s="38" t="s">
        <v>240</v>
      </c>
      <c r="J24" s="46">
        <v>-2.5746317870607256</v>
      </c>
      <c r="K24" s="38">
        <v>1.7948946157474827E-4</v>
      </c>
      <c r="L24" s="28"/>
      <c r="M24" s="28"/>
      <c r="N24" s="28"/>
      <c r="O24" s="28"/>
    </row>
    <row r="25" spans="1:15" x14ac:dyDescent="0.2">
      <c r="A25" s="30" t="s">
        <v>1249</v>
      </c>
      <c r="B25" s="46" t="s">
        <v>1250</v>
      </c>
      <c r="C25" s="46" t="s">
        <v>221</v>
      </c>
      <c r="D25" s="46" t="s">
        <v>190</v>
      </c>
      <c r="E25" s="85" t="s">
        <v>128</v>
      </c>
      <c r="F25" s="88">
        <v>58.723484498201934</v>
      </c>
      <c r="G25" s="85">
        <v>20</v>
      </c>
      <c r="H25" s="113">
        <v>0.4580783608794135</v>
      </c>
      <c r="I25" s="38" t="s">
        <v>240</v>
      </c>
      <c r="J25" s="46">
        <v>-2.5393577131113679E-2</v>
      </c>
      <c r="K25" s="38">
        <v>1.7703034312039794E-6</v>
      </c>
      <c r="L25" s="28"/>
      <c r="M25" s="28"/>
      <c r="N25" s="28"/>
      <c r="O25" s="28"/>
    </row>
    <row r="26" spans="1:15" x14ac:dyDescent="0.2">
      <c r="A26" s="30" t="s">
        <v>1251</v>
      </c>
      <c r="B26" s="46" t="s">
        <v>1252</v>
      </c>
      <c r="C26" s="46" t="s">
        <v>221</v>
      </c>
      <c r="D26" s="46" t="s">
        <v>190</v>
      </c>
      <c r="E26" s="85" t="s">
        <v>289</v>
      </c>
      <c r="F26" s="88">
        <v>10.11080369986583</v>
      </c>
      <c r="G26" s="85">
        <v>300</v>
      </c>
      <c r="H26" s="113">
        <v>0.99453906343829312</v>
      </c>
      <c r="I26" s="38" t="s">
        <v>240</v>
      </c>
      <c r="J26" s="46">
        <v>-5.51322799200595E-2</v>
      </c>
      <c r="K26" s="38">
        <v>3.84352562101199E-6</v>
      </c>
      <c r="L26" s="28"/>
      <c r="M26" s="28"/>
      <c r="N26" s="28"/>
      <c r="O26" s="28"/>
    </row>
    <row r="27" spans="1:15" x14ac:dyDescent="0.2">
      <c r="A27" s="30" t="s">
        <v>1253</v>
      </c>
      <c r="B27" s="46" t="s">
        <v>1254</v>
      </c>
      <c r="C27" s="46" t="s">
        <v>221</v>
      </c>
      <c r="D27" s="46" t="s">
        <v>190</v>
      </c>
      <c r="E27" s="85" t="s">
        <v>289</v>
      </c>
      <c r="F27" s="88">
        <v>-5.0316303678799388</v>
      </c>
      <c r="G27" s="85">
        <v>192000</v>
      </c>
      <c r="H27" s="113">
        <v>-316.75602528393114</v>
      </c>
      <c r="I27" s="38" t="s">
        <v>240</v>
      </c>
      <c r="J27" s="46">
        <v>17.559372471449102</v>
      </c>
      <c r="K27" s="38">
        <v>-1.2241448763005269E-3</v>
      </c>
      <c r="L27" s="28"/>
      <c r="M27" s="28"/>
      <c r="N27" s="28"/>
      <c r="O27" s="28"/>
    </row>
    <row r="28" spans="1:15" x14ac:dyDescent="0.2">
      <c r="A28" s="30" t="s">
        <v>1249</v>
      </c>
      <c r="B28" s="46" t="s">
        <v>1250</v>
      </c>
      <c r="C28" s="46" t="s">
        <v>221</v>
      </c>
      <c r="D28" s="46" t="s">
        <v>190</v>
      </c>
      <c r="E28" s="85" t="s">
        <v>128</v>
      </c>
      <c r="F28" s="88">
        <v>4.7542964105952178E-2</v>
      </c>
      <c r="G28" s="85">
        <v>20</v>
      </c>
      <c r="H28" s="113">
        <v>0</v>
      </c>
      <c r="I28" s="38" t="s">
        <v>240</v>
      </c>
      <c r="J28" s="46">
        <v>0</v>
      </c>
      <c r="K28" s="38">
        <v>0</v>
      </c>
      <c r="L28" s="28"/>
      <c r="M28" s="28"/>
      <c r="N28" s="28"/>
      <c r="O28" s="28"/>
    </row>
    <row r="29" spans="1:15" x14ac:dyDescent="0.2">
      <c r="A29" s="30" t="s">
        <v>1255</v>
      </c>
      <c r="B29" s="46" t="s">
        <v>1256</v>
      </c>
      <c r="C29" s="46" t="s">
        <v>221</v>
      </c>
      <c r="D29" s="46" t="s">
        <v>190</v>
      </c>
      <c r="E29" s="85" t="s">
        <v>289</v>
      </c>
      <c r="F29" s="88">
        <v>5.2297260516547395</v>
      </c>
      <c r="G29" s="85">
        <v>1200</v>
      </c>
      <c r="H29" s="113">
        <v>2.0576670933798673</v>
      </c>
      <c r="I29" s="38" t="s">
        <v>240</v>
      </c>
      <c r="J29" s="46">
        <v>-0.11406678967673627</v>
      </c>
      <c r="K29" s="38">
        <v>7.9521222279364914E-6</v>
      </c>
      <c r="L29" s="28"/>
      <c r="M29" s="28"/>
      <c r="N29" s="28"/>
      <c r="O29" s="28"/>
    </row>
    <row r="30" spans="1:15" x14ac:dyDescent="0.2">
      <c r="A30" s="30" t="s">
        <v>1257</v>
      </c>
      <c r="B30" s="46" t="s">
        <v>1258</v>
      </c>
      <c r="C30" s="46" t="s">
        <v>221</v>
      </c>
      <c r="D30" s="46" t="s">
        <v>190</v>
      </c>
      <c r="E30" s="85" t="s">
        <v>289</v>
      </c>
      <c r="F30" s="88">
        <v>-2.6148630258273697</v>
      </c>
      <c r="G30" s="85">
        <v>212000</v>
      </c>
      <c r="H30" s="113">
        <v>-181.76059324855495</v>
      </c>
      <c r="I30" s="38" t="s">
        <v>240</v>
      </c>
      <c r="J30" s="46">
        <v>10.075899754778371</v>
      </c>
      <c r="K30" s="38">
        <v>-7.0243746346772349E-4</v>
      </c>
      <c r="L30" s="28"/>
      <c r="M30" s="28"/>
      <c r="N30" s="28"/>
      <c r="O30" s="28"/>
    </row>
    <row r="31" spans="1:15" x14ac:dyDescent="0.2">
      <c r="A31" s="30" t="s">
        <v>1259</v>
      </c>
      <c r="B31" s="46" t="s">
        <v>1260</v>
      </c>
      <c r="C31" s="46" t="s">
        <v>221</v>
      </c>
      <c r="D31" s="46" t="s">
        <v>190</v>
      </c>
      <c r="E31" s="85" t="s">
        <v>127</v>
      </c>
      <c r="F31" s="88">
        <v>-1.1885741026488046</v>
      </c>
      <c r="G31" s="85">
        <v>37036</v>
      </c>
      <c r="H31" s="113">
        <v>-156.93140861022448</v>
      </c>
      <c r="I31" s="38" t="s">
        <v>240</v>
      </c>
      <c r="J31" s="46">
        <v>8.6994937311328151</v>
      </c>
      <c r="K31" s="38">
        <v>-6.0648184863612803E-4</v>
      </c>
      <c r="L31" s="28"/>
      <c r="M31" s="28"/>
      <c r="N31" s="28"/>
      <c r="O31" s="28"/>
    </row>
    <row r="32" spans="1:15" x14ac:dyDescent="0.2">
      <c r="A32" s="30" t="s">
        <v>1261</v>
      </c>
      <c r="B32" s="46" t="s">
        <v>1262</v>
      </c>
      <c r="C32" s="46" t="s">
        <v>221</v>
      </c>
      <c r="D32" s="46" t="s">
        <v>190</v>
      </c>
      <c r="E32" s="85" t="s">
        <v>127</v>
      </c>
      <c r="F32" s="88">
        <v>-7.9672240437919997E-3</v>
      </c>
      <c r="G32" s="85">
        <v>61666.999999999993</v>
      </c>
      <c r="H32" s="113">
        <v>-1.7515372722446543</v>
      </c>
      <c r="I32" s="38" t="s">
        <v>240</v>
      </c>
      <c r="J32" s="46">
        <v>9.7096480906404603E-2</v>
      </c>
      <c r="K32" s="38">
        <v>-6.7690437002603259E-6</v>
      </c>
      <c r="L32" s="28"/>
      <c r="M32" s="28"/>
      <c r="N32" s="28"/>
      <c r="O32" s="28"/>
    </row>
    <row r="33" spans="1:15" x14ac:dyDescent="0.2">
      <c r="A33" s="30" t="s">
        <v>1263</v>
      </c>
      <c r="B33" s="46" t="s">
        <v>1264</v>
      </c>
      <c r="C33" s="46" t="s">
        <v>221</v>
      </c>
      <c r="D33" s="46" t="s">
        <v>190</v>
      </c>
      <c r="E33" s="85" t="s">
        <v>127</v>
      </c>
      <c r="F33" s="88">
        <v>-7.0997493064888593</v>
      </c>
      <c r="G33" s="85">
        <v>11571</v>
      </c>
      <c r="H33" s="113">
        <v>-292.86902523848892</v>
      </c>
      <c r="I33" s="38" t="s">
        <v>240</v>
      </c>
      <c r="J33" s="46">
        <v>16.235196457283415</v>
      </c>
      <c r="K33" s="38">
        <v>-1.13183045642609E-3</v>
      </c>
      <c r="L33" s="28"/>
      <c r="M33" s="28"/>
      <c r="N33" s="28"/>
      <c r="O33" s="28"/>
    </row>
    <row r="34" spans="1:15" x14ac:dyDescent="0.2">
      <c r="A34" s="30" t="s">
        <v>1265</v>
      </c>
      <c r="B34" s="46" t="s">
        <v>1266</v>
      </c>
      <c r="C34" s="46" t="s">
        <v>221</v>
      </c>
      <c r="D34" s="46" t="s">
        <v>190</v>
      </c>
      <c r="E34" s="85" t="s">
        <v>127</v>
      </c>
      <c r="F34" s="88">
        <v>7.0997493064888593</v>
      </c>
      <c r="G34" s="85">
        <v>33338</v>
      </c>
      <c r="H34" s="113">
        <v>843.80499208372169</v>
      </c>
      <c r="I34" s="38" t="s">
        <v>240</v>
      </c>
      <c r="J34" s="46">
        <v>-46.77633562292926</v>
      </c>
      <c r="K34" s="38">
        <v>3.2609941886036632E-3</v>
      </c>
      <c r="L34" s="28"/>
      <c r="M34" s="28"/>
      <c r="N34" s="28"/>
      <c r="O34" s="28"/>
    </row>
    <row r="35" spans="1:15" x14ac:dyDescent="0.2">
      <c r="A35" s="30" t="s">
        <v>1267</v>
      </c>
      <c r="B35" s="46" t="s">
        <v>1268</v>
      </c>
      <c r="C35" s="46" t="s">
        <v>221</v>
      </c>
      <c r="D35" s="46" t="s">
        <v>190</v>
      </c>
      <c r="E35" s="85" t="s">
        <v>127</v>
      </c>
      <c r="F35" s="88">
        <v>-7.9672240437919997E-3</v>
      </c>
      <c r="G35" s="85">
        <v>55574</v>
      </c>
      <c r="H35" s="113">
        <v>-1.5784768646195684</v>
      </c>
      <c r="I35" s="38" t="s">
        <v>240</v>
      </c>
      <c r="J35" s="46">
        <v>8.7502876002359703E-2</v>
      </c>
      <c r="K35" s="38">
        <v>-6.100229236210803E-6</v>
      </c>
      <c r="L35" s="28"/>
      <c r="M35" s="28"/>
      <c r="N35" s="28"/>
      <c r="O35" s="28"/>
    </row>
    <row r="36" spans="1:15" x14ac:dyDescent="0.2">
      <c r="A36" s="30" t="s">
        <v>1269</v>
      </c>
      <c r="B36" s="46" t="s">
        <v>1270</v>
      </c>
      <c r="C36" s="46" t="s">
        <v>221</v>
      </c>
      <c r="D36" s="46" t="s">
        <v>190</v>
      </c>
      <c r="E36" s="85" t="s">
        <v>127</v>
      </c>
      <c r="F36" s="88">
        <v>-3.1868896175167999E-3</v>
      </c>
      <c r="G36" s="85">
        <v>14203</v>
      </c>
      <c r="H36" s="113">
        <v>-0.16136399689201231</v>
      </c>
      <c r="I36" s="38" t="s">
        <v>240</v>
      </c>
      <c r="J36" s="46">
        <v>8.9452142934574787E-3</v>
      </c>
      <c r="K36" s="38">
        <v>-6.2361216282363717E-7</v>
      </c>
      <c r="L36" s="28"/>
      <c r="M36" s="28"/>
      <c r="N36" s="28"/>
      <c r="O36" s="28"/>
    </row>
    <row r="37" spans="1:15" x14ac:dyDescent="0.2">
      <c r="A37" s="30" t="s">
        <v>1271</v>
      </c>
      <c r="B37" s="46" t="s">
        <v>1272</v>
      </c>
      <c r="C37" s="46" t="s">
        <v>221</v>
      </c>
      <c r="D37" s="46" t="s">
        <v>190</v>
      </c>
      <c r="E37" s="85" t="s">
        <v>127</v>
      </c>
      <c r="F37" s="88">
        <v>-4.7803344262751998E-3</v>
      </c>
      <c r="G37" s="85">
        <v>10570</v>
      </c>
      <c r="H37" s="113">
        <v>-0.1801328008676234</v>
      </c>
      <c r="I37" s="38" t="s">
        <v>240</v>
      </c>
      <c r="J37" s="46">
        <v>9.9856630727852089E-3</v>
      </c>
      <c r="K37" s="38">
        <v>-6.9614664800174384E-7</v>
      </c>
      <c r="L37" s="28"/>
      <c r="M37" s="28"/>
      <c r="N37" s="28"/>
      <c r="O37" s="28"/>
    </row>
    <row r="38" spans="1:15" x14ac:dyDescent="0.2">
      <c r="A38" s="30" t="s">
        <v>1273</v>
      </c>
      <c r="B38" s="46" t="s">
        <v>1274</v>
      </c>
      <c r="C38" s="46" t="s">
        <v>221</v>
      </c>
      <c r="D38" s="46" t="s">
        <v>190</v>
      </c>
      <c r="E38" s="85" t="s">
        <v>127</v>
      </c>
      <c r="F38" s="88">
        <v>22.44027905800943</v>
      </c>
      <c r="G38" s="85">
        <v>2200</v>
      </c>
      <c r="H38" s="113">
        <v>175.99910865196796</v>
      </c>
      <c r="I38" s="38" t="s">
        <v>240</v>
      </c>
      <c r="J38" s="46">
        <v>-9.7565118159718285</v>
      </c>
      <c r="K38" s="38">
        <v>6.8017145655443947E-4</v>
      </c>
      <c r="L38" s="28"/>
      <c r="M38" s="28"/>
      <c r="N38" s="28"/>
      <c r="O38" s="28"/>
    </row>
    <row r="39" spans="1:15" x14ac:dyDescent="0.2">
      <c r="A39" s="30" t="s">
        <v>1275</v>
      </c>
      <c r="B39" s="46" t="s">
        <v>1276</v>
      </c>
      <c r="C39" s="46" t="s">
        <v>221</v>
      </c>
      <c r="D39" s="46" t="s">
        <v>190</v>
      </c>
      <c r="E39" s="85" t="s">
        <v>127</v>
      </c>
      <c r="F39" s="88">
        <v>-7.4800930193364765</v>
      </c>
      <c r="G39" s="85">
        <v>4870</v>
      </c>
      <c r="H39" s="113">
        <v>-129.8660089598612</v>
      </c>
      <c r="I39" s="38" t="s">
        <v>240</v>
      </c>
      <c r="J39" s="46">
        <v>7.1991231126943651</v>
      </c>
      <c r="K39" s="38">
        <v>-5.0188408991213944E-4</v>
      </c>
      <c r="L39" s="28"/>
      <c r="M39" s="28"/>
      <c r="N39" s="28"/>
      <c r="O39" s="28"/>
    </row>
    <row r="40" spans="1:15" s="138" customFormat="1" x14ac:dyDescent="0.2">
      <c r="A40" s="112" t="s">
        <v>1277</v>
      </c>
      <c r="B40" s="141" t="s">
        <v>240</v>
      </c>
      <c r="C40" s="141" t="s">
        <v>240</v>
      </c>
      <c r="D40" s="141" t="s">
        <v>240</v>
      </c>
      <c r="E40" s="142" t="s">
        <v>240</v>
      </c>
      <c r="F40" s="156" t="s">
        <v>240</v>
      </c>
      <c r="G40" s="142" t="s">
        <v>240</v>
      </c>
      <c r="H40" s="147">
        <v>0</v>
      </c>
      <c r="I40" s="145" t="s">
        <v>240</v>
      </c>
      <c r="J40" s="141">
        <v>0</v>
      </c>
      <c r="K40" s="145">
        <v>0</v>
      </c>
    </row>
    <row r="41" spans="1:15" s="138" customFormat="1" x14ac:dyDescent="0.2">
      <c r="A41" s="112" t="s">
        <v>1246</v>
      </c>
      <c r="B41" s="141" t="s">
        <v>240</v>
      </c>
      <c r="C41" s="141" t="s">
        <v>240</v>
      </c>
      <c r="D41" s="141" t="s">
        <v>240</v>
      </c>
      <c r="E41" s="142" t="s">
        <v>240</v>
      </c>
      <c r="F41" s="156" t="s">
        <v>240</v>
      </c>
      <c r="G41" s="142" t="s">
        <v>240</v>
      </c>
      <c r="H41" s="147">
        <v>0</v>
      </c>
      <c r="I41" s="145" t="s">
        <v>240</v>
      </c>
      <c r="J41" s="141">
        <v>0</v>
      </c>
      <c r="K41" s="145">
        <v>0</v>
      </c>
    </row>
    <row r="42" spans="1:15" s="138" customFormat="1" x14ac:dyDescent="0.2">
      <c r="A42" s="112" t="s">
        <v>1278</v>
      </c>
      <c r="B42" s="141" t="s">
        <v>240</v>
      </c>
      <c r="C42" s="141" t="s">
        <v>240</v>
      </c>
      <c r="D42" s="141" t="s">
        <v>240</v>
      </c>
      <c r="E42" s="142" t="s">
        <v>240</v>
      </c>
      <c r="F42" s="156" t="s">
        <v>240</v>
      </c>
      <c r="G42" s="142" t="s">
        <v>240</v>
      </c>
      <c r="H42" s="147">
        <v>-4.4776605205906694</v>
      </c>
      <c r="I42" s="145" t="s">
        <v>240</v>
      </c>
      <c r="J42" s="141">
        <v>0.24821914219714405</v>
      </c>
      <c r="K42" s="145">
        <v>-1.730450171920465E-5</v>
      </c>
    </row>
    <row r="43" spans="1:15" x14ac:dyDescent="0.2">
      <c r="A43" s="30" t="s">
        <v>1279</v>
      </c>
      <c r="B43" s="46" t="s">
        <v>1280</v>
      </c>
      <c r="C43" s="46" t="s">
        <v>221</v>
      </c>
      <c r="D43" s="46" t="s">
        <v>190</v>
      </c>
      <c r="E43" s="85" t="s">
        <v>127</v>
      </c>
      <c r="F43" s="88">
        <v>0.15934448087583999</v>
      </c>
      <c r="G43" s="85">
        <v>4</v>
      </c>
      <c r="H43" s="113">
        <v>2.2722522972894784E-2</v>
      </c>
      <c r="I43" s="38" t="s">
        <v>240</v>
      </c>
      <c r="J43" s="46">
        <v>-1.2596232195250972E-3</v>
      </c>
      <c r="K43" s="38">
        <v>8.7814146704729594E-8</v>
      </c>
      <c r="L43" s="28"/>
      <c r="M43" s="28"/>
      <c r="N43" s="28"/>
      <c r="O43" s="28"/>
    </row>
    <row r="44" spans="1:15" x14ac:dyDescent="0.2">
      <c r="A44" s="30" t="s">
        <v>1281</v>
      </c>
      <c r="B44" s="46" t="s">
        <v>1282</v>
      </c>
      <c r="C44" s="46" t="s">
        <v>221</v>
      </c>
      <c r="D44" s="46" t="s">
        <v>190</v>
      </c>
      <c r="E44" s="85" t="s">
        <v>127</v>
      </c>
      <c r="F44" s="88">
        <v>1.5934448087583999E-2</v>
      </c>
      <c r="G44" s="85">
        <v>222.00000000000003</v>
      </c>
      <c r="H44" s="113">
        <v>4.7291242970113223E-2</v>
      </c>
      <c r="I44" s="38" t="s">
        <v>240</v>
      </c>
      <c r="J44" s="46">
        <v>-2.6215903839734885E-3</v>
      </c>
      <c r="K44" s="38">
        <v>1.8276316203884444E-7</v>
      </c>
      <c r="L44" s="28"/>
      <c r="M44" s="28"/>
      <c r="N44" s="28"/>
      <c r="O44" s="28"/>
    </row>
    <row r="45" spans="1:15" x14ac:dyDescent="0.2">
      <c r="A45" s="30" t="s">
        <v>1283</v>
      </c>
      <c r="B45" s="46" t="s">
        <v>1284</v>
      </c>
      <c r="C45" s="46" t="s">
        <v>221</v>
      </c>
      <c r="D45" s="46" t="s">
        <v>190</v>
      </c>
      <c r="E45" s="85" t="s">
        <v>127</v>
      </c>
      <c r="F45" s="88">
        <v>0.127475584700672</v>
      </c>
      <c r="G45" s="85">
        <v>36400</v>
      </c>
      <c r="H45" s="113">
        <v>1.6541996724267403</v>
      </c>
      <c r="I45" s="38" t="s">
        <v>240</v>
      </c>
      <c r="J45" s="46">
        <v>-9.1700570381427093E-2</v>
      </c>
      <c r="K45" s="38">
        <v>6.392869880104314E-6</v>
      </c>
      <c r="L45" s="28"/>
      <c r="M45" s="28"/>
      <c r="N45" s="28"/>
      <c r="O45" s="28"/>
    </row>
    <row r="46" spans="1:15" x14ac:dyDescent="0.2">
      <c r="A46" s="30" t="s">
        <v>1285</v>
      </c>
      <c r="B46" s="46" t="s">
        <v>1286</v>
      </c>
      <c r="C46" s="46" t="s">
        <v>221</v>
      </c>
      <c r="D46" s="46" t="s">
        <v>190</v>
      </c>
      <c r="E46" s="85" t="s">
        <v>127</v>
      </c>
      <c r="F46" s="88">
        <v>0.15934448087583999</v>
      </c>
      <c r="G46" s="85">
        <v>25</v>
      </c>
      <c r="H46" s="113">
        <v>7.1007884290296202E-3</v>
      </c>
      <c r="I46" s="38" t="s">
        <v>240</v>
      </c>
      <c r="J46" s="46">
        <v>-3.9363225610159294E-4</v>
      </c>
      <c r="K46" s="38">
        <v>2.7441920845227999E-8</v>
      </c>
      <c r="L46" s="28"/>
      <c r="M46" s="28"/>
      <c r="N46" s="28"/>
      <c r="O46" s="28"/>
    </row>
    <row r="47" spans="1:15" x14ac:dyDescent="0.2">
      <c r="A47" s="30" t="s">
        <v>1287</v>
      </c>
      <c r="B47" s="46" t="s">
        <v>1288</v>
      </c>
      <c r="C47" s="46" t="s">
        <v>221</v>
      </c>
      <c r="D47" s="46" t="s">
        <v>190</v>
      </c>
      <c r="E47" s="85" t="s">
        <v>127</v>
      </c>
      <c r="F47" s="88">
        <v>7.9672240437919997E-2</v>
      </c>
      <c r="G47" s="85">
        <v>17</v>
      </c>
      <c r="H47" s="113">
        <v>4.8285361317401417E-2</v>
      </c>
      <c r="I47" s="38" t="s">
        <v>240</v>
      </c>
      <c r="J47" s="46">
        <v>-2.676699341490832E-3</v>
      </c>
      <c r="K47" s="38">
        <v>1.8660506174755039E-7</v>
      </c>
      <c r="L47" s="28"/>
      <c r="M47" s="28"/>
      <c r="N47" s="28"/>
      <c r="O47" s="28"/>
    </row>
    <row r="48" spans="1:15" x14ac:dyDescent="0.2">
      <c r="A48" s="30" t="s">
        <v>1289</v>
      </c>
      <c r="B48" s="46" t="s">
        <v>1290</v>
      </c>
      <c r="C48" s="46" t="s">
        <v>221</v>
      </c>
      <c r="D48" s="46" t="s">
        <v>190</v>
      </c>
      <c r="E48" s="85" t="s">
        <v>127</v>
      </c>
      <c r="F48" s="88">
        <v>-7.9672240437919997E-2</v>
      </c>
      <c r="G48" s="85">
        <v>1152</v>
      </c>
      <c r="H48" s="113">
        <v>-3.2720433080968485</v>
      </c>
      <c r="I48" s="38" t="s">
        <v>240</v>
      </c>
      <c r="J48" s="46">
        <v>0.181385743611614</v>
      </c>
      <c r="K48" s="38">
        <v>-1.264523712548106E-5</v>
      </c>
      <c r="L48" s="28"/>
      <c r="M48" s="28"/>
      <c r="N48" s="28"/>
      <c r="O48" s="28"/>
    </row>
    <row r="49" spans="1:15" x14ac:dyDescent="0.2">
      <c r="A49" s="30" t="s">
        <v>1291</v>
      </c>
      <c r="B49" s="46" t="s">
        <v>1292</v>
      </c>
      <c r="C49" s="46" t="s">
        <v>221</v>
      </c>
      <c r="D49" s="46" t="s">
        <v>190</v>
      </c>
      <c r="E49" s="85" t="s">
        <v>127</v>
      </c>
      <c r="F49" s="88">
        <v>-3.1868896175167999E-2</v>
      </c>
      <c r="G49" s="85">
        <v>1575</v>
      </c>
      <c r="H49" s="113">
        <v>-0.44734967102886608</v>
      </c>
      <c r="I49" s="38" t="s">
        <v>240</v>
      </c>
      <c r="J49" s="46">
        <v>2.4798832134400352E-2</v>
      </c>
      <c r="K49" s="38">
        <v>-1.7288410132493638E-6</v>
      </c>
      <c r="L49" s="28"/>
      <c r="M49" s="28"/>
      <c r="N49" s="28"/>
      <c r="O49" s="28"/>
    </row>
    <row r="50" spans="1:15" x14ac:dyDescent="0.2">
      <c r="A50" s="30" t="s">
        <v>1293</v>
      </c>
      <c r="B50" s="46" t="s">
        <v>1294</v>
      </c>
      <c r="C50" s="46" t="s">
        <v>221</v>
      </c>
      <c r="D50" s="46" t="s">
        <v>190</v>
      </c>
      <c r="E50" s="85" t="s">
        <v>127</v>
      </c>
      <c r="F50" s="88">
        <v>3.1868896175167999E-2</v>
      </c>
      <c r="G50" s="85">
        <v>35</v>
      </c>
      <c r="H50" s="113">
        <v>9.9411038006414678E-3</v>
      </c>
      <c r="I50" s="38" t="s">
        <v>240</v>
      </c>
      <c r="J50" s="46">
        <v>-5.5108515854223011E-4</v>
      </c>
      <c r="K50" s="38">
        <v>3.8418689183319197E-8</v>
      </c>
      <c r="L50" s="28"/>
      <c r="M50" s="28"/>
      <c r="N50" s="28"/>
      <c r="O50" s="28"/>
    </row>
    <row r="51" spans="1:15" x14ac:dyDescent="0.2">
      <c r="A51" s="30" t="s">
        <v>1295</v>
      </c>
      <c r="B51" s="46" t="s">
        <v>1296</v>
      </c>
      <c r="C51" s="46" t="s">
        <v>221</v>
      </c>
      <c r="D51" s="46" t="s">
        <v>190</v>
      </c>
      <c r="E51" s="85" t="s">
        <v>127</v>
      </c>
      <c r="F51" s="88">
        <v>3.9836120218959999E-2</v>
      </c>
      <c r="G51" s="85">
        <v>19</v>
      </c>
      <c r="H51" s="113">
        <v>2.6982996030312557E-2</v>
      </c>
      <c r="I51" s="38" t="s">
        <v>240</v>
      </c>
      <c r="J51" s="46">
        <v>-1.4958025731860532E-3</v>
      </c>
      <c r="K51" s="38">
        <v>1.042792992118664E-7</v>
      </c>
      <c r="L51" s="28"/>
      <c r="M51" s="28"/>
      <c r="N51" s="28"/>
      <c r="O51" s="28"/>
    </row>
    <row r="52" spans="1:15" x14ac:dyDescent="0.2">
      <c r="A52" s="30" t="s">
        <v>1297</v>
      </c>
      <c r="B52" s="46" t="s">
        <v>1298</v>
      </c>
      <c r="C52" s="46" t="s">
        <v>221</v>
      </c>
      <c r="D52" s="46" t="s">
        <v>190</v>
      </c>
      <c r="E52" s="85" t="s">
        <v>127</v>
      </c>
      <c r="F52" s="88">
        <v>0.11950836065688</v>
      </c>
      <c r="G52" s="85">
        <v>5300</v>
      </c>
      <c r="H52" s="113">
        <v>2.2580507204314189</v>
      </c>
      <c r="I52" s="38" t="s">
        <v>240</v>
      </c>
      <c r="J52" s="46">
        <v>-0.12517505744030655</v>
      </c>
      <c r="K52" s="38">
        <v>8.7265308287825016E-6</v>
      </c>
      <c r="L52" s="28"/>
      <c r="M52" s="28"/>
      <c r="N52" s="28"/>
      <c r="O52" s="28"/>
    </row>
    <row r="53" spans="1:15" x14ac:dyDescent="0.2">
      <c r="A53" s="30" t="s">
        <v>1299</v>
      </c>
      <c r="B53" s="46" t="s">
        <v>1300</v>
      </c>
      <c r="C53" s="46" t="s">
        <v>221</v>
      </c>
      <c r="D53" s="46" t="s">
        <v>190</v>
      </c>
      <c r="E53" s="85" t="s">
        <v>127</v>
      </c>
      <c r="F53" s="88">
        <v>0.15934448087583999</v>
      </c>
      <c r="G53" s="85">
        <v>3254</v>
      </c>
      <c r="H53" s="113">
        <v>18.484772438449905</v>
      </c>
      <c r="I53" s="38" t="s">
        <v>240</v>
      </c>
      <c r="J53" s="46">
        <v>-1.0247034890836666</v>
      </c>
      <c r="K53" s="38">
        <v>7.1436808344297516E-5</v>
      </c>
      <c r="L53" s="28"/>
      <c r="M53" s="28"/>
      <c r="N53" s="28"/>
      <c r="O53" s="28"/>
    </row>
    <row r="54" spans="1:15" x14ac:dyDescent="0.2">
      <c r="A54" s="30" t="s">
        <v>1301</v>
      </c>
      <c r="B54" s="46" t="s">
        <v>1302</v>
      </c>
      <c r="C54" s="46" t="s">
        <v>221</v>
      </c>
      <c r="D54" s="46" t="s">
        <v>190</v>
      </c>
      <c r="E54" s="85" t="s">
        <v>127</v>
      </c>
      <c r="F54" s="88">
        <v>-0.31868896175167999</v>
      </c>
      <c r="G54" s="85">
        <v>2855</v>
      </c>
      <c r="H54" s="113">
        <v>-32.436401543807307</v>
      </c>
      <c r="I54" s="38" t="s">
        <v>240</v>
      </c>
      <c r="J54" s="46">
        <v>1.7981121458720766</v>
      </c>
      <c r="K54" s="38">
        <v>-1.2535469442100149E-4</v>
      </c>
      <c r="L54" s="28"/>
      <c r="M54" s="28"/>
      <c r="N54" s="28"/>
      <c r="O54" s="28"/>
    </row>
    <row r="55" spans="1:15" x14ac:dyDescent="0.2">
      <c r="A55" s="30" t="s">
        <v>1303</v>
      </c>
      <c r="B55" s="46" t="s">
        <v>1304</v>
      </c>
      <c r="C55" s="46" t="s">
        <v>221</v>
      </c>
      <c r="D55" s="46" t="s">
        <v>190</v>
      </c>
      <c r="E55" s="85" t="s">
        <v>127</v>
      </c>
      <c r="F55" s="88">
        <v>3.9836120218959999E-2</v>
      </c>
      <c r="G55" s="85">
        <v>2957</v>
      </c>
      <c r="H55" s="113">
        <v>4.1994062769281175</v>
      </c>
      <c r="I55" s="38" t="s">
        <v>240</v>
      </c>
      <c r="J55" s="46">
        <v>-0.23279411625848204</v>
      </c>
      <c r="K55" s="38">
        <v>1.6229151987867838E-5</v>
      </c>
      <c r="L55" s="28"/>
      <c r="M55" s="28"/>
      <c r="N55" s="28"/>
      <c r="O55" s="28"/>
    </row>
    <row r="56" spans="1:15" x14ac:dyDescent="0.2">
      <c r="A56" s="30" t="s">
        <v>1305</v>
      </c>
      <c r="B56" s="46" t="s">
        <v>1306</v>
      </c>
      <c r="C56" s="46" t="s">
        <v>221</v>
      </c>
      <c r="D56" s="46" t="s">
        <v>190</v>
      </c>
      <c r="E56" s="85" t="s">
        <v>127</v>
      </c>
      <c r="F56" s="88">
        <v>-1.5934448087583999E-2</v>
      </c>
      <c r="G56" s="85">
        <v>677</v>
      </c>
      <c r="H56" s="113">
        <v>-0.14421700104275553</v>
      </c>
      <c r="I56" s="38" t="s">
        <v>240</v>
      </c>
      <c r="J56" s="46">
        <v>7.9946704589286717E-3</v>
      </c>
      <c r="K56" s="38">
        <v>-5.573453661810197E-7</v>
      </c>
      <c r="L56" s="28"/>
      <c r="M56" s="28"/>
      <c r="N56" s="28"/>
      <c r="O56" s="28"/>
    </row>
    <row r="57" spans="1:15" x14ac:dyDescent="0.2">
      <c r="A57" s="30" t="s">
        <v>1307</v>
      </c>
      <c r="B57" s="46" t="s">
        <v>1308</v>
      </c>
      <c r="C57" s="46" t="s">
        <v>221</v>
      </c>
      <c r="D57" s="46" t="s">
        <v>190</v>
      </c>
      <c r="E57" s="85" t="s">
        <v>127</v>
      </c>
      <c r="F57" s="88">
        <v>7.9672240437919997E-2</v>
      </c>
      <c r="G57" s="85">
        <v>1589</v>
      </c>
      <c r="H57" s="113">
        <v>4.5132611254912263</v>
      </c>
      <c r="I57" s="38" t="s">
        <v>240</v>
      </c>
      <c r="J57" s="46">
        <v>-0.25019266197817247</v>
      </c>
      <c r="K57" s="38">
        <v>1.7442084889226914E-5</v>
      </c>
      <c r="L57" s="28"/>
      <c r="M57" s="28"/>
      <c r="N57" s="28"/>
      <c r="O57" s="28"/>
    </row>
    <row r="58" spans="1:15" x14ac:dyDescent="0.2">
      <c r="A58" s="30" t="s">
        <v>1309</v>
      </c>
      <c r="B58" s="46" t="s">
        <v>1310</v>
      </c>
      <c r="C58" s="46" t="s">
        <v>221</v>
      </c>
      <c r="D58" s="46" t="s">
        <v>190</v>
      </c>
      <c r="E58" s="85" t="s">
        <v>127</v>
      </c>
      <c r="F58" s="88">
        <v>0.15934448087583999</v>
      </c>
      <c r="G58" s="85">
        <v>119</v>
      </c>
      <c r="H58" s="113">
        <v>0.67599505844361973</v>
      </c>
      <c r="I58" s="38" t="s">
        <v>240</v>
      </c>
      <c r="J58" s="46">
        <v>-3.7473790780871645E-2</v>
      </c>
      <c r="K58" s="38">
        <v>2.6124708644657048E-6</v>
      </c>
      <c r="L58" s="28"/>
      <c r="M58" s="28"/>
      <c r="N58" s="28"/>
      <c r="O58" s="28"/>
    </row>
    <row r="59" spans="1:15" x14ac:dyDescent="0.2">
      <c r="A59" s="30" t="s">
        <v>1311</v>
      </c>
      <c r="B59" s="46" t="s">
        <v>1312</v>
      </c>
      <c r="C59" s="46" t="s">
        <v>221</v>
      </c>
      <c r="D59" s="46" t="s">
        <v>190</v>
      </c>
      <c r="E59" s="85" t="s">
        <v>127</v>
      </c>
      <c r="F59" s="88">
        <v>-3.1868896175167999E-2</v>
      </c>
      <c r="G59" s="85">
        <v>400</v>
      </c>
      <c r="H59" s="113">
        <v>-0.17041892229671088</v>
      </c>
      <c r="I59" s="38" t="s">
        <v>240</v>
      </c>
      <c r="J59" s="46">
        <v>9.4471741464382305E-3</v>
      </c>
      <c r="K59" s="38">
        <v>-6.5860610028547195E-7</v>
      </c>
      <c r="L59" s="28"/>
      <c r="M59" s="28"/>
      <c r="N59" s="28"/>
      <c r="O59" s="28"/>
    </row>
    <row r="60" spans="1:15" x14ac:dyDescent="0.2">
      <c r="A60" s="30" t="s">
        <v>1313</v>
      </c>
      <c r="B60" s="46" t="s">
        <v>1314</v>
      </c>
      <c r="C60" s="46" t="s">
        <v>221</v>
      </c>
      <c r="D60" s="46" t="s">
        <v>190</v>
      </c>
      <c r="E60" s="85" t="s">
        <v>127</v>
      </c>
      <c r="F60" s="88">
        <v>-4.7803344262751998E-2</v>
      </c>
      <c r="G60" s="85">
        <v>27800</v>
      </c>
      <c r="H60" s="113">
        <v>-0.47376460398485626</v>
      </c>
      <c r="I60" s="38" t="s">
        <v>240</v>
      </c>
      <c r="J60" s="46">
        <v>2.6263144127098279E-2</v>
      </c>
      <c r="K60" s="38">
        <v>-1.8309249587936121E-6</v>
      </c>
      <c r="L60" s="28"/>
      <c r="M60" s="28"/>
      <c r="N60" s="28"/>
      <c r="O60" s="28"/>
    </row>
    <row r="61" spans="1:15" x14ac:dyDescent="0.2">
      <c r="A61" s="30" t="s">
        <v>1315</v>
      </c>
      <c r="B61" s="46" t="s">
        <v>1316</v>
      </c>
      <c r="C61" s="46" t="s">
        <v>221</v>
      </c>
      <c r="D61" s="46" t="s">
        <v>190</v>
      </c>
      <c r="E61" s="85" t="s">
        <v>127</v>
      </c>
      <c r="F61" s="88">
        <v>-1.5934448087583999E-2</v>
      </c>
      <c r="G61" s="85">
        <v>23800</v>
      </c>
      <c r="H61" s="113">
        <v>-0.13519901168872397</v>
      </c>
      <c r="I61" s="38" t="s">
        <v>240</v>
      </c>
      <c r="J61" s="46">
        <v>7.4947581561743293E-3</v>
      </c>
      <c r="K61" s="38">
        <v>-5.2249417289314109E-7</v>
      </c>
      <c r="L61" s="28"/>
      <c r="M61" s="28"/>
      <c r="N61" s="28"/>
      <c r="O61" s="28"/>
    </row>
    <row r="62" spans="1:15" x14ac:dyDescent="0.2">
      <c r="A62" s="30" t="s">
        <v>1317</v>
      </c>
      <c r="B62" s="46" t="s">
        <v>1318</v>
      </c>
      <c r="C62" s="46" t="s">
        <v>221</v>
      </c>
      <c r="D62" s="46" t="s">
        <v>190</v>
      </c>
      <c r="E62" s="85" t="s">
        <v>127</v>
      </c>
      <c r="F62" s="88">
        <v>-1.5934448087583999E-2</v>
      </c>
      <c r="G62" s="85">
        <v>20000</v>
      </c>
      <c r="H62" s="113">
        <v>-0.11361261486447392</v>
      </c>
      <c r="I62" s="38" t="s">
        <v>240</v>
      </c>
      <c r="J62" s="46">
        <v>6.298116097625487E-3</v>
      </c>
      <c r="K62" s="38">
        <v>-4.3907073352364798E-7</v>
      </c>
      <c r="L62" s="28"/>
      <c r="M62" s="28"/>
      <c r="N62" s="28"/>
      <c r="O62" s="28"/>
    </row>
    <row r="63" spans="1:15" x14ac:dyDescent="0.2">
      <c r="A63" s="30" t="s">
        <v>1319</v>
      </c>
      <c r="B63" s="46" t="s">
        <v>1320</v>
      </c>
      <c r="C63" s="46" t="s">
        <v>221</v>
      </c>
      <c r="D63" s="46" t="s">
        <v>190</v>
      </c>
      <c r="E63" s="85" t="s">
        <v>127</v>
      </c>
      <c r="F63" s="88">
        <v>-1.5934448087583999E-2</v>
      </c>
      <c r="G63" s="85">
        <v>16600</v>
      </c>
      <c r="H63" s="113">
        <v>-9.4298470337513346E-2</v>
      </c>
      <c r="I63" s="38" t="s">
        <v>240</v>
      </c>
      <c r="J63" s="46">
        <v>5.2274363610291539E-3</v>
      </c>
      <c r="K63" s="38">
        <v>-3.6442870882462777E-7</v>
      </c>
      <c r="L63" s="28"/>
      <c r="M63" s="28"/>
      <c r="N63" s="28"/>
      <c r="O63" s="28"/>
    </row>
    <row r="64" spans="1:15" x14ac:dyDescent="0.2">
      <c r="A64" s="30" t="s">
        <v>1321</v>
      </c>
      <c r="B64" s="46" t="s">
        <v>1322</v>
      </c>
      <c r="C64" s="46" t="s">
        <v>221</v>
      </c>
      <c r="D64" s="46" t="s">
        <v>190</v>
      </c>
      <c r="E64" s="85" t="s">
        <v>127</v>
      </c>
      <c r="F64" s="88">
        <v>0.15934448087583999</v>
      </c>
      <c r="G64" s="85">
        <v>273</v>
      </c>
      <c r="H64" s="113">
        <v>1.5508121929000691</v>
      </c>
      <c r="I64" s="38" t="s">
        <v>240</v>
      </c>
      <c r="J64" s="46">
        <v>-8.59692847325879E-2</v>
      </c>
      <c r="K64" s="38">
        <v>5.9933155125977946E-6</v>
      </c>
      <c r="L64" s="28"/>
      <c r="M64" s="28"/>
      <c r="N64" s="28"/>
      <c r="O64" s="28"/>
    </row>
    <row r="65" spans="1:15" x14ac:dyDescent="0.2">
      <c r="A65" s="30" t="s">
        <v>1323</v>
      </c>
      <c r="B65" s="46" t="s">
        <v>1324</v>
      </c>
      <c r="C65" s="46" t="s">
        <v>221</v>
      </c>
      <c r="D65" s="46" t="s">
        <v>190</v>
      </c>
      <c r="E65" s="85" t="s">
        <v>127</v>
      </c>
      <c r="F65" s="88">
        <v>-0.11950836065688</v>
      </c>
      <c r="G65" s="85">
        <v>113.99999999999999</v>
      </c>
      <c r="H65" s="113">
        <v>-0.48569392854562604</v>
      </c>
      <c r="I65" s="38" t="s">
        <v>240</v>
      </c>
      <c r="J65" s="46">
        <v>2.6924446317348957E-2</v>
      </c>
      <c r="K65" s="38">
        <v>-1.8770273858135952E-6</v>
      </c>
      <c r="L65" s="28"/>
      <c r="M65" s="28"/>
      <c r="N65" s="28"/>
      <c r="O65" s="28"/>
    </row>
    <row r="66" spans="1:15" x14ac:dyDescent="0.2">
      <c r="A66" s="30" t="s">
        <v>1325</v>
      </c>
      <c r="B66" s="46" t="s">
        <v>1326</v>
      </c>
      <c r="C66" s="46" t="s">
        <v>221</v>
      </c>
      <c r="D66" s="46" t="s">
        <v>190</v>
      </c>
      <c r="E66" s="85" t="s">
        <v>127</v>
      </c>
      <c r="F66" s="88">
        <v>-3.9836120218959999E-2</v>
      </c>
      <c r="G66" s="85">
        <v>105</v>
      </c>
      <c r="H66" s="113">
        <v>-0.14911655700962204</v>
      </c>
      <c r="I66" s="38" t="s">
        <v>240</v>
      </c>
      <c r="J66" s="46">
        <v>8.2662773781334523E-3</v>
      </c>
      <c r="K66" s="38">
        <v>-5.7628033774978798E-7</v>
      </c>
      <c r="L66" s="28"/>
      <c r="M66" s="28"/>
      <c r="N66" s="28"/>
      <c r="O66" s="28"/>
    </row>
    <row r="67" spans="1:15" x14ac:dyDescent="0.2">
      <c r="A67" s="30" t="s">
        <v>1327</v>
      </c>
      <c r="B67" s="46" t="s">
        <v>1328</v>
      </c>
      <c r="C67" s="46" t="s">
        <v>221</v>
      </c>
      <c r="D67" s="46" t="s">
        <v>190</v>
      </c>
      <c r="E67" s="85" t="s">
        <v>127</v>
      </c>
      <c r="F67" s="88">
        <v>-3.9836120218959999E-2</v>
      </c>
      <c r="G67" s="85">
        <v>147</v>
      </c>
      <c r="H67" s="113">
        <v>-0.20876317981347084</v>
      </c>
      <c r="I67" s="38" t="s">
        <v>240</v>
      </c>
      <c r="J67" s="46">
        <v>1.1572788329386831E-2</v>
      </c>
      <c r="K67" s="38">
        <v>-8.0679247284970317E-7</v>
      </c>
      <c r="L67" s="28"/>
      <c r="M67" s="28"/>
      <c r="N67" s="28"/>
      <c r="O67" s="28"/>
    </row>
    <row r="68" spans="1:15" x14ac:dyDescent="0.2">
      <c r="A68" s="30" t="s">
        <v>1329</v>
      </c>
      <c r="B68" s="46" t="s">
        <v>1330</v>
      </c>
      <c r="C68" s="46" t="s">
        <v>221</v>
      </c>
      <c r="D68" s="46" t="s">
        <v>190</v>
      </c>
      <c r="E68" s="85" t="s">
        <v>127</v>
      </c>
      <c r="F68" s="88">
        <v>0.15934448087583999</v>
      </c>
      <c r="G68" s="85">
        <v>1450</v>
      </c>
      <c r="H68" s="113">
        <v>0.41184572888371795</v>
      </c>
      <c r="I68" s="38" t="s">
        <v>240</v>
      </c>
      <c r="J68" s="46">
        <v>-2.2830670853892392E-2</v>
      </c>
      <c r="K68" s="38">
        <v>1.5916314090232238E-6</v>
      </c>
      <c r="L68" s="28"/>
      <c r="M68" s="28"/>
      <c r="N68" s="28"/>
      <c r="O68" s="28"/>
    </row>
    <row r="69" spans="1:15" x14ac:dyDescent="0.2">
      <c r="A69" s="30" t="s">
        <v>1331</v>
      </c>
      <c r="B69" s="46" t="s">
        <v>1332</v>
      </c>
      <c r="C69" s="46" t="s">
        <v>221</v>
      </c>
      <c r="D69" s="46" t="s">
        <v>190</v>
      </c>
      <c r="E69" s="85" t="s">
        <v>127</v>
      </c>
      <c r="F69" s="88">
        <v>0.15934448087583999</v>
      </c>
      <c r="G69" s="85">
        <v>425</v>
      </c>
      <c r="H69" s="113">
        <v>0.12071340329350355</v>
      </c>
      <c r="I69" s="38" t="s">
        <v>240</v>
      </c>
      <c r="J69" s="46">
        <v>-6.6917483537270797E-3</v>
      </c>
      <c r="K69" s="38">
        <v>4.6651265436887597E-7</v>
      </c>
      <c r="L69" s="28"/>
      <c r="M69" s="28"/>
      <c r="N69" s="28"/>
      <c r="O69" s="28"/>
    </row>
    <row r="70" spans="1:15" x14ac:dyDescent="0.2">
      <c r="A70" s="30" t="s">
        <v>1333</v>
      </c>
      <c r="B70" s="46" t="s">
        <v>1334</v>
      </c>
      <c r="C70" s="46" t="s">
        <v>221</v>
      </c>
      <c r="D70" s="46" t="s">
        <v>190</v>
      </c>
      <c r="E70" s="85" t="s">
        <v>127</v>
      </c>
      <c r="F70" s="88">
        <v>-0.11950836065688</v>
      </c>
      <c r="G70" s="85">
        <v>167</v>
      </c>
      <c r="H70" s="113">
        <v>-0.71149900058876792</v>
      </c>
      <c r="I70" s="38" t="s">
        <v>240</v>
      </c>
      <c r="J70" s="46">
        <v>3.9441952061379612E-2</v>
      </c>
      <c r="K70" s="38">
        <v>-2.7496804686918451E-6</v>
      </c>
      <c r="L70" s="28"/>
      <c r="M70" s="28"/>
      <c r="N70" s="28"/>
      <c r="O70" s="28"/>
    </row>
    <row r="71" spans="1:15" x14ac:dyDescent="0.2">
      <c r="A71" s="30" t="s">
        <v>1335</v>
      </c>
      <c r="B71" s="46" t="s">
        <v>1336</v>
      </c>
      <c r="C71" s="46" t="s">
        <v>221</v>
      </c>
      <c r="D71" s="46" t="s">
        <v>190</v>
      </c>
      <c r="E71" s="85" t="s">
        <v>127</v>
      </c>
      <c r="F71" s="88">
        <v>0.15934448087583999</v>
      </c>
      <c r="G71" s="85">
        <v>712.5</v>
      </c>
      <c r="H71" s="113">
        <v>0.20237246226012012</v>
      </c>
      <c r="I71" s="38" t="s">
        <v>240</v>
      </c>
      <c r="J71" s="46">
        <v>-1.1218518857232278E-2</v>
      </c>
      <c r="K71" s="38">
        <v>7.8209471329862388E-7</v>
      </c>
      <c r="L71" s="28"/>
      <c r="M71" s="28"/>
      <c r="N71" s="28"/>
      <c r="O71" s="28"/>
    </row>
    <row r="72" spans="1:15" x14ac:dyDescent="0.2">
      <c r="A72" s="30" t="s">
        <v>1337</v>
      </c>
      <c r="B72" s="46" t="s">
        <v>1338</v>
      </c>
      <c r="C72" s="46" t="s">
        <v>221</v>
      </c>
      <c r="D72" s="46" t="s">
        <v>190</v>
      </c>
      <c r="E72" s="85" t="s">
        <v>127</v>
      </c>
      <c r="F72" s="88">
        <v>0.15934448087583999</v>
      </c>
      <c r="G72" s="85">
        <v>350</v>
      </c>
      <c r="H72" s="113">
        <v>9.9411038006414681E-2</v>
      </c>
      <c r="I72" s="38" t="s">
        <v>240</v>
      </c>
      <c r="J72" s="46">
        <v>-5.5108515854223007E-3</v>
      </c>
      <c r="K72" s="38">
        <v>3.8418689183319195E-7</v>
      </c>
      <c r="L72" s="28"/>
      <c r="M72" s="28"/>
      <c r="N72" s="28"/>
      <c r="O72" s="28"/>
    </row>
    <row r="73" spans="1:15" x14ac:dyDescent="0.2">
      <c r="A73" s="30" t="s">
        <v>1339</v>
      </c>
      <c r="B73" s="46" t="s">
        <v>1340</v>
      </c>
      <c r="C73" s="46" t="s">
        <v>221</v>
      </c>
      <c r="D73" s="46" t="s">
        <v>190</v>
      </c>
      <c r="E73" s="85" t="s">
        <v>127</v>
      </c>
      <c r="F73" s="88">
        <v>0.15934448087583999</v>
      </c>
      <c r="G73" s="85">
        <v>5554.5</v>
      </c>
      <c r="H73" s="113">
        <v>3.1553059479623995E-2</v>
      </c>
      <c r="I73" s="38">
        <v>1.3159579644917716E-7</v>
      </c>
      <c r="J73" s="46">
        <v>-1.7491440723814778E-3</v>
      </c>
      <c r="K73" s="38">
        <v>1.2194090407266811E-7</v>
      </c>
      <c r="L73" s="28"/>
      <c r="M73" s="28"/>
      <c r="N73" s="28"/>
      <c r="O73" s="28"/>
    </row>
    <row r="74" spans="1:15" s="138" customFormat="1" x14ac:dyDescent="0.2">
      <c r="A74" s="202" t="s">
        <v>144</v>
      </c>
      <c r="B74" s="242" t="s">
        <v>240</v>
      </c>
      <c r="C74" s="242" t="s">
        <v>240</v>
      </c>
      <c r="D74" s="242" t="s">
        <v>240</v>
      </c>
      <c r="E74" s="241" t="s">
        <v>240</v>
      </c>
      <c r="F74" s="205" t="s">
        <v>240</v>
      </c>
      <c r="G74" s="241" t="s">
        <v>240</v>
      </c>
      <c r="H74" s="207">
        <v>0</v>
      </c>
      <c r="I74" s="203" t="s">
        <v>240</v>
      </c>
      <c r="J74" s="242">
        <v>0</v>
      </c>
      <c r="K74" s="203">
        <v>0</v>
      </c>
    </row>
    <row r="75" spans="1:15" s="138" customFormat="1" x14ac:dyDescent="0.2">
      <c r="A75" s="97" t="s">
        <v>231</v>
      </c>
      <c r="B75" s="148"/>
      <c r="C75" s="148"/>
      <c r="D75" s="148"/>
      <c r="E75" s="148"/>
      <c r="F75" s="149"/>
      <c r="G75" s="149"/>
      <c r="H75" s="149"/>
      <c r="I75" s="150"/>
      <c r="J75" s="151"/>
      <c r="K75" s="152"/>
      <c r="L75" s="169"/>
      <c r="M75" s="169"/>
      <c r="N75" s="153"/>
      <c r="O75" s="153"/>
    </row>
    <row r="76" spans="1:15" s="138" customFormat="1" x14ac:dyDescent="0.2">
      <c r="A76" s="97" t="s">
        <v>232</v>
      </c>
      <c r="B76" s="148"/>
      <c r="C76" s="148"/>
      <c r="D76" s="148"/>
      <c r="E76" s="148"/>
      <c r="F76" s="149"/>
      <c r="G76" s="149"/>
      <c r="H76" s="149"/>
      <c r="I76" s="150"/>
      <c r="J76" s="151"/>
      <c r="K76" s="152"/>
      <c r="L76" s="169"/>
      <c r="M76" s="169"/>
      <c r="N76" s="153"/>
      <c r="O76" s="153"/>
    </row>
    <row r="77" spans="1:15" s="138" customFormat="1" x14ac:dyDescent="0.2">
      <c r="A77" s="97" t="s">
        <v>233</v>
      </c>
      <c r="B77" s="148"/>
      <c r="C77" s="148"/>
      <c r="D77" s="148"/>
      <c r="E77" s="148"/>
      <c r="F77" s="149"/>
      <c r="G77" s="149"/>
      <c r="H77" s="149"/>
      <c r="I77" s="150"/>
      <c r="J77" s="151"/>
      <c r="K77" s="152"/>
      <c r="L77" s="169"/>
      <c r="M77" s="169"/>
      <c r="N77" s="153"/>
      <c r="O77" s="153"/>
    </row>
    <row r="78" spans="1:15" s="138" customFormat="1" x14ac:dyDescent="0.2">
      <c r="A78" s="97" t="s">
        <v>234</v>
      </c>
      <c r="B78" s="148"/>
      <c r="C78" s="148"/>
      <c r="D78" s="148"/>
      <c r="E78" s="148"/>
      <c r="F78" s="149"/>
      <c r="G78" s="149"/>
      <c r="H78" s="149"/>
      <c r="I78" s="150"/>
      <c r="J78" s="151"/>
      <c r="K78" s="152"/>
      <c r="L78" s="169"/>
      <c r="M78" s="169"/>
      <c r="N78" s="153"/>
      <c r="O78" s="153"/>
    </row>
    <row r="79" spans="1:15" s="138" customFormat="1" x14ac:dyDescent="0.2">
      <c r="A79" s="97" t="s">
        <v>235</v>
      </c>
      <c r="B79" s="148"/>
      <c r="C79" s="148"/>
      <c r="D79" s="148"/>
      <c r="E79" s="148"/>
      <c r="F79" s="149"/>
      <c r="G79" s="149"/>
      <c r="H79" s="149"/>
      <c r="I79" s="150"/>
      <c r="J79" s="151"/>
      <c r="K79" s="152"/>
      <c r="L79" s="169"/>
      <c r="M79" s="169"/>
      <c r="N79" s="153"/>
      <c r="O79" s="153"/>
    </row>
  </sheetData>
  <mergeCells count="2">
    <mergeCell ref="A6:K6"/>
    <mergeCell ref="A5:K5"/>
  </mergeCells>
  <conditionalFormatting sqref="J1:J4 F10:I74 I75:I55609">
    <cfRule type="expression" dxfId="105" priority="183" stopIfTrue="1">
      <formula>LEFT(#REF!,3)="TIR"</formula>
    </cfRule>
  </conditionalFormatting>
  <conditionalFormatting sqref="B10:F74 J10:K74">
    <cfRule type="expression" dxfId="104" priority="186" stopIfTrue="1">
      <formula>LEFT(#REF!,3)="TIR"</formula>
    </cfRule>
  </conditionalFormatting>
  <conditionalFormatting sqref="A10:A74 I10:I74">
    <cfRule type="expression" dxfId="103" priority="188" stopIfTrue="1">
      <formula>#REF!&gt;0</formula>
    </cfRule>
    <cfRule type="expression" dxfId="102" priority="189" stopIfTrue="1">
      <formula>LEFT(#REF!,3)="TIR"</formula>
    </cfRule>
  </conditionalFormatting>
  <conditionalFormatting sqref="H11:H74 J11:K74">
    <cfRule type="expression" dxfId="101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6EFA-CED0-48FC-9379-46ECDBB43378}">
  <sheetPr codeName="גיליון11">
    <pageSetUpPr fitToPage="1"/>
  </sheetPr>
  <dimension ref="A1:P52"/>
  <sheetViews>
    <sheetView rightToLeft="1" topLeftCell="A7" workbookViewId="0">
      <selection activeCell="A7" sqref="A7:J47"/>
    </sheetView>
  </sheetViews>
  <sheetFormatPr defaultRowHeight="12.75" x14ac:dyDescent="0.2"/>
  <cols>
    <col min="1" max="1" width="32.85546875" style="23" bestFit="1" customWidth="1"/>
    <col min="2" max="2" width="14.7109375" style="22" bestFit="1" customWidth="1"/>
    <col min="3" max="3" width="11.7109375" style="23" customWidth="1"/>
    <col min="4" max="4" width="11" style="23" customWidth="1"/>
    <col min="5" max="5" width="10.85546875" style="78" bestFit="1" customWidth="1"/>
    <col min="6" max="6" width="13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3"/>
      <c r="D1" s="23"/>
      <c r="E1" s="78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3"/>
      <c r="D2" s="23"/>
      <c r="E2" s="78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3"/>
      <c r="D3" s="23"/>
      <c r="E3" s="78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237</v>
      </c>
      <c r="C4" s="23"/>
      <c r="D4" s="23"/>
      <c r="E4" s="78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6" t="s">
        <v>160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9" t="s">
        <v>75</v>
      </c>
      <c r="J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6">
        <v>8</v>
      </c>
      <c r="J9" s="61">
        <v>9</v>
      </c>
    </row>
    <row r="10" spans="1:16" s="138" customFormat="1" ht="12.75" customHeight="1" thickBot="1" x14ac:dyDescent="0.25">
      <c r="A10" s="170" t="s">
        <v>62</v>
      </c>
      <c r="B10" s="89"/>
      <c r="C10" s="89"/>
      <c r="D10" s="89"/>
      <c r="E10" s="171"/>
      <c r="F10" s="172"/>
      <c r="G10" s="171"/>
      <c r="H10" s="174">
        <v>-750.07523697413865</v>
      </c>
      <c r="I10" s="89">
        <v>1</v>
      </c>
      <c r="J10" s="102">
        <v>-2.8987633537791305E-3</v>
      </c>
    </row>
    <row r="11" spans="1:16" s="138" customFormat="1" x14ac:dyDescent="0.2">
      <c r="A11" s="111" t="s">
        <v>140</v>
      </c>
      <c r="B11" s="141" t="s">
        <v>240</v>
      </c>
      <c r="C11" s="141" t="s">
        <v>240</v>
      </c>
      <c r="D11" s="141"/>
      <c r="E11" s="142" t="s">
        <v>240</v>
      </c>
      <c r="F11" s="154" t="s">
        <v>240</v>
      </c>
      <c r="G11" s="142" t="s">
        <v>240</v>
      </c>
      <c r="H11" s="143">
        <v>0</v>
      </c>
      <c r="I11" s="141">
        <v>0</v>
      </c>
      <c r="J11" s="141">
        <v>0</v>
      </c>
    </row>
    <row r="12" spans="1:16" s="138" customFormat="1" x14ac:dyDescent="0.2">
      <c r="A12" s="112" t="s">
        <v>376</v>
      </c>
      <c r="B12" s="141" t="s">
        <v>240</v>
      </c>
      <c r="C12" s="145" t="s">
        <v>240</v>
      </c>
      <c r="D12" s="145"/>
      <c r="E12" s="146" t="s">
        <v>240</v>
      </c>
      <c r="F12" s="156" t="s">
        <v>240</v>
      </c>
      <c r="G12" s="146" t="s">
        <v>240</v>
      </c>
      <c r="H12" s="147">
        <v>-750.07523707414032</v>
      </c>
      <c r="I12" s="141">
        <v>1.0000000001333222</v>
      </c>
      <c r="J12" s="141">
        <v>-2.8987633541656E-3</v>
      </c>
    </row>
    <row r="13" spans="1:16" x14ac:dyDescent="0.2">
      <c r="A13" s="30" t="s">
        <v>1341</v>
      </c>
      <c r="B13" s="46" t="s">
        <v>1342</v>
      </c>
      <c r="C13" s="38" t="s">
        <v>221</v>
      </c>
      <c r="D13" s="38" t="s">
        <v>190</v>
      </c>
      <c r="E13" s="79" t="s">
        <v>289</v>
      </c>
      <c r="F13" s="88">
        <v>1.0142499009269799</v>
      </c>
      <c r="G13" s="79">
        <v>1403</v>
      </c>
      <c r="H13" s="104">
        <v>466.57081729486123</v>
      </c>
      <c r="I13" s="46">
        <v>-0.62203202331681273</v>
      </c>
      <c r="J13" s="46">
        <v>1.8031236340678622E-3</v>
      </c>
      <c r="K13" s="28"/>
      <c r="L13" s="28"/>
      <c r="M13" s="28"/>
      <c r="N13" s="28"/>
      <c r="O13" s="28"/>
    </row>
    <row r="14" spans="1:16" x14ac:dyDescent="0.2">
      <c r="A14" s="30" t="s">
        <v>1343</v>
      </c>
      <c r="B14" s="46" t="s">
        <v>1344</v>
      </c>
      <c r="C14" s="38" t="s">
        <v>221</v>
      </c>
      <c r="D14" s="38" t="s">
        <v>190</v>
      </c>
      <c r="E14" s="79" t="s">
        <v>289</v>
      </c>
      <c r="F14" s="88">
        <v>-12696541.616820673</v>
      </c>
      <c r="G14" s="79">
        <v>1</v>
      </c>
      <c r="H14" s="104">
        <v>-416.29420652364945</v>
      </c>
      <c r="I14" s="46">
        <v>0.55500326634300368</v>
      </c>
      <c r="J14" s="46">
        <v>-1.6088231297028174E-3</v>
      </c>
      <c r="K14" s="28"/>
      <c r="L14" s="28"/>
      <c r="M14" s="28"/>
      <c r="N14" s="28"/>
      <c r="O14" s="28"/>
    </row>
    <row r="15" spans="1:16" x14ac:dyDescent="0.2">
      <c r="A15" s="30" t="s">
        <v>1345</v>
      </c>
      <c r="B15" s="46" t="s">
        <v>1346</v>
      </c>
      <c r="C15" s="38" t="s">
        <v>221</v>
      </c>
      <c r="D15" s="38" t="s">
        <v>190</v>
      </c>
      <c r="E15" s="79" t="s">
        <v>128</v>
      </c>
      <c r="F15" s="88">
        <v>12.361170667547567</v>
      </c>
      <c r="G15" s="79">
        <v>2747</v>
      </c>
      <c r="H15" s="104">
        <v>1324.3911655338447</v>
      </c>
      <c r="I15" s="46">
        <v>-1.765677761709</v>
      </c>
      <c r="J15" s="46">
        <v>5.118281990224809E-3</v>
      </c>
      <c r="K15" s="28"/>
      <c r="L15" s="28"/>
      <c r="M15" s="28"/>
      <c r="N15" s="28"/>
      <c r="O15" s="28"/>
    </row>
    <row r="16" spans="1:16" x14ac:dyDescent="0.2">
      <c r="A16" s="30" t="s">
        <v>1347</v>
      </c>
      <c r="B16" s="46" t="s">
        <v>1348</v>
      </c>
      <c r="C16" s="38" t="s">
        <v>221</v>
      </c>
      <c r="D16" s="38" t="s">
        <v>190</v>
      </c>
      <c r="E16" s="79" t="s">
        <v>128</v>
      </c>
      <c r="F16" s="88">
        <v>-318749.89352291788</v>
      </c>
      <c r="G16" s="79">
        <v>1</v>
      </c>
      <c r="H16" s="104">
        <v>-1243.2202096780234</v>
      </c>
      <c r="I16" s="46">
        <v>1.6574606764692961</v>
      </c>
      <c r="J16" s="46">
        <v>-4.8045862692791628E-3</v>
      </c>
      <c r="K16" s="28"/>
      <c r="L16" s="28"/>
      <c r="M16" s="28"/>
      <c r="N16" s="28"/>
      <c r="O16" s="28"/>
    </row>
    <row r="17" spans="1:15" x14ac:dyDescent="0.2">
      <c r="A17" s="30" t="s">
        <v>1349</v>
      </c>
      <c r="B17" s="46" t="s">
        <v>1350</v>
      </c>
      <c r="C17" s="38" t="s">
        <v>221</v>
      </c>
      <c r="D17" s="38" t="s">
        <v>190</v>
      </c>
      <c r="E17" s="79" t="s">
        <v>127</v>
      </c>
      <c r="F17" s="88">
        <v>57.915254108400745</v>
      </c>
      <c r="G17" s="79">
        <v>2569.75</v>
      </c>
      <c r="H17" s="104">
        <v>26528.541846623019</v>
      </c>
      <c r="I17" s="46">
        <v>-35.36784116969546</v>
      </c>
      <c r="J17" s="46">
        <v>0.10252300188499401</v>
      </c>
      <c r="K17" s="28"/>
      <c r="L17" s="28"/>
      <c r="M17" s="28"/>
      <c r="N17" s="28"/>
      <c r="O17" s="28"/>
    </row>
    <row r="18" spans="1:15" x14ac:dyDescent="0.2">
      <c r="A18" s="30" t="s">
        <v>1351</v>
      </c>
      <c r="B18" s="46" t="s">
        <v>1352</v>
      </c>
      <c r="C18" s="38" t="s">
        <v>221</v>
      </c>
      <c r="D18" s="38" t="s">
        <v>190</v>
      </c>
      <c r="E18" s="79" t="s">
        <v>127</v>
      </c>
      <c r="F18" s="88">
        <v>-7744884.8373057414</v>
      </c>
      <c r="G18" s="79">
        <v>1</v>
      </c>
      <c r="H18" s="104">
        <v>-27610.514444956138</v>
      </c>
      <c r="I18" s="46">
        <v>36.810326596487954</v>
      </c>
      <c r="J18" s="46">
        <v>-0.10670442577854054</v>
      </c>
      <c r="K18" s="28"/>
      <c r="L18" s="28"/>
      <c r="M18" s="28"/>
      <c r="N18" s="28"/>
      <c r="O18" s="28"/>
    </row>
    <row r="19" spans="1:15" x14ac:dyDescent="0.2">
      <c r="A19" s="30" t="s">
        <v>1353</v>
      </c>
      <c r="B19" s="46" t="s">
        <v>1354</v>
      </c>
      <c r="C19" s="38" t="s">
        <v>221</v>
      </c>
      <c r="D19" s="38" t="s">
        <v>190</v>
      </c>
      <c r="E19" s="79" t="s">
        <v>127</v>
      </c>
      <c r="F19" s="88">
        <v>2.8605016737081228</v>
      </c>
      <c r="G19" s="79">
        <v>2569.75</v>
      </c>
      <c r="H19" s="104">
        <v>46.109340412747891</v>
      </c>
      <c r="I19" s="46">
        <v>-6.147295383161365E-2</v>
      </c>
      <c r="J19" s="46">
        <v>1.7819554581563802E-4</v>
      </c>
      <c r="K19" s="28"/>
      <c r="L19" s="28"/>
      <c r="M19" s="28"/>
      <c r="N19" s="28"/>
      <c r="O19" s="28"/>
    </row>
    <row r="20" spans="1:15" x14ac:dyDescent="0.2">
      <c r="A20" s="30" t="s">
        <v>1355</v>
      </c>
      <c r="B20" s="46" t="s">
        <v>1356</v>
      </c>
      <c r="C20" s="38" t="s">
        <v>221</v>
      </c>
      <c r="D20" s="38" t="s">
        <v>190</v>
      </c>
      <c r="E20" s="79" t="s">
        <v>127</v>
      </c>
      <c r="F20" s="88">
        <v>7.5038645013894527</v>
      </c>
      <c r="G20" s="79">
        <v>219.87</v>
      </c>
      <c r="H20" s="104">
        <v>2940.90163117867</v>
      </c>
      <c r="I20" s="46">
        <v>-3.9208088551789739</v>
      </c>
      <c r="J20" s="46">
        <v>1.1365497026565516E-2</v>
      </c>
      <c r="K20" s="28"/>
      <c r="L20" s="28"/>
      <c r="M20" s="28"/>
      <c r="N20" s="28"/>
      <c r="O20" s="28"/>
    </row>
    <row r="21" spans="1:15" x14ac:dyDescent="0.2">
      <c r="A21" s="30" t="s">
        <v>1357</v>
      </c>
      <c r="B21" s="46" t="s">
        <v>1358</v>
      </c>
      <c r="C21" s="38" t="s">
        <v>221</v>
      </c>
      <c r="D21" s="38" t="s">
        <v>190</v>
      </c>
      <c r="E21" s="79" t="s">
        <v>127</v>
      </c>
      <c r="F21" s="88">
        <v>-759766.28076568211</v>
      </c>
      <c r="G21" s="79">
        <v>1</v>
      </c>
      <c r="H21" s="104">
        <v>-2708.5667909296567</v>
      </c>
      <c r="I21" s="46">
        <v>3.6110601409216279</v>
      </c>
      <c r="J21" s="46">
        <v>-1.0467608804796118E-2</v>
      </c>
      <c r="K21" s="28"/>
      <c r="L21" s="28"/>
      <c r="M21" s="28"/>
      <c r="N21" s="28"/>
      <c r="O21" s="28"/>
    </row>
    <row r="22" spans="1:15" x14ac:dyDescent="0.2">
      <c r="A22" s="30" t="s">
        <v>1359</v>
      </c>
      <c r="B22" s="46" t="s">
        <v>1360</v>
      </c>
      <c r="C22" s="38" t="s">
        <v>221</v>
      </c>
      <c r="D22" s="38" t="s">
        <v>190</v>
      </c>
      <c r="E22" s="79" t="s">
        <v>3</v>
      </c>
      <c r="F22" s="88">
        <v>3.7241988549662541</v>
      </c>
      <c r="G22" s="79">
        <v>5109</v>
      </c>
      <c r="H22" s="104">
        <v>1033.2575395459769</v>
      </c>
      <c r="I22" s="46">
        <v>-1.3775385302869316</v>
      </c>
      <c r="J22" s="46">
        <v>3.9931582100145207E-3</v>
      </c>
      <c r="K22" s="28"/>
      <c r="L22" s="28"/>
      <c r="M22" s="28"/>
      <c r="N22" s="28"/>
      <c r="O22" s="28"/>
    </row>
    <row r="23" spans="1:15" x14ac:dyDescent="0.2">
      <c r="A23" s="30" t="s">
        <v>1361</v>
      </c>
      <c r="B23" s="46" t="s">
        <v>1362</v>
      </c>
      <c r="C23" s="38" t="s">
        <v>221</v>
      </c>
      <c r="D23" s="38" t="s">
        <v>190</v>
      </c>
      <c r="E23" s="79" t="s">
        <v>3</v>
      </c>
      <c r="F23" s="88">
        <v>-469211.07254238793</v>
      </c>
      <c r="G23" s="79">
        <v>1</v>
      </c>
      <c r="H23" s="104">
        <v>-1019.2202917574627</v>
      </c>
      <c r="I23" s="46">
        <v>1.3588240772606706</v>
      </c>
      <c r="J23" s="46">
        <v>-3.9389094393959736E-3</v>
      </c>
      <c r="K23" s="28"/>
      <c r="L23" s="28"/>
      <c r="M23" s="28"/>
      <c r="N23" s="28"/>
      <c r="O23" s="28"/>
    </row>
    <row r="24" spans="1:15" x14ac:dyDescent="0.2">
      <c r="A24" s="30" t="s">
        <v>1363</v>
      </c>
      <c r="B24" s="46" t="s">
        <v>1364</v>
      </c>
      <c r="C24" s="38" t="s">
        <v>221</v>
      </c>
      <c r="D24" s="38" t="s">
        <v>190</v>
      </c>
      <c r="E24" s="79" t="s">
        <v>128</v>
      </c>
      <c r="F24" s="88">
        <v>2.0760427659599117</v>
      </c>
      <c r="G24" s="79">
        <v>16924</v>
      </c>
      <c r="H24" s="104">
        <v>685.18418394236721</v>
      </c>
      <c r="I24" s="46">
        <v>-0.91348727456521972</v>
      </c>
      <c r="J24" s="46">
        <v>2.6479834356532336E-3</v>
      </c>
      <c r="K24" s="28"/>
      <c r="L24" s="28"/>
      <c r="M24" s="28"/>
      <c r="N24" s="28"/>
      <c r="O24" s="28"/>
    </row>
    <row r="25" spans="1:15" x14ac:dyDescent="0.2">
      <c r="A25" s="30" t="s">
        <v>1365</v>
      </c>
      <c r="B25" s="46" t="s">
        <v>1366</v>
      </c>
      <c r="C25" s="38" t="s">
        <v>221</v>
      </c>
      <c r="D25" s="38" t="s">
        <v>190</v>
      </c>
      <c r="E25" s="79" t="s">
        <v>128</v>
      </c>
      <c r="F25" s="88">
        <v>-167987.14338077675</v>
      </c>
      <c r="G25" s="79">
        <v>1</v>
      </c>
      <c r="H25" s="104">
        <v>-655.20025532126863</v>
      </c>
      <c r="I25" s="46">
        <v>0.87351271315714529</v>
      </c>
      <c r="J25" s="46">
        <v>-2.5321066419601145E-3</v>
      </c>
      <c r="K25" s="28"/>
      <c r="L25" s="28"/>
      <c r="M25" s="28"/>
      <c r="N25" s="28"/>
      <c r="O25" s="28"/>
    </row>
    <row r="26" spans="1:15" x14ac:dyDescent="0.2">
      <c r="A26" s="30" t="s">
        <v>1367</v>
      </c>
      <c r="B26" s="46" t="s">
        <v>1368</v>
      </c>
      <c r="C26" s="38" t="s">
        <v>221</v>
      </c>
      <c r="D26" s="38" t="s">
        <v>190</v>
      </c>
      <c r="E26" s="79" t="s">
        <v>127</v>
      </c>
      <c r="F26" s="88">
        <v>-3.9836120218959999E-2</v>
      </c>
      <c r="G26" s="79">
        <v>33.58</v>
      </c>
      <c r="H26" s="104">
        <v>2.8942813636724734</v>
      </c>
      <c r="I26" s="46">
        <v>-3.8586547335547664E-3</v>
      </c>
      <c r="J26" s="46">
        <v>1.1185326936514933E-5</v>
      </c>
      <c r="K26" s="28"/>
      <c r="L26" s="28"/>
      <c r="M26" s="28"/>
      <c r="N26" s="28"/>
      <c r="O26" s="28"/>
    </row>
    <row r="27" spans="1:15" x14ac:dyDescent="0.2">
      <c r="A27" s="30" t="s">
        <v>1369</v>
      </c>
      <c r="B27" s="46" t="s">
        <v>1370</v>
      </c>
      <c r="C27" s="38" t="s">
        <v>221</v>
      </c>
      <c r="D27" s="38" t="s">
        <v>190</v>
      </c>
      <c r="E27" s="79" t="s">
        <v>127</v>
      </c>
      <c r="F27" s="88">
        <v>-0.11950836065688</v>
      </c>
      <c r="G27" s="79">
        <v>568.75</v>
      </c>
      <c r="H27" s="104">
        <v>-0.8325674393201109</v>
      </c>
      <c r="I27" s="46">
        <v>1.1099785705214749E-3</v>
      </c>
      <c r="J27" s="46">
        <v>-3.2175652037077955E-6</v>
      </c>
      <c r="K27" s="28"/>
      <c r="L27" s="28"/>
      <c r="M27" s="28"/>
      <c r="N27" s="28"/>
      <c r="O27" s="28"/>
    </row>
    <row r="28" spans="1:15" x14ac:dyDescent="0.2">
      <c r="A28" s="30" t="s">
        <v>1371</v>
      </c>
      <c r="B28" s="46" t="s">
        <v>1372</v>
      </c>
      <c r="C28" s="38" t="s">
        <v>221</v>
      </c>
      <c r="D28" s="38" t="s">
        <v>190</v>
      </c>
      <c r="E28" s="79" t="s">
        <v>127</v>
      </c>
      <c r="F28" s="88">
        <v>0.26291839344513601</v>
      </c>
      <c r="G28" s="79">
        <v>493</v>
      </c>
      <c r="H28" s="104">
        <v>1.8660871991489842</v>
      </c>
      <c r="I28" s="46">
        <v>-2.4878666927826117E-3</v>
      </c>
      <c r="J28" s="46">
        <v>7.211736798125918E-6</v>
      </c>
      <c r="K28" s="28"/>
      <c r="L28" s="28"/>
      <c r="M28" s="28"/>
      <c r="N28" s="28"/>
      <c r="O28" s="28"/>
    </row>
    <row r="29" spans="1:15" x14ac:dyDescent="0.2">
      <c r="A29" s="30" t="s">
        <v>1373</v>
      </c>
      <c r="B29" s="46" t="s">
        <v>1374</v>
      </c>
      <c r="C29" s="38" t="s">
        <v>221</v>
      </c>
      <c r="D29" s="38" t="s">
        <v>190</v>
      </c>
      <c r="E29" s="79" t="s">
        <v>127</v>
      </c>
      <c r="F29" s="88">
        <v>-0.46209899453993603</v>
      </c>
      <c r="G29" s="79">
        <v>20.48</v>
      </c>
      <c r="H29" s="104">
        <v>7.985660279901575</v>
      </c>
      <c r="I29" s="46">
        <v>-1.06464790280457E-2</v>
      </c>
      <c r="J29" s="46">
        <v>3.0861623253276931E-5</v>
      </c>
      <c r="K29" s="28"/>
      <c r="L29" s="28"/>
      <c r="M29" s="28"/>
      <c r="N29" s="28"/>
      <c r="O29" s="28"/>
    </row>
    <row r="30" spans="1:15" x14ac:dyDescent="0.2">
      <c r="A30" s="30" t="s">
        <v>1375</v>
      </c>
      <c r="B30" s="46" t="s">
        <v>1376</v>
      </c>
      <c r="C30" s="38" t="s">
        <v>221</v>
      </c>
      <c r="D30" s="38" t="s">
        <v>190</v>
      </c>
      <c r="E30" s="79" t="s">
        <v>127</v>
      </c>
      <c r="F30" s="88">
        <v>-1.5934448087583999E-2</v>
      </c>
      <c r="G30" s="79">
        <v>24.51</v>
      </c>
      <c r="H30" s="104">
        <v>8.9185902668612024E-2</v>
      </c>
      <c r="I30" s="46">
        <v>-1.1890260906145208E-4</v>
      </c>
      <c r="J30" s="46">
        <v>3.4467052581606365E-7</v>
      </c>
      <c r="K30" s="28"/>
      <c r="L30" s="28"/>
      <c r="M30" s="28"/>
      <c r="N30" s="28"/>
      <c r="O30" s="28"/>
    </row>
    <row r="31" spans="1:15" x14ac:dyDescent="0.2">
      <c r="A31" s="30" t="s">
        <v>1377</v>
      </c>
      <c r="B31" s="46" t="s">
        <v>1378</v>
      </c>
      <c r="C31" s="38" t="s">
        <v>221</v>
      </c>
      <c r="D31" s="38" t="s">
        <v>190</v>
      </c>
      <c r="E31" s="79" t="s">
        <v>127</v>
      </c>
      <c r="F31" s="88">
        <v>0.15934448087583999</v>
      </c>
      <c r="G31" s="79">
        <v>27.01</v>
      </c>
      <c r="H31" s="104">
        <v>-1.5894291206925035</v>
      </c>
      <c r="I31" s="46">
        <v>2.1190262554252335E-3</v>
      </c>
      <c r="J31" s="46">
        <v>-6.1425556549224821E-6</v>
      </c>
      <c r="K31" s="28"/>
      <c r="L31" s="28"/>
      <c r="M31" s="28"/>
      <c r="N31" s="28"/>
      <c r="O31" s="28"/>
    </row>
    <row r="32" spans="1:15" x14ac:dyDescent="0.2">
      <c r="A32" s="30" t="s">
        <v>1379</v>
      </c>
      <c r="B32" s="46" t="s">
        <v>1380</v>
      </c>
      <c r="C32" s="38" t="s">
        <v>221</v>
      </c>
      <c r="D32" s="38" t="s">
        <v>190</v>
      </c>
      <c r="E32" s="79" t="s">
        <v>127</v>
      </c>
      <c r="F32" s="88">
        <v>0.15934448087583999</v>
      </c>
      <c r="G32" s="79">
        <v>0.08</v>
      </c>
      <c r="H32" s="104">
        <v>4.5445045945789568E-2</v>
      </c>
      <c r="I32" s="46">
        <v>-6.0587316719211243E-5</v>
      </c>
      <c r="J32" s="46">
        <v>1.7562829340945919E-7</v>
      </c>
      <c r="K32" s="28"/>
      <c r="L32" s="28"/>
      <c r="M32" s="28"/>
      <c r="N32" s="28"/>
      <c r="O32" s="28"/>
    </row>
    <row r="33" spans="1:15" x14ac:dyDescent="0.2">
      <c r="A33" s="30" t="s">
        <v>1381</v>
      </c>
      <c r="B33" s="46" t="s">
        <v>1382</v>
      </c>
      <c r="C33" s="38" t="s">
        <v>221</v>
      </c>
      <c r="D33" s="38" t="s">
        <v>190</v>
      </c>
      <c r="E33" s="79" t="s">
        <v>127</v>
      </c>
      <c r="F33" s="88">
        <v>3.9836120218959999E-2</v>
      </c>
      <c r="G33" s="79">
        <v>27.69</v>
      </c>
      <c r="H33" s="104">
        <v>-3.3615132423026219</v>
      </c>
      <c r="I33" s="46">
        <v>4.4815680835741572E-3</v>
      </c>
      <c r="J33" s="46">
        <v>-1.2991005328130933E-5</v>
      </c>
      <c r="K33" s="28"/>
      <c r="L33" s="28"/>
      <c r="M33" s="28"/>
      <c r="N33" s="28"/>
      <c r="O33" s="28"/>
    </row>
    <row r="34" spans="1:15" x14ac:dyDescent="0.2">
      <c r="A34" s="30" t="s">
        <v>1383</v>
      </c>
      <c r="B34" s="46" t="s">
        <v>1384</v>
      </c>
      <c r="C34" s="38" t="s">
        <v>221</v>
      </c>
      <c r="D34" s="38" t="s">
        <v>190</v>
      </c>
      <c r="E34" s="79" t="s">
        <v>127</v>
      </c>
      <c r="F34" s="88">
        <v>1.5934448087583999E-2</v>
      </c>
      <c r="G34" s="79">
        <v>301.75</v>
      </c>
      <c r="H34" s="104">
        <v>-1.1009062380367522</v>
      </c>
      <c r="I34" s="46">
        <v>1.4677277475228924E-3</v>
      </c>
      <c r="J34" s="46">
        <v>-4.2545954078441487E-6</v>
      </c>
      <c r="K34" s="28"/>
      <c r="L34" s="28"/>
      <c r="M34" s="28"/>
      <c r="N34" s="28"/>
      <c r="O34" s="28"/>
    </row>
    <row r="35" spans="1:15" x14ac:dyDescent="0.2">
      <c r="A35" s="30" t="s">
        <v>1385</v>
      </c>
      <c r="B35" s="46" t="s">
        <v>1386</v>
      </c>
      <c r="C35" s="38" t="s">
        <v>221</v>
      </c>
      <c r="D35" s="38" t="s">
        <v>190</v>
      </c>
      <c r="E35" s="79" t="s">
        <v>127</v>
      </c>
      <c r="F35" s="88">
        <v>4.7803344262751998E-2</v>
      </c>
      <c r="G35" s="79">
        <v>119.55</v>
      </c>
      <c r="H35" s="104">
        <v>0.44415430428496666</v>
      </c>
      <c r="I35" s="46">
        <v>-5.9214633731506639E-4</v>
      </c>
      <c r="J35" s="46">
        <v>1.7164921026834501E-6</v>
      </c>
      <c r="K35" s="28"/>
      <c r="L35" s="28"/>
      <c r="M35" s="28"/>
      <c r="N35" s="28"/>
      <c r="O35" s="28"/>
    </row>
    <row r="36" spans="1:15" x14ac:dyDescent="0.2">
      <c r="A36" s="30" t="s">
        <v>1387</v>
      </c>
      <c r="B36" s="46" t="s">
        <v>1388</v>
      </c>
      <c r="C36" s="38" t="s">
        <v>221</v>
      </c>
      <c r="D36" s="38" t="s">
        <v>190</v>
      </c>
      <c r="E36" s="79" t="s">
        <v>127</v>
      </c>
      <c r="F36" s="88">
        <v>0.19918060109480001</v>
      </c>
      <c r="G36" s="79">
        <v>340.75</v>
      </c>
      <c r="H36" s="104">
        <v>-1.2266611891640307</v>
      </c>
      <c r="I36" s="46">
        <v>1.6353841970739849E-3</v>
      </c>
      <c r="J36" s="46">
        <v>-4.7405917798275748E-6</v>
      </c>
      <c r="K36" s="28"/>
      <c r="L36" s="28"/>
      <c r="M36" s="28"/>
      <c r="N36" s="28"/>
      <c r="O36" s="28"/>
    </row>
    <row r="37" spans="1:15" x14ac:dyDescent="0.2">
      <c r="A37" s="30" t="s">
        <v>1389</v>
      </c>
      <c r="B37" s="46" t="s">
        <v>1390</v>
      </c>
      <c r="C37" s="38" t="s">
        <v>221</v>
      </c>
      <c r="D37" s="38" t="s">
        <v>190</v>
      </c>
      <c r="E37" s="79" t="s">
        <v>127</v>
      </c>
      <c r="F37" s="88">
        <v>0.15934448087583999</v>
      </c>
      <c r="G37" s="79">
        <v>1186</v>
      </c>
      <c r="H37" s="104">
        <v>-0.7487071319568831</v>
      </c>
      <c r="I37" s="46">
        <v>9.9817604294900517E-4</v>
      </c>
      <c r="J37" s="46">
        <v>-2.8934761339208401E-6</v>
      </c>
      <c r="K37" s="28"/>
      <c r="L37" s="28"/>
      <c r="M37" s="28"/>
      <c r="N37" s="28"/>
      <c r="O37" s="28"/>
    </row>
    <row r="38" spans="1:15" x14ac:dyDescent="0.2">
      <c r="A38" s="30" t="s">
        <v>1391</v>
      </c>
      <c r="B38" s="46" t="s">
        <v>1392</v>
      </c>
      <c r="C38" s="38" t="s">
        <v>221</v>
      </c>
      <c r="D38" s="38" t="s">
        <v>190</v>
      </c>
      <c r="E38" s="79" t="s">
        <v>127</v>
      </c>
      <c r="F38" s="88">
        <v>5.5770568306543998E-2</v>
      </c>
      <c r="G38" s="79">
        <v>14.156000000000001</v>
      </c>
      <c r="H38" s="104">
        <v>-4.604719280457128</v>
      </c>
      <c r="I38" s="46">
        <v>6.1390098665740789E-3</v>
      </c>
      <c r="J38" s="46">
        <v>-1.7795536829713452E-5</v>
      </c>
      <c r="K38" s="28"/>
      <c r="L38" s="28"/>
      <c r="M38" s="28"/>
      <c r="N38" s="28"/>
      <c r="O38" s="28"/>
    </row>
    <row r="39" spans="1:15" x14ac:dyDescent="0.2">
      <c r="A39" s="30" t="s">
        <v>1393</v>
      </c>
      <c r="B39" s="46" t="s">
        <v>1394</v>
      </c>
      <c r="C39" s="38" t="s">
        <v>221</v>
      </c>
      <c r="D39" s="38" t="s">
        <v>190</v>
      </c>
      <c r="E39" s="79" t="s">
        <v>127</v>
      </c>
      <c r="F39" s="88">
        <v>3.1868896175167999E-2</v>
      </c>
      <c r="G39" s="79">
        <v>886</v>
      </c>
      <c r="H39" s="104">
        <v>2.5562838344506629E-2</v>
      </c>
      <c r="I39" s="46">
        <v>-3.4080365654556322E-5</v>
      </c>
      <c r="J39" s="46">
        <v>9.8790915042820782E-8</v>
      </c>
      <c r="K39" s="28"/>
      <c r="L39" s="28"/>
      <c r="M39" s="28"/>
      <c r="N39" s="28"/>
      <c r="O39" s="28"/>
    </row>
    <row r="40" spans="1:15" x14ac:dyDescent="0.2">
      <c r="A40" s="30" t="s">
        <v>1395</v>
      </c>
      <c r="B40" s="46" t="s">
        <v>1396</v>
      </c>
      <c r="C40" s="38" t="s">
        <v>221</v>
      </c>
      <c r="D40" s="38" t="s">
        <v>190</v>
      </c>
      <c r="E40" s="79" t="s">
        <v>127</v>
      </c>
      <c r="F40" s="88">
        <v>3.9836120218959999E-2</v>
      </c>
      <c r="G40" s="79">
        <v>321.5</v>
      </c>
      <c r="H40" s="104">
        <v>-6.8167568918684349E-2</v>
      </c>
      <c r="I40" s="46">
        <v>9.0880975078816867E-5</v>
      </c>
      <c r="J40" s="46">
        <v>-2.6344244011418877E-7</v>
      </c>
      <c r="K40" s="28"/>
      <c r="L40" s="28"/>
      <c r="M40" s="28"/>
      <c r="N40" s="28"/>
      <c r="O40" s="28"/>
    </row>
    <row r="41" spans="1:15" x14ac:dyDescent="0.2">
      <c r="A41" s="30" t="s">
        <v>1397</v>
      </c>
      <c r="B41" s="46" t="s">
        <v>1398</v>
      </c>
      <c r="C41" s="38" t="s">
        <v>221</v>
      </c>
      <c r="D41" s="38" t="s">
        <v>190</v>
      </c>
      <c r="E41" s="79" t="s">
        <v>127</v>
      </c>
      <c r="F41" s="88">
        <v>-6.3737792350335998E-2</v>
      </c>
      <c r="G41" s="79">
        <v>222.8</v>
      </c>
      <c r="H41" s="104">
        <v>0.2123135660607616</v>
      </c>
      <c r="I41" s="46">
        <v>-2.8305635967566518E-4</v>
      </c>
      <c r="J41" s="46">
        <v>8.2051340248194315E-7</v>
      </c>
      <c r="K41" s="28"/>
      <c r="L41" s="28"/>
      <c r="M41" s="28"/>
      <c r="N41" s="28"/>
      <c r="O41" s="28"/>
    </row>
    <row r="42" spans="1:15" x14ac:dyDescent="0.2">
      <c r="A42" s="30" t="s">
        <v>1399</v>
      </c>
      <c r="B42" s="46" t="s">
        <v>1400</v>
      </c>
      <c r="C42" s="38" t="s">
        <v>221</v>
      </c>
      <c r="D42" s="38" t="s">
        <v>190</v>
      </c>
      <c r="E42" s="79" t="s">
        <v>127</v>
      </c>
      <c r="F42" s="88">
        <v>3.1868896175167999E-2</v>
      </c>
      <c r="G42" s="79">
        <v>877.5</v>
      </c>
      <c r="H42" s="104">
        <v>-4.8285361317401417E-2</v>
      </c>
      <c r="I42" s="46">
        <v>6.4374024014161947E-5</v>
      </c>
      <c r="J42" s="46">
        <v>-1.8660506174755039E-7</v>
      </c>
      <c r="K42" s="28"/>
      <c r="L42" s="28"/>
      <c r="M42" s="28"/>
      <c r="N42" s="28"/>
      <c r="O42" s="28"/>
    </row>
    <row r="43" spans="1:15" x14ac:dyDescent="0.2">
      <c r="A43" s="30" t="s">
        <v>1401</v>
      </c>
      <c r="B43" s="46" t="s">
        <v>1402</v>
      </c>
      <c r="C43" s="38" t="s">
        <v>221</v>
      </c>
      <c r="D43" s="38" t="s">
        <v>190</v>
      </c>
      <c r="E43" s="79" t="s">
        <v>127</v>
      </c>
      <c r="F43" s="88">
        <v>3.9836120218959999E-2</v>
      </c>
      <c r="G43" s="79">
        <v>27.36</v>
      </c>
      <c r="H43" s="104">
        <v>-0.1925733821952833</v>
      </c>
      <c r="I43" s="46">
        <v>2.5673875459765764E-4</v>
      </c>
      <c r="J43" s="46">
        <v>-7.4422489332258328E-7</v>
      </c>
      <c r="K43" s="28"/>
      <c r="L43" s="28"/>
      <c r="M43" s="28"/>
      <c r="N43" s="28"/>
      <c r="O43" s="28"/>
    </row>
    <row r="44" spans="1:15" x14ac:dyDescent="0.2">
      <c r="A44" s="30" t="s">
        <v>1403</v>
      </c>
      <c r="B44" s="46" t="s">
        <v>1404</v>
      </c>
      <c r="C44" s="38" t="s">
        <v>221</v>
      </c>
      <c r="D44" s="38" t="s">
        <v>190</v>
      </c>
      <c r="E44" s="79" t="s">
        <v>127</v>
      </c>
      <c r="F44" s="88">
        <v>3.1868896175167999E-2</v>
      </c>
      <c r="G44" s="79">
        <v>2259</v>
      </c>
      <c r="H44" s="104">
        <v>-0.37151325060682971</v>
      </c>
      <c r="I44" s="46">
        <v>4.9530131417955192E-4</v>
      </c>
      <c r="J44" s="46">
        <v>-1.4357612986223287E-6</v>
      </c>
      <c r="K44" s="28"/>
      <c r="L44" s="28"/>
      <c r="M44" s="28"/>
      <c r="N44" s="28"/>
      <c r="O44" s="28"/>
    </row>
    <row r="45" spans="1:15" x14ac:dyDescent="0.2">
      <c r="A45" s="30" t="s">
        <v>1405</v>
      </c>
      <c r="B45" s="46" t="s">
        <v>1406</v>
      </c>
      <c r="C45" s="38" t="s">
        <v>221</v>
      </c>
      <c r="D45" s="38" t="s">
        <v>190</v>
      </c>
      <c r="E45" s="79" t="s">
        <v>127</v>
      </c>
      <c r="F45" s="88">
        <v>9.1044776262898424</v>
      </c>
      <c r="G45" s="79">
        <v>1596.6</v>
      </c>
      <c r="H45" s="104">
        <v>5182.1585007049007</v>
      </c>
      <c r="I45" s="46">
        <v>-6.9088515994877095</v>
      </c>
      <c r="J45" s="46">
        <v>2.0027125833293302E-2</v>
      </c>
      <c r="K45" s="28"/>
      <c r="L45" s="28"/>
      <c r="M45" s="28"/>
      <c r="N45" s="28"/>
      <c r="O45" s="28"/>
    </row>
    <row r="46" spans="1:15" x14ac:dyDescent="0.2">
      <c r="A46" s="30" t="s">
        <v>1407</v>
      </c>
      <c r="B46" s="46" t="s">
        <v>1408</v>
      </c>
      <c r="C46" s="38" t="s">
        <v>221</v>
      </c>
      <c r="D46" s="38" t="s">
        <v>190</v>
      </c>
      <c r="E46" s="79" t="s">
        <v>127</v>
      </c>
      <c r="F46" s="88">
        <v>-1487452.8900039839</v>
      </c>
      <c r="G46" s="79">
        <v>1</v>
      </c>
      <c r="H46" s="104">
        <v>-5302.7695528519207</v>
      </c>
      <c r="I46" s="46">
        <v>7.0696502050163694</v>
      </c>
      <c r="J46" s="46">
        <v>-2.0493242938338568E-2</v>
      </c>
      <c r="K46" s="28"/>
      <c r="L46" s="28"/>
      <c r="M46" s="28"/>
      <c r="N46" s="28"/>
      <c r="O46" s="28"/>
    </row>
    <row r="47" spans="1:15" x14ac:dyDescent="0.2">
      <c r="A47" s="247" t="s">
        <v>1409</v>
      </c>
      <c r="B47" s="239" t="s">
        <v>1410</v>
      </c>
      <c r="C47" s="235" t="s">
        <v>221</v>
      </c>
      <c r="D47" s="235" t="s">
        <v>190</v>
      </c>
      <c r="E47" s="237" t="s">
        <v>127</v>
      </c>
      <c r="F47" s="248">
        <v>5.5770568306543998E-2</v>
      </c>
      <c r="G47" s="237">
        <v>1596.6</v>
      </c>
      <c r="H47" s="238">
        <v>-0.82215768746676554</v>
      </c>
      <c r="I47" s="239">
        <v>1.0961002935964304E-3</v>
      </c>
      <c r="J47" s="239">
        <v>-3.1773353631438784E-6</v>
      </c>
      <c r="K47" s="28"/>
      <c r="L47" s="28"/>
      <c r="M47" s="28"/>
      <c r="N47" s="28"/>
      <c r="O47" s="28"/>
    </row>
    <row r="48" spans="1:15" s="138" customFormat="1" x14ac:dyDescent="0.2">
      <c r="A48" s="97" t="s">
        <v>231</v>
      </c>
      <c r="B48" s="148"/>
      <c r="C48" s="97"/>
      <c r="D48" s="97"/>
      <c r="E48" s="149"/>
      <c r="F48" s="167"/>
      <c r="G48" s="167"/>
      <c r="H48" s="168"/>
      <c r="I48" s="168"/>
      <c r="J48" s="153"/>
      <c r="K48" s="169"/>
      <c r="L48" s="169"/>
      <c r="M48" s="169"/>
      <c r="N48" s="153"/>
      <c r="O48" s="153"/>
    </row>
    <row r="49" spans="1:15" s="138" customFormat="1" x14ac:dyDescent="0.2">
      <c r="A49" s="97" t="s">
        <v>232</v>
      </c>
      <c r="B49" s="148"/>
      <c r="C49" s="97"/>
      <c r="D49" s="97"/>
      <c r="E49" s="149"/>
      <c r="F49" s="167"/>
      <c r="G49" s="167"/>
      <c r="H49" s="168"/>
      <c r="I49" s="168"/>
      <c r="J49" s="153"/>
      <c r="K49" s="169"/>
      <c r="L49" s="169"/>
      <c r="M49" s="169"/>
      <c r="N49" s="153"/>
      <c r="O49" s="153"/>
    </row>
    <row r="50" spans="1:15" s="138" customFormat="1" x14ac:dyDescent="0.2">
      <c r="A50" s="97" t="s">
        <v>233</v>
      </c>
      <c r="B50" s="148"/>
      <c r="C50" s="97"/>
      <c r="D50" s="97"/>
      <c r="E50" s="149"/>
      <c r="F50" s="167"/>
      <c r="G50" s="167"/>
      <c r="H50" s="168"/>
      <c r="I50" s="168"/>
      <c r="J50" s="153"/>
      <c r="K50" s="169"/>
      <c r="L50" s="169"/>
      <c r="M50" s="169"/>
      <c r="N50" s="153"/>
      <c r="O50" s="153"/>
    </row>
    <row r="51" spans="1:15" s="138" customFormat="1" x14ac:dyDescent="0.2">
      <c r="A51" s="97" t="s">
        <v>234</v>
      </c>
      <c r="B51" s="148"/>
      <c r="C51" s="97"/>
      <c r="D51" s="97"/>
      <c r="E51" s="149"/>
      <c r="F51" s="167"/>
      <c r="G51" s="167"/>
      <c r="H51" s="168"/>
      <c r="I51" s="168"/>
      <c r="J51" s="153"/>
      <c r="K51" s="169"/>
      <c r="L51" s="169"/>
      <c r="M51" s="169"/>
      <c r="N51" s="153"/>
      <c r="O51" s="153"/>
    </row>
    <row r="52" spans="1:15" s="138" customFormat="1" x14ac:dyDescent="0.2">
      <c r="A52" s="97" t="s">
        <v>235</v>
      </c>
      <c r="B52" s="148"/>
      <c r="C52" s="97"/>
      <c r="D52" s="97"/>
      <c r="E52" s="149"/>
      <c r="F52" s="167"/>
      <c r="G52" s="167"/>
      <c r="H52" s="168"/>
      <c r="I52" s="168"/>
      <c r="J52" s="153"/>
      <c r="K52" s="169"/>
      <c r="L52" s="169"/>
      <c r="M52" s="169"/>
      <c r="N52" s="153"/>
      <c r="O52" s="153"/>
    </row>
  </sheetData>
  <mergeCells count="2">
    <mergeCell ref="A6:J6"/>
    <mergeCell ref="A5:J5"/>
  </mergeCells>
  <conditionalFormatting sqref="J1:J4 F10:G47 J48:J55582">
    <cfRule type="expression" dxfId="100" priority="209" stopIfTrue="1">
      <formula>LEFT(#REF!,3)="TIR"</formula>
    </cfRule>
  </conditionalFormatting>
  <conditionalFormatting sqref="B10:E47 I10:J47">
    <cfRule type="expression" dxfId="99" priority="212" stopIfTrue="1">
      <formula>LEFT(#REF!,3)="TIR"</formula>
    </cfRule>
  </conditionalFormatting>
  <conditionalFormatting sqref="A10:A47 H10:I10 I11:I47">
    <cfRule type="expression" dxfId="98" priority="214" stopIfTrue="1">
      <formula>#REF!&gt;0</formula>
    </cfRule>
    <cfRule type="expression" dxfId="97" priority="215" stopIfTrue="1">
      <formula>LEFT(#REF!,3)="TIR"</formula>
    </cfRule>
  </conditionalFormatting>
  <conditionalFormatting sqref="J11:J47">
    <cfRule type="expression" dxfId="96" priority="220" stopIfTrue="1">
      <formula>OR(LEFT(#REF!,3)="TIR",LEFT(#REF!,2)="IR")</formula>
    </cfRule>
  </conditionalFormatting>
  <conditionalFormatting sqref="H11:I47">
    <cfRule type="expression" dxfId="95" priority="221" stopIfTrue="1">
      <formula>#REF!&gt;0</formula>
    </cfRule>
    <cfRule type="expression" dxfId="94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BC43-569A-462F-BE40-FE9E0C6A4641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8.5703125" style="78" bestFit="1" customWidth="1"/>
    <col min="5" max="5" width="11.140625" style="78" customWidth="1"/>
    <col min="6" max="6" width="14.140625" style="78" customWidth="1"/>
    <col min="7" max="7" width="7.85546875" style="50" customWidth="1"/>
    <col min="8" max="8" width="12" style="80" bestFit="1" customWidth="1"/>
    <col min="9" max="9" width="12.5703125" style="82" customWidth="1"/>
    <col min="10" max="10" width="14.140625" style="82" customWidth="1"/>
    <col min="11" max="11" width="10.85546875" style="82" bestFit="1" customWidth="1"/>
    <col min="12" max="12" width="12.42578125" style="80" bestFit="1" customWidth="1"/>
    <col min="13" max="13" width="10.42578125" style="80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78"/>
      <c r="E1" s="78"/>
      <c r="F1" s="78"/>
      <c r="G1" s="50"/>
      <c r="H1" s="80"/>
      <c r="I1" s="81"/>
      <c r="J1" s="81"/>
      <c r="K1" s="81"/>
      <c r="L1" s="80"/>
      <c r="M1" s="80"/>
      <c r="N1" s="84"/>
      <c r="O1" s="84"/>
      <c r="P1" s="57"/>
    </row>
    <row r="2" spans="1:16" s="20" customFormat="1" x14ac:dyDescent="0.2">
      <c r="A2" s="23" t="s">
        <v>227</v>
      </c>
      <c r="B2" s="22" t="s">
        <v>153</v>
      </c>
      <c r="D2" s="78"/>
      <c r="E2" s="78"/>
      <c r="F2" s="78"/>
      <c r="G2" s="50"/>
      <c r="H2" s="80"/>
      <c r="I2" s="81"/>
      <c r="J2" s="81"/>
      <c r="K2" s="81"/>
      <c r="L2" s="80"/>
      <c r="M2" s="80"/>
      <c r="N2" s="84"/>
      <c r="O2" s="84"/>
      <c r="P2" s="57"/>
    </row>
    <row r="3" spans="1:16" s="20" customFormat="1" x14ac:dyDescent="0.2">
      <c r="A3" s="23" t="s">
        <v>228</v>
      </c>
      <c r="B3" s="22" t="s">
        <v>229</v>
      </c>
      <c r="D3" s="78"/>
      <c r="E3" s="78"/>
      <c r="F3" s="78"/>
      <c r="G3" s="50"/>
      <c r="H3" s="80"/>
      <c r="I3" s="81"/>
      <c r="J3" s="81"/>
      <c r="K3" s="81"/>
      <c r="L3" s="80"/>
      <c r="M3" s="80"/>
      <c r="N3" s="84"/>
      <c r="O3" s="84"/>
      <c r="P3" s="57"/>
    </row>
    <row r="4" spans="1:16" s="20" customFormat="1" ht="13.5" thickBot="1" x14ac:dyDescent="0.25">
      <c r="A4" s="23" t="s">
        <v>230</v>
      </c>
      <c r="B4" s="22" t="s">
        <v>237</v>
      </c>
      <c r="D4" s="78"/>
      <c r="E4" s="78"/>
      <c r="F4" s="78"/>
      <c r="G4" s="50"/>
      <c r="H4" s="80"/>
      <c r="I4" s="81"/>
      <c r="J4" s="81"/>
      <c r="K4" s="81"/>
      <c r="L4" s="80"/>
      <c r="M4" s="80"/>
      <c r="N4" s="84"/>
      <c r="O4" s="84"/>
      <c r="P4" s="57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160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70"/>
      <c r="F8" s="70" t="s">
        <v>40</v>
      </c>
      <c r="G8" s="70" t="s">
        <v>16</v>
      </c>
      <c r="H8" s="43"/>
      <c r="I8" s="66" t="s">
        <v>9</v>
      </c>
      <c r="J8" s="66" t="s">
        <v>9</v>
      </c>
      <c r="K8" s="15" t="s">
        <v>136</v>
      </c>
      <c r="L8" s="66"/>
      <c r="M8" s="15" t="s">
        <v>138</v>
      </c>
      <c r="N8" s="74" t="s">
        <v>9</v>
      </c>
      <c r="O8" s="74" t="s">
        <v>9</v>
      </c>
      <c r="P8" s="72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8" customFormat="1" ht="12.75" customHeight="1" thickBot="1" x14ac:dyDescent="0.25">
      <c r="A10" s="121" t="s">
        <v>57</v>
      </c>
      <c r="B10" s="86"/>
      <c r="C10" s="86"/>
      <c r="D10" s="122"/>
      <c r="E10" s="122"/>
      <c r="F10" s="122"/>
      <c r="G10" s="122"/>
      <c r="H10" s="122"/>
      <c r="I10" s="86"/>
      <c r="J10" s="86"/>
      <c r="K10" s="123"/>
      <c r="L10" s="122"/>
      <c r="M10" s="126">
        <v>3808.9271558957194</v>
      </c>
      <c r="N10" s="86"/>
      <c r="O10" s="86">
        <v>1</v>
      </c>
      <c r="P10" s="101">
        <v>1.4720094615129072E-2</v>
      </c>
    </row>
    <row r="11" spans="1:16" s="138" customFormat="1" x14ac:dyDescent="0.2">
      <c r="A11" s="111" t="s">
        <v>140</v>
      </c>
      <c r="B11" s="141" t="s">
        <v>240</v>
      </c>
      <c r="C11" s="141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1" t="s">
        <v>240</v>
      </c>
      <c r="J11" s="141" t="s">
        <v>240</v>
      </c>
      <c r="K11" s="154" t="s">
        <v>240</v>
      </c>
      <c r="L11" s="142" t="s">
        <v>240</v>
      </c>
      <c r="M11" s="143">
        <v>0</v>
      </c>
      <c r="N11" s="141" t="s">
        <v>240</v>
      </c>
      <c r="O11" s="141">
        <v>0</v>
      </c>
      <c r="P11" s="141">
        <v>0</v>
      </c>
    </row>
    <row r="12" spans="1:16" s="138" customFormat="1" x14ac:dyDescent="0.2">
      <c r="A12" s="112" t="s">
        <v>1411</v>
      </c>
      <c r="B12" s="141" t="s">
        <v>240</v>
      </c>
      <c r="C12" s="145" t="s">
        <v>240</v>
      </c>
      <c r="D12" s="146" t="s">
        <v>240</v>
      </c>
      <c r="E12" s="146" t="s">
        <v>240</v>
      </c>
      <c r="F12" s="146" t="s">
        <v>240</v>
      </c>
      <c r="G12" s="146" t="s">
        <v>240</v>
      </c>
      <c r="H12" s="146" t="s">
        <v>240</v>
      </c>
      <c r="I12" s="145" t="s">
        <v>240</v>
      </c>
      <c r="J12" s="145" t="s">
        <v>240</v>
      </c>
      <c r="K12" s="156" t="s">
        <v>240</v>
      </c>
      <c r="L12" s="146" t="s">
        <v>240</v>
      </c>
      <c r="M12" s="147">
        <v>0</v>
      </c>
      <c r="N12" s="145" t="s">
        <v>240</v>
      </c>
      <c r="O12" s="145">
        <v>0</v>
      </c>
      <c r="P12" s="145">
        <v>0</v>
      </c>
    </row>
    <row r="13" spans="1:16" s="138" customFormat="1" x14ac:dyDescent="0.2">
      <c r="A13" s="112" t="s">
        <v>1412</v>
      </c>
      <c r="B13" s="141" t="s">
        <v>240</v>
      </c>
      <c r="C13" s="145" t="s">
        <v>240</v>
      </c>
      <c r="D13" s="146" t="s">
        <v>240</v>
      </c>
      <c r="E13" s="146" t="s">
        <v>240</v>
      </c>
      <c r="F13" s="146" t="s">
        <v>240</v>
      </c>
      <c r="G13" s="146" t="s">
        <v>240</v>
      </c>
      <c r="H13" s="146" t="s">
        <v>240</v>
      </c>
      <c r="I13" s="145" t="s">
        <v>240</v>
      </c>
      <c r="J13" s="145" t="s">
        <v>240</v>
      </c>
      <c r="K13" s="156" t="s">
        <v>240</v>
      </c>
      <c r="L13" s="146" t="s">
        <v>240</v>
      </c>
      <c r="M13" s="147">
        <v>0</v>
      </c>
      <c r="N13" s="145" t="s">
        <v>240</v>
      </c>
      <c r="O13" s="145">
        <v>0</v>
      </c>
      <c r="P13" s="145">
        <v>0</v>
      </c>
    </row>
    <row r="14" spans="1:16" s="138" customFormat="1" x14ac:dyDescent="0.2">
      <c r="A14" s="112" t="s">
        <v>1413</v>
      </c>
      <c r="B14" s="141" t="s">
        <v>240</v>
      </c>
      <c r="C14" s="145" t="s">
        <v>240</v>
      </c>
      <c r="D14" s="146" t="s">
        <v>240</v>
      </c>
      <c r="E14" s="146" t="s">
        <v>240</v>
      </c>
      <c r="F14" s="146" t="s">
        <v>240</v>
      </c>
      <c r="G14" s="146" t="s">
        <v>240</v>
      </c>
      <c r="H14" s="146" t="s">
        <v>240</v>
      </c>
      <c r="I14" s="145" t="s">
        <v>240</v>
      </c>
      <c r="J14" s="145" t="s">
        <v>240</v>
      </c>
      <c r="K14" s="156" t="s">
        <v>240</v>
      </c>
      <c r="L14" s="146" t="s">
        <v>240</v>
      </c>
      <c r="M14" s="147">
        <v>0</v>
      </c>
      <c r="N14" s="145" t="s">
        <v>240</v>
      </c>
      <c r="O14" s="145">
        <v>0</v>
      </c>
      <c r="P14" s="145">
        <v>0</v>
      </c>
    </row>
    <row r="15" spans="1:16" s="138" customFormat="1" x14ac:dyDescent="0.2">
      <c r="A15" s="112" t="s">
        <v>1414</v>
      </c>
      <c r="B15" s="141" t="s">
        <v>240</v>
      </c>
      <c r="C15" s="145" t="s">
        <v>240</v>
      </c>
      <c r="D15" s="146" t="s">
        <v>240</v>
      </c>
      <c r="E15" s="146" t="s">
        <v>240</v>
      </c>
      <c r="F15" s="146" t="s">
        <v>240</v>
      </c>
      <c r="G15" s="146" t="s">
        <v>240</v>
      </c>
      <c r="H15" s="146" t="s">
        <v>240</v>
      </c>
      <c r="I15" s="145" t="s">
        <v>240</v>
      </c>
      <c r="J15" s="145" t="s">
        <v>240</v>
      </c>
      <c r="K15" s="156" t="s">
        <v>240</v>
      </c>
      <c r="L15" s="146" t="s">
        <v>240</v>
      </c>
      <c r="M15" s="147">
        <v>0</v>
      </c>
      <c r="N15" s="145" t="s">
        <v>240</v>
      </c>
      <c r="O15" s="145">
        <v>0</v>
      </c>
      <c r="P15" s="145">
        <v>0</v>
      </c>
    </row>
    <row r="16" spans="1:16" s="138" customFormat="1" x14ac:dyDescent="0.2">
      <c r="A16" s="112" t="s">
        <v>1415</v>
      </c>
      <c r="B16" s="141" t="s">
        <v>240</v>
      </c>
      <c r="C16" s="145" t="s">
        <v>240</v>
      </c>
      <c r="D16" s="146" t="s">
        <v>240</v>
      </c>
      <c r="E16" s="146" t="s">
        <v>240</v>
      </c>
      <c r="F16" s="146" t="s">
        <v>240</v>
      </c>
      <c r="G16" s="146" t="s">
        <v>240</v>
      </c>
      <c r="H16" s="146" t="s">
        <v>240</v>
      </c>
      <c r="I16" s="145" t="s">
        <v>240</v>
      </c>
      <c r="J16" s="145" t="s">
        <v>240</v>
      </c>
      <c r="K16" s="156" t="s">
        <v>240</v>
      </c>
      <c r="L16" s="146" t="s">
        <v>240</v>
      </c>
      <c r="M16" s="147">
        <v>0</v>
      </c>
      <c r="N16" s="145" t="s">
        <v>240</v>
      </c>
      <c r="O16" s="145">
        <v>0</v>
      </c>
      <c r="P16" s="145">
        <v>0</v>
      </c>
    </row>
    <row r="17" spans="1:16" s="138" customFormat="1" x14ac:dyDescent="0.2">
      <c r="A17" s="112" t="s">
        <v>1416</v>
      </c>
      <c r="B17" s="141" t="s">
        <v>240</v>
      </c>
      <c r="C17" s="145" t="s">
        <v>240</v>
      </c>
      <c r="D17" s="146" t="s">
        <v>240</v>
      </c>
      <c r="E17" s="146" t="s">
        <v>240</v>
      </c>
      <c r="F17" s="146" t="s">
        <v>240</v>
      </c>
      <c r="G17" s="146" t="s">
        <v>240</v>
      </c>
      <c r="H17" s="146" t="s">
        <v>240</v>
      </c>
      <c r="I17" s="145" t="s">
        <v>240</v>
      </c>
      <c r="J17" s="145" t="s">
        <v>240</v>
      </c>
      <c r="K17" s="156" t="s">
        <v>240</v>
      </c>
      <c r="L17" s="146" t="s">
        <v>240</v>
      </c>
      <c r="M17" s="147">
        <v>0</v>
      </c>
      <c r="N17" s="145" t="s">
        <v>240</v>
      </c>
      <c r="O17" s="145">
        <v>0</v>
      </c>
      <c r="P17" s="145">
        <v>0</v>
      </c>
    </row>
    <row r="18" spans="1:16" s="138" customFormat="1" x14ac:dyDescent="0.2">
      <c r="A18" s="112" t="s">
        <v>1417</v>
      </c>
      <c r="B18" s="141" t="s">
        <v>240</v>
      </c>
      <c r="C18" s="145" t="s">
        <v>240</v>
      </c>
      <c r="D18" s="146" t="s">
        <v>240</v>
      </c>
      <c r="E18" s="146" t="s">
        <v>240</v>
      </c>
      <c r="F18" s="146" t="s">
        <v>240</v>
      </c>
      <c r="G18" s="146" t="s">
        <v>240</v>
      </c>
      <c r="H18" s="146" t="s">
        <v>240</v>
      </c>
      <c r="I18" s="145" t="s">
        <v>240</v>
      </c>
      <c r="J18" s="145" t="s">
        <v>240</v>
      </c>
      <c r="K18" s="156" t="s">
        <v>240</v>
      </c>
      <c r="L18" s="146" t="s">
        <v>240</v>
      </c>
      <c r="M18" s="147">
        <v>0</v>
      </c>
      <c r="N18" s="145" t="s">
        <v>240</v>
      </c>
      <c r="O18" s="145">
        <v>0</v>
      </c>
      <c r="P18" s="145">
        <v>0</v>
      </c>
    </row>
    <row r="19" spans="1:16" s="138" customFormat="1" x14ac:dyDescent="0.2">
      <c r="A19" s="112" t="s">
        <v>376</v>
      </c>
      <c r="B19" s="141" t="s">
        <v>240</v>
      </c>
      <c r="C19" s="145" t="s">
        <v>240</v>
      </c>
      <c r="D19" s="146" t="s">
        <v>240</v>
      </c>
      <c r="E19" s="146" t="s">
        <v>240</v>
      </c>
      <c r="F19" s="146" t="s">
        <v>240</v>
      </c>
      <c r="G19" s="146" t="s">
        <v>240</v>
      </c>
      <c r="H19" s="146" t="s">
        <v>240</v>
      </c>
      <c r="I19" s="145" t="s">
        <v>240</v>
      </c>
      <c r="J19" s="145" t="s">
        <v>240</v>
      </c>
      <c r="K19" s="156" t="s">
        <v>240</v>
      </c>
      <c r="L19" s="146" t="s">
        <v>240</v>
      </c>
      <c r="M19" s="147">
        <v>3808.9271552957189</v>
      </c>
      <c r="N19" s="145" t="s">
        <v>240</v>
      </c>
      <c r="O19" s="145">
        <v>0.99999999984247523</v>
      </c>
      <c r="P19" s="145">
        <v>1.4720094612810292E-2</v>
      </c>
    </row>
    <row r="20" spans="1:16" s="138" customFormat="1" x14ac:dyDescent="0.2">
      <c r="A20" s="112" t="s">
        <v>1418</v>
      </c>
      <c r="B20" s="141" t="s">
        <v>240</v>
      </c>
      <c r="C20" s="145" t="s">
        <v>240</v>
      </c>
      <c r="D20" s="146" t="s">
        <v>240</v>
      </c>
      <c r="E20" s="146" t="s">
        <v>240</v>
      </c>
      <c r="F20" s="146" t="s">
        <v>240</v>
      </c>
      <c r="G20" s="146" t="s">
        <v>240</v>
      </c>
      <c r="H20" s="146" t="s">
        <v>240</v>
      </c>
      <c r="I20" s="145" t="s">
        <v>240</v>
      </c>
      <c r="J20" s="145" t="s">
        <v>240</v>
      </c>
      <c r="K20" s="156" t="s">
        <v>240</v>
      </c>
      <c r="L20" s="146" t="s">
        <v>240</v>
      </c>
      <c r="M20" s="147">
        <v>3765.6932967824068</v>
      </c>
      <c r="N20" s="145" t="s">
        <v>240</v>
      </c>
      <c r="O20" s="145">
        <v>0.98864933422357737</v>
      </c>
      <c r="P20" s="145">
        <v>1.4553011740955423E-2</v>
      </c>
    </row>
    <row r="21" spans="1:16" x14ac:dyDescent="0.2">
      <c r="A21" s="30" t="s">
        <v>1419</v>
      </c>
      <c r="B21" s="46" t="s">
        <v>1420</v>
      </c>
      <c r="C21" s="38" t="s">
        <v>1063</v>
      </c>
      <c r="D21" s="79" t="s">
        <v>1421</v>
      </c>
      <c r="E21" s="79" t="s">
        <v>354</v>
      </c>
      <c r="F21" s="79" t="s">
        <v>1422</v>
      </c>
      <c r="G21" s="79">
        <v>0</v>
      </c>
      <c r="H21" s="79" t="s">
        <v>127</v>
      </c>
      <c r="I21" s="38">
        <v>0</v>
      </c>
      <c r="J21" s="38">
        <v>0</v>
      </c>
      <c r="K21" s="88">
        <v>2781.0098377229706</v>
      </c>
      <c r="L21" s="79">
        <v>10830</v>
      </c>
      <c r="M21" s="104">
        <v>1073.718697694</v>
      </c>
      <c r="N21" s="38" t="s">
        <v>240</v>
      </c>
      <c r="O21" s="38">
        <v>0.28189530903262988</v>
      </c>
      <c r="P21" s="38">
        <v>4.1495256205213611E-3</v>
      </c>
    </row>
    <row r="22" spans="1:16" x14ac:dyDescent="0.2">
      <c r="A22" s="30" t="s">
        <v>1423</v>
      </c>
      <c r="B22" s="46" t="s">
        <v>1424</v>
      </c>
      <c r="C22" s="38" t="s">
        <v>1063</v>
      </c>
      <c r="D22" s="79" t="s">
        <v>385</v>
      </c>
      <c r="E22" s="79" t="s">
        <v>240</v>
      </c>
      <c r="F22" s="79" t="s">
        <v>1425</v>
      </c>
      <c r="G22" s="79">
        <v>0</v>
      </c>
      <c r="H22" s="79" t="s">
        <v>128</v>
      </c>
      <c r="I22" s="38">
        <v>0</v>
      </c>
      <c r="J22" s="38">
        <v>0</v>
      </c>
      <c r="K22" s="88">
        <v>751275.50356772658</v>
      </c>
      <c r="L22" s="79">
        <v>91.87</v>
      </c>
      <c r="M22" s="104">
        <v>2691.9745989884073</v>
      </c>
      <c r="N22" s="38" t="s">
        <v>240</v>
      </c>
      <c r="O22" s="38">
        <v>0.70675402516469343</v>
      </c>
      <c r="P22" s="38">
        <v>1.04034861200476E-2</v>
      </c>
    </row>
    <row r="23" spans="1:16" s="138" customFormat="1" x14ac:dyDescent="0.2">
      <c r="A23" s="112" t="s">
        <v>1426</v>
      </c>
      <c r="B23" s="141" t="s">
        <v>240</v>
      </c>
      <c r="C23" s="145" t="s">
        <v>240</v>
      </c>
      <c r="D23" s="146" t="s">
        <v>240</v>
      </c>
      <c r="E23" s="146" t="s">
        <v>240</v>
      </c>
      <c r="F23" s="146" t="s">
        <v>240</v>
      </c>
      <c r="G23" s="146" t="s">
        <v>240</v>
      </c>
      <c r="H23" s="146" t="s">
        <v>240</v>
      </c>
      <c r="I23" s="145" t="s">
        <v>240</v>
      </c>
      <c r="J23" s="145" t="s">
        <v>240</v>
      </c>
      <c r="K23" s="156" t="s">
        <v>240</v>
      </c>
      <c r="L23" s="146" t="s">
        <v>240</v>
      </c>
      <c r="M23" s="147">
        <v>43.233858113311932</v>
      </c>
      <c r="N23" s="145" t="s">
        <v>240</v>
      </c>
      <c r="O23" s="145">
        <v>1.1350665513881407E-2</v>
      </c>
      <c r="P23" s="145">
        <v>1.6708287030901695E-4</v>
      </c>
    </row>
    <row r="24" spans="1:16" x14ac:dyDescent="0.2">
      <c r="A24" s="30" t="s">
        <v>1427</v>
      </c>
      <c r="B24" s="46" t="s">
        <v>1428</v>
      </c>
      <c r="C24" s="38" t="s">
        <v>1063</v>
      </c>
      <c r="D24" s="79" t="s">
        <v>353</v>
      </c>
      <c r="E24" s="79" t="s">
        <v>354</v>
      </c>
      <c r="F24" s="79" t="s">
        <v>1429</v>
      </c>
      <c r="G24" s="79">
        <v>0</v>
      </c>
      <c r="H24" s="79" t="s">
        <v>247</v>
      </c>
      <c r="I24" s="38">
        <v>0</v>
      </c>
      <c r="J24" s="38">
        <v>0</v>
      </c>
      <c r="K24" s="88">
        <v>0.32908012668911019</v>
      </c>
      <c r="L24" s="79">
        <v>13137790.630000001</v>
      </c>
      <c r="M24" s="104">
        <v>43.233858013311931</v>
      </c>
      <c r="N24" s="38">
        <v>5.2234940744303208E-3</v>
      </c>
      <c r="O24" s="38">
        <v>1.1350665487627296E-2</v>
      </c>
      <c r="P24" s="38">
        <v>1.6708286992255395E-4</v>
      </c>
    </row>
    <row r="25" spans="1:16" s="138" customFormat="1" x14ac:dyDescent="0.2">
      <c r="A25" s="112" t="s">
        <v>1430</v>
      </c>
      <c r="B25" s="141" t="s">
        <v>240</v>
      </c>
      <c r="C25" s="145" t="s">
        <v>240</v>
      </c>
      <c r="D25" s="146" t="s">
        <v>240</v>
      </c>
      <c r="E25" s="146" t="s">
        <v>240</v>
      </c>
      <c r="F25" s="146" t="s">
        <v>240</v>
      </c>
      <c r="G25" s="146" t="s">
        <v>240</v>
      </c>
      <c r="H25" s="146" t="s">
        <v>240</v>
      </c>
      <c r="I25" s="145" t="s">
        <v>240</v>
      </c>
      <c r="J25" s="145" t="s">
        <v>240</v>
      </c>
      <c r="K25" s="156" t="s">
        <v>240</v>
      </c>
      <c r="L25" s="146" t="s">
        <v>240</v>
      </c>
      <c r="M25" s="147">
        <v>0</v>
      </c>
      <c r="N25" s="145" t="s">
        <v>240</v>
      </c>
      <c r="O25" s="145">
        <v>0</v>
      </c>
      <c r="P25" s="145">
        <v>0</v>
      </c>
    </row>
    <row r="26" spans="1:16" s="138" customFormat="1" x14ac:dyDescent="0.2">
      <c r="A26" s="112" t="s">
        <v>1414</v>
      </c>
      <c r="B26" s="141" t="s">
        <v>240</v>
      </c>
      <c r="C26" s="145" t="s">
        <v>240</v>
      </c>
      <c r="D26" s="146" t="s">
        <v>240</v>
      </c>
      <c r="E26" s="146" t="s">
        <v>240</v>
      </c>
      <c r="F26" s="146" t="s">
        <v>240</v>
      </c>
      <c r="G26" s="146" t="s">
        <v>240</v>
      </c>
      <c r="H26" s="146" t="s">
        <v>240</v>
      </c>
      <c r="I26" s="145" t="s">
        <v>240</v>
      </c>
      <c r="J26" s="145" t="s">
        <v>240</v>
      </c>
      <c r="K26" s="156" t="s">
        <v>240</v>
      </c>
      <c r="L26" s="146" t="s">
        <v>240</v>
      </c>
      <c r="M26" s="147">
        <v>0</v>
      </c>
      <c r="N26" s="145" t="s">
        <v>240</v>
      </c>
      <c r="O26" s="145">
        <v>0</v>
      </c>
      <c r="P26" s="145">
        <v>0</v>
      </c>
    </row>
    <row r="27" spans="1:16" s="138" customFormat="1" x14ac:dyDescent="0.2">
      <c r="A27" s="112" t="s">
        <v>1415</v>
      </c>
      <c r="B27" s="141" t="s">
        <v>240</v>
      </c>
      <c r="C27" s="145" t="s">
        <v>240</v>
      </c>
      <c r="D27" s="146" t="s">
        <v>240</v>
      </c>
      <c r="E27" s="146" t="s">
        <v>240</v>
      </c>
      <c r="F27" s="146" t="s">
        <v>240</v>
      </c>
      <c r="G27" s="146" t="s">
        <v>240</v>
      </c>
      <c r="H27" s="146" t="s">
        <v>240</v>
      </c>
      <c r="I27" s="145" t="s">
        <v>240</v>
      </c>
      <c r="J27" s="145" t="s">
        <v>240</v>
      </c>
      <c r="K27" s="156" t="s">
        <v>240</v>
      </c>
      <c r="L27" s="146" t="s">
        <v>240</v>
      </c>
      <c r="M27" s="147">
        <v>0</v>
      </c>
      <c r="N27" s="145" t="s">
        <v>240</v>
      </c>
      <c r="O27" s="145">
        <v>0</v>
      </c>
      <c r="P27" s="145">
        <v>0</v>
      </c>
    </row>
    <row r="28" spans="1:16" s="138" customFormat="1" x14ac:dyDescent="0.2">
      <c r="A28" s="112" t="s">
        <v>1416</v>
      </c>
      <c r="B28" s="141" t="s">
        <v>240</v>
      </c>
      <c r="C28" s="145" t="s">
        <v>240</v>
      </c>
      <c r="D28" s="146" t="s">
        <v>240</v>
      </c>
      <c r="E28" s="146" t="s">
        <v>240</v>
      </c>
      <c r="F28" s="146" t="s">
        <v>240</v>
      </c>
      <c r="G28" s="146" t="s">
        <v>240</v>
      </c>
      <c r="H28" s="146" t="s">
        <v>240</v>
      </c>
      <c r="I28" s="145" t="s">
        <v>240</v>
      </c>
      <c r="J28" s="145" t="s">
        <v>240</v>
      </c>
      <c r="K28" s="156" t="s">
        <v>240</v>
      </c>
      <c r="L28" s="146" t="s">
        <v>240</v>
      </c>
      <c r="M28" s="147">
        <v>0</v>
      </c>
      <c r="N28" s="145" t="s">
        <v>240</v>
      </c>
      <c r="O28" s="145">
        <v>0</v>
      </c>
      <c r="P28" s="145">
        <v>0</v>
      </c>
    </row>
    <row r="29" spans="1:16" s="138" customFormat="1" x14ac:dyDescent="0.2">
      <c r="A29" s="202" t="s">
        <v>1417</v>
      </c>
      <c r="B29" s="242" t="s">
        <v>240</v>
      </c>
      <c r="C29" s="203" t="s">
        <v>240</v>
      </c>
      <c r="D29" s="204" t="s">
        <v>240</v>
      </c>
      <c r="E29" s="204" t="s">
        <v>240</v>
      </c>
      <c r="F29" s="204" t="s">
        <v>240</v>
      </c>
      <c r="G29" s="204" t="s">
        <v>240</v>
      </c>
      <c r="H29" s="204" t="s">
        <v>240</v>
      </c>
      <c r="I29" s="203" t="s">
        <v>240</v>
      </c>
      <c r="J29" s="203" t="s">
        <v>240</v>
      </c>
      <c r="K29" s="205" t="s">
        <v>240</v>
      </c>
      <c r="L29" s="204" t="s">
        <v>240</v>
      </c>
      <c r="M29" s="207">
        <v>0</v>
      </c>
      <c r="N29" s="203" t="s">
        <v>240</v>
      </c>
      <c r="O29" s="203">
        <v>0</v>
      </c>
      <c r="P29" s="203">
        <v>0</v>
      </c>
    </row>
    <row r="30" spans="1:16" s="138" customFormat="1" x14ac:dyDescent="0.2">
      <c r="A30" s="97" t="s">
        <v>231</v>
      </c>
      <c r="B30" s="148"/>
      <c r="C30" s="97"/>
      <c r="D30" s="149"/>
      <c r="E30" s="149"/>
      <c r="F30" s="149"/>
      <c r="G30" s="150"/>
      <c r="H30" s="151"/>
      <c r="I30" s="152"/>
      <c r="J30" s="152"/>
      <c r="K30" s="152"/>
      <c r="L30" s="151"/>
      <c r="M30" s="151"/>
      <c r="N30" s="157"/>
      <c r="O30" s="157"/>
      <c r="P30" s="157"/>
    </row>
    <row r="31" spans="1:16" s="138" customFormat="1" x14ac:dyDescent="0.2">
      <c r="A31" s="97" t="s">
        <v>232</v>
      </c>
      <c r="B31" s="148"/>
      <c r="C31" s="97"/>
      <c r="D31" s="149"/>
      <c r="E31" s="149"/>
      <c r="F31" s="149"/>
      <c r="G31" s="150"/>
      <c r="H31" s="151"/>
      <c r="I31" s="152"/>
      <c r="J31" s="152"/>
      <c r="K31" s="152"/>
      <c r="L31" s="151"/>
      <c r="M31" s="151"/>
      <c r="N31" s="157"/>
      <c r="O31" s="157"/>
      <c r="P31" s="157"/>
    </row>
    <row r="32" spans="1:16" s="138" customFormat="1" x14ac:dyDescent="0.2">
      <c r="A32" s="97" t="s">
        <v>233</v>
      </c>
      <c r="B32" s="148"/>
      <c r="C32" s="97"/>
      <c r="D32" s="149"/>
      <c r="E32" s="149"/>
      <c r="F32" s="149"/>
      <c r="G32" s="150"/>
      <c r="H32" s="151"/>
      <c r="I32" s="152"/>
      <c r="J32" s="152"/>
      <c r="K32" s="152"/>
      <c r="L32" s="151"/>
      <c r="M32" s="151"/>
      <c r="N32" s="157"/>
      <c r="O32" s="157"/>
      <c r="P32" s="157"/>
    </row>
    <row r="33" spans="1:16" s="138" customFormat="1" x14ac:dyDescent="0.2">
      <c r="A33" s="97" t="s">
        <v>234</v>
      </c>
      <c r="B33" s="148"/>
      <c r="C33" s="97"/>
      <c r="D33" s="149"/>
      <c r="E33" s="149"/>
      <c r="F33" s="149"/>
      <c r="G33" s="150"/>
      <c r="H33" s="151"/>
      <c r="I33" s="152"/>
      <c r="J33" s="152"/>
      <c r="K33" s="152"/>
      <c r="L33" s="151"/>
      <c r="M33" s="151"/>
      <c r="N33" s="157"/>
      <c r="O33" s="157"/>
      <c r="P33" s="157"/>
    </row>
    <row r="34" spans="1:16" s="138" customFormat="1" x14ac:dyDescent="0.2">
      <c r="A34" s="97" t="s">
        <v>235</v>
      </c>
      <c r="B34" s="148"/>
      <c r="C34" s="97"/>
      <c r="D34" s="149"/>
      <c r="E34" s="149"/>
      <c r="F34" s="149"/>
      <c r="G34" s="150"/>
      <c r="H34" s="151"/>
      <c r="I34" s="152"/>
      <c r="J34" s="152"/>
      <c r="K34" s="152"/>
      <c r="L34" s="151"/>
      <c r="M34" s="151"/>
      <c r="N34" s="157"/>
      <c r="O34" s="157"/>
      <c r="P34" s="157"/>
    </row>
  </sheetData>
  <mergeCells count="2">
    <mergeCell ref="A6:P6"/>
    <mergeCell ref="A5:P5"/>
  </mergeCells>
  <conditionalFormatting sqref="B11:F29 H11:H29 O11:P29">
    <cfRule type="expression" dxfId="93" priority="227" stopIfTrue="1">
      <formula>OR(LEFT(#REF!,3)="TIR",LEFT(#REF!,2)="IR")</formula>
    </cfRule>
  </conditionalFormatting>
  <conditionalFormatting sqref="A11:A29 M11:M29">
    <cfRule type="expression" dxfId="92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4BF9-24D4-4BE9-9F8C-66FE5CDDBDF2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6" t="s">
        <v>160</v>
      </c>
      <c r="B7" s="107" t="s">
        <v>69</v>
      </c>
      <c r="C7" s="107" t="s">
        <v>70</v>
      </c>
      <c r="D7" s="107" t="s">
        <v>5</v>
      </c>
      <c r="E7" s="107" t="s">
        <v>13</v>
      </c>
      <c r="F7" s="107" t="s">
        <v>14</v>
      </c>
      <c r="G7" s="107" t="s">
        <v>6</v>
      </c>
      <c r="H7" s="108" t="s">
        <v>66</v>
      </c>
      <c r="I7" s="108" t="s">
        <v>71</v>
      </c>
      <c r="J7" s="108" t="s">
        <v>67</v>
      </c>
      <c r="K7" s="108" t="s">
        <v>68</v>
      </c>
      <c r="L7" s="108" t="s">
        <v>29</v>
      </c>
      <c r="M7" s="109" t="s">
        <v>17</v>
      </c>
      <c r="N7" s="109" t="s">
        <v>75</v>
      </c>
      <c r="O7" s="110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8" customFormat="1" ht="12.75" customHeight="1" thickBot="1" x14ac:dyDescent="0.25">
      <c r="A10" s="91" t="s">
        <v>52</v>
      </c>
      <c r="B10" s="139" t="s">
        <v>240</v>
      </c>
      <c r="C10" s="139"/>
      <c r="D10" s="139"/>
      <c r="E10" s="139" t="s">
        <v>240</v>
      </c>
      <c r="F10" s="139" t="s">
        <v>240</v>
      </c>
      <c r="G10" s="139" t="s">
        <v>240</v>
      </c>
      <c r="H10" s="139" t="s">
        <v>240</v>
      </c>
      <c r="I10" s="139" t="s">
        <v>240</v>
      </c>
      <c r="J10" s="177" t="s">
        <v>240</v>
      </c>
      <c r="K10" s="139" t="s">
        <v>240</v>
      </c>
      <c r="L10" s="128">
        <v>6.9999999999999997E-7</v>
      </c>
      <c r="M10" s="139" t="s">
        <v>240</v>
      </c>
      <c r="N10" s="127">
        <v>1</v>
      </c>
      <c r="O10" s="77">
        <v>0</v>
      </c>
    </row>
    <row r="11" spans="1:15" s="138" customFormat="1" x14ac:dyDescent="0.2">
      <c r="A11" s="111" t="s">
        <v>140</v>
      </c>
      <c r="B11" s="141" t="s">
        <v>240</v>
      </c>
      <c r="C11" s="161" t="s">
        <v>240</v>
      </c>
      <c r="D11" s="161" t="s">
        <v>240</v>
      </c>
      <c r="E11" s="161" t="s">
        <v>240</v>
      </c>
      <c r="F11" s="161" t="s">
        <v>240</v>
      </c>
      <c r="G11" s="161" t="s">
        <v>240</v>
      </c>
      <c r="H11" s="162" t="s">
        <v>240</v>
      </c>
      <c r="I11" s="162" t="s">
        <v>240</v>
      </c>
      <c r="J11" s="163" t="s">
        <v>240</v>
      </c>
      <c r="K11" s="161" t="s">
        <v>240</v>
      </c>
      <c r="L11" s="143">
        <v>0</v>
      </c>
      <c r="M11" s="162" t="s">
        <v>240</v>
      </c>
      <c r="N11" s="141">
        <v>0</v>
      </c>
      <c r="O11" s="141">
        <v>0</v>
      </c>
    </row>
    <row r="12" spans="1:15" s="138" customFormat="1" x14ac:dyDescent="0.2">
      <c r="A12" s="112" t="s">
        <v>1431</v>
      </c>
      <c r="B12" s="141" t="s">
        <v>240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5" t="s">
        <v>240</v>
      </c>
      <c r="I12" s="165" t="s">
        <v>240</v>
      </c>
      <c r="J12" s="166" t="s">
        <v>240</v>
      </c>
      <c r="K12" s="164" t="s">
        <v>240</v>
      </c>
      <c r="L12" s="147">
        <v>0</v>
      </c>
      <c r="M12" s="165" t="s">
        <v>240</v>
      </c>
      <c r="N12" s="145">
        <v>0</v>
      </c>
      <c r="O12" s="145">
        <v>0</v>
      </c>
    </row>
    <row r="13" spans="1:15" s="138" customFormat="1" x14ac:dyDescent="0.2">
      <c r="A13" s="112" t="s">
        <v>672</v>
      </c>
      <c r="B13" s="141" t="s">
        <v>240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5" t="s">
        <v>240</v>
      </c>
      <c r="I13" s="165" t="s">
        <v>240</v>
      </c>
      <c r="J13" s="166" t="s">
        <v>240</v>
      </c>
      <c r="K13" s="164" t="s">
        <v>240</v>
      </c>
      <c r="L13" s="147">
        <v>0</v>
      </c>
      <c r="M13" s="165" t="s">
        <v>240</v>
      </c>
      <c r="N13" s="145">
        <v>0</v>
      </c>
      <c r="O13" s="145">
        <v>0</v>
      </c>
    </row>
    <row r="14" spans="1:15" s="138" customFormat="1" x14ac:dyDescent="0.2">
      <c r="A14" s="112" t="s">
        <v>1432</v>
      </c>
      <c r="B14" s="141" t="s">
        <v>240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4" t="s">
        <v>240</v>
      </c>
      <c r="H14" s="165" t="s">
        <v>240</v>
      </c>
      <c r="I14" s="165" t="s">
        <v>240</v>
      </c>
      <c r="J14" s="166" t="s">
        <v>240</v>
      </c>
      <c r="K14" s="164" t="s">
        <v>240</v>
      </c>
      <c r="L14" s="147">
        <v>0</v>
      </c>
      <c r="M14" s="165" t="s">
        <v>240</v>
      </c>
      <c r="N14" s="145">
        <v>0</v>
      </c>
      <c r="O14" s="145">
        <v>0</v>
      </c>
    </row>
    <row r="15" spans="1:15" s="138" customFormat="1" x14ac:dyDescent="0.2">
      <c r="A15" s="112" t="s">
        <v>1433</v>
      </c>
      <c r="B15" s="141" t="s">
        <v>240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64" t="s">
        <v>240</v>
      </c>
      <c r="H15" s="165" t="s">
        <v>240</v>
      </c>
      <c r="I15" s="165" t="s">
        <v>240</v>
      </c>
      <c r="J15" s="166" t="s">
        <v>240</v>
      </c>
      <c r="K15" s="164" t="s">
        <v>240</v>
      </c>
      <c r="L15" s="147">
        <v>0</v>
      </c>
      <c r="M15" s="165" t="s">
        <v>240</v>
      </c>
      <c r="N15" s="145">
        <v>0</v>
      </c>
      <c r="O15" s="145">
        <v>0</v>
      </c>
    </row>
    <row r="16" spans="1:15" s="138" customFormat="1" x14ac:dyDescent="0.2">
      <c r="A16" s="112" t="s">
        <v>221</v>
      </c>
      <c r="B16" s="141" t="s">
        <v>240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4" t="s">
        <v>240</v>
      </c>
      <c r="H16" s="165" t="s">
        <v>240</v>
      </c>
      <c r="I16" s="165" t="s">
        <v>240</v>
      </c>
      <c r="J16" s="166" t="s">
        <v>240</v>
      </c>
      <c r="K16" s="164" t="s">
        <v>240</v>
      </c>
      <c r="L16" s="147">
        <v>0</v>
      </c>
      <c r="M16" s="165" t="s">
        <v>240</v>
      </c>
      <c r="N16" s="145">
        <v>0</v>
      </c>
      <c r="O16" s="145">
        <v>0</v>
      </c>
    </row>
    <row r="17" spans="1:15" s="138" customFormat="1" x14ac:dyDescent="0.2">
      <c r="A17" s="112" t="s">
        <v>376</v>
      </c>
      <c r="B17" s="141" t="s">
        <v>240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4" t="s">
        <v>240</v>
      </c>
      <c r="H17" s="165" t="s">
        <v>240</v>
      </c>
      <c r="I17" s="165" t="s">
        <v>240</v>
      </c>
      <c r="J17" s="166" t="s">
        <v>240</v>
      </c>
      <c r="K17" s="164" t="s">
        <v>240</v>
      </c>
      <c r="L17" s="147">
        <v>0</v>
      </c>
      <c r="M17" s="165" t="s">
        <v>240</v>
      </c>
      <c r="N17" s="145">
        <v>0</v>
      </c>
      <c r="O17" s="145">
        <v>0</v>
      </c>
    </row>
    <row r="18" spans="1:15" s="138" customFormat="1" x14ac:dyDescent="0.2">
      <c r="A18" s="112" t="s">
        <v>1434</v>
      </c>
      <c r="B18" s="141" t="s">
        <v>240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4" t="s">
        <v>240</v>
      </c>
      <c r="H18" s="165" t="s">
        <v>240</v>
      </c>
      <c r="I18" s="165" t="s">
        <v>240</v>
      </c>
      <c r="J18" s="166" t="s">
        <v>240</v>
      </c>
      <c r="K18" s="164" t="s">
        <v>240</v>
      </c>
      <c r="L18" s="147">
        <v>0</v>
      </c>
      <c r="M18" s="165" t="s">
        <v>240</v>
      </c>
      <c r="N18" s="145">
        <v>0</v>
      </c>
      <c r="O18" s="145">
        <v>0</v>
      </c>
    </row>
    <row r="19" spans="1:15" s="138" customFormat="1" x14ac:dyDescent="0.2">
      <c r="A19" s="202" t="s">
        <v>1435</v>
      </c>
      <c r="B19" s="242" t="s">
        <v>240</v>
      </c>
      <c r="C19" s="244" t="s">
        <v>240</v>
      </c>
      <c r="D19" s="244" t="s">
        <v>240</v>
      </c>
      <c r="E19" s="244" t="s">
        <v>240</v>
      </c>
      <c r="F19" s="244" t="s">
        <v>240</v>
      </c>
      <c r="G19" s="244" t="s">
        <v>240</v>
      </c>
      <c r="H19" s="245" t="s">
        <v>240</v>
      </c>
      <c r="I19" s="245" t="s">
        <v>240</v>
      </c>
      <c r="J19" s="246" t="s">
        <v>240</v>
      </c>
      <c r="K19" s="244" t="s">
        <v>240</v>
      </c>
      <c r="L19" s="207">
        <v>0</v>
      </c>
      <c r="M19" s="245" t="s">
        <v>240</v>
      </c>
      <c r="N19" s="203">
        <v>0</v>
      </c>
      <c r="O19" s="203">
        <v>0</v>
      </c>
    </row>
    <row r="20" spans="1:15" s="138" customFormat="1" x14ac:dyDescent="0.2">
      <c r="A20" s="97" t="s">
        <v>231</v>
      </c>
      <c r="B20" s="148"/>
      <c r="C20" s="97"/>
      <c r="D20" s="167"/>
      <c r="E20" s="167"/>
      <c r="F20" s="167"/>
      <c r="G20" s="168"/>
      <c r="H20" s="153"/>
      <c r="I20" s="169"/>
      <c r="J20" s="169"/>
      <c r="K20" s="169"/>
      <c r="L20" s="153"/>
      <c r="M20" s="153"/>
      <c r="N20" s="153"/>
    </row>
    <row r="21" spans="1:15" s="138" customFormat="1" x14ac:dyDescent="0.2">
      <c r="A21" s="97" t="s">
        <v>232</v>
      </c>
      <c r="B21" s="148"/>
      <c r="C21" s="97"/>
      <c r="D21" s="167"/>
      <c r="E21" s="167"/>
      <c r="F21" s="167"/>
      <c r="G21" s="168"/>
      <c r="H21" s="153"/>
      <c r="I21" s="169"/>
      <c r="J21" s="169"/>
      <c r="K21" s="169"/>
      <c r="L21" s="153"/>
      <c r="M21" s="153"/>
      <c r="N21" s="153"/>
    </row>
    <row r="22" spans="1:15" s="138" customFormat="1" x14ac:dyDescent="0.2">
      <c r="A22" s="97" t="s">
        <v>233</v>
      </c>
      <c r="B22" s="148"/>
      <c r="C22" s="97"/>
      <c r="D22" s="167"/>
      <c r="E22" s="167"/>
      <c r="F22" s="167"/>
      <c r="G22" s="168"/>
      <c r="H22" s="153"/>
      <c r="I22" s="169"/>
      <c r="J22" s="169"/>
      <c r="K22" s="169"/>
      <c r="L22" s="153"/>
      <c r="M22" s="153"/>
      <c r="N22" s="153"/>
    </row>
    <row r="23" spans="1:15" s="138" customFormat="1" x14ac:dyDescent="0.2">
      <c r="A23" s="97" t="s">
        <v>234</v>
      </c>
      <c r="B23" s="148"/>
      <c r="C23" s="97"/>
      <c r="D23" s="167"/>
      <c r="E23" s="167"/>
      <c r="F23" s="167"/>
      <c r="G23" s="168"/>
      <c r="H23" s="153"/>
      <c r="I23" s="169"/>
      <c r="J23" s="169"/>
      <c r="K23" s="169"/>
      <c r="L23" s="153"/>
      <c r="M23" s="153"/>
      <c r="N23" s="153"/>
    </row>
    <row r="24" spans="1:15" s="138" customFormat="1" x14ac:dyDescent="0.2">
      <c r="A24" s="97" t="s">
        <v>235</v>
      </c>
      <c r="B24" s="148"/>
      <c r="C24" s="97"/>
      <c r="D24" s="167"/>
      <c r="E24" s="167"/>
      <c r="F24" s="167"/>
      <c r="G24" s="168"/>
      <c r="H24" s="153"/>
      <c r="I24" s="169"/>
      <c r="J24" s="169"/>
      <c r="K24" s="169"/>
      <c r="L24" s="153"/>
      <c r="M24" s="153"/>
      <c r="N24" s="153"/>
    </row>
  </sheetData>
  <mergeCells count="2">
    <mergeCell ref="A6:O6"/>
    <mergeCell ref="A5:O5"/>
  </mergeCells>
  <conditionalFormatting sqref="H1:H4 F11:F19 H11:K19 M11:N19 H20:H55554">
    <cfRule type="expression" dxfId="91" priority="242" stopIfTrue="1">
      <formula>LEFT(#REF!,3)="TIR"</formula>
    </cfRule>
  </conditionalFormatting>
  <conditionalFormatting sqref="H7">
    <cfRule type="expression" dxfId="90" priority="247" stopIfTrue="1">
      <formula>LEFT(#REF!,3)="TIR"</formula>
    </cfRule>
  </conditionalFormatting>
  <conditionalFormatting sqref="B11:E19 G11:G19 N11:O19">
    <cfRule type="expression" dxfId="89" priority="248" stopIfTrue="1">
      <formula>OR(LEFT(#REF!,3)="TIR",LEFT(#REF!,2)="IR")</formula>
    </cfRule>
  </conditionalFormatting>
  <conditionalFormatting sqref="A11:A19 L11:L19">
    <cfRule type="expression" dxfId="88" priority="251" stopIfTrue="1">
      <formula>#REF!&gt;0</formula>
    </cfRule>
    <cfRule type="expression" dxfId="87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F772-D8BB-4334-A0E2-D6242EE43331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230</v>
      </c>
      <c r="B4" s="22" t="s">
        <v>237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9" t="s">
        <v>28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1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160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5">
        <v>16</v>
      </c>
      <c r="R9" s="36">
        <v>17</v>
      </c>
    </row>
    <row r="10" spans="1:18" s="138" customFormat="1" ht="12.75" customHeight="1" thickBot="1" x14ac:dyDescent="0.25">
      <c r="A10" s="121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122"/>
      <c r="G10" s="158" t="s">
        <v>240</v>
      </c>
      <c r="H10" s="158" t="s">
        <v>240</v>
      </c>
      <c r="I10" s="158" t="s">
        <v>240</v>
      </c>
      <c r="J10" s="158" t="s">
        <v>240</v>
      </c>
      <c r="K10" s="159" t="s">
        <v>240</v>
      </c>
      <c r="L10" s="159" t="s">
        <v>240</v>
      </c>
      <c r="M10" s="123" t="s">
        <v>240</v>
      </c>
      <c r="N10" s="158" t="s">
        <v>240</v>
      </c>
      <c r="O10" s="124">
        <v>6.0000000000000008E-7</v>
      </c>
      <c r="P10" s="139" t="s">
        <v>240</v>
      </c>
      <c r="Q10" s="127">
        <v>1</v>
      </c>
      <c r="R10" s="77">
        <v>0</v>
      </c>
    </row>
    <row r="11" spans="1:18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2" t="s">
        <v>240</v>
      </c>
      <c r="G11" s="161" t="s">
        <v>240</v>
      </c>
      <c r="H11" s="161" t="s">
        <v>240</v>
      </c>
      <c r="I11" s="161" t="s">
        <v>240</v>
      </c>
      <c r="J11" s="161" t="s">
        <v>240</v>
      </c>
      <c r="K11" s="162" t="s">
        <v>240</v>
      </c>
      <c r="L11" s="162" t="s">
        <v>240</v>
      </c>
      <c r="M11" s="154" t="s">
        <v>240</v>
      </c>
      <c r="N11" s="161" t="s">
        <v>240</v>
      </c>
      <c r="O11" s="143">
        <v>0</v>
      </c>
      <c r="P11" s="162" t="s">
        <v>240</v>
      </c>
      <c r="Q11" s="141">
        <v>0</v>
      </c>
      <c r="R11" s="141">
        <v>0</v>
      </c>
    </row>
    <row r="12" spans="1:18" s="138" customFormat="1" x14ac:dyDescent="0.2">
      <c r="A12" s="112" t="s">
        <v>1436</v>
      </c>
      <c r="B12" s="141" t="s">
        <v>240</v>
      </c>
      <c r="C12" s="145" t="s">
        <v>240</v>
      </c>
      <c r="D12" s="145" t="s">
        <v>240</v>
      </c>
      <c r="E12" s="145" t="s">
        <v>240</v>
      </c>
      <c r="F12" s="146" t="s">
        <v>240</v>
      </c>
      <c r="G12" s="164" t="s">
        <v>240</v>
      </c>
      <c r="H12" s="164" t="s">
        <v>240</v>
      </c>
      <c r="I12" s="164" t="s">
        <v>240</v>
      </c>
      <c r="J12" s="164" t="s">
        <v>240</v>
      </c>
      <c r="K12" s="165" t="s">
        <v>240</v>
      </c>
      <c r="L12" s="165" t="s">
        <v>240</v>
      </c>
      <c r="M12" s="156" t="s">
        <v>240</v>
      </c>
      <c r="N12" s="164" t="s">
        <v>240</v>
      </c>
      <c r="O12" s="147">
        <v>0</v>
      </c>
      <c r="P12" s="165" t="s">
        <v>240</v>
      </c>
      <c r="Q12" s="145">
        <v>0</v>
      </c>
      <c r="R12" s="145">
        <v>0</v>
      </c>
    </row>
    <row r="13" spans="1:18" s="138" customFormat="1" x14ac:dyDescent="0.2">
      <c r="A13" s="112" t="s">
        <v>1437</v>
      </c>
      <c r="B13" s="141" t="s">
        <v>240</v>
      </c>
      <c r="C13" s="145" t="s">
        <v>240</v>
      </c>
      <c r="D13" s="145" t="s">
        <v>240</v>
      </c>
      <c r="E13" s="145" t="s">
        <v>240</v>
      </c>
      <c r="F13" s="146" t="s">
        <v>240</v>
      </c>
      <c r="G13" s="164" t="s">
        <v>240</v>
      </c>
      <c r="H13" s="164" t="s">
        <v>240</v>
      </c>
      <c r="I13" s="164" t="s">
        <v>240</v>
      </c>
      <c r="J13" s="164" t="s">
        <v>240</v>
      </c>
      <c r="K13" s="165" t="s">
        <v>240</v>
      </c>
      <c r="L13" s="165" t="s">
        <v>240</v>
      </c>
      <c r="M13" s="156" t="s">
        <v>240</v>
      </c>
      <c r="N13" s="164" t="s">
        <v>240</v>
      </c>
      <c r="O13" s="147">
        <v>0</v>
      </c>
      <c r="P13" s="165" t="s">
        <v>240</v>
      </c>
      <c r="Q13" s="145">
        <v>0</v>
      </c>
      <c r="R13" s="145">
        <v>0</v>
      </c>
    </row>
    <row r="14" spans="1:18" s="138" customFormat="1" x14ac:dyDescent="0.2">
      <c r="A14" s="112" t="s">
        <v>379</v>
      </c>
      <c r="B14" s="141" t="s">
        <v>240</v>
      </c>
      <c r="C14" s="145" t="s">
        <v>240</v>
      </c>
      <c r="D14" s="145" t="s">
        <v>240</v>
      </c>
      <c r="E14" s="145" t="s">
        <v>240</v>
      </c>
      <c r="F14" s="146" t="s">
        <v>240</v>
      </c>
      <c r="G14" s="164" t="s">
        <v>240</v>
      </c>
      <c r="H14" s="164" t="s">
        <v>240</v>
      </c>
      <c r="I14" s="164" t="s">
        <v>240</v>
      </c>
      <c r="J14" s="164" t="s">
        <v>240</v>
      </c>
      <c r="K14" s="165" t="s">
        <v>240</v>
      </c>
      <c r="L14" s="165" t="s">
        <v>240</v>
      </c>
      <c r="M14" s="156" t="s">
        <v>240</v>
      </c>
      <c r="N14" s="146" t="s">
        <v>240</v>
      </c>
      <c r="O14" s="147">
        <v>0</v>
      </c>
      <c r="P14" s="165" t="s">
        <v>240</v>
      </c>
      <c r="Q14" s="145">
        <v>0</v>
      </c>
      <c r="R14" s="145">
        <v>0</v>
      </c>
    </row>
    <row r="15" spans="1:18" s="138" customFormat="1" x14ac:dyDescent="0.2">
      <c r="A15" s="112" t="s">
        <v>144</v>
      </c>
      <c r="B15" s="141" t="s">
        <v>240</v>
      </c>
      <c r="C15" s="145" t="s">
        <v>240</v>
      </c>
      <c r="D15" s="145" t="s">
        <v>240</v>
      </c>
      <c r="E15" s="145" t="s">
        <v>240</v>
      </c>
      <c r="F15" s="146" t="s">
        <v>240</v>
      </c>
      <c r="G15" s="164" t="s">
        <v>240</v>
      </c>
      <c r="H15" s="164" t="s">
        <v>240</v>
      </c>
      <c r="I15" s="164" t="s">
        <v>240</v>
      </c>
      <c r="J15" s="164" t="s">
        <v>240</v>
      </c>
      <c r="K15" s="165" t="s">
        <v>240</v>
      </c>
      <c r="L15" s="165" t="s">
        <v>240</v>
      </c>
      <c r="M15" s="156" t="s">
        <v>240</v>
      </c>
      <c r="N15" s="164" t="s">
        <v>240</v>
      </c>
      <c r="O15" s="147">
        <v>0</v>
      </c>
      <c r="P15" s="165" t="s">
        <v>240</v>
      </c>
      <c r="Q15" s="145">
        <v>0</v>
      </c>
      <c r="R15" s="145">
        <v>0</v>
      </c>
    </row>
    <row r="16" spans="1:18" s="138" customFormat="1" x14ac:dyDescent="0.2">
      <c r="A16" s="112" t="s">
        <v>376</v>
      </c>
      <c r="B16" s="141" t="s">
        <v>240</v>
      </c>
      <c r="C16" s="145" t="s">
        <v>240</v>
      </c>
      <c r="D16" s="145" t="s">
        <v>240</v>
      </c>
      <c r="E16" s="145" t="s">
        <v>240</v>
      </c>
      <c r="F16" s="146" t="s">
        <v>240</v>
      </c>
      <c r="G16" s="164" t="s">
        <v>240</v>
      </c>
      <c r="H16" s="164" t="s">
        <v>240</v>
      </c>
      <c r="I16" s="164" t="s">
        <v>240</v>
      </c>
      <c r="J16" s="164" t="s">
        <v>240</v>
      </c>
      <c r="K16" s="165" t="s">
        <v>240</v>
      </c>
      <c r="L16" s="165" t="s">
        <v>240</v>
      </c>
      <c r="M16" s="156" t="s">
        <v>240</v>
      </c>
      <c r="N16" s="164" t="s">
        <v>240</v>
      </c>
      <c r="O16" s="147">
        <v>0</v>
      </c>
      <c r="P16" s="165" t="s">
        <v>240</v>
      </c>
      <c r="Q16" s="145">
        <v>0</v>
      </c>
      <c r="R16" s="145">
        <v>0</v>
      </c>
    </row>
    <row r="17" spans="1:18" s="138" customFormat="1" x14ac:dyDescent="0.2">
      <c r="A17" s="112" t="s">
        <v>1438</v>
      </c>
      <c r="B17" s="141" t="s">
        <v>240</v>
      </c>
      <c r="C17" s="145" t="s">
        <v>240</v>
      </c>
      <c r="D17" s="145" t="s">
        <v>240</v>
      </c>
      <c r="E17" s="145" t="s">
        <v>240</v>
      </c>
      <c r="F17" s="146" t="s">
        <v>240</v>
      </c>
      <c r="G17" s="164" t="s">
        <v>240</v>
      </c>
      <c r="H17" s="164" t="s">
        <v>240</v>
      </c>
      <c r="I17" s="164" t="s">
        <v>240</v>
      </c>
      <c r="J17" s="164" t="s">
        <v>240</v>
      </c>
      <c r="K17" s="165" t="s">
        <v>240</v>
      </c>
      <c r="L17" s="165" t="s">
        <v>240</v>
      </c>
      <c r="M17" s="156" t="s">
        <v>240</v>
      </c>
      <c r="N17" s="164" t="s">
        <v>240</v>
      </c>
      <c r="O17" s="147">
        <v>0</v>
      </c>
      <c r="P17" s="165" t="s">
        <v>240</v>
      </c>
      <c r="Q17" s="145">
        <v>0</v>
      </c>
      <c r="R17" s="145">
        <v>0</v>
      </c>
    </row>
    <row r="18" spans="1:18" s="138" customFormat="1" x14ac:dyDescent="0.2">
      <c r="A18" s="202" t="s">
        <v>1439</v>
      </c>
      <c r="B18" s="242" t="s">
        <v>240</v>
      </c>
      <c r="C18" s="203" t="s">
        <v>240</v>
      </c>
      <c r="D18" s="203" t="s">
        <v>240</v>
      </c>
      <c r="E18" s="203" t="s">
        <v>240</v>
      </c>
      <c r="F18" s="204" t="s">
        <v>240</v>
      </c>
      <c r="G18" s="244" t="s">
        <v>240</v>
      </c>
      <c r="H18" s="244" t="s">
        <v>240</v>
      </c>
      <c r="I18" s="244" t="s">
        <v>240</v>
      </c>
      <c r="J18" s="244" t="s">
        <v>240</v>
      </c>
      <c r="K18" s="245" t="s">
        <v>240</v>
      </c>
      <c r="L18" s="245" t="s">
        <v>240</v>
      </c>
      <c r="M18" s="205" t="s">
        <v>240</v>
      </c>
      <c r="N18" s="244" t="s">
        <v>240</v>
      </c>
      <c r="O18" s="207">
        <v>0</v>
      </c>
      <c r="P18" s="245" t="s">
        <v>240</v>
      </c>
      <c r="Q18" s="203">
        <v>0</v>
      </c>
      <c r="R18" s="203">
        <v>0</v>
      </c>
    </row>
    <row r="19" spans="1:18" s="138" customFormat="1" x14ac:dyDescent="0.2">
      <c r="A19" s="97" t="s">
        <v>231</v>
      </c>
      <c r="B19" s="148"/>
      <c r="C19" s="148"/>
      <c r="D19" s="148"/>
      <c r="E19" s="97"/>
      <c r="F19" s="167"/>
      <c r="G19" s="167"/>
      <c r="H19" s="167"/>
      <c r="I19" s="168"/>
      <c r="J19" s="153"/>
      <c r="K19" s="169"/>
      <c r="L19" s="169"/>
      <c r="M19" s="169"/>
      <c r="N19" s="153"/>
      <c r="O19" s="153"/>
    </row>
    <row r="20" spans="1:18" s="138" customFormat="1" x14ac:dyDescent="0.2">
      <c r="A20" s="97" t="s">
        <v>232</v>
      </c>
      <c r="B20" s="148"/>
      <c r="C20" s="148"/>
      <c r="D20" s="148"/>
      <c r="E20" s="97"/>
      <c r="F20" s="167"/>
      <c r="G20" s="167"/>
      <c r="H20" s="167"/>
      <c r="I20" s="168"/>
      <c r="J20" s="153"/>
      <c r="K20" s="169"/>
      <c r="L20" s="169"/>
      <c r="M20" s="169"/>
      <c r="N20" s="153"/>
      <c r="O20" s="153"/>
    </row>
    <row r="21" spans="1:18" s="138" customFormat="1" x14ac:dyDescent="0.2">
      <c r="A21" s="97" t="s">
        <v>233</v>
      </c>
      <c r="B21" s="148"/>
      <c r="C21" s="148"/>
      <c r="D21" s="148"/>
      <c r="E21" s="97"/>
      <c r="F21" s="167"/>
      <c r="G21" s="167"/>
      <c r="H21" s="167"/>
      <c r="I21" s="168"/>
      <c r="J21" s="153"/>
      <c r="K21" s="169"/>
      <c r="L21" s="169"/>
      <c r="M21" s="169"/>
      <c r="N21" s="153"/>
      <c r="O21" s="153"/>
    </row>
    <row r="22" spans="1:18" s="138" customFormat="1" x14ac:dyDescent="0.2">
      <c r="A22" s="97" t="s">
        <v>234</v>
      </c>
      <c r="B22" s="148"/>
      <c r="C22" s="148"/>
      <c r="D22" s="148"/>
      <c r="E22" s="97"/>
      <c r="F22" s="167"/>
      <c r="G22" s="167"/>
      <c r="H22" s="167"/>
      <c r="I22" s="168"/>
      <c r="J22" s="153"/>
      <c r="K22" s="169"/>
      <c r="L22" s="169"/>
      <c r="M22" s="169"/>
      <c r="N22" s="153"/>
      <c r="O22" s="153"/>
    </row>
    <row r="23" spans="1:18" s="138" customFormat="1" x14ac:dyDescent="0.2">
      <c r="A23" s="97" t="s">
        <v>235</v>
      </c>
      <c r="B23" s="148"/>
      <c r="C23" s="148"/>
      <c r="D23" s="148"/>
      <c r="E23" s="97"/>
      <c r="F23" s="167"/>
      <c r="G23" s="167"/>
      <c r="H23" s="167"/>
      <c r="I23" s="168"/>
      <c r="J23" s="153"/>
      <c r="K23" s="169"/>
      <c r="L23" s="169"/>
      <c r="M23" s="169"/>
      <c r="N23" s="153"/>
      <c r="O23" s="153"/>
    </row>
  </sheetData>
  <mergeCells count="2">
    <mergeCell ref="A6:R6"/>
    <mergeCell ref="A5:R5"/>
  </mergeCells>
  <conditionalFormatting sqref="J1:J4 I10:I18 K10:N18 P11:Q18 J19:J55553">
    <cfRule type="expression" dxfId="86" priority="266" stopIfTrue="1">
      <formula>LEFT(#REF!,3)="TIR"</formula>
    </cfRule>
  </conditionalFormatting>
  <conditionalFormatting sqref="K7">
    <cfRule type="expression" dxfId="85" priority="271" stopIfTrue="1">
      <formula>LEFT(#REF!,3)="TIR"</formula>
    </cfRule>
  </conditionalFormatting>
  <conditionalFormatting sqref="B10:H18 J10:J18">
    <cfRule type="expression" dxfId="84" priority="272" stopIfTrue="1">
      <formula>LEFT(#REF!,3)="TIR"</formula>
    </cfRule>
  </conditionalFormatting>
  <conditionalFormatting sqref="A10:A18 O11:O18">
    <cfRule type="expression" dxfId="83" priority="274" stopIfTrue="1">
      <formula>#REF!&gt;0</formula>
    </cfRule>
    <cfRule type="expression" dxfId="82" priority="275" stopIfTrue="1">
      <formula>LEFT(#REF!,3)="TIR"</formula>
    </cfRule>
  </conditionalFormatting>
  <conditionalFormatting sqref="Q11:R18">
    <cfRule type="expression" dxfId="81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1D7C-F632-42F4-8AAA-84F0A7445AA2}">
  <sheetPr codeName="גיליון15">
    <pageSetUpPr fitToPage="1"/>
  </sheetPr>
  <dimension ref="A1:R31"/>
  <sheetViews>
    <sheetView rightToLeft="1" zoomScale="80" zoomScaleNormal="80" workbookViewId="0">
      <selection activeCell="A7" sqref="A7:R26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8.5703125" style="78" bestFit="1" customWidth="1"/>
    <col min="7" max="7" width="11.140625" style="78" customWidth="1"/>
    <col min="8" max="8" width="14.140625" style="78" customWidth="1"/>
    <col min="9" max="9" width="7.85546875" style="50" customWidth="1"/>
    <col min="10" max="10" width="12" style="80" bestFit="1" customWidth="1"/>
    <col min="11" max="11" width="12.5703125" style="82" customWidth="1"/>
    <col min="12" max="12" width="14.140625" style="82" customWidth="1"/>
    <col min="13" max="13" width="10.85546875" style="82" bestFit="1" customWidth="1"/>
    <col min="14" max="14" width="8.85546875" style="80" bestFit="1" customWidth="1"/>
    <col min="15" max="15" width="10.42578125" style="80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78"/>
      <c r="G1" s="78"/>
      <c r="H1" s="78"/>
      <c r="I1" s="50"/>
      <c r="J1" s="80"/>
      <c r="K1" s="81"/>
      <c r="L1" s="81"/>
      <c r="M1" s="81"/>
      <c r="N1" s="80"/>
      <c r="O1" s="80"/>
      <c r="P1" s="84"/>
      <c r="Q1" s="84"/>
      <c r="R1" s="57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78"/>
      <c r="G2" s="78"/>
      <c r="H2" s="78"/>
      <c r="I2" s="50"/>
      <c r="J2" s="80"/>
      <c r="K2" s="81"/>
      <c r="L2" s="81"/>
      <c r="M2" s="81"/>
      <c r="N2" s="80"/>
      <c r="O2" s="80"/>
      <c r="P2" s="84"/>
      <c r="Q2" s="84"/>
      <c r="R2" s="57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78"/>
      <c r="G3" s="78"/>
      <c r="H3" s="78"/>
      <c r="I3" s="50"/>
      <c r="J3" s="80"/>
      <c r="K3" s="81"/>
      <c r="L3" s="81"/>
      <c r="M3" s="81"/>
      <c r="N3" s="80"/>
      <c r="O3" s="80"/>
      <c r="P3" s="84"/>
      <c r="Q3" s="84"/>
      <c r="R3" s="57"/>
    </row>
    <row r="4" spans="1:18" s="20" customFormat="1" ht="13.5" thickBot="1" x14ac:dyDescent="0.25">
      <c r="A4" s="23" t="s">
        <v>230</v>
      </c>
      <c r="B4" s="22" t="s">
        <v>237</v>
      </c>
      <c r="C4" s="22"/>
      <c r="D4" s="22"/>
      <c r="E4" s="23"/>
      <c r="F4" s="78"/>
      <c r="G4" s="78"/>
      <c r="H4" s="78"/>
      <c r="I4" s="50"/>
      <c r="J4" s="80"/>
      <c r="K4" s="81"/>
      <c r="L4" s="81"/>
      <c r="M4" s="81"/>
      <c r="N4" s="80"/>
      <c r="O4" s="80"/>
      <c r="P4" s="84"/>
      <c r="Q4" s="84"/>
      <c r="R4" s="57"/>
    </row>
    <row r="5" spans="1:18" s="20" customFormat="1" ht="13.5" thickBot="1" x14ac:dyDescent="0.25">
      <c r="A5" s="199" t="s">
        <v>28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1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160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5">
        <v>16</v>
      </c>
      <c r="R9" s="36">
        <v>17</v>
      </c>
    </row>
    <row r="10" spans="1:18" s="138" customFormat="1" ht="12.75" customHeight="1" thickBot="1" x14ac:dyDescent="0.25">
      <c r="A10" s="121" t="s">
        <v>58</v>
      </c>
      <c r="B10" s="86"/>
      <c r="C10" s="86"/>
      <c r="D10" s="86"/>
      <c r="E10" s="86"/>
      <c r="F10" s="122"/>
      <c r="G10" s="122"/>
      <c r="H10" s="122"/>
      <c r="I10" s="122"/>
      <c r="J10" s="122"/>
      <c r="K10" s="86"/>
      <c r="L10" s="86"/>
      <c r="M10" s="123"/>
      <c r="N10" s="122"/>
      <c r="O10" s="126">
        <v>1590.6397906</v>
      </c>
      <c r="P10" s="86"/>
      <c r="Q10" s="86">
        <v>1</v>
      </c>
      <c r="R10" s="101">
        <v>6.1472344463135041E-3</v>
      </c>
    </row>
    <row r="11" spans="1:18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2" t="s">
        <v>240</v>
      </c>
      <c r="G11" s="142" t="s">
        <v>240</v>
      </c>
      <c r="H11" s="142" t="s">
        <v>240</v>
      </c>
      <c r="I11" s="154" t="s">
        <v>240</v>
      </c>
      <c r="J11" s="142" t="s">
        <v>240</v>
      </c>
      <c r="K11" s="141" t="s">
        <v>240</v>
      </c>
      <c r="L11" s="141" t="s">
        <v>240</v>
      </c>
      <c r="M11" s="154" t="s">
        <v>240</v>
      </c>
      <c r="N11" s="142" t="s">
        <v>240</v>
      </c>
      <c r="O11" s="155">
        <v>1590.6397904</v>
      </c>
      <c r="P11" s="141" t="s">
        <v>240</v>
      </c>
      <c r="Q11" s="141">
        <v>0.99999999987426447</v>
      </c>
      <c r="R11" s="141">
        <v>6.1472344455405789E-3</v>
      </c>
    </row>
    <row r="12" spans="1:18" s="138" customFormat="1" x14ac:dyDescent="0.2">
      <c r="A12" s="112" t="s">
        <v>1436</v>
      </c>
      <c r="B12" s="145" t="s">
        <v>240</v>
      </c>
      <c r="C12" s="145" t="s">
        <v>240</v>
      </c>
      <c r="D12" s="145" t="s">
        <v>240</v>
      </c>
      <c r="E12" s="145" t="s">
        <v>240</v>
      </c>
      <c r="F12" s="142" t="s">
        <v>240</v>
      </c>
      <c r="G12" s="146" t="s">
        <v>240</v>
      </c>
      <c r="H12" s="146" t="s">
        <v>240</v>
      </c>
      <c r="I12" s="154" t="s">
        <v>240</v>
      </c>
      <c r="J12" s="146" t="s">
        <v>240</v>
      </c>
      <c r="K12" s="145" t="s">
        <v>240</v>
      </c>
      <c r="L12" s="145" t="s">
        <v>240</v>
      </c>
      <c r="M12" s="156" t="s">
        <v>240</v>
      </c>
      <c r="N12" s="142" t="s">
        <v>240</v>
      </c>
      <c r="O12" s="147">
        <v>1486.5492101</v>
      </c>
      <c r="P12" s="145" t="s">
        <v>240</v>
      </c>
      <c r="Q12" s="141">
        <v>0.93456055788675052</v>
      </c>
      <c r="R12" s="141">
        <v>5.7449628536073985E-3</v>
      </c>
    </row>
    <row r="13" spans="1:18" x14ac:dyDescent="0.2">
      <c r="A13" s="30" t="s">
        <v>1445</v>
      </c>
      <c r="B13" s="38" t="s">
        <v>1446</v>
      </c>
      <c r="C13" s="38" t="s">
        <v>240</v>
      </c>
      <c r="D13" s="38" t="s">
        <v>1447</v>
      </c>
      <c r="E13" s="38" t="s">
        <v>207</v>
      </c>
      <c r="F13" s="85" t="s">
        <v>245</v>
      </c>
      <c r="G13" s="79" t="s">
        <v>246</v>
      </c>
      <c r="H13" s="79" t="s">
        <v>1448</v>
      </c>
      <c r="I13" s="120">
        <v>7.56</v>
      </c>
      <c r="J13" s="79" t="s">
        <v>247</v>
      </c>
      <c r="K13" s="38">
        <v>4.9000000000000002E-2</v>
      </c>
      <c r="L13" s="38">
        <v>1.55E-2</v>
      </c>
      <c r="M13" s="88">
        <v>725419</v>
      </c>
      <c r="N13" s="85">
        <v>154.69999999999999</v>
      </c>
      <c r="O13" s="104">
        <v>1122.2231899999999</v>
      </c>
      <c r="P13" s="38">
        <v>3.6952805683258268E-4</v>
      </c>
      <c r="Q13" s="46">
        <v>0.70551685971384503</v>
      </c>
      <c r="R13" s="46">
        <v>4.3369775424878807E-3</v>
      </c>
    </row>
    <row r="14" spans="1:18" x14ac:dyDescent="0.2">
      <c r="A14" s="30" t="s">
        <v>1462</v>
      </c>
      <c r="B14" s="38" t="s">
        <v>1463</v>
      </c>
      <c r="C14" s="38" t="s">
        <v>240</v>
      </c>
      <c r="D14" s="38" t="s">
        <v>1464</v>
      </c>
      <c r="E14" s="38" t="s">
        <v>205</v>
      </c>
      <c r="F14" s="85" t="s">
        <v>245</v>
      </c>
      <c r="G14" s="79" t="s">
        <v>246</v>
      </c>
      <c r="H14" s="79" t="s">
        <v>1465</v>
      </c>
      <c r="I14" s="120">
        <v>0.34</v>
      </c>
      <c r="J14" s="79" t="s">
        <v>247</v>
      </c>
      <c r="K14" s="38">
        <v>5.7500000000000002E-2</v>
      </c>
      <c r="L14" s="38">
        <v>1.8100000000000002E-2</v>
      </c>
      <c r="M14" s="88">
        <v>7573.85</v>
      </c>
      <c r="N14" s="85">
        <v>124.22</v>
      </c>
      <c r="O14" s="104">
        <v>9.4082299999999996</v>
      </c>
      <c r="P14" s="38">
        <v>1.4721186021632447E-3</v>
      </c>
      <c r="Q14" s="46">
        <v>5.9147457869459892E-3</v>
      </c>
      <c r="R14" s="46">
        <v>3.6359329042702057E-5</v>
      </c>
    </row>
    <row r="15" spans="1:18" x14ac:dyDescent="0.2">
      <c r="A15" s="30" t="s">
        <v>1449</v>
      </c>
      <c r="B15" s="38" t="s">
        <v>1450</v>
      </c>
      <c r="C15" s="38" t="s">
        <v>240</v>
      </c>
      <c r="D15" s="38" t="s">
        <v>1451</v>
      </c>
      <c r="E15" s="38" t="s">
        <v>207</v>
      </c>
      <c r="F15" s="85" t="s">
        <v>1452</v>
      </c>
      <c r="G15" s="79" t="s">
        <v>313</v>
      </c>
      <c r="H15" s="79" t="s">
        <v>1453</v>
      </c>
      <c r="I15" s="120">
        <v>3.5199999999999996</v>
      </c>
      <c r="J15" s="79" t="s">
        <v>247</v>
      </c>
      <c r="K15" s="38">
        <v>5.5999999999999994E-2</v>
      </c>
      <c r="L15" s="38">
        <v>0.01</v>
      </c>
      <c r="M15" s="88">
        <v>118205.67</v>
      </c>
      <c r="N15" s="85">
        <v>143.28</v>
      </c>
      <c r="O15" s="104">
        <v>169.36507999999998</v>
      </c>
      <c r="P15" s="38">
        <v>1.5825008912185375E-4</v>
      </c>
      <c r="Q15" s="46">
        <v>0.10647607396776762</v>
      </c>
      <c r="R15" s="46">
        <v>6.5453338960288565E-4</v>
      </c>
    </row>
    <row r="16" spans="1:18" x14ac:dyDescent="0.2">
      <c r="A16" s="30" t="s">
        <v>1457</v>
      </c>
      <c r="B16" s="38" t="s">
        <v>1458</v>
      </c>
      <c r="C16" s="38" t="s">
        <v>240</v>
      </c>
      <c r="D16" s="38" t="s">
        <v>1459</v>
      </c>
      <c r="E16" s="38" t="s">
        <v>207</v>
      </c>
      <c r="F16" s="85" t="s">
        <v>1460</v>
      </c>
      <c r="G16" s="79" t="s">
        <v>246</v>
      </c>
      <c r="H16" s="79" t="s">
        <v>1461</v>
      </c>
      <c r="I16" s="120">
        <v>0.23999999999999996</v>
      </c>
      <c r="J16" s="79" t="s">
        <v>247</v>
      </c>
      <c r="K16" s="38">
        <v>4.9500000000000002E-2</v>
      </c>
      <c r="L16" s="38">
        <v>1.72E-2</v>
      </c>
      <c r="M16" s="88">
        <v>911.79</v>
      </c>
      <c r="N16" s="85">
        <v>124.57000000000001</v>
      </c>
      <c r="O16" s="104">
        <v>1.13581</v>
      </c>
      <c r="P16" s="38">
        <v>2.3259385295509418E-4</v>
      </c>
      <c r="Q16" s="46">
        <v>7.1405858618157968E-4</v>
      </c>
      <c r="R16" s="46">
        <v>4.3894855376613273E-6</v>
      </c>
    </row>
    <row r="17" spans="1:18" x14ac:dyDescent="0.2">
      <c r="A17" s="30" t="s">
        <v>1454</v>
      </c>
      <c r="B17" s="38" t="s">
        <v>1455</v>
      </c>
      <c r="C17" s="38" t="s">
        <v>240</v>
      </c>
      <c r="D17" s="38" t="s">
        <v>513</v>
      </c>
      <c r="E17" s="38" t="s">
        <v>204</v>
      </c>
      <c r="F17" s="85" t="s">
        <v>1443</v>
      </c>
      <c r="G17" s="79" t="s">
        <v>313</v>
      </c>
      <c r="H17" s="79" t="s">
        <v>1456</v>
      </c>
      <c r="I17" s="120">
        <v>1.2</v>
      </c>
      <c r="J17" s="79" t="s">
        <v>247</v>
      </c>
      <c r="K17" s="38">
        <v>4.4999999999999998E-2</v>
      </c>
      <c r="L17" s="38">
        <v>2.2099999999999998E-2</v>
      </c>
      <c r="M17" s="88">
        <v>81600</v>
      </c>
      <c r="N17" s="85">
        <v>114.64999999999999</v>
      </c>
      <c r="O17" s="104">
        <v>93.554400000000001</v>
      </c>
      <c r="P17" s="38">
        <v>5.44E-4</v>
      </c>
      <c r="Q17" s="46">
        <v>5.8815578833665824E-2</v>
      </c>
      <c r="R17" s="46">
        <v>3.6155315218617802E-4</v>
      </c>
    </row>
    <row r="18" spans="1:18" x14ac:dyDescent="0.2">
      <c r="A18" s="30" t="s">
        <v>1440</v>
      </c>
      <c r="B18" s="38" t="s">
        <v>1441</v>
      </c>
      <c r="C18" s="38" t="s">
        <v>240</v>
      </c>
      <c r="D18" s="38" t="s">
        <v>1442</v>
      </c>
      <c r="E18" s="38" t="s">
        <v>203</v>
      </c>
      <c r="F18" s="85" t="s">
        <v>1443</v>
      </c>
      <c r="G18" s="79" t="s">
        <v>313</v>
      </c>
      <c r="H18" s="79" t="s">
        <v>1444</v>
      </c>
      <c r="I18" s="120">
        <v>0.01</v>
      </c>
      <c r="J18" s="79" t="s">
        <v>247</v>
      </c>
      <c r="K18" s="38">
        <v>0.04</v>
      </c>
      <c r="L18" s="38">
        <v>1.37E-2</v>
      </c>
      <c r="M18" s="88">
        <v>79830</v>
      </c>
      <c r="N18" s="85">
        <v>113.82</v>
      </c>
      <c r="O18" s="104">
        <v>90.862499999999997</v>
      </c>
      <c r="P18" s="38" t="s">
        <v>240</v>
      </c>
      <c r="Q18" s="46">
        <v>5.7123240935476695E-2</v>
      </c>
      <c r="R18" s="46">
        <v>3.5114995436362798E-4</v>
      </c>
    </row>
    <row r="19" spans="1:18" s="138" customFormat="1" x14ac:dyDescent="0.2">
      <c r="A19" s="112" t="s">
        <v>1437</v>
      </c>
      <c r="B19" s="145" t="s">
        <v>240</v>
      </c>
      <c r="C19" s="145" t="s">
        <v>240</v>
      </c>
      <c r="D19" s="145" t="s">
        <v>240</v>
      </c>
      <c r="E19" s="145" t="s">
        <v>240</v>
      </c>
      <c r="F19" s="142" t="s">
        <v>240</v>
      </c>
      <c r="G19" s="146" t="s">
        <v>240</v>
      </c>
      <c r="H19" s="146" t="s">
        <v>240</v>
      </c>
      <c r="I19" s="154" t="s">
        <v>240</v>
      </c>
      <c r="J19" s="146" t="s">
        <v>240</v>
      </c>
      <c r="K19" s="145" t="s">
        <v>240</v>
      </c>
      <c r="L19" s="145" t="s">
        <v>240</v>
      </c>
      <c r="M19" s="156" t="s">
        <v>240</v>
      </c>
      <c r="N19" s="142" t="s">
        <v>240</v>
      </c>
      <c r="O19" s="147">
        <v>0</v>
      </c>
      <c r="P19" s="145" t="s">
        <v>240</v>
      </c>
      <c r="Q19" s="141">
        <v>0</v>
      </c>
      <c r="R19" s="141">
        <v>0</v>
      </c>
    </row>
    <row r="20" spans="1:18" s="138" customFormat="1" x14ac:dyDescent="0.2">
      <c r="A20" s="112" t="s">
        <v>379</v>
      </c>
      <c r="B20" s="145" t="s">
        <v>240</v>
      </c>
      <c r="C20" s="145" t="s">
        <v>240</v>
      </c>
      <c r="D20" s="145" t="s">
        <v>240</v>
      </c>
      <c r="E20" s="145" t="s">
        <v>240</v>
      </c>
      <c r="F20" s="142" t="s">
        <v>240</v>
      </c>
      <c r="G20" s="146" t="s">
        <v>240</v>
      </c>
      <c r="H20" s="146" t="s">
        <v>240</v>
      </c>
      <c r="I20" s="154" t="s">
        <v>240</v>
      </c>
      <c r="J20" s="146" t="s">
        <v>240</v>
      </c>
      <c r="K20" s="145" t="s">
        <v>240</v>
      </c>
      <c r="L20" s="145" t="s">
        <v>240</v>
      </c>
      <c r="M20" s="156" t="s">
        <v>240</v>
      </c>
      <c r="N20" s="142" t="s">
        <v>240</v>
      </c>
      <c r="O20" s="147">
        <v>104.0905801</v>
      </c>
      <c r="P20" s="145" t="s">
        <v>240</v>
      </c>
      <c r="Q20" s="141">
        <v>6.5439441861778358E-2</v>
      </c>
      <c r="R20" s="141">
        <v>4.0227159116025383E-4</v>
      </c>
    </row>
    <row r="21" spans="1:18" x14ac:dyDescent="0.2">
      <c r="A21" s="30" t="s">
        <v>1470</v>
      </c>
      <c r="B21" s="38" t="s">
        <v>1471</v>
      </c>
      <c r="C21" s="38" t="s">
        <v>240</v>
      </c>
      <c r="D21" s="38" t="s">
        <v>1472</v>
      </c>
      <c r="E21" s="38" t="s">
        <v>406</v>
      </c>
      <c r="F21" s="85" t="s">
        <v>1460</v>
      </c>
      <c r="G21" s="79" t="s">
        <v>246</v>
      </c>
      <c r="H21" s="79" t="s">
        <v>1473</v>
      </c>
      <c r="I21" s="120">
        <v>3.65</v>
      </c>
      <c r="J21" s="79" t="s">
        <v>127</v>
      </c>
      <c r="K21" s="38">
        <v>7.9699999999999993E-2</v>
      </c>
      <c r="L21" s="38">
        <v>2.23E-2</v>
      </c>
      <c r="M21" s="88">
        <v>20172.36</v>
      </c>
      <c r="N21" s="85">
        <v>124.2</v>
      </c>
      <c r="O21" s="104">
        <v>89.317759999999993</v>
      </c>
      <c r="P21" s="38">
        <v>2.691550603290454E-4</v>
      </c>
      <c r="Q21" s="46">
        <v>5.6152097117040396E-2</v>
      </c>
      <c r="R21" s="46">
        <v>3.4518010563061195E-4</v>
      </c>
    </row>
    <row r="22" spans="1:18" x14ac:dyDescent="0.2">
      <c r="A22" s="30" t="s">
        <v>1466</v>
      </c>
      <c r="B22" s="38" t="s">
        <v>1467</v>
      </c>
      <c r="C22" s="38" t="s">
        <v>240</v>
      </c>
      <c r="D22" s="38" t="s">
        <v>1468</v>
      </c>
      <c r="E22" s="38" t="s">
        <v>207</v>
      </c>
      <c r="F22" s="85" t="s">
        <v>385</v>
      </c>
      <c r="G22" s="79" t="s">
        <v>240</v>
      </c>
      <c r="H22" s="79" t="s">
        <v>1469</v>
      </c>
      <c r="I22" s="120">
        <v>0.8899999999999999</v>
      </c>
      <c r="J22" s="79" t="s">
        <v>127</v>
      </c>
      <c r="K22" s="38">
        <v>4.2333799523162838E-2</v>
      </c>
      <c r="L22" s="38">
        <v>0.21960000000000002</v>
      </c>
      <c r="M22" s="88">
        <v>4786.1499999999996</v>
      </c>
      <c r="N22" s="85">
        <v>86.58</v>
      </c>
      <c r="O22" s="104">
        <v>14.772819999999999</v>
      </c>
      <c r="P22" s="38">
        <v>3.4732812821913409E-4</v>
      </c>
      <c r="Q22" s="46">
        <v>9.2873446818701761E-3</v>
      </c>
      <c r="R22" s="46">
        <v>5.7091485143178878E-5</v>
      </c>
    </row>
    <row r="23" spans="1:18" s="138" customFormat="1" x14ac:dyDescent="0.2">
      <c r="A23" s="112" t="s">
        <v>144</v>
      </c>
      <c r="B23" s="145" t="s">
        <v>240</v>
      </c>
      <c r="C23" s="145" t="s">
        <v>240</v>
      </c>
      <c r="D23" s="145" t="s">
        <v>240</v>
      </c>
      <c r="E23" s="145" t="s">
        <v>240</v>
      </c>
      <c r="F23" s="142" t="s">
        <v>240</v>
      </c>
      <c r="G23" s="146" t="s">
        <v>240</v>
      </c>
      <c r="H23" s="146" t="s">
        <v>240</v>
      </c>
      <c r="I23" s="154" t="s">
        <v>240</v>
      </c>
      <c r="J23" s="146" t="s">
        <v>240</v>
      </c>
      <c r="K23" s="145" t="s">
        <v>240</v>
      </c>
      <c r="L23" s="145" t="s">
        <v>240</v>
      </c>
      <c r="M23" s="156" t="s">
        <v>240</v>
      </c>
      <c r="N23" s="142" t="s">
        <v>240</v>
      </c>
      <c r="O23" s="147">
        <v>0</v>
      </c>
      <c r="P23" s="145" t="s">
        <v>240</v>
      </c>
      <c r="Q23" s="141">
        <v>0</v>
      </c>
      <c r="R23" s="141">
        <v>0</v>
      </c>
    </row>
    <row r="24" spans="1:18" s="138" customFormat="1" x14ac:dyDescent="0.2">
      <c r="A24" s="112" t="s">
        <v>376</v>
      </c>
      <c r="B24" s="145" t="s">
        <v>240</v>
      </c>
      <c r="C24" s="145" t="s">
        <v>240</v>
      </c>
      <c r="D24" s="145" t="s">
        <v>240</v>
      </c>
      <c r="E24" s="145" t="s">
        <v>240</v>
      </c>
      <c r="F24" s="142" t="s">
        <v>240</v>
      </c>
      <c r="G24" s="146" t="s">
        <v>240</v>
      </c>
      <c r="H24" s="146" t="s">
        <v>240</v>
      </c>
      <c r="I24" s="154" t="s">
        <v>240</v>
      </c>
      <c r="J24" s="146" t="s">
        <v>240</v>
      </c>
      <c r="K24" s="145" t="s">
        <v>240</v>
      </c>
      <c r="L24" s="145" t="s">
        <v>240</v>
      </c>
      <c r="M24" s="156" t="s">
        <v>240</v>
      </c>
      <c r="N24" s="142" t="s">
        <v>240</v>
      </c>
      <c r="O24" s="147">
        <v>0</v>
      </c>
      <c r="P24" s="145" t="s">
        <v>240</v>
      </c>
      <c r="Q24" s="141">
        <v>0</v>
      </c>
      <c r="R24" s="141">
        <v>0</v>
      </c>
    </row>
    <row r="25" spans="1:18" s="138" customFormat="1" x14ac:dyDescent="0.2">
      <c r="A25" s="112" t="s">
        <v>1474</v>
      </c>
      <c r="B25" s="145" t="s">
        <v>240</v>
      </c>
      <c r="C25" s="145" t="s">
        <v>240</v>
      </c>
      <c r="D25" s="145" t="s">
        <v>240</v>
      </c>
      <c r="E25" s="145" t="s">
        <v>240</v>
      </c>
      <c r="F25" s="142" t="s">
        <v>240</v>
      </c>
      <c r="G25" s="146" t="s">
        <v>240</v>
      </c>
      <c r="H25" s="146" t="s">
        <v>240</v>
      </c>
      <c r="I25" s="154" t="s">
        <v>240</v>
      </c>
      <c r="J25" s="146" t="s">
        <v>240</v>
      </c>
      <c r="K25" s="145" t="s">
        <v>240</v>
      </c>
      <c r="L25" s="145" t="s">
        <v>240</v>
      </c>
      <c r="M25" s="156" t="s">
        <v>240</v>
      </c>
      <c r="N25" s="142" t="s">
        <v>240</v>
      </c>
      <c r="O25" s="147">
        <v>0</v>
      </c>
      <c r="P25" s="145" t="s">
        <v>240</v>
      </c>
      <c r="Q25" s="141">
        <v>0</v>
      </c>
      <c r="R25" s="141">
        <v>0</v>
      </c>
    </row>
    <row r="26" spans="1:18" s="138" customFormat="1" x14ac:dyDescent="0.2">
      <c r="A26" s="202" t="s">
        <v>1475</v>
      </c>
      <c r="B26" s="203" t="s">
        <v>240</v>
      </c>
      <c r="C26" s="203" t="s">
        <v>240</v>
      </c>
      <c r="D26" s="203" t="s">
        <v>240</v>
      </c>
      <c r="E26" s="203" t="s">
        <v>240</v>
      </c>
      <c r="F26" s="241" t="s">
        <v>240</v>
      </c>
      <c r="G26" s="204" t="s">
        <v>240</v>
      </c>
      <c r="H26" s="204" t="s">
        <v>240</v>
      </c>
      <c r="I26" s="250" t="s">
        <v>240</v>
      </c>
      <c r="J26" s="204" t="s">
        <v>240</v>
      </c>
      <c r="K26" s="203" t="s">
        <v>240</v>
      </c>
      <c r="L26" s="203" t="s">
        <v>240</v>
      </c>
      <c r="M26" s="205" t="s">
        <v>240</v>
      </c>
      <c r="N26" s="241" t="s">
        <v>240</v>
      </c>
      <c r="O26" s="207">
        <v>0</v>
      </c>
      <c r="P26" s="203" t="s">
        <v>240</v>
      </c>
      <c r="Q26" s="242">
        <v>0</v>
      </c>
      <c r="R26" s="242">
        <v>0</v>
      </c>
    </row>
    <row r="27" spans="1:18" s="138" customFormat="1" x14ac:dyDescent="0.2">
      <c r="A27" s="97" t="s">
        <v>231</v>
      </c>
      <c r="B27" s="148"/>
      <c r="C27" s="148"/>
      <c r="D27" s="148"/>
      <c r="E27" s="97"/>
      <c r="F27" s="149"/>
      <c r="G27" s="149"/>
      <c r="H27" s="149"/>
      <c r="I27" s="150"/>
      <c r="J27" s="151"/>
      <c r="K27" s="152"/>
      <c r="L27" s="152"/>
      <c r="M27" s="152"/>
      <c r="N27" s="151"/>
      <c r="O27" s="151"/>
      <c r="P27" s="157"/>
      <c r="Q27" s="157"/>
      <c r="R27" s="157"/>
    </row>
    <row r="28" spans="1:18" s="138" customFormat="1" x14ac:dyDescent="0.2">
      <c r="A28" s="97" t="s">
        <v>232</v>
      </c>
      <c r="B28" s="148"/>
      <c r="C28" s="148"/>
      <c r="D28" s="148"/>
      <c r="E28" s="97"/>
      <c r="F28" s="149"/>
      <c r="G28" s="149"/>
      <c r="H28" s="149"/>
      <c r="I28" s="150"/>
      <c r="J28" s="151"/>
      <c r="K28" s="152"/>
      <c r="L28" s="152"/>
      <c r="M28" s="152"/>
      <c r="N28" s="151"/>
      <c r="O28" s="151"/>
      <c r="P28" s="157"/>
      <c r="Q28" s="157"/>
      <c r="R28" s="157"/>
    </row>
    <row r="29" spans="1:18" s="138" customFormat="1" x14ac:dyDescent="0.2">
      <c r="A29" s="97" t="s">
        <v>233</v>
      </c>
      <c r="B29" s="148"/>
      <c r="C29" s="148"/>
      <c r="D29" s="148"/>
      <c r="E29" s="97"/>
      <c r="F29" s="149"/>
      <c r="G29" s="149"/>
      <c r="H29" s="149"/>
      <c r="I29" s="150"/>
      <c r="J29" s="151"/>
      <c r="K29" s="152"/>
      <c r="L29" s="152"/>
      <c r="M29" s="152"/>
      <c r="N29" s="151"/>
      <c r="O29" s="151"/>
      <c r="P29" s="157"/>
      <c r="Q29" s="157"/>
      <c r="R29" s="157"/>
    </row>
    <row r="30" spans="1:18" s="138" customFormat="1" x14ac:dyDescent="0.2">
      <c r="A30" s="97" t="s">
        <v>234</v>
      </c>
      <c r="B30" s="148"/>
      <c r="C30" s="148"/>
      <c r="D30" s="148"/>
      <c r="E30" s="97"/>
      <c r="F30" s="149"/>
      <c r="G30" s="149"/>
      <c r="H30" s="149"/>
      <c r="I30" s="150"/>
      <c r="J30" s="151"/>
      <c r="K30" s="152"/>
      <c r="L30" s="152"/>
      <c r="M30" s="152"/>
      <c r="N30" s="151"/>
      <c r="O30" s="151"/>
      <c r="P30" s="157"/>
      <c r="Q30" s="157"/>
      <c r="R30" s="157"/>
    </row>
    <row r="31" spans="1:18" s="138" customFormat="1" x14ac:dyDescent="0.2">
      <c r="A31" s="97" t="s">
        <v>235</v>
      </c>
      <c r="B31" s="148"/>
      <c r="C31" s="148"/>
      <c r="D31" s="148"/>
      <c r="E31" s="97"/>
      <c r="F31" s="149"/>
      <c r="G31" s="149"/>
      <c r="H31" s="149"/>
      <c r="I31" s="150"/>
      <c r="J31" s="151"/>
      <c r="K31" s="152"/>
      <c r="L31" s="152"/>
      <c r="M31" s="152"/>
      <c r="N31" s="151"/>
      <c r="O31" s="151"/>
      <c r="P31" s="157"/>
      <c r="Q31" s="157"/>
      <c r="R31" s="157"/>
    </row>
  </sheetData>
  <sortState ref="A13:AA18">
    <sortCondition ref="A13:A18" customList="א,ב,ג,ד,ה,ו,ז,ח,ט,י,כ,ל,מ,נ,ס,ע,פ,צ,ק,ר,ש,ת"/>
  </sortState>
  <mergeCells count="2">
    <mergeCell ref="A6:R6"/>
    <mergeCell ref="A5:R5"/>
  </mergeCells>
  <conditionalFormatting sqref="B10:H26 J10:J26 Q10:R26">
    <cfRule type="expression" dxfId="80" priority="290" stopIfTrue="1">
      <formula>OR(LEFT(#REF!,3)="TIR",LEFT(#REF!,2)="IR")</formula>
    </cfRule>
  </conditionalFormatting>
  <conditionalFormatting sqref="J1:J4 I10:I26 K10:N26 P10:Q26 J27:J55561">
    <cfRule type="expression" dxfId="79" priority="293" stopIfTrue="1">
      <formula>LEFT(#REF!,3)="TIR"</formula>
    </cfRule>
  </conditionalFormatting>
  <conditionalFormatting sqref="K7">
    <cfRule type="expression" dxfId="78" priority="298" stopIfTrue="1">
      <formula>LEFT(#REF!,3)="TIR"</formula>
    </cfRule>
  </conditionalFormatting>
  <conditionalFormatting sqref="A10:A26 O10:O26">
    <cfRule type="expression" dxfId="77" priority="299" stopIfTrue="1">
      <formula>#REF!&gt;0</formula>
    </cfRule>
    <cfRule type="expression" dxfId="76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BBA9-57B3-4A2E-A2F8-A7AB0706C1A1}">
  <sheetPr codeName="גיליון16">
    <pageSetUpPr fitToPage="1"/>
  </sheetPr>
  <dimension ref="A1:Q21"/>
  <sheetViews>
    <sheetView rightToLeft="1" zoomScale="80" zoomScaleNormal="80" workbookViewId="0">
      <selection activeCell="A7" sqref="A7:L16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2" style="78" bestFit="1" customWidth="1"/>
    <col min="7" max="7" width="10.85546875" style="78" bestFit="1" customWidth="1"/>
    <col min="8" max="8" width="8.85546875" style="78" bestFit="1" customWidth="1"/>
    <col min="9" max="9" width="10.42578125" style="50" customWidth="1"/>
    <col min="10" max="10" width="22" style="80" customWidth="1"/>
    <col min="11" max="11" width="25.42578125" style="80" customWidth="1"/>
    <col min="12" max="12" width="20.7109375" style="82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23"/>
      <c r="F1" s="78"/>
      <c r="G1" s="78"/>
      <c r="H1" s="78"/>
      <c r="I1" s="50"/>
      <c r="J1" s="80"/>
      <c r="K1" s="80"/>
      <c r="L1" s="81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2"/>
      <c r="D2" s="22"/>
      <c r="E2" s="23"/>
      <c r="F2" s="78"/>
      <c r="G2" s="78"/>
      <c r="H2" s="78"/>
      <c r="I2" s="50"/>
      <c r="J2" s="80"/>
      <c r="K2" s="80"/>
      <c r="L2" s="81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2"/>
      <c r="D3" s="22"/>
      <c r="E3" s="23"/>
      <c r="F3" s="78"/>
      <c r="G3" s="78"/>
      <c r="H3" s="78"/>
      <c r="I3" s="50"/>
      <c r="J3" s="80"/>
      <c r="K3" s="80"/>
      <c r="L3" s="81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237</v>
      </c>
      <c r="C4" s="22"/>
      <c r="D4" s="22"/>
      <c r="E4" s="23"/>
      <c r="F4" s="78"/>
      <c r="G4" s="78"/>
      <c r="H4" s="78"/>
      <c r="I4" s="50"/>
      <c r="J4" s="80"/>
      <c r="K4" s="80"/>
      <c r="L4" s="81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6" t="s">
        <v>160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7</v>
      </c>
      <c r="J7" s="108" t="s">
        <v>17</v>
      </c>
      <c r="K7" s="109" t="s">
        <v>75</v>
      </c>
      <c r="L7" s="110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6">
        <v>10</v>
      </c>
      <c r="L9" s="61">
        <v>11</v>
      </c>
    </row>
    <row r="10" spans="1:17" s="138" customFormat="1" ht="12.75" customHeight="1" thickBot="1" x14ac:dyDescent="0.25">
      <c r="A10" s="121" t="s">
        <v>59</v>
      </c>
      <c r="B10" s="86"/>
      <c r="C10" s="86"/>
      <c r="D10" s="86"/>
      <c r="E10" s="86"/>
      <c r="F10" s="122"/>
      <c r="G10" s="123"/>
      <c r="H10" s="122"/>
      <c r="I10" s="126">
        <v>1545.4895102999999</v>
      </c>
      <c r="J10" s="86"/>
      <c r="K10" s="86">
        <v>1</v>
      </c>
      <c r="L10" s="77">
        <v>5.9727453130973811E-3</v>
      </c>
    </row>
    <row r="11" spans="1:17" s="138" customFormat="1" x14ac:dyDescent="0.2">
      <c r="A11" s="111" t="s">
        <v>140</v>
      </c>
      <c r="B11" s="141" t="s">
        <v>240</v>
      </c>
      <c r="C11" s="141" t="s">
        <v>240</v>
      </c>
      <c r="D11" s="141" t="s">
        <v>240</v>
      </c>
      <c r="E11" s="141" t="s">
        <v>240</v>
      </c>
      <c r="F11" s="142" t="s">
        <v>240</v>
      </c>
      <c r="G11" s="154" t="s">
        <v>240</v>
      </c>
      <c r="H11" s="142" t="s">
        <v>240</v>
      </c>
      <c r="I11" s="155">
        <v>1545.4895101</v>
      </c>
      <c r="J11" s="141" t="s">
        <v>240</v>
      </c>
      <c r="K11" s="141">
        <v>0.99999999987059118</v>
      </c>
      <c r="L11" s="141">
        <v>5.9727453123244552E-3</v>
      </c>
    </row>
    <row r="12" spans="1:17" x14ac:dyDescent="0.2">
      <c r="A12" s="30" t="s">
        <v>1479</v>
      </c>
      <c r="B12" s="38" t="s">
        <v>1480</v>
      </c>
      <c r="C12" s="38" t="s">
        <v>240</v>
      </c>
      <c r="D12" s="38" t="s">
        <v>1468</v>
      </c>
      <c r="E12" s="38" t="s">
        <v>207</v>
      </c>
      <c r="F12" s="79" t="s">
        <v>127</v>
      </c>
      <c r="G12" s="88">
        <v>627.04</v>
      </c>
      <c r="H12" s="85">
        <v>1620</v>
      </c>
      <c r="I12" s="105">
        <v>36.213440000000006</v>
      </c>
      <c r="J12" s="46">
        <v>6.3769453914129691E-5</v>
      </c>
      <c r="K12" s="46">
        <v>2.3431695756362975E-2</v>
      </c>
      <c r="L12" s="46">
        <v>1.3995155100674078E-4</v>
      </c>
      <c r="M12" s="28"/>
      <c r="N12" s="28"/>
      <c r="O12" s="28"/>
      <c r="P12" s="28"/>
    </row>
    <row r="13" spans="1:17" x14ac:dyDescent="0.2">
      <c r="A13" s="30" t="s">
        <v>1476</v>
      </c>
      <c r="B13" s="38" t="s">
        <v>1477</v>
      </c>
      <c r="C13" s="38" t="s">
        <v>240</v>
      </c>
      <c r="D13" s="38" t="s">
        <v>1478</v>
      </c>
      <c r="E13" s="38" t="s">
        <v>210</v>
      </c>
      <c r="F13" s="79" t="s">
        <v>247</v>
      </c>
      <c r="G13" s="88">
        <v>154414.74</v>
      </c>
      <c r="H13" s="85">
        <v>977.41710000000012</v>
      </c>
      <c r="I13" s="105">
        <v>1509.2760700000001</v>
      </c>
      <c r="J13" s="46">
        <v>5.0119035791023974E-4</v>
      </c>
      <c r="K13" s="46">
        <v>0.97656830404952388</v>
      </c>
      <c r="L13" s="46">
        <v>5.8327937609312522E-3</v>
      </c>
      <c r="M13" s="28"/>
      <c r="N13" s="28"/>
      <c r="O13" s="28"/>
      <c r="P13" s="28"/>
    </row>
    <row r="14" spans="1:17" s="138" customFormat="1" x14ac:dyDescent="0.2">
      <c r="A14" s="112" t="s">
        <v>376</v>
      </c>
      <c r="B14" s="145" t="s">
        <v>240</v>
      </c>
      <c r="C14" s="145" t="s">
        <v>240</v>
      </c>
      <c r="D14" s="145" t="s">
        <v>240</v>
      </c>
      <c r="E14" s="145" t="s">
        <v>240</v>
      </c>
      <c r="F14" s="146" t="s">
        <v>240</v>
      </c>
      <c r="G14" s="156" t="s">
        <v>240</v>
      </c>
      <c r="H14" s="142" t="s">
        <v>240</v>
      </c>
      <c r="I14" s="143">
        <v>0</v>
      </c>
      <c r="J14" s="141" t="s">
        <v>240</v>
      </c>
      <c r="K14" s="141">
        <v>0</v>
      </c>
      <c r="L14" s="141">
        <v>0</v>
      </c>
    </row>
    <row r="15" spans="1:17" s="138" customFormat="1" x14ac:dyDescent="0.2">
      <c r="A15" s="112" t="s">
        <v>146</v>
      </c>
      <c r="B15" s="145" t="s">
        <v>240</v>
      </c>
      <c r="C15" s="145" t="s">
        <v>240</v>
      </c>
      <c r="D15" s="145" t="s">
        <v>240</v>
      </c>
      <c r="E15" s="145" t="s">
        <v>240</v>
      </c>
      <c r="F15" s="146" t="s">
        <v>240</v>
      </c>
      <c r="G15" s="156" t="s">
        <v>240</v>
      </c>
      <c r="H15" s="142" t="s">
        <v>240</v>
      </c>
      <c r="I15" s="143">
        <v>0</v>
      </c>
      <c r="J15" s="141" t="s">
        <v>240</v>
      </c>
      <c r="K15" s="141">
        <v>0</v>
      </c>
      <c r="L15" s="141">
        <v>0</v>
      </c>
    </row>
    <row r="16" spans="1:17" s="138" customFormat="1" x14ac:dyDescent="0.2">
      <c r="A16" s="202" t="s">
        <v>147</v>
      </c>
      <c r="B16" s="203" t="s">
        <v>240</v>
      </c>
      <c r="C16" s="203" t="s">
        <v>240</v>
      </c>
      <c r="D16" s="203" t="s">
        <v>240</v>
      </c>
      <c r="E16" s="203" t="s">
        <v>240</v>
      </c>
      <c r="F16" s="204" t="s">
        <v>240</v>
      </c>
      <c r="G16" s="205" t="s">
        <v>240</v>
      </c>
      <c r="H16" s="241" t="s">
        <v>240</v>
      </c>
      <c r="I16" s="251">
        <v>0</v>
      </c>
      <c r="J16" s="242" t="s">
        <v>240</v>
      </c>
      <c r="K16" s="242">
        <v>0</v>
      </c>
      <c r="L16" s="242">
        <v>0</v>
      </c>
    </row>
    <row r="17" spans="1:16" s="138" customFormat="1" x14ac:dyDescent="0.2">
      <c r="A17" s="97" t="s">
        <v>231</v>
      </c>
      <c r="B17" s="148"/>
      <c r="C17" s="148"/>
      <c r="D17" s="148"/>
      <c r="E17" s="97"/>
      <c r="F17" s="149"/>
      <c r="G17" s="149"/>
      <c r="H17" s="149"/>
      <c r="I17" s="150"/>
      <c r="J17" s="151"/>
      <c r="K17" s="151"/>
      <c r="L17" s="152"/>
      <c r="M17" s="169"/>
      <c r="N17" s="169"/>
      <c r="O17" s="153"/>
      <c r="P17" s="153"/>
    </row>
    <row r="18" spans="1:16" s="138" customFormat="1" x14ac:dyDescent="0.2">
      <c r="A18" s="97" t="s">
        <v>232</v>
      </c>
      <c r="B18" s="148"/>
      <c r="C18" s="148"/>
      <c r="D18" s="148"/>
      <c r="E18" s="97"/>
      <c r="F18" s="149"/>
      <c r="G18" s="149"/>
      <c r="H18" s="149"/>
      <c r="I18" s="150"/>
      <c r="J18" s="151"/>
      <c r="K18" s="151"/>
      <c r="L18" s="152"/>
      <c r="M18" s="169"/>
      <c r="N18" s="169"/>
      <c r="O18" s="153"/>
      <c r="P18" s="153"/>
    </row>
    <row r="19" spans="1:16" s="138" customFormat="1" x14ac:dyDescent="0.2">
      <c r="A19" s="97" t="s">
        <v>233</v>
      </c>
      <c r="B19" s="148"/>
      <c r="C19" s="148"/>
      <c r="D19" s="148"/>
      <c r="E19" s="97"/>
      <c r="F19" s="149"/>
      <c r="G19" s="149"/>
      <c r="H19" s="149"/>
      <c r="I19" s="150"/>
      <c r="J19" s="151"/>
      <c r="K19" s="151"/>
      <c r="L19" s="152"/>
      <c r="M19" s="169"/>
      <c r="N19" s="169"/>
      <c r="O19" s="153"/>
      <c r="P19" s="153"/>
    </row>
    <row r="20" spans="1:16" s="138" customFormat="1" x14ac:dyDescent="0.2">
      <c r="A20" s="97" t="s">
        <v>234</v>
      </c>
      <c r="B20" s="148"/>
      <c r="C20" s="148"/>
      <c r="D20" s="148"/>
      <c r="E20" s="97"/>
      <c r="F20" s="149"/>
      <c r="G20" s="149"/>
      <c r="H20" s="149"/>
      <c r="I20" s="150"/>
      <c r="J20" s="151"/>
      <c r="K20" s="151"/>
      <c r="L20" s="152"/>
      <c r="M20" s="169"/>
      <c r="N20" s="169"/>
      <c r="O20" s="153"/>
      <c r="P20" s="153"/>
    </row>
    <row r="21" spans="1:16" s="138" customFormat="1" x14ac:dyDescent="0.2">
      <c r="A21" s="97" t="s">
        <v>235</v>
      </c>
      <c r="B21" s="148"/>
      <c r="C21" s="148"/>
      <c r="D21" s="148"/>
      <c r="E21" s="97"/>
      <c r="F21" s="149"/>
      <c r="G21" s="149"/>
      <c r="H21" s="149"/>
      <c r="I21" s="150"/>
      <c r="J21" s="151"/>
      <c r="K21" s="151"/>
      <c r="L21" s="152"/>
      <c r="M21" s="169"/>
      <c r="N21" s="169"/>
      <c r="O21" s="153"/>
      <c r="P21" s="153"/>
    </row>
  </sheetData>
  <mergeCells count="2">
    <mergeCell ref="A6:L6"/>
    <mergeCell ref="A5:L5"/>
  </mergeCells>
  <conditionalFormatting sqref="J1:K4 G10:H16 J10:J55551">
    <cfRule type="expression" dxfId="75" priority="312" stopIfTrue="1">
      <formula>LEFT(#REF!,3)="TIR"</formula>
    </cfRule>
  </conditionalFormatting>
  <conditionalFormatting sqref="B10:F16 K10:K16 L11:L16">
    <cfRule type="expression" dxfId="74" priority="315" stopIfTrue="1">
      <formula>OR(LEFT(#REF!,3)="TIR",LEFT(#REF!,2)="IR")</formula>
    </cfRule>
  </conditionalFormatting>
  <conditionalFormatting sqref="A10:A16 I10:I16">
    <cfRule type="expression" dxfId="73" priority="318" stopIfTrue="1">
      <formula>#REF!&gt;0</formula>
    </cfRule>
    <cfRule type="expression" dxfId="72" priority="319" stopIfTrue="1">
      <formula>LEFT(#REF!,3)="TIR"</formula>
    </cfRule>
  </conditionalFormatting>
  <conditionalFormatting sqref="C10:D16">
    <cfRule type="expression" dxfId="71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E8F1-ED87-4A67-AC72-7F83D07433EB}">
  <sheetPr codeName="גיליון17">
    <pageSetUpPr fitToPage="1"/>
  </sheetPr>
  <dimension ref="A1:Q31"/>
  <sheetViews>
    <sheetView rightToLeft="1" zoomScale="80" zoomScaleNormal="80" workbookViewId="0">
      <selection activeCell="A7" sqref="A7:J26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2" style="78" bestFit="1" customWidth="1"/>
    <col min="4" max="4" width="14.140625" style="78" customWidth="1"/>
    <col min="5" max="5" width="10.5703125" style="78" customWidth="1"/>
    <col min="6" max="6" width="8.140625" style="50" bestFit="1" customWidth="1"/>
    <col min="7" max="7" width="10.42578125" style="80" customWidth="1"/>
    <col min="8" max="8" width="22" style="82" customWidth="1"/>
    <col min="9" max="9" width="25.42578125" style="82" customWidth="1"/>
    <col min="10" max="10" width="20.7109375" style="82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78"/>
      <c r="D1" s="78"/>
      <c r="E1" s="78"/>
      <c r="F1" s="50"/>
      <c r="G1" s="80"/>
      <c r="H1" s="81"/>
      <c r="I1" s="81"/>
      <c r="J1" s="81"/>
      <c r="K1" s="27"/>
      <c r="L1" s="26"/>
      <c r="M1" s="26"/>
      <c r="N1" s="28"/>
    </row>
    <row r="2" spans="1:17" s="20" customFormat="1" x14ac:dyDescent="0.2">
      <c r="A2" s="23" t="s">
        <v>227</v>
      </c>
      <c r="B2" s="22" t="s">
        <v>153</v>
      </c>
      <c r="C2" s="78"/>
      <c r="D2" s="78"/>
      <c r="E2" s="78"/>
      <c r="F2" s="50"/>
      <c r="G2" s="80"/>
      <c r="H2" s="81"/>
      <c r="I2" s="81"/>
      <c r="J2" s="81"/>
      <c r="K2" s="27"/>
      <c r="L2" s="26"/>
      <c r="M2" s="26"/>
      <c r="N2" s="28"/>
    </row>
    <row r="3" spans="1:17" s="20" customFormat="1" x14ac:dyDescent="0.2">
      <c r="A3" s="23" t="s">
        <v>228</v>
      </c>
      <c r="B3" s="22" t="s">
        <v>229</v>
      </c>
      <c r="C3" s="78"/>
      <c r="D3" s="78"/>
      <c r="E3" s="78"/>
      <c r="F3" s="50"/>
      <c r="G3" s="80"/>
      <c r="H3" s="81"/>
      <c r="I3" s="81"/>
      <c r="J3" s="81"/>
      <c r="K3" s="27"/>
      <c r="L3" s="26"/>
      <c r="M3" s="26"/>
      <c r="N3" s="28"/>
    </row>
    <row r="4" spans="1:17" s="20" customFormat="1" ht="13.5" thickBot="1" x14ac:dyDescent="0.25">
      <c r="A4" s="23" t="s">
        <v>230</v>
      </c>
      <c r="B4" s="22" t="s">
        <v>237</v>
      </c>
      <c r="C4" s="78"/>
      <c r="D4" s="78"/>
      <c r="E4" s="78"/>
      <c r="F4" s="50"/>
      <c r="G4" s="80"/>
      <c r="H4" s="81"/>
      <c r="I4" s="81"/>
      <c r="J4" s="81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6" t="s">
        <v>160</v>
      </c>
      <c r="B7" s="107" t="s">
        <v>69</v>
      </c>
      <c r="C7" s="107" t="s">
        <v>6</v>
      </c>
      <c r="D7" s="107" t="s">
        <v>13</v>
      </c>
      <c r="E7" s="108" t="s">
        <v>67</v>
      </c>
      <c r="F7" s="108" t="s">
        <v>68</v>
      </c>
      <c r="G7" s="108" t="s">
        <v>29</v>
      </c>
      <c r="H7" s="109" t="s">
        <v>17</v>
      </c>
      <c r="I7" s="109" t="s">
        <v>75</v>
      </c>
      <c r="J7" s="110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8" customFormat="1" ht="12.75" customHeight="1" thickBot="1" x14ac:dyDescent="0.25">
      <c r="A10" s="121" t="s">
        <v>60</v>
      </c>
      <c r="B10" s="86" t="s">
        <v>240</v>
      </c>
      <c r="C10" s="122" t="s">
        <v>240</v>
      </c>
      <c r="D10" s="122" t="s">
        <v>240</v>
      </c>
      <c r="E10" s="123" t="s">
        <v>240</v>
      </c>
      <c r="F10" s="122" t="s">
        <v>240</v>
      </c>
      <c r="G10" s="126">
        <v>3233.0398145215158</v>
      </c>
      <c r="H10" s="86" t="s">
        <v>240</v>
      </c>
      <c r="I10" s="86">
        <v>1</v>
      </c>
      <c r="J10" s="101">
        <v>1.249450304938806E-2</v>
      </c>
    </row>
    <row r="11" spans="1:17" s="138" customFormat="1" x14ac:dyDescent="0.2">
      <c r="A11" s="111" t="s">
        <v>1481</v>
      </c>
      <c r="B11" s="141" t="s">
        <v>240</v>
      </c>
      <c r="C11" s="142" t="s">
        <v>240</v>
      </c>
      <c r="D11" s="142" t="s">
        <v>240</v>
      </c>
      <c r="E11" s="154" t="s">
        <v>240</v>
      </c>
      <c r="F11" s="142" t="s">
        <v>240</v>
      </c>
      <c r="G11" s="155">
        <v>3233.0398141215155</v>
      </c>
      <c r="H11" s="141" t="s">
        <v>240</v>
      </c>
      <c r="I11" s="141">
        <v>0.9999999998762773</v>
      </c>
      <c r="J11" s="141">
        <v>1.2494503047842206E-2</v>
      </c>
    </row>
    <row r="12" spans="1:17" s="138" customFormat="1" x14ac:dyDescent="0.2">
      <c r="A12" s="112" t="s">
        <v>1482</v>
      </c>
      <c r="B12" s="145" t="s">
        <v>240</v>
      </c>
      <c r="C12" s="146" t="s">
        <v>240</v>
      </c>
      <c r="D12" s="146" t="s">
        <v>240</v>
      </c>
      <c r="E12" s="156" t="s">
        <v>240</v>
      </c>
      <c r="F12" s="146" t="s">
        <v>240</v>
      </c>
      <c r="G12" s="147">
        <v>0</v>
      </c>
      <c r="H12" s="145" t="s">
        <v>240</v>
      </c>
      <c r="I12" s="145">
        <v>0</v>
      </c>
      <c r="J12" s="145">
        <v>0</v>
      </c>
    </row>
    <row r="13" spans="1:17" s="138" customFormat="1" x14ac:dyDescent="0.2">
      <c r="A13" s="112" t="s">
        <v>1483</v>
      </c>
      <c r="B13" s="145" t="s">
        <v>240</v>
      </c>
      <c r="C13" s="146" t="s">
        <v>240</v>
      </c>
      <c r="D13" s="146" t="s">
        <v>240</v>
      </c>
      <c r="E13" s="156" t="s">
        <v>240</v>
      </c>
      <c r="F13" s="146" t="s">
        <v>240</v>
      </c>
      <c r="G13" s="147">
        <v>3233.039813821516</v>
      </c>
      <c r="H13" s="145" t="s">
        <v>240</v>
      </c>
      <c r="I13" s="145">
        <v>0.99999999978348553</v>
      </c>
      <c r="J13" s="145">
        <v>1.249450304668282E-2</v>
      </c>
    </row>
    <row r="14" spans="1:17" x14ac:dyDescent="0.2">
      <c r="A14" s="30" t="s">
        <v>1498</v>
      </c>
      <c r="B14" s="38" t="s">
        <v>1499</v>
      </c>
      <c r="C14" s="79" t="s">
        <v>247</v>
      </c>
      <c r="D14" s="79" t="s">
        <v>1500</v>
      </c>
      <c r="E14" s="88">
        <v>2611.7470372151602</v>
      </c>
      <c r="F14" s="79">
        <v>100</v>
      </c>
      <c r="G14" s="104">
        <v>261.17470372151598</v>
      </c>
      <c r="H14" s="38" t="s">
        <v>240</v>
      </c>
      <c r="I14" s="38">
        <v>8.0783014965799108E-2</v>
      </c>
      <c r="J14" s="38">
        <v>1.0093436268289384E-3</v>
      </c>
      <c r="K14" s="28"/>
      <c r="L14" s="28"/>
      <c r="M14" s="28"/>
    </row>
    <row r="15" spans="1:17" x14ac:dyDescent="0.2">
      <c r="A15" s="30" t="s">
        <v>1484</v>
      </c>
      <c r="B15" s="38" t="s">
        <v>1485</v>
      </c>
      <c r="C15" s="79" t="s">
        <v>127</v>
      </c>
      <c r="D15" s="79" t="s">
        <v>1486</v>
      </c>
      <c r="E15" s="88">
        <v>60.23</v>
      </c>
      <c r="F15" s="79">
        <v>1240.0899999999999</v>
      </c>
      <c r="G15" s="104">
        <v>266.27206000000001</v>
      </c>
      <c r="H15" s="38" t="s">
        <v>240</v>
      </c>
      <c r="I15" s="38">
        <v>8.2359660033882939E-2</v>
      </c>
      <c r="J15" s="38">
        <v>1.0290430234399144E-3</v>
      </c>
      <c r="K15" s="28"/>
      <c r="L15" s="28"/>
      <c r="M15" s="28"/>
    </row>
    <row r="16" spans="1:17" x14ac:dyDescent="0.2">
      <c r="A16" s="30" t="s">
        <v>1487</v>
      </c>
      <c r="B16" s="38" t="s">
        <v>1488</v>
      </c>
      <c r="C16" s="79" t="s">
        <v>247</v>
      </c>
      <c r="D16" s="79" t="s">
        <v>1489</v>
      </c>
      <c r="E16" s="88">
        <v>497.67</v>
      </c>
      <c r="F16" s="79">
        <v>1249.0419999999999</v>
      </c>
      <c r="G16" s="104">
        <v>621.61072999999999</v>
      </c>
      <c r="H16" s="38">
        <v>3.9421779053630161E-4</v>
      </c>
      <c r="I16" s="38">
        <v>0.19226819515428617</v>
      </c>
      <c r="J16" s="38">
        <v>2.4022955506555672E-3</v>
      </c>
      <c r="K16" s="28"/>
      <c r="L16" s="28"/>
      <c r="M16" s="28"/>
    </row>
    <row r="17" spans="1:13" x14ac:dyDescent="0.2">
      <c r="A17" s="30" t="s">
        <v>1490</v>
      </c>
      <c r="B17" s="38" t="s">
        <v>1491</v>
      </c>
      <c r="C17" s="79" t="s">
        <v>127</v>
      </c>
      <c r="D17" s="79" t="s">
        <v>1492</v>
      </c>
      <c r="E17" s="88">
        <v>808</v>
      </c>
      <c r="F17" s="79">
        <v>120.2</v>
      </c>
      <c r="G17" s="104">
        <v>346.23849999999999</v>
      </c>
      <c r="H17" s="38">
        <v>4.4172309004894755E-6</v>
      </c>
      <c r="I17" s="38">
        <v>0.10709379403397254</v>
      </c>
      <c r="J17" s="38">
        <v>1.3380837361280068E-3</v>
      </c>
      <c r="K17" s="28"/>
      <c r="L17" s="28"/>
      <c r="M17" s="28"/>
    </row>
    <row r="18" spans="1:13" x14ac:dyDescent="0.2">
      <c r="A18" s="30" t="s">
        <v>1493</v>
      </c>
      <c r="B18" s="38" t="s">
        <v>1494</v>
      </c>
      <c r="C18" s="79" t="s">
        <v>247</v>
      </c>
      <c r="D18" s="79" t="s">
        <v>1495</v>
      </c>
      <c r="E18" s="88">
        <v>883.73</v>
      </c>
      <c r="F18" s="79">
        <v>1085.52</v>
      </c>
      <c r="G18" s="104">
        <v>959.30657999999994</v>
      </c>
      <c r="H18" s="38">
        <v>1.5578743663567295E-6</v>
      </c>
      <c r="I18" s="38">
        <v>0.29671969262215092</v>
      </c>
      <c r="J18" s="38">
        <v>3.7073651042809526E-3</v>
      </c>
      <c r="K18" s="28"/>
      <c r="L18" s="28"/>
      <c r="M18" s="28"/>
    </row>
    <row r="19" spans="1:13" x14ac:dyDescent="0.2">
      <c r="A19" s="30" t="s">
        <v>1493</v>
      </c>
      <c r="B19" s="38" t="s">
        <v>1496</v>
      </c>
      <c r="C19" s="79" t="s">
        <v>247</v>
      </c>
      <c r="D19" s="79" t="s">
        <v>1497</v>
      </c>
      <c r="E19" s="88">
        <v>717.11</v>
      </c>
      <c r="F19" s="79">
        <v>1085.52</v>
      </c>
      <c r="G19" s="104">
        <v>778.43723999999997</v>
      </c>
      <c r="H19" s="38">
        <v>1.2641500083261566E-6</v>
      </c>
      <c r="I19" s="38">
        <v>0.24077564294246323</v>
      </c>
      <c r="J19" s="38">
        <v>3.0083720049629776E-3</v>
      </c>
      <c r="K19" s="28"/>
      <c r="L19" s="28"/>
      <c r="M19" s="28"/>
    </row>
    <row r="20" spans="1:13" s="138" customFormat="1" x14ac:dyDescent="0.2">
      <c r="A20" s="112" t="s">
        <v>1501</v>
      </c>
      <c r="B20" s="145" t="s">
        <v>240</v>
      </c>
      <c r="C20" s="146" t="s">
        <v>240</v>
      </c>
      <c r="D20" s="146" t="s">
        <v>240</v>
      </c>
      <c r="E20" s="156" t="s">
        <v>240</v>
      </c>
      <c r="F20" s="146" t="s">
        <v>240</v>
      </c>
      <c r="G20" s="147">
        <v>0</v>
      </c>
      <c r="H20" s="145" t="s">
        <v>240</v>
      </c>
      <c r="I20" s="145">
        <v>0</v>
      </c>
      <c r="J20" s="145">
        <v>0</v>
      </c>
    </row>
    <row r="21" spans="1:13" s="138" customFormat="1" x14ac:dyDescent="0.2">
      <c r="A21" s="112" t="s">
        <v>1502</v>
      </c>
      <c r="B21" s="145" t="s">
        <v>240</v>
      </c>
      <c r="C21" s="146" t="s">
        <v>240</v>
      </c>
      <c r="D21" s="146" t="s">
        <v>240</v>
      </c>
      <c r="E21" s="156" t="s">
        <v>240</v>
      </c>
      <c r="F21" s="146" t="s">
        <v>240</v>
      </c>
      <c r="G21" s="147">
        <v>0</v>
      </c>
      <c r="H21" s="145" t="s">
        <v>240</v>
      </c>
      <c r="I21" s="145">
        <v>0</v>
      </c>
      <c r="J21" s="145">
        <v>0</v>
      </c>
    </row>
    <row r="22" spans="1:13" s="138" customFormat="1" x14ac:dyDescent="0.2">
      <c r="A22" s="112" t="s">
        <v>1503</v>
      </c>
      <c r="B22" s="145" t="s">
        <v>240</v>
      </c>
      <c r="C22" s="146" t="s">
        <v>240</v>
      </c>
      <c r="D22" s="146" t="s">
        <v>240</v>
      </c>
      <c r="E22" s="156" t="s">
        <v>240</v>
      </c>
      <c r="F22" s="146" t="s">
        <v>240</v>
      </c>
      <c r="G22" s="147">
        <v>0</v>
      </c>
      <c r="H22" s="145" t="s">
        <v>240</v>
      </c>
      <c r="I22" s="145">
        <v>0</v>
      </c>
      <c r="J22" s="145">
        <v>0</v>
      </c>
    </row>
    <row r="23" spans="1:13" s="138" customFormat="1" x14ac:dyDescent="0.2">
      <c r="A23" s="112" t="s">
        <v>1482</v>
      </c>
      <c r="B23" s="145" t="s">
        <v>240</v>
      </c>
      <c r="C23" s="146" t="s">
        <v>240</v>
      </c>
      <c r="D23" s="146" t="s">
        <v>240</v>
      </c>
      <c r="E23" s="156" t="s">
        <v>240</v>
      </c>
      <c r="F23" s="146" t="s">
        <v>240</v>
      </c>
      <c r="G23" s="147">
        <v>0</v>
      </c>
      <c r="H23" s="145" t="s">
        <v>240</v>
      </c>
      <c r="I23" s="145">
        <v>0</v>
      </c>
      <c r="J23" s="145">
        <v>0</v>
      </c>
    </row>
    <row r="24" spans="1:13" s="138" customFormat="1" x14ac:dyDescent="0.2">
      <c r="A24" s="112" t="s">
        <v>1483</v>
      </c>
      <c r="B24" s="145" t="s">
        <v>240</v>
      </c>
      <c r="C24" s="146" t="s">
        <v>240</v>
      </c>
      <c r="D24" s="146" t="s">
        <v>240</v>
      </c>
      <c r="E24" s="156" t="s">
        <v>240</v>
      </c>
      <c r="F24" s="146" t="s">
        <v>240</v>
      </c>
      <c r="G24" s="147">
        <v>0</v>
      </c>
      <c r="H24" s="145" t="s">
        <v>240</v>
      </c>
      <c r="I24" s="145">
        <v>0</v>
      </c>
      <c r="J24" s="145">
        <v>0</v>
      </c>
    </row>
    <row r="25" spans="1:13" s="138" customFormat="1" x14ac:dyDescent="0.2">
      <c r="A25" s="112" t="s">
        <v>1501</v>
      </c>
      <c r="B25" s="145" t="s">
        <v>240</v>
      </c>
      <c r="C25" s="146" t="s">
        <v>240</v>
      </c>
      <c r="D25" s="146" t="s">
        <v>240</v>
      </c>
      <c r="E25" s="156" t="s">
        <v>240</v>
      </c>
      <c r="F25" s="146" t="s">
        <v>240</v>
      </c>
      <c r="G25" s="147">
        <v>0</v>
      </c>
      <c r="H25" s="145" t="s">
        <v>240</v>
      </c>
      <c r="I25" s="145">
        <v>0</v>
      </c>
      <c r="J25" s="145">
        <v>0</v>
      </c>
    </row>
    <row r="26" spans="1:13" s="138" customFormat="1" x14ac:dyDescent="0.2">
      <c r="A26" s="202" t="s">
        <v>1502</v>
      </c>
      <c r="B26" s="203" t="s">
        <v>240</v>
      </c>
      <c r="C26" s="204" t="s">
        <v>240</v>
      </c>
      <c r="D26" s="204" t="s">
        <v>240</v>
      </c>
      <c r="E26" s="205" t="s">
        <v>240</v>
      </c>
      <c r="F26" s="204" t="s">
        <v>240</v>
      </c>
      <c r="G26" s="207">
        <v>0</v>
      </c>
      <c r="H26" s="203" t="s">
        <v>240</v>
      </c>
      <c r="I26" s="203">
        <v>0</v>
      </c>
      <c r="J26" s="203">
        <v>0</v>
      </c>
    </row>
    <row r="27" spans="1:13" s="138" customFormat="1" x14ac:dyDescent="0.2">
      <c r="A27" s="97" t="s">
        <v>231</v>
      </c>
      <c r="B27" s="148"/>
      <c r="C27" s="149"/>
      <c r="D27" s="149"/>
      <c r="E27" s="149"/>
      <c r="F27" s="150"/>
      <c r="G27" s="151"/>
      <c r="H27" s="152"/>
      <c r="I27" s="152"/>
      <c r="J27" s="152"/>
      <c r="K27" s="169"/>
      <c r="L27" s="153"/>
      <c r="M27" s="153"/>
    </row>
    <row r="28" spans="1:13" s="138" customFormat="1" x14ac:dyDescent="0.2">
      <c r="A28" s="97" t="s">
        <v>232</v>
      </c>
      <c r="B28" s="148"/>
      <c r="C28" s="149"/>
      <c r="D28" s="149"/>
      <c r="E28" s="149"/>
      <c r="F28" s="150"/>
      <c r="G28" s="151"/>
      <c r="H28" s="152"/>
      <c r="I28" s="152"/>
      <c r="J28" s="152"/>
      <c r="K28" s="169"/>
      <c r="L28" s="153"/>
      <c r="M28" s="153"/>
    </row>
    <row r="29" spans="1:13" s="138" customFormat="1" x14ac:dyDescent="0.2">
      <c r="A29" s="97" t="s">
        <v>233</v>
      </c>
      <c r="B29" s="148"/>
      <c r="C29" s="149"/>
      <c r="D29" s="149"/>
      <c r="E29" s="149"/>
      <c r="F29" s="150"/>
      <c r="G29" s="151"/>
      <c r="H29" s="152"/>
      <c r="I29" s="152"/>
      <c r="J29" s="152"/>
      <c r="K29" s="169"/>
      <c r="L29" s="153"/>
      <c r="M29" s="153"/>
    </row>
    <row r="30" spans="1:13" s="138" customFormat="1" x14ac:dyDescent="0.2">
      <c r="A30" s="97" t="s">
        <v>234</v>
      </c>
      <c r="B30" s="148"/>
      <c r="C30" s="149"/>
      <c r="D30" s="149"/>
      <c r="E30" s="149"/>
      <c r="F30" s="150"/>
      <c r="G30" s="151"/>
      <c r="H30" s="152"/>
      <c r="I30" s="152"/>
      <c r="J30" s="152"/>
      <c r="K30" s="169"/>
      <c r="L30" s="153"/>
      <c r="M30" s="153"/>
    </row>
    <row r="31" spans="1:13" s="138" customFormat="1" x14ac:dyDescent="0.2">
      <c r="A31" s="97" t="s">
        <v>235</v>
      </c>
      <c r="B31" s="148"/>
      <c r="C31" s="149"/>
      <c r="D31" s="149"/>
      <c r="E31" s="149"/>
      <c r="F31" s="150"/>
      <c r="G31" s="151"/>
      <c r="H31" s="152"/>
      <c r="I31" s="152"/>
      <c r="J31" s="152"/>
      <c r="K31" s="169"/>
      <c r="L31" s="153"/>
      <c r="M31" s="153"/>
    </row>
  </sheetData>
  <mergeCells count="2">
    <mergeCell ref="A6:J6"/>
    <mergeCell ref="A5:J5"/>
  </mergeCells>
  <conditionalFormatting sqref="B11:D26 I11:J26">
    <cfRule type="expression" dxfId="70" priority="326" stopIfTrue="1">
      <formula>OR(LEFT(#REF!,3)="TIR",LEFT(#REF!,2)="IR")</formula>
    </cfRule>
  </conditionalFormatting>
  <conditionalFormatting sqref="A11:A26 G11:G26">
    <cfRule type="expression" dxfId="69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2782-A7E9-4D8F-8A48-F5A57212E0EF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.140625" style="25" bestFit="1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6" t="s">
        <v>160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1">
        <v>10</v>
      </c>
    </row>
    <row r="10" spans="1:18" s="138" customFormat="1" ht="12.75" customHeight="1" thickBot="1" x14ac:dyDescent="0.25">
      <c r="A10" s="121" t="s">
        <v>55</v>
      </c>
      <c r="B10" s="86" t="s">
        <v>240</v>
      </c>
      <c r="C10" s="86" t="s">
        <v>240</v>
      </c>
      <c r="D10" s="158" t="s">
        <v>240</v>
      </c>
      <c r="E10" s="158" t="s">
        <v>240</v>
      </c>
      <c r="F10" s="160" t="s">
        <v>240</v>
      </c>
      <c r="G10" s="158" t="s">
        <v>240</v>
      </c>
      <c r="H10" s="174">
        <v>4.2874784546484763</v>
      </c>
      <c r="I10" s="89"/>
      <c r="J10" s="103">
        <v>1</v>
      </c>
      <c r="K10" s="102">
        <v>1.6569518378702444E-5</v>
      </c>
    </row>
    <row r="11" spans="1:18" s="138" customFormat="1" x14ac:dyDescent="0.2">
      <c r="A11" s="111" t="s">
        <v>1504</v>
      </c>
      <c r="B11" s="141" t="s">
        <v>240</v>
      </c>
      <c r="C11" s="141" t="s">
        <v>240</v>
      </c>
      <c r="D11" s="161" t="s">
        <v>240</v>
      </c>
      <c r="E11" s="161" t="s">
        <v>240</v>
      </c>
      <c r="F11" s="163" t="s">
        <v>240</v>
      </c>
      <c r="G11" s="161" t="s">
        <v>240</v>
      </c>
      <c r="H11" s="143">
        <v>4.287478354648476</v>
      </c>
      <c r="I11" s="141" t="s">
        <v>240</v>
      </c>
      <c r="J11" s="141">
        <v>0.99999997667626761</v>
      </c>
      <c r="K11" s="141">
        <v>1.656951799223943E-5</v>
      </c>
    </row>
    <row r="12" spans="1:18" x14ac:dyDescent="0.2">
      <c r="A12" s="30" t="s">
        <v>1505</v>
      </c>
      <c r="B12" s="38" t="s">
        <v>1506</v>
      </c>
      <c r="C12" s="38" t="s">
        <v>201</v>
      </c>
      <c r="D12" s="39" t="s">
        <v>247</v>
      </c>
      <c r="E12" s="39" t="s">
        <v>1500</v>
      </c>
      <c r="F12" s="132">
        <v>685.32764605933244</v>
      </c>
      <c r="G12" s="39">
        <v>625.61</v>
      </c>
      <c r="H12" s="104">
        <v>4.2874782546484758</v>
      </c>
      <c r="I12" s="38">
        <v>5.6201604322496809E-5</v>
      </c>
      <c r="J12" s="46">
        <v>0.99999995335253522</v>
      </c>
      <c r="K12" s="46">
        <v>1.6569517605776416E-5</v>
      </c>
      <c r="L12" s="28"/>
      <c r="M12" s="28"/>
      <c r="N12" s="28"/>
    </row>
    <row r="13" spans="1:18" s="138" customFormat="1" x14ac:dyDescent="0.2">
      <c r="A13" s="202" t="s">
        <v>1507</v>
      </c>
      <c r="B13" s="203" t="s">
        <v>240</v>
      </c>
      <c r="C13" s="203" t="s">
        <v>240</v>
      </c>
      <c r="D13" s="244" t="s">
        <v>240</v>
      </c>
      <c r="E13" s="244" t="s">
        <v>240</v>
      </c>
      <c r="F13" s="246" t="s">
        <v>240</v>
      </c>
      <c r="G13" s="244" t="s">
        <v>240</v>
      </c>
      <c r="H13" s="207">
        <v>0</v>
      </c>
      <c r="I13" s="203" t="s">
        <v>240</v>
      </c>
      <c r="J13" s="242">
        <v>0</v>
      </c>
      <c r="K13" s="242">
        <v>0</v>
      </c>
    </row>
    <row r="14" spans="1:18" s="138" customFormat="1" x14ac:dyDescent="0.2">
      <c r="A14" s="97" t="s">
        <v>231</v>
      </c>
      <c r="B14" s="148"/>
      <c r="C14" s="97"/>
      <c r="D14" s="167"/>
      <c r="E14" s="167"/>
      <c r="F14" s="167"/>
      <c r="G14" s="168"/>
      <c r="H14" s="153"/>
      <c r="I14" s="169"/>
      <c r="J14" s="169"/>
      <c r="K14" s="169"/>
      <c r="L14" s="169"/>
      <c r="M14" s="153"/>
      <c r="N14" s="153"/>
    </row>
    <row r="15" spans="1:18" s="138" customFormat="1" x14ac:dyDescent="0.2">
      <c r="A15" s="97" t="s">
        <v>232</v>
      </c>
      <c r="B15" s="148"/>
      <c r="C15" s="97"/>
      <c r="D15" s="167"/>
      <c r="E15" s="167"/>
      <c r="F15" s="167"/>
      <c r="G15" s="168"/>
      <c r="H15" s="153"/>
      <c r="I15" s="169"/>
      <c r="J15" s="169"/>
      <c r="K15" s="169"/>
      <c r="L15" s="169"/>
      <c r="M15" s="153"/>
      <c r="N15" s="153"/>
    </row>
    <row r="16" spans="1:18" s="138" customFormat="1" x14ac:dyDescent="0.2">
      <c r="A16" s="97" t="s">
        <v>233</v>
      </c>
      <c r="B16" s="148"/>
      <c r="C16" s="97"/>
      <c r="D16" s="167"/>
      <c r="E16" s="167"/>
      <c r="F16" s="167"/>
      <c r="G16" s="168"/>
      <c r="H16" s="153"/>
      <c r="I16" s="169"/>
      <c r="J16" s="169"/>
      <c r="K16" s="169"/>
      <c r="L16" s="169"/>
      <c r="M16" s="153"/>
      <c r="N16" s="153"/>
    </row>
    <row r="17" spans="1:14" s="138" customFormat="1" x14ac:dyDescent="0.2">
      <c r="A17" s="97" t="s">
        <v>234</v>
      </c>
      <c r="B17" s="148"/>
      <c r="C17" s="97"/>
      <c r="D17" s="167"/>
      <c r="E17" s="167"/>
      <c r="F17" s="167"/>
      <c r="G17" s="168"/>
      <c r="H17" s="153"/>
      <c r="I17" s="169"/>
      <c r="J17" s="169"/>
      <c r="K17" s="169"/>
      <c r="L17" s="169"/>
      <c r="M17" s="153"/>
      <c r="N17" s="153"/>
    </row>
    <row r="18" spans="1:14" s="138" customFormat="1" x14ac:dyDescent="0.2">
      <c r="A18" s="97" t="s">
        <v>235</v>
      </c>
      <c r="B18" s="148"/>
      <c r="C18" s="97"/>
      <c r="D18" s="167"/>
      <c r="E18" s="167"/>
      <c r="F18" s="167"/>
      <c r="G18" s="168"/>
      <c r="H18" s="153"/>
      <c r="I18" s="169"/>
      <c r="J18" s="169"/>
      <c r="K18" s="169"/>
      <c r="L18" s="169"/>
      <c r="M18" s="153"/>
      <c r="N18" s="153"/>
    </row>
  </sheetData>
  <mergeCells count="2">
    <mergeCell ref="A6:K6"/>
    <mergeCell ref="A5:K5"/>
  </mergeCells>
  <conditionalFormatting sqref="A10:A13 H10:H13">
    <cfRule type="expression" dxfId="68" priority="332" stopIfTrue="1">
      <formula>#REF!&gt;0</formula>
    </cfRule>
  </conditionalFormatting>
  <conditionalFormatting sqref="J10:K13">
    <cfRule type="expression" dxfId="67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509F-36CE-4386-BCA2-C7A1FC067744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78" bestFit="1" customWidth="1"/>
    <col min="5" max="5" width="14.140625" style="78" customWidth="1"/>
    <col min="6" max="6" width="13.140625" style="78" bestFit="1" customWidth="1"/>
    <col min="7" max="7" width="7" style="50" customWidth="1"/>
    <col min="8" max="8" width="10.42578125" style="80" customWidth="1"/>
    <col min="9" max="9" width="22" style="82" customWidth="1"/>
    <col min="10" max="10" width="25.42578125" style="82" customWidth="1"/>
    <col min="11" max="11" width="20.7109375" style="82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78"/>
      <c r="E1" s="78"/>
      <c r="F1" s="78"/>
      <c r="G1" s="50"/>
      <c r="H1" s="80"/>
      <c r="I1" s="81"/>
      <c r="J1" s="81"/>
      <c r="K1" s="81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2"/>
      <c r="D2" s="78"/>
      <c r="E2" s="78"/>
      <c r="F2" s="78"/>
      <c r="G2" s="50"/>
      <c r="H2" s="80"/>
      <c r="I2" s="81"/>
      <c r="J2" s="81"/>
      <c r="K2" s="81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2"/>
      <c r="D3" s="78"/>
      <c r="E3" s="78"/>
      <c r="F3" s="78"/>
      <c r="G3" s="50"/>
      <c r="H3" s="80"/>
      <c r="I3" s="81"/>
      <c r="J3" s="81"/>
      <c r="K3" s="81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237</v>
      </c>
      <c r="C4" s="22"/>
      <c r="D4" s="78"/>
      <c r="E4" s="78"/>
      <c r="F4" s="78"/>
      <c r="G4" s="50"/>
      <c r="H4" s="80"/>
      <c r="I4" s="81"/>
      <c r="J4" s="81"/>
      <c r="K4" s="81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6" t="s">
        <v>160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8" customFormat="1" ht="12.75" customHeight="1" thickBot="1" x14ac:dyDescent="0.25">
      <c r="A10" s="121" t="s">
        <v>56</v>
      </c>
      <c r="B10" s="86" t="s">
        <v>240</v>
      </c>
      <c r="C10" s="86" t="s">
        <v>240</v>
      </c>
      <c r="D10" s="122" t="s">
        <v>240</v>
      </c>
      <c r="E10" s="122" t="s">
        <v>240</v>
      </c>
      <c r="F10" s="123" t="s">
        <v>240</v>
      </c>
      <c r="G10" s="122" t="s">
        <v>240</v>
      </c>
      <c r="H10" s="130">
        <v>279.39409099999995</v>
      </c>
      <c r="I10" s="86" t="s">
        <v>240</v>
      </c>
      <c r="J10" s="86">
        <v>1</v>
      </c>
      <c r="K10" s="101">
        <v>1.0797548196903818E-3</v>
      </c>
    </row>
    <row r="11" spans="1:18" s="138" customFormat="1" x14ac:dyDescent="0.2">
      <c r="A11" s="111" t="s">
        <v>1508</v>
      </c>
      <c r="B11" s="141" t="s">
        <v>240</v>
      </c>
      <c r="C11" s="141" t="s">
        <v>240</v>
      </c>
      <c r="D11" s="142" t="s">
        <v>240</v>
      </c>
      <c r="E11" s="142" t="s">
        <v>240</v>
      </c>
      <c r="F11" s="154" t="s">
        <v>240</v>
      </c>
      <c r="G11" s="142" t="s">
        <v>240</v>
      </c>
      <c r="H11" s="143">
        <v>279.3940905</v>
      </c>
      <c r="I11" s="141" t="s">
        <v>240</v>
      </c>
      <c r="J11" s="141">
        <v>0.99999999821041319</v>
      </c>
      <c r="K11" s="141">
        <v>1.0797548177580668E-3</v>
      </c>
    </row>
    <row r="12" spans="1:18" s="138" customFormat="1" x14ac:dyDescent="0.2">
      <c r="A12" s="112" t="s">
        <v>1232</v>
      </c>
      <c r="B12" s="145" t="s">
        <v>240</v>
      </c>
      <c r="C12" s="145" t="s">
        <v>240</v>
      </c>
      <c r="D12" s="146" t="s">
        <v>240</v>
      </c>
      <c r="E12" s="146" t="s">
        <v>240</v>
      </c>
      <c r="F12" s="156" t="s">
        <v>240</v>
      </c>
      <c r="G12" s="146" t="s">
        <v>240</v>
      </c>
      <c r="H12" s="147">
        <v>0</v>
      </c>
      <c r="I12" s="145" t="s">
        <v>240</v>
      </c>
      <c r="J12" s="145">
        <v>0</v>
      </c>
      <c r="K12" s="145">
        <v>0</v>
      </c>
    </row>
    <row r="13" spans="1:18" s="138" customFormat="1" x14ac:dyDescent="0.2">
      <c r="A13" s="112" t="s">
        <v>1509</v>
      </c>
      <c r="B13" s="145" t="s">
        <v>240</v>
      </c>
      <c r="C13" s="145" t="s">
        <v>240</v>
      </c>
      <c r="D13" s="146" t="s">
        <v>240</v>
      </c>
      <c r="E13" s="146" t="s">
        <v>240</v>
      </c>
      <c r="F13" s="156" t="s">
        <v>240</v>
      </c>
      <c r="G13" s="146" t="s">
        <v>240</v>
      </c>
      <c r="H13" s="147">
        <v>279.39409009999997</v>
      </c>
      <c r="I13" s="145" t="s">
        <v>240</v>
      </c>
      <c r="J13" s="145">
        <v>0.99999999677874363</v>
      </c>
      <c r="K13" s="145">
        <v>1.0797548162122148E-3</v>
      </c>
    </row>
    <row r="14" spans="1:18" x14ac:dyDescent="0.2">
      <c r="A14" s="30" t="s">
        <v>1510</v>
      </c>
      <c r="B14" s="38" t="s">
        <v>1515</v>
      </c>
      <c r="C14" s="38" t="s">
        <v>240</v>
      </c>
      <c r="D14" s="79" t="s">
        <v>127</v>
      </c>
      <c r="E14" s="79" t="s">
        <v>1516</v>
      </c>
      <c r="F14" s="88">
        <v>525000</v>
      </c>
      <c r="G14" s="79">
        <v>2.2745000000000002</v>
      </c>
      <c r="H14" s="104">
        <v>42.571359999999999</v>
      </c>
      <c r="I14" s="38" t="s">
        <v>240</v>
      </c>
      <c r="J14" s="38">
        <v>0.15237029476045721</v>
      </c>
      <c r="K14" s="38">
        <v>1.6452256014524779E-4</v>
      </c>
      <c r="L14" s="28"/>
      <c r="M14" s="28"/>
      <c r="N14" s="28"/>
    </row>
    <row r="15" spans="1:18" x14ac:dyDescent="0.2">
      <c r="A15" s="30" t="s">
        <v>1513</v>
      </c>
      <c r="B15" s="38" t="s">
        <v>1517</v>
      </c>
      <c r="C15" s="38" t="s">
        <v>240</v>
      </c>
      <c r="D15" s="79" t="s">
        <v>127</v>
      </c>
      <c r="E15" s="79" t="s">
        <v>1516</v>
      </c>
      <c r="F15" s="88">
        <v>-525000</v>
      </c>
      <c r="G15" s="79">
        <v>0.39510000000000001</v>
      </c>
      <c r="H15" s="104">
        <v>-7.3949399999999992</v>
      </c>
      <c r="I15" s="38" t="s">
        <v>240</v>
      </c>
      <c r="J15" s="38">
        <v>-2.6467775225783141E-2</v>
      </c>
      <c r="K15" s="38">
        <v>-2.8578707866521028E-5</v>
      </c>
      <c r="L15" s="28"/>
      <c r="M15" s="28"/>
      <c r="N15" s="28"/>
    </row>
    <row r="16" spans="1:18" x14ac:dyDescent="0.2">
      <c r="A16" s="30" t="s">
        <v>1518</v>
      </c>
      <c r="B16" s="38" t="s">
        <v>1519</v>
      </c>
      <c r="C16" s="38" t="s">
        <v>240</v>
      </c>
      <c r="D16" s="79" t="s">
        <v>127</v>
      </c>
      <c r="E16" s="79" t="s">
        <v>1520</v>
      </c>
      <c r="F16" s="88">
        <v>-525000</v>
      </c>
      <c r="G16" s="79">
        <v>0.39069999999999999</v>
      </c>
      <c r="H16" s="104">
        <v>-7.3131300000000001</v>
      </c>
      <c r="I16" s="38" t="s">
        <v>240</v>
      </c>
      <c r="J16" s="38">
        <v>-2.6174963020245124E-2</v>
      </c>
      <c r="K16" s="38">
        <v>-2.8262542476327186E-5</v>
      </c>
      <c r="L16" s="28"/>
      <c r="M16" s="28"/>
      <c r="N16" s="28"/>
    </row>
    <row r="17" spans="1:14" x14ac:dyDescent="0.2">
      <c r="A17" s="30" t="s">
        <v>1521</v>
      </c>
      <c r="B17" s="38" t="s">
        <v>1522</v>
      </c>
      <c r="C17" s="38" t="s">
        <v>240</v>
      </c>
      <c r="D17" s="79" t="s">
        <v>127</v>
      </c>
      <c r="E17" s="79" t="s">
        <v>1520</v>
      </c>
      <c r="F17" s="88">
        <v>525000</v>
      </c>
      <c r="G17" s="79">
        <v>2.2865000000000002</v>
      </c>
      <c r="H17" s="104">
        <v>42.79522</v>
      </c>
      <c r="I17" s="38" t="s">
        <v>240</v>
      </c>
      <c r="J17" s="38">
        <v>0.15317152859900679</v>
      </c>
      <c r="K17" s="38">
        <v>1.6538769624412073E-4</v>
      </c>
      <c r="L17" s="28"/>
      <c r="M17" s="28"/>
      <c r="N17" s="28"/>
    </row>
    <row r="18" spans="1:14" x14ac:dyDescent="0.2">
      <c r="A18" s="30" t="s">
        <v>1523</v>
      </c>
      <c r="B18" s="38" t="s">
        <v>1524</v>
      </c>
      <c r="C18" s="38" t="s">
        <v>240</v>
      </c>
      <c r="D18" s="79" t="s">
        <v>127</v>
      </c>
      <c r="E18" s="79" t="s">
        <v>1525</v>
      </c>
      <c r="F18" s="88">
        <v>-525000</v>
      </c>
      <c r="G18" s="79">
        <v>0.46850000000000003</v>
      </c>
      <c r="H18" s="104">
        <v>-8.76858</v>
      </c>
      <c r="I18" s="38" t="s">
        <v>240</v>
      </c>
      <c r="J18" s="38">
        <v>-3.1384271473372E-2</v>
      </c>
      <c r="K18" s="38">
        <v>-3.3887318385844777E-5</v>
      </c>
      <c r="L18" s="28"/>
      <c r="M18" s="28"/>
      <c r="N18" s="28"/>
    </row>
    <row r="19" spans="1:14" x14ac:dyDescent="0.2">
      <c r="A19" s="30" t="s">
        <v>1526</v>
      </c>
      <c r="B19" s="38" t="s">
        <v>1527</v>
      </c>
      <c r="C19" s="38" t="s">
        <v>240</v>
      </c>
      <c r="D19" s="79" t="s">
        <v>127</v>
      </c>
      <c r="E19" s="79" t="s">
        <v>1525</v>
      </c>
      <c r="F19" s="88">
        <v>525000</v>
      </c>
      <c r="G19" s="79">
        <v>2.3109000000000002</v>
      </c>
      <c r="H19" s="104">
        <v>43.253190000000004</v>
      </c>
      <c r="I19" s="38" t="s">
        <v>240</v>
      </c>
      <c r="J19" s="38">
        <v>0.15481068280717508</v>
      </c>
      <c r="K19" s="38">
        <v>1.6715758090060621E-4</v>
      </c>
      <c r="L19" s="28"/>
      <c r="M19" s="28"/>
      <c r="N19" s="28"/>
    </row>
    <row r="20" spans="1:14" x14ac:dyDescent="0.2">
      <c r="A20" s="30" t="s">
        <v>1537</v>
      </c>
      <c r="B20" s="38" t="s">
        <v>1538</v>
      </c>
      <c r="C20" s="38" t="s">
        <v>240</v>
      </c>
      <c r="D20" s="79" t="s">
        <v>127</v>
      </c>
      <c r="E20" s="79" t="s">
        <v>1539</v>
      </c>
      <c r="F20" s="88">
        <v>500000</v>
      </c>
      <c r="G20" s="79">
        <v>2.448</v>
      </c>
      <c r="H20" s="104">
        <v>43.636060000000001</v>
      </c>
      <c r="I20" s="38" t="s">
        <v>240</v>
      </c>
      <c r="J20" s="38">
        <v>0.15618104106575398</v>
      </c>
      <c r="K20" s="38">
        <v>1.6863723183500932E-4</v>
      </c>
      <c r="L20" s="28"/>
      <c r="M20" s="28"/>
      <c r="N20" s="28"/>
    </row>
    <row r="21" spans="1:14" x14ac:dyDescent="0.2">
      <c r="A21" s="30" t="s">
        <v>1540</v>
      </c>
      <c r="B21" s="38" t="s">
        <v>1541</v>
      </c>
      <c r="C21" s="38" t="s">
        <v>240</v>
      </c>
      <c r="D21" s="79" t="s">
        <v>127</v>
      </c>
      <c r="E21" s="79" t="s">
        <v>1539</v>
      </c>
      <c r="F21" s="88">
        <v>-500000</v>
      </c>
      <c r="G21" s="79">
        <v>0.61760000000000004</v>
      </c>
      <c r="H21" s="104">
        <v>-11.009589999999999</v>
      </c>
      <c r="I21" s="38" t="s">
        <v>240</v>
      </c>
      <c r="J21" s="38">
        <v>-3.9405235667636228E-2</v>
      </c>
      <c r="K21" s="38">
        <v>-4.2547993133165554E-5</v>
      </c>
      <c r="L21" s="28"/>
      <c r="M21" s="28"/>
      <c r="N21" s="28"/>
    </row>
    <row r="22" spans="1:14" x14ac:dyDescent="0.2">
      <c r="A22" s="30" t="s">
        <v>1510</v>
      </c>
      <c r="B22" s="38" t="s">
        <v>1511</v>
      </c>
      <c r="C22" s="38" t="s">
        <v>240</v>
      </c>
      <c r="D22" s="79" t="s">
        <v>127</v>
      </c>
      <c r="E22" s="79" t="s">
        <v>1512</v>
      </c>
      <c r="F22" s="88">
        <v>1047210</v>
      </c>
      <c r="G22" s="79">
        <v>2.2745000000000002</v>
      </c>
      <c r="H22" s="104">
        <v>84.91649000000001</v>
      </c>
      <c r="I22" s="38" t="s">
        <v>240</v>
      </c>
      <c r="J22" s="38">
        <v>0.30393087304054694</v>
      </c>
      <c r="K22" s="38">
        <v>3.281708250182361E-4</v>
      </c>
      <c r="L22" s="28"/>
      <c r="M22" s="28"/>
      <c r="N22" s="28"/>
    </row>
    <row r="23" spans="1:14" x14ac:dyDescent="0.2">
      <c r="A23" s="30" t="s">
        <v>1513</v>
      </c>
      <c r="B23" s="38" t="s">
        <v>1514</v>
      </c>
      <c r="C23" s="38" t="s">
        <v>240</v>
      </c>
      <c r="D23" s="79" t="s">
        <v>127</v>
      </c>
      <c r="E23" s="79" t="s">
        <v>1512</v>
      </c>
      <c r="F23" s="88">
        <v>-1047210</v>
      </c>
      <c r="G23" s="79">
        <v>0.38229999999999997</v>
      </c>
      <c r="H23" s="104">
        <v>-14.272860000000001</v>
      </c>
      <c r="I23" s="38" t="s">
        <v>240</v>
      </c>
      <c r="J23" s="38">
        <v>-5.1085046032702253E-2</v>
      </c>
      <c r="K23" s="38">
        <v>-5.5159324667915279E-5</v>
      </c>
      <c r="L23" s="28"/>
      <c r="M23" s="28"/>
      <c r="N23" s="28"/>
    </row>
    <row r="24" spans="1:14" x14ac:dyDescent="0.2">
      <c r="A24" s="30" t="s">
        <v>1526</v>
      </c>
      <c r="B24" s="38" t="s">
        <v>1528</v>
      </c>
      <c r="C24" s="38" t="s">
        <v>240</v>
      </c>
      <c r="D24" s="79" t="s">
        <v>127</v>
      </c>
      <c r="E24" s="79" t="s">
        <v>1529</v>
      </c>
      <c r="F24" s="88">
        <v>525000</v>
      </c>
      <c r="G24" s="79">
        <v>2.3109000000000002</v>
      </c>
      <c r="H24" s="104">
        <v>43.253190000000004</v>
      </c>
      <c r="I24" s="38" t="s">
        <v>240</v>
      </c>
      <c r="J24" s="38">
        <v>0.15481068280717508</v>
      </c>
      <c r="K24" s="38">
        <v>1.6715758090060621E-4</v>
      </c>
      <c r="L24" s="28"/>
      <c r="M24" s="28"/>
      <c r="N24" s="28"/>
    </row>
    <row r="25" spans="1:14" x14ac:dyDescent="0.2">
      <c r="A25" s="30" t="s">
        <v>1530</v>
      </c>
      <c r="B25" s="38" t="s">
        <v>1531</v>
      </c>
      <c r="C25" s="38" t="s">
        <v>240</v>
      </c>
      <c r="D25" s="79" t="s">
        <v>127</v>
      </c>
      <c r="E25" s="79" t="s">
        <v>1529</v>
      </c>
      <c r="F25" s="88">
        <v>-525000</v>
      </c>
      <c r="G25" s="79">
        <v>0.38090000000000002</v>
      </c>
      <c r="H25" s="104">
        <v>-7.1306599999999998</v>
      </c>
      <c r="I25" s="38" t="s">
        <v>240</v>
      </c>
      <c r="J25" s="38">
        <v>-2.5521871183739532E-2</v>
      </c>
      <c r="K25" s="38">
        <v>-2.7557363418159831E-5</v>
      </c>
      <c r="L25" s="28"/>
      <c r="M25" s="28"/>
      <c r="N25" s="28"/>
    </row>
    <row r="26" spans="1:14" x14ac:dyDescent="0.2">
      <c r="A26" s="30" t="s">
        <v>1532</v>
      </c>
      <c r="B26" s="38" t="s">
        <v>1533</v>
      </c>
      <c r="C26" s="38" t="s">
        <v>240</v>
      </c>
      <c r="D26" s="79" t="s">
        <v>127</v>
      </c>
      <c r="E26" s="79" t="s">
        <v>1534</v>
      </c>
      <c r="F26" s="88">
        <v>525000</v>
      </c>
      <c r="G26" s="79">
        <v>2.3306</v>
      </c>
      <c r="H26" s="104">
        <v>43.620519999999999</v>
      </c>
      <c r="I26" s="38" t="s">
        <v>240</v>
      </c>
      <c r="J26" s="38">
        <v>0.15612542070547944</v>
      </c>
      <c r="K26" s="38">
        <v>1.6857717548292994E-4</v>
      </c>
      <c r="L26" s="28"/>
      <c r="M26" s="28"/>
      <c r="N26" s="28"/>
    </row>
    <row r="27" spans="1:14" x14ac:dyDescent="0.2">
      <c r="A27" s="30" t="s">
        <v>1535</v>
      </c>
      <c r="B27" s="38" t="s">
        <v>1536</v>
      </c>
      <c r="C27" s="38" t="s">
        <v>240</v>
      </c>
      <c r="D27" s="79" t="s">
        <v>127</v>
      </c>
      <c r="E27" s="79" t="s">
        <v>1534</v>
      </c>
      <c r="F27" s="88">
        <v>-525000</v>
      </c>
      <c r="G27" s="79">
        <v>0.46810000000000002</v>
      </c>
      <c r="H27" s="104">
        <v>-8.7621800000000007</v>
      </c>
      <c r="I27" s="38" t="s">
        <v>240</v>
      </c>
      <c r="J27" s="38">
        <v>-3.1361364761289819E-2</v>
      </c>
      <c r="K27" s="38">
        <v>-3.3862584753070789E-5</v>
      </c>
      <c r="L27" s="28"/>
      <c r="M27" s="28"/>
      <c r="N27" s="28"/>
    </row>
    <row r="28" spans="1:14" s="138" customFormat="1" x14ac:dyDescent="0.2">
      <c r="A28" s="112" t="s">
        <v>1542</v>
      </c>
      <c r="B28" s="145" t="s">
        <v>240</v>
      </c>
      <c r="C28" s="145" t="s">
        <v>240</v>
      </c>
      <c r="D28" s="146" t="s">
        <v>240</v>
      </c>
      <c r="E28" s="146" t="s">
        <v>240</v>
      </c>
      <c r="F28" s="156" t="s">
        <v>240</v>
      </c>
      <c r="G28" s="146" t="s">
        <v>240</v>
      </c>
      <c r="H28" s="147">
        <v>0</v>
      </c>
      <c r="I28" s="145" t="s">
        <v>240</v>
      </c>
      <c r="J28" s="145">
        <v>0</v>
      </c>
      <c r="K28" s="145">
        <v>0</v>
      </c>
    </row>
    <row r="29" spans="1:14" s="138" customFormat="1" x14ac:dyDescent="0.2">
      <c r="A29" s="112" t="s">
        <v>1246</v>
      </c>
      <c r="B29" s="145" t="s">
        <v>240</v>
      </c>
      <c r="C29" s="145" t="s">
        <v>240</v>
      </c>
      <c r="D29" s="146" t="s">
        <v>240</v>
      </c>
      <c r="E29" s="146" t="s">
        <v>240</v>
      </c>
      <c r="F29" s="156" t="s">
        <v>240</v>
      </c>
      <c r="G29" s="146" t="s">
        <v>240</v>
      </c>
      <c r="H29" s="147">
        <v>0</v>
      </c>
      <c r="I29" s="145" t="s">
        <v>240</v>
      </c>
      <c r="J29" s="145">
        <v>0</v>
      </c>
      <c r="K29" s="145">
        <v>0</v>
      </c>
    </row>
    <row r="30" spans="1:14" s="138" customFormat="1" x14ac:dyDescent="0.2">
      <c r="A30" s="112" t="s">
        <v>144</v>
      </c>
      <c r="B30" s="145" t="s">
        <v>240</v>
      </c>
      <c r="C30" s="145" t="s">
        <v>240</v>
      </c>
      <c r="D30" s="146" t="s">
        <v>240</v>
      </c>
      <c r="E30" s="146" t="s">
        <v>240</v>
      </c>
      <c r="F30" s="156" t="s">
        <v>240</v>
      </c>
      <c r="G30" s="146" t="s">
        <v>240</v>
      </c>
      <c r="H30" s="147">
        <v>0</v>
      </c>
      <c r="I30" s="145" t="s">
        <v>240</v>
      </c>
      <c r="J30" s="145">
        <v>0</v>
      </c>
      <c r="K30" s="145">
        <v>0</v>
      </c>
    </row>
    <row r="31" spans="1:14" s="138" customFormat="1" x14ac:dyDescent="0.2">
      <c r="A31" s="112" t="s">
        <v>1543</v>
      </c>
      <c r="B31" s="145" t="s">
        <v>240</v>
      </c>
      <c r="C31" s="145" t="s">
        <v>240</v>
      </c>
      <c r="D31" s="146" t="s">
        <v>240</v>
      </c>
      <c r="E31" s="146" t="s">
        <v>240</v>
      </c>
      <c r="F31" s="156" t="s">
        <v>240</v>
      </c>
      <c r="G31" s="146" t="s">
        <v>240</v>
      </c>
      <c r="H31" s="147">
        <v>0</v>
      </c>
      <c r="I31" s="145" t="s">
        <v>240</v>
      </c>
      <c r="J31" s="145">
        <v>0</v>
      </c>
      <c r="K31" s="145">
        <v>0</v>
      </c>
    </row>
    <row r="32" spans="1:14" s="138" customFormat="1" x14ac:dyDescent="0.2">
      <c r="A32" s="112" t="s">
        <v>1232</v>
      </c>
      <c r="B32" s="145" t="s">
        <v>240</v>
      </c>
      <c r="C32" s="145" t="s">
        <v>240</v>
      </c>
      <c r="D32" s="146" t="s">
        <v>240</v>
      </c>
      <c r="E32" s="146" t="s">
        <v>240</v>
      </c>
      <c r="F32" s="156" t="s">
        <v>240</v>
      </c>
      <c r="G32" s="146" t="s">
        <v>240</v>
      </c>
      <c r="H32" s="147">
        <v>0</v>
      </c>
      <c r="I32" s="145" t="s">
        <v>240</v>
      </c>
      <c r="J32" s="145">
        <v>0</v>
      </c>
      <c r="K32" s="145">
        <v>0</v>
      </c>
    </row>
    <row r="33" spans="1:14" s="138" customFormat="1" x14ac:dyDescent="0.2">
      <c r="A33" s="112" t="s">
        <v>1277</v>
      </c>
      <c r="B33" s="145" t="s">
        <v>240</v>
      </c>
      <c r="C33" s="145" t="s">
        <v>240</v>
      </c>
      <c r="D33" s="146" t="s">
        <v>240</v>
      </c>
      <c r="E33" s="146" t="s">
        <v>240</v>
      </c>
      <c r="F33" s="156" t="s">
        <v>240</v>
      </c>
      <c r="G33" s="146" t="s">
        <v>240</v>
      </c>
      <c r="H33" s="147">
        <v>0</v>
      </c>
      <c r="I33" s="145" t="s">
        <v>240</v>
      </c>
      <c r="J33" s="145">
        <v>0</v>
      </c>
      <c r="K33" s="145">
        <v>0</v>
      </c>
    </row>
    <row r="34" spans="1:14" s="138" customFormat="1" x14ac:dyDescent="0.2">
      <c r="A34" s="112" t="s">
        <v>1246</v>
      </c>
      <c r="B34" s="145" t="s">
        <v>240</v>
      </c>
      <c r="C34" s="145" t="s">
        <v>240</v>
      </c>
      <c r="D34" s="146" t="s">
        <v>240</v>
      </c>
      <c r="E34" s="146" t="s">
        <v>240</v>
      </c>
      <c r="F34" s="156" t="s">
        <v>240</v>
      </c>
      <c r="G34" s="146" t="s">
        <v>240</v>
      </c>
      <c r="H34" s="147">
        <v>0</v>
      </c>
      <c r="I34" s="145" t="s">
        <v>240</v>
      </c>
      <c r="J34" s="145">
        <v>0</v>
      </c>
      <c r="K34" s="145">
        <v>0</v>
      </c>
    </row>
    <row r="35" spans="1:14" s="138" customFormat="1" x14ac:dyDescent="0.2">
      <c r="A35" s="112" t="s">
        <v>1278</v>
      </c>
      <c r="B35" s="145" t="s">
        <v>240</v>
      </c>
      <c r="C35" s="145" t="s">
        <v>240</v>
      </c>
      <c r="D35" s="146" t="s">
        <v>240</v>
      </c>
      <c r="E35" s="146" t="s">
        <v>240</v>
      </c>
      <c r="F35" s="156" t="s">
        <v>240</v>
      </c>
      <c r="G35" s="146" t="s">
        <v>240</v>
      </c>
      <c r="H35" s="147">
        <v>0</v>
      </c>
      <c r="I35" s="145" t="s">
        <v>240</v>
      </c>
      <c r="J35" s="145">
        <v>0</v>
      </c>
      <c r="K35" s="145">
        <v>0</v>
      </c>
    </row>
    <row r="36" spans="1:14" s="138" customFormat="1" x14ac:dyDescent="0.2">
      <c r="A36" s="202" t="s">
        <v>144</v>
      </c>
      <c r="B36" s="203" t="s">
        <v>240</v>
      </c>
      <c r="C36" s="203" t="s">
        <v>240</v>
      </c>
      <c r="D36" s="204" t="s">
        <v>240</v>
      </c>
      <c r="E36" s="204" t="s">
        <v>240</v>
      </c>
      <c r="F36" s="205" t="s">
        <v>240</v>
      </c>
      <c r="G36" s="204" t="s">
        <v>240</v>
      </c>
      <c r="H36" s="207">
        <v>0</v>
      </c>
      <c r="I36" s="203" t="s">
        <v>240</v>
      </c>
      <c r="J36" s="203">
        <v>0</v>
      </c>
      <c r="K36" s="203">
        <v>0</v>
      </c>
    </row>
    <row r="37" spans="1:14" s="138" customFormat="1" x14ac:dyDescent="0.2">
      <c r="A37" s="97" t="s">
        <v>231</v>
      </c>
      <c r="B37" s="148"/>
      <c r="C37" s="148"/>
      <c r="D37" s="149"/>
      <c r="E37" s="149"/>
      <c r="F37" s="149"/>
      <c r="G37" s="150"/>
      <c r="H37" s="151"/>
      <c r="I37" s="152"/>
      <c r="J37" s="152"/>
      <c r="K37" s="152"/>
      <c r="L37" s="169"/>
      <c r="M37" s="153"/>
      <c r="N37" s="153"/>
    </row>
    <row r="38" spans="1:14" s="138" customFormat="1" x14ac:dyDescent="0.2">
      <c r="A38" s="97" t="s">
        <v>232</v>
      </c>
      <c r="B38" s="148"/>
      <c r="C38" s="148"/>
      <c r="D38" s="149"/>
      <c r="E38" s="149"/>
      <c r="F38" s="149"/>
      <c r="G38" s="150"/>
      <c r="H38" s="151"/>
      <c r="I38" s="152"/>
      <c r="J38" s="152"/>
      <c r="K38" s="152"/>
      <c r="L38" s="169"/>
      <c r="M38" s="153"/>
      <c r="N38" s="153"/>
    </row>
    <row r="39" spans="1:14" s="138" customFormat="1" x14ac:dyDescent="0.2">
      <c r="A39" s="97" t="s">
        <v>233</v>
      </c>
      <c r="B39" s="148"/>
      <c r="C39" s="148"/>
      <c r="D39" s="149"/>
      <c r="E39" s="149"/>
      <c r="F39" s="149"/>
      <c r="G39" s="150"/>
      <c r="H39" s="151"/>
      <c r="I39" s="152"/>
      <c r="J39" s="152"/>
      <c r="K39" s="152"/>
      <c r="L39" s="169"/>
      <c r="M39" s="153"/>
      <c r="N39" s="153"/>
    </row>
    <row r="40" spans="1:14" s="138" customFormat="1" x14ac:dyDescent="0.2">
      <c r="A40" s="97" t="s">
        <v>234</v>
      </c>
      <c r="B40" s="148"/>
      <c r="C40" s="148"/>
      <c r="D40" s="149"/>
      <c r="E40" s="149"/>
      <c r="F40" s="149"/>
      <c r="G40" s="150"/>
      <c r="H40" s="151"/>
      <c r="I40" s="152"/>
      <c r="J40" s="152"/>
      <c r="K40" s="152"/>
      <c r="L40" s="169"/>
      <c r="M40" s="153"/>
      <c r="N40" s="153"/>
    </row>
    <row r="41" spans="1:14" s="138" customFormat="1" x14ac:dyDescent="0.2">
      <c r="A41" s="97" t="s">
        <v>235</v>
      </c>
      <c r="B41" s="148"/>
      <c r="C41" s="148"/>
      <c r="D41" s="149"/>
      <c r="E41" s="149"/>
      <c r="F41" s="149"/>
      <c r="G41" s="150"/>
      <c r="H41" s="151"/>
      <c r="I41" s="152"/>
      <c r="J41" s="152"/>
      <c r="K41" s="152"/>
      <c r="L41" s="169"/>
      <c r="M41" s="153"/>
      <c r="N41" s="153"/>
    </row>
  </sheetData>
  <mergeCells count="2">
    <mergeCell ref="A6:K6"/>
    <mergeCell ref="A5:K5"/>
  </mergeCells>
  <conditionalFormatting sqref="B11:E36 J11:K36">
    <cfRule type="expression" dxfId="66" priority="338" stopIfTrue="1">
      <formula>OR(LEFT(#REF!,3)="TIR",LEFT(#REF!,2)="IR")</formula>
    </cfRule>
  </conditionalFormatting>
  <conditionalFormatting sqref="A11:A36 H11:H36">
    <cfRule type="expression" dxfId="65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81E8-1AE4-4E85-BE25-98EEC9A18F74}">
  <sheetPr codeName="גיליון20">
    <pageSetUpPr fitToPage="1"/>
  </sheetPr>
  <dimension ref="A1:O208"/>
  <sheetViews>
    <sheetView rightToLeft="1" topLeftCell="A7" zoomScale="85" zoomScaleNormal="85" workbookViewId="0">
      <selection activeCell="A7" sqref="A7:J203"/>
    </sheetView>
  </sheetViews>
  <sheetFormatPr defaultRowHeight="12.75" x14ac:dyDescent="0.2"/>
  <cols>
    <col min="1" max="1" width="38.5703125" style="23" bestFit="1" customWidth="1"/>
    <col min="2" max="2" width="12.7109375" style="22" bestFit="1" customWidth="1"/>
    <col min="3" max="3" width="11.140625" style="23" customWidth="1"/>
    <col min="4" max="4" width="11.85546875" style="78" bestFit="1" customWidth="1"/>
    <col min="5" max="5" width="13.42578125" style="78" customWidth="1"/>
    <col min="6" max="6" width="13.5703125" style="78" bestFit="1" customWidth="1"/>
    <col min="7" max="7" width="7.7109375" style="50" bestFit="1" customWidth="1"/>
    <col min="8" max="8" width="9.85546875" style="80" bestFit="1" customWidth="1"/>
    <col min="9" max="9" width="24" style="80" customWidth="1"/>
    <col min="10" max="10" width="19.7109375" style="82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78"/>
      <c r="E1" s="78"/>
      <c r="F1" s="78"/>
      <c r="G1" s="50"/>
      <c r="H1" s="80"/>
      <c r="I1" s="80"/>
      <c r="J1" s="81"/>
      <c r="K1" s="27"/>
      <c r="L1" s="27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78"/>
      <c r="E2" s="78"/>
      <c r="F2" s="78"/>
      <c r="G2" s="50"/>
      <c r="H2" s="80"/>
      <c r="I2" s="80"/>
      <c r="J2" s="81"/>
      <c r="K2" s="27"/>
      <c r="L2" s="27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78"/>
      <c r="E3" s="78"/>
      <c r="F3" s="78"/>
      <c r="G3" s="50"/>
      <c r="H3" s="80"/>
      <c r="I3" s="80"/>
      <c r="J3" s="81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237</v>
      </c>
      <c r="C4" s="23"/>
      <c r="D4" s="78"/>
      <c r="E4" s="78"/>
      <c r="F4" s="78"/>
      <c r="G4" s="50"/>
      <c r="H4" s="80"/>
      <c r="I4" s="80"/>
      <c r="J4" s="81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06" t="s">
        <v>160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75</v>
      </c>
      <c r="J7" s="110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8" customFormat="1" ht="12.75" customHeight="1" thickBot="1" x14ac:dyDescent="0.25">
      <c r="A10" s="121" t="s">
        <v>62</v>
      </c>
      <c r="B10" s="86"/>
      <c r="C10" s="86"/>
      <c r="D10" s="122"/>
      <c r="E10" s="122"/>
      <c r="F10" s="123"/>
      <c r="G10" s="122"/>
      <c r="H10" s="124">
        <v>-4029.9901083026675</v>
      </c>
      <c r="I10" s="86">
        <v>1</v>
      </c>
      <c r="J10" s="101">
        <v>-1.5574421159624201E-2</v>
      </c>
    </row>
    <row r="11" spans="1:15" s="138" customFormat="1" x14ac:dyDescent="0.2">
      <c r="A11" s="111" t="s">
        <v>1544</v>
      </c>
      <c r="B11" s="141" t="s">
        <v>240</v>
      </c>
      <c r="C11" s="141" t="s">
        <v>240</v>
      </c>
      <c r="D11" s="142" t="s">
        <v>240</v>
      </c>
      <c r="E11" s="142" t="s">
        <v>240</v>
      </c>
      <c r="F11" s="154" t="s">
        <v>240</v>
      </c>
      <c r="G11" s="142" t="s">
        <v>240</v>
      </c>
      <c r="H11" s="143">
        <v>-3820.8724697647885</v>
      </c>
      <c r="I11" s="141">
        <v>0.94810963974649698</v>
      </c>
      <c r="J11" s="141">
        <v>-1.4766258834911521E-2</v>
      </c>
    </row>
    <row r="12" spans="1:15" s="138" customFormat="1" x14ac:dyDescent="0.2">
      <c r="A12" s="112" t="s">
        <v>1232</v>
      </c>
      <c r="B12" s="145" t="s">
        <v>240</v>
      </c>
      <c r="C12" s="145" t="s">
        <v>240</v>
      </c>
      <c r="D12" s="146" t="s">
        <v>240</v>
      </c>
      <c r="E12" s="146" t="s">
        <v>240</v>
      </c>
      <c r="F12" s="156" t="s">
        <v>240</v>
      </c>
      <c r="G12" s="146" t="s">
        <v>240</v>
      </c>
      <c r="H12" s="147">
        <v>0</v>
      </c>
      <c r="I12" s="145">
        <v>0</v>
      </c>
      <c r="J12" s="145">
        <v>0</v>
      </c>
    </row>
    <row r="13" spans="1:15" s="138" customFormat="1" x14ac:dyDescent="0.2">
      <c r="A13" s="112" t="s">
        <v>1246</v>
      </c>
      <c r="B13" s="145" t="s">
        <v>240</v>
      </c>
      <c r="C13" s="145" t="s">
        <v>240</v>
      </c>
      <c r="D13" s="146" t="s">
        <v>240</v>
      </c>
      <c r="E13" s="146" t="s">
        <v>240</v>
      </c>
      <c r="F13" s="156" t="s">
        <v>240</v>
      </c>
      <c r="G13" s="146" t="s">
        <v>240</v>
      </c>
      <c r="H13" s="147">
        <v>0</v>
      </c>
      <c r="I13" s="145">
        <v>0</v>
      </c>
      <c r="J13" s="145">
        <v>0</v>
      </c>
    </row>
    <row r="14" spans="1:15" s="138" customFormat="1" x14ac:dyDescent="0.2">
      <c r="A14" s="112" t="s">
        <v>1545</v>
      </c>
      <c r="B14" s="145" t="s">
        <v>240</v>
      </c>
      <c r="C14" s="145" t="s">
        <v>240</v>
      </c>
      <c r="D14" s="146" t="s">
        <v>240</v>
      </c>
      <c r="E14" s="146" t="s">
        <v>240</v>
      </c>
      <c r="F14" s="156" t="s">
        <v>240</v>
      </c>
      <c r="G14" s="146" t="s">
        <v>240</v>
      </c>
      <c r="H14" s="147">
        <v>0</v>
      </c>
      <c r="I14" s="145">
        <v>0</v>
      </c>
      <c r="J14" s="145">
        <v>0</v>
      </c>
    </row>
    <row r="15" spans="1:15" s="138" customFormat="1" x14ac:dyDescent="0.2">
      <c r="A15" s="112" t="s">
        <v>1542</v>
      </c>
      <c r="B15" s="145" t="s">
        <v>240</v>
      </c>
      <c r="C15" s="145" t="s">
        <v>240</v>
      </c>
      <c r="D15" s="146" t="s">
        <v>240</v>
      </c>
      <c r="E15" s="146" t="s">
        <v>240</v>
      </c>
      <c r="F15" s="156" t="s">
        <v>240</v>
      </c>
      <c r="G15" s="146" t="s">
        <v>240</v>
      </c>
      <c r="H15" s="147">
        <v>122.1146447381163</v>
      </c>
      <c r="I15" s="145">
        <v>-3.0301475054872521E-2</v>
      </c>
      <c r="J15" s="145">
        <v>4.7192793426243155E-4</v>
      </c>
    </row>
    <row r="16" spans="1:15" x14ac:dyDescent="0.2">
      <c r="A16" s="30" t="s">
        <v>1556</v>
      </c>
      <c r="B16" s="38" t="s">
        <v>1557</v>
      </c>
      <c r="C16" s="38" t="s">
        <v>203</v>
      </c>
      <c r="D16" s="79" t="s">
        <v>127</v>
      </c>
      <c r="E16" s="79" t="s">
        <v>1558</v>
      </c>
      <c r="F16" s="88">
        <v>210532.6811807648</v>
      </c>
      <c r="G16" s="79">
        <v>0.99970000000000003</v>
      </c>
      <c r="H16" s="104">
        <v>750.39364471773013</v>
      </c>
      <c r="I16" s="38">
        <v>-0.18620235398884821</v>
      </c>
      <c r="J16" s="38">
        <v>2.8999938819357536E-3</v>
      </c>
      <c r="K16" s="28"/>
      <c r="L16" s="28"/>
      <c r="M16" s="28"/>
      <c r="N16" s="28"/>
    </row>
    <row r="17" spans="1:14" x14ac:dyDescent="0.2">
      <c r="A17" s="30" t="s">
        <v>1559</v>
      </c>
      <c r="B17" s="38" t="s">
        <v>1560</v>
      </c>
      <c r="C17" s="38" t="s">
        <v>203</v>
      </c>
      <c r="D17" s="79" t="s">
        <v>128</v>
      </c>
      <c r="E17" s="79" t="s">
        <v>1558</v>
      </c>
      <c r="F17" s="88">
        <v>-187170.94027365863</v>
      </c>
      <c r="G17" s="79">
        <v>1.0036</v>
      </c>
      <c r="H17" s="104">
        <v>-732.70638219269949</v>
      </c>
      <c r="I17" s="38">
        <v>0.18181344432661581</v>
      </c>
      <c r="J17" s="38">
        <v>-2.831639154424602E-3</v>
      </c>
      <c r="K17" s="28"/>
      <c r="L17" s="28"/>
      <c r="M17" s="28"/>
      <c r="N17" s="28"/>
    </row>
    <row r="18" spans="1:14" x14ac:dyDescent="0.2">
      <c r="A18" s="30" t="s">
        <v>1556</v>
      </c>
      <c r="B18" s="38" t="s">
        <v>1570</v>
      </c>
      <c r="C18" s="38" t="s">
        <v>203</v>
      </c>
      <c r="D18" s="79" t="s">
        <v>127</v>
      </c>
      <c r="E18" s="79" t="s">
        <v>1568</v>
      </c>
      <c r="F18" s="88">
        <v>3001.3746458849996</v>
      </c>
      <c r="G18" s="79">
        <v>0.99970000000000003</v>
      </c>
      <c r="H18" s="104">
        <v>10.69768569681591</v>
      </c>
      <c r="I18" s="38">
        <v>-2.6545190954132417E-3</v>
      </c>
      <c r="J18" s="38">
        <v>4.1342598368230492E-5</v>
      </c>
      <c r="K18" s="28"/>
      <c r="L18" s="28"/>
      <c r="M18" s="28"/>
      <c r="N18" s="28"/>
    </row>
    <row r="19" spans="1:14" x14ac:dyDescent="0.2">
      <c r="A19" s="30" t="s">
        <v>1559</v>
      </c>
      <c r="B19" s="38" t="s">
        <v>1571</v>
      </c>
      <c r="C19" s="38" t="s">
        <v>203</v>
      </c>
      <c r="D19" s="79" t="s">
        <v>128</v>
      </c>
      <c r="E19" s="79" t="s">
        <v>1568</v>
      </c>
      <c r="F19" s="88">
        <v>-2725.7966087412583</v>
      </c>
      <c r="G19" s="79">
        <v>1.0036</v>
      </c>
      <c r="H19" s="104">
        <v>-10.670494924784434</v>
      </c>
      <c r="I19" s="38">
        <v>2.6477719890182516E-3</v>
      </c>
      <c r="J19" s="38">
        <v>-4.1237516091626119E-5</v>
      </c>
      <c r="K19" s="28"/>
      <c r="L19" s="28"/>
      <c r="M19" s="28"/>
      <c r="N19" s="28"/>
    </row>
    <row r="20" spans="1:14" x14ac:dyDescent="0.2">
      <c r="A20" s="30" t="s">
        <v>1556</v>
      </c>
      <c r="B20" s="38" t="s">
        <v>1575</v>
      </c>
      <c r="C20" s="38" t="s">
        <v>203</v>
      </c>
      <c r="D20" s="79" t="s">
        <v>127</v>
      </c>
      <c r="E20" s="79" t="s">
        <v>1576</v>
      </c>
      <c r="F20" s="88">
        <v>157134.25066658255</v>
      </c>
      <c r="G20" s="79">
        <v>0.99970000000000003</v>
      </c>
      <c r="H20" s="104">
        <v>560.06820575912332</v>
      </c>
      <c r="I20" s="38">
        <v>-0.13897508199964545</v>
      </c>
      <c r="J20" s="38">
        <v>2.1644564577557868E-3</v>
      </c>
      <c r="K20" s="28"/>
      <c r="L20" s="28"/>
      <c r="M20" s="28"/>
      <c r="N20" s="28"/>
    </row>
    <row r="21" spans="1:14" x14ac:dyDescent="0.2">
      <c r="A21" s="30" t="s">
        <v>1559</v>
      </c>
      <c r="B21" s="38" t="s">
        <v>1577</v>
      </c>
      <c r="C21" s="38" t="s">
        <v>203</v>
      </c>
      <c r="D21" s="79" t="s">
        <v>128</v>
      </c>
      <c r="E21" s="79" t="s">
        <v>1576</v>
      </c>
      <c r="F21" s="88">
        <v>-142628.89231785655</v>
      </c>
      <c r="G21" s="79">
        <v>1.0036</v>
      </c>
      <c r="H21" s="104">
        <v>-558.34096709981452</v>
      </c>
      <c r="I21" s="38">
        <v>0.13854648574682829</v>
      </c>
      <c r="J21" s="38">
        <v>-2.1577813192069752E-3</v>
      </c>
      <c r="K21" s="28"/>
      <c r="L21" s="28"/>
      <c r="M21" s="28"/>
      <c r="N21" s="28"/>
    </row>
    <row r="22" spans="1:14" x14ac:dyDescent="0.2">
      <c r="A22" s="30" t="s">
        <v>1546</v>
      </c>
      <c r="B22" s="38" t="s">
        <v>1547</v>
      </c>
      <c r="C22" s="38" t="s">
        <v>203</v>
      </c>
      <c r="D22" s="79" t="s">
        <v>127</v>
      </c>
      <c r="E22" s="79" t="s">
        <v>1548</v>
      </c>
      <c r="F22" s="88">
        <v>630181.77325241175</v>
      </c>
      <c r="G22" s="79">
        <v>1</v>
      </c>
      <c r="H22" s="104">
        <v>2246.6047614252293</v>
      </c>
      <c r="I22" s="38">
        <v>-0.55747153244786585</v>
      </c>
      <c r="J22" s="38">
        <v>8.6822964308441736E-3</v>
      </c>
      <c r="K22" s="28"/>
      <c r="L22" s="28"/>
      <c r="M22" s="28"/>
      <c r="N22" s="28"/>
    </row>
    <row r="23" spans="1:14" x14ac:dyDescent="0.2">
      <c r="A23" s="30" t="s">
        <v>1549</v>
      </c>
      <c r="B23" s="38" t="s">
        <v>1550</v>
      </c>
      <c r="C23" s="38" t="s">
        <v>203</v>
      </c>
      <c r="D23" s="79" t="s">
        <v>2</v>
      </c>
      <c r="E23" s="79" t="s">
        <v>1548</v>
      </c>
      <c r="F23" s="88">
        <v>-487153.50436952052</v>
      </c>
      <c r="G23" s="79">
        <v>0.99990000000000001</v>
      </c>
      <c r="H23" s="104">
        <v>-2142.7762619613895</v>
      </c>
      <c r="I23" s="38">
        <v>0.53170757356123477</v>
      </c>
      <c r="J23" s="38">
        <v>-8.281037684404538E-3</v>
      </c>
      <c r="K23" s="28"/>
      <c r="L23" s="28"/>
      <c r="M23" s="28"/>
      <c r="N23" s="28"/>
    </row>
    <row r="24" spans="1:14" x14ac:dyDescent="0.2">
      <c r="A24" s="30" t="s">
        <v>1551</v>
      </c>
      <c r="B24" s="38" t="s">
        <v>1552</v>
      </c>
      <c r="C24" s="38" t="s">
        <v>203</v>
      </c>
      <c r="D24" s="79" t="s">
        <v>289</v>
      </c>
      <c r="E24" s="79" t="s">
        <v>1553</v>
      </c>
      <c r="F24" s="88">
        <v>22979099.317876887</v>
      </c>
      <c r="G24" s="79">
        <v>1.0024999999999999</v>
      </c>
      <c r="H24" s="104">
        <v>755.37881310876628</v>
      </c>
      <c r="I24" s="38">
        <v>-0.18743937151421775</v>
      </c>
      <c r="J24" s="38">
        <v>2.9192597138576947E-3</v>
      </c>
      <c r="K24" s="28"/>
      <c r="L24" s="28"/>
      <c r="M24" s="28"/>
      <c r="N24" s="28"/>
    </row>
    <row r="25" spans="1:14" x14ac:dyDescent="0.2">
      <c r="A25" s="30" t="s">
        <v>1554</v>
      </c>
      <c r="B25" s="38" t="s">
        <v>1555</v>
      </c>
      <c r="C25" s="38" t="s">
        <v>203</v>
      </c>
      <c r="D25" s="79" t="s">
        <v>127</v>
      </c>
      <c r="E25" s="79" t="s">
        <v>1553</v>
      </c>
      <c r="F25" s="88">
        <v>-212127.16420557737</v>
      </c>
      <c r="G25" s="79">
        <v>0.99980000000000002</v>
      </c>
      <c r="H25" s="104">
        <v>-756.14032366164679</v>
      </c>
      <c r="I25" s="38">
        <v>0.18762833241298313</v>
      </c>
      <c r="J25" s="38">
        <v>-2.922202670477768E-3</v>
      </c>
      <c r="K25" s="28"/>
      <c r="L25" s="28"/>
      <c r="M25" s="28"/>
      <c r="N25" s="28"/>
    </row>
    <row r="26" spans="1:14" x14ac:dyDescent="0.2">
      <c r="A26" s="30" t="s">
        <v>1546</v>
      </c>
      <c r="B26" s="38" t="s">
        <v>1561</v>
      </c>
      <c r="C26" s="38" t="s">
        <v>203</v>
      </c>
      <c r="D26" s="79" t="s">
        <v>127</v>
      </c>
      <c r="E26" s="79" t="s">
        <v>1562</v>
      </c>
      <c r="F26" s="88">
        <v>28569.629427344527</v>
      </c>
      <c r="G26" s="79">
        <v>1</v>
      </c>
      <c r="H26" s="104">
        <v>101.85103441707057</v>
      </c>
      <c r="I26" s="38">
        <v>-2.5273271566407816E-2</v>
      </c>
      <c r="J26" s="38">
        <v>3.9361657545679057E-4</v>
      </c>
      <c r="K26" s="28"/>
      <c r="L26" s="28"/>
      <c r="M26" s="28"/>
      <c r="N26" s="28"/>
    </row>
    <row r="27" spans="1:14" x14ac:dyDescent="0.2">
      <c r="A27" s="30" t="s">
        <v>1549</v>
      </c>
      <c r="B27" s="38" t="s">
        <v>1563</v>
      </c>
      <c r="C27" s="38" t="s">
        <v>203</v>
      </c>
      <c r="D27" s="79" t="s">
        <v>2</v>
      </c>
      <c r="E27" s="79" t="s">
        <v>1562</v>
      </c>
      <c r="F27" s="88">
        <v>-21714.06486740684</v>
      </c>
      <c r="G27" s="79">
        <v>0.99990000000000001</v>
      </c>
      <c r="H27" s="104">
        <v>-95.510721633062516</v>
      </c>
      <c r="I27" s="38">
        <v>2.3699989098308054E-2</v>
      </c>
      <c r="J27" s="38">
        <v>-3.6911361169555186E-4</v>
      </c>
      <c r="K27" s="28"/>
      <c r="L27" s="28"/>
      <c r="M27" s="28"/>
      <c r="N27" s="28"/>
    </row>
    <row r="28" spans="1:14" x14ac:dyDescent="0.2">
      <c r="A28" s="30" t="s">
        <v>1546</v>
      </c>
      <c r="B28" s="38" t="s">
        <v>1564</v>
      </c>
      <c r="C28" s="38" t="s">
        <v>203</v>
      </c>
      <c r="D28" s="79" t="s">
        <v>127</v>
      </c>
      <c r="E28" s="79" t="s">
        <v>1565</v>
      </c>
      <c r="F28" s="88">
        <v>9256.05558019821</v>
      </c>
      <c r="G28" s="79">
        <v>1</v>
      </c>
      <c r="H28" s="104">
        <v>32.997937104330084</v>
      </c>
      <c r="I28" s="38">
        <v>-8.1880938209617591E-3</v>
      </c>
      <c r="J28" s="38">
        <v>1.2752482166217499E-4</v>
      </c>
      <c r="K28" s="28"/>
      <c r="L28" s="28"/>
      <c r="M28" s="28"/>
      <c r="N28" s="28"/>
    </row>
    <row r="29" spans="1:14" x14ac:dyDescent="0.2">
      <c r="A29" s="30" t="s">
        <v>1549</v>
      </c>
      <c r="B29" s="38" t="s">
        <v>1566</v>
      </c>
      <c r="C29" s="38" t="s">
        <v>203</v>
      </c>
      <c r="D29" s="79" t="s">
        <v>2</v>
      </c>
      <c r="E29" s="79" t="s">
        <v>1565</v>
      </c>
      <c r="F29" s="88">
        <v>-7109.2148726799278</v>
      </c>
      <c r="G29" s="79">
        <v>0.99990000000000001</v>
      </c>
      <c r="H29" s="104">
        <v>-31.270342336581155</v>
      </c>
      <c r="I29" s="38">
        <v>7.7594092035504899E-3</v>
      </c>
      <c r="J29" s="38">
        <v>-1.2084830688595952E-4</v>
      </c>
      <c r="K29" s="28"/>
      <c r="L29" s="28"/>
      <c r="M29" s="28"/>
      <c r="N29" s="28"/>
    </row>
    <row r="30" spans="1:14" x14ac:dyDescent="0.2">
      <c r="A30" s="30" t="s">
        <v>1556</v>
      </c>
      <c r="B30" s="38" t="s">
        <v>1567</v>
      </c>
      <c r="C30" s="38" t="s">
        <v>203</v>
      </c>
      <c r="D30" s="79" t="s">
        <v>127</v>
      </c>
      <c r="E30" s="79" t="s">
        <v>1568</v>
      </c>
      <c r="F30" s="88">
        <v>49754.662796161072</v>
      </c>
      <c r="G30" s="79">
        <v>0.99970000000000003</v>
      </c>
      <c r="H30" s="104">
        <v>177.33865615027969</v>
      </c>
      <c r="I30" s="38">
        <v>-4.4004737327995661E-2</v>
      </c>
      <c r="J30" s="38">
        <v>6.8534831216484065E-4</v>
      </c>
      <c r="K30" s="28"/>
      <c r="L30" s="28"/>
      <c r="M30" s="28"/>
      <c r="N30" s="28"/>
    </row>
    <row r="31" spans="1:14" x14ac:dyDescent="0.2">
      <c r="A31" s="30" t="s">
        <v>1559</v>
      </c>
      <c r="B31" s="38" t="s">
        <v>1569</v>
      </c>
      <c r="C31" s="38" t="s">
        <v>203</v>
      </c>
      <c r="D31" s="79" t="s">
        <v>128</v>
      </c>
      <c r="E31" s="79" t="s">
        <v>1568</v>
      </c>
      <c r="F31" s="88">
        <v>-45165.815900654568</v>
      </c>
      <c r="G31" s="79">
        <v>1.0036</v>
      </c>
      <c r="H31" s="104">
        <v>-176.80762057535492</v>
      </c>
      <c r="I31" s="38">
        <v>4.3872966390436606E-2</v>
      </c>
      <c r="J31" s="38">
        <v>-6.8329605608669736E-4</v>
      </c>
      <c r="K31" s="28"/>
      <c r="L31" s="28"/>
      <c r="M31" s="28"/>
      <c r="N31" s="28"/>
    </row>
    <row r="32" spans="1:14" x14ac:dyDescent="0.2">
      <c r="A32" s="30" t="s">
        <v>1559</v>
      </c>
      <c r="B32" s="38" t="s">
        <v>1572</v>
      </c>
      <c r="C32" s="38" t="s">
        <v>203</v>
      </c>
      <c r="D32" s="79" t="s">
        <v>128</v>
      </c>
      <c r="E32" s="79" t="s">
        <v>1573</v>
      </c>
      <c r="F32" s="88">
        <v>78352.411116454794</v>
      </c>
      <c r="G32" s="79">
        <v>1.0036</v>
      </c>
      <c r="H32" s="104">
        <v>306.72067577978891</v>
      </c>
      <c r="I32" s="38">
        <v>-7.610953564076417E-2</v>
      </c>
      <c r="J32" s="38">
        <v>1.1853619623326897E-3</v>
      </c>
      <c r="K32" s="28"/>
      <c r="L32" s="28"/>
      <c r="M32" s="28"/>
      <c r="N32" s="28"/>
    </row>
    <row r="33" spans="1:14" x14ac:dyDescent="0.2">
      <c r="A33" s="30" t="s">
        <v>1556</v>
      </c>
      <c r="B33" s="38" t="s">
        <v>1574</v>
      </c>
      <c r="C33" s="38" t="s">
        <v>203</v>
      </c>
      <c r="D33" s="79" t="s">
        <v>127</v>
      </c>
      <c r="E33" s="79" t="s">
        <v>1573</v>
      </c>
      <c r="F33" s="88">
        <v>-85486.398148608016</v>
      </c>
      <c r="G33" s="79">
        <v>0.99970000000000003</v>
      </c>
      <c r="H33" s="104">
        <v>-304.69592426938681</v>
      </c>
      <c r="I33" s="38">
        <v>7.5607114677935822E-2</v>
      </c>
      <c r="J33" s="38">
        <v>-1.1775370466581773E-3</v>
      </c>
      <c r="K33" s="28"/>
      <c r="L33" s="28"/>
      <c r="M33" s="28"/>
      <c r="N33" s="28"/>
    </row>
    <row r="34" spans="1:14" x14ac:dyDescent="0.2">
      <c r="A34" s="30" t="s">
        <v>1546</v>
      </c>
      <c r="B34" s="38" t="s">
        <v>1578</v>
      </c>
      <c r="C34" s="38" t="s">
        <v>203</v>
      </c>
      <c r="D34" s="79" t="s">
        <v>127</v>
      </c>
      <c r="E34" s="79" t="s">
        <v>1579</v>
      </c>
      <c r="F34" s="88">
        <v>3007.5573007051175</v>
      </c>
      <c r="G34" s="79">
        <v>1</v>
      </c>
      <c r="H34" s="104">
        <v>10.721973927619773</v>
      </c>
      <c r="I34" s="38">
        <v>-2.6605459664851643E-3</v>
      </c>
      <c r="J34" s="38">
        <v>4.143646339657937E-5</v>
      </c>
      <c r="K34" s="28"/>
      <c r="L34" s="28"/>
      <c r="M34" s="28"/>
      <c r="N34" s="28"/>
    </row>
    <row r="35" spans="1:14" x14ac:dyDescent="0.2">
      <c r="A35" s="30" t="s">
        <v>1549</v>
      </c>
      <c r="B35" s="38" t="s">
        <v>1580</v>
      </c>
      <c r="C35" s="38" t="s">
        <v>203</v>
      </c>
      <c r="D35" s="79" t="s">
        <v>2</v>
      </c>
      <c r="E35" s="79" t="s">
        <v>1579</v>
      </c>
      <c r="F35" s="88">
        <v>-2350.5723334936438</v>
      </c>
      <c r="G35" s="79">
        <v>0.99990000000000001</v>
      </c>
      <c r="H35" s="104">
        <v>-10.339144725959004</v>
      </c>
      <c r="I35" s="38">
        <v>2.5655508941965113E-3</v>
      </c>
      <c r="J35" s="38">
        <v>-3.9956970132666937E-5</v>
      </c>
      <c r="K35" s="28"/>
      <c r="L35" s="28"/>
      <c r="M35" s="28"/>
      <c r="N35" s="28"/>
    </row>
    <row r="36" spans="1:14" x14ac:dyDescent="0.2">
      <c r="A36" s="30" t="s">
        <v>1556</v>
      </c>
      <c r="B36" s="38" t="s">
        <v>1581</v>
      </c>
      <c r="C36" s="38" t="s">
        <v>203</v>
      </c>
      <c r="D36" s="79" t="s">
        <v>127</v>
      </c>
      <c r="E36" s="79" t="s">
        <v>1579</v>
      </c>
      <c r="F36" s="88">
        <v>7896.4421799685424</v>
      </c>
      <c r="G36" s="79">
        <v>0.99970000000000003</v>
      </c>
      <c r="H36" s="104">
        <v>28.145017287642631</v>
      </c>
      <c r="I36" s="38">
        <v>-6.9838923995514755E-3</v>
      </c>
      <c r="J36" s="38">
        <v>1.0877008156411315E-4</v>
      </c>
      <c r="K36" s="28"/>
      <c r="L36" s="28"/>
      <c r="M36" s="28"/>
      <c r="N36" s="28"/>
    </row>
    <row r="37" spans="1:14" x14ac:dyDescent="0.2">
      <c r="A37" s="30" t="s">
        <v>1559</v>
      </c>
      <c r="B37" s="38" t="s">
        <v>1582</v>
      </c>
      <c r="C37" s="38" t="s">
        <v>203</v>
      </c>
      <c r="D37" s="79" t="s">
        <v>128</v>
      </c>
      <c r="E37" s="79" t="s">
        <v>1579</v>
      </c>
      <c r="F37" s="88">
        <v>-7051.7170004809323</v>
      </c>
      <c r="G37" s="79">
        <v>1.0036</v>
      </c>
      <c r="H37" s="104">
        <v>-27.604915783352702</v>
      </c>
      <c r="I37" s="38">
        <v>6.8498718462063945E-3</v>
      </c>
      <c r="J37" s="38">
        <v>-1.0668278902227097E-4</v>
      </c>
      <c r="K37" s="28"/>
      <c r="L37" s="28"/>
      <c r="M37" s="28"/>
      <c r="N37" s="28"/>
    </row>
    <row r="38" spans="1:14" x14ac:dyDescent="0.2">
      <c r="A38" s="30" t="s">
        <v>1556</v>
      </c>
      <c r="B38" s="38" t="s">
        <v>1583</v>
      </c>
      <c r="C38" s="38" t="s">
        <v>203</v>
      </c>
      <c r="D38" s="79" t="s">
        <v>127</v>
      </c>
      <c r="E38" s="79" t="s">
        <v>1539</v>
      </c>
      <c r="F38" s="88">
        <v>8797.4087201555449</v>
      </c>
      <c r="G38" s="79">
        <v>0.99970000000000003</v>
      </c>
      <c r="H38" s="104">
        <v>31.356269963274229</v>
      </c>
      <c r="I38" s="38">
        <v>-7.7807312476210313E-3</v>
      </c>
      <c r="J38" s="38">
        <v>1.211803853802982E-4</v>
      </c>
      <c r="K38" s="28"/>
      <c r="L38" s="28"/>
      <c r="M38" s="28"/>
      <c r="N38" s="28"/>
    </row>
    <row r="39" spans="1:14" x14ac:dyDescent="0.2">
      <c r="A39" s="30" t="s">
        <v>1559</v>
      </c>
      <c r="B39" s="38" t="s">
        <v>1584</v>
      </c>
      <c r="C39" s="38" t="s">
        <v>203</v>
      </c>
      <c r="D39" s="79" t="s">
        <v>128</v>
      </c>
      <c r="E39" s="79" t="s">
        <v>1539</v>
      </c>
      <c r="F39" s="88">
        <v>-7835.2411116454796</v>
      </c>
      <c r="G39" s="79">
        <v>1.0036</v>
      </c>
      <c r="H39" s="104">
        <v>-30.672037004868077</v>
      </c>
      <c r="I39" s="38">
        <v>7.6109459776779404E-3</v>
      </c>
      <c r="J39" s="38">
        <v>-1.1853607807950402E-4</v>
      </c>
      <c r="K39" s="28"/>
      <c r="L39" s="28"/>
      <c r="M39" s="28"/>
      <c r="N39" s="28"/>
    </row>
    <row r="40" spans="1:14" x14ac:dyDescent="0.2">
      <c r="A40" s="30" t="s">
        <v>1546</v>
      </c>
      <c r="B40" s="38" t="s">
        <v>1585</v>
      </c>
      <c r="C40" s="38" t="s">
        <v>203</v>
      </c>
      <c r="D40" s="79" t="s">
        <v>127</v>
      </c>
      <c r="E40" s="79" t="s">
        <v>1539</v>
      </c>
      <c r="F40" s="88">
        <v>1093.6032558085105</v>
      </c>
      <c r="G40" s="79">
        <v>1</v>
      </c>
      <c r="H40" s="104">
        <v>3.8987072762431021</v>
      </c>
      <c r="I40" s="38">
        <v>-9.6742353491411953E-4</v>
      </c>
      <c r="J40" s="38">
        <v>1.5067061572484905E-5</v>
      </c>
      <c r="K40" s="28"/>
      <c r="L40" s="28"/>
      <c r="M40" s="28"/>
      <c r="N40" s="28"/>
    </row>
    <row r="41" spans="1:14" x14ac:dyDescent="0.2">
      <c r="A41" s="30" t="s">
        <v>1549</v>
      </c>
      <c r="B41" s="38" t="s">
        <v>1586</v>
      </c>
      <c r="C41" s="38" t="s">
        <v>203</v>
      </c>
      <c r="D41" s="79" t="s">
        <v>2</v>
      </c>
      <c r="E41" s="79" t="s">
        <v>1539</v>
      </c>
      <c r="F41" s="88">
        <v>-856.65302820657246</v>
      </c>
      <c r="G41" s="79">
        <v>0.99990000000000001</v>
      </c>
      <c r="H41" s="104">
        <v>-3.7680438180736795</v>
      </c>
      <c r="I41" s="38">
        <v>9.350007609970751E-4</v>
      </c>
      <c r="J41" s="38">
        <v>-1.4562095636337578E-5</v>
      </c>
      <c r="K41" s="28"/>
      <c r="L41" s="28"/>
      <c r="M41" s="28"/>
      <c r="N41" s="28"/>
    </row>
    <row r="42" spans="1:14" x14ac:dyDescent="0.2">
      <c r="A42" s="30" t="s">
        <v>1546</v>
      </c>
      <c r="B42" s="38" t="s">
        <v>1587</v>
      </c>
      <c r="C42" s="38" t="s">
        <v>203</v>
      </c>
      <c r="D42" s="79" t="s">
        <v>127</v>
      </c>
      <c r="E42" s="79" t="s">
        <v>1588</v>
      </c>
      <c r="F42" s="88">
        <v>7104.0172349011655</v>
      </c>
      <c r="G42" s="79">
        <v>1</v>
      </c>
      <c r="H42" s="104">
        <v>25.325897378967763</v>
      </c>
      <c r="I42" s="38">
        <v>-6.2843572064335421E-3</v>
      </c>
      <c r="J42" s="38">
        <v>9.7875225850515407E-5</v>
      </c>
      <c r="K42" s="28"/>
      <c r="L42" s="28"/>
      <c r="M42" s="28"/>
      <c r="N42" s="28"/>
    </row>
    <row r="43" spans="1:14" x14ac:dyDescent="0.2">
      <c r="A43" s="30" t="s">
        <v>1549</v>
      </c>
      <c r="B43" s="38" t="s">
        <v>1589</v>
      </c>
      <c r="C43" s="38" t="s">
        <v>203</v>
      </c>
      <c r="D43" s="79" t="s">
        <v>2</v>
      </c>
      <c r="E43" s="79" t="s">
        <v>1588</v>
      </c>
      <c r="F43" s="88">
        <v>-5484.6687781518358</v>
      </c>
      <c r="G43" s="79">
        <v>0.99990000000000001</v>
      </c>
      <c r="H43" s="104">
        <v>-24.124671079472616</v>
      </c>
      <c r="I43" s="38">
        <v>5.9862854327534147E-3</v>
      </c>
      <c r="J43" s="38">
        <v>-9.3232930511424902E-5</v>
      </c>
      <c r="K43" s="28"/>
      <c r="L43" s="28"/>
      <c r="M43" s="28"/>
      <c r="N43" s="28"/>
    </row>
    <row r="44" spans="1:14" x14ac:dyDescent="0.2">
      <c r="A44" s="30" t="s">
        <v>1556</v>
      </c>
      <c r="B44" s="38" t="s">
        <v>1590</v>
      </c>
      <c r="C44" s="38" t="s">
        <v>203</v>
      </c>
      <c r="D44" s="79" t="s">
        <v>127</v>
      </c>
      <c r="E44" s="79" t="s">
        <v>1588</v>
      </c>
      <c r="F44" s="88">
        <v>10099.155678444326</v>
      </c>
      <c r="G44" s="79">
        <v>0.99970000000000003</v>
      </c>
      <c r="H44" s="104">
        <v>35.996037269013449</v>
      </c>
      <c r="I44" s="38">
        <v>-8.9320410972854938E-3</v>
      </c>
      <c r="J44" s="38">
        <v>1.3911136986419619E-4</v>
      </c>
      <c r="K44" s="28"/>
      <c r="L44" s="28"/>
      <c r="M44" s="28"/>
      <c r="N44" s="28"/>
    </row>
    <row r="45" spans="1:14" x14ac:dyDescent="0.2">
      <c r="A45" s="30" t="s">
        <v>1559</v>
      </c>
      <c r="B45" s="38" t="s">
        <v>1591</v>
      </c>
      <c r="C45" s="38" t="s">
        <v>203</v>
      </c>
      <c r="D45" s="79" t="s">
        <v>128</v>
      </c>
      <c r="E45" s="79" t="s">
        <v>1588</v>
      </c>
      <c r="F45" s="88">
        <v>-8879.9399265315442</v>
      </c>
      <c r="G45" s="79">
        <v>1.0036</v>
      </c>
      <c r="H45" s="104">
        <v>-34.761745834147632</v>
      </c>
      <c r="I45" s="38">
        <v>8.6257645552357005E-3</v>
      </c>
      <c r="J45" s="38">
        <v>-1.3434129000699932E-4</v>
      </c>
      <c r="K45" s="28"/>
      <c r="L45" s="28"/>
      <c r="M45" s="28"/>
      <c r="N45" s="28"/>
    </row>
    <row r="46" spans="1:14" x14ac:dyDescent="0.2">
      <c r="A46" s="30" t="s">
        <v>1559</v>
      </c>
      <c r="B46" s="38" t="s">
        <v>1592</v>
      </c>
      <c r="C46" s="38" t="s">
        <v>203</v>
      </c>
      <c r="D46" s="79" t="s">
        <v>128</v>
      </c>
      <c r="E46" s="79" t="s">
        <v>1593</v>
      </c>
      <c r="F46" s="88">
        <v>659000</v>
      </c>
      <c r="G46" s="79">
        <v>1.0036</v>
      </c>
      <c r="H46" s="104">
        <v>2579.7486800000001</v>
      </c>
      <c r="I46" s="38">
        <v>-0.64013772011130976</v>
      </c>
      <c r="J46" s="38">
        <v>9.9697744531751786E-3</v>
      </c>
      <c r="K46" s="28"/>
      <c r="L46" s="28"/>
      <c r="M46" s="28"/>
      <c r="N46" s="28"/>
    </row>
    <row r="47" spans="1:14" x14ac:dyDescent="0.2">
      <c r="A47" s="30" t="s">
        <v>1556</v>
      </c>
      <c r="B47" s="38" t="s">
        <v>1594</v>
      </c>
      <c r="C47" s="38" t="s">
        <v>203</v>
      </c>
      <c r="D47" s="79" t="s">
        <v>127</v>
      </c>
      <c r="E47" s="79" t="s">
        <v>1593</v>
      </c>
      <c r="F47" s="88">
        <v>-727997.3</v>
      </c>
      <c r="G47" s="79">
        <v>0.99970000000000003</v>
      </c>
      <c r="H47" s="104">
        <v>-2594.7731400000002</v>
      </c>
      <c r="I47" s="38">
        <v>0.6438658831082974</v>
      </c>
      <c r="J47" s="38">
        <v>-1.0027838433841991E-2</v>
      </c>
      <c r="K47" s="28"/>
      <c r="L47" s="28"/>
      <c r="M47" s="28"/>
      <c r="N47" s="28"/>
    </row>
    <row r="48" spans="1:14" x14ac:dyDescent="0.2">
      <c r="A48" s="30" t="s">
        <v>1549</v>
      </c>
      <c r="B48" s="38" t="s">
        <v>1595</v>
      </c>
      <c r="C48" s="38" t="s">
        <v>203</v>
      </c>
      <c r="D48" s="79" t="s">
        <v>2</v>
      </c>
      <c r="E48" s="79" t="s">
        <v>1596</v>
      </c>
      <c r="F48" s="88">
        <v>524647.74483578128</v>
      </c>
      <c r="G48" s="79">
        <v>0.99990000000000001</v>
      </c>
      <c r="H48" s="104">
        <v>2307.6971086739159</v>
      </c>
      <c r="I48" s="38">
        <v>-0.5726309610337631</v>
      </c>
      <c r="J48" s="38">
        <v>8.9183957561801835E-3</v>
      </c>
      <c r="K48" s="28"/>
      <c r="L48" s="28"/>
      <c r="M48" s="28"/>
      <c r="N48" s="28"/>
    </row>
    <row r="49" spans="1:14" x14ac:dyDescent="0.2">
      <c r="A49" s="30" t="s">
        <v>1546</v>
      </c>
      <c r="B49" s="38" t="s">
        <v>1597</v>
      </c>
      <c r="C49" s="38" t="s">
        <v>203</v>
      </c>
      <c r="D49" s="79" t="s">
        <v>127</v>
      </c>
      <c r="E49" s="79" t="s">
        <v>1596</v>
      </c>
      <c r="F49" s="88">
        <v>-649776.23197911517</v>
      </c>
      <c r="G49" s="79">
        <v>1</v>
      </c>
      <c r="H49" s="104">
        <v>-2316.4592163420621</v>
      </c>
      <c r="I49" s="38">
        <v>0.57480518663548219</v>
      </c>
      <c r="J49" s="38">
        <v>-8.9522580613973935E-3</v>
      </c>
      <c r="K49" s="28"/>
      <c r="L49" s="28"/>
      <c r="M49" s="28"/>
      <c r="N49" s="28"/>
    </row>
    <row r="50" spans="1:14" x14ac:dyDescent="0.2">
      <c r="A50" s="30" t="s">
        <v>1598</v>
      </c>
      <c r="B50" s="38" t="s">
        <v>1599</v>
      </c>
      <c r="C50" s="38" t="s">
        <v>203</v>
      </c>
      <c r="D50" s="79" t="s">
        <v>127</v>
      </c>
      <c r="E50" s="79" t="s">
        <v>1596</v>
      </c>
      <c r="F50" s="88">
        <v>650951.44292754738</v>
      </c>
      <c r="G50" s="79">
        <v>0.99970000000000003</v>
      </c>
      <c r="H50" s="104">
        <v>2319.9480220915557</v>
      </c>
      <c r="I50" s="38">
        <v>-0.57567089738308586</v>
      </c>
      <c r="J50" s="38">
        <v>8.9657410051829835E-3</v>
      </c>
      <c r="K50" s="28"/>
      <c r="L50" s="28"/>
      <c r="M50" s="28"/>
      <c r="N50" s="28"/>
    </row>
    <row r="51" spans="1:14" x14ac:dyDescent="0.2">
      <c r="A51" s="30" t="s">
        <v>1600</v>
      </c>
      <c r="B51" s="38" t="s">
        <v>1601</v>
      </c>
      <c r="C51" s="38" t="s">
        <v>203</v>
      </c>
      <c r="D51" s="79" t="s">
        <v>2</v>
      </c>
      <c r="E51" s="79" t="s">
        <v>1596</v>
      </c>
      <c r="F51" s="88">
        <v>-524647.74483578128</v>
      </c>
      <c r="G51" s="79">
        <v>1.0015000000000001</v>
      </c>
      <c r="H51" s="104">
        <v>-2311.3525301465943</v>
      </c>
      <c r="I51" s="38">
        <v>0.57353801573475294</v>
      </c>
      <c r="J51" s="38">
        <v>-8.9325226081082149E-3</v>
      </c>
      <c r="K51" s="28"/>
      <c r="L51" s="28"/>
      <c r="M51" s="28"/>
      <c r="N51" s="28"/>
    </row>
    <row r="52" spans="1:14" s="138" customFormat="1" x14ac:dyDescent="0.2">
      <c r="A52" s="112" t="s">
        <v>1509</v>
      </c>
      <c r="B52" s="145" t="s">
        <v>240</v>
      </c>
      <c r="C52" s="145" t="s">
        <v>240</v>
      </c>
      <c r="D52" s="146" t="s">
        <v>240</v>
      </c>
      <c r="E52" s="146" t="s">
        <v>240</v>
      </c>
      <c r="F52" s="156" t="s">
        <v>240</v>
      </c>
      <c r="G52" s="146" t="s">
        <v>240</v>
      </c>
      <c r="H52" s="147">
        <v>-3942.9871148029019</v>
      </c>
      <c r="I52" s="145">
        <v>0.97841111487581067</v>
      </c>
      <c r="J52" s="145">
        <v>-1.5238186770333331E-2</v>
      </c>
    </row>
    <row r="53" spans="1:14" x14ac:dyDescent="0.2">
      <c r="A53" s="30" t="s">
        <v>1631</v>
      </c>
      <c r="B53" s="38" t="s">
        <v>1632</v>
      </c>
      <c r="C53" s="38" t="s">
        <v>203</v>
      </c>
      <c r="D53" s="79" t="s">
        <v>247</v>
      </c>
      <c r="E53" s="79" t="s">
        <v>1534</v>
      </c>
      <c r="F53" s="88">
        <v>10663535</v>
      </c>
      <c r="G53" s="79">
        <v>1.0022</v>
      </c>
      <c r="H53" s="104">
        <v>10687.28269</v>
      </c>
      <c r="I53" s="38">
        <v>-2.6519376978077047</v>
      </c>
      <c r="J53" s="38">
        <v>4.1302394594741415E-2</v>
      </c>
      <c r="K53" s="28"/>
      <c r="L53" s="28"/>
      <c r="M53" s="28"/>
      <c r="N53" s="28"/>
    </row>
    <row r="54" spans="1:14" x14ac:dyDescent="0.2">
      <c r="A54" s="30" t="s">
        <v>1633</v>
      </c>
      <c r="B54" s="38" t="s">
        <v>1634</v>
      </c>
      <c r="C54" s="38" t="s">
        <v>203</v>
      </c>
      <c r="D54" s="79" t="s">
        <v>127</v>
      </c>
      <c r="E54" s="79" t="s">
        <v>1534</v>
      </c>
      <c r="F54" s="88">
        <v>-3100000</v>
      </c>
      <c r="G54" s="79">
        <v>0.99980000000000002</v>
      </c>
      <c r="H54" s="104">
        <v>-11050.328539999999</v>
      </c>
      <c r="I54" s="38">
        <v>2.7420237377838439</v>
      </c>
      <c r="J54" s="38">
        <v>-4.270543252193254E-2</v>
      </c>
      <c r="K54" s="28"/>
      <c r="L54" s="28"/>
      <c r="M54" s="28"/>
      <c r="N54" s="28"/>
    </row>
    <row r="55" spans="1:14" x14ac:dyDescent="0.2">
      <c r="A55" s="30" t="s">
        <v>1649</v>
      </c>
      <c r="B55" s="38" t="s">
        <v>1653</v>
      </c>
      <c r="C55" s="38" t="s">
        <v>203</v>
      </c>
      <c r="D55" s="79" t="s">
        <v>247</v>
      </c>
      <c r="E55" s="79" t="s">
        <v>1576</v>
      </c>
      <c r="F55" s="88">
        <v>250466.54086893384</v>
      </c>
      <c r="G55" s="79">
        <v>1.0031000000000001</v>
      </c>
      <c r="H55" s="104">
        <v>251.24373854525015</v>
      </c>
      <c r="I55" s="38">
        <v>-6.2343512463624337E-2</v>
      </c>
      <c r="J55" s="38">
        <v>9.7096411967876608E-4</v>
      </c>
      <c r="K55" s="28"/>
      <c r="L55" s="28"/>
      <c r="M55" s="28"/>
      <c r="N55" s="28"/>
    </row>
    <row r="56" spans="1:14" x14ac:dyDescent="0.2">
      <c r="A56" s="30" t="s">
        <v>1651</v>
      </c>
      <c r="B56" s="38" t="s">
        <v>1654</v>
      </c>
      <c r="C56" s="38" t="s">
        <v>203</v>
      </c>
      <c r="D56" s="79" t="s">
        <v>127</v>
      </c>
      <c r="E56" s="79" t="s">
        <v>1576</v>
      </c>
      <c r="F56" s="88">
        <v>-73128.917042024477</v>
      </c>
      <c r="G56" s="79">
        <v>0.99980000000000002</v>
      </c>
      <c r="H56" s="104">
        <v>-260.66913343067864</v>
      </c>
      <c r="I56" s="38">
        <v>6.4682325868156046E-2</v>
      </c>
      <c r="J56" s="38">
        <v>-1.0073897846547175E-3</v>
      </c>
      <c r="K56" s="28"/>
      <c r="L56" s="28"/>
      <c r="M56" s="28"/>
      <c r="N56" s="28"/>
    </row>
    <row r="57" spans="1:14" x14ac:dyDescent="0.2">
      <c r="A57" s="30" t="s">
        <v>1623</v>
      </c>
      <c r="B57" s="38" t="s">
        <v>1668</v>
      </c>
      <c r="C57" s="38" t="s">
        <v>203</v>
      </c>
      <c r="D57" s="79" t="s">
        <v>247</v>
      </c>
      <c r="E57" s="79" t="s">
        <v>1669</v>
      </c>
      <c r="F57" s="88">
        <v>663991.76216291438</v>
      </c>
      <c r="G57" s="79">
        <v>1.0048999999999999</v>
      </c>
      <c r="H57" s="104">
        <v>667.25196169424021</v>
      </c>
      <c r="I57" s="38">
        <v>-0.16557161277382645</v>
      </c>
      <c r="J57" s="38">
        <v>2.5786820294177873E-3</v>
      </c>
      <c r="K57" s="28"/>
      <c r="L57" s="28"/>
      <c r="M57" s="28"/>
      <c r="N57" s="28"/>
    </row>
    <row r="58" spans="1:14" x14ac:dyDescent="0.2">
      <c r="A58" s="30" t="s">
        <v>1625</v>
      </c>
      <c r="B58" s="38" t="s">
        <v>1670</v>
      </c>
      <c r="C58" s="38" t="s">
        <v>203</v>
      </c>
      <c r="D58" s="79" t="s">
        <v>127</v>
      </c>
      <c r="E58" s="79" t="s">
        <v>1669</v>
      </c>
      <c r="F58" s="88">
        <v>-176031.75030830179</v>
      </c>
      <c r="G58" s="79">
        <v>0.99970000000000003</v>
      </c>
      <c r="H58" s="104">
        <v>-627.4232863048444</v>
      </c>
      <c r="I58" s="38">
        <v>0.15568854251334618</v>
      </c>
      <c r="J58" s="38">
        <v>-2.4247589308309106E-3</v>
      </c>
      <c r="K58" s="28"/>
      <c r="L58" s="28"/>
      <c r="M58" s="28"/>
      <c r="N58" s="28"/>
    </row>
    <row r="59" spans="1:14" x14ac:dyDescent="0.2">
      <c r="A59" s="30" t="s">
        <v>1602</v>
      </c>
      <c r="B59" s="38" t="s">
        <v>1603</v>
      </c>
      <c r="C59" s="38" t="s">
        <v>203</v>
      </c>
      <c r="D59" s="79" t="s">
        <v>247</v>
      </c>
      <c r="E59" s="79" t="s">
        <v>1604</v>
      </c>
      <c r="F59" s="88">
        <v>675418.1554507307</v>
      </c>
      <c r="G59" s="79">
        <v>1.0014000000000001</v>
      </c>
      <c r="H59" s="104">
        <v>676.42790559051775</v>
      </c>
      <c r="I59" s="38">
        <v>-0.16784852751795276</v>
      </c>
      <c r="J59" s="38">
        <v>2.6141436585873689E-3</v>
      </c>
      <c r="K59" s="28"/>
      <c r="L59" s="28"/>
      <c r="M59" s="28"/>
      <c r="N59" s="28"/>
    </row>
    <row r="60" spans="1:14" x14ac:dyDescent="0.2">
      <c r="A60" s="30" t="s">
        <v>1605</v>
      </c>
      <c r="B60" s="38" t="s">
        <v>1606</v>
      </c>
      <c r="C60" s="38" t="s">
        <v>203</v>
      </c>
      <c r="D60" s="79" t="s">
        <v>127</v>
      </c>
      <c r="E60" s="79" t="s">
        <v>1604</v>
      </c>
      <c r="F60" s="88">
        <v>-193269.28075392183</v>
      </c>
      <c r="G60" s="79">
        <v>0.99990000000000001</v>
      </c>
      <c r="H60" s="104">
        <v>-688.95055446772869</v>
      </c>
      <c r="I60" s="38">
        <v>0.17095589218651897</v>
      </c>
      <c r="J60" s="38">
        <v>-2.6625390646321545E-3</v>
      </c>
      <c r="K60" s="28"/>
      <c r="L60" s="28"/>
      <c r="M60" s="28"/>
      <c r="N60" s="28"/>
    </row>
    <row r="61" spans="1:14" x14ac:dyDescent="0.2">
      <c r="A61" s="30" t="s">
        <v>1617</v>
      </c>
      <c r="B61" s="38" t="s">
        <v>1621</v>
      </c>
      <c r="C61" s="38" t="s">
        <v>203</v>
      </c>
      <c r="D61" s="79" t="s">
        <v>247</v>
      </c>
      <c r="E61" s="79" t="s">
        <v>1516</v>
      </c>
      <c r="F61" s="88">
        <v>902475</v>
      </c>
      <c r="G61" s="79">
        <v>1.0045999999999999</v>
      </c>
      <c r="H61" s="104">
        <v>906.67872</v>
      </c>
      <c r="I61" s="38">
        <v>-0.22498286487900851</v>
      </c>
      <c r="J61" s="38">
        <v>3.5039778913245031E-3</v>
      </c>
      <c r="K61" s="28"/>
      <c r="L61" s="28"/>
      <c r="M61" s="28"/>
      <c r="N61" s="28"/>
    </row>
    <row r="62" spans="1:14" x14ac:dyDescent="0.2">
      <c r="A62" s="30" t="s">
        <v>1619</v>
      </c>
      <c r="B62" s="38" t="s">
        <v>1622</v>
      </c>
      <c r="C62" s="38" t="s">
        <v>203</v>
      </c>
      <c r="D62" s="79" t="s">
        <v>127</v>
      </c>
      <c r="E62" s="79" t="s">
        <v>1516</v>
      </c>
      <c r="F62" s="88">
        <v>-262500</v>
      </c>
      <c r="G62" s="79">
        <v>0.99980000000000002</v>
      </c>
      <c r="H62" s="104">
        <v>-935.63936999999999</v>
      </c>
      <c r="I62" s="38">
        <v>0.23216914802653651</v>
      </c>
      <c r="J62" s="38">
        <v>-3.6159000916364138E-3</v>
      </c>
      <c r="K62" s="28"/>
      <c r="L62" s="28"/>
      <c r="M62" s="28"/>
      <c r="N62" s="28"/>
    </row>
    <row r="63" spans="1:14" x14ac:dyDescent="0.2">
      <c r="A63" s="30" t="s">
        <v>1623</v>
      </c>
      <c r="B63" s="38" t="s">
        <v>1624</v>
      </c>
      <c r="C63" s="38" t="s">
        <v>203</v>
      </c>
      <c r="D63" s="79" t="s">
        <v>247</v>
      </c>
      <c r="E63" s="79" t="s">
        <v>1520</v>
      </c>
      <c r="F63" s="88">
        <v>899587.5</v>
      </c>
      <c r="G63" s="79">
        <v>1.0048999999999999</v>
      </c>
      <c r="H63" s="104">
        <v>904.00356999999997</v>
      </c>
      <c r="I63" s="38">
        <v>-0.22431905431667273</v>
      </c>
      <c r="J63" s="38">
        <v>3.4936394260564785E-3</v>
      </c>
      <c r="K63" s="28"/>
      <c r="L63" s="28"/>
      <c r="M63" s="28"/>
      <c r="N63" s="28"/>
    </row>
    <row r="64" spans="1:14" x14ac:dyDescent="0.2">
      <c r="A64" s="30" t="s">
        <v>1625</v>
      </c>
      <c r="B64" s="38" t="s">
        <v>1626</v>
      </c>
      <c r="C64" s="38" t="s">
        <v>203</v>
      </c>
      <c r="D64" s="79" t="s">
        <v>127</v>
      </c>
      <c r="E64" s="79" t="s">
        <v>1520</v>
      </c>
      <c r="F64" s="88">
        <v>-262500</v>
      </c>
      <c r="G64" s="79">
        <v>0.99970000000000003</v>
      </c>
      <c r="H64" s="104">
        <v>-935.61878000000002</v>
      </c>
      <c r="I64" s="38">
        <v>0.2321640388328545</v>
      </c>
      <c r="J64" s="38">
        <v>-3.6158205189022238E-3</v>
      </c>
      <c r="K64" s="28"/>
      <c r="L64" s="28"/>
      <c r="M64" s="28"/>
      <c r="N64" s="28"/>
    </row>
    <row r="65" spans="1:14" x14ac:dyDescent="0.2">
      <c r="A65" s="30" t="s">
        <v>1617</v>
      </c>
      <c r="B65" s="38" t="s">
        <v>1671</v>
      </c>
      <c r="C65" s="38" t="s">
        <v>203</v>
      </c>
      <c r="D65" s="79" t="s">
        <v>247</v>
      </c>
      <c r="E65" s="79" t="s">
        <v>1672</v>
      </c>
      <c r="F65" s="88">
        <v>2462898.3500701934</v>
      </c>
      <c r="G65" s="79">
        <v>1.0045999999999999</v>
      </c>
      <c r="H65" s="104">
        <v>2474.3705305743733</v>
      </c>
      <c r="I65" s="38">
        <v>-0.61398923175434716</v>
      </c>
      <c r="J65" s="38">
        <v>9.5625268828163131E-3</v>
      </c>
      <c r="K65" s="28"/>
      <c r="L65" s="28"/>
      <c r="M65" s="28"/>
      <c r="N65" s="28"/>
    </row>
    <row r="66" spans="1:14" x14ac:dyDescent="0.2">
      <c r="A66" s="30" t="s">
        <v>1619</v>
      </c>
      <c r="B66" s="38" t="s">
        <v>1673</v>
      </c>
      <c r="C66" s="38" t="s">
        <v>203</v>
      </c>
      <c r="D66" s="79" t="s">
        <v>127</v>
      </c>
      <c r="E66" s="79" t="s">
        <v>1672</v>
      </c>
      <c r="F66" s="88">
        <v>-689501.21782480227</v>
      </c>
      <c r="G66" s="79">
        <v>0.99980000000000002</v>
      </c>
      <c r="H66" s="104">
        <v>-2457.6170982547342</v>
      </c>
      <c r="I66" s="38">
        <v>0.60983204231481891</v>
      </c>
      <c r="J66" s="38">
        <v>-9.4977810636447581E-3</v>
      </c>
      <c r="K66" s="28"/>
      <c r="L66" s="28"/>
      <c r="M66" s="28"/>
      <c r="N66" s="28"/>
    </row>
    <row r="67" spans="1:14" x14ac:dyDescent="0.2">
      <c r="A67" s="30" t="s">
        <v>1674</v>
      </c>
      <c r="B67" s="38" t="s">
        <v>1675</v>
      </c>
      <c r="C67" s="38" t="s">
        <v>203</v>
      </c>
      <c r="D67" s="79" t="s">
        <v>127</v>
      </c>
      <c r="E67" s="79" t="s">
        <v>1672</v>
      </c>
      <c r="F67" s="88">
        <v>10000000</v>
      </c>
      <c r="G67" s="79">
        <v>0.99990000000000001</v>
      </c>
      <c r="H67" s="104">
        <v>35649.679149999996</v>
      </c>
      <c r="I67" s="38">
        <v>-8.8460959436485478</v>
      </c>
      <c r="J67" s="38">
        <v>0.13777282384482575</v>
      </c>
      <c r="K67" s="28"/>
      <c r="L67" s="28"/>
      <c r="M67" s="28"/>
      <c r="N67" s="28"/>
    </row>
    <row r="68" spans="1:14" x14ac:dyDescent="0.2">
      <c r="A68" s="30" t="s">
        <v>1676</v>
      </c>
      <c r="B68" s="38" t="s">
        <v>1677</v>
      </c>
      <c r="C68" s="38" t="s">
        <v>203</v>
      </c>
      <c r="D68" s="79" t="s">
        <v>247</v>
      </c>
      <c r="E68" s="79" t="s">
        <v>1672</v>
      </c>
      <c r="F68" s="88">
        <v>-36375000</v>
      </c>
      <c r="G68" s="79">
        <v>1</v>
      </c>
      <c r="H68" s="104">
        <v>-36377.764499999997</v>
      </c>
      <c r="I68" s="38">
        <v>9.0267627270483342</v>
      </c>
      <c r="J68" s="38">
        <v>-0.14058660441904863</v>
      </c>
      <c r="K68" s="28"/>
      <c r="L68" s="28"/>
      <c r="M68" s="28"/>
      <c r="N68" s="28"/>
    </row>
    <row r="69" spans="1:14" x14ac:dyDescent="0.2">
      <c r="A69" s="30" t="s">
        <v>1607</v>
      </c>
      <c r="B69" s="38" t="s">
        <v>1608</v>
      </c>
      <c r="C69" s="38" t="s">
        <v>203</v>
      </c>
      <c r="D69" s="79" t="s">
        <v>247</v>
      </c>
      <c r="E69" s="79" t="s">
        <v>1609</v>
      </c>
      <c r="F69" s="88">
        <v>10850175</v>
      </c>
      <c r="G69" s="79">
        <v>1.0009999999999999</v>
      </c>
      <c r="H69" s="104">
        <v>10861.53513</v>
      </c>
      <c r="I69" s="38">
        <v>-2.6951766227968759</v>
      </c>
      <c r="J69" s="38">
        <v>4.1975815823012158E-2</v>
      </c>
      <c r="K69" s="28"/>
      <c r="L69" s="28"/>
      <c r="M69" s="28"/>
      <c r="N69" s="28"/>
    </row>
    <row r="70" spans="1:14" x14ac:dyDescent="0.2">
      <c r="A70" s="30" t="s">
        <v>1610</v>
      </c>
      <c r="B70" s="38" t="s">
        <v>1611</v>
      </c>
      <c r="C70" s="38" t="s">
        <v>203</v>
      </c>
      <c r="D70" s="79" t="s">
        <v>127</v>
      </c>
      <c r="E70" s="79" t="s">
        <v>1609</v>
      </c>
      <c r="F70" s="88">
        <v>-3150000</v>
      </c>
      <c r="G70" s="79">
        <v>0.99990000000000001</v>
      </c>
      <c r="H70" s="104">
        <v>-11229.053749999999</v>
      </c>
      <c r="I70" s="38">
        <v>2.7863725339835637</v>
      </c>
      <c r="J70" s="38">
        <v>-4.3396139351869312E-2</v>
      </c>
      <c r="K70" s="28"/>
      <c r="L70" s="28"/>
      <c r="M70" s="28"/>
      <c r="N70" s="28"/>
    </row>
    <row r="71" spans="1:14" x14ac:dyDescent="0.2">
      <c r="A71" s="30" t="s">
        <v>1612</v>
      </c>
      <c r="B71" s="38" t="s">
        <v>1613</v>
      </c>
      <c r="C71" s="38" t="s">
        <v>203</v>
      </c>
      <c r="D71" s="79" t="s">
        <v>247</v>
      </c>
      <c r="E71" s="79" t="s">
        <v>1614</v>
      </c>
      <c r="F71" s="88">
        <v>3462100</v>
      </c>
      <c r="G71" s="79">
        <v>1.0018</v>
      </c>
      <c r="H71" s="104">
        <v>3468.4460199999999</v>
      </c>
      <c r="I71" s="38">
        <v>-0.86065869314523546</v>
      </c>
      <c r="J71" s="38">
        <v>1.3404260961735668E-2</v>
      </c>
      <c r="K71" s="28"/>
      <c r="L71" s="28"/>
      <c r="M71" s="28"/>
      <c r="N71" s="28"/>
    </row>
    <row r="72" spans="1:14" x14ac:dyDescent="0.2">
      <c r="A72" s="30" t="s">
        <v>1615</v>
      </c>
      <c r="B72" s="38" t="s">
        <v>1616</v>
      </c>
      <c r="C72" s="38" t="s">
        <v>203</v>
      </c>
      <c r="D72" s="79" t="s">
        <v>127</v>
      </c>
      <c r="E72" s="79" t="s">
        <v>1614</v>
      </c>
      <c r="F72" s="88">
        <v>-1000000</v>
      </c>
      <c r="G72" s="79">
        <v>0.99990000000000001</v>
      </c>
      <c r="H72" s="104">
        <v>-3564.6755800000001</v>
      </c>
      <c r="I72" s="38">
        <v>0.88453705448457132</v>
      </c>
      <c r="J72" s="38">
        <v>-1.3776152617836173E-2</v>
      </c>
      <c r="K72" s="28"/>
      <c r="L72" s="28"/>
      <c r="M72" s="28"/>
      <c r="N72" s="28"/>
    </row>
    <row r="73" spans="1:14" x14ac:dyDescent="0.2">
      <c r="A73" s="30" t="s">
        <v>1617</v>
      </c>
      <c r="B73" s="38" t="s">
        <v>1618</v>
      </c>
      <c r="C73" s="38" t="s">
        <v>203</v>
      </c>
      <c r="D73" s="79" t="s">
        <v>247</v>
      </c>
      <c r="E73" s="79" t="s">
        <v>1512</v>
      </c>
      <c r="F73" s="88">
        <v>1688654.67</v>
      </c>
      <c r="G73" s="79">
        <v>1.0045999999999999</v>
      </c>
      <c r="H73" s="104">
        <v>1696.5204199999998</v>
      </c>
      <c r="I73" s="38">
        <v>-0.42097384221980944</v>
      </c>
      <c r="J73" s="38">
        <v>6.5564239159165002E-3</v>
      </c>
      <c r="K73" s="28"/>
      <c r="L73" s="28"/>
      <c r="M73" s="28"/>
      <c r="N73" s="28"/>
    </row>
    <row r="74" spans="1:14" x14ac:dyDescent="0.2">
      <c r="A74" s="30" t="s">
        <v>1619</v>
      </c>
      <c r="B74" s="38" t="s">
        <v>1620</v>
      </c>
      <c r="C74" s="38" t="s">
        <v>203</v>
      </c>
      <c r="D74" s="79" t="s">
        <v>127</v>
      </c>
      <c r="E74" s="79" t="s">
        <v>1512</v>
      </c>
      <c r="F74" s="88">
        <v>-492190</v>
      </c>
      <c r="G74" s="79">
        <v>0.99980000000000002</v>
      </c>
      <c r="H74" s="104">
        <v>-1754.3327300000001</v>
      </c>
      <c r="I74" s="38">
        <v>0.4353193637834713</v>
      </c>
      <c r="J74" s="38">
        <v>-6.7798471105034418E-3</v>
      </c>
      <c r="K74" s="28"/>
      <c r="L74" s="28"/>
      <c r="M74" s="28"/>
      <c r="N74" s="28"/>
    </row>
    <row r="75" spans="1:14" x14ac:dyDescent="0.2">
      <c r="A75" s="30" t="s">
        <v>1635</v>
      </c>
      <c r="B75" s="38" t="s">
        <v>1636</v>
      </c>
      <c r="C75" s="38" t="s">
        <v>203</v>
      </c>
      <c r="D75" s="79" t="s">
        <v>247</v>
      </c>
      <c r="E75" s="79" t="s">
        <v>1637</v>
      </c>
      <c r="F75" s="88">
        <v>23837100</v>
      </c>
      <c r="G75" s="79">
        <v>1.0053000000000001</v>
      </c>
      <c r="H75" s="104">
        <v>23965.224409999999</v>
      </c>
      <c r="I75" s="38">
        <v>-5.9467204052502156</v>
      </c>
      <c r="J75" s="38">
        <v>9.2616728109897961E-2</v>
      </c>
      <c r="K75" s="28"/>
      <c r="L75" s="28"/>
      <c r="M75" s="28"/>
      <c r="N75" s="28"/>
    </row>
    <row r="76" spans="1:14" x14ac:dyDescent="0.2">
      <c r="A76" s="30" t="s">
        <v>1638</v>
      </c>
      <c r="B76" s="38" t="s">
        <v>1639</v>
      </c>
      <c r="C76" s="38" t="s">
        <v>203</v>
      </c>
      <c r="D76" s="79" t="s">
        <v>127</v>
      </c>
      <c r="E76" s="79" t="s">
        <v>1637</v>
      </c>
      <c r="F76" s="88">
        <v>-7000000</v>
      </c>
      <c r="G76" s="79">
        <v>0.99970000000000003</v>
      </c>
      <c r="H76" s="104">
        <v>-24948.786199999999</v>
      </c>
      <c r="I76" s="38">
        <v>6.1907810018193352</v>
      </c>
      <c r="J76" s="38">
        <v>-9.6417830629334567E-2</v>
      </c>
      <c r="K76" s="28"/>
      <c r="L76" s="28"/>
      <c r="M76" s="28"/>
      <c r="N76" s="28"/>
    </row>
    <row r="77" spans="1:14" x14ac:dyDescent="0.2">
      <c r="A77" s="30" t="s">
        <v>1640</v>
      </c>
      <c r="B77" s="38" t="s">
        <v>1641</v>
      </c>
      <c r="C77" s="38" t="s">
        <v>203</v>
      </c>
      <c r="D77" s="79" t="s">
        <v>247</v>
      </c>
      <c r="E77" s="79" t="s">
        <v>1573</v>
      </c>
      <c r="F77" s="88">
        <v>6833400</v>
      </c>
      <c r="G77" s="79">
        <v>1.0038</v>
      </c>
      <c r="H77" s="104">
        <v>6859.9819200000002</v>
      </c>
      <c r="I77" s="38">
        <v>-1.7022329424250757</v>
      </c>
      <c r="J77" s="38">
        <v>2.6511292757114467E-2</v>
      </c>
      <c r="K77" s="28"/>
      <c r="L77" s="28"/>
      <c r="M77" s="28"/>
      <c r="N77" s="28"/>
    </row>
    <row r="78" spans="1:14" x14ac:dyDescent="0.2">
      <c r="A78" s="30" t="s">
        <v>1642</v>
      </c>
      <c r="B78" s="38" t="s">
        <v>1643</v>
      </c>
      <c r="C78" s="38" t="s">
        <v>203</v>
      </c>
      <c r="D78" s="79" t="s">
        <v>127</v>
      </c>
      <c r="E78" s="79" t="s">
        <v>1573</v>
      </c>
      <c r="F78" s="88">
        <v>-2000000</v>
      </c>
      <c r="G78" s="79">
        <v>0.99980000000000002</v>
      </c>
      <c r="H78" s="104">
        <v>-7128.8734599999998</v>
      </c>
      <c r="I78" s="38">
        <v>1.7689555726980446</v>
      </c>
      <c r="J78" s="38">
        <v>-2.7550459101863572E-2</v>
      </c>
      <c r="K78" s="28"/>
      <c r="L78" s="28"/>
      <c r="M78" s="28"/>
      <c r="N78" s="28"/>
    </row>
    <row r="79" spans="1:14" x14ac:dyDescent="0.2">
      <c r="A79" s="30" t="s">
        <v>1644</v>
      </c>
      <c r="B79" s="38" t="s">
        <v>1645</v>
      </c>
      <c r="C79" s="38" t="s">
        <v>203</v>
      </c>
      <c r="D79" s="79" t="s">
        <v>247</v>
      </c>
      <c r="E79" s="79" t="s">
        <v>1646</v>
      </c>
      <c r="F79" s="88">
        <v>2667116.0744041214</v>
      </c>
      <c r="G79" s="79">
        <v>1.0043</v>
      </c>
      <c r="H79" s="104">
        <v>2678.6246802651754</v>
      </c>
      <c r="I79" s="38">
        <v>-0.66467276799181663</v>
      </c>
      <c r="J79" s="38">
        <v>1.0351893622037738E-2</v>
      </c>
      <c r="K79" s="28"/>
      <c r="L79" s="28"/>
      <c r="M79" s="28"/>
      <c r="N79" s="28"/>
    </row>
    <row r="80" spans="1:14" x14ac:dyDescent="0.2">
      <c r="A80" s="30" t="s">
        <v>1647</v>
      </c>
      <c r="B80" s="38" t="s">
        <v>1648</v>
      </c>
      <c r="C80" s="38" t="s">
        <v>203</v>
      </c>
      <c r="D80" s="79" t="s">
        <v>127</v>
      </c>
      <c r="E80" s="79" t="s">
        <v>1646</v>
      </c>
      <c r="F80" s="88">
        <v>-783524.11116454797</v>
      </c>
      <c r="G80" s="79">
        <v>0.99980000000000002</v>
      </c>
      <c r="H80" s="104">
        <v>-2792.7913947774987</v>
      </c>
      <c r="I80" s="38">
        <v>0.69300204708287816</v>
      </c>
      <c r="J80" s="38">
        <v>-1.0793105745750466E-2</v>
      </c>
      <c r="K80" s="28"/>
      <c r="L80" s="28"/>
      <c r="M80" s="28"/>
      <c r="N80" s="28"/>
    </row>
    <row r="81" spans="1:14" x14ac:dyDescent="0.2">
      <c r="A81" s="30" t="s">
        <v>1649</v>
      </c>
      <c r="B81" s="38" t="s">
        <v>1650</v>
      </c>
      <c r="C81" s="38" t="s">
        <v>203</v>
      </c>
      <c r="D81" s="79" t="s">
        <v>247</v>
      </c>
      <c r="E81" s="79" t="s">
        <v>1576</v>
      </c>
      <c r="F81" s="88">
        <v>10998923</v>
      </c>
      <c r="G81" s="79">
        <v>1.0031000000000001</v>
      </c>
      <c r="H81" s="104">
        <v>11033.05265</v>
      </c>
      <c r="I81" s="38">
        <v>-2.7377369059217989</v>
      </c>
      <c r="J81" s="38">
        <v>4.2638667597072556E-2</v>
      </c>
      <c r="K81" s="28"/>
      <c r="L81" s="28"/>
      <c r="M81" s="28"/>
      <c r="N81" s="28"/>
    </row>
    <row r="82" spans="1:14" x14ac:dyDescent="0.2">
      <c r="A82" s="30" t="s">
        <v>1651</v>
      </c>
      <c r="B82" s="38" t="s">
        <v>1652</v>
      </c>
      <c r="C82" s="38" t="s">
        <v>203</v>
      </c>
      <c r="D82" s="79" t="s">
        <v>127</v>
      </c>
      <c r="E82" s="79" t="s">
        <v>1576</v>
      </c>
      <c r="F82" s="88">
        <v>-3217000</v>
      </c>
      <c r="G82" s="79">
        <v>0.99980000000000002</v>
      </c>
      <c r="H82" s="104">
        <v>-11467.05673</v>
      </c>
      <c r="I82" s="38">
        <v>2.8454304903566232</v>
      </c>
      <c r="J82" s="38">
        <v>-4.4315932837250056E-2</v>
      </c>
      <c r="K82" s="28"/>
      <c r="L82" s="28"/>
      <c r="M82" s="28"/>
      <c r="N82" s="28"/>
    </row>
    <row r="83" spans="1:14" x14ac:dyDescent="0.2">
      <c r="A83" s="30" t="s">
        <v>1655</v>
      </c>
      <c r="B83" s="38" t="s">
        <v>1656</v>
      </c>
      <c r="C83" s="38" t="s">
        <v>203</v>
      </c>
      <c r="D83" s="79" t="s">
        <v>247</v>
      </c>
      <c r="E83" s="79" t="s">
        <v>1588</v>
      </c>
      <c r="F83" s="88">
        <v>3540000</v>
      </c>
      <c r="G83" s="79">
        <v>1.0004999999999999</v>
      </c>
      <c r="H83" s="104">
        <v>3542.04612</v>
      </c>
      <c r="I83" s="38">
        <v>-0.87892179008147053</v>
      </c>
      <c r="J83" s="38">
        <v>1.3688698125099636E-2</v>
      </c>
      <c r="K83" s="28"/>
      <c r="L83" s="28"/>
      <c r="M83" s="28"/>
      <c r="N83" s="28"/>
    </row>
    <row r="84" spans="1:14" x14ac:dyDescent="0.2">
      <c r="A84" s="30" t="s">
        <v>1657</v>
      </c>
      <c r="B84" s="38" t="s">
        <v>1658</v>
      </c>
      <c r="C84" s="38" t="s">
        <v>203</v>
      </c>
      <c r="D84" s="79" t="s">
        <v>127</v>
      </c>
      <c r="E84" s="79" t="s">
        <v>1588</v>
      </c>
      <c r="F84" s="88">
        <v>-1000000</v>
      </c>
      <c r="G84" s="79">
        <v>0.99990000000000001</v>
      </c>
      <c r="H84" s="104">
        <v>-3564.8859199999997</v>
      </c>
      <c r="I84" s="38">
        <v>0.88458924816106854</v>
      </c>
      <c r="J84" s="38">
        <v>-1.377696550413581E-2</v>
      </c>
      <c r="K84" s="28"/>
      <c r="L84" s="28"/>
      <c r="M84" s="28"/>
      <c r="N84" s="28"/>
    </row>
    <row r="85" spans="1:14" x14ac:dyDescent="0.2">
      <c r="A85" s="30" t="s">
        <v>1659</v>
      </c>
      <c r="B85" s="38" t="s">
        <v>1660</v>
      </c>
      <c r="C85" s="38" t="s">
        <v>203</v>
      </c>
      <c r="D85" s="79" t="s">
        <v>247</v>
      </c>
      <c r="E85" s="79" t="s">
        <v>1588</v>
      </c>
      <c r="F85" s="88">
        <v>189867.21906324537</v>
      </c>
      <c r="G85" s="79">
        <v>1.0056</v>
      </c>
      <c r="H85" s="104">
        <v>190.94205738670598</v>
      </c>
      <c r="I85" s="38">
        <v>-4.7380279418880768E-2</v>
      </c>
      <c r="J85" s="38">
        <v>7.3792042633032378E-4</v>
      </c>
      <c r="K85" s="28"/>
      <c r="L85" s="28"/>
      <c r="M85" s="28"/>
      <c r="N85" s="28"/>
    </row>
    <row r="86" spans="1:14" x14ac:dyDescent="0.2">
      <c r="A86" s="30" t="s">
        <v>1661</v>
      </c>
      <c r="B86" s="38" t="s">
        <v>1662</v>
      </c>
      <c r="C86" s="38" t="s">
        <v>203</v>
      </c>
      <c r="D86" s="79" t="s">
        <v>127</v>
      </c>
      <c r="E86" s="79" t="s">
        <v>1588</v>
      </c>
      <c r="F86" s="88">
        <v>-53801.988966632292</v>
      </c>
      <c r="G86" s="79">
        <v>0.99970000000000003</v>
      </c>
      <c r="H86" s="104">
        <v>-191.75096088852996</v>
      </c>
      <c r="I86" s="38">
        <v>4.7581000383470101E-2</v>
      </c>
      <c r="J86" s="38">
        <v>-7.4104653916840402E-4</v>
      </c>
      <c r="K86" s="28"/>
      <c r="L86" s="28"/>
      <c r="M86" s="28"/>
      <c r="N86" s="28"/>
    </row>
    <row r="87" spans="1:14" x14ac:dyDescent="0.2">
      <c r="A87" s="30" t="s">
        <v>1627</v>
      </c>
      <c r="B87" s="38" t="s">
        <v>1628</v>
      </c>
      <c r="C87" s="38" t="s">
        <v>203</v>
      </c>
      <c r="D87" s="79" t="s">
        <v>247</v>
      </c>
      <c r="E87" s="79" t="s">
        <v>1525</v>
      </c>
      <c r="F87" s="88">
        <v>29134600</v>
      </c>
      <c r="G87" s="79">
        <v>1.0051000000000001</v>
      </c>
      <c r="H87" s="104">
        <v>29284.963670000001</v>
      </c>
      <c r="I87" s="38">
        <v>-7.2667582011346683</v>
      </c>
      <c r="J87" s="38">
        <v>0.11317555268962448</v>
      </c>
      <c r="K87" s="28"/>
      <c r="L87" s="28"/>
      <c r="M87" s="28"/>
      <c r="N87" s="28"/>
    </row>
    <row r="88" spans="1:14" x14ac:dyDescent="0.2">
      <c r="A88" s="30" t="s">
        <v>1629</v>
      </c>
      <c r="B88" s="38" t="s">
        <v>1630</v>
      </c>
      <c r="C88" s="38" t="s">
        <v>203</v>
      </c>
      <c r="D88" s="79" t="s">
        <v>127</v>
      </c>
      <c r="E88" s="79" t="s">
        <v>1525</v>
      </c>
      <c r="F88" s="88">
        <v>-8500000</v>
      </c>
      <c r="G88" s="79">
        <v>0.99970000000000003</v>
      </c>
      <c r="H88" s="104">
        <v>-30295.560719999998</v>
      </c>
      <c r="I88" s="38">
        <v>7.5175273154106428</v>
      </c>
      <c r="J88" s="38">
        <v>-0.11708113648918443</v>
      </c>
      <c r="K88" s="28"/>
      <c r="L88" s="28"/>
      <c r="M88" s="28"/>
      <c r="N88" s="28"/>
    </row>
    <row r="89" spans="1:14" x14ac:dyDescent="0.2">
      <c r="A89" s="30" t="s">
        <v>1663</v>
      </c>
      <c r="B89" s="38" t="s">
        <v>1664</v>
      </c>
      <c r="C89" s="38" t="s">
        <v>203</v>
      </c>
      <c r="D89" s="79" t="s">
        <v>247</v>
      </c>
      <c r="E89" s="79" t="s">
        <v>1665</v>
      </c>
      <c r="F89" s="88">
        <v>7620000</v>
      </c>
      <c r="G89" s="79">
        <v>1.0039</v>
      </c>
      <c r="H89" s="104">
        <v>7650.1066200000005</v>
      </c>
      <c r="I89" s="38">
        <v>-1.8982941432633034</v>
      </c>
      <c r="J89" s="38">
        <v>2.9564832472030692E-2</v>
      </c>
      <c r="K89" s="28"/>
      <c r="L89" s="28"/>
      <c r="M89" s="28"/>
      <c r="N89" s="28"/>
    </row>
    <row r="90" spans="1:14" x14ac:dyDescent="0.2">
      <c r="A90" s="30" t="s">
        <v>1666</v>
      </c>
      <c r="B90" s="38" t="s">
        <v>1667</v>
      </c>
      <c r="C90" s="38" t="s">
        <v>203</v>
      </c>
      <c r="D90" s="79" t="s">
        <v>127</v>
      </c>
      <c r="E90" s="79" t="s">
        <v>1665</v>
      </c>
      <c r="F90" s="88">
        <v>-2000000</v>
      </c>
      <c r="G90" s="79">
        <v>0.99980000000000002</v>
      </c>
      <c r="H90" s="104">
        <v>-7128.8591999999999</v>
      </c>
      <c r="I90" s="38">
        <v>1.7689520342278209</v>
      </c>
      <c r="J90" s="38">
        <v>-2.7550403992238046E-2</v>
      </c>
      <c r="K90" s="28"/>
      <c r="L90" s="28"/>
      <c r="M90" s="28"/>
      <c r="N90" s="28"/>
    </row>
    <row r="91" spans="1:14" x14ac:dyDescent="0.2">
      <c r="A91" s="30" t="s">
        <v>1617</v>
      </c>
      <c r="B91" s="38" t="s">
        <v>1678</v>
      </c>
      <c r="C91" s="38" t="s">
        <v>203</v>
      </c>
      <c r="D91" s="79" t="s">
        <v>247</v>
      </c>
      <c r="E91" s="79" t="s">
        <v>1672</v>
      </c>
      <c r="F91" s="88">
        <v>231609.72726024038</v>
      </c>
      <c r="G91" s="79">
        <v>1.0045999999999999</v>
      </c>
      <c r="H91" s="104">
        <v>232.6885653698186</v>
      </c>
      <c r="I91" s="38">
        <v>-5.7739239828511951E-2</v>
      </c>
      <c r="J91" s="38">
        <v>8.9925523852579315E-4</v>
      </c>
      <c r="K91" s="28"/>
      <c r="L91" s="28"/>
      <c r="M91" s="28"/>
      <c r="N91" s="28"/>
    </row>
    <row r="92" spans="1:14" x14ac:dyDescent="0.2">
      <c r="A92" s="30" t="s">
        <v>1619</v>
      </c>
      <c r="B92" s="38" t="s">
        <v>1679</v>
      </c>
      <c r="C92" s="38" t="s">
        <v>203</v>
      </c>
      <c r="D92" s="79" t="s">
        <v>127</v>
      </c>
      <c r="E92" s="79" t="s">
        <v>1672</v>
      </c>
      <c r="F92" s="88">
        <v>-62681.928893163837</v>
      </c>
      <c r="G92" s="79">
        <v>0.99980000000000002</v>
      </c>
      <c r="H92" s="104">
        <v>-223.41973620497583</v>
      </c>
      <c r="I92" s="38">
        <v>5.543927657407445E-2</v>
      </c>
      <c r="J92" s="38">
        <v>-8.6343464214952339E-4</v>
      </c>
      <c r="K92" s="28"/>
      <c r="L92" s="28"/>
      <c r="M92" s="28"/>
      <c r="N92" s="28"/>
    </row>
    <row r="93" spans="1:14" s="138" customFormat="1" x14ac:dyDescent="0.2">
      <c r="A93" s="112" t="s">
        <v>1680</v>
      </c>
      <c r="B93" s="145" t="s">
        <v>240</v>
      </c>
      <c r="C93" s="145" t="s">
        <v>240</v>
      </c>
      <c r="D93" s="146" t="s">
        <v>240</v>
      </c>
      <c r="E93" s="146" t="s">
        <v>240</v>
      </c>
      <c r="F93" s="156" t="s">
        <v>240</v>
      </c>
      <c r="G93" s="146" t="s">
        <v>240</v>
      </c>
      <c r="H93" s="147">
        <v>-209.11763853787934</v>
      </c>
      <c r="I93" s="145">
        <v>5.1890360253503083E-2</v>
      </c>
      <c r="J93" s="145">
        <v>-8.0816232471268108E-4</v>
      </c>
    </row>
    <row r="94" spans="1:14" s="138" customFormat="1" x14ac:dyDescent="0.2">
      <c r="A94" s="112" t="s">
        <v>1232</v>
      </c>
      <c r="B94" s="145" t="s">
        <v>240</v>
      </c>
      <c r="C94" s="145" t="s">
        <v>240</v>
      </c>
      <c r="D94" s="146" t="s">
        <v>240</v>
      </c>
      <c r="E94" s="146" t="s">
        <v>240</v>
      </c>
      <c r="F94" s="156" t="s">
        <v>240</v>
      </c>
      <c r="G94" s="146" t="s">
        <v>240</v>
      </c>
      <c r="H94" s="147">
        <v>-371.49134024623271</v>
      </c>
      <c r="I94" s="145">
        <v>9.2181700267918443E-2</v>
      </c>
      <c r="J94" s="145">
        <v>-1.4356766231828049E-3</v>
      </c>
    </row>
    <row r="95" spans="1:14" x14ac:dyDescent="0.2">
      <c r="A95" s="30" t="s">
        <v>1681</v>
      </c>
      <c r="B95" s="38" t="s">
        <v>1682</v>
      </c>
      <c r="C95" s="38" t="s">
        <v>203</v>
      </c>
      <c r="D95" s="79" t="s">
        <v>2</v>
      </c>
      <c r="E95" s="79" t="s">
        <v>1683</v>
      </c>
      <c r="F95" s="88">
        <v>318.86273643127026</v>
      </c>
      <c r="G95" s="79">
        <v>182.5</v>
      </c>
      <c r="H95" s="104">
        <v>255.9653078894946</v>
      </c>
      <c r="I95" s="38">
        <v>-6.3515120635693284E-2</v>
      </c>
      <c r="J95" s="38">
        <v>9.8921123878462536E-4</v>
      </c>
      <c r="K95" s="28"/>
      <c r="L95" s="28"/>
      <c r="M95" s="28"/>
      <c r="N95" s="28"/>
    </row>
    <row r="96" spans="1:14" x14ac:dyDescent="0.2">
      <c r="A96" s="30" t="s">
        <v>1684</v>
      </c>
      <c r="B96" s="38" t="s">
        <v>1685</v>
      </c>
      <c r="C96" s="38" t="s">
        <v>203</v>
      </c>
      <c r="D96" s="79" t="s">
        <v>2</v>
      </c>
      <c r="E96" s="79" t="s">
        <v>1683</v>
      </c>
      <c r="F96" s="88">
        <v>-318.86273643127026</v>
      </c>
      <c r="G96" s="79">
        <v>314.5</v>
      </c>
      <c r="H96" s="104">
        <v>-441.10185934972765</v>
      </c>
      <c r="I96" s="38">
        <v>0.10945482432846686</v>
      </c>
      <c r="J96" s="38">
        <v>-1.7046955320442242E-3</v>
      </c>
      <c r="K96" s="28"/>
      <c r="L96" s="28"/>
      <c r="M96" s="28"/>
      <c r="N96" s="28"/>
    </row>
    <row r="97" spans="1:14" x14ac:dyDescent="0.2">
      <c r="A97" s="30" t="s">
        <v>1686</v>
      </c>
      <c r="B97" s="38" t="s">
        <v>1687</v>
      </c>
      <c r="C97" s="38" t="s">
        <v>203</v>
      </c>
      <c r="D97" s="79" t="s">
        <v>127</v>
      </c>
      <c r="E97" s="79" t="s">
        <v>1688</v>
      </c>
      <c r="F97" s="88">
        <v>4750.1284774085962</v>
      </c>
      <c r="G97" s="79">
        <v>81.96</v>
      </c>
      <c r="H97" s="104">
        <v>1387.9276894197556</v>
      </c>
      <c r="I97" s="38">
        <v>-0.3443997757116869</v>
      </c>
      <c r="J97" s="38">
        <v>5.3638271542139262E-3</v>
      </c>
      <c r="K97" s="28"/>
      <c r="L97" s="28"/>
      <c r="M97" s="28"/>
      <c r="N97" s="28"/>
    </row>
    <row r="98" spans="1:14" x14ac:dyDescent="0.2">
      <c r="A98" s="30" t="s">
        <v>1689</v>
      </c>
      <c r="B98" s="38" t="s">
        <v>1690</v>
      </c>
      <c r="C98" s="38" t="s">
        <v>203</v>
      </c>
      <c r="D98" s="79" t="s">
        <v>127</v>
      </c>
      <c r="E98" s="79" t="s">
        <v>1688</v>
      </c>
      <c r="F98" s="88">
        <v>-4750.1284774085962</v>
      </c>
      <c r="G98" s="79">
        <v>100.3</v>
      </c>
      <c r="H98" s="104">
        <v>-1698.5010645789816</v>
      </c>
      <c r="I98" s="38">
        <v>0.42146531850777874</v>
      </c>
      <c r="J98" s="38">
        <v>-6.5640783746153033E-3</v>
      </c>
      <c r="K98" s="28"/>
      <c r="L98" s="28"/>
      <c r="M98" s="28"/>
      <c r="N98" s="28"/>
    </row>
    <row r="99" spans="1:14" x14ac:dyDescent="0.2">
      <c r="A99" s="30" t="s">
        <v>1691</v>
      </c>
      <c r="B99" s="38" t="s">
        <v>1692</v>
      </c>
      <c r="C99" s="38" t="s">
        <v>203</v>
      </c>
      <c r="D99" s="79" t="s">
        <v>2</v>
      </c>
      <c r="E99" s="79" t="s">
        <v>1646</v>
      </c>
      <c r="F99" s="88">
        <v>662.59836691730459</v>
      </c>
      <c r="G99" s="79">
        <v>84.49</v>
      </c>
      <c r="H99" s="104">
        <v>246.24654236231063</v>
      </c>
      <c r="I99" s="38">
        <v>-6.1103510367181417E-2</v>
      </c>
      <c r="J99" s="38">
        <v>9.5165180478994711E-4</v>
      </c>
      <c r="K99" s="32"/>
      <c r="L99" s="32"/>
    </row>
    <row r="100" spans="1:14" x14ac:dyDescent="0.2">
      <c r="A100" s="30" t="s">
        <v>1693</v>
      </c>
      <c r="B100" s="38" t="s">
        <v>1694</v>
      </c>
      <c r="C100" s="38" t="s">
        <v>203</v>
      </c>
      <c r="D100" s="79" t="s">
        <v>2</v>
      </c>
      <c r="E100" s="79" t="s">
        <v>1646</v>
      </c>
      <c r="F100" s="88">
        <v>-662.59836691730459</v>
      </c>
      <c r="G100" s="79">
        <v>113.25</v>
      </c>
      <c r="H100" s="104">
        <v>-330.06771126025239</v>
      </c>
      <c r="I100" s="38">
        <v>8.1902858912789922E-2</v>
      </c>
      <c r="J100" s="38">
        <v>-1.2755896188850712E-3</v>
      </c>
      <c r="K100" s="32"/>
      <c r="L100" s="32"/>
    </row>
    <row r="101" spans="1:14" x14ac:dyDescent="0.2">
      <c r="A101" s="30" t="s">
        <v>1695</v>
      </c>
      <c r="B101" s="38" t="s">
        <v>1696</v>
      </c>
      <c r="C101" s="38" t="s">
        <v>203</v>
      </c>
      <c r="D101" s="79" t="s">
        <v>127</v>
      </c>
      <c r="E101" s="79" t="s">
        <v>1579</v>
      </c>
      <c r="F101" s="88">
        <v>102.84335518852556</v>
      </c>
      <c r="G101" s="79">
        <v>1995.56</v>
      </c>
      <c r="H101" s="104">
        <v>731.64525615749574</v>
      </c>
      <c r="I101" s="38">
        <v>-0.18155013697183656</v>
      </c>
      <c r="J101" s="38">
        <v>2.8275382947868435E-3</v>
      </c>
      <c r="K101" s="32"/>
      <c r="L101" s="32"/>
    </row>
    <row r="102" spans="1:14" x14ac:dyDescent="0.2">
      <c r="A102" s="30" t="s">
        <v>1697</v>
      </c>
      <c r="B102" s="38" t="s">
        <v>1698</v>
      </c>
      <c r="C102" s="38" t="s">
        <v>203</v>
      </c>
      <c r="D102" s="79" t="s">
        <v>127</v>
      </c>
      <c r="E102" s="79" t="s">
        <v>1579</v>
      </c>
      <c r="F102" s="88">
        <v>-102.84335518852556</v>
      </c>
      <c r="G102" s="79">
        <v>2155.4299999999998</v>
      </c>
      <c r="H102" s="104">
        <v>-790.25944318465531</v>
      </c>
      <c r="I102" s="38">
        <v>0.19609463595370785</v>
      </c>
      <c r="J102" s="38">
        <v>-3.0540604474862325E-3</v>
      </c>
      <c r="K102" s="32"/>
      <c r="L102" s="32"/>
    </row>
    <row r="103" spans="1:14" x14ac:dyDescent="0.2">
      <c r="A103" s="30" t="s">
        <v>1699</v>
      </c>
      <c r="B103" s="38" t="s">
        <v>1700</v>
      </c>
      <c r="C103" s="38" t="s">
        <v>203</v>
      </c>
      <c r="D103" s="79" t="s">
        <v>127</v>
      </c>
      <c r="E103" s="79" t="s">
        <v>1701</v>
      </c>
      <c r="F103" s="88">
        <v>183.30982193784962</v>
      </c>
      <c r="G103" s="79">
        <v>5269.2</v>
      </c>
      <c r="H103" s="104">
        <v>3443.4196455204324</v>
      </c>
      <c r="I103" s="38">
        <v>-0.85444865942132942</v>
      </c>
      <c r="J103" s="38">
        <v>1.3307543281104086E-2</v>
      </c>
      <c r="K103" s="32"/>
      <c r="L103" s="32"/>
    </row>
    <row r="104" spans="1:14" x14ac:dyDescent="0.2">
      <c r="A104" s="30" t="s">
        <v>1702</v>
      </c>
      <c r="B104" s="38" t="s">
        <v>1703</v>
      </c>
      <c r="C104" s="38" t="s">
        <v>203</v>
      </c>
      <c r="D104" s="79" t="s">
        <v>127</v>
      </c>
      <c r="E104" s="79" t="s">
        <v>1701</v>
      </c>
      <c r="F104" s="88">
        <v>-183.30982193784962</v>
      </c>
      <c r="G104" s="79">
        <v>4861.16</v>
      </c>
      <c r="H104" s="104">
        <v>-3176.7657033221049</v>
      </c>
      <c r="I104" s="38">
        <v>0.7882812656977165</v>
      </c>
      <c r="J104" s="38">
        <v>-1.2277024424217865E-2</v>
      </c>
      <c r="K104" s="32"/>
      <c r="L104" s="32"/>
    </row>
    <row r="105" spans="1:14" s="138" customFormat="1" x14ac:dyDescent="0.2">
      <c r="A105" s="112" t="s">
        <v>1277</v>
      </c>
      <c r="B105" s="145" t="s">
        <v>240</v>
      </c>
      <c r="C105" s="145" t="s">
        <v>240</v>
      </c>
      <c r="D105" s="146" t="s">
        <v>240</v>
      </c>
      <c r="E105" s="146" t="s">
        <v>240</v>
      </c>
      <c r="F105" s="156" t="s">
        <v>240</v>
      </c>
      <c r="G105" s="146" t="s">
        <v>240</v>
      </c>
      <c r="H105" s="147">
        <v>162.37370150835602</v>
      </c>
      <c r="I105" s="145">
        <v>-4.0291339964788106E-2</v>
      </c>
      <c r="J105" s="145">
        <v>6.2751429769720816E-4</v>
      </c>
      <c r="K105" s="178"/>
      <c r="L105" s="178"/>
      <c r="M105" s="153"/>
      <c r="N105" s="153"/>
    </row>
    <row r="106" spans="1:14" x14ac:dyDescent="0.2">
      <c r="A106" s="30" t="s">
        <v>1704</v>
      </c>
      <c r="B106" s="38" t="s">
        <v>1705</v>
      </c>
      <c r="C106" s="38" t="s">
        <v>203</v>
      </c>
      <c r="D106" s="79" t="s">
        <v>3</v>
      </c>
      <c r="E106" s="79" t="s">
        <v>1706</v>
      </c>
      <c r="F106" s="88">
        <v>524367.19877924863</v>
      </c>
      <c r="G106" s="79">
        <v>1</v>
      </c>
      <c r="H106" s="104">
        <v>1139.1386370538273</v>
      </c>
      <c r="I106" s="38">
        <v>-0.28266536801342285</v>
      </c>
      <c r="J106" s="38">
        <v>4.4023494886812151E-3</v>
      </c>
      <c r="K106" s="32"/>
      <c r="L106" s="32"/>
    </row>
    <row r="107" spans="1:14" x14ac:dyDescent="0.2">
      <c r="A107" s="30" t="s">
        <v>1707</v>
      </c>
      <c r="B107" s="38" t="s">
        <v>1708</v>
      </c>
      <c r="C107" s="38" t="s">
        <v>203</v>
      </c>
      <c r="D107" s="79" t="s">
        <v>127</v>
      </c>
      <c r="E107" s="79" t="s">
        <v>1706</v>
      </c>
      <c r="F107" s="88">
        <v>-361952.32446535805</v>
      </c>
      <c r="G107" s="79">
        <v>0.99990000000000001</v>
      </c>
      <c r="H107" s="104">
        <v>-1290.2761633107659</v>
      </c>
      <c r="I107" s="38">
        <v>0.32016856831795015</v>
      </c>
      <c r="J107" s="38">
        <v>-4.9864401250576691E-3</v>
      </c>
      <c r="K107" s="32"/>
      <c r="L107" s="32"/>
    </row>
    <row r="108" spans="1:14" x14ac:dyDescent="0.2">
      <c r="A108" s="30" t="s">
        <v>1554</v>
      </c>
      <c r="B108" s="38" t="s">
        <v>1709</v>
      </c>
      <c r="C108" s="38" t="s">
        <v>203</v>
      </c>
      <c r="D108" s="79" t="s">
        <v>127</v>
      </c>
      <c r="E108" s="79" t="s">
        <v>1710</v>
      </c>
      <c r="F108" s="88">
        <v>30451.16</v>
      </c>
      <c r="G108" s="79">
        <v>0.99980000000000002</v>
      </c>
      <c r="H108" s="104">
        <v>108.54503</v>
      </c>
      <c r="I108" s="38">
        <v>-2.6934316731044405E-2</v>
      </c>
      <c r="J108" s="38">
        <v>4.1948639241599814E-4</v>
      </c>
      <c r="K108" s="32"/>
      <c r="L108" s="32"/>
    </row>
    <row r="109" spans="1:14" x14ac:dyDescent="0.2">
      <c r="A109" s="30" t="s">
        <v>1551</v>
      </c>
      <c r="B109" s="38" t="s">
        <v>1711</v>
      </c>
      <c r="C109" s="38" t="s">
        <v>203</v>
      </c>
      <c r="D109" s="79" t="s">
        <v>289</v>
      </c>
      <c r="E109" s="79" t="s">
        <v>1710</v>
      </c>
      <c r="F109" s="88">
        <v>-3257147</v>
      </c>
      <c r="G109" s="79">
        <v>1.0024999999999999</v>
      </c>
      <c r="H109" s="104">
        <v>-107.07033</v>
      </c>
      <c r="I109" s="38">
        <v>2.6568385311768267E-2</v>
      </c>
      <c r="J109" s="38">
        <v>-4.1378722237665251E-4</v>
      </c>
      <c r="K109" s="32"/>
      <c r="L109" s="32"/>
    </row>
    <row r="110" spans="1:14" x14ac:dyDescent="0.2">
      <c r="A110" s="30" t="s">
        <v>1554</v>
      </c>
      <c r="B110" s="38" t="s">
        <v>1712</v>
      </c>
      <c r="C110" s="38" t="s">
        <v>203</v>
      </c>
      <c r="D110" s="79" t="s">
        <v>127</v>
      </c>
      <c r="E110" s="79" t="s">
        <v>1710</v>
      </c>
      <c r="F110" s="88">
        <v>635322.62499104242</v>
      </c>
      <c r="G110" s="79">
        <v>0.99980000000000002</v>
      </c>
      <c r="H110" s="104">
        <v>2264.6465722273192</v>
      </c>
      <c r="I110" s="38">
        <v>-0.56194841956600539</v>
      </c>
      <c r="J110" s="38">
        <v>8.7520213563061743E-3</v>
      </c>
      <c r="K110" s="32"/>
      <c r="L110" s="32"/>
    </row>
    <row r="111" spans="1:14" x14ac:dyDescent="0.2">
      <c r="A111" s="30" t="s">
        <v>1551</v>
      </c>
      <c r="B111" s="38" t="s">
        <v>1713</v>
      </c>
      <c r="C111" s="38" t="s">
        <v>203</v>
      </c>
      <c r="D111" s="79" t="s">
        <v>289</v>
      </c>
      <c r="E111" s="79" t="s">
        <v>1710</v>
      </c>
      <c r="F111" s="88">
        <v>-67956013.939899549</v>
      </c>
      <c r="G111" s="79">
        <v>1.0024999999999999</v>
      </c>
      <c r="H111" s="104">
        <v>-2233.8792501362982</v>
      </c>
      <c r="I111" s="38">
        <v>0.55431382958831943</v>
      </c>
      <c r="J111" s="38">
        <v>-8.6331170366126479E-3</v>
      </c>
      <c r="K111" s="32"/>
      <c r="L111" s="32"/>
    </row>
    <row r="112" spans="1:14" x14ac:dyDescent="0.2">
      <c r="A112" s="30" t="s">
        <v>1549</v>
      </c>
      <c r="B112" s="38" t="s">
        <v>1714</v>
      </c>
      <c r="C112" s="38" t="s">
        <v>203</v>
      </c>
      <c r="D112" s="79" t="s">
        <v>2</v>
      </c>
      <c r="E112" s="79" t="s">
        <v>1548</v>
      </c>
      <c r="F112" s="88">
        <v>450000</v>
      </c>
      <c r="G112" s="79">
        <v>0.99990000000000001</v>
      </c>
      <c r="H112" s="104">
        <v>1979.3541599999999</v>
      </c>
      <c r="I112" s="38">
        <v>-0.49115608396211546</v>
      </c>
      <c r="J112" s="38">
        <v>7.6494717067377323E-3</v>
      </c>
      <c r="K112" s="32"/>
      <c r="L112" s="32"/>
    </row>
    <row r="113" spans="1:12" x14ac:dyDescent="0.2">
      <c r="A113" s="30" t="s">
        <v>1546</v>
      </c>
      <c r="B113" s="38" t="s">
        <v>1715</v>
      </c>
      <c r="C113" s="38" t="s">
        <v>203</v>
      </c>
      <c r="D113" s="79" t="s">
        <v>127</v>
      </c>
      <c r="E113" s="79" t="s">
        <v>1548</v>
      </c>
      <c r="F113" s="88">
        <v>-581908.5</v>
      </c>
      <c r="G113" s="79">
        <v>1</v>
      </c>
      <c r="H113" s="104">
        <v>-2074.5100200000002</v>
      </c>
      <c r="I113" s="38">
        <v>0.51476801784849358</v>
      </c>
      <c r="J113" s="38">
        <v>-8.017213909477388E-3</v>
      </c>
      <c r="K113" s="32"/>
      <c r="L113" s="32"/>
    </row>
    <row r="114" spans="1:12" x14ac:dyDescent="0.2">
      <c r="A114" s="30" t="s">
        <v>1546</v>
      </c>
      <c r="B114" s="38" t="s">
        <v>1716</v>
      </c>
      <c r="C114" s="38" t="s">
        <v>203</v>
      </c>
      <c r="D114" s="79" t="s">
        <v>127</v>
      </c>
      <c r="E114" s="79" t="s">
        <v>1548</v>
      </c>
      <c r="F114" s="88">
        <v>795541.27727582946</v>
      </c>
      <c r="G114" s="79">
        <v>1</v>
      </c>
      <c r="H114" s="104">
        <v>2836.1131617930359</v>
      </c>
      <c r="I114" s="38">
        <v>-0.70375189158653706</v>
      </c>
      <c r="J114" s="38">
        <v>1.0960528351450921E-2</v>
      </c>
      <c r="K114" s="32"/>
      <c r="L114" s="32"/>
    </row>
    <row r="115" spans="1:12" x14ac:dyDescent="0.2">
      <c r="A115" s="30" t="s">
        <v>1549</v>
      </c>
      <c r="B115" s="38" t="s">
        <v>1717</v>
      </c>
      <c r="C115" s="38" t="s">
        <v>203</v>
      </c>
      <c r="D115" s="79" t="s">
        <v>2</v>
      </c>
      <c r="E115" s="79" t="s">
        <v>1548</v>
      </c>
      <c r="F115" s="88">
        <v>-615205.95553102123</v>
      </c>
      <c r="G115" s="79">
        <v>0.99990000000000001</v>
      </c>
      <c r="H115" s="104">
        <v>-2706.0232676269975</v>
      </c>
      <c r="I115" s="38">
        <v>0.67147144159286976</v>
      </c>
      <c r="J115" s="38">
        <v>-1.0457779028027357E-2</v>
      </c>
      <c r="K115" s="32"/>
      <c r="L115" s="32"/>
    </row>
    <row r="116" spans="1:12" x14ac:dyDescent="0.2">
      <c r="A116" s="30" t="s">
        <v>1549</v>
      </c>
      <c r="B116" s="38" t="s">
        <v>1718</v>
      </c>
      <c r="C116" s="38" t="s">
        <v>203</v>
      </c>
      <c r="D116" s="79" t="s">
        <v>2</v>
      </c>
      <c r="E116" s="79" t="s">
        <v>1609</v>
      </c>
      <c r="F116" s="88">
        <v>220000</v>
      </c>
      <c r="G116" s="79">
        <v>0.99990000000000001</v>
      </c>
      <c r="H116" s="104">
        <v>967.68425000000002</v>
      </c>
      <c r="I116" s="38">
        <v>-0.24012075067041908</v>
      </c>
      <c r="J116" s="38">
        <v>3.7397417001062221E-3</v>
      </c>
      <c r="K116" s="32"/>
      <c r="L116" s="32"/>
    </row>
    <row r="117" spans="1:12" x14ac:dyDescent="0.2">
      <c r="A117" s="30" t="s">
        <v>1546</v>
      </c>
      <c r="B117" s="38" t="s">
        <v>1719</v>
      </c>
      <c r="C117" s="38" t="s">
        <v>203</v>
      </c>
      <c r="D117" s="79" t="s">
        <v>127</v>
      </c>
      <c r="E117" s="79" t="s">
        <v>1609</v>
      </c>
      <c r="F117" s="88">
        <v>-284988</v>
      </c>
      <c r="G117" s="79">
        <v>1</v>
      </c>
      <c r="H117" s="104">
        <v>-1015.98526</v>
      </c>
      <c r="I117" s="38">
        <v>0.25210614237162676</v>
      </c>
      <c r="J117" s="38">
        <v>-3.9264072382238962E-3</v>
      </c>
      <c r="K117" s="32"/>
      <c r="L117" s="32"/>
    </row>
    <row r="118" spans="1:12" x14ac:dyDescent="0.2">
      <c r="A118" s="30" t="s">
        <v>1546</v>
      </c>
      <c r="B118" s="38" t="s">
        <v>1720</v>
      </c>
      <c r="C118" s="38" t="s">
        <v>203</v>
      </c>
      <c r="D118" s="79" t="s">
        <v>127</v>
      </c>
      <c r="E118" s="79" t="s">
        <v>1721</v>
      </c>
      <c r="F118" s="88">
        <v>190341.69970116357</v>
      </c>
      <c r="G118" s="79">
        <v>1</v>
      </c>
      <c r="H118" s="104">
        <v>678.57019512532327</v>
      </c>
      <c r="I118" s="38">
        <v>-0.16838011431524835</v>
      </c>
      <c r="J118" s="38">
        <v>2.6224228152513457E-3</v>
      </c>
      <c r="K118" s="32"/>
      <c r="L118" s="32"/>
    </row>
    <row r="119" spans="1:12" x14ac:dyDescent="0.2">
      <c r="A119" s="30" t="s">
        <v>1549</v>
      </c>
      <c r="B119" s="38" t="s">
        <v>1722</v>
      </c>
      <c r="C119" s="38" t="s">
        <v>203</v>
      </c>
      <c r="D119" s="79" t="s">
        <v>2</v>
      </c>
      <c r="E119" s="79" t="s">
        <v>1721</v>
      </c>
      <c r="F119" s="88">
        <v>-145402.23189070376</v>
      </c>
      <c r="G119" s="79">
        <v>0.99990000000000001</v>
      </c>
      <c r="H119" s="104">
        <v>-639.56114062065251</v>
      </c>
      <c r="I119" s="38">
        <v>0.15870042442610854</v>
      </c>
      <c r="J119" s="38">
        <v>-2.4716672482233263E-3</v>
      </c>
      <c r="K119" s="32"/>
      <c r="L119" s="32"/>
    </row>
    <row r="120" spans="1:12" x14ac:dyDescent="0.2">
      <c r="A120" s="30" t="s">
        <v>1546</v>
      </c>
      <c r="B120" s="38" t="s">
        <v>1723</v>
      </c>
      <c r="C120" s="38" t="s">
        <v>203</v>
      </c>
      <c r="D120" s="79" t="s">
        <v>127</v>
      </c>
      <c r="E120" s="79" t="s">
        <v>1724</v>
      </c>
      <c r="F120" s="88">
        <v>186781.25</v>
      </c>
      <c r="G120" s="79">
        <v>1</v>
      </c>
      <c r="H120" s="104">
        <v>665.87715000000003</v>
      </c>
      <c r="I120" s="38">
        <v>-0.1652304675954778</v>
      </c>
      <c r="J120" s="38">
        <v>2.5733688907336105E-3</v>
      </c>
      <c r="K120" s="32"/>
      <c r="L120" s="32"/>
    </row>
    <row r="121" spans="1:12" x14ac:dyDescent="0.2">
      <c r="A121" s="30" t="s">
        <v>1549</v>
      </c>
      <c r="B121" s="38" t="s">
        <v>1725</v>
      </c>
      <c r="C121" s="38" t="s">
        <v>203</v>
      </c>
      <c r="D121" s="79" t="s">
        <v>2</v>
      </c>
      <c r="E121" s="79" t="s">
        <v>1724</v>
      </c>
      <c r="F121" s="88">
        <v>-139000</v>
      </c>
      <c r="G121" s="79">
        <v>0.99990000000000001</v>
      </c>
      <c r="H121" s="104">
        <v>-611.40049999999997</v>
      </c>
      <c r="I121" s="38">
        <v>0.15171265525947081</v>
      </c>
      <c r="J121" s="38">
        <v>-2.3628367882558739E-3</v>
      </c>
      <c r="K121" s="32"/>
      <c r="L121" s="32"/>
    </row>
    <row r="122" spans="1:12" x14ac:dyDescent="0.2">
      <c r="A122" s="30" t="s">
        <v>1546</v>
      </c>
      <c r="B122" s="38" t="s">
        <v>1726</v>
      </c>
      <c r="C122" s="38" t="s">
        <v>203</v>
      </c>
      <c r="D122" s="79" t="s">
        <v>127</v>
      </c>
      <c r="E122" s="79" t="s">
        <v>1614</v>
      </c>
      <c r="F122" s="88">
        <v>95353.2</v>
      </c>
      <c r="G122" s="79">
        <v>1</v>
      </c>
      <c r="H122" s="104">
        <v>339.93516999999997</v>
      </c>
      <c r="I122" s="38">
        <v>-8.4351365850665147E-2</v>
      </c>
      <c r="J122" s="38">
        <v>1.3137236971478017E-3</v>
      </c>
      <c r="K122" s="32"/>
      <c r="L122" s="32"/>
    </row>
    <row r="123" spans="1:12" x14ac:dyDescent="0.2">
      <c r="A123" s="30" t="s">
        <v>1549</v>
      </c>
      <c r="B123" s="38" t="s">
        <v>1727</v>
      </c>
      <c r="C123" s="38" t="s">
        <v>203</v>
      </c>
      <c r="D123" s="79" t="s">
        <v>2</v>
      </c>
      <c r="E123" s="79" t="s">
        <v>1614</v>
      </c>
      <c r="F123" s="88">
        <v>-72000</v>
      </c>
      <c r="G123" s="79">
        <v>0.99990000000000001</v>
      </c>
      <c r="H123" s="104">
        <v>-316.69665999999995</v>
      </c>
      <c r="I123" s="38">
        <v>7.8584972044356896E-2</v>
      </c>
      <c r="J123" s="38">
        <v>-1.2239154514361084E-3</v>
      </c>
      <c r="K123" s="32"/>
      <c r="L123" s="32"/>
    </row>
    <row r="124" spans="1:12" x14ac:dyDescent="0.2">
      <c r="A124" s="30" t="s">
        <v>1546</v>
      </c>
      <c r="B124" s="38" t="s">
        <v>1728</v>
      </c>
      <c r="C124" s="38" t="s">
        <v>203</v>
      </c>
      <c r="D124" s="79" t="s">
        <v>127</v>
      </c>
      <c r="E124" s="79" t="s">
        <v>1729</v>
      </c>
      <c r="F124" s="88">
        <v>97179.76</v>
      </c>
      <c r="G124" s="79">
        <v>1</v>
      </c>
      <c r="H124" s="104">
        <v>346.44688000000002</v>
      </c>
      <c r="I124" s="38">
        <v>-8.5967178749705386E-2</v>
      </c>
      <c r="J124" s="38">
        <v>1.3388890477526076E-3</v>
      </c>
      <c r="K124" s="32"/>
      <c r="L124" s="32"/>
    </row>
    <row r="125" spans="1:12" x14ac:dyDescent="0.2">
      <c r="A125" s="30" t="s">
        <v>1549</v>
      </c>
      <c r="B125" s="38" t="s">
        <v>1730</v>
      </c>
      <c r="C125" s="38" t="s">
        <v>203</v>
      </c>
      <c r="D125" s="79" t="s">
        <v>2</v>
      </c>
      <c r="E125" s="79" t="s">
        <v>1729</v>
      </c>
      <c r="F125" s="88">
        <v>-74000</v>
      </c>
      <c r="G125" s="79">
        <v>0.99990000000000001</v>
      </c>
      <c r="H125" s="104">
        <v>-325.49378999999999</v>
      </c>
      <c r="I125" s="38">
        <v>8.0767888072333247E-2</v>
      </c>
      <c r="J125" s="38">
        <v>-1.2579131050119061E-3</v>
      </c>
      <c r="K125" s="32"/>
      <c r="L125" s="32"/>
    </row>
    <row r="126" spans="1:12" x14ac:dyDescent="0.2">
      <c r="A126" s="30" t="s">
        <v>1549</v>
      </c>
      <c r="B126" s="38" t="s">
        <v>1731</v>
      </c>
      <c r="C126" s="38" t="s">
        <v>203</v>
      </c>
      <c r="D126" s="79" t="s">
        <v>2</v>
      </c>
      <c r="E126" s="79" t="s">
        <v>1732</v>
      </c>
      <c r="F126" s="88">
        <v>103009.75556289639</v>
      </c>
      <c r="G126" s="79">
        <v>0.99990000000000001</v>
      </c>
      <c r="H126" s="104">
        <v>453.09508598489606</v>
      </c>
      <c r="I126" s="38">
        <v>-0.11243081839119662</v>
      </c>
      <c r="J126" s="38">
        <v>1.7510449169457186E-3</v>
      </c>
      <c r="K126" s="32"/>
      <c r="L126" s="32"/>
    </row>
    <row r="127" spans="1:12" x14ac:dyDescent="0.2">
      <c r="A127" s="30" t="s">
        <v>1546</v>
      </c>
      <c r="B127" s="38" t="s">
        <v>1733</v>
      </c>
      <c r="C127" s="38" t="s">
        <v>203</v>
      </c>
      <c r="D127" s="79" t="s">
        <v>127</v>
      </c>
      <c r="E127" s="79" t="s">
        <v>1732</v>
      </c>
      <c r="F127" s="88">
        <v>-133884.86959776332</v>
      </c>
      <c r="G127" s="79">
        <v>1</v>
      </c>
      <c r="H127" s="104">
        <v>-477.30099195162859</v>
      </c>
      <c r="I127" s="38">
        <v>0.11843726141369017</v>
      </c>
      <c r="J127" s="38">
        <v>-1.8445917902493191E-3</v>
      </c>
      <c r="K127" s="32"/>
      <c r="L127" s="32"/>
    </row>
    <row r="128" spans="1:12" x14ac:dyDescent="0.2">
      <c r="A128" s="30" t="s">
        <v>1549</v>
      </c>
      <c r="B128" s="38" t="s">
        <v>1734</v>
      </c>
      <c r="C128" s="38" t="s">
        <v>203</v>
      </c>
      <c r="D128" s="79" t="s">
        <v>2</v>
      </c>
      <c r="E128" s="79" t="s">
        <v>1735</v>
      </c>
      <c r="F128" s="88">
        <v>24617.25</v>
      </c>
      <c r="G128" s="79">
        <v>0.99990000000000001</v>
      </c>
      <c r="H128" s="104">
        <v>108.28055999999999</v>
      </c>
      <c r="I128" s="38">
        <v>-2.6868691259791973E-2</v>
      </c>
      <c r="J128" s="38">
        <v>4.1846431368791398E-4</v>
      </c>
      <c r="K128" s="32"/>
      <c r="L128" s="32"/>
    </row>
    <row r="129" spans="1:12" x14ac:dyDescent="0.2">
      <c r="A129" s="30" t="s">
        <v>1546</v>
      </c>
      <c r="B129" s="38" t="s">
        <v>1736</v>
      </c>
      <c r="C129" s="38" t="s">
        <v>203</v>
      </c>
      <c r="D129" s="79" t="s">
        <v>127</v>
      </c>
      <c r="E129" s="79" t="s">
        <v>1735</v>
      </c>
      <c r="F129" s="88">
        <v>-32473.85</v>
      </c>
      <c r="G129" s="79">
        <v>1</v>
      </c>
      <c r="H129" s="104">
        <v>-115.76961999999999</v>
      </c>
      <c r="I129" s="38">
        <v>2.8727023364521185E-2</v>
      </c>
      <c r="J129" s="38">
        <v>-4.4740676054141757E-4</v>
      </c>
      <c r="K129" s="32"/>
      <c r="L129" s="32"/>
    </row>
    <row r="130" spans="1:12" x14ac:dyDescent="0.2">
      <c r="A130" s="30" t="s">
        <v>1556</v>
      </c>
      <c r="B130" s="38" t="s">
        <v>1737</v>
      </c>
      <c r="C130" s="38" t="s">
        <v>203</v>
      </c>
      <c r="D130" s="79" t="s">
        <v>127</v>
      </c>
      <c r="E130" s="79" t="s">
        <v>1558</v>
      </c>
      <c r="F130" s="88">
        <v>5314959.95</v>
      </c>
      <c r="G130" s="79">
        <v>0.99970000000000003</v>
      </c>
      <c r="H130" s="104">
        <v>18943.910019999999</v>
      </c>
      <c r="I130" s="38">
        <v>-4.7007336273534195</v>
      </c>
      <c r="J130" s="38">
        <v>7.3211205271610125E-2</v>
      </c>
      <c r="K130" s="32"/>
      <c r="L130" s="32"/>
    </row>
    <row r="131" spans="1:12" x14ac:dyDescent="0.2">
      <c r="A131" s="30" t="s">
        <v>1559</v>
      </c>
      <c r="B131" s="38" t="s">
        <v>1738</v>
      </c>
      <c r="C131" s="38" t="s">
        <v>203</v>
      </c>
      <c r="D131" s="79" t="s">
        <v>128</v>
      </c>
      <c r="E131" s="79" t="s">
        <v>1558</v>
      </c>
      <c r="F131" s="88">
        <v>-4723800</v>
      </c>
      <c r="G131" s="79">
        <v>1.0036</v>
      </c>
      <c r="H131" s="104">
        <v>-18491.964629999999</v>
      </c>
      <c r="I131" s="38">
        <v>4.5885880940259574</v>
      </c>
      <c r="J131" s="38">
        <v>-7.1464603504397553E-2</v>
      </c>
      <c r="K131" s="32"/>
      <c r="L131" s="32"/>
    </row>
    <row r="132" spans="1:12" x14ac:dyDescent="0.2">
      <c r="A132" s="30" t="s">
        <v>1559</v>
      </c>
      <c r="B132" s="38" t="s">
        <v>1739</v>
      </c>
      <c r="C132" s="38" t="s">
        <v>203</v>
      </c>
      <c r="D132" s="79" t="s">
        <v>128</v>
      </c>
      <c r="E132" s="79" t="s">
        <v>1558</v>
      </c>
      <c r="F132" s="88">
        <v>513981.93089464976</v>
      </c>
      <c r="G132" s="79">
        <v>1.0036</v>
      </c>
      <c r="H132" s="104">
        <v>2012.0509376866009</v>
      </c>
      <c r="I132" s="38">
        <v>-0.49926944821560049</v>
      </c>
      <c r="J132" s="38">
        <v>7.7758326586429482E-3</v>
      </c>
      <c r="K132" s="32"/>
      <c r="L132" s="32"/>
    </row>
    <row r="133" spans="1:12" x14ac:dyDescent="0.2">
      <c r="A133" s="30" t="s">
        <v>1556</v>
      </c>
      <c r="B133" s="38" t="s">
        <v>1740</v>
      </c>
      <c r="C133" s="38" t="s">
        <v>203</v>
      </c>
      <c r="D133" s="79" t="s">
        <v>127</v>
      </c>
      <c r="E133" s="79" t="s">
        <v>1558</v>
      </c>
      <c r="F133" s="88">
        <v>-578306.76958117413</v>
      </c>
      <c r="G133" s="79">
        <v>0.99970000000000003</v>
      </c>
      <c r="H133" s="104">
        <v>-2061.2368691216952</v>
      </c>
      <c r="I133" s="38">
        <v>0.51147442393843423</v>
      </c>
      <c r="J133" s="38">
        <v>-7.9659180907933492E-3</v>
      </c>
      <c r="K133" s="32"/>
      <c r="L133" s="32"/>
    </row>
    <row r="134" spans="1:12" x14ac:dyDescent="0.2">
      <c r="A134" s="30" t="s">
        <v>1549</v>
      </c>
      <c r="B134" s="38" t="s">
        <v>1741</v>
      </c>
      <c r="C134" s="38" t="s">
        <v>203</v>
      </c>
      <c r="D134" s="79" t="s">
        <v>2</v>
      </c>
      <c r="E134" s="79" t="s">
        <v>1742</v>
      </c>
      <c r="F134" s="88">
        <v>69711.902710446899</v>
      </c>
      <c r="G134" s="79">
        <v>0.99990000000000001</v>
      </c>
      <c r="H134" s="104">
        <v>306.63232214780578</v>
      </c>
      <c r="I134" s="38">
        <v>-7.6087611608791697E-2</v>
      </c>
      <c r="J134" s="38">
        <v>1.1850205082252336E-3</v>
      </c>
      <c r="K134" s="32"/>
      <c r="L134" s="32"/>
    </row>
    <row r="135" spans="1:12" x14ac:dyDescent="0.2">
      <c r="A135" s="30" t="s">
        <v>1546</v>
      </c>
      <c r="B135" s="38" t="s">
        <v>1743</v>
      </c>
      <c r="C135" s="38" t="s">
        <v>203</v>
      </c>
      <c r="D135" s="79" t="s">
        <v>127</v>
      </c>
      <c r="E135" s="79" t="s">
        <v>1742</v>
      </c>
      <c r="F135" s="88">
        <v>-91205.476552826047</v>
      </c>
      <c r="G135" s="79">
        <v>1</v>
      </c>
      <c r="H135" s="104">
        <v>-325.14849932129368</v>
      </c>
      <c r="I135" s="38">
        <v>8.0682207792871774E-2</v>
      </c>
      <c r="J135" s="38">
        <v>-1.2565786842544989E-3</v>
      </c>
      <c r="K135" s="32"/>
      <c r="L135" s="32"/>
    </row>
    <row r="136" spans="1:12" x14ac:dyDescent="0.2">
      <c r="A136" s="30" t="s">
        <v>1556</v>
      </c>
      <c r="B136" s="38" t="s">
        <v>1744</v>
      </c>
      <c r="C136" s="38" t="s">
        <v>203</v>
      </c>
      <c r="D136" s="79" t="s">
        <v>127</v>
      </c>
      <c r="E136" s="79" t="s">
        <v>1742</v>
      </c>
      <c r="F136" s="88">
        <v>456780.2874066013</v>
      </c>
      <c r="G136" s="79">
        <v>0.99970000000000003</v>
      </c>
      <c r="H136" s="104">
        <v>1628.0846413044428</v>
      </c>
      <c r="I136" s="38">
        <v>-0.40399221773528171</v>
      </c>
      <c r="J136" s="38">
        <v>6.2919449442198792E-3</v>
      </c>
      <c r="K136" s="32"/>
      <c r="L136" s="32"/>
    </row>
    <row r="137" spans="1:12" x14ac:dyDescent="0.2">
      <c r="A137" s="30" t="s">
        <v>1559</v>
      </c>
      <c r="B137" s="38" t="s">
        <v>1745</v>
      </c>
      <c r="C137" s="38" t="s">
        <v>203</v>
      </c>
      <c r="D137" s="79" t="s">
        <v>128</v>
      </c>
      <c r="E137" s="79" t="s">
        <v>1742</v>
      </c>
      <c r="F137" s="88">
        <v>-404907.57763569272</v>
      </c>
      <c r="G137" s="79">
        <v>1.0036</v>
      </c>
      <c r="H137" s="104">
        <v>-1585.0648092581507</v>
      </c>
      <c r="I137" s="38">
        <v>0.39331729524411679</v>
      </c>
      <c r="J137" s="38">
        <v>-6.1256892054961324E-3</v>
      </c>
      <c r="K137" s="32"/>
      <c r="L137" s="32"/>
    </row>
    <row r="138" spans="1:12" x14ac:dyDescent="0.2">
      <c r="A138" s="30" t="s">
        <v>1554</v>
      </c>
      <c r="B138" s="38" t="s">
        <v>1746</v>
      </c>
      <c r="C138" s="38" t="s">
        <v>203</v>
      </c>
      <c r="D138" s="79" t="s">
        <v>127</v>
      </c>
      <c r="E138" s="79" t="s">
        <v>1688</v>
      </c>
      <c r="F138" s="88">
        <v>275366.69218672934</v>
      </c>
      <c r="G138" s="79">
        <v>0.99980000000000002</v>
      </c>
      <c r="H138" s="104">
        <v>981.56151068152076</v>
      </c>
      <c r="I138" s="38">
        <v>-0.24356424812539559</v>
      </c>
      <c r="J138" s="38">
        <v>3.7933721797321204E-3</v>
      </c>
      <c r="K138" s="32"/>
      <c r="L138" s="32"/>
    </row>
    <row r="139" spans="1:12" x14ac:dyDescent="0.2">
      <c r="A139" s="30" t="s">
        <v>1551</v>
      </c>
      <c r="B139" s="38" t="s">
        <v>1747</v>
      </c>
      <c r="C139" s="38" t="s">
        <v>203</v>
      </c>
      <c r="D139" s="79" t="s">
        <v>289</v>
      </c>
      <c r="E139" s="79" t="s">
        <v>1688</v>
      </c>
      <c r="F139" s="88">
        <v>-30071144.255337067</v>
      </c>
      <c r="G139" s="79">
        <v>1.0024999999999999</v>
      </c>
      <c r="H139" s="104">
        <v>-988.51155741577736</v>
      </c>
      <c r="I139" s="38">
        <v>0.24528882971182131</v>
      </c>
      <c r="J139" s="38">
        <v>-3.8202315396832472E-3</v>
      </c>
      <c r="K139" s="32"/>
      <c r="L139" s="32"/>
    </row>
    <row r="140" spans="1:12" x14ac:dyDescent="0.2">
      <c r="A140" s="30" t="s">
        <v>1549</v>
      </c>
      <c r="B140" s="38" t="s">
        <v>1748</v>
      </c>
      <c r="C140" s="38" t="s">
        <v>203</v>
      </c>
      <c r="D140" s="79" t="s">
        <v>2</v>
      </c>
      <c r="E140" s="79" t="s">
        <v>1688</v>
      </c>
      <c r="F140" s="88">
        <v>210067.36599883146</v>
      </c>
      <c r="G140" s="79">
        <v>0.99990000000000001</v>
      </c>
      <c r="H140" s="104">
        <v>923.99492399374947</v>
      </c>
      <c r="I140" s="38">
        <v>-0.22927970023800215</v>
      </c>
      <c r="J140" s="38">
        <v>3.5708986148590351E-3</v>
      </c>
      <c r="K140" s="32"/>
      <c r="L140" s="32"/>
    </row>
    <row r="141" spans="1:12" x14ac:dyDescent="0.2">
      <c r="A141" s="30" t="s">
        <v>1546</v>
      </c>
      <c r="B141" s="38" t="s">
        <v>1749</v>
      </c>
      <c r="C141" s="38" t="s">
        <v>203</v>
      </c>
      <c r="D141" s="79" t="s">
        <v>127</v>
      </c>
      <c r="E141" s="79" t="s">
        <v>1688</v>
      </c>
      <c r="F141" s="88">
        <v>-274700.89314823016</v>
      </c>
      <c r="G141" s="79">
        <v>1</v>
      </c>
      <c r="H141" s="104">
        <v>-979.31162199605808</v>
      </c>
      <c r="I141" s="38">
        <v>0.24300596172145938</v>
      </c>
      <c r="J141" s="38">
        <v>-3.7846771921495261E-3</v>
      </c>
      <c r="K141" s="32"/>
      <c r="L141" s="32"/>
    </row>
    <row r="142" spans="1:12" x14ac:dyDescent="0.2">
      <c r="A142" s="30" t="s">
        <v>1559</v>
      </c>
      <c r="B142" s="38" t="s">
        <v>1750</v>
      </c>
      <c r="C142" s="38" t="s">
        <v>203</v>
      </c>
      <c r="D142" s="79" t="s">
        <v>128</v>
      </c>
      <c r="E142" s="79" t="s">
        <v>1688</v>
      </c>
      <c r="F142" s="88">
        <v>190171.85642380873</v>
      </c>
      <c r="G142" s="79">
        <v>1.0036</v>
      </c>
      <c r="H142" s="104">
        <v>744.45462282616552</v>
      </c>
      <c r="I142" s="38">
        <v>-0.18472864766899177</v>
      </c>
      <c r="J142" s="38">
        <v>2.8770417590447098E-3</v>
      </c>
      <c r="K142" s="32"/>
      <c r="L142" s="32"/>
    </row>
    <row r="143" spans="1:12" x14ac:dyDescent="0.2">
      <c r="A143" s="30" t="s">
        <v>1556</v>
      </c>
      <c r="B143" s="38" t="s">
        <v>1751</v>
      </c>
      <c r="C143" s="38" t="s">
        <v>203</v>
      </c>
      <c r="D143" s="79" t="s">
        <v>127</v>
      </c>
      <c r="E143" s="79" t="s">
        <v>1688</v>
      </c>
      <c r="F143" s="88">
        <v>-213534.46898547362</v>
      </c>
      <c r="G143" s="79">
        <v>0.99970000000000003</v>
      </c>
      <c r="H143" s="104">
        <v>-761.09356431868775</v>
      </c>
      <c r="I143" s="38">
        <v>0.18885742740426764</v>
      </c>
      <c r="J143" s="38">
        <v>-2.9413451135172175E-3</v>
      </c>
      <c r="K143" s="32"/>
      <c r="L143" s="32"/>
    </row>
    <row r="144" spans="1:12" x14ac:dyDescent="0.2">
      <c r="A144" s="30" t="s">
        <v>1559</v>
      </c>
      <c r="B144" s="38" t="s">
        <v>1752</v>
      </c>
      <c r="C144" s="38" t="s">
        <v>203</v>
      </c>
      <c r="D144" s="79" t="s">
        <v>128</v>
      </c>
      <c r="E144" s="79" t="s">
        <v>1529</v>
      </c>
      <c r="F144" s="88">
        <v>629000</v>
      </c>
      <c r="G144" s="79">
        <v>1.0036</v>
      </c>
      <c r="H144" s="104">
        <v>2462.3045299999999</v>
      </c>
      <c r="I144" s="38">
        <v>-0.61099517959786298</v>
      </c>
      <c r="J144" s="38">
        <v>9.5158962535573481E-3</v>
      </c>
      <c r="K144" s="32"/>
      <c r="L144" s="32"/>
    </row>
    <row r="145" spans="1:12" x14ac:dyDescent="0.2">
      <c r="A145" s="30" t="s">
        <v>1556</v>
      </c>
      <c r="B145" s="38" t="s">
        <v>1753</v>
      </c>
      <c r="C145" s="38" t="s">
        <v>203</v>
      </c>
      <c r="D145" s="79" t="s">
        <v>127</v>
      </c>
      <c r="E145" s="79" t="s">
        <v>1529</v>
      </c>
      <c r="F145" s="88">
        <v>-705423.5</v>
      </c>
      <c r="G145" s="79">
        <v>0.99970000000000003</v>
      </c>
      <c r="H145" s="104">
        <v>-2514.3142000000003</v>
      </c>
      <c r="I145" s="38">
        <v>0.62390083658517148</v>
      </c>
      <c r="J145" s="38">
        <v>-9.7168943908193372E-3</v>
      </c>
      <c r="K145" s="32"/>
      <c r="L145" s="32"/>
    </row>
    <row r="146" spans="1:12" x14ac:dyDescent="0.2">
      <c r="A146" s="30" t="s">
        <v>1559</v>
      </c>
      <c r="B146" s="38" t="s">
        <v>1754</v>
      </c>
      <c r="C146" s="38" t="s">
        <v>203</v>
      </c>
      <c r="D146" s="79" t="s">
        <v>128</v>
      </c>
      <c r="E146" s="79" t="s">
        <v>1562</v>
      </c>
      <c r="F146" s="88">
        <v>458000</v>
      </c>
      <c r="G146" s="79">
        <v>1.0036</v>
      </c>
      <c r="H146" s="104">
        <v>1792.9093300000002</v>
      </c>
      <c r="I146" s="38">
        <v>-0.44489174459912734</v>
      </c>
      <c r="J146" s="38">
        <v>6.9289314008267756E-3</v>
      </c>
      <c r="K146" s="32"/>
      <c r="L146" s="32"/>
    </row>
    <row r="147" spans="1:12" x14ac:dyDescent="0.2">
      <c r="A147" s="30" t="s">
        <v>1556</v>
      </c>
      <c r="B147" s="38" t="s">
        <v>1755</v>
      </c>
      <c r="C147" s="38" t="s">
        <v>203</v>
      </c>
      <c r="D147" s="79" t="s">
        <v>127</v>
      </c>
      <c r="E147" s="79" t="s">
        <v>1562</v>
      </c>
      <c r="F147" s="88">
        <v>-512176.82</v>
      </c>
      <c r="G147" s="79">
        <v>0.99970000000000003</v>
      </c>
      <c r="H147" s="104">
        <v>-1825.5323899999999</v>
      </c>
      <c r="I147" s="38">
        <v>0.45298681657778783</v>
      </c>
      <c r="J147" s="38">
        <v>-7.0550074611399061E-3</v>
      </c>
      <c r="K147" s="32"/>
      <c r="L147" s="32"/>
    </row>
    <row r="148" spans="1:12" x14ac:dyDescent="0.2">
      <c r="A148" s="30" t="s">
        <v>1556</v>
      </c>
      <c r="B148" s="38" t="s">
        <v>1756</v>
      </c>
      <c r="C148" s="38" t="s">
        <v>203</v>
      </c>
      <c r="D148" s="79" t="s">
        <v>127</v>
      </c>
      <c r="E148" s="79" t="s">
        <v>1534</v>
      </c>
      <c r="F148" s="88">
        <v>523053.6</v>
      </c>
      <c r="G148" s="79">
        <v>0.99970000000000003</v>
      </c>
      <c r="H148" s="104">
        <v>1864.30195</v>
      </c>
      <c r="I148" s="38">
        <v>-0.46260707840426879</v>
      </c>
      <c r="J148" s="38">
        <v>7.2048374704913763E-3</v>
      </c>
      <c r="K148" s="32"/>
      <c r="L148" s="32"/>
    </row>
    <row r="149" spans="1:12" x14ac:dyDescent="0.2">
      <c r="A149" s="30" t="s">
        <v>1559</v>
      </c>
      <c r="B149" s="38" t="s">
        <v>1757</v>
      </c>
      <c r="C149" s="38" t="s">
        <v>203</v>
      </c>
      <c r="D149" s="79" t="s">
        <v>128</v>
      </c>
      <c r="E149" s="79" t="s">
        <v>1534</v>
      </c>
      <c r="F149" s="88">
        <v>-470000</v>
      </c>
      <c r="G149" s="79">
        <v>1.0036</v>
      </c>
      <c r="H149" s="104">
        <v>-1839.8759599999998</v>
      </c>
      <c r="I149" s="38">
        <v>0.45654602382508336</v>
      </c>
      <c r="J149" s="38">
        <v>-7.1104400538036724E-3</v>
      </c>
      <c r="K149" s="32"/>
      <c r="L149" s="32"/>
    </row>
    <row r="150" spans="1:12" x14ac:dyDescent="0.2">
      <c r="A150" s="30" t="s">
        <v>1559</v>
      </c>
      <c r="B150" s="38" t="s">
        <v>1758</v>
      </c>
      <c r="C150" s="38" t="s">
        <v>203</v>
      </c>
      <c r="D150" s="79" t="s">
        <v>128</v>
      </c>
      <c r="E150" s="79" t="s">
        <v>1759</v>
      </c>
      <c r="F150" s="88">
        <v>157885.22157822689</v>
      </c>
      <c r="G150" s="79">
        <v>1.0036</v>
      </c>
      <c r="H150" s="104">
        <v>618.0627937023919</v>
      </c>
      <c r="I150" s="38">
        <v>-0.15336583393320155</v>
      </c>
      <c r="J150" s="38">
        <v>2.3885840891726658E-3</v>
      </c>
      <c r="K150" s="32"/>
      <c r="L150" s="32"/>
    </row>
    <row r="151" spans="1:12" x14ac:dyDescent="0.2">
      <c r="A151" s="30" t="s">
        <v>1556</v>
      </c>
      <c r="B151" s="38" t="s">
        <v>1760</v>
      </c>
      <c r="C151" s="38" t="s">
        <v>203</v>
      </c>
      <c r="D151" s="79" t="s">
        <v>127</v>
      </c>
      <c r="E151" s="79" t="s">
        <v>1759</v>
      </c>
      <c r="F151" s="88">
        <v>-175472.05638505254</v>
      </c>
      <c r="G151" s="79">
        <v>0.99970000000000003</v>
      </c>
      <c r="H151" s="104">
        <v>-625.42839050679925</v>
      </c>
      <c r="I151" s="38">
        <v>0.15519352993405092</v>
      </c>
      <c r="J151" s="38">
        <v>-2.4170493964416548E-3</v>
      </c>
      <c r="K151" s="32"/>
      <c r="L151" s="32"/>
    </row>
    <row r="152" spans="1:12" x14ac:dyDescent="0.2">
      <c r="A152" s="30" t="s">
        <v>1556</v>
      </c>
      <c r="B152" s="38" t="s">
        <v>1761</v>
      </c>
      <c r="C152" s="38" t="s">
        <v>203</v>
      </c>
      <c r="D152" s="79" t="s">
        <v>127</v>
      </c>
      <c r="E152" s="79" t="s">
        <v>1762</v>
      </c>
      <c r="F152" s="88">
        <v>3631.2098091862426</v>
      </c>
      <c r="G152" s="79">
        <v>0.99970000000000003</v>
      </c>
      <c r="H152" s="104">
        <v>12.942583242668626</v>
      </c>
      <c r="I152" s="38">
        <v>-3.2115670001283754E-3</v>
      </c>
      <c r="J152" s="38">
        <v>5.0018297042350191E-5</v>
      </c>
      <c r="K152" s="32"/>
      <c r="L152" s="32"/>
    </row>
    <row r="153" spans="1:12" x14ac:dyDescent="0.2">
      <c r="A153" s="30" t="s">
        <v>1559</v>
      </c>
      <c r="B153" s="38" t="s">
        <v>1763</v>
      </c>
      <c r="C153" s="38" t="s">
        <v>203</v>
      </c>
      <c r="D153" s="79" t="s">
        <v>128</v>
      </c>
      <c r="E153" s="79" t="s">
        <v>1762</v>
      </c>
      <c r="F153" s="88">
        <v>-3250.8592818471034</v>
      </c>
      <c r="G153" s="79">
        <v>1.0036</v>
      </c>
      <c r="H153" s="104">
        <v>-12.725922903031458</v>
      </c>
      <c r="I153" s="38">
        <v>3.1578049972909991E-3</v>
      </c>
      <c r="J153" s="38">
        <v>-4.9180984967775981E-5</v>
      </c>
      <c r="K153" s="32"/>
      <c r="L153" s="32"/>
    </row>
    <row r="154" spans="1:12" x14ac:dyDescent="0.2">
      <c r="A154" s="30" t="s">
        <v>1556</v>
      </c>
      <c r="B154" s="38" t="s">
        <v>1764</v>
      </c>
      <c r="C154" s="38" t="s">
        <v>203</v>
      </c>
      <c r="D154" s="79" t="s">
        <v>127</v>
      </c>
      <c r="E154" s="79" t="s">
        <v>1637</v>
      </c>
      <c r="F154" s="88">
        <v>78330.212958757344</v>
      </c>
      <c r="G154" s="79">
        <v>0.99970000000000003</v>
      </c>
      <c r="H154" s="104">
        <v>279.18968421177192</v>
      </c>
      <c r="I154" s="38">
        <v>-6.9278007317333024E-2</v>
      </c>
      <c r="J154" s="38">
        <v>1.0789648630596717E-3</v>
      </c>
      <c r="K154" s="32"/>
      <c r="L154" s="32"/>
    </row>
    <row r="155" spans="1:12" x14ac:dyDescent="0.2">
      <c r="A155" s="30" t="s">
        <v>1559</v>
      </c>
      <c r="B155" s="38" t="s">
        <v>1765</v>
      </c>
      <c r="C155" s="38" t="s">
        <v>203</v>
      </c>
      <c r="D155" s="79" t="s">
        <v>128</v>
      </c>
      <c r="E155" s="79" t="s">
        <v>1637</v>
      </c>
      <c r="F155" s="88">
        <v>-70914.666327686224</v>
      </c>
      <c r="G155" s="79">
        <v>1.0036</v>
      </c>
      <c r="H155" s="104">
        <v>-277.60548886095143</v>
      </c>
      <c r="I155" s="38">
        <v>6.8884905769129048E-2</v>
      </c>
      <c r="J155" s="38">
        <v>-1.0728425339894428E-3</v>
      </c>
      <c r="K155" s="32"/>
      <c r="L155" s="32"/>
    </row>
    <row r="156" spans="1:12" x14ac:dyDescent="0.2">
      <c r="A156" s="30" t="s">
        <v>1554</v>
      </c>
      <c r="B156" s="38" t="s">
        <v>1766</v>
      </c>
      <c r="C156" s="38" t="s">
        <v>203</v>
      </c>
      <c r="D156" s="79" t="s">
        <v>127</v>
      </c>
      <c r="E156" s="79" t="s">
        <v>1767</v>
      </c>
      <c r="F156" s="88">
        <v>38491.158695689133</v>
      </c>
      <c r="G156" s="79">
        <v>0.99980000000000002</v>
      </c>
      <c r="H156" s="104">
        <v>137.20410255572457</v>
      </c>
      <c r="I156" s="38">
        <v>-3.4045766582169498E-2</v>
      </c>
      <c r="J156" s="38">
        <v>5.3024310745296711E-4</v>
      </c>
      <c r="K156" s="32"/>
      <c r="L156" s="32"/>
    </row>
    <row r="157" spans="1:12" x14ac:dyDescent="0.2">
      <c r="A157" s="30" t="s">
        <v>1551</v>
      </c>
      <c r="B157" s="38" t="s">
        <v>1768</v>
      </c>
      <c r="C157" s="38" t="s">
        <v>203</v>
      </c>
      <c r="D157" s="79" t="s">
        <v>289</v>
      </c>
      <c r="E157" s="79" t="s">
        <v>1767</v>
      </c>
      <c r="F157" s="88">
        <v>-4203426.9886859851</v>
      </c>
      <c r="G157" s="79">
        <v>1.0024999999999999</v>
      </c>
      <c r="H157" s="104">
        <v>-138.17685561052926</v>
      </c>
      <c r="I157" s="38">
        <v>3.4287145103868738E-2</v>
      </c>
      <c r="J157" s="38">
        <v>-5.3400243820879868E-4</v>
      </c>
      <c r="K157" s="32"/>
      <c r="L157" s="32"/>
    </row>
    <row r="158" spans="1:12" x14ac:dyDescent="0.2">
      <c r="A158" s="30" t="s">
        <v>1559</v>
      </c>
      <c r="B158" s="38" t="s">
        <v>1769</v>
      </c>
      <c r="C158" s="38" t="s">
        <v>203</v>
      </c>
      <c r="D158" s="79" t="s">
        <v>128</v>
      </c>
      <c r="E158" s="79" t="s">
        <v>1500</v>
      </c>
      <c r="F158" s="88">
        <v>158476.5470198406</v>
      </c>
      <c r="G158" s="79">
        <v>1.0036</v>
      </c>
      <c r="H158" s="104">
        <v>620.37823423057262</v>
      </c>
      <c r="I158" s="38">
        <v>-0.15394038634299789</v>
      </c>
      <c r="J158" s="38">
        <v>2.397532410381111E-3</v>
      </c>
      <c r="K158" s="32"/>
      <c r="L158" s="32"/>
    </row>
    <row r="159" spans="1:12" x14ac:dyDescent="0.2">
      <c r="A159" s="30" t="s">
        <v>1556</v>
      </c>
      <c r="B159" s="38" t="s">
        <v>1770</v>
      </c>
      <c r="C159" s="38" t="s">
        <v>203</v>
      </c>
      <c r="D159" s="79" t="s">
        <v>127</v>
      </c>
      <c r="E159" s="79" t="s">
        <v>1500</v>
      </c>
      <c r="F159" s="88">
        <v>-173027.86356720235</v>
      </c>
      <c r="G159" s="79">
        <v>0.99970000000000003</v>
      </c>
      <c r="H159" s="104">
        <v>-616.71664676523255</v>
      </c>
      <c r="I159" s="38">
        <v>0.15303180161525964</v>
      </c>
      <c r="J159" s="38">
        <v>-2.3833817291721128E-3</v>
      </c>
      <c r="K159" s="32"/>
      <c r="L159" s="32"/>
    </row>
    <row r="160" spans="1:12" x14ac:dyDescent="0.2">
      <c r="A160" s="30" t="s">
        <v>1556</v>
      </c>
      <c r="B160" s="38" t="s">
        <v>1771</v>
      </c>
      <c r="C160" s="38" t="s">
        <v>203</v>
      </c>
      <c r="D160" s="79" t="s">
        <v>127</v>
      </c>
      <c r="E160" s="79" t="s">
        <v>1772</v>
      </c>
      <c r="F160" s="88">
        <v>158110.9</v>
      </c>
      <c r="G160" s="79">
        <v>0.99970000000000003</v>
      </c>
      <c r="H160" s="104">
        <v>563.54923999999994</v>
      </c>
      <c r="I160" s="38">
        <v>-0.13983886432846682</v>
      </c>
      <c r="J160" s="38">
        <v>2.1779093675350913E-3</v>
      </c>
      <c r="K160" s="32"/>
      <c r="L160" s="32"/>
    </row>
    <row r="161" spans="1:12" x14ac:dyDescent="0.2">
      <c r="A161" s="30" t="s">
        <v>1559</v>
      </c>
      <c r="B161" s="38" t="s">
        <v>1773</v>
      </c>
      <c r="C161" s="38" t="s">
        <v>203</v>
      </c>
      <c r="D161" s="79" t="s">
        <v>128</v>
      </c>
      <c r="E161" s="79" t="s">
        <v>1772</v>
      </c>
      <c r="F161" s="88">
        <v>-145000</v>
      </c>
      <c r="G161" s="79">
        <v>1.0036</v>
      </c>
      <c r="H161" s="104">
        <v>-567.62300000000005</v>
      </c>
      <c r="I161" s="38">
        <v>0.14084972537043491</v>
      </c>
      <c r="J161" s="38">
        <v>-2.1936529431365597E-3</v>
      </c>
      <c r="K161" s="32"/>
      <c r="L161" s="32"/>
    </row>
    <row r="162" spans="1:12" x14ac:dyDescent="0.2">
      <c r="A162" s="30" t="s">
        <v>1559</v>
      </c>
      <c r="B162" s="38" t="s">
        <v>1774</v>
      </c>
      <c r="C162" s="38" t="s">
        <v>203</v>
      </c>
      <c r="D162" s="79" t="s">
        <v>128</v>
      </c>
      <c r="E162" s="79" t="s">
        <v>1573</v>
      </c>
      <c r="F162" s="88">
        <v>118857.41026488045</v>
      </c>
      <c r="G162" s="79">
        <v>1.0036</v>
      </c>
      <c r="H162" s="104">
        <v>465.2827485257007</v>
      </c>
      <c r="I162" s="38">
        <v>-0.11545505969533665</v>
      </c>
      <c r="J162" s="38">
        <v>1.7981457247047265E-3</v>
      </c>
      <c r="K162" s="32"/>
      <c r="L162" s="32"/>
    </row>
    <row r="163" spans="1:12" x14ac:dyDescent="0.2">
      <c r="A163" s="30" t="s">
        <v>1556</v>
      </c>
      <c r="B163" s="38" t="s">
        <v>1775</v>
      </c>
      <c r="C163" s="38" t="s">
        <v>203</v>
      </c>
      <c r="D163" s="79" t="s">
        <v>127</v>
      </c>
      <c r="E163" s="79" t="s">
        <v>1573</v>
      </c>
      <c r="F163" s="88">
        <v>-129703.14895155079</v>
      </c>
      <c r="G163" s="79">
        <v>0.99970000000000003</v>
      </c>
      <c r="H163" s="104">
        <v>-462.29601085293672</v>
      </c>
      <c r="I163" s="38">
        <v>0.11471393190283645</v>
      </c>
      <c r="J163" s="38">
        <v>-1.7866030883312259E-3</v>
      </c>
      <c r="K163" s="32"/>
      <c r="L163" s="32"/>
    </row>
    <row r="164" spans="1:12" x14ac:dyDescent="0.2">
      <c r="A164" s="30" t="s">
        <v>1556</v>
      </c>
      <c r="B164" s="38" t="s">
        <v>1776</v>
      </c>
      <c r="C164" s="38" t="s">
        <v>203</v>
      </c>
      <c r="D164" s="79" t="s">
        <v>127</v>
      </c>
      <c r="E164" s="79" t="s">
        <v>1777</v>
      </c>
      <c r="F164" s="88">
        <v>461056.2144361898</v>
      </c>
      <c r="G164" s="79">
        <v>0.99970000000000003</v>
      </c>
      <c r="H164" s="104">
        <v>1643.3251656987788</v>
      </c>
      <c r="I164" s="38">
        <v>-0.40777399485749777</v>
      </c>
      <c r="J164" s="38">
        <v>6.3508439338531035E-3</v>
      </c>
      <c r="K164" s="32"/>
      <c r="L164" s="32"/>
    </row>
    <row r="165" spans="1:12" x14ac:dyDescent="0.2">
      <c r="A165" s="30" t="s">
        <v>1559</v>
      </c>
      <c r="B165" s="38" t="s">
        <v>1778</v>
      </c>
      <c r="C165" s="38" t="s">
        <v>203</v>
      </c>
      <c r="D165" s="79" t="s">
        <v>128</v>
      </c>
      <c r="E165" s="79" t="s">
        <v>1777</v>
      </c>
      <c r="F165" s="88">
        <v>-419962.84960257757</v>
      </c>
      <c r="G165" s="79">
        <v>1.0036</v>
      </c>
      <c r="H165" s="104">
        <v>-1644.0006828360945</v>
      </c>
      <c r="I165" s="38">
        <v>0.40794161738737045</v>
      </c>
      <c r="J165" s="38">
        <v>-6.3534545577291828E-3</v>
      </c>
      <c r="K165" s="32"/>
      <c r="L165" s="32"/>
    </row>
    <row r="166" spans="1:12" x14ac:dyDescent="0.2">
      <c r="A166" s="30" t="s">
        <v>1546</v>
      </c>
      <c r="B166" s="38" t="s">
        <v>1779</v>
      </c>
      <c r="C166" s="38" t="s">
        <v>203</v>
      </c>
      <c r="D166" s="79" t="s">
        <v>127</v>
      </c>
      <c r="E166" s="79" t="s">
        <v>1576</v>
      </c>
      <c r="F166" s="88">
        <v>77332.652460711848</v>
      </c>
      <c r="G166" s="79">
        <v>1</v>
      </c>
      <c r="H166" s="104">
        <v>275.69173305210791</v>
      </c>
      <c r="I166" s="38">
        <v>-6.8410027231610868E-2</v>
      </c>
      <c r="J166" s="38">
        <v>1.0654465756464681E-3</v>
      </c>
      <c r="K166" s="32"/>
      <c r="L166" s="32"/>
    </row>
    <row r="167" spans="1:12" x14ac:dyDescent="0.2">
      <c r="A167" s="30" t="s">
        <v>1549</v>
      </c>
      <c r="B167" s="38" t="s">
        <v>1780</v>
      </c>
      <c r="C167" s="38" t="s">
        <v>203</v>
      </c>
      <c r="D167" s="79" t="s">
        <v>2</v>
      </c>
      <c r="E167" s="79" t="s">
        <v>1576</v>
      </c>
      <c r="F167" s="88">
        <v>-59824.896499989823</v>
      </c>
      <c r="G167" s="79">
        <v>0.99990000000000001</v>
      </c>
      <c r="H167" s="104">
        <v>-263.14368454240469</v>
      </c>
      <c r="I167" s="38">
        <v>6.5296359909239154E-2</v>
      </c>
      <c r="J167" s="38">
        <v>-1.0169530094168919E-3</v>
      </c>
      <c r="K167" s="32"/>
      <c r="L167" s="32"/>
    </row>
    <row r="168" spans="1:12" x14ac:dyDescent="0.2">
      <c r="A168" s="30" t="s">
        <v>1546</v>
      </c>
      <c r="B168" s="38" t="s">
        <v>1781</v>
      </c>
      <c r="C168" s="38" t="s">
        <v>203</v>
      </c>
      <c r="D168" s="79" t="s">
        <v>127</v>
      </c>
      <c r="E168" s="79" t="s">
        <v>1579</v>
      </c>
      <c r="F168" s="88">
        <v>31420.622005018631</v>
      </c>
      <c r="G168" s="79">
        <v>1</v>
      </c>
      <c r="H168" s="104">
        <v>112.0148534181711</v>
      </c>
      <c r="I168" s="38">
        <v>-2.7795317211175237E-2</v>
      </c>
      <c r="J168" s="38">
        <v>4.3289597651219438E-4</v>
      </c>
      <c r="K168" s="32"/>
      <c r="L168" s="32"/>
    </row>
    <row r="169" spans="1:12" x14ac:dyDescent="0.2">
      <c r="A169" s="30" t="s">
        <v>1549</v>
      </c>
      <c r="B169" s="38" t="s">
        <v>1782</v>
      </c>
      <c r="C169" s="38" t="s">
        <v>203</v>
      </c>
      <c r="D169" s="79" t="s">
        <v>2</v>
      </c>
      <c r="E169" s="79" t="s">
        <v>1579</v>
      </c>
      <c r="F169" s="88">
        <v>-24563.864788075294</v>
      </c>
      <c r="G169" s="79">
        <v>0.99990000000000001</v>
      </c>
      <c r="H169" s="104">
        <v>-108.04575124650226</v>
      </c>
      <c r="I169" s="38">
        <v>2.6810425917399697E-2</v>
      </c>
      <c r="J169" s="38">
        <v>-4.1755686470648699E-4</v>
      </c>
      <c r="K169" s="32"/>
      <c r="L169" s="32"/>
    </row>
    <row r="170" spans="1:12" x14ac:dyDescent="0.2">
      <c r="A170" s="30" t="s">
        <v>1556</v>
      </c>
      <c r="B170" s="38" t="s">
        <v>1783</v>
      </c>
      <c r="C170" s="38" t="s">
        <v>203</v>
      </c>
      <c r="D170" s="79" t="s">
        <v>127</v>
      </c>
      <c r="E170" s="79" t="s">
        <v>1579</v>
      </c>
      <c r="F170" s="88">
        <v>240480.38682797679</v>
      </c>
      <c r="G170" s="79">
        <v>0.99970000000000003</v>
      </c>
      <c r="H170" s="104">
        <v>857.13597257964261</v>
      </c>
      <c r="I170" s="38">
        <v>-0.21268934899213615</v>
      </c>
      <c r="J170" s="38">
        <v>3.3125134973698215E-3</v>
      </c>
      <c r="K170" s="32"/>
      <c r="L170" s="32"/>
    </row>
    <row r="171" spans="1:12" x14ac:dyDescent="0.2">
      <c r="A171" s="30" t="s">
        <v>1559</v>
      </c>
      <c r="B171" s="38" t="s">
        <v>1784</v>
      </c>
      <c r="C171" s="38" t="s">
        <v>203</v>
      </c>
      <c r="D171" s="79" t="s">
        <v>128</v>
      </c>
      <c r="E171" s="79" t="s">
        <v>1579</v>
      </c>
      <c r="F171" s="88">
        <v>-214735.72121188403</v>
      </c>
      <c r="G171" s="79">
        <v>1.0036</v>
      </c>
      <c r="H171" s="104">
        <v>-840.61250740025446</v>
      </c>
      <c r="I171" s="38">
        <v>0.20858922349918613</v>
      </c>
      <c r="J171" s="38">
        <v>-3.2486564161353063E-3</v>
      </c>
      <c r="K171" s="32"/>
      <c r="L171" s="32"/>
    </row>
    <row r="172" spans="1:12" x14ac:dyDescent="0.2">
      <c r="A172" s="30" t="s">
        <v>1559</v>
      </c>
      <c r="B172" s="38" t="s">
        <v>1785</v>
      </c>
      <c r="C172" s="38" t="s">
        <v>203</v>
      </c>
      <c r="D172" s="79" t="s">
        <v>128</v>
      </c>
      <c r="E172" s="79" t="s">
        <v>1579</v>
      </c>
      <c r="F172" s="88">
        <v>380000</v>
      </c>
      <c r="G172" s="79">
        <v>1.0036</v>
      </c>
      <c r="H172" s="104">
        <v>1487.5622499999999</v>
      </c>
      <c r="I172" s="38">
        <v>-0.36912305242022653</v>
      </c>
      <c r="J172" s="38">
        <v>5.7488778781186493E-3</v>
      </c>
      <c r="K172" s="32"/>
      <c r="L172" s="32"/>
    </row>
    <row r="173" spans="1:12" x14ac:dyDescent="0.2">
      <c r="A173" s="30" t="s">
        <v>1556</v>
      </c>
      <c r="B173" s="38" t="s">
        <v>1786</v>
      </c>
      <c r="C173" s="38" t="s">
        <v>203</v>
      </c>
      <c r="D173" s="79" t="s">
        <v>127</v>
      </c>
      <c r="E173" s="79" t="s">
        <v>1579</v>
      </c>
      <c r="F173" s="88">
        <v>-427348</v>
      </c>
      <c r="G173" s="79">
        <v>0.99970000000000003</v>
      </c>
      <c r="H173" s="104">
        <v>-1523.1817699999999</v>
      </c>
      <c r="I173" s="38">
        <v>0.37796166468545667</v>
      </c>
      <c r="J173" s="38">
        <v>-5.8865341480039629E-3</v>
      </c>
      <c r="K173" s="32"/>
      <c r="L173" s="32"/>
    </row>
    <row r="174" spans="1:12" x14ac:dyDescent="0.2">
      <c r="A174" s="30" t="s">
        <v>1551</v>
      </c>
      <c r="B174" s="38" t="s">
        <v>1787</v>
      </c>
      <c r="C174" s="38" t="s">
        <v>203</v>
      </c>
      <c r="D174" s="79" t="s">
        <v>289</v>
      </c>
      <c r="E174" s="79" t="s">
        <v>1539</v>
      </c>
      <c r="F174" s="88">
        <v>25653000</v>
      </c>
      <c r="G174" s="79">
        <v>1.0024999999999999</v>
      </c>
      <c r="H174" s="104">
        <v>843.27642000000003</v>
      </c>
      <c r="I174" s="38">
        <v>-0.20925024561788994</v>
      </c>
      <c r="J174" s="38">
        <v>3.2589514530078261E-3</v>
      </c>
      <c r="K174" s="32"/>
      <c r="L174" s="32"/>
    </row>
    <row r="175" spans="1:12" x14ac:dyDescent="0.2">
      <c r="A175" s="30" t="s">
        <v>1554</v>
      </c>
      <c r="B175" s="38" t="s">
        <v>1788</v>
      </c>
      <c r="C175" s="38" t="s">
        <v>203</v>
      </c>
      <c r="D175" s="79" t="s">
        <v>127</v>
      </c>
      <c r="E175" s="79" t="s">
        <v>1539</v>
      </c>
      <c r="F175" s="88">
        <v>-240000</v>
      </c>
      <c r="G175" s="79">
        <v>0.99980000000000002</v>
      </c>
      <c r="H175" s="104">
        <v>-855.49476000000004</v>
      </c>
      <c r="I175" s="38">
        <v>0.21228209921346761</v>
      </c>
      <c r="J175" s="38">
        <v>-3.3061708177996745E-3</v>
      </c>
      <c r="K175" s="32"/>
      <c r="L175" s="32"/>
    </row>
    <row r="176" spans="1:12" x14ac:dyDescent="0.2">
      <c r="A176" s="30" t="s">
        <v>1556</v>
      </c>
      <c r="B176" s="38" t="s">
        <v>1789</v>
      </c>
      <c r="C176" s="38" t="s">
        <v>203</v>
      </c>
      <c r="D176" s="79" t="s">
        <v>127</v>
      </c>
      <c r="E176" s="79" t="s">
        <v>1790</v>
      </c>
      <c r="F176" s="88">
        <v>133536.30043259318</v>
      </c>
      <c r="G176" s="79">
        <v>0.99970000000000003</v>
      </c>
      <c r="H176" s="104">
        <v>475.95836723496507</v>
      </c>
      <c r="I176" s="38">
        <v>-0.11810410309801653</v>
      </c>
      <c r="J176" s="38">
        <v>1.8394030423281868E-3</v>
      </c>
      <c r="K176" s="32"/>
      <c r="L176" s="32"/>
    </row>
    <row r="177" spans="1:12" x14ac:dyDescent="0.2">
      <c r="A177" s="30" t="s">
        <v>1559</v>
      </c>
      <c r="B177" s="38" t="s">
        <v>1791</v>
      </c>
      <c r="C177" s="38" t="s">
        <v>203</v>
      </c>
      <c r="D177" s="79" t="s">
        <v>128</v>
      </c>
      <c r="E177" s="79" t="s">
        <v>1790</v>
      </c>
      <c r="F177" s="88">
        <v>-118857.41026488045</v>
      </c>
      <c r="G177" s="79">
        <v>1.0036</v>
      </c>
      <c r="H177" s="104">
        <v>-465.28413923663908</v>
      </c>
      <c r="I177" s="38">
        <v>0.11545540478574655</v>
      </c>
      <c r="J177" s="38">
        <v>-1.7981510992881083E-3</v>
      </c>
      <c r="K177" s="32"/>
      <c r="L177" s="32"/>
    </row>
    <row r="178" spans="1:12" x14ac:dyDescent="0.2">
      <c r="A178" s="30" t="s">
        <v>1559</v>
      </c>
      <c r="B178" s="38" t="s">
        <v>1792</v>
      </c>
      <c r="C178" s="38" t="s">
        <v>203</v>
      </c>
      <c r="D178" s="79" t="s">
        <v>128</v>
      </c>
      <c r="E178" s="79" t="s">
        <v>1793</v>
      </c>
      <c r="F178" s="88">
        <v>138000</v>
      </c>
      <c r="G178" s="79">
        <v>1.0036</v>
      </c>
      <c r="H178" s="104">
        <v>540.22050999999999</v>
      </c>
      <c r="I178" s="38">
        <v>-0.13405008337043475</v>
      </c>
      <c r="J178" s="38">
        <v>2.0877524548938873E-3</v>
      </c>
      <c r="K178" s="32"/>
      <c r="L178" s="32"/>
    </row>
    <row r="179" spans="1:12" x14ac:dyDescent="0.2">
      <c r="A179" s="30" t="s">
        <v>1556</v>
      </c>
      <c r="B179" s="38" t="s">
        <v>1794</v>
      </c>
      <c r="C179" s="38" t="s">
        <v>203</v>
      </c>
      <c r="D179" s="79" t="s">
        <v>127</v>
      </c>
      <c r="E179" s="79" t="s">
        <v>1793</v>
      </c>
      <c r="F179" s="88">
        <v>-156917.04</v>
      </c>
      <c r="G179" s="79">
        <v>0.99970000000000003</v>
      </c>
      <c r="H179" s="104">
        <v>-559.29399999999998</v>
      </c>
      <c r="I179" s="38">
        <v>0.13878297091790154</v>
      </c>
      <c r="J179" s="38">
        <v>-2.1614644388592758E-3</v>
      </c>
      <c r="K179" s="32"/>
      <c r="L179" s="32"/>
    </row>
    <row r="180" spans="1:12" x14ac:dyDescent="0.2">
      <c r="A180" s="30" t="s">
        <v>1551</v>
      </c>
      <c r="B180" s="38" t="s">
        <v>1795</v>
      </c>
      <c r="C180" s="38" t="s">
        <v>203</v>
      </c>
      <c r="D180" s="79" t="s">
        <v>289</v>
      </c>
      <c r="E180" s="79" t="s">
        <v>1793</v>
      </c>
      <c r="F180" s="88">
        <v>16629000</v>
      </c>
      <c r="G180" s="79">
        <v>1.0024999999999999</v>
      </c>
      <c r="H180" s="104">
        <v>546.63562000000002</v>
      </c>
      <c r="I180" s="38">
        <v>-0.1356419259873145</v>
      </c>
      <c r="J180" s="38">
        <v>2.1125444822290111E-3</v>
      </c>
      <c r="K180" s="32"/>
      <c r="L180" s="32"/>
    </row>
    <row r="181" spans="1:12" x14ac:dyDescent="0.2">
      <c r="A181" s="30" t="s">
        <v>1554</v>
      </c>
      <c r="B181" s="38" t="s">
        <v>1796</v>
      </c>
      <c r="C181" s="38" t="s">
        <v>203</v>
      </c>
      <c r="D181" s="79" t="s">
        <v>127</v>
      </c>
      <c r="E181" s="79" t="s">
        <v>1793</v>
      </c>
      <c r="F181" s="88">
        <v>-158569.26</v>
      </c>
      <c r="G181" s="79">
        <v>0.99980000000000002</v>
      </c>
      <c r="H181" s="104">
        <v>-565.22987999999998</v>
      </c>
      <c r="I181" s="38">
        <v>0.14025589761014595</v>
      </c>
      <c r="J181" s="38">
        <v>-2.1844044195015429E-3</v>
      </c>
      <c r="K181" s="32"/>
      <c r="L181" s="32"/>
    </row>
    <row r="182" spans="1:12" x14ac:dyDescent="0.2">
      <c r="A182" s="30" t="s">
        <v>1556</v>
      </c>
      <c r="B182" s="38" t="s">
        <v>1797</v>
      </c>
      <c r="C182" s="38" t="s">
        <v>203</v>
      </c>
      <c r="D182" s="79" t="s">
        <v>127</v>
      </c>
      <c r="E182" s="79" t="s">
        <v>1798</v>
      </c>
      <c r="F182" s="88">
        <v>19969.011631436737</v>
      </c>
      <c r="G182" s="79">
        <v>0.99970000000000003</v>
      </c>
      <c r="H182" s="104">
        <v>71.174861363363846</v>
      </c>
      <c r="I182" s="38">
        <v>-1.7661299271362466E-2</v>
      </c>
      <c r="J182" s="38">
        <v>2.7506451307836305E-4</v>
      </c>
      <c r="K182" s="32"/>
      <c r="L182" s="32"/>
    </row>
    <row r="183" spans="1:12" x14ac:dyDescent="0.2">
      <c r="A183" s="30" t="s">
        <v>1559</v>
      </c>
      <c r="B183" s="38" t="s">
        <v>1799</v>
      </c>
      <c r="C183" s="38" t="s">
        <v>203</v>
      </c>
      <c r="D183" s="79" t="s">
        <v>128</v>
      </c>
      <c r="E183" s="79" t="s">
        <v>1798</v>
      </c>
      <c r="F183" s="88">
        <v>-17432.420172182465</v>
      </c>
      <c r="G183" s="79">
        <v>1.0036</v>
      </c>
      <c r="H183" s="104">
        <v>-68.241673708220603</v>
      </c>
      <c r="I183" s="38">
        <v>1.693345935704103E-2</v>
      </c>
      <c r="J183" s="38">
        <v>-2.6372882771593623E-4</v>
      </c>
      <c r="K183" s="32"/>
      <c r="L183" s="32"/>
    </row>
    <row r="184" spans="1:12" x14ac:dyDescent="0.2">
      <c r="A184" s="30" t="s">
        <v>1556</v>
      </c>
      <c r="B184" s="38" t="s">
        <v>1800</v>
      </c>
      <c r="C184" s="38" t="s">
        <v>203</v>
      </c>
      <c r="D184" s="79" t="s">
        <v>127</v>
      </c>
      <c r="E184" s="79" t="s">
        <v>1588</v>
      </c>
      <c r="F184" s="88">
        <v>26122.180522576087</v>
      </c>
      <c r="G184" s="79">
        <v>0.99970000000000003</v>
      </c>
      <c r="H184" s="104">
        <v>93.106296555042533</v>
      </c>
      <c r="I184" s="38">
        <v>-2.310335610085569E-2</v>
      </c>
      <c r="J184" s="38">
        <v>3.5982139811549979E-4</v>
      </c>
      <c r="K184" s="32"/>
      <c r="L184" s="32"/>
    </row>
    <row r="185" spans="1:12" x14ac:dyDescent="0.2">
      <c r="A185" s="30" t="s">
        <v>1559</v>
      </c>
      <c r="B185" s="38" t="s">
        <v>1801</v>
      </c>
      <c r="C185" s="38" t="s">
        <v>203</v>
      </c>
      <c r="D185" s="79" t="s">
        <v>128</v>
      </c>
      <c r="E185" s="79" t="s">
        <v>1588</v>
      </c>
      <c r="F185" s="88">
        <v>-22979.099317876888</v>
      </c>
      <c r="G185" s="79">
        <v>1.0036</v>
      </c>
      <c r="H185" s="104">
        <v>-89.954843905985285</v>
      </c>
      <c r="I185" s="38">
        <v>2.2321356005479635E-2</v>
      </c>
      <c r="J185" s="38">
        <v>-3.4764219928324681E-4</v>
      </c>
      <c r="K185" s="32"/>
      <c r="L185" s="32"/>
    </row>
    <row r="186" spans="1:12" x14ac:dyDescent="0.2">
      <c r="A186" s="30" t="s">
        <v>1556</v>
      </c>
      <c r="B186" s="38" t="s">
        <v>1802</v>
      </c>
      <c r="C186" s="38" t="s">
        <v>203</v>
      </c>
      <c r="D186" s="79" t="s">
        <v>127</v>
      </c>
      <c r="E186" s="79" t="s">
        <v>1588</v>
      </c>
      <c r="F186" s="88">
        <v>12613.148377309113</v>
      </c>
      <c r="G186" s="79">
        <v>0.99970000000000003</v>
      </c>
      <c r="H186" s="104">
        <v>44.956566003594332</v>
      </c>
      <c r="I186" s="38">
        <v>-1.1155502816489275E-2</v>
      </c>
      <c r="J186" s="38">
        <v>1.7374049911137796E-4</v>
      </c>
      <c r="K186" s="32"/>
      <c r="L186" s="32"/>
    </row>
    <row r="187" spans="1:12" x14ac:dyDescent="0.2">
      <c r="A187" s="30" t="s">
        <v>1559</v>
      </c>
      <c r="B187" s="38" t="s">
        <v>1803</v>
      </c>
      <c r="C187" s="38" t="s">
        <v>203</v>
      </c>
      <c r="D187" s="79" t="s">
        <v>128</v>
      </c>
      <c r="E187" s="79" t="s">
        <v>1588</v>
      </c>
      <c r="F187" s="88">
        <v>-11093.358291388842</v>
      </c>
      <c r="G187" s="79">
        <v>1.0036</v>
      </c>
      <c r="H187" s="104">
        <v>-43.426476368406682</v>
      </c>
      <c r="I187" s="38">
        <v>1.0775827037128099E-2</v>
      </c>
      <c r="J187" s="38">
        <v>-1.6782726861949845E-4</v>
      </c>
      <c r="K187" s="32"/>
      <c r="L187" s="32"/>
    </row>
    <row r="188" spans="1:12" x14ac:dyDescent="0.2">
      <c r="A188" s="30" t="s">
        <v>1559</v>
      </c>
      <c r="B188" s="38" t="s">
        <v>1804</v>
      </c>
      <c r="C188" s="38" t="s">
        <v>203</v>
      </c>
      <c r="D188" s="79" t="s">
        <v>128</v>
      </c>
      <c r="E188" s="79" t="s">
        <v>1805</v>
      </c>
      <c r="F188" s="88">
        <v>784000</v>
      </c>
      <c r="G188" s="79">
        <v>1.0036</v>
      </c>
      <c r="H188" s="104">
        <v>3069.0788600000001</v>
      </c>
      <c r="I188" s="38">
        <v>-0.76155989903722621</v>
      </c>
      <c r="J188" s="38">
        <v>1.1860854605886647E-2</v>
      </c>
      <c r="K188" s="32"/>
      <c r="L188" s="32"/>
    </row>
    <row r="189" spans="1:12" x14ac:dyDescent="0.2">
      <c r="A189" s="30" t="s">
        <v>1556</v>
      </c>
      <c r="B189" s="38" t="s">
        <v>1806</v>
      </c>
      <c r="C189" s="38" t="s">
        <v>203</v>
      </c>
      <c r="D189" s="79" t="s">
        <v>127</v>
      </c>
      <c r="E189" s="79" t="s">
        <v>1805</v>
      </c>
      <c r="F189" s="88">
        <v>-879201.12</v>
      </c>
      <c r="G189" s="79">
        <v>0.99970000000000003</v>
      </c>
      <c r="H189" s="104">
        <v>-3133.70631</v>
      </c>
      <c r="I189" s="38">
        <v>0.77759652648870636</v>
      </c>
      <c r="J189" s="38">
        <v>-1.211061579579599E-2</v>
      </c>
      <c r="K189" s="32"/>
      <c r="L189" s="32"/>
    </row>
    <row r="190" spans="1:12" x14ac:dyDescent="0.2">
      <c r="A190" s="30" t="s">
        <v>1556</v>
      </c>
      <c r="B190" s="38" t="s">
        <v>1807</v>
      </c>
      <c r="C190" s="38" t="s">
        <v>203</v>
      </c>
      <c r="D190" s="79" t="s">
        <v>127</v>
      </c>
      <c r="E190" s="79" t="s">
        <v>1805</v>
      </c>
      <c r="F190" s="88">
        <v>125208.51636324759</v>
      </c>
      <c r="G190" s="79">
        <v>0.99970000000000003</v>
      </c>
      <c r="H190" s="104">
        <v>446.27640893895961</v>
      </c>
      <c r="I190" s="38">
        <v>-0.11073883482233166</v>
      </c>
      <c r="J190" s="38">
        <v>1.7246932522490517E-3</v>
      </c>
      <c r="K190" s="32"/>
      <c r="L190" s="32"/>
    </row>
    <row r="191" spans="1:12" x14ac:dyDescent="0.2">
      <c r="A191" s="30" t="s">
        <v>1559</v>
      </c>
      <c r="B191" s="38" t="s">
        <v>1808</v>
      </c>
      <c r="C191" s="38" t="s">
        <v>203</v>
      </c>
      <c r="D191" s="79" t="s">
        <v>128</v>
      </c>
      <c r="E191" s="79" t="s">
        <v>1805</v>
      </c>
      <c r="F191" s="88">
        <v>-110933.58291388841</v>
      </c>
      <c r="G191" s="79">
        <v>1.0036</v>
      </c>
      <c r="H191" s="104">
        <v>-434.26519664199338</v>
      </c>
      <c r="I191" s="38">
        <v>0.10775837780527335</v>
      </c>
      <c r="J191" s="38">
        <v>-1.6782743594172284E-3</v>
      </c>
      <c r="K191" s="32"/>
      <c r="L191" s="32"/>
    </row>
    <row r="192" spans="1:12" x14ac:dyDescent="0.2">
      <c r="A192" s="30" t="s">
        <v>1551</v>
      </c>
      <c r="B192" s="38" t="s">
        <v>1809</v>
      </c>
      <c r="C192" s="38" t="s">
        <v>203</v>
      </c>
      <c r="D192" s="79" t="s">
        <v>289</v>
      </c>
      <c r="E192" s="79" t="s">
        <v>1701</v>
      </c>
      <c r="F192" s="88">
        <v>11131039.687860426</v>
      </c>
      <c r="G192" s="79">
        <v>1.0024999999999999</v>
      </c>
      <c r="H192" s="104">
        <v>365.90431291319072</v>
      </c>
      <c r="I192" s="38">
        <v>-9.07953377253575E-2</v>
      </c>
      <c r="J192" s="38">
        <v>1.4140848290650333E-3</v>
      </c>
      <c r="K192" s="32"/>
      <c r="L192" s="32"/>
    </row>
    <row r="193" spans="1:14" x14ac:dyDescent="0.2">
      <c r="A193" s="30" t="s">
        <v>1554</v>
      </c>
      <c r="B193" s="38" t="s">
        <v>1810</v>
      </c>
      <c r="C193" s="38" t="s">
        <v>203</v>
      </c>
      <c r="D193" s="79" t="s">
        <v>127</v>
      </c>
      <c r="E193" s="79" t="s">
        <v>1701</v>
      </c>
      <c r="F193" s="88">
        <v>-104910.83586284136</v>
      </c>
      <c r="G193" s="79">
        <v>0.99980000000000002</v>
      </c>
      <c r="H193" s="104">
        <v>-373.96112696795024</v>
      </c>
      <c r="I193" s="38">
        <v>9.2794552075328399E-2</v>
      </c>
      <c r="J193" s="38">
        <v>-1.4452214353398445E-3</v>
      </c>
      <c r="K193" s="32"/>
      <c r="L193" s="32"/>
    </row>
    <row r="194" spans="1:14" x14ac:dyDescent="0.2">
      <c r="A194" s="30" t="s">
        <v>1549</v>
      </c>
      <c r="B194" s="38" t="s">
        <v>1811</v>
      </c>
      <c r="C194" s="38" t="s">
        <v>203</v>
      </c>
      <c r="D194" s="79" t="s">
        <v>2</v>
      </c>
      <c r="E194" s="79" t="s">
        <v>1596</v>
      </c>
      <c r="F194" s="88">
        <v>439772.41798005765</v>
      </c>
      <c r="G194" s="79">
        <v>0.99990000000000001</v>
      </c>
      <c r="H194" s="104">
        <v>1934.3674826507417</v>
      </c>
      <c r="I194" s="38">
        <v>-0.47999310932935502</v>
      </c>
      <c r="J194" s="38">
        <v>7.47561483841292E-3</v>
      </c>
      <c r="K194" s="32"/>
      <c r="L194" s="32"/>
    </row>
    <row r="195" spans="1:14" x14ac:dyDescent="0.2">
      <c r="A195" s="30" t="s">
        <v>1546</v>
      </c>
      <c r="B195" s="38" t="s">
        <v>1812</v>
      </c>
      <c r="C195" s="38" t="s">
        <v>203</v>
      </c>
      <c r="D195" s="79" t="s">
        <v>127</v>
      </c>
      <c r="E195" s="79" t="s">
        <v>1596</v>
      </c>
      <c r="F195" s="88">
        <v>-544438.25345931144</v>
      </c>
      <c r="G195" s="79">
        <v>1</v>
      </c>
      <c r="H195" s="104">
        <v>-1940.9281963277356</v>
      </c>
      <c r="I195" s="38">
        <v>0.48162108197958003</v>
      </c>
      <c r="J195" s="38">
        <v>-7.5009695701038735E-3</v>
      </c>
      <c r="K195" s="32"/>
      <c r="L195" s="32"/>
    </row>
    <row r="196" spans="1:14" x14ac:dyDescent="0.2">
      <c r="A196" s="30" t="s">
        <v>1598</v>
      </c>
      <c r="B196" s="38" t="s">
        <v>1813</v>
      </c>
      <c r="C196" s="38" t="s">
        <v>203</v>
      </c>
      <c r="D196" s="79" t="s">
        <v>127</v>
      </c>
      <c r="E196" s="79" t="s">
        <v>1596</v>
      </c>
      <c r="F196" s="88">
        <v>545423.34367558674</v>
      </c>
      <c r="G196" s="79">
        <v>0.99970000000000003</v>
      </c>
      <c r="H196" s="104">
        <v>1943.8528343316439</v>
      </c>
      <c r="I196" s="38">
        <v>-0.482346800387147</v>
      </c>
      <c r="J196" s="38">
        <v>7.5122722142266134E-3</v>
      </c>
      <c r="K196" s="32"/>
      <c r="L196" s="32"/>
    </row>
    <row r="197" spans="1:14" x14ac:dyDescent="0.2">
      <c r="A197" s="30" t="s">
        <v>1600</v>
      </c>
      <c r="B197" s="38" t="s">
        <v>1814</v>
      </c>
      <c r="C197" s="38" t="s">
        <v>203</v>
      </c>
      <c r="D197" s="79" t="s">
        <v>2</v>
      </c>
      <c r="E197" s="79" t="s">
        <v>1596</v>
      </c>
      <c r="F197" s="88">
        <v>-439772.41798005765</v>
      </c>
      <c r="G197" s="79">
        <v>1.0015000000000001</v>
      </c>
      <c r="H197" s="104">
        <v>-1937.4296108656922</v>
      </c>
      <c r="I197" s="38">
        <v>0.48075294449834011</v>
      </c>
      <c r="J197" s="38">
        <v>-7.4874488313465886E-3</v>
      </c>
      <c r="K197" s="32"/>
      <c r="L197" s="32"/>
    </row>
    <row r="198" spans="1:14" x14ac:dyDescent="0.2">
      <c r="A198" s="30" t="s">
        <v>1546</v>
      </c>
      <c r="B198" s="38" t="s">
        <v>1815</v>
      </c>
      <c r="C198" s="38" t="s">
        <v>203</v>
      </c>
      <c r="D198" s="79" t="s">
        <v>127</v>
      </c>
      <c r="E198" s="79" t="s">
        <v>1596</v>
      </c>
      <c r="F198" s="88">
        <v>507580</v>
      </c>
      <c r="G198" s="79">
        <v>1</v>
      </c>
      <c r="H198" s="104">
        <v>1809.5281200000002</v>
      </c>
      <c r="I198" s="38">
        <v>-0.4490155239517768</v>
      </c>
      <c r="J198" s="38">
        <v>6.9931568772343003E-3</v>
      </c>
      <c r="K198" s="32"/>
      <c r="L198" s="32"/>
    </row>
    <row r="199" spans="1:14" x14ac:dyDescent="0.2">
      <c r="A199" s="30" t="s">
        <v>1549</v>
      </c>
      <c r="B199" s="38" t="s">
        <v>1816</v>
      </c>
      <c r="C199" s="38" t="s">
        <v>203</v>
      </c>
      <c r="D199" s="79" t="s">
        <v>2</v>
      </c>
      <c r="E199" s="79" t="s">
        <v>1596</v>
      </c>
      <c r="F199" s="88">
        <v>-410000</v>
      </c>
      <c r="G199" s="79">
        <v>0.99990000000000001</v>
      </c>
      <c r="H199" s="104">
        <v>-1803.41157</v>
      </c>
      <c r="I199" s="38">
        <v>0.44749776588398438</v>
      </c>
      <c r="J199" s="38">
        <v>-6.9695186738680838E-3</v>
      </c>
      <c r="K199" s="32"/>
      <c r="L199" s="32"/>
    </row>
    <row r="200" spans="1:14" x14ac:dyDescent="0.2">
      <c r="A200" s="30" t="s">
        <v>1600</v>
      </c>
      <c r="B200" s="38" t="s">
        <v>1817</v>
      </c>
      <c r="C200" s="38" t="s">
        <v>203</v>
      </c>
      <c r="D200" s="79" t="s">
        <v>2</v>
      </c>
      <c r="E200" s="79" t="s">
        <v>1596</v>
      </c>
      <c r="F200" s="88">
        <v>410000</v>
      </c>
      <c r="G200" s="79">
        <v>1.0015000000000001</v>
      </c>
      <c r="H200" s="104">
        <v>1806.26639</v>
      </c>
      <c r="I200" s="38">
        <v>-0.44820615968230121</v>
      </c>
      <c r="J200" s="38">
        <v>6.9805514972299367E-3</v>
      </c>
      <c r="K200" s="32"/>
      <c r="L200" s="32"/>
    </row>
    <row r="201" spans="1:14" x14ac:dyDescent="0.2">
      <c r="A201" s="30" t="s">
        <v>1598</v>
      </c>
      <c r="B201" s="38" t="s">
        <v>1818</v>
      </c>
      <c r="C201" s="38" t="s">
        <v>203</v>
      </c>
      <c r="D201" s="79" t="s">
        <v>127</v>
      </c>
      <c r="E201" s="79" t="s">
        <v>1596</v>
      </c>
      <c r="F201" s="88">
        <v>-508498.4</v>
      </c>
      <c r="G201" s="79">
        <v>0.99970000000000003</v>
      </c>
      <c r="H201" s="104">
        <v>-1812.25476</v>
      </c>
      <c r="I201" s="38">
        <v>0.44969211122041114</v>
      </c>
      <c r="J201" s="38">
        <v>-7.0036943323072516E-3</v>
      </c>
      <c r="K201" s="32"/>
      <c r="L201" s="32"/>
    </row>
    <row r="202" spans="1:14" s="138" customFormat="1" x14ac:dyDescent="0.2">
      <c r="A202" s="112" t="s">
        <v>1246</v>
      </c>
      <c r="B202" s="145" t="s">
        <v>240</v>
      </c>
      <c r="C202" s="145" t="s">
        <v>240</v>
      </c>
      <c r="D202" s="146" t="s">
        <v>240</v>
      </c>
      <c r="E202" s="146" t="s">
        <v>240</v>
      </c>
      <c r="F202" s="156" t="s">
        <v>240</v>
      </c>
      <c r="G202" s="146" t="s">
        <v>240</v>
      </c>
      <c r="H202" s="147">
        <v>0</v>
      </c>
      <c r="I202" s="145">
        <v>0</v>
      </c>
      <c r="J202" s="145">
        <v>0</v>
      </c>
      <c r="K202" s="178"/>
      <c r="L202" s="178"/>
      <c r="M202" s="153"/>
      <c r="N202" s="153"/>
    </row>
    <row r="203" spans="1:14" s="138" customFormat="1" x14ac:dyDescent="0.2">
      <c r="A203" s="202" t="s">
        <v>144</v>
      </c>
      <c r="B203" s="203" t="s">
        <v>240</v>
      </c>
      <c r="C203" s="203" t="s">
        <v>240</v>
      </c>
      <c r="D203" s="204" t="s">
        <v>240</v>
      </c>
      <c r="E203" s="204" t="s">
        <v>240</v>
      </c>
      <c r="F203" s="205" t="s">
        <v>240</v>
      </c>
      <c r="G203" s="204" t="s">
        <v>240</v>
      </c>
      <c r="H203" s="207">
        <v>0</v>
      </c>
      <c r="I203" s="203">
        <v>0</v>
      </c>
      <c r="J203" s="203">
        <v>0</v>
      </c>
      <c r="K203" s="178"/>
      <c r="L203" s="178"/>
      <c r="M203" s="153"/>
      <c r="N203" s="153"/>
    </row>
    <row r="204" spans="1:14" s="138" customFormat="1" x14ac:dyDescent="0.2">
      <c r="A204" s="97" t="s">
        <v>231</v>
      </c>
      <c r="B204" s="148"/>
      <c r="C204" s="97"/>
      <c r="D204" s="149"/>
      <c r="E204" s="149"/>
      <c r="F204" s="149"/>
      <c r="G204" s="150"/>
      <c r="H204" s="151"/>
      <c r="I204" s="151"/>
      <c r="J204" s="152"/>
      <c r="K204" s="169"/>
      <c r="L204" s="169"/>
      <c r="M204" s="153"/>
      <c r="N204" s="153"/>
    </row>
    <row r="205" spans="1:14" s="138" customFormat="1" x14ac:dyDescent="0.2">
      <c r="A205" s="97" t="s">
        <v>232</v>
      </c>
      <c r="B205" s="148"/>
      <c r="C205" s="97"/>
      <c r="D205" s="149"/>
      <c r="E205" s="149"/>
      <c r="F205" s="149"/>
      <c r="G205" s="150"/>
      <c r="H205" s="151"/>
      <c r="I205" s="151"/>
      <c r="J205" s="152"/>
      <c r="K205" s="169"/>
      <c r="L205" s="169"/>
      <c r="M205" s="153"/>
      <c r="N205" s="153"/>
    </row>
    <row r="206" spans="1:14" s="138" customFormat="1" x14ac:dyDescent="0.2">
      <c r="A206" s="97" t="s">
        <v>233</v>
      </c>
      <c r="B206" s="148"/>
      <c r="C206" s="97"/>
      <c r="D206" s="149"/>
      <c r="E206" s="149"/>
      <c r="F206" s="149"/>
      <c r="G206" s="150"/>
      <c r="H206" s="151"/>
      <c r="I206" s="151"/>
      <c r="J206" s="152"/>
      <c r="K206" s="169"/>
      <c r="L206" s="169"/>
      <c r="M206" s="153"/>
      <c r="N206" s="153"/>
    </row>
    <row r="207" spans="1:14" s="138" customFormat="1" x14ac:dyDescent="0.2">
      <c r="A207" s="97" t="s">
        <v>234</v>
      </c>
      <c r="B207" s="148"/>
      <c r="C207" s="97"/>
      <c r="D207" s="149"/>
      <c r="E207" s="149"/>
      <c r="F207" s="149"/>
      <c r="G207" s="150"/>
      <c r="H207" s="151"/>
      <c r="I207" s="151"/>
      <c r="J207" s="152"/>
      <c r="K207" s="169"/>
      <c r="L207" s="169"/>
      <c r="M207" s="153"/>
      <c r="N207" s="153"/>
    </row>
    <row r="208" spans="1:14" s="138" customFormat="1" x14ac:dyDescent="0.2">
      <c r="A208" s="97" t="s">
        <v>235</v>
      </c>
      <c r="B208" s="148"/>
      <c r="C208" s="97"/>
      <c r="D208" s="149"/>
      <c r="E208" s="149"/>
      <c r="F208" s="149"/>
      <c r="G208" s="150"/>
      <c r="H208" s="151"/>
      <c r="I208" s="151"/>
      <c r="J208" s="152"/>
      <c r="K208" s="169"/>
      <c r="L208" s="169"/>
      <c r="M208" s="153"/>
      <c r="N208" s="153"/>
    </row>
  </sheetData>
  <mergeCells count="2">
    <mergeCell ref="A6:J6"/>
    <mergeCell ref="A5:J5"/>
  </mergeCells>
  <conditionalFormatting sqref="B11:E203 I11:J203">
    <cfRule type="expression" dxfId="64" priority="344" stopIfTrue="1">
      <formula>OR(LEFT(#REF!,3)="TIR",LEFT(#REF!,2)="IR")</formula>
    </cfRule>
  </conditionalFormatting>
  <conditionalFormatting sqref="A11:A203 H11:I203">
    <cfRule type="expression" dxfId="63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E550-E4DF-4C5D-8CD0-85807402C898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8" customWidth="1"/>
    <col min="5" max="5" width="11.140625" style="78" customWidth="1"/>
    <col min="6" max="6" width="14.140625" style="78" customWidth="1"/>
    <col min="7" max="7" width="7.85546875" style="50" customWidth="1"/>
    <col min="8" max="8" width="11.28515625" style="80" customWidth="1"/>
    <col min="9" max="9" width="12.5703125" style="82" customWidth="1"/>
    <col min="10" max="10" width="14.140625" style="82" customWidth="1"/>
    <col min="11" max="11" width="10.5703125" style="82" customWidth="1"/>
    <col min="12" max="12" width="8.85546875" style="80" bestFit="1" customWidth="1"/>
    <col min="13" max="13" width="10.42578125" style="80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78"/>
      <c r="E1" s="78"/>
      <c r="F1" s="78"/>
      <c r="G1" s="50"/>
      <c r="H1" s="80"/>
      <c r="I1" s="81"/>
      <c r="J1" s="81"/>
      <c r="K1" s="81"/>
      <c r="L1" s="80"/>
      <c r="M1" s="80"/>
      <c r="N1" s="84"/>
      <c r="O1" s="84"/>
      <c r="P1" s="57"/>
    </row>
    <row r="2" spans="1:16" s="20" customFormat="1" x14ac:dyDescent="0.2">
      <c r="A2" s="23" t="s">
        <v>227</v>
      </c>
      <c r="B2" s="22" t="s">
        <v>153</v>
      </c>
      <c r="D2" s="78"/>
      <c r="E2" s="78"/>
      <c r="F2" s="78"/>
      <c r="G2" s="50"/>
      <c r="H2" s="80"/>
      <c r="I2" s="81"/>
      <c r="J2" s="81"/>
      <c r="K2" s="81"/>
      <c r="L2" s="80"/>
      <c r="M2" s="80"/>
      <c r="N2" s="84"/>
      <c r="O2" s="84"/>
      <c r="P2" s="57"/>
    </row>
    <row r="3" spans="1:16" s="20" customFormat="1" x14ac:dyDescent="0.2">
      <c r="A3" s="23" t="s">
        <v>228</v>
      </c>
      <c r="B3" s="22" t="s">
        <v>229</v>
      </c>
      <c r="D3" s="78"/>
      <c r="E3" s="78"/>
      <c r="F3" s="78"/>
      <c r="G3" s="50"/>
      <c r="H3" s="80"/>
      <c r="I3" s="81"/>
      <c r="J3" s="81"/>
      <c r="K3" s="81"/>
      <c r="L3" s="80"/>
      <c r="M3" s="80"/>
      <c r="N3" s="84"/>
      <c r="O3" s="84"/>
      <c r="P3" s="57"/>
    </row>
    <row r="4" spans="1:16" s="20" customFormat="1" ht="13.5" thickBot="1" x14ac:dyDescent="0.25">
      <c r="A4" s="23" t="s">
        <v>230</v>
      </c>
      <c r="B4" s="22" t="s">
        <v>237</v>
      </c>
      <c r="D4" s="78"/>
      <c r="E4" s="78"/>
      <c r="F4" s="78"/>
      <c r="G4" s="50"/>
      <c r="H4" s="80"/>
      <c r="I4" s="81"/>
      <c r="J4" s="81"/>
      <c r="K4" s="81"/>
      <c r="L4" s="80"/>
      <c r="M4" s="80"/>
      <c r="N4" s="84"/>
      <c r="O4" s="84"/>
      <c r="P4" s="57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160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4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5">
        <v>14</v>
      </c>
      <c r="P9" s="36">
        <v>15</v>
      </c>
    </row>
    <row r="10" spans="1:16" s="138" customFormat="1" ht="12.75" customHeight="1" thickBot="1" x14ac:dyDescent="0.25">
      <c r="A10" s="121" t="s">
        <v>57</v>
      </c>
      <c r="B10" s="86" t="s">
        <v>240</v>
      </c>
      <c r="C10" s="86" t="s">
        <v>240</v>
      </c>
      <c r="D10" s="122"/>
      <c r="E10" s="122" t="s">
        <v>240</v>
      </c>
      <c r="F10" s="122" t="s">
        <v>240</v>
      </c>
      <c r="G10" s="122" t="s">
        <v>240</v>
      </c>
      <c r="H10" s="122" t="s">
        <v>240</v>
      </c>
      <c r="I10" s="86" t="s">
        <v>240</v>
      </c>
      <c r="J10" s="86" t="s">
        <v>240</v>
      </c>
      <c r="K10" s="123" t="s">
        <v>240</v>
      </c>
      <c r="L10" s="122" t="s">
        <v>240</v>
      </c>
      <c r="M10" s="124">
        <v>1.2000000000000002E-6</v>
      </c>
      <c r="N10" s="86" t="s">
        <v>240</v>
      </c>
      <c r="O10" s="86">
        <v>0</v>
      </c>
      <c r="P10" s="101">
        <v>0</v>
      </c>
    </row>
    <row r="11" spans="1:16" s="138" customFormat="1" x14ac:dyDescent="0.2">
      <c r="A11" s="111" t="s">
        <v>140</v>
      </c>
      <c r="B11" s="141" t="s">
        <v>240</v>
      </c>
      <c r="C11" s="141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1" t="s">
        <v>240</v>
      </c>
      <c r="J11" s="141" t="s">
        <v>240</v>
      </c>
      <c r="K11" s="154" t="s">
        <v>240</v>
      </c>
      <c r="L11" s="142" t="s">
        <v>240</v>
      </c>
      <c r="M11" s="143">
        <v>0</v>
      </c>
      <c r="N11" s="141" t="s">
        <v>240</v>
      </c>
      <c r="O11" s="141">
        <v>0</v>
      </c>
      <c r="P11" s="141">
        <v>0</v>
      </c>
    </row>
    <row r="12" spans="1:16" s="138" customFormat="1" x14ac:dyDescent="0.2">
      <c r="A12" s="112" t="s">
        <v>1411</v>
      </c>
      <c r="B12" s="145" t="s">
        <v>240</v>
      </c>
      <c r="C12" s="145" t="s">
        <v>240</v>
      </c>
      <c r="D12" s="146" t="s">
        <v>240</v>
      </c>
      <c r="E12" s="146" t="s">
        <v>240</v>
      </c>
      <c r="F12" s="146" t="s">
        <v>240</v>
      </c>
      <c r="G12" s="146" t="s">
        <v>240</v>
      </c>
      <c r="H12" s="146" t="s">
        <v>240</v>
      </c>
      <c r="I12" s="145" t="s">
        <v>240</v>
      </c>
      <c r="J12" s="145" t="s">
        <v>240</v>
      </c>
      <c r="K12" s="156" t="s">
        <v>240</v>
      </c>
      <c r="L12" s="142" t="s">
        <v>240</v>
      </c>
      <c r="M12" s="147">
        <v>0</v>
      </c>
      <c r="N12" s="145" t="s">
        <v>240</v>
      </c>
      <c r="O12" s="145">
        <v>0</v>
      </c>
      <c r="P12" s="145">
        <v>0</v>
      </c>
    </row>
    <row r="13" spans="1:16" s="138" customFormat="1" x14ac:dyDescent="0.2">
      <c r="A13" s="112" t="s">
        <v>1412</v>
      </c>
      <c r="B13" s="145" t="s">
        <v>240</v>
      </c>
      <c r="C13" s="145" t="s">
        <v>240</v>
      </c>
      <c r="D13" s="146" t="s">
        <v>240</v>
      </c>
      <c r="E13" s="146" t="s">
        <v>240</v>
      </c>
      <c r="F13" s="146" t="s">
        <v>240</v>
      </c>
      <c r="G13" s="146" t="s">
        <v>240</v>
      </c>
      <c r="H13" s="146" t="s">
        <v>240</v>
      </c>
      <c r="I13" s="145" t="s">
        <v>240</v>
      </c>
      <c r="J13" s="145" t="s">
        <v>240</v>
      </c>
      <c r="K13" s="156" t="s">
        <v>240</v>
      </c>
      <c r="L13" s="142" t="s">
        <v>240</v>
      </c>
      <c r="M13" s="147">
        <v>0</v>
      </c>
      <c r="N13" s="145" t="s">
        <v>240</v>
      </c>
      <c r="O13" s="145">
        <v>0</v>
      </c>
      <c r="P13" s="145">
        <v>0</v>
      </c>
    </row>
    <row r="14" spans="1:16" s="138" customFormat="1" x14ac:dyDescent="0.2">
      <c r="A14" s="112" t="s">
        <v>1413</v>
      </c>
      <c r="B14" s="145" t="s">
        <v>240</v>
      </c>
      <c r="C14" s="145" t="s">
        <v>240</v>
      </c>
      <c r="D14" s="146" t="s">
        <v>240</v>
      </c>
      <c r="E14" s="146" t="s">
        <v>240</v>
      </c>
      <c r="F14" s="146" t="s">
        <v>240</v>
      </c>
      <c r="G14" s="146" t="s">
        <v>240</v>
      </c>
      <c r="H14" s="146" t="s">
        <v>240</v>
      </c>
      <c r="I14" s="145" t="s">
        <v>240</v>
      </c>
      <c r="J14" s="145" t="s">
        <v>240</v>
      </c>
      <c r="K14" s="156" t="s">
        <v>240</v>
      </c>
      <c r="L14" s="142" t="s">
        <v>240</v>
      </c>
      <c r="M14" s="147">
        <v>0</v>
      </c>
      <c r="N14" s="145" t="s">
        <v>240</v>
      </c>
      <c r="O14" s="145">
        <v>0</v>
      </c>
      <c r="P14" s="145">
        <v>0</v>
      </c>
    </row>
    <row r="15" spans="1:16" s="138" customFormat="1" x14ac:dyDescent="0.2">
      <c r="A15" s="112" t="s">
        <v>1414</v>
      </c>
      <c r="B15" s="145" t="s">
        <v>240</v>
      </c>
      <c r="C15" s="145" t="s">
        <v>240</v>
      </c>
      <c r="D15" s="146" t="s">
        <v>240</v>
      </c>
      <c r="E15" s="146" t="s">
        <v>240</v>
      </c>
      <c r="F15" s="146" t="s">
        <v>240</v>
      </c>
      <c r="G15" s="146" t="s">
        <v>240</v>
      </c>
      <c r="H15" s="146" t="s">
        <v>240</v>
      </c>
      <c r="I15" s="145" t="s">
        <v>240</v>
      </c>
      <c r="J15" s="145" t="s">
        <v>240</v>
      </c>
      <c r="K15" s="156" t="s">
        <v>240</v>
      </c>
      <c r="L15" s="142" t="s">
        <v>240</v>
      </c>
      <c r="M15" s="147">
        <v>0</v>
      </c>
      <c r="N15" s="145" t="s">
        <v>240</v>
      </c>
      <c r="O15" s="145">
        <v>0</v>
      </c>
      <c r="P15" s="145">
        <v>0</v>
      </c>
    </row>
    <row r="16" spans="1:16" s="138" customFormat="1" x14ac:dyDescent="0.2">
      <c r="A16" s="112" t="s">
        <v>1415</v>
      </c>
      <c r="B16" s="145" t="s">
        <v>240</v>
      </c>
      <c r="C16" s="145" t="s">
        <v>240</v>
      </c>
      <c r="D16" s="146" t="s">
        <v>240</v>
      </c>
      <c r="E16" s="146" t="s">
        <v>240</v>
      </c>
      <c r="F16" s="146" t="s">
        <v>240</v>
      </c>
      <c r="G16" s="146" t="s">
        <v>240</v>
      </c>
      <c r="H16" s="146" t="s">
        <v>240</v>
      </c>
      <c r="I16" s="145" t="s">
        <v>240</v>
      </c>
      <c r="J16" s="145" t="s">
        <v>240</v>
      </c>
      <c r="K16" s="156" t="s">
        <v>240</v>
      </c>
      <c r="L16" s="142" t="s">
        <v>240</v>
      </c>
      <c r="M16" s="147">
        <v>0</v>
      </c>
      <c r="N16" s="145" t="s">
        <v>240</v>
      </c>
      <c r="O16" s="145">
        <v>0</v>
      </c>
      <c r="P16" s="145">
        <v>0</v>
      </c>
    </row>
    <row r="17" spans="1:16" s="138" customFormat="1" x14ac:dyDescent="0.2">
      <c r="A17" s="112" t="s">
        <v>1416</v>
      </c>
      <c r="B17" s="145" t="s">
        <v>240</v>
      </c>
      <c r="C17" s="145" t="s">
        <v>240</v>
      </c>
      <c r="D17" s="146" t="s">
        <v>240</v>
      </c>
      <c r="E17" s="146" t="s">
        <v>240</v>
      </c>
      <c r="F17" s="146" t="s">
        <v>240</v>
      </c>
      <c r="G17" s="146" t="s">
        <v>240</v>
      </c>
      <c r="H17" s="146" t="s">
        <v>240</v>
      </c>
      <c r="I17" s="145" t="s">
        <v>240</v>
      </c>
      <c r="J17" s="145" t="s">
        <v>240</v>
      </c>
      <c r="K17" s="156" t="s">
        <v>240</v>
      </c>
      <c r="L17" s="142" t="s">
        <v>240</v>
      </c>
      <c r="M17" s="147">
        <v>0</v>
      </c>
      <c r="N17" s="145" t="s">
        <v>240</v>
      </c>
      <c r="O17" s="145">
        <v>0</v>
      </c>
      <c r="P17" s="145">
        <v>0</v>
      </c>
    </row>
    <row r="18" spans="1:16" s="138" customFormat="1" x14ac:dyDescent="0.2">
      <c r="A18" s="112" t="s">
        <v>1417</v>
      </c>
      <c r="B18" s="145" t="s">
        <v>240</v>
      </c>
      <c r="C18" s="145" t="s">
        <v>240</v>
      </c>
      <c r="D18" s="146" t="s">
        <v>240</v>
      </c>
      <c r="E18" s="146" t="s">
        <v>240</v>
      </c>
      <c r="F18" s="146" t="s">
        <v>240</v>
      </c>
      <c r="G18" s="146" t="s">
        <v>240</v>
      </c>
      <c r="H18" s="146" t="s">
        <v>240</v>
      </c>
      <c r="I18" s="145" t="s">
        <v>240</v>
      </c>
      <c r="J18" s="145" t="s">
        <v>240</v>
      </c>
      <c r="K18" s="156" t="s">
        <v>240</v>
      </c>
      <c r="L18" s="142" t="s">
        <v>240</v>
      </c>
      <c r="M18" s="147">
        <v>0</v>
      </c>
      <c r="N18" s="145" t="s">
        <v>240</v>
      </c>
      <c r="O18" s="145">
        <v>0</v>
      </c>
      <c r="P18" s="145">
        <v>0</v>
      </c>
    </row>
    <row r="19" spans="1:16" s="138" customFormat="1" x14ac:dyDescent="0.2">
      <c r="A19" s="112" t="s">
        <v>376</v>
      </c>
      <c r="B19" s="145" t="s">
        <v>240</v>
      </c>
      <c r="C19" s="145" t="s">
        <v>240</v>
      </c>
      <c r="D19" s="146" t="s">
        <v>240</v>
      </c>
      <c r="E19" s="146" t="s">
        <v>240</v>
      </c>
      <c r="F19" s="146" t="s">
        <v>240</v>
      </c>
      <c r="G19" s="146" t="s">
        <v>240</v>
      </c>
      <c r="H19" s="146" t="s">
        <v>240</v>
      </c>
      <c r="I19" s="145" t="s">
        <v>240</v>
      </c>
      <c r="J19" s="145" t="s">
        <v>240</v>
      </c>
      <c r="K19" s="156" t="s">
        <v>240</v>
      </c>
      <c r="L19" s="142" t="s">
        <v>240</v>
      </c>
      <c r="M19" s="147">
        <v>0</v>
      </c>
      <c r="N19" s="145" t="s">
        <v>240</v>
      </c>
      <c r="O19" s="145">
        <v>0</v>
      </c>
      <c r="P19" s="145">
        <v>0</v>
      </c>
    </row>
    <row r="20" spans="1:16" s="138" customFormat="1" x14ac:dyDescent="0.2">
      <c r="A20" s="112" t="s">
        <v>1411</v>
      </c>
      <c r="B20" s="145" t="s">
        <v>240</v>
      </c>
      <c r="C20" s="145" t="s">
        <v>240</v>
      </c>
      <c r="D20" s="146" t="s">
        <v>240</v>
      </c>
      <c r="E20" s="146" t="s">
        <v>240</v>
      </c>
      <c r="F20" s="146" t="s">
        <v>240</v>
      </c>
      <c r="G20" s="146" t="s">
        <v>240</v>
      </c>
      <c r="H20" s="146" t="s">
        <v>240</v>
      </c>
      <c r="I20" s="145" t="s">
        <v>240</v>
      </c>
      <c r="J20" s="145" t="s">
        <v>240</v>
      </c>
      <c r="K20" s="156" t="s">
        <v>240</v>
      </c>
      <c r="L20" s="142" t="s">
        <v>240</v>
      </c>
      <c r="M20" s="147">
        <v>0</v>
      </c>
      <c r="N20" s="145" t="s">
        <v>240</v>
      </c>
      <c r="O20" s="145">
        <v>0</v>
      </c>
      <c r="P20" s="145">
        <v>0</v>
      </c>
    </row>
    <row r="21" spans="1:16" s="138" customFormat="1" x14ac:dyDescent="0.2">
      <c r="A21" s="112" t="s">
        <v>1412</v>
      </c>
      <c r="B21" s="145" t="s">
        <v>240</v>
      </c>
      <c r="C21" s="145" t="s">
        <v>240</v>
      </c>
      <c r="D21" s="146" t="s">
        <v>240</v>
      </c>
      <c r="E21" s="146" t="s">
        <v>240</v>
      </c>
      <c r="F21" s="146" t="s">
        <v>240</v>
      </c>
      <c r="G21" s="146" t="s">
        <v>240</v>
      </c>
      <c r="H21" s="146" t="s">
        <v>240</v>
      </c>
      <c r="I21" s="145" t="s">
        <v>240</v>
      </c>
      <c r="J21" s="145" t="s">
        <v>240</v>
      </c>
      <c r="K21" s="156" t="s">
        <v>240</v>
      </c>
      <c r="L21" s="142" t="s">
        <v>240</v>
      </c>
      <c r="M21" s="147">
        <v>0</v>
      </c>
      <c r="N21" s="145" t="s">
        <v>240</v>
      </c>
      <c r="O21" s="145">
        <v>0</v>
      </c>
      <c r="P21" s="145">
        <v>0</v>
      </c>
    </row>
    <row r="22" spans="1:16" s="138" customFormat="1" x14ac:dyDescent="0.2">
      <c r="A22" s="112" t="s">
        <v>1413</v>
      </c>
      <c r="B22" s="145" t="s">
        <v>240</v>
      </c>
      <c r="C22" s="145" t="s">
        <v>240</v>
      </c>
      <c r="D22" s="146" t="s">
        <v>240</v>
      </c>
      <c r="E22" s="146" t="s">
        <v>240</v>
      </c>
      <c r="F22" s="146" t="s">
        <v>240</v>
      </c>
      <c r="G22" s="146" t="s">
        <v>240</v>
      </c>
      <c r="H22" s="146" t="s">
        <v>240</v>
      </c>
      <c r="I22" s="145" t="s">
        <v>240</v>
      </c>
      <c r="J22" s="145" t="s">
        <v>240</v>
      </c>
      <c r="K22" s="156" t="s">
        <v>240</v>
      </c>
      <c r="L22" s="142" t="s">
        <v>240</v>
      </c>
      <c r="M22" s="147">
        <v>0</v>
      </c>
      <c r="N22" s="145" t="s">
        <v>240</v>
      </c>
      <c r="O22" s="145">
        <v>0</v>
      </c>
      <c r="P22" s="145">
        <v>0</v>
      </c>
    </row>
    <row r="23" spans="1:16" s="138" customFormat="1" x14ac:dyDescent="0.2">
      <c r="A23" s="112" t="s">
        <v>1414</v>
      </c>
      <c r="B23" s="145" t="s">
        <v>240</v>
      </c>
      <c r="C23" s="145" t="s">
        <v>240</v>
      </c>
      <c r="D23" s="146" t="s">
        <v>240</v>
      </c>
      <c r="E23" s="146" t="s">
        <v>240</v>
      </c>
      <c r="F23" s="146" t="s">
        <v>240</v>
      </c>
      <c r="G23" s="146" t="s">
        <v>240</v>
      </c>
      <c r="H23" s="146" t="s">
        <v>240</v>
      </c>
      <c r="I23" s="145" t="s">
        <v>240</v>
      </c>
      <c r="J23" s="145" t="s">
        <v>240</v>
      </c>
      <c r="K23" s="156" t="s">
        <v>240</v>
      </c>
      <c r="L23" s="142" t="s">
        <v>240</v>
      </c>
      <c r="M23" s="147">
        <v>0</v>
      </c>
      <c r="N23" s="145" t="s">
        <v>240</v>
      </c>
      <c r="O23" s="145">
        <v>0</v>
      </c>
      <c r="P23" s="145">
        <v>0</v>
      </c>
    </row>
    <row r="24" spans="1:16" s="138" customFormat="1" x14ac:dyDescent="0.2">
      <c r="A24" s="112" t="s">
        <v>1415</v>
      </c>
      <c r="B24" s="145" t="s">
        <v>240</v>
      </c>
      <c r="C24" s="145" t="s">
        <v>240</v>
      </c>
      <c r="D24" s="146" t="s">
        <v>240</v>
      </c>
      <c r="E24" s="146" t="s">
        <v>240</v>
      </c>
      <c r="F24" s="146" t="s">
        <v>240</v>
      </c>
      <c r="G24" s="146" t="s">
        <v>240</v>
      </c>
      <c r="H24" s="146" t="s">
        <v>240</v>
      </c>
      <c r="I24" s="145" t="s">
        <v>240</v>
      </c>
      <c r="J24" s="145" t="s">
        <v>240</v>
      </c>
      <c r="K24" s="156" t="s">
        <v>240</v>
      </c>
      <c r="L24" s="142" t="s">
        <v>240</v>
      </c>
      <c r="M24" s="147">
        <v>0</v>
      </c>
      <c r="N24" s="145" t="s">
        <v>240</v>
      </c>
      <c r="O24" s="145">
        <v>0</v>
      </c>
      <c r="P24" s="145">
        <v>0</v>
      </c>
    </row>
    <row r="25" spans="1:16" s="138" customFormat="1" x14ac:dyDescent="0.2">
      <c r="A25" s="112" t="s">
        <v>1416</v>
      </c>
      <c r="B25" s="145" t="s">
        <v>240</v>
      </c>
      <c r="C25" s="145" t="s">
        <v>240</v>
      </c>
      <c r="D25" s="146" t="s">
        <v>240</v>
      </c>
      <c r="E25" s="146" t="s">
        <v>240</v>
      </c>
      <c r="F25" s="146" t="s">
        <v>240</v>
      </c>
      <c r="G25" s="146" t="s">
        <v>240</v>
      </c>
      <c r="H25" s="146" t="s">
        <v>240</v>
      </c>
      <c r="I25" s="145" t="s">
        <v>240</v>
      </c>
      <c r="J25" s="145" t="s">
        <v>240</v>
      </c>
      <c r="K25" s="156" t="s">
        <v>240</v>
      </c>
      <c r="L25" s="142" t="s">
        <v>240</v>
      </c>
      <c r="M25" s="147">
        <v>0</v>
      </c>
      <c r="N25" s="145" t="s">
        <v>240</v>
      </c>
      <c r="O25" s="145">
        <v>0</v>
      </c>
      <c r="P25" s="145">
        <v>0</v>
      </c>
    </row>
    <row r="26" spans="1:16" s="138" customFormat="1" x14ac:dyDescent="0.2">
      <c r="A26" s="202" t="s">
        <v>1417</v>
      </c>
      <c r="B26" s="203" t="s">
        <v>240</v>
      </c>
      <c r="C26" s="203" t="s">
        <v>240</v>
      </c>
      <c r="D26" s="204" t="s">
        <v>240</v>
      </c>
      <c r="E26" s="204" t="s">
        <v>240</v>
      </c>
      <c r="F26" s="204" t="s">
        <v>240</v>
      </c>
      <c r="G26" s="204" t="s">
        <v>240</v>
      </c>
      <c r="H26" s="204" t="s">
        <v>240</v>
      </c>
      <c r="I26" s="203" t="s">
        <v>240</v>
      </c>
      <c r="J26" s="203" t="s">
        <v>240</v>
      </c>
      <c r="K26" s="205" t="s">
        <v>240</v>
      </c>
      <c r="L26" s="241" t="s">
        <v>240</v>
      </c>
      <c r="M26" s="207">
        <v>0</v>
      </c>
      <c r="N26" s="203" t="s">
        <v>240</v>
      </c>
      <c r="O26" s="203">
        <v>0</v>
      </c>
      <c r="P26" s="203">
        <v>0</v>
      </c>
    </row>
    <row r="27" spans="1:16" s="138" customFormat="1" x14ac:dyDescent="0.2">
      <c r="A27" s="97" t="s">
        <v>231</v>
      </c>
      <c r="B27" s="148"/>
      <c r="C27" s="97"/>
      <c r="D27" s="149"/>
      <c r="E27" s="149"/>
      <c r="F27" s="149"/>
      <c r="G27" s="150"/>
      <c r="H27" s="151"/>
      <c r="I27" s="152"/>
      <c r="J27" s="152"/>
      <c r="K27" s="152"/>
      <c r="L27" s="151"/>
      <c r="M27" s="151"/>
      <c r="N27" s="157"/>
      <c r="O27" s="157"/>
      <c r="P27" s="157"/>
    </row>
    <row r="28" spans="1:16" s="138" customFormat="1" x14ac:dyDescent="0.2">
      <c r="A28" s="97" t="s">
        <v>232</v>
      </c>
      <c r="B28" s="148"/>
      <c r="C28" s="97"/>
      <c r="D28" s="149"/>
      <c r="E28" s="149"/>
      <c r="F28" s="149"/>
      <c r="G28" s="150"/>
      <c r="H28" s="151"/>
      <c r="I28" s="152"/>
      <c r="J28" s="152"/>
      <c r="K28" s="152"/>
      <c r="L28" s="151"/>
      <c r="M28" s="151"/>
      <c r="N28" s="157"/>
      <c r="O28" s="157"/>
      <c r="P28" s="157"/>
    </row>
    <row r="29" spans="1:16" s="138" customFormat="1" x14ac:dyDescent="0.2">
      <c r="A29" s="97" t="s">
        <v>233</v>
      </c>
      <c r="B29" s="148"/>
      <c r="C29" s="97"/>
      <c r="D29" s="149"/>
      <c r="E29" s="149"/>
      <c r="F29" s="149"/>
      <c r="G29" s="150"/>
      <c r="H29" s="151"/>
      <c r="I29" s="152"/>
      <c r="J29" s="152"/>
      <c r="K29" s="152"/>
      <c r="L29" s="151"/>
      <c r="M29" s="151"/>
      <c r="N29" s="157"/>
      <c r="O29" s="157"/>
      <c r="P29" s="157"/>
    </row>
    <row r="30" spans="1:16" s="138" customFormat="1" x14ac:dyDescent="0.2">
      <c r="A30" s="97" t="s">
        <v>234</v>
      </c>
      <c r="B30" s="148"/>
      <c r="C30" s="97"/>
      <c r="D30" s="149"/>
      <c r="E30" s="149"/>
      <c r="F30" s="149"/>
      <c r="G30" s="150"/>
      <c r="H30" s="151"/>
      <c r="I30" s="152"/>
      <c r="J30" s="152"/>
      <c r="K30" s="152"/>
      <c r="L30" s="151"/>
      <c r="M30" s="151"/>
      <c r="N30" s="157"/>
      <c r="O30" s="157"/>
      <c r="P30" s="157"/>
    </row>
    <row r="31" spans="1:16" s="138" customFormat="1" x14ac:dyDescent="0.2">
      <c r="A31" s="97" t="s">
        <v>235</v>
      </c>
      <c r="B31" s="148"/>
      <c r="C31" s="97"/>
      <c r="D31" s="149"/>
      <c r="E31" s="149"/>
      <c r="F31" s="149"/>
      <c r="G31" s="150"/>
      <c r="H31" s="151"/>
      <c r="I31" s="152"/>
      <c r="J31" s="152"/>
      <c r="K31" s="152"/>
      <c r="L31" s="151"/>
      <c r="M31" s="151"/>
      <c r="N31" s="157"/>
      <c r="O31" s="157"/>
      <c r="P31" s="157"/>
    </row>
  </sheetData>
  <mergeCells count="2">
    <mergeCell ref="A6:P6"/>
    <mergeCell ref="A5:P5"/>
  </mergeCells>
  <conditionalFormatting sqref="B11:F26 H11:H26 O11:P26">
    <cfRule type="expression" dxfId="62" priority="351" stopIfTrue="1">
      <formula>OR(LEFT(#REF!,3)="TIR",LEFT(#REF!,2)="IR")</formula>
    </cfRule>
  </conditionalFormatting>
  <conditionalFormatting sqref="A11:A26 M11:M26">
    <cfRule type="expression" dxfId="61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BAEA-1F4A-4883-93E0-406F7F7D1A2D}">
  <sheetPr codeName="גיליון22">
    <pageSetUpPr fitToPage="1"/>
  </sheetPr>
  <dimension ref="A1:T72"/>
  <sheetViews>
    <sheetView rightToLeft="1" topLeftCell="A6" zoomScale="80" zoomScaleNormal="80" workbookViewId="0">
      <selection activeCell="A6" sqref="A6:Q67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8" customWidth="1"/>
    <col min="7" max="7" width="11.140625" style="78" customWidth="1"/>
    <col min="8" max="8" width="7.85546875" style="78" customWidth="1"/>
    <col min="9" max="9" width="10.85546875" style="78" customWidth="1"/>
    <col min="10" max="10" width="11.28515625" style="78" customWidth="1"/>
    <col min="11" max="11" width="18.28515625" style="50" customWidth="1"/>
    <col min="12" max="12" width="14.140625" style="80" customWidth="1"/>
    <col min="13" max="13" width="10.5703125" style="82" customWidth="1"/>
    <col min="14" max="14" width="7.140625" style="82" bestFit="1" customWidth="1"/>
    <col min="15" max="15" width="10.42578125" style="82" customWidth="1"/>
    <col min="16" max="16" width="25.42578125" style="82" customWidth="1"/>
    <col min="17" max="17" width="20.7109375" style="80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2"/>
      <c r="E1" s="57"/>
      <c r="F1" s="78"/>
      <c r="G1" s="78"/>
      <c r="H1" s="78"/>
      <c r="I1" s="78"/>
      <c r="J1" s="78"/>
      <c r="K1" s="50"/>
      <c r="L1" s="80"/>
      <c r="M1" s="81"/>
      <c r="N1" s="81"/>
      <c r="O1" s="81"/>
      <c r="P1" s="81"/>
      <c r="Q1" s="80"/>
      <c r="R1" s="26"/>
      <c r="S1" s="28"/>
    </row>
    <row r="2" spans="1:20" s="20" customFormat="1" x14ac:dyDescent="0.2">
      <c r="A2" s="23" t="s">
        <v>227</v>
      </c>
      <c r="B2" s="23" t="s">
        <v>153</v>
      </c>
      <c r="C2" s="22"/>
      <c r="D2" s="22"/>
      <c r="E2" s="57"/>
      <c r="F2" s="78"/>
      <c r="G2" s="78"/>
      <c r="H2" s="78"/>
      <c r="I2" s="78"/>
      <c r="J2" s="78"/>
      <c r="K2" s="50"/>
      <c r="L2" s="80"/>
      <c r="M2" s="81"/>
      <c r="N2" s="81"/>
      <c r="O2" s="81"/>
      <c r="P2" s="81"/>
      <c r="Q2" s="80"/>
      <c r="R2" s="26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57"/>
      <c r="F3" s="78"/>
      <c r="G3" s="78"/>
      <c r="H3" s="78"/>
      <c r="I3" s="78"/>
      <c r="J3" s="78"/>
      <c r="K3" s="50"/>
      <c r="L3" s="80"/>
      <c r="M3" s="81"/>
      <c r="N3" s="81"/>
      <c r="O3" s="81"/>
      <c r="P3" s="81"/>
      <c r="Q3" s="80"/>
      <c r="R3" s="26"/>
      <c r="S3" s="28"/>
    </row>
    <row r="4" spans="1:20" s="20" customFormat="1" ht="13.5" thickBot="1" x14ac:dyDescent="0.25">
      <c r="A4" s="23" t="s">
        <v>230</v>
      </c>
      <c r="B4" s="22" t="s">
        <v>237</v>
      </c>
      <c r="C4" s="22"/>
      <c r="D4" s="22"/>
      <c r="E4" s="57"/>
      <c r="F4" s="78"/>
      <c r="G4" s="78"/>
      <c r="H4" s="78"/>
      <c r="I4" s="78"/>
      <c r="J4" s="78"/>
      <c r="K4" s="50"/>
      <c r="L4" s="80"/>
      <c r="M4" s="81"/>
      <c r="N4" s="81"/>
      <c r="O4" s="81"/>
      <c r="P4" s="81"/>
      <c r="Q4" s="80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6" t="s">
        <v>160</v>
      </c>
      <c r="B6" s="107" t="s">
        <v>80</v>
      </c>
      <c r="C6" s="107" t="s">
        <v>69</v>
      </c>
      <c r="D6" s="107" t="s">
        <v>74</v>
      </c>
      <c r="E6" s="107" t="s">
        <v>70</v>
      </c>
      <c r="F6" s="107" t="s">
        <v>13</v>
      </c>
      <c r="G6" s="107" t="s">
        <v>5</v>
      </c>
      <c r="H6" s="107" t="s">
        <v>14</v>
      </c>
      <c r="I6" s="107" t="s">
        <v>163</v>
      </c>
      <c r="J6" s="107" t="s">
        <v>6</v>
      </c>
      <c r="K6" s="108" t="s">
        <v>36</v>
      </c>
      <c r="L6" s="108" t="s">
        <v>71</v>
      </c>
      <c r="M6" s="108" t="s">
        <v>67</v>
      </c>
      <c r="N6" s="108" t="s">
        <v>68</v>
      </c>
      <c r="O6" s="108" t="s">
        <v>29</v>
      </c>
      <c r="P6" s="109" t="s">
        <v>75</v>
      </c>
      <c r="Q6" s="110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5">
        <v>15</v>
      </c>
      <c r="Q8" s="49">
        <v>16</v>
      </c>
    </row>
    <row r="9" spans="1:20" s="138" customFormat="1" ht="12.75" customHeight="1" thickBot="1" x14ac:dyDescent="0.25">
      <c r="A9" s="121" t="s">
        <v>123</v>
      </c>
      <c r="B9" s="86" t="s">
        <v>240</v>
      </c>
      <c r="C9" s="86" t="s">
        <v>240</v>
      </c>
      <c r="D9" s="86"/>
      <c r="E9" s="122" t="s">
        <v>240</v>
      </c>
      <c r="F9" s="122"/>
      <c r="G9" s="122" t="s">
        <v>240</v>
      </c>
      <c r="H9" s="123" t="s">
        <v>240</v>
      </c>
      <c r="I9" s="123"/>
      <c r="J9" s="122" t="s">
        <v>240</v>
      </c>
      <c r="K9" s="86" t="s">
        <v>240</v>
      </c>
      <c r="L9" s="86" t="s">
        <v>240</v>
      </c>
      <c r="M9" s="133" t="s">
        <v>240</v>
      </c>
      <c r="N9" s="122" t="s">
        <v>240</v>
      </c>
      <c r="O9" s="124">
        <v>3487.0393713000003</v>
      </c>
      <c r="P9" s="86">
        <v>1</v>
      </c>
      <c r="Q9" s="101">
        <v>1.3476117387218812E-2</v>
      </c>
    </row>
    <row r="10" spans="1:20" s="138" customFormat="1" x14ac:dyDescent="0.2">
      <c r="A10" s="111" t="s">
        <v>140</v>
      </c>
      <c r="B10" s="141" t="s">
        <v>240</v>
      </c>
      <c r="C10" s="141" t="s">
        <v>240</v>
      </c>
      <c r="D10" s="141" t="s">
        <v>240</v>
      </c>
      <c r="E10" s="142" t="s">
        <v>240</v>
      </c>
      <c r="F10" s="142" t="s">
        <v>240</v>
      </c>
      <c r="G10" s="142" t="s">
        <v>240</v>
      </c>
      <c r="H10" s="154" t="s">
        <v>240</v>
      </c>
      <c r="I10" s="179"/>
      <c r="J10" s="142" t="s">
        <v>240</v>
      </c>
      <c r="K10" s="141" t="s">
        <v>240</v>
      </c>
      <c r="L10" s="141" t="s">
        <v>240</v>
      </c>
      <c r="M10" s="180" t="s">
        <v>240</v>
      </c>
      <c r="N10" s="142" t="s">
        <v>240</v>
      </c>
      <c r="O10" s="143">
        <v>3487.0393709</v>
      </c>
      <c r="P10" s="141">
        <v>0.99999999988528943</v>
      </c>
      <c r="Q10" s="141">
        <v>1.3476117385672958E-2</v>
      </c>
    </row>
    <row r="11" spans="1:20" s="138" customFormat="1" x14ac:dyDescent="0.2">
      <c r="A11" s="112" t="s">
        <v>1819</v>
      </c>
      <c r="B11" s="145" t="s">
        <v>240</v>
      </c>
      <c r="C11" s="145" t="s">
        <v>240</v>
      </c>
      <c r="D11" s="145" t="s">
        <v>240</v>
      </c>
      <c r="E11" s="146"/>
      <c r="F11" s="146"/>
      <c r="G11" s="146"/>
      <c r="H11" s="156"/>
      <c r="I11" s="146"/>
      <c r="J11" s="146"/>
      <c r="K11" s="145" t="s">
        <v>240</v>
      </c>
      <c r="L11" s="145" t="s">
        <v>240</v>
      </c>
      <c r="M11" s="181" t="s">
        <v>240</v>
      </c>
      <c r="N11" s="146" t="s">
        <v>240</v>
      </c>
      <c r="O11" s="147">
        <v>3414.8712700999999</v>
      </c>
      <c r="P11" s="145">
        <v>0.97930390411018065</v>
      </c>
      <c r="Q11" s="145">
        <v>1.3197214369550467E-2</v>
      </c>
    </row>
    <row r="12" spans="1:20" s="138" customFormat="1" x14ac:dyDescent="0.2">
      <c r="A12" s="112" t="s">
        <v>1950</v>
      </c>
      <c r="B12" s="145"/>
      <c r="C12" s="145"/>
      <c r="D12" s="145"/>
      <c r="E12" s="146" t="s">
        <v>385</v>
      </c>
      <c r="F12" s="146"/>
      <c r="G12" s="146"/>
      <c r="H12" s="156">
        <v>3.161207653190079</v>
      </c>
      <c r="I12" s="146"/>
      <c r="J12" s="146" t="s">
        <v>247</v>
      </c>
      <c r="K12" s="145">
        <v>1.5535823545601766E-2</v>
      </c>
      <c r="L12" s="145">
        <v>1.5535823545601766E-2</v>
      </c>
      <c r="M12" s="181"/>
      <c r="N12" s="146"/>
      <c r="O12" s="147">
        <v>2660.0184300999999</v>
      </c>
      <c r="P12" s="145">
        <v>0.76283005348124899</v>
      </c>
      <c r="Q12" s="145">
        <v>1.0279987347211715E-2</v>
      </c>
    </row>
    <row r="13" spans="1:20" s="191" customFormat="1" x14ac:dyDescent="0.2">
      <c r="A13" s="192" t="s">
        <v>1951</v>
      </c>
      <c r="B13" s="193"/>
      <c r="C13" s="198">
        <v>26442</v>
      </c>
      <c r="D13" s="198">
        <v>26442</v>
      </c>
      <c r="E13" s="194" t="s">
        <v>385</v>
      </c>
      <c r="F13" s="194"/>
      <c r="G13" s="194"/>
      <c r="H13" s="195">
        <v>3</v>
      </c>
      <c r="I13" s="194"/>
      <c r="J13" s="194" t="s">
        <v>247</v>
      </c>
      <c r="K13" s="193">
        <v>1.8500000000000003E-2</v>
      </c>
      <c r="L13" s="193">
        <v>1.8500000000000003E-2</v>
      </c>
      <c r="M13" s="196"/>
      <c r="N13" s="194"/>
      <c r="O13" s="197">
        <v>333.13246999999996</v>
      </c>
      <c r="P13" s="193">
        <v>9.5534473382158897E-2</v>
      </c>
      <c r="Q13" s="193">
        <v>1.2874337778241041E-3</v>
      </c>
    </row>
    <row r="14" spans="1:20" s="191" customFormat="1" x14ac:dyDescent="0.2">
      <c r="A14" s="192" t="s">
        <v>1952</v>
      </c>
      <c r="B14" s="193"/>
      <c r="C14" s="198">
        <v>37179</v>
      </c>
      <c r="D14" s="198">
        <v>37179</v>
      </c>
      <c r="E14" s="194" t="s">
        <v>385</v>
      </c>
      <c r="F14" s="194"/>
      <c r="G14" s="194"/>
      <c r="H14" s="195">
        <v>6.6</v>
      </c>
      <c r="I14" s="194"/>
      <c r="J14" s="194" t="s">
        <v>247</v>
      </c>
      <c r="K14" s="193">
        <v>1.2500000000000001E-2</v>
      </c>
      <c r="L14" s="193">
        <v>1.2500000000000001E-2</v>
      </c>
      <c r="M14" s="196"/>
      <c r="N14" s="194"/>
      <c r="O14" s="197">
        <v>240.20945</v>
      </c>
      <c r="P14" s="193">
        <v>6.888636015326885E-2</v>
      </c>
      <c r="Q14" s="193">
        <v>9.2832067580368347E-4</v>
      </c>
    </row>
    <row r="15" spans="1:20" s="191" customFormat="1" x14ac:dyDescent="0.2">
      <c r="A15" s="192" t="s">
        <v>1953</v>
      </c>
      <c r="B15" s="193"/>
      <c r="C15" s="198">
        <v>37930</v>
      </c>
      <c r="D15" s="198">
        <v>37930</v>
      </c>
      <c r="E15" s="194" t="s">
        <v>385</v>
      </c>
      <c r="F15" s="194"/>
      <c r="G15" s="194"/>
      <c r="H15" s="195">
        <v>3.4</v>
      </c>
      <c r="I15" s="194"/>
      <c r="J15" s="194" t="s">
        <v>247</v>
      </c>
      <c r="K15" s="193">
        <v>2.2499999999999999E-2</v>
      </c>
      <c r="L15" s="193">
        <v>2.2499999999999999E-2</v>
      </c>
      <c r="M15" s="196"/>
      <c r="N15" s="194"/>
      <c r="O15" s="197">
        <v>181.51092</v>
      </c>
      <c r="P15" s="193">
        <v>5.2053017093503899E-2</v>
      </c>
      <c r="Q15" s="193">
        <v>7.0147256871096588E-4</v>
      </c>
    </row>
    <row r="16" spans="1:20" s="138" customFormat="1" x14ac:dyDescent="0.2">
      <c r="A16" s="112" t="s">
        <v>1820</v>
      </c>
      <c r="B16" s="145" t="s">
        <v>240</v>
      </c>
      <c r="C16" s="145" t="s">
        <v>240</v>
      </c>
      <c r="D16" s="145" t="s">
        <v>240</v>
      </c>
      <c r="E16" s="146" t="s">
        <v>240</v>
      </c>
      <c r="F16" s="146" t="s">
        <v>240</v>
      </c>
      <c r="G16" s="146" t="s">
        <v>240</v>
      </c>
      <c r="H16" s="156" t="s">
        <v>240</v>
      </c>
      <c r="I16" s="146" t="s">
        <v>240</v>
      </c>
      <c r="J16" s="146" t="s">
        <v>240</v>
      </c>
      <c r="K16" s="145" t="s">
        <v>240</v>
      </c>
      <c r="L16" s="145" t="s">
        <v>240</v>
      </c>
      <c r="M16" s="181" t="s">
        <v>240</v>
      </c>
      <c r="N16" s="146" t="s">
        <v>240</v>
      </c>
      <c r="O16" s="147">
        <v>0</v>
      </c>
      <c r="P16" s="145">
        <v>0</v>
      </c>
      <c r="Q16" s="145">
        <v>0</v>
      </c>
    </row>
    <row r="17" spans="1:18" s="138" customFormat="1" x14ac:dyDescent="0.2">
      <c r="A17" s="112" t="s">
        <v>1821</v>
      </c>
      <c r="B17" s="145" t="s">
        <v>240</v>
      </c>
      <c r="C17" s="145" t="s">
        <v>240</v>
      </c>
      <c r="D17" s="145" t="s">
        <v>240</v>
      </c>
      <c r="E17" s="146" t="s">
        <v>240</v>
      </c>
      <c r="F17" s="146" t="s">
        <v>240</v>
      </c>
      <c r="G17" s="146" t="s">
        <v>240</v>
      </c>
      <c r="H17" s="156" t="s">
        <v>240</v>
      </c>
      <c r="I17" s="146" t="s">
        <v>240</v>
      </c>
      <c r="J17" s="146" t="s">
        <v>240</v>
      </c>
      <c r="K17" s="145" t="s">
        <v>240</v>
      </c>
      <c r="L17" s="145" t="s">
        <v>240</v>
      </c>
      <c r="M17" s="181" t="s">
        <v>240</v>
      </c>
      <c r="N17" s="146" t="s">
        <v>240</v>
      </c>
      <c r="O17" s="147">
        <v>0</v>
      </c>
      <c r="P17" s="145">
        <v>0</v>
      </c>
      <c r="Q17" s="145">
        <v>0</v>
      </c>
    </row>
    <row r="18" spans="1:18" s="138" customFormat="1" x14ac:dyDescent="0.2">
      <c r="A18" s="112" t="s">
        <v>1822</v>
      </c>
      <c r="B18" s="145" t="s">
        <v>240</v>
      </c>
      <c r="C18" s="145" t="s">
        <v>240</v>
      </c>
      <c r="D18" s="145" t="s">
        <v>240</v>
      </c>
      <c r="E18" s="146" t="s">
        <v>240</v>
      </c>
      <c r="F18" s="146" t="s">
        <v>240</v>
      </c>
      <c r="G18" s="146" t="s">
        <v>240</v>
      </c>
      <c r="H18" s="156" t="s">
        <v>240</v>
      </c>
      <c r="I18" s="146" t="s">
        <v>240</v>
      </c>
      <c r="J18" s="146" t="s">
        <v>240</v>
      </c>
      <c r="K18" s="145" t="s">
        <v>240</v>
      </c>
      <c r="L18" s="145" t="s">
        <v>240</v>
      </c>
      <c r="M18" s="181" t="s">
        <v>240</v>
      </c>
      <c r="N18" s="146" t="s">
        <v>240</v>
      </c>
      <c r="O18" s="147">
        <v>72.16810009999999</v>
      </c>
      <c r="P18" s="145">
        <v>2.0696095574365445E-2</v>
      </c>
      <c r="Q18" s="145">
        <v>2.7890301341724843E-4</v>
      </c>
    </row>
    <row r="19" spans="1:18" x14ac:dyDescent="0.2">
      <c r="A19" s="30" t="s">
        <v>1823</v>
      </c>
      <c r="B19" s="38" t="s">
        <v>1824</v>
      </c>
      <c r="C19" s="38" t="s">
        <v>1825</v>
      </c>
      <c r="D19" s="38" t="s">
        <v>1826</v>
      </c>
      <c r="E19" s="79" t="s">
        <v>1443</v>
      </c>
      <c r="F19" s="79" t="s">
        <v>1827</v>
      </c>
      <c r="G19" s="79" t="s">
        <v>313</v>
      </c>
      <c r="H19" s="88">
        <v>3.54</v>
      </c>
      <c r="I19" s="79" t="s">
        <v>221</v>
      </c>
      <c r="J19" s="79" t="s">
        <v>247</v>
      </c>
      <c r="K19" s="38">
        <v>3.85E-2</v>
      </c>
      <c r="L19" s="38">
        <v>1.2699999999999999E-2</v>
      </c>
      <c r="M19" s="134">
        <v>1944.87</v>
      </c>
      <c r="N19" s="79">
        <v>146.99</v>
      </c>
      <c r="O19" s="104">
        <v>2.8587600000000002</v>
      </c>
      <c r="P19" s="38">
        <v>8.1982441136998932E-4</v>
      </c>
      <c r="Q19" s="38">
        <v>1.1048050004529539E-5</v>
      </c>
      <c r="R19" s="28"/>
    </row>
    <row r="20" spans="1:18" x14ac:dyDescent="0.2">
      <c r="A20" s="30" t="s">
        <v>1823</v>
      </c>
      <c r="B20" s="38" t="s">
        <v>1824</v>
      </c>
      <c r="C20" s="38" t="s">
        <v>1828</v>
      </c>
      <c r="D20" s="38" t="s">
        <v>1826</v>
      </c>
      <c r="E20" s="79" t="s">
        <v>1443</v>
      </c>
      <c r="F20" s="79" t="s">
        <v>1827</v>
      </c>
      <c r="G20" s="79" t="s">
        <v>313</v>
      </c>
      <c r="H20" s="88">
        <v>3.54</v>
      </c>
      <c r="I20" s="79" t="s">
        <v>221</v>
      </c>
      <c r="J20" s="79" t="s">
        <v>247</v>
      </c>
      <c r="K20" s="38">
        <v>3.85E-2</v>
      </c>
      <c r="L20" s="38">
        <v>1.2699999999999999E-2</v>
      </c>
      <c r="M20" s="134">
        <v>74.84</v>
      </c>
      <c r="N20" s="79">
        <v>146.30000000000001</v>
      </c>
      <c r="O20" s="104">
        <v>0.10948999999999999</v>
      </c>
      <c r="P20" s="38">
        <v>3.1399129273146443E-5</v>
      </c>
      <c r="Q20" s="38">
        <v>4.2313835194137983E-7</v>
      </c>
      <c r="R20" s="28"/>
    </row>
    <row r="21" spans="1:18" x14ac:dyDescent="0.2">
      <c r="A21" s="30" t="s">
        <v>1823</v>
      </c>
      <c r="B21" s="38" t="s">
        <v>1824</v>
      </c>
      <c r="C21" s="38" t="s">
        <v>1829</v>
      </c>
      <c r="D21" s="38" t="s">
        <v>1826</v>
      </c>
      <c r="E21" s="79" t="s">
        <v>1443</v>
      </c>
      <c r="F21" s="79" t="s">
        <v>1827</v>
      </c>
      <c r="G21" s="79" t="s">
        <v>313</v>
      </c>
      <c r="H21" s="88">
        <v>3.54</v>
      </c>
      <c r="I21" s="79" t="s">
        <v>221</v>
      </c>
      <c r="J21" s="79" t="s">
        <v>247</v>
      </c>
      <c r="K21" s="38">
        <v>3.85E-2</v>
      </c>
      <c r="L21" s="38">
        <v>1.2699999999999999E-2</v>
      </c>
      <c r="M21" s="134">
        <v>842</v>
      </c>
      <c r="N21" s="79">
        <v>147.69</v>
      </c>
      <c r="O21" s="104">
        <v>1.2435399999999999</v>
      </c>
      <c r="P21" s="38">
        <v>3.5661771135563547E-4</v>
      </c>
      <c r="Q21" s="38">
        <v>4.8058221405898577E-6</v>
      </c>
      <c r="R21" s="28"/>
    </row>
    <row r="22" spans="1:18" x14ac:dyDescent="0.2">
      <c r="A22" s="30" t="s">
        <v>1823</v>
      </c>
      <c r="B22" s="38" t="s">
        <v>1824</v>
      </c>
      <c r="C22" s="38" t="s">
        <v>1830</v>
      </c>
      <c r="D22" s="38" t="s">
        <v>1826</v>
      </c>
      <c r="E22" s="79" t="s">
        <v>1443</v>
      </c>
      <c r="F22" s="79" t="s">
        <v>1827</v>
      </c>
      <c r="G22" s="79" t="s">
        <v>313</v>
      </c>
      <c r="H22" s="88">
        <v>3.54</v>
      </c>
      <c r="I22" s="79" t="s">
        <v>221</v>
      </c>
      <c r="J22" s="79" t="s">
        <v>247</v>
      </c>
      <c r="K22" s="38">
        <v>3.85E-2</v>
      </c>
      <c r="L22" s="38">
        <v>1.2699999999999999E-2</v>
      </c>
      <c r="M22" s="134">
        <v>964.93</v>
      </c>
      <c r="N22" s="79">
        <v>146.16</v>
      </c>
      <c r="O22" s="104">
        <v>1.4103399999999999</v>
      </c>
      <c r="P22" s="38">
        <v>4.0445198629180155E-4</v>
      </c>
      <c r="Q22" s="38">
        <v>5.4504424447621303E-6</v>
      </c>
      <c r="R22" s="28"/>
    </row>
    <row r="23" spans="1:18" x14ac:dyDescent="0.2">
      <c r="A23" s="30" t="s">
        <v>1823</v>
      </c>
      <c r="B23" s="38" t="s">
        <v>1824</v>
      </c>
      <c r="C23" s="38" t="s">
        <v>1831</v>
      </c>
      <c r="D23" s="38" t="s">
        <v>1826</v>
      </c>
      <c r="E23" s="79" t="s">
        <v>1443</v>
      </c>
      <c r="F23" s="79" t="s">
        <v>1827</v>
      </c>
      <c r="G23" s="79" t="s">
        <v>313</v>
      </c>
      <c r="H23" s="88">
        <v>3.54</v>
      </c>
      <c r="I23" s="79" t="s">
        <v>221</v>
      </c>
      <c r="J23" s="79" t="s">
        <v>247</v>
      </c>
      <c r="K23" s="38">
        <v>3.85E-2</v>
      </c>
      <c r="L23" s="38">
        <v>1.2699999999999999E-2</v>
      </c>
      <c r="M23" s="134">
        <v>1126.06</v>
      </c>
      <c r="N23" s="79">
        <v>146.16</v>
      </c>
      <c r="O23" s="104">
        <v>1.64584</v>
      </c>
      <c r="P23" s="38">
        <v>4.7198778813512958E-4</v>
      </c>
      <c r="Q23" s="38">
        <v>6.3605628382427679E-6</v>
      </c>
      <c r="R23" s="28"/>
    </row>
    <row r="24" spans="1:18" x14ac:dyDescent="0.2">
      <c r="A24" s="30" t="s">
        <v>1823</v>
      </c>
      <c r="B24" s="38" t="s">
        <v>1824</v>
      </c>
      <c r="C24" s="38" t="s">
        <v>1832</v>
      </c>
      <c r="D24" s="38" t="s">
        <v>1826</v>
      </c>
      <c r="E24" s="79" t="s">
        <v>1443</v>
      </c>
      <c r="F24" s="79" t="s">
        <v>1827</v>
      </c>
      <c r="G24" s="79" t="s">
        <v>313</v>
      </c>
      <c r="H24" s="88">
        <v>3.54</v>
      </c>
      <c r="I24" s="79" t="s">
        <v>221</v>
      </c>
      <c r="J24" s="79" t="s">
        <v>247</v>
      </c>
      <c r="K24" s="38">
        <v>3.85E-2</v>
      </c>
      <c r="L24" s="38">
        <v>1.2699999999999998E-2</v>
      </c>
      <c r="M24" s="134">
        <v>1141.6099999999999</v>
      </c>
      <c r="N24" s="79">
        <v>146.16</v>
      </c>
      <c r="O24" s="104">
        <v>1.6685699999999999</v>
      </c>
      <c r="P24" s="38">
        <v>4.7850621181198241E-4</v>
      </c>
      <c r="Q24" s="38">
        <v>6.4484058808916632E-6</v>
      </c>
      <c r="R24" s="28"/>
    </row>
    <row r="25" spans="1:18" x14ac:dyDescent="0.2">
      <c r="A25" s="30" t="s">
        <v>1823</v>
      </c>
      <c r="B25" s="38" t="s">
        <v>1824</v>
      </c>
      <c r="C25" s="38" t="s">
        <v>1833</v>
      </c>
      <c r="D25" s="38" t="s">
        <v>1826</v>
      </c>
      <c r="E25" s="79" t="s">
        <v>1443</v>
      </c>
      <c r="F25" s="79" t="s">
        <v>1827</v>
      </c>
      <c r="G25" s="79" t="s">
        <v>313</v>
      </c>
      <c r="H25" s="88">
        <v>3.54</v>
      </c>
      <c r="I25" s="79" t="s">
        <v>221</v>
      </c>
      <c r="J25" s="79" t="s">
        <v>247</v>
      </c>
      <c r="K25" s="38">
        <v>3.85E-2</v>
      </c>
      <c r="L25" s="38">
        <v>1.2699999999999998E-2</v>
      </c>
      <c r="M25" s="134">
        <v>1072.23</v>
      </c>
      <c r="N25" s="79">
        <v>147.31</v>
      </c>
      <c r="O25" s="104">
        <v>1.5794999999999999</v>
      </c>
      <c r="P25" s="38">
        <v>4.5296305312754411E-4</v>
      </c>
      <c r="Q25" s="38">
        <v>6.1041832760198145E-6</v>
      </c>
      <c r="R25" s="28"/>
    </row>
    <row r="26" spans="1:18" x14ac:dyDescent="0.2">
      <c r="A26" s="30" t="s">
        <v>1823</v>
      </c>
      <c r="B26" s="38" t="s">
        <v>1824</v>
      </c>
      <c r="C26" s="38" t="s">
        <v>1834</v>
      </c>
      <c r="D26" s="38" t="s">
        <v>1826</v>
      </c>
      <c r="E26" s="79" t="s">
        <v>1443</v>
      </c>
      <c r="F26" s="79" t="s">
        <v>1827</v>
      </c>
      <c r="G26" s="79" t="s">
        <v>313</v>
      </c>
      <c r="H26" s="88">
        <v>3.54</v>
      </c>
      <c r="I26" s="79" t="s">
        <v>221</v>
      </c>
      <c r="J26" s="79" t="s">
        <v>247</v>
      </c>
      <c r="K26" s="38">
        <v>3.85E-2</v>
      </c>
      <c r="L26" s="38">
        <v>1.2699999999999999E-2</v>
      </c>
      <c r="M26" s="134">
        <v>272.33</v>
      </c>
      <c r="N26" s="79">
        <v>145.12</v>
      </c>
      <c r="O26" s="104">
        <v>0.3952</v>
      </c>
      <c r="P26" s="38">
        <v>1.133339655561921E-4</v>
      </c>
      <c r="Q26" s="38">
        <v>1.5273018237942583E-6</v>
      </c>
      <c r="R26" s="28"/>
    </row>
    <row r="27" spans="1:18" x14ac:dyDescent="0.2">
      <c r="A27" s="30" t="s">
        <v>1823</v>
      </c>
      <c r="B27" s="38" t="s">
        <v>1824</v>
      </c>
      <c r="C27" s="38" t="s">
        <v>1835</v>
      </c>
      <c r="D27" s="38" t="s">
        <v>1826</v>
      </c>
      <c r="E27" s="79" t="s">
        <v>1443</v>
      </c>
      <c r="F27" s="79" t="s">
        <v>1827</v>
      </c>
      <c r="G27" s="79" t="s">
        <v>313</v>
      </c>
      <c r="H27" s="88">
        <v>3.54</v>
      </c>
      <c r="I27" s="79" t="s">
        <v>221</v>
      </c>
      <c r="J27" s="79" t="s">
        <v>247</v>
      </c>
      <c r="K27" s="38">
        <v>3.85E-2</v>
      </c>
      <c r="L27" s="38">
        <v>1.2699999999999998E-2</v>
      </c>
      <c r="M27" s="134">
        <v>3529.35</v>
      </c>
      <c r="N27" s="79">
        <v>143.69999999999999</v>
      </c>
      <c r="O27" s="104">
        <v>5.0716700000000001</v>
      </c>
      <c r="P27" s="38">
        <v>1.454434395476652E-3</v>
      </c>
      <c r="Q27" s="38">
        <v>1.960012864545199E-5</v>
      </c>
      <c r="R27" s="28"/>
    </row>
    <row r="28" spans="1:18" x14ac:dyDescent="0.2">
      <c r="A28" s="30" t="s">
        <v>1823</v>
      </c>
      <c r="B28" s="38" t="s">
        <v>1824</v>
      </c>
      <c r="C28" s="38" t="s">
        <v>1836</v>
      </c>
      <c r="D28" s="38" t="s">
        <v>1826</v>
      </c>
      <c r="E28" s="79" t="s">
        <v>1443</v>
      </c>
      <c r="F28" s="79" t="s">
        <v>1827</v>
      </c>
      <c r="G28" s="79" t="s">
        <v>313</v>
      </c>
      <c r="H28" s="88">
        <v>3.54</v>
      </c>
      <c r="I28" s="79" t="s">
        <v>221</v>
      </c>
      <c r="J28" s="79" t="s">
        <v>247</v>
      </c>
      <c r="K28" s="38">
        <v>3.85E-2</v>
      </c>
      <c r="L28" s="38">
        <v>1.2699999999999999E-2</v>
      </c>
      <c r="M28" s="134">
        <v>2344.15</v>
      </c>
      <c r="N28" s="79">
        <v>144.12</v>
      </c>
      <c r="O28" s="104">
        <v>3.3783799999999999</v>
      </c>
      <c r="P28" s="38">
        <v>9.6883907529283478E-4</v>
      </c>
      <c r="Q28" s="38">
        <v>1.3056189107970765E-5</v>
      </c>
      <c r="R28" s="28"/>
    </row>
    <row r="29" spans="1:18" x14ac:dyDescent="0.2">
      <c r="A29" s="30" t="s">
        <v>1823</v>
      </c>
      <c r="B29" s="38" t="s">
        <v>1824</v>
      </c>
      <c r="C29" s="38" t="s">
        <v>1837</v>
      </c>
      <c r="D29" s="38" t="s">
        <v>1826</v>
      </c>
      <c r="E29" s="79" t="s">
        <v>1443</v>
      </c>
      <c r="F29" s="79" t="s">
        <v>1827</v>
      </c>
      <c r="G29" s="79" t="s">
        <v>313</v>
      </c>
      <c r="H29" s="88">
        <v>3.54</v>
      </c>
      <c r="I29" s="79" t="s">
        <v>221</v>
      </c>
      <c r="J29" s="79" t="s">
        <v>247</v>
      </c>
      <c r="K29" s="38">
        <v>3.85E-2</v>
      </c>
      <c r="L29" s="38">
        <v>1.2700000000000001E-2</v>
      </c>
      <c r="M29" s="134">
        <v>1738.04</v>
      </c>
      <c r="N29" s="79">
        <v>141.61000000000001</v>
      </c>
      <c r="O29" s="104">
        <v>2.46123</v>
      </c>
      <c r="P29" s="38">
        <v>7.0582225720107971E-4</v>
      </c>
      <c r="Q29" s="38">
        <v>9.5117435925534976E-6</v>
      </c>
      <c r="R29" s="28"/>
    </row>
    <row r="30" spans="1:18" x14ac:dyDescent="0.2">
      <c r="A30" s="30" t="s">
        <v>1823</v>
      </c>
      <c r="B30" s="38" t="s">
        <v>1824</v>
      </c>
      <c r="C30" s="38" t="s">
        <v>1838</v>
      </c>
      <c r="D30" s="38" t="s">
        <v>1826</v>
      </c>
      <c r="E30" s="79" t="s">
        <v>1443</v>
      </c>
      <c r="F30" s="79" t="s">
        <v>1827</v>
      </c>
      <c r="G30" s="79" t="s">
        <v>313</v>
      </c>
      <c r="H30" s="88">
        <v>3.54</v>
      </c>
      <c r="I30" s="79" t="s">
        <v>221</v>
      </c>
      <c r="J30" s="79" t="s">
        <v>247</v>
      </c>
      <c r="K30" s="38">
        <v>3.85E-2</v>
      </c>
      <c r="L30" s="38">
        <v>1.2699999999999999E-2</v>
      </c>
      <c r="M30" s="134">
        <v>1352.43</v>
      </c>
      <c r="N30" s="79">
        <v>137.49</v>
      </c>
      <c r="O30" s="104">
        <v>1.85945</v>
      </c>
      <c r="P30" s="38">
        <v>5.3324605833365748E-4</v>
      </c>
      <c r="Q30" s="38">
        <v>7.186086478376097E-6</v>
      </c>
      <c r="R30" s="28"/>
    </row>
    <row r="31" spans="1:18" x14ac:dyDescent="0.2">
      <c r="A31" s="30" t="s">
        <v>1823</v>
      </c>
      <c r="B31" s="38" t="s">
        <v>1824</v>
      </c>
      <c r="C31" s="38" t="s">
        <v>1839</v>
      </c>
      <c r="D31" s="38" t="s">
        <v>1826</v>
      </c>
      <c r="E31" s="79" t="s">
        <v>1443</v>
      </c>
      <c r="F31" s="79" t="s">
        <v>1827</v>
      </c>
      <c r="G31" s="79" t="s">
        <v>313</v>
      </c>
      <c r="H31" s="88">
        <v>3.54</v>
      </c>
      <c r="I31" s="79" t="s">
        <v>221</v>
      </c>
      <c r="J31" s="79" t="s">
        <v>247</v>
      </c>
      <c r="K31" s="38">
        <v>3.85E-2</v>
      </c>
      <c r="L31" s="38">
        <v>1.2699999999999999E-2</v>
      </c>
      <c r="M31" s="134">
        <v>1682.57</v>
      </c>
      <c r="N31" s="79">
        <v>135.33000000000001</v>
      </c>
      <c r="O31" s="104">
        <v>2.2770199999999998</v>
      </c>
      <c r="P31" s="38">
        <v>6.5299520812439409E-4</v>
      </c>
      <c r="Q31" s="38">
        <v>8.7998400779757129E-6</v>
      </c>
      <c r="R31" s="28"/>
    </row>
    <row r="32" spans="1:18" x14ac:dyDescent="0.2">
      <c r="A32" s="30" t="s">
        <v>1823</v>
      </c>
      <c r="B32" s="38" t="s">
        <v>1824</v>
      </c>
      <c r="C32" s="38" t="s">
        <v>1840</v>
      </c>
      <c r="D32" s="38" t="s">
        <v>1826</v>
      </c>
      <c r="E32" s="79" t="s">
        <v>1443</v>
      </c>
      <c r="F32" s="79" t="s">
        <v>1827</v>
      </c>
      <c r="G32" s="79" t="s">
        <v>313</v>
      </c>
      <c r="H32" s="88">
        <v>3.54</v>
      </c>
      <c r="I32" s="79" t="s">
        <v>221</v>
      </c>
      <c r="J32" s="79" t="s">
        <v>247</v>
      </c>
      <c r="K32" s="38">
        <v>3.85E-2</v>
      </c>
      <c r="L32" s="38">
        <v>1.2700000000000001E-2</v>
      </c>
      <c r="M32" s="134">
        <v>1620.27</v>
      </c>
      <c r="N32" s="79">
        <v>135.08000000000001</v>
      </c>
      <c r="O32" s="104">
        <v>2.18866</v>
      </c>
      <c r="P32" s="38">
        <v>6.2765566056228593E-4</v>
      </c>
      <c r="Q32" s="38">
        <v>8.4583613604897297E-6</v>
      </c>
      <c r="R32" s="28"/>
    </row>
    <row r="33" spans="1:18" x14ac:dyDescent="0.2">
      <c r="A33" s="30" t="s">
        <v>1823</v>
      </c>
      <c r="B33" s="38" t="s">
        <v>1824</v>
      </c>
      <c r="C33" s="38" t="s">
        <v>1841</v>
      </c>
      <c r="D33" s="38" t="s">
        <v>1826</v>
      </c>
      <c r="E33" s="79" t="s">
        <v>1443</v>
      </c>
      <c r="F33" s="79" t="s">
        <v>1827</v>
      </c>
      <c r="G33" s="79" t="s">
        <v>313</v>
      </c>
      <c r="H33" s="88">
        <v>3.54</v>
      </c>
      <c r="I33" s="79" t="s">
        <v>221</v>
      </c>
      <c r="J33" s="79" t="s">
        <v>247</v>
      </c>
      <c r="K33" s="38">
        <v>3.85E-2</v>
      </c>
      <c r="L33" s="38">
        <v>1.2699999999999999E-2</v>
      </c>
      <c r="M33" s="134">
        <v>1427.6</v>
      </c>
      <c r="N33" s="79">
        <v>134.68</v>
      </c>
      <c r="O33" s="104">
        <v>1.92269</v>
      </c>
      <c r="P33" s="38">
        <v>5.5138178703247726E-4</v>
      </c>
      <c r="Q33" s="38">
        <v>7.4304856872241458E-6</v>
      </c>
      <c r="R33" s="28"/>
    </row>
    <row r="34" spans="1:18" x14ac:dyDescent="0.2">
      <c r="A34" s="30" t="s">
        <v>1823</v>
      </c>
      <c r="B34" s="38" t="s">
        <v>1824</v>
      </c>
      <c r="C34" s="38" t="s">
        <v>1842</v>
      </c>
      <c r="D34" s="38" t="s">
        <v>1826</v>
      </c>
      <c r="E34" s="79" t="s">
        <v>1443</v>
      </c>
      <c r="F34" s="79" t="s">
        <v>1827</v>
      </c>
      <c r="G34" s="79" t="s">
        <v>313</v>
      </c>
      <c r="H34" s="88">
        <v>3.54</v>
      </c>
      <c r="I34" s="79" t="s">
        <v>221</v>
      </c>
      <c r="J34" s="79" t="s">
        <v>247</v>
      </c>
      <c r="K34" s="38">
        <v>3.85E-2</v>
      </c>
      <c r="L34" s="38">
        <v>1.2699999999999999E-2</v>
      </c>
      <c r="M34" s="134">
        <v>1480.06</v>
      </c>
      <c r="N34" s="79">
        <v>135.35</v>
      </c>
      <c r="O34" s="104">
        <v>2.00326</v>
      </c>
      <c r="P34" s="38">
        <v>5.7448734777352584E-4</v>
      </c>
      <c r="Q34" s="38">
        <v>7.7418589360680308E-6</v>
      </c>
      <c r="R34" s="28"/>
    </row>
    <row r="35" spans="1:18" x14ac:dyDescent="0.2">
      <c r="A35" s="30" t="s">
        <v>1823</v>
      </c>
      <c r="B35" s="38" t="s">
        <v>1824</v>
      </c>
      <c r="C35" s="38" t="s">
        <v>1843</v>
      </c>
      <c r="D35" s="38" t="s">
        <v>1826</v>
      </c>
      <c r="E35" s="79" t="s">
        <v>1443</v>
      </c>
      <c r="F35" s="79" t="s">
        <v>1827</v>
      </c>
      <c r="G35" s="79" t="s">
        <v>313</v>
      </c>
      <c r="H35" s="88">
        <v>3.54</v>
      </c>
      <c r="I35" s="79" t="s">
        <v>221</v>
      </c>
      <c r="J35" s="79" t="s">
        <v>247</v>
      </c>
      <c r="K35" s="38">
        <v>3.85E-2</v>
      </c>
      <c r="L35" s="38">
        <v>1.2699999999999999E-2</v>
      </c>
      <c r="M35" s="134">
        <v>1049.8900000000001</v>
      </c>
      <c r="N35" s="79">
        <v>136.82</v>
      </c>
      <c r="O35" s="104">
        <v>1.43645</v>
      </c>
      <c r="P35" s="38">
        <v>4.1193971362143766E-4</v>
      </c>
      <c r="Q35" s="38">
        <v>5.5513479372197934E-6</v>
      </c>
      <c r="R35" s="28"/>
    </row>
    <row r="36" spans="1:18" x14ac:dyDescent="0.2">
      <c r="A36" s="30" t="s">
        <v>1823</v>
      </c>
      <c r="B36" s="38" t="s">
        <v>1824</v>
      </c>
      <c r="C36" s="38" t="s">
        <v>1844</v>
      </c>
      <c r="D36" s="38" t="s">
        <v>1826</v>
      </c>
      <c r="E36" s="79" t="s">
        <v>1443</v>
      </c>
      <c r="F36" s="79" t="s">
        <v>1827</v>
      </c>
      <c r="G36" s="79" t="s">
        <v>313</v>
      </c>
      <c r="H36" s="88">
        <v>3.54</v>
      </c>
      <c r="I36" s="79" t="s">
        <v>221</v>
      </c>
      <c r="J36" s="79" t="s">
        <v>247</v>
      </c>
      <c r="K36" s="38">
        <v>3.85E-2</v>
      </c>
      <c r="L36" s="38">
        <v>1.2699999999999999E-2</v>
      </c>
      <c r="M36" s="134">
        <v>632.73</v>
      </c>
      <c r="N36" s="79">
        <v>137.79</v>
      </c>
      <c r="O36" s="104">
        <v>0.87182999999999999</v>
      </c>
      <c r="P36" s="38">
        <v>2.5002011941005812E-4</v>
      </c>
      <c r="Q36" s="38">
        <v>3.3693004783364071E-6</v>
      </c>
      <c r="R36" s="28"/>
    </row>
    <row r="37" spans="1:18" x14ac:dyDescent="0.2">
      <c r="A37" s="30" t="s">
        <v>1823</v>
      </c>
      <c r="B37" s="38" t="s">
        <v>1824</v>
      </c>
      <c r="C37" s="38" t="s">
        <v>1845</v>
      </c>
      <c r="D37" s="38" t="s">
        <v>1826</v>
      </c>
      <c r="E37" s="79" t="s">
        <v>1443</v>
      </c>
      <c r="F37" s="79" t="s">
        <v>1827</v>
      </c>
      <c r="G37" s="79" t="s">
        <v>313</v>
      </c>
      <c r="H37" s="88">
        <v>3.54</v>
      </c>
      <c r="I37" s="79" t="s">
        <v>221</v>
      </c>
      <c r="J37" s="79" t="s">
        <v>247</v>
      </c>
      <c r="K37" s="38">
        <v>3.85E-2</v>
      </c>
      <c r="L37" s="38">
        <v>1.2699999999999999E-2</v>
      </c>
      <c r="M37" s="134">
        <v>636.26</v>
      </c>
      <c r="N37" s="79">
        <v>138.19999999999999</v>
      </c>
      <c r="O37" s="104">
        <v>0.87930999999999993</v>
      </c>
      <c r="P37" s="38">
        <v>2.5216520560024109E-4</v>
      </c>
      <c r="Q37" s="38">
        <v>3.398207911641015E-6</v>
      </c>
      <c r="R37" s="28"/>
    </row>
    <row r="38" spans="1:18" x14ac:dyDescent="0.2">
      <c r="A38" s="30" t="s">
        <v>1823</v>
      </c>
      <c r="B38" s="38" t="s">
        <v>1824</v>
      </c>
      <c r="C38" s="38" t="s">
        <v>1846</v>
      </c>
      <c r="D38" s="38" t="s">
        <v>1826</v>
      </c>
      <c r="E38" s="79" t="s">
        <v>1443</v>
      </c>
      <c r="F38" s="79" t="s">
        <v>1847</v>
      </c>
      <c r="G38" s="79" t="s">
        <v>313</v>
      </c>
      <c r="H38" s="88">
        <v>3.49</v>
      </c>
      <c r="I38" s="79" t="s">
        <v>221</v>
      </c>
      <c r="J38" s="79" t="s">
        <v>247</v>
      </c>
      <c r="K38" s="38">
        <v>5.1699999999999996E-2</v>
      </c>
      <c r="L38" s="38">
        <v>1.2699999999999999E-2</v>
      </c>
      <c r="M38" s="134">
        <v>1944.89</v>
      </c>
      <c r="N38" s="79">
        <v>153.85</v>
      </c>
      <c r="O38" s="104">
        <v>2.99221</v>
      </c>
      <c r="P38" s="38">
        <v>8.580946990812085E-4</v>
      </c>
      <c r="Q38" s="38">
        <v>1.1563784894168566E-5</v>
      </c>
      <c r="R38" s="28"/>
    </row>
    <row r="39" spans="1:18" x14ac:dyDescent="0.2">
      <c r="A39" s="30" t="s">
        <v>1823</v>
      </c>
      <c r="B39" s="38" t="s">
        <v>90</v>
      </c>
      <c r="C39" s="38" t="s">
        <v>1848</v>
      </c>
      <c r="D39" s="38" t="s">
        <v>1826</v>
      </c>
      <c r="E39" s="79" t="s">
        <v>1443</v>
      </c>
      <c r="F39" s="79" t="s">
        <v>1847</v>
      </c>
      <c r="G39" s="79" t="s">
        <v>313</v>
      </c>
      <c r="H39" s="88">
        <v>3.49</v>
      </c>
      <c r="I39" s="79" t="s">
        <v>221</v>
      </c>
      <c r="J39" s="79" t="s">
        <v>247</v>
      </c>
      <c r="K39" s="38">
        <v>5.1699999999999996E-2</v>
      </c>
      <c r="L39" s="38">
        <v>1.26E-2</v>
      </c>
      <c r="M39" s="134">
        <v>74.849999999999994</v>
      </c>
      <c r="N39" s="79">
        <v>153.13</v>
      </c>
      <c r="O39" s="104">
        <v>0.11461</v>
      </c>
      <c r="P39" s="38">
        <v>3.2867423563752976E-5</v>
      </c>
      <c r="Q39" s="38">
        <v>4.4292525816057676E-7</v>
      </c>
      <c r="R39" s="28"/>
    </row>
    <row r="40" spans="1:18" x14ac:dyDescent="0.2">
      <c r="A40" s="30" t="s">
        <v>1823</v>
      </c>
      <c r="B40" s="38" t="s">
        <v>1824</v>
      </c>
      <c r="C40" s="38" t="s">
        <v>1849</v>
      </c>
      <c r="D40" s="38" t="s">
        <v>1826</v>
      </c>
      <c r="E40" s="79" t="s">
        <v>1443</v>
      </c>
      <c r="F40" s="79" t="s">
        <v>1847</v>
      </c>
      <c r="G40" s="79" t="s">
        <v>313</v>
      </c>
      <c r="H40" s="88">
        <v>3.49</v>
      </c>
      <c r="I40" s="79" t="s">
        <v>221</v>
      </c>
      <c r="J40" s="79" t="s">
        <v>247</v>
      </c>
      <c r="K40" s="38">
        <v>5.1699999999999996E-2</v>
      </c>
      <c r="L40" s="38">
        <v>1.2599999999999998E-2</v>
      </c>
      <c r="M40" s="134">
        <v>842.01</v>
      </c>
      <c r="N40" s="79">
        <v>154.58000000000001</v>
      </c>
      <c r="O40" s="104">
        <v>1.3015699999999999</v>
      </c>
      <c r="P40" s="38">
        <v>3.7325933590327164E-4</v>
      </c>
      <c r="Q40" s="38">
        <v>5.0300866265078249E-6</v>
      </c>
      <c r="R40" s="28"/>
    </row>
    <row r="41" spans="1:18" x14ac:dyDescent="0.2">
      <c r="A41" s="30" t="s">
        <v>1823</v>
      </c>
      <c r="B41" s="38" t="s">
        <v>1824</v>
      </c>
      <c r="C41" s="38" t="s">
        <v>1850</v>
      </c>
      <c r="D41" s="38" t="s">
        <v>1826</v>
      </c>
      <c r="E41" s="79" t="s">
        <v>1443</v>
      </c>
      <c r="F41" s="79" t="s">
        <v>1847</v>
      </c>
      <c r="G41" s="79" t="s">
        <v>313</v>
      </c>
      <c r="H41" s="88">
        <v>3.49</v>
      </c>
      <c r="I41" s="79" t="s">
        <v>221</v>
      </c>
      <c r="J41" s="79" t="s">
        <v>247</v>
      </c>
      <c r="K41" s="38">
        <v>5.1699999999999996E-2</v>
      </c>
      <c r="L41" s="38">
        <v>1.2699999999999999E-2</v>
      </c>
      <c r="M41" s="134">
        <v>964.93</v>
      </c>
      <c r="N41" s="79">
        <v>152.97999999999999</v>
      </c>
      <c r="O41" s="104">
        <v>1.47614</v>
      </c>
      <c r="P41" s="38">
        <v>4.2332186213592466E-4</v>
      </c>
      <c r="Q41" s="38">
        <v>5.704735106719778E-6</v>
      </c>
      <c r="R41" s="28"/>
    </row>
    <row r="42" spans="1:18" x14ac:dyDescent="0.2">
      <c r="A42" s="30" t="s">
        <v>1823</v>
      </c>
      <c r="B42" s="38" t="s">
        <v>1824</v>
      </c>
      <c r="C42" s="38" t="s">
        <v>1851</v>
      </c>
      <c r="D42" s="38" t="s">
        <v>1826</v>
      </c>
      <c r="E42" s="79" t="s">
        <v>1443</v>
      </c>
      <c r="F42" s="79" t="s">
        <v>1847</v>
      </c>
      <c r="G42" s="79" t="s">
        <v>313</v>
      </c>
      <c r="H42" s="88">
        <v>3.49</v>
      </c>
      <c r="I42" s="79" t="s">
        <v>221</v>
      </c>
      <c r="J42" s="79" t="s">
        <v>247</v>
      </c>
      <c r="K42" s="38">
        <v>5.1699999999999996E-2</v>
      </c>
      <c r="L42" s="38">
        <v>1.2699999999999999E-2</v>
      </c>
      <c r="M42" s="134">
        <v>1126.06</v>
      </c>
      <c r="N42" s="79">
        <v>152.97999999999999</v>
      </c>
      <c r="O42" s="104">
        <v>1.7226400000000002</v>
      </c>
      <c r="P42" s="38">
        <v>4.9401220249422771E-4</v>
      </c>
      <c r="Q42" s="38">
        <v>6.6573664315307219E-6</v>
      </c>
      <c r="R42" s="28"/>
    </row>
    <row r="43" spans="1:18" x14ac:dyDescent="0.2">
      <c r="A43" s="30" t="s">
        <v>1823</v>
      </c>
      <c r="B43" s="38" t="s">
        <v>1824</v>
      </c>
      <c r="C43" s="38" t="s">
        <v>1852</v>
      </c>
      <c r="D43" s="38" t="s">
        <v>1826</v>
      </c>
      <c r="E43" s="79" t="s">
        <v>1443</v>
      </c>
      <c r="F43" s="79" t="s">
        <v>1847</v>
      </c>
      <c r="G43" s="79" t="s">
        <v>313</v>
      </c>
      <c r="H43" s="88">
        <v>3.49</v>
      </c>
      <c r="I43" s="79" t="s">
        <v>221</v>
      </c>
      <c r="J43" s="79" t="s">
        <v>247</v>
      </c>
      <c r="K43" s="38">
        <v>5.1699999999999996E-2</v>
      </c>
      <c r="L43" s="38">
        <v>1.2699999999999998E-2</v>
      </c>
      <c r="M43" s="134">
        <v>1141.6099999999999</v>
      </c>
      <c r="N43" s="79">
        <v>152.97999999999999</v>
      </c>
      <c r="O43" s="104">
        <v>1.7464300000000001</v>
      </c>
      <c r="P43" s="38">
        <v>5.0083460897343268E-4</v>
      </c>
      <c r="Q43" s="38">
        <v>6.7493059821078101E-6</v>
      </c>
      <c r="R43" s="28"/>
    </row>
    <row r="44" spans="1:18" x14ac:dyDescent="0.2">
      <c r="A44" s="30" t="s">
        <v>1823</v>
      </c>
      <c r="B44" s="38" t="s">
        <v>1824</v>
      </c>
      <c r="C44" s="38" t="s">
        <v>1853</v>
      </c>
      <c r="D44" s="38" t="s">
        <v>1826</v>
      </c>
      <c r="E44" s="79" t="s">
        <v>1443</v>
      </c>
      <c r="F44" s="79" t="s">
        <v>1847</v>
      </c>
      <c r="G44" s="79" t="s">
        <v>313</v>
      </c>
      <c r="H44" s="88">
        <v>3.49</v>
      </c>
      <c r="I44" s="79" t="s">
        <v>221</v>
      </c>
      <c r="J44" s="79" t="s">
        <v>247</v>
      </c>
      <c r="K44" s="38">
        <v>5.1699999999999996E-2</v>
      </c>
      <c r="L44" s="38">
        <v>1.26E-2</v>
      </c>
      <c r="M44" s="134">
        <v>1072.24</v>
      </c>
      <c r="N44" s="79">
        <v>154.19</v>
      </c>
      <c r="O44" s="104">
        <v>1.6532800000000001</v>
      </c>
      <c r="P44" s="38">
        <v>4.7412140327616722E-4</v>
      </c>
      <c r="Q44" s="38">
        <v>6.3893156863425388E-6</v>
      </c>
      <c r="R44" s="28"/>
    </row>
    <row r="45" spans="1:18" x14ac:dyDescent="0.2">
      <c r="A45" s="30" t="s">
        <v>1823</v>
      </c>
      <c r="B45" s="38" t="s">
        <v>1824</v>
      </c>
      <c r="C45" s="38" t="s">
        <v>1854</v>
      </c>
      <c r="D45" s="38" t="s">
        <v>1826</v>
      </c>
      <c r="E45" s="79" t="s">
        <v>1443</v>
      </c>
      <c r="F45" s="79" t="s">
        <v>1847</v>
      </c>
      <c r="G45" s="79" t="s">
        <v>313</v>
      </c>
      <c r="H45" s="88">
        <v>3.49</v>
      </c>
      <c r="I45" s="79" t="s">
        <v>221</v>
      </c>
      <c r="J45" s="79" t="s">
        <v>247</v>
      </c>
      <c r="K45" s="38">
        <v>5.1699999999999996E-2</v>
      </c>
      <c r="L45" s="38">
        <v>1.2699999999999999E-2</v>
      </c>
      <c r="M45" s="134">
        <v>272.33</v>
      </c>
      <c r="N45" s="79">
        <v>151.88999999999999</v>
      </c>
      <c r="O45" s="104">
        <v>0.41364000000000001</v>
      </c>
      <c r="P45" s="38">
        <v>1.1862211921220471E-4</v>
      </c>
      <c r="Q45" s="38">
        <v>1.5985656032243344E-6</v>
      </c>
      <c r="R45" s="28"/>
    </row>
    <row r="46" spans="1:18" x14ac:dyDescent="0.2">
      <c r="A46" s="30" t="s">
        <v>1823</v>
      </c>
      <c r="B46" s="38" t="s">
        <v>1824</v>
      </c>
      <c r="C46" s="38" t="s">
        <v>1855</v>
      </c>
      <c r="D46" s="38" t="s">
        <v>1826</v>
      </c>
      <c r="E46" s="79" t="s">
        <v>1443</v>
      </c>
      <c r="F46" s="79" t="s">
        <v>1847</v>
      </c>
      <c r="G46" s="79" t="s">
        <v>313</v>
      </c>
      <c r="H46" s="88">
        <v>3.49</v>
      </c>
      <c r="I46" s="79" t="s">
        <v>221</v>
      </c>
      <c r="J46" s="79" t="s">
        <v>247</v>
      </c>
      <c r="K46" s="38">
        <v>5.1699999999999996E-2</v>
      </c>
      <c r="L46" s="38">
        <v>1.2699999999999999E-2</v>
      </c>
      <c r="M46" s="134">
        <v>3529.38</v>
      </c>
      <c r="N46" s="79">
        <v>150.4</v>
      </c>
      <c r="O46" s="104">
        <v>5.3081800000000001</v>
      </c>
      <c r="P46" s="38">
        <v>1.5222598413109005E-3</v>
      </c>
      <c r="Q46" s="38">
        <v>2.051415231535477E-5</v>
      </c>
      <c r="R46" s="28"/>
    </row>
    <row r="47" spans="1:18" x14ac:dyDescent="0.2">
      <c r="A47" s="30" t="s">
        <v>1823</v>
      </c>
      <c r="B47" s="38" t="s">
        <v>1824</v>
      </c>
      <c r="C47" s="38" t="s">
        <v>1856</v>
      </c>
      <c r="D47" s="38" t="s">
        <v>1826</v>
      </c>
      <c r="E47" s="79" t="s">
        <v>1443</v>
      </c>
      <c r="F47" s="79" t="s">
        <v>1847</v>
      </c>
      <c r="G47" s="79" t="s">
        <v>313</v>
      </c>
      <c r="H47" s="88">
        <v>3.49</v>
      </c>
      <c r="I47" s="79" t="s">
        <v>221</v>
      </c>
      <c r="J47" s="79" t="s">
        <v>247</v>
      </c>
      <c r="K47" s="38">
        <v>5.1699999999999996E-2</v>
      </c>
      <c r="L47" s="38">
        <v>1.2699999999999999E-2</v>
      </c>
      <c r="M47" s="134">
        <v>2344.14</v>
      </c>
      <c r="N47" s="79">
        <v>150.85</v>
      </c>
      <c r="O47" s="104">
        <v>3.53613</v>
      </c>
      <c r="P47" s="38">
        <v>1.0140780253598623E-3</v>
      </c>
      <c r="Q47" s="38">
        <v>1.3665834509548558E-5</v>
      </c>
      <c r="R47" s="28"/>
    </row>
    <row r="48" spans="1:18" x14ac:dyDescent="0.2">
      <c r="A48" s="30" t="s">
        <v>1823</v>
      </c>
      <c r="B48" s="38" t="s">
        <v>1824</v>
      </c>
      <c r="C48" s="38" t="s">
        <v>1857</v>
      </c>
      <c r="D48" s="38" t="s">
        <v>1826</v>
      </c>
      <c r="E48" s="79" t="s">
        <v>1443</v>
      </c>
      <c r="F48" s="79" t="s">
        <v>1847</v>
      </c>
      <c r="G48" s="79" t="s">
        <v>313</v>
      </c>
      <c r="H48" s="88">
        <v>3.49</v>
      </c>
      <c r="I48" s="79" t="s">
        <v>221</v>
      </c>
      <c r="J48" s="79" t="s">
        <v>247</v>
      </c>
      <c r="K48" s="38">
        <v>5.1699999999999996E-2</v>
      </c>
      <c r="L48" s="38">
        <v>1.2699999999999999E-2</v>
      </c>
      <c r="M48" s="134">
        <v>1738.04</v>
      </c>
      <c r="N48" s="79">
        <v>148.22</v>
      </c>
      <c r="O48" s="104">
        <v>2.57612</v>
      </c>
      <c r="P48" s="38">
        <v>7.3876997810885022E-4</v>
      </c>
      <c r="Q48" s="38">
        <v>9.9557509471479357E-6</v>
      </c>
      <c r="R48" s="28"/>
    </row>
    <row r="49" spans="1:18" x14ac:dyDescent="0.2">
      <c r="A49" s="30" t="s">
        <v>1823</v>
      </c>
      <c r="B49" s="38" t="s">
        <v>1824</v>
      </c>
      <c r="C49" s="38" t="s">
        <v>1858</v>
      </c>
      <c r="D49" s="38" t="s">
        <v>1826</v>
      </c>
      <c r="E49" s="79" t="s">
        <v>1443</v>
      </c>
      <c r="F49" s="79" t="s">
        <v>1847</v>
      </c>
      <c r="G49" s="79" t="s">
        <v>313</v>
      </c>
      <c r="H49" s="88">
        <v>3.49</v>
      </c>
      <c r="I49" s="79" t="s">
        <v>221</v>
      </c>
      <c r="J49" s="79" t="s">
        <v>247</v>
      </c>
      <c r="K49" s="38">
        <v>5.1699999999999996E-2</v>
      </c>
      <c r="L49" s="38">
        <v>1.2699999999999999E-2</v>
      </c>
      <c r="M49" s="134">
        <v>1352.43</v>
      </c>
      <c r="N49" s="79">
        <v>143.91</v>
      </c>
      <c r="O49" s="104">
        <v>1.94628</v>
      </c>
      <c r="P49" s="38">
        <v>5.5814683826595538E-4</v>
      </c>
      <c r="Q49" s="38">
        <v>7.5216523117770467E-6</v>
      </c>
      <c r="R49" s="28"/>
    </row>
    <row r="50" spans="1:18" x14ac:dyDescent="0.2">
      <c r="A50" s="30" t="s">
        <v>1823</v>
      </c>
      <c r="B50" s="38" t="s">
        <v>1824</v>
      </c>
      <c r="C50" s="38" t="s">
        <v>1859</v>
      </c>
      <c r="D50" s="38" t="s">
        <v>1826</v>
      </c>
      <c r="E50" s="79" t="s">
        <v>1443</v>
      </c>
      <c r="F50" s="79" t="s">
        <v>1847</v>
      </c>
      <c r="G50" s="79" t="s">
        <v>313</v>
      </c>
      <c r="H50" s="88">
        <v>3.49</v>
      </c>
      <c r="I50" s="79" t="s">
        <v>221</v>
      </c>
      <c r="J50" s="79" t="s">
        <v>247</v>
      </c>
      <c r="K50" s="38">
        <v>5.1699999999999996E-2</v>
      </c>
      <c r="L50" s="38">
        <v>1.2699999999999999E-2</v>
      </c>
      <c r="M50" s="134">
        <v>1682.57</v>
      </c>
      <c r="N50" s="79">
        <v>141.65</v>
      </c>
      <c r="O50" s="104">
        <v>2.3833600000000001</v>
      </c>
      <c r="P50" s="38">
        <v>6.8349099227734322E-4</v>
      </c>
      <c r="Q50" s="38">
        <v>9.2108048450361425E-6</v>
      </c>
      <c r="R50" s="28"/>
    </row>
    <row r="51" spans="1:18" x14ac:dyDescent="0.2">
      <c r="A51" s="30" t="s">
        <v>1823</v>
      </c>
      <c r="B51" s="38" t="s">
        <v>1824</v>
      </c>
      <c r="C51" s="38" t="s">
        <v>1860</v>
      </c>
      <c r="D51" s="38" t="s">
        <v>1826</v>
      </c>
      <c r="E51" s="79" t="s">
        <v>1443</v>
      </c>
      <c r="F51" s="79" t="s">
        <v>1847</v>
      </c>
      <c r="G51" s="79" t="s">
        <v>313</v>
      </c>
      <c r="H51" s="88">
        <v>3.49</v>
      </c>
      <c r="I51" s="79" t="s">
        <v>221</v>
      </c>
      <c r="J51" s="79" t="s">
        <v>247</v>
      </c>
      <c r="K51" s="38">
        <v>5.1699999999999996E-2</v>
      </c>
      <c r="L51" s="38">
        <v>1.2699999999999999E-2</v>
      </c>
      <c r="M51" s="134">
        <v>1620.27</v>
      </c>
      <c r="N51" s="79">
        <v>141.38999999999999</v>
      </c>
      <c r="O51" s="104">
        <v>2.2908900000000001</v>
      </c>
      <c r="P51" s="38">
        <v>6.5697279441554888E-4</v>
      </c>
      <c r="Q51" s="38">
        <v>8.8534424977531081E-6</v>
      </c>
      <c r="R51" s="28"/>
    </row>
    <row r="52" spans="1:18" x14ac:dyDescent="0.2">
      <c r="A52" s="30" t="s">
        <v>1823</v>
      </c>
      <c r="B52" s="38" t="s">
        <v>1824</v>
      </c>
      <c r="C52" s="38" t="s">
        <v>1861</v>
      </c>
      <c r="D52" s="38" t="s">
        <v>1826</v>
      </c>
      <c r="E52" s="79" t="s">
        <v>1443</v>
      </c>
      <c r="F52" s="79" t="s">
        <v>1847</v>
      </c>
      <c r="G52" s="79" t="s">
        <v>313</v>
      </c>
      <c r="H52" s="88">
        <v>3.49</v>
      </c>
      <c r="I52" s="79" t="s">
        <v>221</v>
      </c>
      <c r="J52" s="79" t="s">
        <v>247</v>
      </c>
      <c r="K52" s="38">
        <v>5.1699999999999996E-2</v>
      </c>
      <c r="L52" s="38">
        <v>1.2699999999999999E-2</v>
      </c>
      <c r="M52" s="134">
        <v>1427.6</v>
      </c>
      <c r="N52" s="79">
        <v>140.96</v>
      </c>
      <c r="O52" s="104">
        <v>2.01234</v>
      </c>
      <c r="P52" s="38">
        <v>5.7709127592952332E-4</v>
      </c>
      <c r="Q52" s="38">
        <v>7.7769497775661378E-6</v>
      </c>
      <c r="R52" s="28"/>
    </row>
    <row r="53" spans="1:18" x14ac:dyDescent="0.2">
      <c r="A53" s="30" t="s">
        <v>1823</v>
      </c>
      <c r="B53" s="38" t="s">
        <v>1824</v>
      </c>
      <c r="C53" s="38" t="s">
        <v>1862</v>
      </c>
      <c r="D53" s="38" t="s">
        <v>1826</v>
      </c>
      <c r="E53" s="79" t="s">
        <v>1443</v>
      </c>
      <c r="F53" s="79" t="s">
        <v>1847</v>
      </c>
      <c r="G53" s="79" t="s">
        <v>313</v>
      </c>
      <c r="H53" s="88">
        <v>3.49</v>
      </c>
      <c r="I53" s="79" t="s">
        <v>221</v>
      </c>
      <c r="J53" s="79" t="s">
        <v>247</v>
      </c>
      <c r="K53" s="38">
        <v>5.1699999999999996E-2</v>
      </c>
      <c r="L53" s="38">
        <v>1.2699999999999999E-2</v>
      </c>
      <c r="M53" s="134">
        <v>1480.06</v>
      </c>
      <c r="N53" s="79">
        <v>141.66</v>
      </c>
      <c r="O53" s="104">
        <v>2.0966499999999999</v>
      </c>
      <c r="P53" s="38">
        <v>6.0126937976566345E-4</v>
      </c>
      <c r="Q53" s="38">
        <v>8.102776743062327E-6</v>
      </c>
      <c r="R53" s="28"/>
    </row>
    <row r="54" spans="1:18" x14ac:dyDescent="0.2">
      <c r="A54" s="30" t="s">
        <v>1823</v>
      </c>
      <c r="B54" s="38" t="s">
        <v>1824</v>
      </c>
      <c r="C54" s="38" t="s">
        <v>1863</v>
      </c>
      <c r="D54" s="38" t="s">
        <v>1826</v>
      </c>
      <c r="E54" s="79" t="s">
        <v>1443</v>
      </c>
      <c r="F54" s="79" t="s">
        <v>1847</v>
      </c>
      <c r="G54" s="79" t="s">
        <v>313</v>
      </c>
      <c r="H54" s="88">
        <v>3.49</v>
      </c>
      <c r="I54" s="79" t="s">
        <v>221</v>
      </c>
      <c r="J54" s="79" t="s">
        <v>247</v>
      </c>
      <c r="K54" s="38">
        <v>5.1699999999999996E-2</v>
      </c>
      <c r="L54" s="38">
        <v>1.2700000000000001E-2</v>
      </c>
      <c r="M54" s="134">
        <v>1049.9000000000001</v>
      </c>
      <c r="N54" s="79">
        <v>143.21</v>
      </c>
      <c r="O54" s="104">
        <v>1.50356</v>
      </c>
      <c r="P54" s="38">
        <v>4.3118526632507137E-4</v>
      </c>
      <c r="Q54" s="38">
        <v>5.8107032646358677E-6</v>
      </c>
      <c r="R54" s="28"/>
    </row>
    <row r="55" spans="1:18" x14ac:dyDescent="0.2">
      <c r="A55" s="30" t="s">
        <v>1823</v>
      </c>
      <c r="B55" s="38" t="s">
        <v>1824</v>
      </c>
      <c r="C55" s="38" t="s">
        <v>1864</v>
      </c>
      <c r="D55" s="38" t="s">
        <v>1826</v>
      </c>
      <c r="E55" s="79" t="s">
        <v>1443</v>
      </c>
      <c r="F55" s="79" t="s">
        <v>1847</v>
      </c>
      <c r="G55" s="79" t="s">
        <v>313</v>
      </c>
      <c r="H55" s="88">
        <v>3.49</v>
      </c>
      <c r="I55" s="79" t="s">
        <v>221</v>
      </c>
      <c r="J55" s="79" t="s">
        <v>247</v>
      </c>
      <c r="K55" s="38">
        <v>5.1699999999999996E-2</v>
      </c>
      <c r="L55" s="38">
        <v>1.2699999999999998E-2</v>
      </c>
      <c r="M55" s="134">
        <v>632.74</v>
      </c>
      <c r="N55" s="79">
        <v>144.22</v>
      </c>
      <c r="O55" s="104">
        <v>0.91252999999999995</v>
      </c>
      <c r="P55" s="38">
        <v>2.6169191191546554E-4</v>
      </c>
      <c r="Q55" s="38">
        <v>3.5265909242585385E-6</v>
      </c>
      <c r="R55" s="28"/>
    </row>
    <row r="56" spans="1:18" x14ac:dyDescent="0.2">
      <c r="A56" s="30" t="s">
        <v>1823</v>
      </c>
      <c r="B56" s="38" t="s">
        <v>1824</v>
      </c>
      <c r="C56" s="38" t="s">
        <v>1865</v>
      </c>
      <c r="D56" s="38" t="s">
        <v>1826</v>
      </c>
      <c r="E56" s="79" t="s">
        <v>1443</v>
      </c>
      <c r="F56" s="79" t="s">
        <v>1847</v>
      </c>
      <c r="G56" s="79" t="s">
        <v>313</v>
      </c>
      <c r="H56" s="88">
        <v>3.49</v>
      </c>
      <c r="I56" s="79" t="s">
        <v>221</v>
      </c>
      <c r="J56" s="79" t="s">
        <v>247</v>
      </c>
      <c r="K56" s="38">
        <v>5.1699999999999996E-2</v>
      </c>
      <c r="L56" s="38">
        <v>1.2699999999999999E-2</v>
      </c>
      <c r="M56" s="134">
        <v>636.26</v>
      </c>
      <c r="N56" s="79">
        <v>144.65</v>
      </c>
      <c r="O56" s="104">
        <v>0.92035</v>
      </c>
      <c r="P56" s="38">
        <v>2.6393450202338414E-4</v>
      </c>
      <c r="Q56" s="38">
        <v>3.5568123318042649E-6</v>
      </c>
      <c r="R56" s="28"/>
    </row>
    <row r="57" spans="1:18" s="138" customFormat="1" x14ac:dyDescent="0.2">
      <c r="A57" s="112" t="s">
        <v>1866</v>
      </c>
      <c r="B57" s="145" t="s">
        <v>240</v>
      </c>
      <c r="C57" s="145" t="s">
        <v>240</v>
      </c>
      <c r="D57" s="145" t="s">
        <v>240</v>
      </c>
      <c r="E57" s="146" t="s">
        <v>240</v>
      </c>
      <c r="F57" s="146" t="s">
        <v>240</v>
      </c>
      <c r="G57" s="146" t="s">
        <v>240</v>
      </c>
      <c r="H57" s="156" t="s">
        <v>240</v>
      </c>
      <c r="I57" s="146" t="s">
        <v>240</v>
      </c>
      <c r="J57" s="146" t="s">
        <v>240</v>
      </c>
      <c r="K57" s="145" t="s">
        <v>240</v>
      </c>
      <c r="L57" s="145" t="s">
        <v>240</v>
      </c>
      <c r="M57" s="181" t="s">
        <v>240</v>
      </c>
      <c r="N57" s="146" t="s">
        <v>240</v>
      </c>
      <c r="O57" s="147">
        <v>0</v>
      </c>
      <c r="P57" s="145">
        <v>0</v>
      </c>
      <c r="Q57" s="145">
        <v>0</v>
      </c>
    </row>
    <row r="58" spans="1:18" s="138" customFormat="1" x14ac:dyDescent="0.2">
      <c r="A58" s="112" t="s">
        <v>1867</v>
      </c>
      <c r="B58" s="145" t="s">
        <v>240</v>
      </c>
      <c r="C58" s="145" t="s">
        <v>240</v>
      </c>
      <c r="D58" s="145" t="s">
        <v>240</v>
      </c>
      <c r="E58" s="146" t="s">
        <v>240</v>
      </c>
      <c r="F58" s="146" t="s">
        <v>240</v>
      </c>
      <c r="G58" s="146" t="s">
        <v>240</v>
      </c>
      <c r="H58" s="156">
        <v>0</v>
      </c>
      <c r="I58" s="146" t="s">
        <v>240</v>
      </c>
      <c r="J58" s="146" t="s">
        <v>240</v>
      </c>
      <c r="K58" s="145">
        <v>0</v>
      </c>
      <c r="L58" s="145">
        <v>0</v>
      </c>
      <c r="M58" s="181">
        <v>0</v>
      </c>
      <c r="N58" s="146" t="s">
        <v>240</v>
      </c>
      <c r="O58" s="147">
        <v>0</v>
      </c>
      <c r="P58" s="145">
        <v>0</v>
      </c>
      <c r="Q58" s="145">
        <v>0</v>
      </c>
    </row>
    <row r="59" spans="1:18" s="138" customFormat="1" x14ac:dyDescent="0.2">
      <c r="A59" s="112" t="s">
        <v>1868</v>
      </c>
      <c r="B59" s="145" t="s">
        <v>240</v>
      </c>
      <c r="C59" s="145" t="s">
        <v>240</v>
      </c>
      <c r="D59" s="145" t="s">
        <v>240</v>
      </c>
      <c r="E59" s="146" t="s">
        <v>240</v>
      </c>
      <c r="F59" s="146" t="s">
        <v>240</v>
      </c>
      <c r="G59" s="146" t="s">
        <v>240</v>
      </c>
      <c r="H59" s="156" t="s">
        <v>240</v>
      </c>
      <c r="I59" s="146" t="s">
        <v>240</v>
      </c>
      <c r="J59" s="146" t="s">
        <v>240</v>
      </c>
      <c r="K59" s="145" t="s">
        <v>240</v>
      </c>
      <c r="L59" s="145" t="s">
        <v>240</v>
      </c>
      <c r="M59" s="181" t="s">
        <v>240</v>
      </c>
      <c r="N59" s="146" t="s">
        <v>240</v>
      </c>
      <c r="O59" s="147">
        <v>0</v>
      </c>
      <c r="P59" s="145">
        <v>0</v>
      </c>
      <c r="Q59" s="145">
        <v>0</v>
      </c>
    </row>
    <row r="60" spans="1:18" s="138" customFormat="1" x14ac:dyDescent="0.2">
      <c r="A60" s="112" t="s">
        <v>1869</v>
      </c>
      <c r="B60" s="145" t="s">
        <v>240</v>
      </c>
      <c r="C60" s="145" t="s">
        <v>240</v>
      </c>
      <c r="D60" s="145" t="s">
        <v>240</v>
      </c>
      <c r="E60" s="146" t="s">
        <v>240</v>
      </c>
      <c r="F60" s="146" t="s">
        <v>240</v>
      </c>
      <c r="G60" s="146" t="s">
        <v>240</v>
      </c>
      <c r="H60" s="156" t="s">
        <v>240</v>
      </c>
      <c r="I60" s="146" t="s">
        <v>240</v>
      </c>
      <c r="J60" s="146" t="s">
        <v>240</v>
      </c>
      <c r="K60" s="145" t="s">
        <v>240</v>
      </c>
      <c r="L60" s="145" t="s">
        <v>240</v>
      </c>
      <c r="M60" s="181" t="s">
        <v>240</v>
      </c>
      <c r="N60" s="146" t="s">
        <v>240</v>
      </c>
      <c r="O60" s="147">
        <v>0</v>
      </c>
      <c r="P60" s="145">
        <v>0</v>
      </c>
      <c r="Q60" s="145">
        <v>0</v>
      </c>
    </row>
    <row r="61" spans="1:18" s="138" customFormat="1" x14ac:dyDescent="0.2">
      <c r="A61" s="112" t="s">
        <v>1870</v>
      </c>
      <c r="B61" s="145" t="s">
        <v>240</v>
      </c>
      <c r="C61" s="145" t="s">
        <v>240</v>
      </c>
      <c r="D61" s="145" t="s">
        <v>240</v>
      </c>
      <c r="E61" s="146" t="s">
        <v>240</v>
      </c>
      <c r="F61" s="146" t="s">
        <v>240</v>
      </c>
      <c r="G61" s="146" t="s">
        <v>240</v>
      </c>
      <c r="H61" s="156">
        <v>0</v>
      </c>
      <c r="I61" s="146" t="s">
        <v>240</v>
      </c>
      <c r="J61" s="146" t="s">
        <v>240</v>
      </c>
      <c r="K61" s="145">
        <v>0</v>
      </c>
      <c r="L61" s="145">
        <v>0</v>
      </c>
      <c r="M61" s="181">
        <v>0</v>
      </c>
      <c r="N61" s="146" t="s">
        <v>240</v>
      </c>
      <c r="O61" s="147">
        <v>0</v>
      </c>
      <c r="P61" s="145">
        <v>0</v>
      </c>
      <c r="Q61" s="145">
        <v>0</v>
      </c>
    </row>
    <row r="62" spans="1:18" s="138" customFormat="1" x14ac:dyDescent="0.2">
      <c r="A62" s="112" t="s">
        <v>1871</v>
      </c>
      <c r="B62" s="145" t="s">
        <v>240</v>
      </c>
      <c r="C62" s="145" t="s">
        <v>240</v>
      </c>
      <c r="D62" s="145" t="s">
        <v>240</v>
      </c>
      <c r="E62" s="146" t="s">
        <v>240</v>
      </c>
      <c r="F62" s="146" t="s">
        <v>240</v>
      </c>
      <c r="G62" s="146" t="s">
        <v>240</v>
      </c>
      <c r="H62" s="156" t="s">
        <v>240</v>
      </c>
      <c r="I62" s="146" t="s">
        <v>240</v>
      </c>
      <c r="J62" s="146" t="s">
        <v>240</v>
      </c>
      <c r="K62" s="145" t="s">
        <v>240</v>
      </c>
      <c r="L62" s="145" t="s">
        <v>240</v>
      </c>
      <c r="M62" s="181" t="s">
        <v>240</v>
      </c>
      <c r="N62" s="146" t="s">
        <v>240</v>
      </c>
      <c r="O62" s="147">
        <v>0</v>
      </c>
      <c r="P62" s="145">
        <v>0</v>
      </c>
      <c r="Q62" s="145">
        <v>0</v>
      </c>
    </row>
    <row r="63" spans="1:18" s="138" customFormat="1" x14ac:dyDescent="0.2">
      <c r="A63" s="112" t="s">
        <v>376</v>
      </c>
      <c r="B63" s="145" t="s">
        <v>240</v>
      </c>
      <c r="C63" s="145" t="s">
        <v>240</v>
      </c>
      <c r="D63" s="145" t="s">
        <v>240</v>
      </c>
      <c r="E63" s="146" t="s">
        <v>240</v>
      </c>
      <c r="F63" s="146" t="s">
        <v>240</v>
      </c>
      <c r="G63" s="146" t="s">
        <v>240</v>
      </c>
      <c r="H63" s="156" t="s">
        <v>240</v>
      </c>
      <c r="I63" s="146" t="s">
        <v>240</v>
      </c>
      <c r="J63" s="146" t="s">
        <v>240</v>
      </c>
      <c r="K63" s="145" t="s">
        <v>240</v>
      </c>
      <c r="L63" s="145" t="s">
        <v>240</v>
      </c>
      <c r="M63" s="181" t="s">
        <v>240</v>
      </c>
      <c r="N63" s="146" t="s">
        <v>240</v>
      </c>
      <c r="O63" s="147">
        <v>0</v>
      </c>
      <c r="P63" s="145">
        <v>0</v>
      </c>
      <c r="Q63" s="145">
        <v>0</v>
      </c>
    </row>
    <row r="64" spans="1:18" s="138" customFormat="1" x14ac:dyDescent="0.2">
      <c r="A64" s="112" t="s">
        <v>1820</v>
      </c>
      <c r="B64" s="145" t="s">
        <v>240</v>
      </c>
      <c r="C64" s="145" t="s">
        <v>240</v>
      </c>
      <c r="D64" s="145" t="s">
        <v>240</v>
      </c>
      <c r="E64" s="146" t="s">
        <v>240</v>
      </c>
      <c r="F64" s="146" t="s">
        <v>240</v>
      </c>
      <c r="G64" s="146" t="s">
        <v>240</v>
      </c>
      <c r="H64" s="156" t="s">
        <v>240</v>
      </c>
      <c r="I64" s="146" t="s">
        <v>240</v>
      </c>
      <c r="J64" s="146" t="s">
        <v>240</v>
      </c>
      <c r="K64" s="145" t="s">
        <v>240</v>
      </c>
      <c r="L64" s="145" t="s">
        <v>240</v>
      </c>
      <c r="M64" s="181" t="s">
        <v>240</v>
      </c>
      <c r="N64" s="146" t="s">
        <v>240</v>
      </c>
      <c r="O64" s="147">
        <v>0</v>
      </c>
      <c r="P64" s="145">
        <v>0</v>
      </c>
      <c r="Q64" s="145">
        <v>0</v>
      </c>
    </row>
    <row r="65" spans="1:18" s="138" customFormat="1" x14ac:dyDescent="0.2">
      <c r="A65" s="112" t="s">
        <v>1821</v>
      </c>
      <c r="B65" s="145" t="s">
        <v>240</v>
      </c>
      <c r="C65" s="145" t="s">
        <v>240</v>
      </c>
      <c r="D65" s="145" t="s">
        <v>240</v>
      </c>
      <c r="E65" s="146" t="s">
        <v>240</v>
      </c>
      <c r="F65" s="146" t="s">
        <v>240</v>
      </c>
      <c r="G65" s="146" t="s">
        <v>240</v>
      </c>
      <c r="H65" s="156" t="s">
        <v>240</v>
      </c>
      <c r="I65" s="146" t="s">
        <v>240</v>
      </c>
      <c r="J65" s="146" t="s">
        <v>240</v>
      </c>
      <c r="K65" s="145" t="s">
        <v>240</v>
      </c>
      <c r="L65" s="145" t="s">
        <v>240</v>
      </c>
      <c r="M65" s="181" t="s">
        <v>240</v>
      </c>
      <c r="N65" s="146" t="s">
        <v>240</v>
      </c>
      <c r="O65" s="147">
        <v>0</v>
      </c>
      <c r="P65" s="145">
        <v>0</v>
      </c>
      <c r="Q65" s="145">
        <v>0</v>
      </c>
    </row>
    <row r="66" spans="1:18" s="138" customFormat="1" x14ac:dyDescent="0.2">
      <c r="A66" s="112" t="s">
        <v>1822</v>
      </c>
      <c r="B66" s="145" t="s">
        <v>240</v>
      </c>
      <c r="C66" s="145" t="s">
        <v>240</v>
      </c>
      <c r="D66" s="145" t="s">
        <v>240</v>
      </c>
      <c r="E66" s="146" t="s">
        <v>240</v>
      </c>
      <c r="F66" s="146" t="s">
        <v>240</v>
      </c>
      <c r="G66" s="146" t="s">
        <v>240</v>
      </c>
      <c r="H66" s="156" t="s">
        <v>240</v>
      </c>
      <c r="I66" s="146" t="s">
        <v>240</v>
      </c>
      <c r="J66" s="146" t="s">
        <v>240</v>
      </c>
      <c r="K66" s="145" t="s">
        <v>240</v>
      </c>
      <c r="L66" s="145" t="s">
        <v>240</v>
      </c>
      <c r="M66" s="181" t="s">
        <v>240</v>
      </c>
      <c r="N66" s="146" t="s">
        <v>240</v>
      </c>
      <c r="O66" s="147">
        <v>0</v>
      </c>
      <c r="P66" s="145">
        <v>0</v>
      </c>
      <c r="Q66" s="145">
        <v>0</v>
      </c>
    </row>
    <row r="67" spans="1:18" s="138" customFormat="1" x14ac:dyDescent="0.2">
      <c r="A67" s="202" t="s">
        <v>1871</v>
      </c>
      <c r="B67" s="203" t="s">
        <v>240</v>
      </c>
      <c r="C67" s="203" t="s">
        <v>240</v>
      </c>
      <c r="D67" s="203" t="s">
        <v>240</v>
      </c>
      <c r="E67" s="204" t="s">
        <v>240</v>
      </c>
      <c r="F67" s="204" t="s">
        <v>240</v>
      </c>
      <c r="G67" s="204" t="s">
        <v>240</v>
      </c>
      <c r="H67" s="205" t="s">
        <v>240</v>
      </c>
      <c r="I67" s="204" t="s">
        <v>240</v>
      </c>
      <c r="J67" s="204" t="s">
        <v>240</v>
      </c>
      <c r="K67" s="203" t="s">
        <v>240</v>
      </c>
      <c r="L67" s="203" t="s">
        <v>240</v>
      </c>
      <c r="M67" s="206" t="s">
        <v>240</v>
      </c>
      <c r="N67" s="204" t="s">
        <v>240</v>
      </c>
      <c r="O67" s="207">
        <v>0</v>
      </c>
      <c r="P67" s="203">
        <v>0</v>
      </c>
      <c r="Q67" s="203">
        <v>0</v>
      </c>
    </row>
    <row r="68" spans="1:18" s="138" customFormat="1" x14ac:dyDescent="0.2">
      <c r="A68" s="97" t="s">
        <v>231</v>
      </c>
      <c r="B68" s="97"/>
      <c r="C68" s="148"/>
      <c r="D68" s="148"/>
      <c r="E68" s="148"/>
      <c r="F68" s="149"/>
      <c r="G68" s="149"/>
      <c r="H68" s="149"/>
      <c r="I68" s="149"/>
      <c r="J68" s="149"/>
      <c r="K68" s="150"/>
      <c r="L68" s="151"/>
      <c r="M68" s="152"/>
      <c r="N68" s="152"/>
      <c r="O68" s="152"/>
      <c r="P68" s="152"/>
      <c r="Q68" s="151"/>
      <c r="R68" s="153"/>
    </row>
    <row r="69" spans="1:18" s="138" customFormat="1" x14ac:dyDescent="0.2">
      <c r="A69" s="97" t="s">
        <v>232</v>
      </c>
      <c r="B69" s="97"/>
      <c r="C69" s="148"/>
      <c r="D69" s="148"/>
      <c r="E69" s="148"/>
      <c r="F69" s="149"/>
      <c r="G69" s="149"/>
      <c r="H69" s="149"/>
      <c r="I69" s="149"/>
      <c r="J69" s="149"/>
      <c r="K69" s="150"/>
      <c r="L69" s="151"/>
      <c r="M69" s="152"/>
      <c r="N69" s="152"/>
      <c r="O69" s="152"/>
      <c r="P69" s="152"/>
      <c r="Q69" s="151"/>
      <c r="R69" s="153"/>
    </row>
    <row r="70" spans="1:18" s="138" customFormat="1" x14ac:dyDescent="0.2">
      <c r="A70" s="97" t="s">
        <v>233</v>
      </c>
      <c r="B70" s="97"/>
      <c r="C70" s="148"/>
      <c r="D70" s="148"/>
      <c r="E70" s="148"/>
      <c r="F70" s="149"/>
      <c r="G70" s="149"/>
      <c r="H70" s="149"/>
      <c r="I70" s="149"/>
      <c r="J70" s="149"/>
      <c r="K70" s="150"/>
      <c r="L70" s="151"/>
      <c r="M70" s="152"/>
      <c r="N70" s="152"/>
      <c r="O70" s="152"/>
      <c r="P70" s="152"/>
      <c r="Q70" s="151"/>
      <c r="R70" s="153"/>
    </row>
    <row r="71" spans="1:18" s="138" customFormat="1" x14ac:dyDescent="0.2">
      <c r="A71" s="97" t="s">
        <v>234</v>
      </c>
      <c r="B71" s="97"/>
      <c r="C71" s="148"/>
      <c r="D71" s="148"/>
      <c r="E71" s="148"/>
      <c r="F71" s="149"/>
      <c r="G71" s="149"/>
      <c r="H71" s="149"/>
      <c r="I71" s="149"/>
      <c r="J71" s="149"/>
      <c r="K71" s="150"/>
      <c r="L71" s="151"/>
      <c r="M71" s="152"/>
      <c r="N71" s="152"/>
      <c r="O71" s="152"/>
      <c r="P71" s="152"/>
      <c r="Q71" s="151"/>
      <c r="R71" s="153"/>
    </row>
    <row r="72" spans="1:18" s="138" customFormat="1" x14ac:dyDescent="0.2">
      <c r="A72" s="97" t="s">
        <v>235</v>
      </c>
      <c r="B72" s="97"/>
      <c r="C72" s="148"/>
      <c r="D72" s="148"/>
      <c r="E72" s="148"/>
      <c r="F72" s="149"/>
      <c r="G72" s="149"/>
      <c r="H72" s="149"/>
      <c r="I72" s="149"/>
      <c r="J72" s="149"/>
      <c r="K72" s="150"/>
      <c r="L72" s="151"/>
      <c r="M72" s="152"/>
      <c r="N72" s="152"/>
      <c r="O72" s="152"/>
      <c r="P72" s="152"/>
      <c r="Q72" s="151"/>
      <c r="R72" s="153"/>
    </row>
  </sheetData>
  <sortState ref="A15:AA52">
    <sortCondition ref="A15:A52" customList="א,ב,ג,ד,ה,ו,ז,ח,ט,י,כ,ל,מ,נ,ס,ע,פ,צ,ק,ר,ש,ת"/>
  </sortState>
  <mergeCells count="1">
    <mergeCell ref="A5:Q5"/>
  </mergeCells>
  <conditionalFormatting sqref="B10:G67 J10:J67 P10:Q67 I11:I67">
    <cfRule type="expression" dxfId="60" priority="360" stopIfTrue="1">
      <formula>OR(LEFT(#REF!,3)="TIR",LEFT(#REF!,2)="IR")</formula>
    </cfRule>
  </conditionalFormatting>
  <conditionalFormatting sqref="A10:A67 O10:P67">
    <cfRule type="expression" dxfId="59" priority="364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9 I22 I24 I27:I36 I38:I55 I57:I59 I62:I67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A030-C876-439A-9F8B-251EEAD14507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8" customWidth="1"/>
    <col min="6" max="6" width="7.85546875" style="78" customWidth="1"/>
    <col min="7" max="7" width="11.28515625" style="78" customWidth="1"/>
    <col min="8" max="8" width="17.7109375" style="50" customWidth="1"/>
    <col min="9" max="9" width="14.140625" style="80" customWidth="1"/>
    <col min="10" max="10" width="10.5703125" style="82" customWidth="1"/>
    <col min="11" max="11" width="7" style="82" customWidth="1"/>
    <col min="12" max="12" width="10.42578125" style="82" customWidth="1"/>
    <col min="13" max="13" width="25.42578125" style="82" customWidth="1"/>
    <col min="14" max="14" width="20.7109375" style="80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226</v>
      </c>
      <c r="B1" s="23" t="s">
        <v>236</v>
      </c>
      <c r="C1" s="22"/>
      <c r="D1" s="57"/>
      <c r="E1" s="78"/>
      <c r="F1" s="78"/>
      <c r="G1" s="78"/>
      <c r="H1" s="50"/>
      <c r="I1" s="80"/>
      <c r="J1" s="81"/>
      <c r="K1" s="81"/>
      <c r="L1" s="81"/>
      <c r="M1" s="81"/>
      <c r="N1" s="80"/>
      <c r="O1" s="26"/>
      <c r="P1" s="28"/>
    </row>
    <row r="2" spans="1:17" s="20" customFormat="1" x14ac:dyDescent="0.2">
      <c r="A2" s="23" t="s">
        <v>227</v>
      </c>
      <c r="B2" s="23" t="s">
        <v>153</v>
      </c>
      <c r="C2" s="22"/>
      <c r="D2" s="57"/>
      <c r="E2" s="78"/>
      <c r="F2" s="78"/>
      <c r="G2" s="78"/>
      <c r="H2" s="50"/>
      <c r="I2" s="80"/>
      <c r="J2" s="81"/>
      <c r="K2" s="81"/>
      <c r="L2" s="81"/>
      <c r="M2" s="81"/>
      <c r="N2" s="80"/>
      <c r="O2" s="26"/>
      <c r="P2" s="28"/>
    </row>
    <row r="3" spans="1:17" s="20" customFormat="1" x14ac:dyDescent="0.2">
      <c r="A3" s="23" t="s">
        <v>228</v>
      </c>
      <c r="B3" s="22" t="s">
        <v>229</v>
      </c>
      <c r="C3" s="22"/>
      <c r="D3" s="57"/>
      <c r="E3" s="78"/>
      <c r="F3" s="78"/>
      <c r="G3" s="78"/>
      <c r="H3" s="50"/>
      <c r="I3" s="80"/>
      <c r="J3" s="81"/>
      <c r="K3" s="81"/>
      <c r="L3" s="81"/>
      <c r="M3" s="81"/>
      <c r="N3" s="80"/>
      <c r="O3" s="26"/>
      <c r="P3" s="28"/>
    </row>
    <row r="4" spans="1:17" s="20" customFormat="1" ht="13.5" thickBot="1" x14ac:dyDescent="0.25">
      <c r="A4" s="23" t="s">
        <v>230</v>
      </c>
      <c r="B4" s="22" t="s">
        <v>237</v>
      </c>
      <c r="C4" s="22"/>
      <c r="D4" s="57"/>
      <c r="E4" s="78"/>
      <c r="F4" s="78"/>
      <c r="G4" s="78"/>
      <c r="H4" s="50"/>
      <c r="I4" s="80"/>
      <c r="J4" s="81"/>
      <c r="K4" s="81"/>
      <c r="L4" s="81"/>
      <c r="M4" s="81"/>
      <c r="N4" s="80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6" t="s">
        <v>160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14</v>
      </c>
      <c r="G6" s="107" t="s">
        <v>6</v>
      </c>
      <c r="H6" s="108" t="s">
        <v>89</v>
      </c>
      <c r="I6" s="108" t="s">
        <v>71</v>
      </c>
      <c r="J6" s="108" t="s">
        <v>67</v>
      </c>
      <c r="K6" s="108" t="s">
        <v>68</v>
      </c>
      <c r="L6" s="108" t="s">
        <v>29</v>
      </c>
      <c r="M6" s="109" t="s">
        <v>75</v>
      </c>
      <c r="N6" s="110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4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5">
        <v>12</v>
      </c>
      <c r="N8" s="49">
        <v>13</v>
      </c>
    </row>
    <row r="9" spans="1:17" s="138" customFormat="1" ht="12.75" customHeight="1" thickBot="1" x14ac:dyDescent="0.25">
      <c r="A9" s="121" t="s">
        <v>124</v>
      </c>
      <c r="B9" s="86" t="s">
        <v>240</v>
      </c>
      <c r="C9" s="122" t="s">
        <v>240</v>
      </c>
      <c r="D9" s="122"/>
      <c r="E9" s="122" t="s">
        <v>240</v>
      </c>
      <c r="F9" s="122" t="s">
        <v>240</v>
      </c>
      <c r="G9" s="122" t="s">
        <v>240</v>
      </c>
      <c r="H9" s="86" t="s">
        <v>240</v>
      </c>
      <c r="I9" s="86" t="s">
        <v>240</v>
      </c>
      <c r="J9" s="123" t="s">
        <v>240</v>
      </c>
      <c r="K9" s="122" t="s">
        <v>240</v>
      </c>
      <c r="L9" s="124">
        <v>6.0000000000000008E-7</v>
      </c>
      <c r="M9" s="86">
        <v>0</v>
      </c>
      <c r="N9" s="101">
        <v>0</v>
      </c>
    </row>
    <row r="10" spans="1:17" s="138" customFormat="1" x14ac:dyDescent="0.2">
      <c r="A10" s="111" t="s">
        <v>140</v>
      </c>
      <c r="B10" s="141" t="s">
        <v>240</v>
      </c>
      <c r="C10" s="142" t="s">
        <v>240</v>
      </c>
      <c r="D10" s="142" t="s">
        <v>240</v>
      </c>
      <c r="E10" s="142" t="s">
        <v>240</v>
      </c>
      <c r="F10" s="142" t="s">
        <v>240</v>
      </c>
      <c r="G10" s="142" t="s">
        <v>240</v>
      </c>
      <c r="H10" s="141" t="s">
        <v>240</v>
      </c>
      <c r="I10" s="141" t="s">
        <v>240</v>
      </c>
      <c r="J10" s="154" t="s">
        <v>240</v>
      </c>
      <c r="K10" s="142" t="s">
        <v>240</v>
      </c>
      <c r="L10" s="143">
        <v>0</v>
      </c>
      <c r="M10" s="141">
        <v>0</v>
      </c>
      <c r="N10" s="141">
        <v>0</v>
      </c>
    </row>
    <row r="11" spans="1:17" s="138" customFormat="1" x14ac:dyDescent="0.2">
      <c r="A11" s="112" t="s">
        <v>1872</v>
      </c>
      <c r="B11" s="145" t="s">
        <v>240</v>
      </c>
      <c r="C11" s="146" t="s">
        <v>240</v>
      </c>
      <c r="D11" s="146" t="s">
        <v>240</v>
      </c>
      <c r="E11" s="146" t="s">
        <v>240</v>
      </c>
      <c r="F11" s="146" t="s">
        <v>240</v>
      </c>
      <c r="G11" s="146" t="s">
        <v>240</v>
      </c>
      <c r="H11" s="145" t="s">
        <v>240</v>
      </c>
      <c r="I11" s="145" t="s">
        <v>240</v>
      </c>
      <c r="J11" s="156" t="s">
        <v>240</v>
      </c>
      <c r="K11" s="146" t="s">
        <v>240</v>
      </c>
      <c r="L11" s="147">
        <v>0</v>
      </c>
      <c r="M11" s="145">
        <v>0</v>
      </c>
      <c r="N11" s="145">
        <v>0</v>
      </c>
    </row>
    <row r="12" spans="1:17" s="138" customFormat="1" x14ac:dyDescent="0.2">
      <c r="A12" s="112" t="s">
        <v>1437</v>
      </c>
      <c r="B12" s="145" t="s">
        <v>240</v>
      </c>
      <c r="C12" s="146" t="s">
        <v>240</v>
      </c>
      <c r="D12" s="146" t="s">
        <v>240</v>
      </c>
      <c r="E12" s="146" t="s">
        <v>240</v>
      </c>
      <c r="F12" s="146" t="s">
        <v>240</v>
      </c>
      <c r="G12" s="146" t="s">
        <v>240</v>
      </c>
      <c r="H12" s="145" t="s">
        <v>240</v>
      </c>
      <c r="I12" s="145" t="s">
        <v>240</v>
      </c>
      <c r="J12" s="156" t="s">
        <v>240</v>
      </c>
      <c r="K12" s="146" t="s">
        <v>240</v>
      </c>
      <c r="L12" s="147">
        <v>0</v>
      </c>
      <c r="M12" s="145">
        <v>0</v>
      </c>
      <c r="N12" s="145">
        <v>0</v>
      </c>
    </row>
    <row r="13" spans="1:17" s="138" customFormat="1" x14ac:dyDescent="0.2">
      <c r="A13" s="112" t="s">
        <v>1873</v>
      </c>
      <c r="B13" s="145" t="s">
        <v>240</v>
      </c>
      <c r="C13" s="146" t="s">
        <v>240</v>
      </c>
      <c r="D13" s="146" t="s">
        <v>240</v>
      </c>
      <c r="E13" s="146" t="s">
        <v>240</v>
      </c>
      <c r="F13" s="146" t="s">
        <v>240</v>
      </c>
      <c r="G13" s="146" t="s">
        <v>240</v>
      </c>
      <c r="H13" s="145" t="s">
        <v>240</v>
      </c>
      <c r="I13" s="145" t="s">
        <v>240</v>
      </c>
      <c r="J13" s="156" t="s">
        <v>240</v>
      </c>
      <c r="K13" s="146" t="s">
        <v>240</v>
      </c>
      <c r="L13" s="147">
        <v>0</v>
      </c>
      <c r="M13" s="145">
        <v>0</v>
      </c>
      <c r="N13" s="145">
        <v>0</v>
      </c>
    </row>
    <row r="14" spans="1:17" s="138" customFormat="1" x14ac:dyDescent="0.2">
      <c r="A14" s="112" t="s">
        <v>1874</v>
      </c>
      <c r="B14" s="145" t="s">
        <v>240</v>
      </c>
      <c r="C14" s="146" t="s">
        <v>240</v>
      </c>
      <c r="D14" s="146" t="s">
        <v>240</v>
      </c>
      <c r="E14" s="146" t="s">
        <v>240</v>
      </c>
      <c r="F14" s="146" t="s">
        <v>240</v>
      </c>
      <c r="G14" s="146" t="s">
        <v>240</v>
      </c>
      <c r="H14" s="145" t="s">
        <v>240</v>
      </c>
      <c r="I14" s="145" t="s">
        <v>240</v>
      </c>
      <c r="J14" s="156" t="s">
        <v>240</v>
      </c>
      <c r="K14" s="146" t="s">
        <v>240</v>
      </c>
      <c r="L14" s="147">
        <v>0</v>
      </c>
      <c r="M14" s="145">
        <v>0</v>
      </c>
      <c r="N14" s="145">
        <v>0</v>
      </c>
    </row>
    <row r="15" spans="1:17" s="138" customFormat="1" x14ac:dyDescent="0.2">
      <c r="A15" s="112" t="s">
        <v>144</v>
      </c>
      <c r="B15" s="145" t="s">
        <v>240</v>
      </c>
      <c r="C15" s="146" t="s">
        <v>240</v>
      </c>
      <c r="D15" s="146" t="s">
        <v>240</v>
      </c>
      <c r="E15" s="146" t="s">
        <v>240</v>
      </c>
      <c r="F15" s="146" t="s">
        <v>240</v>
      </c>
      <c r="G15" s="146" t="s">
        <v>240</v>
      </c>
      <c r="H15" s="145" t="s">
        <v>240</v>
      </c>
      <c r="I15" s="145" t="s">
        <v>240</v>
      </c>
      <c r="J15" s="156" t="s">
        <v>240</v>
      </c>
      <c r="K15" s="146" t="s">
        <v>240</v>
      </c>
      <c r="L15" s="147">
        <v>0</v>
      </c>
      <c r="M15" s="145">
        <v>0</v>
      </c>
      <c r="N15" s="145">
        <v>0</v>
      </c>
    </row>
    <row r="16" spans="1:17" s="138" customFormat="1" x14ac:dyDescent="0.2">
      <c r="A16" s="202" t="s">
        <v>380</v>
      </c>
      <c r="B16" s="203" t="s">
        <v>240</v>
      </c>
      <c r="C16" s="204" t="s">
        <v>240</v>
      </c>
      <c r="D16" s="204" t="s">
        <v>240</v>
      </c>
      <c r="E16" s="204" t="s">
        <v>240</v>
      </c>
      <c r="F16" s="204" t="s">
        <v>240</v>
      </c>
      <c r="G16" s="204" t="s">
        <v>240</v>
      </c>
      <c r="H16" s="203" t="s">
        <v>240</v>
      </c>
      <c r="I16" s="203" t="s">
        <v>240</v>
      </c>
      <c r="J16" s="205" t="s">
        <v>240</v>
      </c>
      <c r="K16" s="204" t="s">
        <v>240</v>
      </c>
      <c r="L16" s="207">
        <v>0</v>
      </c>
      <c r="M16" s="203">
        <v>0</v>
      </c>
      <c r="N16" s="203">
        <v>0</v>
      </c>
    </row>
    <row r="17" spans="1:15" s="138" customFormat="1" x14ac:dyDescent="0.2">
      <c r="A17" s="97" t="s">
        <v>231</v>
      </c>
      <c r="B17" s="97"/>
      <c r="C17" s="148"/>
      <c r="D17" s="148"/>
      <c r="E17" s="149"/>
      <c r="F17" s="149"/>
      <c r="G17" s="149"/>
      <c r="H17" s="150"/>
      <c r="I17" s="151"/>
      <c r="J17" s="152"/>
      <c r="K17" s="152"/>
      <c r="L17" s="152"/>
      <c r="M17" s="152"/>
      <c r="N17" s="151"/>
      <c r="O17" s="153"/>
    </row>
    <row r="18" spans="1:15" s="138" customFormat="1" x14ac:dyDescent="0.2">
      <c r="A18" s="97" t="s">
        <v>232</v>
      </c>
      <c r="B18" s="97"/>
      <c r="C18" s="148"/>
      <c r="D18" s="148"/>
      <c r="E18" s="149"/>
      <c r="F18" s="149"/>
      <c r="G18" s="149"/>
      <c r="H18" s="150"/>
      <c r="I18" s="151"/>
      <c r="J18" s="152"/>
      <c r="K18" s="152"/>
      <c r="L18" s="152"/>
      <c r="M18" s="152"/>
      <c r="N18" s="151"/>
      <c r="O18" s="153"/>
    </row>
    <row r="19" spans="1:15" s="138" customFormat="1" x14ac:dyDescent="0.2">
      <c r="A19" s="97" t="s">
        <v>233</v>
      </c>
      <c r="B19" s="97"/>
      <c r="C19" s="148"/>
      <c r="D19" s="148"/>
      <c r="E19" s="149"/>
      <c r="F19" s="149"/>
      <c r="G19" s="149"/>
      <c r="H19" s="150"/>
      <c r="I19" s="151"/>
      <c r="J19" s="152"/>
      <c r="K19" s="152"/>
      <c r="L19" s="152"/>
      <c r="M19" s="152"/>
      <c r="N19" s="151"/>
      <c r="O19" s="153"/>
    </row>
    <row r="20" spans="1:15" s="138" customFormat="1" x14ac:dyDescent="0.2">
      <c r="A20" s="97" t="s">
        <v>234</v>
      </c>
      <c r="B20" s="97"/>
      <c r="C20" s="148"/>
      <c r="D20" s="148"/>
      <c r="E20" s="149"/>
      <c r="F20" s="149"/>
      <c r="G20" s="149"/>
      <c r="H20" s="150"/>
      <c r="I20" s="151"/>
      <c r="J20" s="152"/>
      <c r="K20" s="152"/>
      <c r="L20" s="152"/>
      <c r="M20" s="152"/>
      <c r="N20" s="151"/>
      <c r="O20" s="153"/>
    </row>
    <row r="21" spans="1:15" s="138" customFormat="1" x14ac:dyDescent="0.2">
      <c r="A21" s="97" t="s">
        <v>235</v>
      </c>
      <c r="B21" s="97"/>
      <c r="C21" s="148"/>
      <c r="D21" s="148"/>
      <c r="E21" s="149"/>
      <c r="F21" s="149"/>
      <c r="G21" s="149"/>
      <c r="H21" s="150"/>
      <c r="I21" s="151"/>
      <c r="J21" s="152"/>
      <c r="K21" s="152"/>
      <c r="L21" s="152"/>
      <c r="M21" s="152"/>
      <c r="N21" s="151"/>
      <c r="O21" s="153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39B9-FF89-48AA-8012-25A686D2DBB9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8" customWidth="1"/>
    <col min="6" max="6" width="13" style="78" customWidth="1"/>
    <col min="7" max="7" width="24" style="78" customWidth="1"/>
    <col min="8" max="8" width="18.7109375" style="78" customWidth="1"/>
    <col min="9" max="9" width="13.28515625" style="78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3"/>
      <c r="D1" s="24"/>
      <c r="E1" s="78"/>
      <c r="F1" s="78"/>
      <c r="G1" s="78"/>
      <c r="H1" s="78"/>
      <c r="I1" s="78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3"/>
      <c r="D2" s="24"/>
      <c r="E2" s="78"/>
      <c r="F2" s="78"/>
      <c r="G2" s="78"/>
      <c r="H2" s="78"/>
      <c r="I2" s="78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3"/>
      <c r="D3" s="24"/>
      <c r="E3" s="78"/>
      <c r="F3" s="78"/>
      <c r="G3" s="78"/>
      <c r="H3" s="78"/>
      <c r="I3" s="78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237</v>
      </c>
      <c r="C4" s="23"/>
      <c r="D4" s="24"/>
      <c r="E4" s="78"/>
      <c r="F4" s="78"/>
      <c r="G4" s="78"/>
      <c r="H4" s="78"/>
      <c r="I4" s="78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2" t="s">
        <v>38</v>
      </c>
      <c r="B5" s="253"/>
      <c r="C5" s="253"/>
      <c r="D5" s="253"/>
      <c r="E5" s="253"/>
      <c r="F5" s="253"/>
      <c r="G5" s="253"/>
      <c r="H5" s="253"/>
      <c r="I5" s="254"/>
      <c r="J5" s="25"/>
      <c r="K5" s="25"/>
      <c r="L5" s="25"/>
    </row>
    <row r="6" spans="1:17" s="20" customFormat="1" ht="33" customHeight="1" x14ac:dyDescent="0.2">
      <c r="A6" s="106" t="s">
        <v>160</v>
      </c>
      <c r="B6" s="107" t="s">
        <v>39</v>
      </c>
      <c r="C6" s="107" t="s">
        <v>41</v>
      </c>
      <c r="D6" s="107" t="s">
        <v>42</v>
      </c>
      <c r="E6" s="107" t="s">
        <v>6</v>
      </c>
      <c r="F6" s="108" t="s">
        <v>82</v>
      </c>
      <c r="G6" s="109" t="s">
        <v>75</v>
      </c>
      <c r="H6" s="109" t="s">
        <v>8</v>
      </c>
      <c r="I6" s="110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6">
        <v>6</v>
      </c>
      <c r="H8" s="76">
        <v>7</v>
      </c>
      <c r="I8" s="61">
        <v>8</v>
      </c>
    </row>
    <row r="9" spans="1:17" s="138" customFormat="1" ht="12.75" customHeight="1" thickBot="1" x14ac:dyDescent="0.25">
      <c r="A9" s="170" t="s">
        <v>73</v>
      </c>
      <c r="B9" s="89"/>
      <c r="C9" s="89" t="s">
        <v>240</v>
      </c>
      <c r="D9" s="182"/>
      <c r="E9" s="171"/>
      <c r="F9" s="174">
        <v>4.0000000000000003E-7</v>
      </c>
      <c r="G9" s="89">
        <v>1</v>
      </c>
      <c r="H9" s="89">
        <v>0</v>
      </c>
      <c r="I9" s="102"/>
    </row>
    <row r="10" spans="1:17" s="138" customFormat="1" x14ac:dyDescent="0.2">
      <c r="A10" s="111" t="s">
        <v>1875</v>
      </c>
      <c r="B10" s="141"/>
      <c r="C10" s="141" t="s">
        <v>240</v>
      </c>
      <c r="D10" s="161"/>
      <c r="E10" s="142" t="s">
        <v>240</v>
      </c>
      <c r="F10" s="143">
        <v>0</v>
      </c>
      <c r="G10" s="141">
        <v>0</v>
      </c>
      <c r="H10" s="141">
        <v>0</v>
      </c>
      <c r="I10" s="141" t="s">
        <v>240</v>
      </c>
    </row>
    <row r="11" spans="1:17" s="138" customFormat="1" x14ac:dyDescent="0.2">
      <c r="A11" s="112" t="s">
        <v>1876</v>
      </c>
      <c r="B11" s="141"/>
      <c r="C11" s="141" t="s">
        <v>240</v>
      </c>
      <c r="D11" s="161"/>
      <c r="E11" s="142" t="s">
        <v>240</v>
      </c>
      <c r="F11" s="143">
        <v>0</v>
      </c>
      <c r="G11" s="141">
        <v>0</v>
      </c>
      <c r="H11" s="141">
        <v>0</v>
      </c>
      <c r="I11" s="141" t="s">
        <v>240</v>
      </c>
    </row>
    <row r="12" spans="1:17" s="138" customFormat="1" x14ac:dyDescent="0.2">
      <c r="A12" s="112" t="s">
        <v>1877</v>
      </c>
      <c r="B12" s="141"/>
      <c r="C12" s="141" t="s">
        <v>240</v>
      </c>
      <c r="D12" s="161"/>
      <c r="E12" s="142" t="s">
        <v>240</v>
      </c>
      <c r="F12" s="143">
        <v>0</v>
      </c>
      <c r="G12" s="141">
        <v>0</v>
      </c>
      <c r="H12" s="141">
        <v>0</v>
      </c>
      <c r="I12" s="141" t="s">
        <v>240</v>
      </c>
    </row>
    <row r="13" spans="1:17" s="138" customFormat="1" x14ac:dyDescent="0.2">
      <c r="A13" s="112" t="s">
        <v>1878</v>
      </c>
      <c r="B13" s="141"/>
      <c r="C13" s="141" t="s">
        <v>240</v>
      </c>
      <c r="D13" s="161"/>
      <c r="E13" s="142" t="s">
        <v>240</v>
      </c>
      <c r="F13" s="143">
        <v>0</v>
      </c>
      <c r="G13" s="141">
        <v>0</v>
      </c>
      <c r="H13" s="141">
        <v>0</v>
      </c>
      <c r="I13" s="141" t="s">
        <v>240</v>
      </c>
    </row>
    <row r="14" spans="1:17" s="138" customFormat="1" x14ac:dyDescent="0.2">
      <c r="A14" s="112" t="s">
        <v>1876</v>
      </c>
      <c r="B14" s="141"/>
      <c r="C14" s="141" t="s">
        <v>240</v>
      </c>
      <c r="D14" s="161"/>
      <c r="E14" s="142" t="s">
        <v>240</v>
      </c>
      <c r="F14" s="143">
        <v>0</v>
      </c>
      <c r="G14" s="141">
        <v>0</v>
      </c>
      <c r="H14" s="141">
        <v>0</v>
      </c>
      <c r="I14" s="141" t="s">
        <v>240</v>
      </c>
    </row>
    <row r="15" spans="1:17" s="138" customFormat="1" x14ac:dyDescent="0.2">
      <c r="A15" s="202" t="s">
        <v>1877</v>
      </c>
      <c r="B15" s="242"/>
      <c r="C15" s="242" t="s">
        <v>240</v>
      </c>
      <c r="D15" s="243"/>
      <c r="E15" s="241" t="s">
        <v>240</v>
      </c>
      <c r="F15" s="251">
        <v>0</v>
      </c>
      <c r="G15" s="242">
        <v>0</v>
      </c>
      <c r="H15" s="242">
        <v>0</v>
      </c>
      <c r="I15" s="242" t="s">
        <v>240</v>
      </c>
    </row>
    <row r="16" spans="1:17" s="138" customFormat="1" x14ac:dyDescent="0.2">
      <c r="A16" s="97" t="s">
        <v>231</v>
      </c>
      <c r="B16" s="148"/>
      <c r="C16" s="97"/>
      <c r="D16" s="167"/>
      <c r="E16" s="149"/>
      <c r="F16" s="149"/>
      <c r="G16" s="149"/>
      <c r="H16" s="149"/>
      <c r="I16" s="149"/>
      <c r="J16" s="168"/>
      <c r="K16" s="153"/>
      <c r="L16" s="169"/>
      <c r="M16" s="169"/>
      <c r="N16" s="169"/>
      <c r="O16" s="153"/>
      <c r="P16" s="153"/>
    </row>
    <row r="17" spans="1:16" s="138" customFormat="1" x14ac:dyDescent="0.2">
      <c r="A17" s="97" t="s">
        <v>232</v>
      </c>
      <c r="B17" s="148"/>
      <c r="C17" s="97"/>
      <c r="D17" s="167"/>
      <c r="E17" s="149"/>
      <c r="F17" s="149"/>
      <c r="G17" s="149"/>
      <c r="H17" s="149"/>
      <c r="I17" s="149"/>
      <c r="J17" s="168"/>
      <c r="K17" s="153"/>
      <c r="L17" s="169"/>
      <c r="M17" s="169"/>
      <c r="N17" s="169"/>
      <c r="O17" s="153"/>
      <c r="P17" s="153"/>
    </row>
    <row r="18" spans="1:16" s="138" customFormat="1" x14ac:dyDescent="0.2">
      <c r="A18" s="97" t="s">
        <v>233</v>
      </c>
      <c r="B18" s="148"/>
      <c r="C18" s="97"/>
      <c r="D18" s="167"/>
      <c r="E18" s="149"/>
      <c r="F18" s="149"/>
      <c r="G18" s="149"/>
      <c r="H18" s="149"/>
      <c r="I18" s="149"/>
      <c r="J18" s="168"/>
      <c r="K18" s="153"/>
      <c r="L18" s="169"/>
      <c r="M18" s="169"/>
      <c r="N18" s="169"/>
      <c r="O18" s="153"/>
      <c r="P18" s="153"/>
    </row>
    <row r="19" spans="1:16" s="138" customFormat="1" x14ac:dyDescent="0.2">
      <c r="A19" s="97" t="s">
        <v>234</v>
      </c>
      <c r="B19" s="148"/>
      <c r="C19" s="97"/>
      <c r="D19" s="167"/>
      <c r="E19" s="149"/>
      <c r="F19" s="149"/>
      <c r="G19" s="149"/>
      <c r="H19" s="149"/>
      <c r="I19" s="149"/>
      <c r="J19" s="168"/>
      <c r="K19" s="153"/>
      <c r="L19" s="169"/>
      <c r="M19" s="169"/>
      <c r="N19" s="169"/>
      <c r="O19" s="153"/>
      <c r="P19" s="153"/>
    </row>
    <row r="20" spans="1:16" s="138" customFormat="1" x14ac:dyDescent="0.2">
      <c r="A20" s="97" t="s">
        <v>235</v>
      </c>
      <c r="B20" s="148"/>
      <c r="C20" s="97"/>
      <c r="D20" s="167"/>
      <c r="E20" s="149"/>
      <c r="F20" s="149"/>
      <c r="G20" s="149"/>
      <c r="H20" s="149"/>
      <c r="I20" s="149"/>
      <c r="J20" s="168"/>
      <c r="K20" s="153"/>
      <c r="L20" s="169"/>
      <c r="M20" s="169"/>
      <c r="N20" s="169"/>
      <c r="O20" s="153"/>
      <c r="P20" s="153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85E3-36AE-4442-A7C1-8F9C266038BA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8" customWidth="1"/>
    <col min="6" max="6" width="10.7109375" style="78" customWidth="1"/>
    <col min="7" max="7" width="13.42578125" style="78" customWidth="1"/>
    <col min="8" max="8" width="9.85546875" style="78" customWidth="1"/>
    <col min="9" max="9" width="24" style="78" customWidth="1"/>
    <col min="10" max="10" width="22.28515625" style="78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78"/>
      <c r="F1" s="78"/>
      <c r="G1" s="78"/>
      <c r="H1" s="78"/>
      <c r="I1" s="78"/>
      <c r="J1" s="78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78"/>
      <c r="F2" s="78"/>
      <c r="G2" s="78"/>
      <c r="H2" s="78"/>
      <c r="I2" s="78"/>
      <c r="J2" s="78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78"/>
      <c r="F3" s="78"/>
      <c r="G3" s="78"/>
      <c r="H3" s="78"/>
      <c r="I3" s="78"/>
      <c r="J3" s="78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230</v>
      </c>
      <c r="B4" s="22" t="s">
        <v>237</v>
      </c>
      <c r="C4" s="23"/>
      <c r="D4" s="24"/>
      <c r="E4" s="78"/>
      <c r="F4" s="78"/>
      <c r="G4" s="78"/>
      <c r="H4" s="78"/>
      <c r="I4" s="78"/>
      <c r="J4" s="78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6" t="s">
        <v>160</v>
      </c>
      <c r="B6" s="107" t="s">
        <v>74</v>
      </c>
      <c r="C6" s="107" t="s">
        <v>70</v>
      </c>
      <c r="D6" s="107" t="s">
        <v>83</v>
      </c>
      <c r="E6" s="107" t="s">
        <v>84</v>
      </c>
      <c r="F6" s="108" t="s">
        <v>6</v>
      </c>
      <c r="G6" s="109" t="s">
        <v>71</v>
      </c>
      <c r="H6" s="109" t="s">
        <v>29</v>
      </c>
      <c r="I6" s="109" t="s">
        <v>75</v>
      </c>
      <c r="J6" s="110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6">
        <v>6</v>
      </c>
      <c r="H8" s="76">
        <v>7</v>
      </c>
      <c r="I8" s="76">
        <v>8</v>
      </c>
      <c r="J8" s="61">
        <v>9</v>
      </c>
    </row>
    <row r="9" spans="1:18" s="138" customFormat="1" ht="12.75" customHeight="1" thickBot="1" x14ac:dyDescent="0.25">
      <c r="A9" s="121" t="s">
        <v>125</v>
      </c>
      <c r="B9" s="89"/>
      <c r="C9" s="89"/>
      <c r="D9" s="182"/>
      <c r="E9" s="171"/>
      <c r="F9" s="129"/>
      <c r="G9" s="129"/>
      <c r="H9" s="174">
        <v>2.0000000000000002E-7</v>
      </c>
      <c r="I9" s="89">
        <v>1</v>
      </c>
      <c r="J9" s="101">
        <v>7.7292602418737769E-13</v>
      </c>
    </row>
    <row r="10" spans="1:18" s="138" customFormat="1" x14ac:dyDescent="0.2">
      <c r="A10" s="111" t="s">
        <v>1879</v>
      </c>
      <c r="B10" s="141" t="s">
        <v>240</v>
      </c>
      <c r="C10" s="141" t="s">
        <v>240</v>
      </c>
      <c r="D10" s="141" t="s">
        <v>240</v>
      </c>
      <c r="E10" s="141" t="s">
        <v>240</v>
      </c>
      <c r="F10" s="155" t="s">
        <v>240</v>
      </c>
      <c r="G10" s="183" t="s">
        <v>240</v>
      </c>
      <c r="H10" s="143">
        <v>0</v>
      </c>
      <c r="I10" s="141">
        <v>0</v>
      </c>
      <c r="J10" s="141">
        <v>0</v>
      </c>
    </row>
    <row r="11" spans="1:18" s="138" customFormat="1" x14ac:dyDescent="0.2">
      <c r="A11" s="255" t="s">
        <v>1880</v>
      </c>
      <c r="B11" s="242" t="s">
        <v>240</v>
      </c>
      <c r="C11" s="242" t="s">
        <v>240</v>
      </c>
      <c r="D11" s="242" t="s">
        <v>240</v>
      </c>
      <c r="E11" s="242" t="s">
        <v>240</v>
      </c>
      <c r="F11" s="256" t="s">
        <v>240</v>
      </c>
      <c r="G11" s="257" t="s">
        <v>240</v>
      </c>
      <c r="H11" s="251">
        <v>0</v>
      </c>
      <c r="I11" s="242">
        <v>0</v>
      </c>
      <c r="J11" s="242">
        <v>0</v>
      </c>
    </row>
    <row r="12" spans="1:18" s="138" customFormat="1" x14ac:dyDescent="0.2">
      <c r="A12" s="97" t="s">
        <v>231</v>
      </c>
      <c r="B12" s="148"/>
      <c r="C12" s="97"/>
      <c r="D12" s="167"/>
      <c r="E12" s="149"/>
      <c r="F12" s="149"/>
      <c r="G12" s="149"/>
      <c r="H12" s="149"/>
      <c r="I12" s="149"/>
      <c r="J12" s="149"/>
      <c r="K12" s="168"/>
      <c r="L12" s="153"/>
      <c r="M12" s="169"/>
      <c r="N12" s="169"/>
      <c r="O12" s="169"/>
      <c r="P12" s="153"/>
      <c r="Q12" s="153"/>
    </row>
    <row r="13" spans="1:18" s="138" customFormat="1" x14ac:dyDescent="0.2">
      <c r="A13" s="97" t="s">
        <v>232</v>
      </c>
      <c r="B13" s="148"/>
      <c r="C13" s="97"/>
      <c r="D13" s="167"/>
      <c r="E13" s="149"/>
      <c r="F13" s="149"/>
      <c r="G13" s="149"/>
      <c r="H13" s="149"/>
      <c r="I13" s="149"/>
      <c r="J13" s="149"/>
      <c r="K13" s="168"/>
      <c r="L13" s="153"/>
      <c r="M13" s="169"/>
      <c r="N13" s="169"/>
      <c r="O13" s="169"/>
      <c r="P13" s="153"/>
      <c r="Q13" s="153"/>
    </row>
    <row r="14" spans="1:18" s="138" customFormat="1" x14ac:dyDescent="0.2">
      <c r="A14" s="97" t="s">
        <v>233</v>
      </c>
      <c r="B14" s="148"/>
      <c r="C14" s="97"/>
      <c r="D14" s="167"/>
      <c r="E14" s="149"/>
      <c r="F14" s="149"/>
      <c r="G14" s="149"/>
      <c r="H14" s="149"/>
      <c r="I14" s="149"/>
      <c r="J14" s="149"/>
      <c r="K14" s="168"/>
      <c r="L14" s="153"/>
      <c r="M14" s="169"/>
      <c r="N14" s="169"/>
      <c r="O14" s="169"/>
      <c r="P14" s="153"/>
      <c r="Q14" s="153"/>
    </row>
    <row r="15" spans="1:18" s="138" customFormat="1" x14ac:dyDescent="0.2">
      <c r="A15" s="97" t="s">
        <v>234</v>
      </c>
      <c r="B15" s="148"/>
      <c r="C15" s="97"/>
      <c r="D15" s="167"/>
      <c r="E15" s="149"/>
      <c r="F15" s="149"/>
      <c r="G15" s="149"/>
      <c r="H15" s="149"/>
      <c r="I15" s="149"/>
      <c r="J15" s="149"/>
      <c r="K15" s="168"/>
      <c r="L15" s="153"/>
      <c r="M15" s="169"/>
      <c r="N15" s="169"/>
      <c r="O15" s="169"/>
      <c r="P15" s="153"/>
      <c r="Q15" s="153"/>
    </row>
    <row r="16" spans="1:18" s="138" customFormat="1" x14ac:dyDescent="0.2">
      <c r="A16" s="97" t="s">
        <v>235</v>
      </c>
      <c r="B16" s="148"/>
      <c r="C16" s="97"/>
      <c r="D16" s="167"/>
      <c r="E16" s="149"/>
      <c r="F16" s="149"/>
      <c r="G16" s="149"/>
      <c r="H16" s="149"/>
      <c r="I16" s="149"/>
      <c r="J16" s="149"/>
      <c r="K16" s="168"/>
      <c r="L16" s="153"/>
      <c r="M16" s="169"/>
      <c r="N16" s="169"/>
      <c r="O16" s="169"/>
      <c r="P16" s="153"/>
      <c r="Q16" s="153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C532-5F47-468A-8C04-67CD0B2FEFB9}">
  <sheetPr codeName="גיליון25">
    <pageSetUpPr fitToPage="1"/>
  </sheetPr>
  <dimension ref="A1:T20"/>
  <sheetViews>
    <sheetView rightToLeft="1" zoomScale="85" zoomScaleNormal="85" workbookViewId="0">
      <selection activeCell="A6" sqref="A6:J15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2.285156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228</v>
      </c>
      <c r="B3" s="22" t="s">
        <v>229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230</v>
      </c>
      <c r="B4" s="22" t="s">
        <v>237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6" t="s">
        <v>160</v>
      </c>
      <c r="B6" s="107" t="s">
        <v>81</v>
      </c>
      <c r="C6" s="107" t="s">
        <v>70</v>
      </c>
      <c r="D6" s="107" t="s">
        <v>5</v>
      </c>
      <c r="E6" s="108" t="s">
        <v>66</v>
      </c>
      <c r="F6" s="108" t="s">
        <v>6</v>
      </c>
      <c r="G6" s="108" t="s">
        <v>71</v>
      </c>
      <c r="H6" s="108" t="s">
        <v>29</v>
      </c>
      <c r="I6" s="109" t="s">
        <v>75</v>
      </c>
      <c r="J6" s="110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8" customFormat="1" ht="12.75" customHeight="1" thickBot="1" x14ac:dyDescent="0.25">
      <c r="A9" s="91" t="s">
        <v>126</v>
      </c>
      <c r="B9" s="139"/>
      <c r="C9" s="139"/>
      <c r="D9" s="139" t="s">
        <v>240</v>
      </c>
      <c r="E9" s="139" t="s">
        <v>240</v>
      </c>
      <c r="F9" s="139" t="s">
        <v>240</v>
      </c>
      <c r="G9" s="139" t="s">
        <v>240</v>
      </c>
      <c r="H9" s="114">
        <v>2.9901802000000024</v>
      </c>
      <c r="I9" s="96">
        <v>1</v>
      </c>
      <c r="J9" s="77">
        <v>1.1555940467949098E-5</v>
      </c>
    </row>
    <row r="10" spans="1:20" s="138" customFormat="1" x14ac:dyDescent="0.2">
      <c r="A10" s="111" t="s">
        <v>140</v>
      </c>
      <c r="B10" s="184"/>
      <c r="C10" s="142" t="s">
        <v>240</v>
      </c>
      <c r="D10" s="161" t="s">
        <v>240</v>
      </c>
      <c r="E10" s="162" t="s">
        <v>240</v>
      </c>
      <c r="F10" s="155" t="s">
        <v>240</v>
      </c>
      <c r="G10" s="162" t="s">
        <v>240</v>
      </c>
      <c r="H10" s="143">
        <v>2.9901801000000123</v>
      </c>
      <c r="I10" s="141">
        <v>0.99999996655720269</v>
      </c>
      <c r="J10" s="141">
        <v>1.1555940081486125E-5</v>
      </c>
    </row>
    <row r="11" spans="1:20" x14ac:dyDescent="0.2">
      <c r="A11" s="30" t="s">
        <v>1885</v>
      </c>
      <c r="B11" s="37" t="s">
        <v>1886</v>
      </c>
      <c r="C11" s="85" t="s">
        <v>385</v>
      </c>
      <c r="D11" s="39" t="s">
        <v>240</v>
      </c>
      <c r="E11" s="31">
        <v>0</v>
      </c>
      <c r="F11" s="87" t="s">
        <v>247</v>
      </c>
      <c r="G11" s="31">
        <v>0</v>
      </c>
      <c r="H11" s="105">
        <v>46.758690000000001</v>
      </c>
      <c r="I11" s="95">
        <v>15.637415430682058</v>
      </c>
      <c r="J11" s="46">
        <v>1.8070504178955047E-4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1887</v>
      </c>
      <c r="B12" s="37" t="s">
        <v>1888</v>
      </c>
      <c r="C12" s="85" t="s">
        <v>385</v>
      </c>
      <c r="D12" s="39" t="s">
        <v>240</v>
      </c>
      <c r="E12" s="31">
        <v>0</v>
      </c>
      <c r="F12" s="87" t="s">
        <v>247</v>
      </c>
      <c r="G12" s="31">
        <v>0</v>
      </c>
      <c r="H12" s="105">
        <v>-114.77315</v>
      </c>
      <c r="I12" s="95">
        <v>-38.383355625189374</v>
      </c>
      <c r="J12" s="46">
        <v>-4.4355577256480764E-4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1881</v>
      </c>
      <c r="B13" s="37" t="s">
        <v>1882</v>
      </c>
      <c r="C13" s="85" t="s">
        <v>385</v>
      </c>
      <c r="D13" s="39" t="s">
        <v>240</v>
      </c>
      <c r="E13" s="31">
        <v>5.3499999999999999E-2</v>
      </c>
      <c r="F13" s="87" t="s">
        <v>247</v>
      </c>
      <c r="G13" s="31">
        <v>0</v>
      </c>
      <c r="H13" s="105">
        <v>12.23211</v>
      </c>
      <c r="I13" s="95">
        <v>4.0907601488365115</v>
      </c>
      <c r="J13" s="46">
        <v>4.727258074861332E-5</v>
      </c>
      <c r="K13" s="28"/>
      <c r="L13" s="28"/>
      <c r="M13" s="28"/>
      <c r="N13" s="28"/>
      <c r="O13" s="28"/>
      <c r="P13" s="28"/>
    </row>
    <row r="14" spans="1:20" x14ac:dyDescent="0.2">
      <c r="A14" s="30" t="s">
        <v>1883</v>
      </c>
      <c r="B14" s="37" t="s">
        <v>1884</v>
      </c>
      <c r="C14" s="85" t="s">
        <v>385</v>
      </c>
      <c r="D14" s="39" t="s">
        <v>240</v>
      </c>
      <c r="E14" s="31">
        <v>0.03</v>
      </c>
      <c r="F14" s="87" t="s">
        <v>127</v>
      </c>
      <c r="G14" s="31">
        <v>0</v>
      </c>
      <c r="H14" s="105">
        <v>58.772529999999996</v>
      </c>
      <c r="I14" s="95">
        <v>19.65517997878521</v>
      </c>
      <c r="J14" s="46">
        <v>2.2713408972166687E-4</v>
      </c>
      <c r="K14" s="28"/>
      <c r="L14" s="28"/>
      <c r="M14" s="28"/>
      <c r="N14" s="28"/>
      <c r="O14" s="28"/>
      <c r="P14" s="28"/>
    </row>
    <row r="15" spans="1:20" s="138" customFormat="1" x14ac:dyDescent="0.2">
      <c r="A15" s="202" t="s">
        <v>376</v>
      </c>
      <c r="B15" s="258" t="s">
        <v>240</v>
      </c>
      <c r="C15" s="241" t="s">
        <v>240</v>
      </c>
      <c r="D15" s="244" t="s">
        <v>240</v>
      </c>
      <c r="E15" s="245" t="s">
        <v>240</v>
      </c>
      <c r="F15" s="256" t="s">
        <v>240</v>
      </c>
      <c r="G15" s="245" t="s">
        <v>240</v>
      </c>
      <c r="H15" s="251">
        <v>0</v>
      </c>
      <c r="I15" s="242">
        <v>0</v>
      </c>
      <c r="J15" s="242">
        <v>0</v>
      </c>
    </row>
    <row r="16" spans="1:20" s="138" customFormat="1" x14ac:dyDescent="0.2">
      <c r="A16" s="97" t="s">
        <v>231</v>
      </c>
      <c r="B16" s="97"/>
      <c r="C16" s="148"/>
      <c r="D16" s="97"/>
      <c r="E16" s="167"/>
      <c r="F16" s="167"/>
      <c r="G16" s="167"/>
      <c r="H16" s="167"/>
      <c r="I16" s="167"/>
      <c r="J16" s="150"/>
      <c r="K16" s="153"/>
      <c r="L16" s="169"/>
      <c r="M16" s="169"/>
      <c r="N16" s="169"/>
      <c r="O16" s="153"/>
      <c r="P16" s="153"/>
    </row>
    <row r="17" spans="1:16" s="138" customFormat="1" x14ac:dyDescent="0.2">
      <c r="A17" s="97" t="s">
        <v>232</v>
      </c>
      <c r="B17" s="97"/>
      <c r="C17" s="148"/>
      <c r="D17" s="97"/>
      <c r="E17" s="167"/>
      <c r="F17" s="167"/>
      <c r="G17" s="167"/>
      <c r="H17" s="167"/>
      <c r="I17" s="167"/>
      <c r="J17" s="150"/>
      <c r="K17" s="153"/>
      <c r="L17" s="169"/>
      <c r="M17" s="169"/>
      <c r="N17" s="169"/>
      <c r="O17" s="153"/>
      <c r="P17" s="153"/>
    </row>
    <row r="18" spans="1:16" s="138" customFormat="1" x14ac:dyDescent="0.2">
      <c r="A18" s="97" t="s">
        <v>233</v>
      </c>
      <c r="B18" s="97"/>
      <c r="C18" s="148"/>
      <c r="D18" s="97"/>
      <c r="E18" s="167"/>
      <c r="F18" s="167"/>
      <c r="G18" s="167"/>
      <c r="H18" s="167"/>
      <c r="I18" s="167"/>
      <c r="J18" s="150"/>
      <c r="K18" s="153"/>
      <c r="L18" s="169"/>
      <c r="M18" s="169"/>
      <c r="N18" s="169"/>
      <c r="O18" s="153"/>
      <c r="P18" s="153"/>
    </row>
    <row r="19" spans="1:16" s="138" customFormat="1" x14ac:dyDescent="0.2">
      <c r="A19" s="97" t="s">
        <v>234</v>
      </c>
      <c r="B19" s="97"/>
      <c r="C19" s="148"/>
      <c r="D19" s="97"/>
      <c r="E19" s="167"/>
      <c r="F19" s="167"/>
      <c r="G19" s="167"/>
      <c r="H19" s="167"/>
      <c r="I19" s="167"/>
      <c r="J19" s="150"/>
      <c r="K19" s="153"/>
      <c r="L19" s="169"/>
      <c r="M19" s="169"/>
      <c r="N19" s="169"/>
      <c r="O19" s="153"/>
      <c r="P19" s="153"/>
    </row>
    <row r="20" spans="1:16" s="138" customFormat="1" x14ac:dyDescent="0.2">
      <c r="A20" s="97" t="s">
        <v>235</v>
      </c>
      <c r="B20" s="97"/>
      <c r="C20" s="148"/>
      <c r="D20" s="97"/>
      <c r="E20" s="167"/>
      <c r="F20" s="167"/>
      <c r="G20" s="167"/>
      <c r="H20" s="167"/>
      <c r="I20" s="167"/>
      <c r="J20" s="150"/>
      <c r="K20" s="153"/>
      <c r="L20" s="169"/>
      <c r="M20" s="169"/>
      <c r="N20" s="169"/>
      <c r="O20" s="153"/>
      <c r="P20" s="153"/>
    </row>
  </sheetData>
  <mergeCells count="1">
    <mergeCell ref="A5:J5"/>
  </mergeCells>
  <conditionalFormatting sqref="L5:T5 E10:G15 K16:K55550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5 J10:J15">
    <cfRule type="expression" dxfId="46" priority="411" stopIfTrue="1">
      <formula>LEFT(#REF!,3)="TIR"</formula>
    </cfRule>
  </conditionalFormatting>
  <conditionalFormatting sqref="A10:A15 F10:F15 H10:J15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637C-D1C3-4271-8964-40E6065F9730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226</v>
      </c>
      <c r="B1" t="s">
        <v>236</v>
      </c>
    </row>
    <row r="2" spans="1:3" x14ac:dyDescent="0.2">
      <c r="A2" t="s">
        <v>227</v>
      </c>
      <c r="B2" t="s">
        <v>153</v>
      </c>
    </row>
    <row r="3" spans="1:3" x14ac:dyDescent="0.2">
      <c r="A3" t="s">
        <v>228</v>
      </c>
      <c r="B3" t="s">
        <v>229</v>
      </c>
    </row>
    <row r="4" spans="1:3" ht="13.5" thickBot="1" x14ac:dyDescent="0.25">
      <c r="A4" t="s">
        <v>230</v>
      </c>
      <c r="B4" t="s">
        <v>237</v>
      </c>
    </row>
    <row r="5" spans="1:3" x14ac:dyDescent="0.2">
      <c r="A5" s="10" t="s">
        <v>131</v>
      </c>
      <c r="B5" s="9"/>
      <c r="C5" s="8"/>
    </row>
    <row r="6" spans="1:3" ht="38.25" x14ac:dyDescent="0.2">
      <c r="A6" s="106" t="s">
        <v>160</v>
      </c>
      <c r="B6" s="107" t="s">
        <v>63</v>
      </c>
      <c r="C6" s="116" t="s">
        <v>64</v>
      </c>
    </row>
    <row r="7" spans="1:3" x14ac:dyDescent="0.2">
      <c r="A7" s="40"/>
      <c r="B7" s="16" t="s">
        <v>10</v>
      </c>
      <c r="C7" s="61" t="s">
        <v>40</v>
      </c>
    </row>
    <row r="8" spans="1:3" s="135" customFormat="1" x14ac:dyDescent="0.2">
      <c r="A8" s="185"/>
      <c r="B8" s="186">
        <v>1</v>
      </c>
      <c r="C8" s="187">
        <v>2</v>
      </c>
    </row>
    <row r="9" spans="1:3" s="135" customFormat="1" ht="13.5" thickBot="1" x14ac:dyDescent="0.25">
      <c r="A9" s="91" t="s">
        <v>1947</v>
      </c>
      <c r="B9" s="188">
        <v>2.0000000000000002E-7</v>
      </c>
      <c r="C9" s="137" t="s">
        <v>240</v>
      </c>
    </row>
    <row r="10" spans="1:3" s="135" customFormat="1" x14ac:dyDescent="0.2">
      <c r="A10" s="136" t="s">
        <v>140</v>
      </c>
      <c r="B10" s="189">
        <v>1.0000000000000001E-7</v>
      </c>
      <c r="C10" s="190" t="s">
        <v>240</v>
      </c>
    </row>
    <row r="11" spans="1:3" s="135" customFormat="1" x14ac:dyDescent="0.2">
      <c r="A11" s="259" t="s">
        <v>376</v>
      </c>
      <c r="B11" s="260">
        <v>1.0000000000000001E-7</v>
      </c>
      <c r="C11" s="261" t="s">
        <v>240</v>
      </c>
    </row>
    <row r="12" spans="1:3" x14ac:dyDescent="0.2">
      <c r="A12" t="s">
        <v>1946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BAF4-EB08-4048-820E-B7C8AA4FF0D5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2" t="s">
        <v>100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4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160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7" t="s">
        <v>104</v>
      </c>
      <c r="M6" s="107" t="s">
        <v>17</v>
      </c>
      <c r="N6" s="107" t="s">
        <v>75</v>
      </c>
      <c r="O6" s="116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18" t="s">
        <v>118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7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79"/>
      <c r="I11" s="39"/>
      <c r="J11" s="31"/>
      <c r="K11" s="87"/>
      <c r="L11" s="31"/>
      <c r="M11" s="62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79"/>
      <c r="I12" s="39"/>
      <c r="J12" s="31"/>
      <c r="K12" s="87"/>
      <c r="L12" s="31"/>
      <c r="M12" s="62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79"/>
      <c r="I13" s="39"/>
      <c r="J13" s="31"/>
      <c r="K13" s="87"/>
      <c r="L13" s="31"/>
      <c r="M13" s="62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79"/>
      <c r="I14" s="39"/>
      <c r="J14" s="31"/>
      <c r="K14" s="87"/>
      <c r="L14" s="31"/>
      <c r="M14" s="62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79"/>
      <c r="I15" s="39"/>
      <c r="J15" s="31"/>
      <c r="K15" s="87"/>
      <c r="L15" s="31"/>
      <c r="M15" s="62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79"/>
      <c r="I16" s="39"/>
      <c r="J16" s="31"/>
      <c r="K16" s="87"/>
      <c r="L16" s="31"/>
      <c r="M16" s="62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79"/>
      <c r="I17" s="39"/>
      <c r="J17" s="31"/>
      <c r="K17" s="87"/>
      <c r="L17" s="31"/>
      <c r="M17" s="62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9"/>
      <c r="I18" s="39"/>
      <c r="J18" s="31"/>
      <c r="K18" s="87"/>
      <c r="L18" s="31"/>
      <c r="M18" s="62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47"/>
      <c r="B19" s="262"/>
      <c r="C19" s="262"/>
      <c r="D19" s="262"/>
      <c r="E19" s="262"/>
      <c r="F19" s="262"/>
      <c r="G19" s="262"/>
      <c r="H19" s="237"/>
      <c r="I19" s="263"/>
      <c r="J19" s="264"/>
      <c r="K19" s="265"/>
      <c r="L19" s="264"/>
      <c r="M19" s="266"/>
      <c r="N19" s="267"/>
      <c r="O19" s="235"/>
      <c r="P19" s="28"/>
      <c r="Q19" s="28"/>
      <c r="R19" s="28"/>
      <c r="S19" s="28"/>
      <c r="T19" s="28"/>
      <c r="U19" s="28"/>
    </row>
    <row r="20" spans="1:21" x14ac:dyDescent="0.2">
      <c r="A20" s="131" t="s">
        <v>148</v>
      </c>
      <c r="O20" s="51"/>
      <c r="Q20" s="32"/>
      <c r="R20" s="32"/>
      <c r="S20" s="32"/>
    </row>
    <row r="21" spans="1:21" x14ac:dyDescent="0.2">
      <c r="A21" s="131" t="s">
        <v>149</v>
      </c>
      <c r="O21" s="51"/>
      <c r="Q21" s="32"/>
      <c r="R21" s="32"/>
      <c r="S21" s="32"/>
    </row>
    <row r="22" spans="1:21" x14ac:dyDescent="0.2">
      <c r="A22" s="131" t="s">
        <v>150</v>
      </c>
      <c r="O22" s="51"/>
      <c r="Q22" s="32"/>
      <c r="R22" s="32"/>
      <c r="S22" s="32"/>
    </row>
    <row r="23" spans="1:21" x14ac:dyDescent="0.2">
      <c r="A23" s="131" t="s">
        <v>151</v>
      </c>
      <c r="O23" s="51"/>
      <c r="Q23" s="32"/>
      <c r="R23" s="32"/>
      <c r="S23" s="32"/>
    </row>
    <row r="24" spans="1:21" x14ac:dyDescent="0.2">
      <c r="A24" s="131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CBC8-F4C3-4E2C-B3D6-51D137D1A483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2" t="s">
        <v>119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4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160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7" t="s">
        <v>104</v>
      </c>
      <c r="M6" s="107" t="s">
        <v>17</v>
      </c>
      <c r="N6" s="107" t="s">
        <v>75</v>
      </c>
      <c r="O6" s="116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8" t="s">
        <v>121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7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79"/>
      <c r="I11" s="39"/>
      <c r="J11" s="31"/>
      <c r="K11" s="87"/>
      <c r="L11" s="31"/>
      <c r="M11" s="62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79"/>
      <c r="I12" s="39"/>
      <c r="J12" s="31"/>
      <c r="K12" s="87"/>
      <c r="L12" s="31"/>
      <c r="M12" s="62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79"/>
      <c r="I13" s="39"/>
      <c r="J13" s="31"/>
      <c r="K13" s="87"/>
      <c r="L13" s="31"/>
      <c r="M13" s="62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79"/>
      <c r="I14" s="39"/>
      <c r="J14" s="31"/>
      <c r="K14" s="87"/>
      <c r="L14" s="31"/>
      <c r="M14" s="62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79"/>
      <c r="I15" s="39"/>
      <c r="J15" s="31"/>
      <c r="K15" s="87"/>
      <c r="L15" s="31"/>
      <c r="M15" s="62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79"/>
      <c r="I16" s="39"/>
      <c r="J16" s="31"/>
      <c r="K16" s="87"/>
      <c r="L16" s="31"/>
      <c r="M16" s="62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79"/>
      <c r="I17" s="39"/>
      <c r="J17" s="31"/>
      <c r="K17" s="87"/>
      <c r="L17" s="31"/>
      <c r="M17" s="62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247"/>
      <c r="B18" s="262"/>
      <c r="C18" s="262"/>
      <c r="D18" s="262"/>
      <c r="E18" s="262"/>
      <c r="F18" s="262"/>
      <c r="G18" s="262"/>
      <c r="H18" s="237"/>
      <c r="I18" s="263"/>
      <c r="J18" s="264"/>
      <c r="K18" s="265"/>
      <c r="L18" s="264"/>
      <c r="M18" s="266"/>
      <c r="N18" s="267"/>
      <c r="O18" s="235"/>
      <c r="P18" s="28"/>
      <c r="Q18" s="28"/>
      <c r="R18" s="28"/>
      <c r="S18" s="28"/>
      <c r="T18" s="28"/>
      <c r="U18" s="28"/>
    </row>
    <row r="19" spans="1:21" x14ac:dyDescent="0.2">
      <c r="A19" s="131" t="s">
        <v>148</v>
      </c>
      <c r="O19" s="51"/>
      <c r="Q19" s="32"/>
      <c r="R19" s="32"/>
      <c r="S19" s="32"/>
    </row>
    <row r="20" spans="1:21" x14ac:dyDescent="0.2">
      <c r="A20" s="131" t="s">
        <v>149</v>
      </c>
      <c r="O20" s="51"/>
      <c r="Q20" s="32"/>
      <c r="R20" s="32"/>
      <c r="S20" s="32"/>
    </row>
    <row r="21" spans="1:21" x14ac:dyDescent="0.2">
      <c r="A21" s="131" t="s">
        <v>150</v>
      </c>
      <c r="O21" s="51"/>
      <c r="Q21" s="32"/>
      <c r="R21" s="32"/>
      <c r="S21" s="32"/>
    </row>
    <row r="22" spans="1:21" x14ac:dyDescent="0.2">
      <c r="A22" s="131" t="s">
        <v>151</v>
      </c>
      <c r="O22" s="51"/>
      <c r="Q22" s="32"/>
      <c r="R22" s="32"/>
      <c r="S22" s="32"/>
    </row>
    <row r="23" spans="1:21" x14ac:dyDescent="0.2">
      <c r="A23" s="131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C1FB-77BD-4ED5-A0E5-E05F736AA95D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2" t="s">
        <v>120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4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160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7" t="s">
        <v>104</v>
      </c>
      <c r="M6" s="107" t="s">
        <v>17</v>
      </c>
      <c r="N6" s="107" t="s">
        <v>75</v>
      </c>
      <c r="O6" s="116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8" t="s">
        <v>122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7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79"/>
      <c r="I11" s="39"/>
      <c r="J11" s="31"/>
      <c r="K11" s="87"/>
      <c r="L11" s="31"/>
      <c r="M11" s="62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79"/>
      <c r="I12" s="39"/>
      <c r="J12" s="31"/>
      <c r="K12" s="87"/>
      <c r="L12" s="31"/>
      <c r="M12" s="62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79"/>
      <c r="I13" s="39"/>
      <c r="J13" s="31"/>
      <c r="K13" s="87"/>
      <c r="L13" s="31"/>
      <c r="M13" s="62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79"/>
      <c r="I14" s="39"/>
      <c r="J14" s="31"/>
      <c r="K14" s="87"/>
      <c r="L14" s="31"/>
      <c r="M14" s="62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79"/>
      <c r="I15" s="39"/>
      <c r="J15" s="31"/>
      <c r="K15" s="87"/>
      <c r="L15" s="31"/>
      <c r="M15" s="62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79"/>
      <c r="I16" s="39"/>
      <c r="J16" s="31"/>
      <c r="K16" s="87"/>
      <c r="L16" s="31"/>
      <c r="M16" s="62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79"/>
      <c r="I17" s="39"/>
      <c r="J17" s="31"/>
      <c r="K17" s="87"/>
      <c r="L17" s="31"/>
      <c r="M17" s="62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9"/>
      <c r="I18" s="39"/>
      <c r="J18" s="31"/>
      <c r="K18" s="87"/>
      <c r="L18" s="31"/>
      <c r="M18" s="62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47"/>
      <c r="B19" s="262"/>
      <c r="C19" s="262"/>
      <c r="D19" s="262"/>
      <c r="E19" s="262"/>
      <c r="F19" s="262"/>
      <c r="G19" s="262"/>
      <c r="H19" s="237"/>
      <c r="I19" s="263"/>
      <c r="J19" s="264"/>
      <c r="K19" s="265"/>
      <c r="L19" s="264"/>
      <c r="M19" s="266"/>
      <c r="N19" s="267"/>
      <c r="O19" s="235"/>
      <c r="P19" s="28"/>
      <c r="Q19" s="28"/>
      <c r="R19" s="28"/>
      <c r="S19" s="28"/>
      <c r="T19" s="28"/>
      <c r="U19" s="28"/>
    </row>
    <row r="20" spans="1:21" x14ac:dyDescent="0.2">
      <c r="A20" s="131" t="s">
        <v>148</v>
      </c>
      <c r="O20" s="51"/>
      <c r="Q20" s="32"/>
      <c r="R20" s="32"/>
      <c r="S20" s="32"/>
    </row>
    <row r="21" spans="1:21" x14ac:dyDescent="0.2">
      <c r="A21" s="131" t="s">
        <v>149</v>
      </c>
      <c r="O21" s="51"/>
      <c r="Q21" s="32"/>
      <c r="R21" s="32"/>
      <c r="S21" s="32"/>
    </row>
    <row r="22" spans="1:21" x14ac:dyDescent="0.2">
      <c r="A22" s="131" t="s">
        <v>150</v>
      </c>
      <c r="O22" s="51"/>
      <c r="Q22" s="32"/>
      <c r="R22" s="32"/>
      <c r="S22" s="32"/>
    </row>
    <row r="23" spans="1:21" x14ac:dyDescent="0.2">
      <c r="A23" s="131" t="s">
        <v>151</v>
      </c>
      <c r="O23" s="51"/>
      <c r="Q23" s="32"/>
      <c r="R23" s="32"/>
      <c r="S23" s="32"/>
    </row>
    <row r="24" spans="1:21" x14ac:dyDescent="0.2">
      <c r="A24" s="131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C905-D0D2-4E50-A3D9-223FCEDFC66B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166</v>
      </c>
    </row>
    <row r="2" spans="1:1" x14ac:dyDescent="0.2">
      <c r="A2" t="s">
        <v>167</v>
      </c>
    </row>
    <row r="3" spans="1:1" x14ac:dyDescent="0.2">
      <c r="A3" t="s">
        <v>168</v>
      </c>
    </row>
    <row r="4" spans="1:1" x14ac:dyDescent="0.2">
      <c r="A4" t="s">
        <v>169</v>
      </c>
    </row>
    <row r="5" spans="1:1" x14ac:dyDescent="0.2">
      <c r="A5" t="s">
        <v>170</v>
      </c>
    </row>
    <row r="6" spans="1:1" x14ac:dyDescent="0.2">
      <c r="A6" t="s">
        <v>171</v>
      </c>
    </row>
    <row r="7" spans="1:1" x14ac:dyDescent="0.2">
      <c r="A7" t="s">
        <v>172</v>
      </c>
    </row>
    <row r="8" spans="1:1" x14ac:dyDescent="0.2">
      <c r="A8" t="s">
        <v>173</v>
      </c>
    </row>
    <row r="9" spans="1:1" x14ac:dyDescent="0.2">
      <c r="A9" t="s">
        <v>174</v>
      </c>
    </row>
    <row r="10" spans="1:1" x14ac:dyDescent="0.2">
      <c r="A10" t="s">
        <v>175</v>
      </c>
    </row>
    <row r="11" spans="1:1" x14ac:dyDescent="0.2">
      <c r="A11" t="s">
        <v>176</v>
      </c>
    </row>
    <row r="12" spans="1:1" x14ac:dyDescent="0.2">
      <c r="A12" t="s">
        <v>177</v>
      </c>
    </row>
    <row r="13" spans="1:1" x14ac:dyDescent="0.2">
      <c r="A13" t="s">
        <v>178</v>
      </c>
    </row>
    <row r="14" spans="1:1" x14ac:dyDescent="0.2">
      <c r="A14" t="s">
        <v>179</v>
      </c>
    </row>
    <row r="15" spans="1:1" x14ac:dyDescent="0.2">
      <c r="A15" t="s">
        <v>180</v>
      </c>
    </row>
    <row r="16" spans="1:1" x14ac:dyDescent="0.2">
      <c r="A16" t="s">
        <v>181</v>
      </c>
    </row>
    <row r="17" spans="1:1" x14ac:dyDescent="0.2">
      <c r="A17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186</v>
      </c>
    </row>
    <row r="22" spans="1:1" x14ac:dyDescent="0.2">
      <c r="A22" t="s">
        <v>187</v>
      </c>
    </row>
    <row r="23" spans="1:1" x14ac:dyDescent="0.2">
      <c r="A23" t="s">
        <v>188</v>
      </c>
    </row>
    <row r="24" spans="1:1" x14ac:dyDescent="0.2">
      <c r="A24" t="s">
        <v>189</v>
      </c>
    </row>
    <row r="25" spans="1:1" x14ac:dyDescent="0.2">
      <c r="A25" t="s">
        <v>190</v>
      </c>
    </row>
    <row r="26" spans="1:1" x14ac:dyDescent="0.2">
      <c r="A26" t="s">
        <v>191</v>
      </c>
    </row>
    <row r="27" spans="1:1" x14ac:dyDescent="0.2">
      <c r="A27" t="s">
        <v>192</v>
      </c>
    </row>
    <row r="28" spans="1:1" x14ac:dyDescent="0.2">
      <c r="A28" t="s">
        <v>193</v>
      </c>
    </row>
    <row r="29" spans="1:1" x14ac:dyDescent="0.2">
      <c r="A29" t="s">
        <v>194</v>
      </c>
    </row>
    <row r="30" spans="1:1" x14ac:dyDescent="0.2">
      <c r="A30" t="s">
        <v>195</v>
      </c>
    </row>
    <row r="31" spans="1:1" x14ac:dyDescent="0.2">
      <c r="A31" t="s">
        <v>196</v>
      </c>
    </row>
    <row r="32" spans="1:1" x14ac:dyDescent="0.2">
      <c r="A32" t="s">
        <v>197</v>
      </c>
    </row>
    <row r="33" spans="1:1" x14ac:dyDescent="0.2">
      <c r="A33" t="s">
        <v>198</v>
      </c>
    </row>
    <row r="34" spans="1:1" x14ac:dyDescent="0.2">
      <c r="A34" t="s">
        <v>199</v>
      </c>
    </row>
    <row r="35" spans="1:1" x14ac:dyDescent="0.2">
      <c r="A35" t="s">
        <v>200</v>
      </c>
    </row>
    <row r="36" spans="1:1" x14ac:dyDescent="0.2">
      <c r="A36" t="s">
        <v>201</v>
      </c>
    </row>
    <row r="37" spans="1:1" x14ac:dyDescent="0.2">
      <c r="A37" t="s">
        <v>202</v>
      </c>
    </row>
    <row r="38" spans="1:1" x14ac:dyDescent="0.2">
      <c r="A38" t="s">
        <v>203</v>
      </c>
    </row>
    <row r="39" spans="1:1" x14ac:dyDescent="0.2">
      <c r="A39" t="s">
        <v>204</v>
      </c>
    </row>
    <row r="40" spans="1:1" x14ac:dyDescent="0.2">
      <c r="A40" t="s">
        <v>205</v>
      </c>
    </row>
    <row r="41" spans="1:1" x14ac:dyDescent="0.2">
      <c r="A41" t="s">
        <v>206</v>
      </c>
    </row>
    <row r="42" spans="1:1" x14ac:dyDescent="0.2">
      <c r="A42" t="s">
        <v>207</v>
      </c>
    </row>
    <row r="43" spans="1:1" x14ac:dyDescent="0.2">
      <c r="A43" t="s">
        <v>208</v>
      </c>
    </row>
    <row r="44" spans="1:1" x14ac:dyDescent="0.2">
      <c r="A44" t="s">
        <v>209</v>
      </c>
    </row>
    <row r="45" spans="1:1" x14ac:dyDescent="0.2">
      <c r="A45" t="s">
        <v>210</v>
      </c>
    </row>
    <row r="46" spans="1:1" x14ac:dyDescent="0.2">
      <c r="A46" t="s">
        <v>211</v>
      </c>
    </row>
    <row r="47" spans="1:1" x14ac:dyDescent="0.2">
      <c r="A47" t="s">
        <v>212</v>
      </c>
    </row>
    <row r="48" spans="1:1" x14ac:dyDescent="0.2">
      <c r="A48" t="s">
        <v>213</v>
      </c>
    </row>
    <row r="49" spans="1:1" x14ac:dyDescent="0.2">
      <c r="A49" t="s">
        <v>214</v>
      </c>
    </row>
    <row r="50" spans="1:1" x14ac:dyDescent="0.2">
      <c r="A50" t="s">
        <v>215</v>
      </c>
    </row>
    <row r="51" spans="1:1" x14ac:dyDescent="0.2">
      <c r="A51" t="s">
        <v>216</v>
      </c>
    </row>
    <row r="52" spans="1:1" x14ac:dyDescent="0.2">
      <c r="A52" t="s">
        <v>217</v>
      </c>
    </row>
    <row r="53" spans="1:1" x14ac:dyDescent="0.2">
      <c r="A53" t="s">
        <v>218</v>
      </c>
    </row>
    <row r="54" spans="1:1" x14ac:dyDescent="0.2">
      <c r="A54" t="s">
        <v>219</v>
      </c>
    </row>
    <row r="55" spans="1:1" x14ac:dyDescent="0.2">
      <c r="A55" t="s">
        <v>220</v>
      </c>
    </row>
    <row r="56" spans="1:1" x14ac:dyDescent="0.2">
      <c r="A56" t="s">
        <v>221</v>
      </c>
    </row>
    <row r="57" spans="1:1" x14ac:dyDescent="0.2">
      <c r="A57" t="s">
        <v>222</v>
      </c>
    </row>
    <row r="58" spans="1:1" x14ac:dyDescent="0.2">
      <c r="A58" t="s">
        <v>223</v>
      </c>
    </row>
    <row r="59" spans="1:1" x14ac:dyDescent="0.2">
      <c r="A59" t="s">
        <v>224</v>
      </c>
    </row>
    <row r="60" spans="1:1" x14ac:dyDescent="0.2">
      <c r="A60" t="s">
        <v>225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2023-05-28T08:50:42Z</dcterms:created>
  <dcterms:modified xsi:type="dcterms:W3CDTF">2023-05-28T08:50:42Z</dcterms:modified>
  <cp:category/>
</cp:coreProperties>
</file>