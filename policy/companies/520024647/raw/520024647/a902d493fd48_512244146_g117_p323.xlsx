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447FF988-FCEB-441A-864C-E9B9B4413E2D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קונצרני'!$A$5:$T$402</definedName>
    <definedName name="_xlnm.Print_Area" localSheetId="9">אופציות!$A$5:$K$21</definedName>
    <definedName name="_xlnm.Print_Area" localSheetId="21">הלוואות!$A$5:$Q$148</definedName>
    <definedName name="_xlnm.Print_Area" localSheetId="25">'השקעות אחרות'!$A$5:$J$20</definedName>
    <definedName name="_xlnm.Print_Area" localSheetId="23">'זכויות מקרקעין'!$A$5:$H$16</definedName>
    <definedName name="_xlnm.Print_Area" localSheetId="10">'חוזים עתידיים'!$A$5:$G$13</definedName>
    <definedName name="_xlnm.Print_Area" localSheetId="26">'יתרת התחייבות להשקעה'!$A$1:$B$54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קונצרני'!$A$5:$R$37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השקעה'!$A$5:$J$47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מזומנים!$A$5:$K$138</definedName>
    <definedName name="_xlnm.Print_Area" localSheetId="5">מניות!$A$5:$N$21</definedName>
    <definedName name="_xlnm.Print_Area" localSheetId="0">'סכום נכסי הקרן'!$A$5:$C$54</definedName>
    <definedName name="_xlnm.Print_Area" localSheetId="22">'פקדונות מעל 3 חודשים'!$A$5:$N$17</definedName>
    <definedName name="_xlnm.Print_Area" localSheetId="7">'קרנות נאמנות'!$A$5:$N$37</definedName>
    <definedName name="_xlnm.Print_Area" localSheetId="6">'קרנות סל'!$A$5:$M$39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6" l="1"/>
</calcChain>
</file>

<file path=xl/sharedStrings.xml><?xml version="1.0" encoding="utf-8"?>
<sst xmlns="http://schemas.openxmlformats.org/spreadsheetml/2006/main" count="12715" uniqueCount="3067">
  <si>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</si>
  <si>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</si>
  <si>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</si>
  <si>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</si>
  <si>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</si>
  <si>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</si>
  <si>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</si>
  <si>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</si>
  <si>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</si>
  <si>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</si>
  <si>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</si>
  <si>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</si>
  <si>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</si>
  <si>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</si>
  <si>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</si>
  <si>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</si>
  <si>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</si>
  <si>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</si>
  <si>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</si>
  <si>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</si>
  <si>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</si>
  <si>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</si>
  <si>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</si>
  <si>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</si>
  <si>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</si>
  <si>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</si>
  <si>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</si>
  <si>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</si>
  <si>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</si>
  <si>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</si>
  <si>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</si>
  <si>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</si>
  <si>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</si>
  <si>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</si>
  <si>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</si>
  <si>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</si>
  <si>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</si>
  <si>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</si>
  <si>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</si>
  <si>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</si>
  <si>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</si>
  <si>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</si>
  <si>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</si>
  <si>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</si>
  <si>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</si>
  <si>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</si>
  <si>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</si>
  <si>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</si>
  <si>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</si>
  <si>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</si>
  <si>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</si>
  <si>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</si>
  <si>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</si>
  <si>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</si>
  <si>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</si>
  <si>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</si>
  <si>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</si>
  <si>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</si>
  <si>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</si>
  <si>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</si>
  <si>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</si>
  <si>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</si>
  <si>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</si>
  <si>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</si>
  <si>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</si>
  <si>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</si>
  <si>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</si>
  <si>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</si>
  <si>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</si>
  <si>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</si>
  <si>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</si>
  <si>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</si>
  <si>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</si>
  <si>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</si>
  <si>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</si>
  <si>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</si>
  <si>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</si>
  <si>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</si>
  <si>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</si>
  <si>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</si>
  <si>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</si>
  <si>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</si>
  <si>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</si>
  <si>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</si>
  <si>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</si>
  <si>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</si>
  <si>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</si>
  <si>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</si>
  <si>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</si>
  <si>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</si>
  <si>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</si>
  <si>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</si>
  <si>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</si>
  <si>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</si>
  <si>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</si>
  <si>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</si>
  <si>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</si>
  <si>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</si>
  <si>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</si>
  <si>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</si>
  <si>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</si>
  <si>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</si>
  <si>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</si>
  <si>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</si>
  <si>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</si>
  <si>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</si>
  <si>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</si>
  <si>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</si>
  <si>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</si>
  <si>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</si>
  <si>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</si>
  <si>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</si>
  <si>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</si>
  <si>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</si>
  <si>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</si>
  <si>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</si>
  <si>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</si>
  <si>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</si>
  <si>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</si>
  <si>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</si>
  <si>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</si>
  <si>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</si>
  <si>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</si>
  <si>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</si>
  <si>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</si>
  <si>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</si>
  <si>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</si>
  <si>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</si>
  <si>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</si>
  <si>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</si>
  <si>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</si>
  <si>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</si>
  <si>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</si>
  <si>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</si>
  <si>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</si>
  <si>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</si>
  <si>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</si>
  <si>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</si>
  <si>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</si>
  <si>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</si>
  <si>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</si>
  <si>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</si>
  <si>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</si>
  <si>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</si>
  <si>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</si>
  <si>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</si>
  <si>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</si>
  <si>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</si>
  <si>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</si>
  <si>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</si>
  <si>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</si>
  <si>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</si>
  <si>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</si>
  <si>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</si>
  <si>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</si>
  <si>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</si>
  <si>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</si>
  <si>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</si>
  <si>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</si>
  <si>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</si>
  <si>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</si>
  <si>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</si>
  <si>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</si>
  <si>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</si>
  <si>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</si>
  <si>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</si>
  <si>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</si>
  <si>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</si>
  <si>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</si>
  <si>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</si>
  <si>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</si>
  <si>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</si>
  <si>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</si>
  <si>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</si>
  <si>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</si>
  <si>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</si>
  <si>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</si>
  <si>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</si>
  <si>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</si>
  <si>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</si>
  <si>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</si>
  <si>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</si>
  <si>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</si>
  <si>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</si>
  <si>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</si>
  <si>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</si>
  <si>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</si>
  <si>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</si>
  <si>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</si>
  <si>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</si>
  <si>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</si>
  <si>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</si>
  <si>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</si>
  <si>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</si>
  <si>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</si>
  <si>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</si>
  <si>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</si>
  <si>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</si>
  <si>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</si>
  <si>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</si>
  <si>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</si>
  <si>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</si>
  <si>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</si>
  <si>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</si>
  <si>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</si>
  <si>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</si>
  <si>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</si>
  <si>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</si>
  <si>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</si>
  <si>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</si>
  <si>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</si>
  <si>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</si>
  <si>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</si>
  <si>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</si>
  <si>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</si>
  <si>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</si>
  <si>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</si>
  <si>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</si>
  <si>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</si>
  <si>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</si>
  <si>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</si>
  <si>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</si>
  <si>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</si>
  <si>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</si>
  <si>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</si>
  <si>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</si>
  <si>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</si>
  <si>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</si>
  <si>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</si>
  <si>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</si>
  <si>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</si>
  <si>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</si>
  <si>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</si>
  <si>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</si>
  <si>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</si>
  <si>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</si>
  <si>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</si>
  <si>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</si>
  <si>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</si>
  <si>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</si>
  <si>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</si>
  <si>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</si>
  <si>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</si>
  <si>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</si>
  <si>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</si>
  <si>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</si>
  <si>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</si>
  <si>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30/09/2023</t>
  </si>
  <si>
    <t>2023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</si>
  <si>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</si>
  <si>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</si>
  <si>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</si>
  <si>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</si>
  <si>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</si>
  <si>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</si>
  <si>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</si>
  <si>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</si>
  <si>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</si>
  <si>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</si>
  <si>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</si>
  <si>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</si>
  <si>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</si>
  <si>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29602998</t>
  </si>
  <si>
    <t>30043130</t>
  </si>
  <si>
    <t>22</t>
  </si>
  <si>
    <t>A3</t>
  </si>
  <si>
    <t>Moodys</t>
  </si>
  <si>
    <t>30056620</t>
  </si>
  <si>
    <t>26</t>
  </si>
  <si>
    <t>קרן לעסקים קטנים - מזומן בנק הפועלים בע"מ</t>
  </si>
  <si>
    <t>999999433</t>
  </si>
  <si>
    <t>30089270</t>
  </si>
  <si>
    <t>30091530</t>
  </si>
  <si>
    <t>30096090</t>
  </si>
  <si>
    <t>30098270</t>
  </si>
  <si>
    <t>30098590</t>
  </si>
  <si>
    <t>30098610</t>
  </si>
  <si>
    <t>30098630</t>
  </si>
  <si>
    <t>30098950</t>
  </si>
  <si>
    <t>27295736</t>
  </si>
  <si>
    <t>27295737</t>
  </si>
  <si>
    <t>27295738</t>
  </si>
  <si>
    <t>27295748</t>
  </si>
  <si>
    <t>30022650</t>
  </si>
  <si>
    <t>30023370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</si>
  <si>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</si>
  <si>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</si>
  <si>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</si>
  <si>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</si>
  <si>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</si>
  <si>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</si>
  <si>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</si>
  <si>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</si>
  <si>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20</t>
  </si>
  <si>
    <t>30030380</t>
  </si>
  <si>
    <t>17</t>
  </si>
  <si>
    <t>30030400</t>
  </si>
  <si>
    <t>30030430</t>
  </si>
  <si>
    <t>30035470</t>
  </si>
  <si>
    <t>30038310</t>
  </si>
  <si>
    <t>30035240</t>
  </si>
  <si>
    <t>30046610</t>
  </si>
  <si>
    <t>30046640</t>
  </si>
  <si>
    <t>30046670</t>
  </si>
  <si>
    <t>30046700</t>
  </si>
  <si>
    <t>30044180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</si>
  <si>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</si>
  <si>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</si>
  <si>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</si>
  <si>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</si>
  <si>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</si>
  <si>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</si>
  <si>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</si>
  <si>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</si>
  <si>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30005200</t>
  </si>
  <si>
    <t>30020920</t>
  </si>
  <si>
    <t>30023700</t>
  </si>
  <si>
    <t>30043140</t>
  </si>
  <si>
    <t>30098990</t>
  </si>
  <si>
    <t>30023720</t>
  </si>
  <si>
    <t>26401417</t>
  </si>
  <si>
    <t>30057640</t>
  </si>
  <si>
    <t>30023740</t>
  </si>
  <si>
    <t>30050220</t>
  </si>
  <si>
    <t>24296162</t>
  </si>
  <si>
    <t>30096110</t>
  </si>
  <si>
    <t>30098290</t>
  </si>
  <si>
    <t>30098650</t>
  </si>
  <si>
    <t>30098970</t>
  </si>
  <si>
    <t>30029450</t>
  </si>
  <si>
    <t>29295743</t>
  </si>
  <si>
    <t>29295748</t>
  </si>
  <si>
    <t>29401417</t>
  </si>
  <si>
    <t>30028630</t>
  </si>
  <si>
    <t>30028670</t>
  </si>
  <si>
    <t>30006670</t>
  </si>
  <si>
    <t>30022670</t>
  </si>
  <si>
    <t>30023390</t>
  </si>
  <si>
    <t>30030440</t>
  </si>
  <si>
    <t>30038370</t>
  </si>
  <si>
    <t>30035250</t>
  </si>
  <si>
    <t>28295738</t>
  </si>
  <si>
    <t>26295737</t>
  </si>
  <si>
    <t>265016330</t>
  </si>
  <si>
    <t>30044190</t>
  </si>
  <si>
    <t>30046620</t>
  </si>
  <si>
    <t>30046650</t>
  </si>
  <si>
    <t>30046680</t>
  </si>
  <si>
    <t>265016350</t>
  </si>
  <si>
    <t>26854250</t>
  </si>
  <si>
    <t>30057540</t>
  </si>
  <si>
    <t>30057580</t>
  </si>
  <si>
    <t>275016110</t>
  </si>
  <si>
    <t>30057541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</si>
  <si>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</si>
  <si>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</si>
  <si>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</si>
  <si>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</si>
  <si>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</si>
  <si>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</si>
  <si>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</si>
  <si>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</si>
  <si>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</si>
  <si>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</si>
  <si>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</si>
  <si>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</si>
  <si>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</si>
  <si>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</si>
  <si>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</si>
  <si>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</si>
  <si>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</si>
  <si>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</si>
  <si>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</si>
  <si>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</si>
  <si>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</si>
  <si>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30022530</t>
  </si>
  <si>
    <t>30021020</t>
  </si>
  <si>
    <t>30028690</t>
  </si>
  <si>
    <t>30028710</t>
  </si>
  <si>
    <t>30006730</t>
  </si>
  <si>
    <t>30023470</t>
  </si>
  <si>
    <t>30023630</t>
  </si>
  <si>
    <t>30057600</t>
  </si>
  <si>
    <t>30057620</t>
  </si>
  <si>
    <t xml:space="preserve">סה"כ בחו"ל: </t>
  </si>
  <si>
    <t>30028660</t>
  </si>
  <si>
    <t>88</t>
  </si>
  <si>
    <t>A1</t>
  </si>
  <si>
    <t>30096310</t>
  </si>
  <si>
    <t>30096270</t>
  </si>
  <si>
    <t>29857050</t>
  </si>
  <si>
    <t>261861961</t>
  </si>
  <si>
    <t>99</t>
  </si>
  <si>
    <t>A2</t>
  </si>
  <si>
    <t>28114070</t>
  </si>
  <si>
    <t>98</t>
  </si>
  <si>
    <t>AA</t>
  </si>
  <si>
    <t>S&amp;P</t>
  </si>
  <si>
    <t>30040270</t>
  </si>
  <si>
    <t>30014010</t>
  </si>
  <si>
    <t>30040760</t>
  </si>
  <si>
    <t>30045750</t>
  </si>
  <si>
    <t>30048170</t>
  </si>
  <si>
    <t>26114070</t>
  </si>
  <si>
    <t>30060180</t>
  </si>
  <si>
    <t>30061900</t>
  </si>
  <si>
    <t>30099530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</si>
  <si>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</si>
  <si>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</si>
  <si>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</si>
  <si>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</si>
  <si>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</si>
  <si>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</si>
  <si>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</si>
  <si>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</si>
  <si>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</si>
  <si>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</si>
  <si>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</si>
  <si>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</si>
  <si>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</si>
  <si>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</si>
  <si>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</si>
  <si>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</si>
  <si>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</si>
  <si>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</si>
  <si>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</si>
  <si>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</si>
  <si>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</si>
  <si>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</si>
  <si>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</si>
  <si>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</si>
  <si>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</si>
  <si>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</si>
  <si>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</si>
  <si>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</si>
  <si>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</si>
  <si>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</si>
  <si>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</si>
  <si>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</si>
  <si>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</si>
  <si>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</si>
  <si>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</si>
  <si>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</si>
  <si>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</si>
  <si>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</si>
  <si>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</si>
  <si>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</si>
  <si>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</si>
  <si>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</si>
  <si>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</si>
  <si>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</si>
  <si>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</si>
  <si>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</si>
  <si>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</si>
  <si>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</si>
  <si>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</si>
  <si>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</si>
  <si>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</si>
  <si>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</si>
  <si>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</si>
  <si>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</si>
  <si>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</si>
  <si>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</si>
  <si>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</si>
  <si>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</si>
  <si>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</si>
  <si>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</si>
  <si>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</si>
  <si>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</si>
  <si>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</si>
  <si>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</si>
  <si>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</si>
  <si>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</si>
  <si>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</si>
  <si>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</si>
  <si>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</si>
  <si>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</si>
  <si>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</si>
  <si>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</si>
  <si>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</si>
  <si>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</si>
  <si>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</si>
  <si>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</si>
  <si>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</si>
  <si>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</si>
  <si>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</si>
  <si>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</si>
  <si>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</si>
  <si>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</si>
  <si>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</si>
  <si>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</si>
  <si>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</si>
  <si>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</si>
  <si>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</si>
  <si>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</si>
  <si>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</si>
  <si>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</si>
  <si>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</si>
  <si>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</si>
  <si>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</si>
  <si>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</si>
  <si>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</si>
  <si>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</si>
  <si>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</si>
  <si>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</si>
  <si>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</si>
  <si>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</si>
  <si>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</si>
  <si>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</si>
  <si>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</si>
  <si>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</si>
  <si>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</si>
  <si>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</si>
  <si>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</si>
  <si>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</si>
  <si>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</si>
  <si>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</si>
  <si>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</si>
  <si>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</si>
  <si>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</si>
  <si>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</si>
  <si>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</si>
  <si>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</si>
  <si>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</si>
  <si>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</si>
  <si>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</si>
  <si>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</si>
  <si>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</si>
  <si>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</si>
  <si>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</si>
  <si>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</si>
  <si>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</si>
  <si>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</si>
  <si>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</si>
  <si>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</si>
  <si>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</si>
  <si>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</si>
  <si>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</si>
  <si>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</si>
  <si>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</si>
  <si>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</si>
  <si>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</si>
  <si>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</si>
  <si>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</si>
  <si>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</si>
  <si>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</si>
  <si>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</si>
  <si>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</si>
  <si>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</si>
  <si>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</si>
  <si>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</si>
  <si>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</si>
  <si>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</si>
  <si>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</si>
  <si>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</si>
  <si>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</si>
  <si>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</si>
  <si>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</si>
  <si>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</si>
  <si>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</si>
  <si>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</si>
  <si>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</si>
  <si>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</si>
  <si>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</si>
  <si>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</si>
  <si>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</si>
  <si>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</si>
  <si>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</si>
  <si>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</si>
  <si>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</si>
  <si>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</si>
  <si>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</si>
  <si>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</si>
  <si>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</si>
  <si>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</si>
  <si>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</si>
  <si>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</si>
  <si>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</si>
  <si>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</si>
  <si>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</si>
  <si>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</si>
  <si>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</si>
  <si>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</si>
  <si>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</si>
  <si>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</si>
  <si>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</si>
  <si>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</si>
  <si>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</si>
  <si>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</si>
  <si>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</si>
  <si>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</si>
  <si>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</si>
  <si>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</si>
  <si>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</si>
  <si>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</si>
  <si>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</si>
  <si>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</si>
  <si>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</si>
  <si>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</si>
  <si>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</si>
  <si>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</si>
  <si>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</si>
  <si>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</si>
  <si>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</si>
  <si>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</si>
  <si>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</si>
  <si>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</si>
  <si>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</si>
  <si>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</si>
  <si>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</si>
  <si>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</si>
  <si>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</si>
  <si>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</si>
  <si>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</si>
  <si>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</si>
  <si>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</si>
  <si>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</si>
  <si>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</si>
  <si>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</si>
  <si>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</si>
  <si>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</si>
  <si>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</si>
  <si>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</si>
  <si>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</si>
  <si>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</si>
  <si>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</si>
  <si>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</si>
  <si>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</si>
  <si>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</si>
  <si>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</si>
  <si>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</si>
  <si>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</si>
  <si>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</si>
  <si>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</si>
  <si>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</si>
  <si>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</si>
  <si>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</si>
  <si>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</si>
  <si>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</si>
  <si>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</si>
  <si>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</si>
  <si>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</si>
  <si>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</si>
  <si>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</si>
  <si>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</si>
  <si>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</si>
  <si>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</si>
  <si>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</si>
  <si>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</si>
  <si>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</si>
  <si>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</si>
  <si>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</si>
  <si>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</si>
  <si>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</si>
  <si>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</si>
  <si>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</si>
  <si>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</si>
  <si>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</si>
  <si>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</si>
  <si>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</si>
  <si>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</si>
  <si>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</si>
  <si>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</si>
  <si>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</si>
  <si>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</si>
  <si>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</si>
  <si>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</si>
  <si>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</si>
  <si>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</si>
  <si>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</si>
  <si>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</si>
  <si>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</si>
  <si>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</si>
  <si>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</si>
  <si>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</si>
  <si>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</si>
  <si>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</si>
  <si>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</si>
  <si>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</si>
  <si>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</si>
  <si>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</si>
  <si>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</si>
  <si>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</si>
  <si>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</si>
  <si>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</si>
  <si>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</si>
  <si>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</si>
  <si>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</si>
  <si>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</si>
  <si>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</si>
  <si>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</si>
  <si>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</si>
  <si>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</si>
  <si>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</si>
  <si>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</si>
  <si>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</si>
  <si>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</si>
  <si>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</si>
  <si>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</si>
  <si>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</si>
  <si>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</si>
  <si>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</si>
  <si>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</si>
  <si>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</si>
  <si>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</si>
  <si>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</si>
  <si>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</si>
  <si>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</si>
  <si>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</si>
  <si>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</si>
  <si>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</si>
  <si>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</si>
  <si>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</si>
  <si>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</si>
  <si>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</si>
  <si>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</si>
  <si>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</si>
  <si>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</si>
  <si>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</si>
  <si>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</si>
  <si>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</si>
  <si>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</si>
  <si>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</si>
  <si>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</si>
  <si>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</si>
  <si>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</si>
  <si>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</si>
  <si>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</si>
  <si>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</si>
  <si>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</si>
  <si>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</si>
  <si>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</si>
  <si>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</si>
  <si>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</si>
  <si>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</si>
  <si>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</si>
  <si>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</si>
  <si>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</si>
  <si>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</si>
  <si>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</si>
  <si>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</si>
  <si>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</si>
  <si>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</si>
  <si>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</si>
  <si>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</si>
  <si>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</si>
  <si>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</si>
  <si>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</si>
  <si>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</si>
  <si>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</si>
  <si>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</si>
  <si>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</si>
  <si>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</si>
  <si>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</si>
  <si>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</si>
  <si>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</si>
  <si>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</si>
  <si>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</si>
  <si>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</si>
  <si>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</si>
  <si>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</si>
  <si>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</si>
  <si>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</si>
  <si>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</si>
  <si>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</si>
  <si>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</si>
  <si>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</si>
  <si>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</si>
  <si>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</si>
  <si>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</si>
  <si>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</si>
  <si>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</si>
  <si>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</si>
  <si>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</si>
  <si>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</si>
  <si>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</si>
  <si>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</si>
  <si>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</si>
  <si>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</si>
  <si>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</si>
  <si>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</si>
  <si>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</si>
  <si>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</si>
  <si>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</si>
  <si>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</si>
  <si>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</si>
  <si>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</si>
  <si>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</si>
  <si>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</si>
  <si>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</si>
  <si>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</si>
  <si>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</si>
  <si>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</si>
  <si>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</si>
  <si>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</si>
  <si>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</si>
  <si>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</si>
  <si>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</si>
  <si>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</si>
  <si>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</si>
  <si>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</si>
  <si>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</si>
  <si>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</si>
  <si>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</si>
  <si>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</si>
  <si>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</si>
  <si>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</si>
  <si>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</si>
  <si>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</si>
  <si>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</si>
  <si>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</si>
  <si>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</si>
  <si>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</si>
  <si>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</si>
  <si>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</si>
  <si>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</si>
  <si>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</si>
  <si>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</si>
  <si>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</si>
  <si>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</si>
  <si>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</si>
  <si>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</si>
  <si>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</si>
  <si>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</si>
  <si>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</si>
  <si>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</si>
  <si>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</si>
  <si>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</si>
  <si>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</si>
  <si>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</si>
  <si>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</si>
  <si>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</si>
  <si>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</si>
  <si>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</si>
  <si>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</si>
  <si>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</si>
  <si>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</si>
  <si>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</si>
  <si>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</si>
  <si>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</si>
  <si>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</si>
  <si>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</si>
  <si>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</si>
  <si>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</si>
  <si>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</si>
  <si>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</si>
  <si>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</si>
  <si>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</si>
  <si>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</si>
  <si>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</si>
  <si>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</si>
  <si>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</si>
  <si>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</si>
  <si>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</si>
  <si>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</si>
  <si>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</si>
  <si>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</si>
  <si>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</si>
  <si>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</si>
  <si>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</si>
  <si>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</si>
  <si>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</si>
  <si>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</si>
  <si>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</si>
  <si>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</si>
  <si>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</si>
  <si>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</si>
  <si>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</si>
  <si>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</si>
  <si>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</si>
  <si>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</si>
  <si>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</si>
  <si>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</si>
  <si>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</si>
  <si>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</si>
  <si>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</si>
  <si>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</si>
  <si>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</si>
  <si>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</si>
  <si>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</si>
  <si>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</si>
  <si>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</si>
  <si>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</si>
  <si>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</si>
  <si>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</si>
  <si>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</si>
  <si>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</si>
  <si>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</si>
  <si>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</si>
  <si>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</si>
  <si>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</si>
  <si>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</si>
  <si>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</si>
  <si>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</si>
  <si>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</si>
  <si>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</si>
  <si>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</si>
  <si>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</si>
  <si>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</si>
  <si>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</si>
  <si>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</si>
  <si>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</si>
  <si>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</si>
  <si>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</si>
  <si>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</si>
  <si>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</si>
  <si>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</si>
  <si>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</si>
  <si>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</si>
  <si>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</si>
  <si>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</si>
  <si>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</si>
  <si>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</si>
  <si>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</si>
  <si>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</si>
  <si>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</si>
  <si>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</si>
  <si>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</si>
  <si>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</si>
  <si>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</si>
  <si>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</si>
  <si>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</si>
  <si>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</si>
  <si>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</si>
  <si>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</si>
  <si>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</si>
  <si>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</si>
  <si>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</si>
  <si>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</si>
  <si>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</si>
  <si>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</si>
  <si>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</si>
  <si>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</si>
  <si>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</si>
  <si>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</si>
  <si>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</si>
  <si>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</si>
  <si>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</si>
  <si>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</si>
  <si>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</si>
  <si>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</si>
  <si>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</si>
  <si>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</si>
  <si>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</si>
  <si>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</si>
  <si>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</si>
  <si>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</si>
  <si>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</si>
  <si>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</si>
  <si>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</si>
  <si>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</si>
  <si>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</si>
  <si>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</si>
  <si>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</si>
  <si>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</si>
  <si>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</si>
  <si>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</si>
  <si>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</si>
  <si>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</si>
  <si>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</si>
  <si>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</si>
  <si>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</si>
  <si>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</si>
  <si>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</si>
  <si>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</si>
  <si>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</si>
  <si>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</si>
  <si>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</si>
  <si>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</si>
  <si>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</si>
  <si>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</si>
  <si>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</si>
  <si>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</si>
  <si>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</si>
  <si>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</si>
  <si>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</si>
  <si>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</si>
  <si>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</si>
  <si>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</si>
  <si>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</si>
  <si>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</si>
  <si>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</si>
  <si>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</si>
  <si>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</si>
  <si>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</si>
  <si>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</si>
  <si>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</si>
  <si>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</si>
  <si>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</si>
  <si>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</si>
  <si>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</si>
  <si>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</si>
  <si>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</si>
  <si>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</si>
  <si>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</si>
  <si>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</si>
  <si>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</si>
  <si>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</si>
  <si>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</si>
  <si>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</si>
  <si>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</si>
  <si>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</si>
  <si>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</si>
  <si>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</si>
  <si>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</si>
  <si>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</si>
  <si>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</si>
  <si>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</si>
  <si>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</si>
  <si>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</si>
  <si>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</si>
  <si>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</si>
  <si>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</si>
  <si>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</si>
  <si>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</si>
  <si>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</si>
  <si>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</si>
  <si>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</si>
  <si>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</si>
  <si>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</si>
  <si>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</si>
  <si>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</si>
  <si>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</si>
  <si>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</si>
  <si>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</si>
  <si>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</si>
  <si>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</si>
  <si>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</si>
  <si>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</si>
  <si>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</si>
  <si>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</si>
  <si>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</si>
  <si>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</si>
  <si>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</si>
  <si>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</si>
  <si>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</si>
  <si>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</si>
  <si>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</si>
  <si>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</si>
  <si>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</si>
  <si>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</si>
  <si>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</si>
  <si>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</si>
  <si>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</si>
  <si>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</si>
  <si>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</si>
  <si>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</si>
  <si>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</si>
  <si>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</si>
  <si>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</si>
  <si>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</si>
  <si>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</si>
  <si>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</si>
  <si>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</si>
  <si>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</si>
  <si>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</si>
  <si>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</si>
  <si>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</si>
  <si>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</si>
  <si>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</si>
  <si>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</si>
  <si>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</si>
  <si>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</si>
  <si>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</si>
  <si>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</si>
  <si>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</si>
  <si>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</si>
  <si>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</si>
  <si>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</si>
  <si>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</si>
  <si>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</si>
  <si>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</si>
  <si>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</si>
  <si>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</si>
  <si>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</si>
  <si>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</si>
  <si>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</si>
  <si>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</si>
  <si>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</si>
  <si>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</si>
  <si>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</si>
  <si>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</si>
  <si>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</si>
  <si>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</si>
  <si>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</si>
  <si>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</si>
  <si>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</si>
  <si>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</si>
  <si>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</si>
  <si>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</si>
  <si>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</si>
  <si>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</si>
  <si>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</si>
  <si>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</si>
  <si>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</si>
  <si>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</si>
  <si>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</si>
  <si>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</si>
  <si>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</si>
  <si>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</si>
  <si>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</si>
  <si>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</si>
  <si>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</si>
  <si>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</si>
  <si>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</si>
  <si>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</si>
  <si>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</si>
  <si>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</si>
  <si>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</si>
  <si>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</si>
  <si>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</si>
  <si>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</si>
  <si>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</si>
  <si>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</si>
  <si>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</si>
  <si>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</si>
  <si>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</si>
  <si>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</si>
  <si>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</si>
  <si>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</si>
  <si>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</si>
  <si>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</si>
  <si>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</si>
  <si>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</si>
  <si>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</si>
  <si>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</si>
  <si>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</si>
  <si>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</si>
  <si>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</si>
  <si>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</si>
  <si>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</si>
  <si>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</si>
  <si>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</si>
  <si>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</si>
  <si>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</si>
  <si>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</si>
  <si>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</si>
  <si>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</si>
  <si>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</si>
  <si>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</si>
  <si>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</si>
  <si>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</si>
  <si>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</si>
  <si>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</si>
  <si>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</si>
  <si>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</si>
  <si>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</si>
  <si>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</si>
  <si>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</si>
  <si>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</si>
  <si>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</si>
  <si>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</si>
  <si>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</si>
  <si>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</si>
  <si>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</si>
  <si>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</si>
  <si>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</si>
  <si>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</si>
  <si>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</si>
  <si>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</si>
  <si>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</si>
  <si>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</si>
  <si>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</si>
  <si>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</si>
  <si>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</si>
  <si>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</si>
  <si>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</si>
  <si>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</si>
  <si>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</si>
  <si>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</si>
  <si>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</si>
  <si>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</si>
  <si>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</si>
  <si>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</si>
  <si>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</si>
  <si>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</si>
  <si>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</si>
  <si>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</si>
  <si>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</si>
  <si>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</si>
  <si>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</si>
  <si>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</si>
  <si>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</si>
  <si>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</si>
  <si>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</si>
  <si>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</si>
  <si>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</si>
  <si>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</si>
  <si>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</si>
  <si>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</si>
  <si>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</si>
  <si>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</si>
  <si>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</si>
  <si>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</si>
  <si>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</si>
  <si>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</si>
  <si>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</si>
  <si>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</si>
  <si>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</si>
  <si>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</si>
  <si>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</si>
  <si>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</si>
  <si>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</si>
  <si>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</si>
  <si>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</si>
  <si>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</si>
  <si>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</si>
  <si>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</si>
  <si>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</si>
  <si>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</si>
  <si>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</si>
  <si>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</si>
  <si>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</si>
  <si>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</si>
  <si>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</si>
  <si>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</si>
  <si>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</si>
  <si>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</si>
  <si>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</si>
  <si>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</si>
  <si>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</si>
  <si>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</si>
  <si>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</si>
  <si>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</si>
  <si>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</si>
  <si>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</si>
  <si>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</si>
  <si>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</si>
  <si>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</si>
  <si>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</si>
  <si>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</si>
  <si>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</si>
  <si>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</si>
  <si>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</si>
  <si>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</si>
  <si>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</si>
  <si>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</si>
  <si>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</si>
  <si>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</si>
  <si>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</si>
  <si>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</si>
  <si>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</si>
  <si>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</si>
  <si>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</si>
  <si>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</si>
  <si>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</si>
  <si>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</si>
  <si>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</si>
  <si>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</si>
  <si>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</si>
  <si>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</si>
  <si>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</si>
  <si>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</si>
  <si>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</si>
  <si>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</si>
  <si>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</si>
  <si>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</si>
  <si>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</si>
  <si>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</si>
  <si>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</si>
  <si>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</si>
  <si>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</si>
  <si>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</si>
  <si>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</si>
  <si>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</si>
  <si>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</si>
  <si>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</si>
  <si>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</si>
  <si>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</si>
  <si>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</si>
  <si>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</si>
  <si>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</si>
  <si>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</si>
  <si>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</si>
  <si>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</si>
  <si>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</si>
  <si>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</si>
  <si>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</si>
  <si>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</si>
  <si>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</si>
  <si>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</si>
  <si>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</si>
  <si>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</si>
  <si>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</si>
  <si>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</si>
  <si>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</si>
  <si>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</si>
  <si>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</si>
  <si>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</si>
  <si>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</si>
  <si>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</si>
  <si>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</si>
  <si>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</si>
  <si>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</si>
  <si>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</si>
  <si>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</si>
  <si>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</si>
  <si>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</si>
  <si>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</si>
  <si>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</si>
  <si>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</si>
  <si>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</si>
  <si>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</si>
  <si>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</si>
  <si>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</si>
  <si>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</si>
  <si>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</si>
  <si>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</si>
  <si>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</si>
  <si>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</si>
  <si>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</si>
  <si>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</si>
  <si>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</si>
  <si>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</si>
  <si>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</si>
  <si>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</si>
  <si>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</si>
  <si>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</si>
  <si>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</si>
  <si>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</si>
  <si>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</si>
  <si>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</si>
  <si>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</si>
  <si>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</si>
  <si>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</si>
  <si>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</si>
  <si>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</si>
  <si>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</si>
  <si>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</si>
  <si>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</si>
  <si>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</si>
  <si>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</si>
  <si>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</si>
  <si>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</si>
  <si>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</si>
  <si>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</si>
  <si>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</si>
  <si>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</si>
  <si>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</si>
  <si>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</si>
  <si>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</si>
  <si>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</si>
  <si>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</si>
  <si>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</si>
  <si>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</si>
  <si>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</si>
  <si>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</si>
  <si>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</si>
  <si>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</si>
  <si>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</si>
  <si>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</si>
  <si>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</si>
  <si>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</si>
  <si>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</si>
  <si>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</si>
  <si>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</si>
  <si>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</si>
  <si>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</si>
  <si>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</si>
  <si>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</si>
  <si>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</si>
  <si>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</si>
  <si>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</si>
  <si>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</si>
  <si>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</si>
  <si>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</si>
  <si>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</si>
  <si>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</si>
  <si>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</si>
  <si>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</si>
  <si>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</si>
  <si>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</si>
  <si>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</si>
  <si>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</si>
  <si>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</si>
  <si>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</si>
  <si>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</si>
  <si>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</si>
  <si>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</si>
  <si>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</si>
  <si>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</si>
  <si>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</si>
  <si>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</si>
  <si>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</si>
  <si>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</si>
  <si>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</si>
  <si>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</si>
  <si>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</si>
  <si>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</si>
  <si>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</si>
  <si>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</si>
  <si>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</si>
  <si>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</si>
  <si>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</si>
  <si>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</si>
  <si>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</si>
  <si>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</si>
  <si>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</si>
  <si>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</si>
  <si>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</si>
  <si>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</si>
  <si>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</si>
  <si>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</si>
  <si>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</si>
  <si>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</si>
  <si>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</si>
  <si>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</si>
  <si>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</si>
  <si>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</si>
  <si>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</si>
  <si>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</si>
  <si>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</si>
  <si>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</si>
  <si>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</si>
  <si>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</si>
  <si>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</si>
  <si>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</si>
  <si>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</si>
  <si>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</si>
  <si>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</si>
  <si>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</si>
  <si>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</si>
  <si>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</si>
  <si>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</si>
  <si>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</si>
  <si>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</si>
  <si>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</si>
  <si>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</si>
  <si>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</si>
  <si>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</si>
  <si>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</si>
  <si>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</si>
  <si>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</si>
  <si>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</si>
  <si>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</si>
  <si>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</si>
  <si>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</si>
  <si>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</si>
  <si>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</si>
  <si>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</si>
  <si>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</si>
  <si>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</si>
  <si>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</si>
  <si>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</si>
  <si>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</si>
  <si>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</si>
  <si>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</si>
  <si>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</si>
  <si>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</si>
  <si>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</si>
  <si>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</si>
  <si>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</si>
  <si>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</si>
  <si>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</si>
  <si>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</si>
  <si>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</si>
  <si>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</si>
  <si>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</si>
  <si>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</si>
  <si>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</si>
  <si>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</si>
  <si>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</si>
  <si>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</si>
  <si>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</si>
  <si>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</si>
  <si>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</si>
  <si>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</si>
  <si>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</si>
  <si>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</si>
  <si>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</si>
  <si>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</si>
  <si>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</si>
  <si>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</si>
  <si>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</si>
  <si>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</si>
  <si>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</si>
  <si>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</si>
  <si>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</si>
  <si>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</si>
  <si>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</si>
  <si>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</si>
  <si>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</si>
  <si>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</si>
  <si>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</si>
  <si>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</si>
  <si>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</si>
  <si>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</si>
  <si>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</si>
  <si>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</si>
  <si>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</si>
  <si>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</si>
  <si>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</si>
  <si>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</si>
  <si>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</si>
  <si>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</si>
  <si>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</si>
  <si>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</si>
  <si>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</si>
  <si>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</si>
  <si>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</si>
  <si>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</si>
  <si>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</si>
  <si>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</si>
  <si>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</si>
  <si>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</si>
  <si>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</si>
  <si>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</si>
  <si>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</si>
  <si>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</si>
  <si>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</si>
  <si>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</si>
  <si>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</si>
  <si>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</si>
  <si>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</si>
  <si>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</si>
  <si>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</si>
  <si>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</si>
  <si>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</si>
  <si>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</si>
  <si>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</si>
  <si>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</si>
  <si>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</si>
  <si>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</si>
  <si>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</si>
  <si>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</si>
  <si>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</si>
  <si>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</si>
  <si>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</si>
  <si>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</si>
  <si>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</si>
  <si>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</si>
  <si>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</si>
  <si>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</si>
  <si>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</si>
  <si>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</si>
  <si>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</si>
  <si>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</si>
  <si>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</si>
  <si>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</si>
  <si>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</si>
  <si>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</si>
  <si>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</si>
  <si>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</si>
  <si>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</si>
  <si>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</si>
  <si>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</si>
  <si>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</si>
  <si>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</si>
  <si>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</si>
  <si>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</si>
  <si>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</si>
  <si>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</si>
  <si>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</si>
  <si>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</si>
  <si>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</si>
  <si>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</si>
  <si>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</si>
  <si>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</si>
  <si>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</si>
  <si>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</si>
  <si>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</si>
  <si>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</si>
  <si>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</si>
  <si>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</si>
  <si>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</si>
  <si>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</si>
  <si>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</si>
  <si>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</si>
  <si>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</si>
  <si>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</si>
  <si>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</si>
  <si>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</si>
  <si>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</si>
  <si>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</si>
  <si>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</si>
  <si>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</si>
  <si>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</si>
  <si>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</si>
  <si>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</si>
  <si>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</si>
  <si>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</si>
  <si>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</si>
  <si>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</si>
  <si>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</si>
  <si>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</si>
  <si>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</si>
  <si>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</si>
  <si>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</si>
  <si>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</si>
  <si>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</si>
  <si>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</si>
  <si>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</si>
  <si>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</si>
  <si>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</si>
  <si>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</si>
  <si>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</si>
  <si>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</si>
  <si>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</si>
  <si>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</si>
  <si>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</si>
  <si>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</si>
  <si>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</si>
  <si>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</si>
  <si>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</si>
  <si>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</si>
  <si>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</si>
  <si>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</si>
  <si>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</si>
  <si>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</si>
  <si>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</si>
  <si>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</si>
  <si>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</si>
  <si>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</si>
  <si>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</si>
  <si>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</si>
  <si>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</si>
  <si>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</si>
  <si>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</si>
  <si>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</si>
  <si>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</si>
  <si>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</si>
  <si>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</si>
  <si>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</si>
  <si>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</si>
  <si>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</si>
  <si>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</si>
  <si>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</si>
  <si>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</si>
  <si>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</si>
  <si>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</si>
  <si>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</si>
  <si>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</si>
  <si>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</si>
  <si>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</si>
  <si>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</si>
  <si>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</si>
  <si>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</si>
  <si>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</si>
  <si>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</si>
  <si>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</si>
  <si>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</si>
  <si>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</si>
  <si>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</si>
  <si>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</si>
  <si>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</si>
  <si>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</si>
  <si>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</si>
  <si>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</si>
  <si>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</si>
  <si>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</si>
  <si>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</si>
  <si>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</si>
  <si>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</si>
  <si>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</si>
  <si>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</si>
  <si>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</si>
  <si>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</si>
  <si>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</si>
  <si>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</si>
  <si>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</si>
  <si>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</si>
  <si>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</si>
  <si>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</si>
  <si>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</si>
  <si>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</si>
  <si>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</si>
  <si>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</si>
  <si>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</si>
  <si>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</si>
  <si>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</si>
  <si>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</si>
  <si>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</si>
  <si>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</si>
  <si>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</si>
  <si>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</si>
  <si>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</si>
  <si>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</si>
  <si>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</si>
  <si>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</si>
  <si>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</si>
  <si>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</si>
  <si>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</si>
  <si>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</si>
  <si>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</si>
  <si>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</si>
  <si>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</si>
  <si>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</si>
  <si>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</si>
  <si>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</si>
  <si>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</si>
  <si>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</si>
  <si>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</si>
  <si>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</si>
  <si>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</si>
  <si>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</si>
  <si>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</si>
  <si>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</si>
  <si>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</si>
  <si>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</si>
  <si>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</si>
  <si>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</si>
  <si>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</si>
  <si>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</si>
  <si>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</si>
  <si>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</si>
  <si>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</si>
  <si>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</si>
  <si>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</si>
  <si>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</si>
  <si>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</si>
  <si>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</si>
  <si>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</si>
  <si>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</si>
  <si>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</si>
  <si>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</si>
  <si>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</si>
  <si>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</si>
  <si>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</si>
  <si>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</si>
  <si>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</si>
  <si>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</si>
  <si>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</si>
  <si>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</si>
  <si>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</si>
  <si>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</si>
  <si>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</si>
  <si>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</si>
  <si>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</si>
  <si>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</si>
  <si>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</si>
  <si>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</si>
  <si>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</si>
  <si>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</si>
  <si>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</si>
  <si>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</si>
  <si>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</si>
  <si>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</si>
  <si>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</si>
  <si>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</si>
  <si>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</si>
  <si>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</si>
  <si>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</si>
  <si>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</si>
  <si>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</si>
  <si>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סה"כ מניות היתר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</si>
  <si>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</si>
  <si>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</si>
  <si>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</si>
  <si>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</si>
  <si>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</si>
  <si>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</si>
  <si>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</si>
  <si>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</si>
  <si>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</si>
  <si>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513534974</t>
  </si>
  <si>
    <t>אג"ח</t>
  </si>
  <si>
    <t>קסם קרן סל תלבונד 40</t>
  </si>
  <si>
    <t>1146216</t>
  </si>
  <si>
    <t>510938608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</si>
  <si>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</si>
  <si>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</si>
  <si>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</si>
  <si>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</si>
  <si>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</si>
  <si>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</si>
  <si>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513765339</t>
  </si>
  <si>
    <t>הראל קרן סל תלבונד צמודות</t>
  </si>
  <si>
    <t>1150606</t>
  </si>
  <si>
    <t>511776783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</si>
  <si>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</si>
  <si>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</si>
  <si>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</si>
  <si>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</si>
  <si>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</si>
  <si>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</si>
  <si>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</si>
  <si>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</si>
  <si>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</si>
  <si>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</si>
  <si>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</si>
  <si>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</si>
  <si>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</si>
  <si>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</si>
  <si>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</si>
  <si>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</si>
  <si>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</si>
  <si>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</si>
  <si>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</si>
  <si>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</si>
  <si>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</si>
  <si>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</si>
  <si>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</si>
  <si>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</si>
  <si>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</si>
  <si>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</si>
  <si>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</si>
  <si>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</si>
  <si>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</si>
  <si>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</si>
  <si>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</si>
  <si>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</si>
  <si>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</si>
  <si>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</si>
  <si>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</si>
  <si>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</si>
  <si>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</si>
  <si>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</si>
  <si>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</si>
  <si>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</si>
  <si>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</si>
  <si>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</si>
  <si>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</si>
  <si>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</si>
  <si>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</si>
  <si>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</si>
  <si>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</si>
  <si>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</si>
  <si>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</si>
  <si>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</si>
  <si>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</si>
  <si>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</si>
  <si>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</si>
  <si>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</si>
  <si>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</si>
  <si>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</si>
  <si>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</si>
  <si>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</si>
  <si>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</si>
  <si>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</si>
  <si>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</si>
  <si>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</si>
  <si>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</si>
  <si>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</si>
  <si>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</si>
  <si>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</si>
  <si>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</si>
  <si>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</si>
  <si>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</si>
  <si>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</si>
  <si>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</si>
  <si>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</si>
  <si>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</si>
  <si>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</si>
  <si>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</si>
  <si>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</si>
  <si>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</si>
  <si>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</si>
  <si>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</si>
  <si>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</si>
  <si>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</si>
  <si>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</si>
  <si>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</si>
  <si>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</si>
  <si>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</si>
  <si>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</si>
  <si>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</si>
  <si>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</si>
  <si>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</si>
  <si>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</si>
  <si>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</si>
  <si>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</si>
  <si>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</si>
  <si>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</si>
  <si>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</si>
  <si>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</si>
  <si>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</si>
  <si>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</si>
  <si>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</si>
  <si>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</si>
  <si>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</si>
  <si>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</si>
  <si>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</si>
  <si>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</si>
  <si>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</si>
  <si>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</si>
  <si>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</si>
  <si>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</si>
  <si>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</si>
  <si>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</si>
  <si>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</si>
  <si>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</si>
  <si>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</si>
  <si>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</si>
  <si>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</si>
  <si>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</si>
  <si>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</si>
  <si>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</si>
  <si>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</si>
  <si>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</si>
  <si>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</si>
  <si>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</si>
  <si>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</si>
  <si>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</si>
  <si>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</si>
  <si>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</si>
  <si>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</si>
  <si>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</si>
  <si>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</si>
  <si>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</si>
  <si>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</si>
  <si>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</si>
  <si>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</si>
  <si>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</si>
  <si>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</si>
  <si>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</si>
  <si>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</si>
  <si>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</si>
  <si>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</si>
  <si>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</si>
  <si>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</si>
  <si>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</si>
  <si>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</si>
  <si>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</si>
  <si>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</si>
  <si>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</si>
  <si>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</si>
  <si>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</si>
  <si>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</si>
  <si>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</si>
  <si>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</si>
  <si>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</si>
  <si>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</si>
  <si>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</si>
  <si>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</si>
  <si>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</si>
  <si>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</si>
  <si>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</si>
  <si>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</si>
  <si>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</si>
  <si>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</si>
  <si>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</si>
  <si>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</si>
  <si>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EQT Infrastructure VI Lazer Logistics</t>
  </si>
  <si>
    <t>89445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</si>
  <si>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</si>
  <si>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</si>
  <si>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</si>
  <si>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</si>
  <si>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</si>
  <si>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</si>
  <si>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</si>
  <si>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</si>
  <si>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</si>
  <si>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</si>
  <si>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</si>
  <si>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</si>
  <si>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</si>
  <si>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</si>
  <si>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</si>
  <si>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Shaked Partners II</t>
  </si>
  <si>
    <t>89437</t>
  </si>
  <si>
    <t>10/07/2023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</si>
  <si>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</si>
  <si>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</si>
  <si>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</si>
  <si>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</si>
  <si>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</si>
  <si>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</si>
  <si>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</si>
  <si>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</si>
  <si>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</si>
  <si>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</si>
  <si>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</si>
  <si>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</si>
  <si>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</si>
  <si>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</si>
  <si>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</si>
  <si>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</si>
  <si>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</si>
  <si>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</si>
  <si>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</si>
  <si>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</si>
  <si>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</si>
  <si>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</si>
  <si>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</si>
  <si>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</si>
  <si>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</si>
  <si>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</si>
  <si>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</si>
  <si>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</si>
  <si>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</si>
  <si>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</si>
  <si>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</si>
  <si>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</si>
  <si>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</si>
  <si>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</si>
  <si>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</si>
  <si>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</si>
  <si>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</si>
  <si>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</si>
  <si>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</si>
  <si>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</si>
  <si>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</si>
  <si>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</si>
  <si>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</si>
  <si>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</si>
  <si>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</si>
  <si>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</si>
  <si>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</si>
  <si>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</si>
  <si>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</si>
  <si>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</si>
  <si>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</si>
  <si>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</si>
  <si>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</si>
  <si>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</si>
  <si>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ECP V Clal Co-Invest</t>
  </si>
  <si>
    <t>89436</t>
  </si>
  <si>
    <t>EQT Infrastructure VI No.1 EUR SCSP</t>
  </si>
  <si>
    <t>89429</t>
  </si>
  <si>
    <t>31/08/2023</t>
  </si>
  <si>
    <t>סה"כ כתבי אופציה בישראל:</t>
  </si>
  <si>
    <t>אאורה אופציה לא סחירה 06/2024</t>
  </si>
  <si>
    <t>99368023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</si>
  <si>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</si>
  <si>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</si>
  <si>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</si>
  <si>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</si>
  <si>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</si>
  <si>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</si>
  <si>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</si>
  <si>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</si>
  <si>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</si>
  <si>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</si>
  <si>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</si>
  <si>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</si>
  <si>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</si>
  <si>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</si>
  <si>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</si>
  <si>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</si>
  <si>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</si>
  <si>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</si>
  <si>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</si>
  <si>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</si>
  <si>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</si>
  <si>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</si>
  <si>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</si>
  <si>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</si>
  <si>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</si>
  <si>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</si>
  <si>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</si>
  <si>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</si>
  <si>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</si>
  <si>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</si>
  <si>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</si>
  <si>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</si>
  <si>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06/12/2023 - ILS</t>
  </si>
  <si>
    <t>445267280</t>
  </si>
  <si>
    <t>FW USDILS 06/12/2023 - USD</t>
  </si>
  <si>
    <t>445267281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</si>
  <si>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</si>
  <si>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</si>
  <si>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</si>
  <si>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</si>
  <si>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</si>
  <si>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</si>
  <si>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</si>
  <si>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</si>
  <si>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</si>
  <si>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</si>
  <si>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</si>
  <si>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</si>
  <si>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</si>
  <si>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</si>
  <si>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</si>
  <si>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</si>
  <si>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</si>
  <si>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</si>
  <si>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</si>
  <si>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</si>
  <si>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</si>
  <si>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</si>
  <si>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FW USDILS 20/12/2023 - ILS</t>
  </si>
  <si>
    <t>445271938</t>
  </si>
  <si>
    <t>01/06/2023</t>
  </si>
  <si>
    <t>FW USDILS 20/12/2023 - USD</t>
  </si>
  <si>
    <t>445271939</t>
  </si>
  <si>
    <t>445273296</t>
  </si>
  <si>
    <t>20/06/2023</t>
  </si>
  <si>
    <t>445273297</t>
  </si>
  <si>
    <t>445273322</t>
  </si>
  <si>
    <t>445273323</t>
  </si>
  <si>
    <t>445273542</t>
  </si>
  <si>
    <t>21/06/2023</t>
  </si>
  <si>
    <t>445273543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</si>
  <si>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</si>
  <si>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</si>
  <si>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</si>
  <si>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</si>
  <si>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</si>
  <si>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</si>
  <si>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</si>
  <si>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</si>
  <si>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</si>
  <si>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</si>
  <si>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</si>
  <si>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</si>
  <si>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</si>
  <si>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</si>
  <si>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</si>
  <si>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</si>
  <si>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</si>
  <si>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</si>
  <si>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</si>
  <si>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</si>
  <si>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</si>
  <si>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</si>
  <si>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</si>
  <si>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</si>
  <si>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</si>
  <si>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</si>
  <si>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</si>
  <si>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</si>
  <si>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</si>
  <si>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</si>
  <si>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</si>
  <si>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</si>
  <si>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</si>
  <si>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</si>
  <si>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</si>
  <si>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</si>
  <si>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</si>
  <si>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</si>
  <si>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</si>
  <si>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</si>
  <si>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</si>
  <si>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</si>
  <si>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</si>
  <si>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</si>
  <si>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</si>
  <si>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</si>
  <si>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</si>
  <si>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</si>
  <si>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</si>
  <si>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</si>
  <si>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</si>
  <si>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</si>
  <si>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</si>
  <si>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</si>
  <si>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</si>
  <si>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</si>
  <si>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</si>
  <si>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</si>
  <si>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445280214</t>
  </si>
  <si>
    <t>445280215</t>
  </si>
  <si>
    <t>445280614</t>
  </si>
  <si>
    <t>445280615</t>
  </si>
  <si>
    <t>445280738</t>
  </si>
  <si>
    <t>445280739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</si>
  <si>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</si>
  <si>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</si>
  <si>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</si>
  <si>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</si>
  <si>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</si>
  <si>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</si>
  <si>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</si>
  <si>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</si>
  <si>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445282512</t>
  </si>
  <si>
    <t>445282513</t>
  </si>
  <si>
    <t>FW USDILS 18/09/2024 - ILS</t>
  </si>
  <si>
    <t>445282514</t>
  </si>
  <si>
    <t>FW USDILS 18/09/2024 - USD</t>
  </si>
  <si>
    <t>445282515</t>
  </si>
  <si>
    <t>445282610</t>
  </si>
  <si>
    <t>445282611</t>
  </si>
  <si>
    <t>סה"כ חוזים עתידיים בחו"ל</t>
  </si>
  <si>
    <t>445251316</t>
  </si>
  <si>
    <t>07/12/2022</t>
  </si>
  <si>
    <t>445251317</t>
  </si>
  <si>
    <t>FW USDILS 27/03/2024 - ILS</t>
  </si>
  <si>
    <t>445272020</t>
  </si>
  <si>
    <t>FW USDILS 27/03/2024 - USD</t>
  </si>
  <si>
    <t>445272021</t>
  </si>
  <si>
    <t>445269608</t>
  </si>
  <si>
    <t>445269609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</si>
  <si>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</si>
  <si>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</si>
  <si>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</si>
  <si>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</si>
  <si>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</si>
  <si>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</si>
  <si>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</si>
  <si>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</si>
  <si>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</si>
  <si>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</si>
  <si>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</si>
  <si>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</si>
  <si>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</si>
  <si>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FW GBPUSD 18/10/2023 - USD</t>
  </si>
  <si>
    <t>445273378</t>
  </si>
  <si>
    <t>FW GBPUSD 18/10/2023 - GBP</t>
  </si>
  <si>
    <t>445273379</t>
  </si>
  <si>
    <t>445274826</t>
  </si>
  <si>
    <t>445274827</t>
  </si>
  <si>
    <t>445276668</t>
  </si>
  <si>
    <t>445276669</t>
  </si>
  <si>
    <t>445277882</t>
  </si>
  <si>
    <t>445277883</t>
  </si>
  <si>
    <t>FW GBPUSD 28/02/2024 - USD</t>
  </si>
  <si>
    <t>445280808</t>
  </si>
  <si>
    <t>FW GBPUSD 28/02/2024 - GBP</t>
  </si>
  <si>
    <t>445280809</t>
  </si>
  <si>
    <t>445281292</t>
  </si>
  <si>
    <t>445281293</t>
  </si>
  <si>
    <t>445281300</t>
  </si>
  <si>
    <t>445281301</t>
  </si>
  <si>
    <t>445281468</t>
  </si>
  <si>
    <t>445281469</t>
  </si>
  <si>
    <t>445281470</t>
  </si>
  <si>
    <t>445281471</t>
  </si>
  <si>
    <t>445281808</t>
  </si>
  <si>
    <t>445281809</t>
  </si>
  <si>
    <t>445281810</t>
  </si>
  <si>
    <t>445281811</t>
  </si>
  <si>
    <t>445281836</t>
  </si>
  <si>
    <t>445281837</t>
  </si>
  <si>
    <t>445281838</t>
  </si>
  <si>
    <t>445281839</t>
  </si>
  <si>
    <t>445282582</t>
  </si>
  <si>
    <t>445282583</t>
  </si>
  <si>
    <t>AS IBOXIG Index 20/12/23 - Equity Leg</t>
  </si>
  <si>
    <t>880000307</t>
  </si>
  <si>
    <t>15/03/2023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</si>
  <si>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</si>
  <si>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</si>
  <si>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</si>
  <si>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</si>
  <si>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</si>
  <si>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</si>
  <si>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</si>
  <si>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</si>
  <si>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</si>
  <si>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</si>
  <si>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</si>
  <si>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</si>
  <si>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</si>
  <si>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</si>
  <si>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</si>
  <si>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</si>
  <si>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סה"כ כנגד חסכון עמיתים/מבוטחים</t>
  </si>
  <si>
    <t>333014006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</si>
  <si>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</si>
  <si>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</si>
  <si>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</si>
  <si>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</si>
  <si>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</si>
  <si>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</si>
  <si>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</si>
  <si>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</si>
  <si>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</si>
  <si>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</si>
  <si>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</si>
  <si>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</si>
  <si>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</si>
  <si>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</si>
  <si>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</si>
  <si>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</si>
  <si>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</si>
  <si>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</si>
  <si>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</si>
  <si>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</si>
  <si>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</si>
  <si>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</si>
  <si>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</si>
  <si>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</si>
  <si>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</si>
  <si>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</si>
  <si>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</si>
  <si>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</si>
  <si>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</si>
  <si>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</si>
  <si>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</si>
  <si>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</si>
  <si>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</si>
  <si>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</si>
  <si>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</si>
  <si>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</si>
  <si>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</si>
  <si>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</si>
  <si>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</si>
  <si>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</si>
  <si>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</si>
  <si>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</si>
  <si>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</si>
  <si>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</si>
  <si>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</si>
  <si>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</si>
  <si>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</si>
  <si>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</si>
  <si>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</si>
  <si>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</si>
  <si>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</si>
  <si>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</si>
  <si>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</si>
  <si>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</si>
  <si>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</si>
  <si>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</si>
  <si>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</si>
  <si>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</si>
  <si>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</si>
  <si>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</si>
  <si>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</si>
  <si>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</si>
  <si>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</si>
  <si>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</si>
  <si>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</si>
  <si>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</si>
  <si>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</si>
  <si>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</si>
  <si>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</si>
  <si>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</si>
  <si>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</si>
  <si>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</si>
  <si>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</si>
  <si>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</si>
  <si>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</si>
  <si>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</si>
  <si>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</si>
  <si>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</si>
  <si>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</si>
  <si>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</si>
  <si>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</si>
  <si>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</si>
  <si>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</si>
  <si>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</si>
  <si>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</si>
  <si>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</si>
  <si>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</si>
  <si>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</si>
  <si>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</si>
  <si>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</si>
  <si>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</si>
  <si>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</si>
  <si>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</si>
  <si>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</si>
  <si>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</si>
  <si>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</si>
  <si>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</si>
  <si>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</si>
  <si>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</si>
  <si>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</si>
  <si>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</si>
  <si>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</si>
  <si>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</si>
  <si>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</si>
  <si>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</si>
  <si>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</si>
  <si>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</si>
  <si>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</si>
  <si>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</si>
  <si>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</si>
  <si>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</si>
  <si>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</si>
  <si>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</si>
  <si>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</si>
  <si>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</si>
  <si>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</si>
  <si>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</si>
  <si>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</si>
  <si>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</si>
  <si>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</si>
  <si>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</si>
  <si>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</si>
  <si>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</si>
  <si>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</si>
  <si>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</si>
  <si>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</si>
  <si>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</si>
  <si>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</si>
  <si>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</si>
  <si>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</si>
  <si>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</si>
  <si>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</si>
  <si>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</si>
  <si>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</si>
  <si>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</si>
  <si>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</si>
  <si>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</si>
  <si>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</si>
  <si>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</si>
  <si>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</si>
  <si>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</si>
  <si>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</si>
  <si>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</si>
  <si>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</si>
  <si>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</si>
  <si>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</si>
  <si>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</si>
  <si>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</si>
  <si>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</si>
  <si>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</si>
  <si>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</si>
  <si>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</si>
  <si>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</si>
  <si>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</si>
  <si>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</si>
  <si>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</si>
  <si>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</si>
  <si>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</si>
  <si>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</si>
  <si>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</si>
  <si>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</si>
  <si>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</si>
  <si>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</si>
  <si>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</si>
  <si>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</si>
  <si>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</si>
  <si>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</si>
  <si>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</si>
  <si>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</si>
  <si>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</si>
  <si>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</si>
  <si>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</si>
  <si>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</si>
  <si>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</si>
  <si>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</si>
  <si>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</si>
  <si>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</si>
  <si>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</si>
  <si>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</si>
  <si>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</si>
  <si>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</si>
  <si>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</si>
  <si>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</si>
  <si>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</si>
  <si>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</si>
  <si>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</si>
  <si>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</si>
  <si>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</si>
  <si>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</si>
  <si>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</si>
  <si>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</si>
  <si>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</si>
  <si>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</si>
  <si>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</si>
  <si>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</si>
  <si>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</si>
  <si>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</si>
  <si>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</si>
  <si>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</si>
  <si>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</si>
  <si>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</si>
  <si>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</si>
  <si>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</si>
  <si>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</si>
  <si>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</si>
  <si>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</si>
  <si>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</si>
  <si>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</si>
  <si>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</si>
  <si>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</si>
  <si>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</si>
  <si>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</si>
  <si>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</si>
  <si>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</si>
  <si>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</si>
  <si>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</si>
  <si>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</si>
  <si>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</si>
  <si>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</si>
  <si>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</si>
  <si>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</si>
  <si>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</si>
  <si>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</si>
  <si>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</si>
  <si>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</si>
  <si>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</si>
  <si>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</si>
  <si>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</si>
  <si>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</si>
  <si>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</si>
  <si>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</si>
  <si>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</si>
  <si>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</si>
  <si>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</si>
  <si>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</si>
  <si>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</si>
  <si>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</si>
  <si>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</si>
  <si>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</si>
  <si>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</si>
  <si>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</si>
  <si>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</si>
  <si>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</si>
  <si>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</si>
  <si>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</si>
  <si>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</si>
  <si>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</si>
  <si>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</si>
  <si>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</si>
  <si>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</si>
  <si>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</si>
  <si>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</si>
  <si>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</si>
  <si>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</si>
  <si>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</si>
  <si>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</si>
  <si>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</si>
  <si>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</si>
  <si>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</si>
  <si>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</si>
  <si>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</si>
  <si>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</si>
  <si>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</si>
  <si>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</si>
  <si>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</si>
  <si>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</si>
  <si>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</si>
  <si>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</si>
  <si>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</si>
  <si>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</si>
  <si>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</si>
  <si>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</si>
  <si>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</si>
  <si>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</si>
  <si>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</si>
  <si>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</si>
  <si>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</si>
  <si>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</si>
  <si>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</si>
  <si>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</si>
  <si>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</si>
  <si>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</si>
  <si>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</si>
  <si>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</si>
  <si>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</si>
  <si>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</si>
  <si>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</si>
  <si>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</si>
  <si>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</si>
  <si>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</si>
  <si>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</si>
  <si>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</si>
  <si>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</si>
  <si>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</si>
  <si>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</si>
  <si>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</si>
  <si>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</si>
  <si>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</si>
  <si>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</si>
  <si>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</si>
  <si>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</si>
  <si>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</si>
  <si>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</si>
  <si>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</si>
  <si>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</si>
  <si>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</si>
  <si>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</si>
  <si>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</si>
  <si>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</si>
  <si>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</si>
  <si>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</si>
  <si>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</si>
  <si>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</si>
  <si>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</si>
  <si>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</si>
  <si>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</si>
  <si>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</si>
  <si>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</si>
  <si>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</si>
  <si>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</si>
  <si>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</si>
  <si>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</si>
  <si>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</si>
  <si>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</si>
  <si>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</si>
  <si>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</si>
  <si>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</si>
  <si>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</si>
  <si>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</si>
  <si>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</si>
  <si>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</si>
  <si>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</si>
  <si>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</si>
  <si>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</si>
  <si>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</si>
  <si>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</si>
  <si>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</si>
  <si>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</si>
  <si>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</si>
  <si>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</si>
  <si>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</si>
  <si>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</si>
  <si>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</si>
  <si>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</si>
  <si>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</si>
  <si>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</si>
  <si>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</si>
  <si>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</si>
  <si>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</si>
  <si>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</si>
  <si>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</si>
  <si>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</si>
  <si>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</si>
  <si>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</si>
  <si>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</si>
  <si>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</si>
  <si>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</si>
  <si>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</si>
  <si>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</si>
  <si>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</si>
  <si>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</si>
  <si>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</si>
  <si>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</si>
  <si>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</si>
  <si>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</si>
  <si>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</si>
  <si>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</si>
  <si>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</si>
  <si>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</si>
  <si>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</si>
  <si>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</si>
  <si>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90113001</t>
  </si>
  <si>
    <t>21/08/2018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</si>
  <si>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</si>
  <si>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</si>
  <si>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</si>
  <si>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</si>
  <si>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</si>
  <si>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</si>
  <si>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</si>
  <si>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</si>
  <si>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</si>
  <si>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</si>
  <si>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</si>
  <si>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</si>
  <si>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</si>
  <si>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</si>
  <si>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</si>
  <si>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</si>
  <si>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</si>
  <si>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</si>
  <si>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</si>
  <si>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</si>
  <si>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</si>
  <si>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</si>
  <si>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</si>
  <si>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</si>
  <si>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</si>
  <si>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</si>
  <si>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</si>
  <si>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</si>
  <si>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</si>
  <si>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</si>
  <si>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</si>
  <si>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</si>
  <si>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</si>
  <si>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</si>
  <si>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</si>
  <si>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</si>
  <si>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</si>
  <si>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</si>
  <si>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</si>
  <si>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</si>
  <si>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</si>
  <si>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</si>
  <si>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</si>
  <si>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</si>
  <si>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</si>
  <si>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</si>
  <si>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</si>
  <si>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</si>
  <si>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</si>
  <si>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</si>
  <si>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</si>
  <si>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</si>
  <si>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</si>
  <si>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</si>
  <si>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</si>
  <si>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</si>
  <si>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</si>
  <si>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</si>
  <si>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</si>
  <si>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</si>
  <si>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</si>
  <si>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</si>
  <si>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</si>
  <si>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</si>
  <si>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</si>
  <si>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</si>
  <si>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</si>
  <si>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</si>
  <si>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</si>
  <si>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</si>
  <si>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</si>
  <si>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</si>
  <si>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</si>
  <si>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</si>
  <si>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</si>
  <si>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20701419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</si>
  <si>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</si>
  <si>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</si>
  <si>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</si>
  <si>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</si>
  <si>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</si>
  <si>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</si>
  <si>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</si>
  <si>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</si>
  <si>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</si>
  <si>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</si>
  <si>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</si>
  <si>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2080748</t>
  </si>
  <si>
    <t>01/09/2023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</si>
  <si>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</si>
  <si>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</si>
  <si>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</si>
  <si>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</si>
  <si>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</si>
  <si>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</si>
  <si>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</si>
  <si>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</si>
  <si>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</si>
  <si>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</si>
  <si>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</si>
  <si>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</si>
  <si>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</si>
  <si>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</si>
  <si>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</si>
  <si>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</si>
  <si>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</si>
  <si>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</si>
  <si>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</si>
  <si>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</si>
  <si>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</si>
  <si>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</si>
  <si>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</si>
  <si>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</si>
  <si>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</si>
  <si>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</si>
  <si>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</si>
  <si>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</si>
  <si>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</si>
  <si>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</si>
  <si>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</si>
  <si>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</si>
  <si>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</si>
  <si>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</si>
  <si>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</si>
  <si>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</si>
  <si>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</si>
  <si>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</si>
  <si>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</si>
  <si>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</si>
  <si>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</si>
  <si>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</si>
  <si>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</si>
  <si>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</si>
  <si>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</si>
  <si>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</si>
  <si>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</si>
  <si>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</si>
  <si>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</si>
  <si>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</si>
  <si>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</si>
  <si>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</si>
  <si>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</si>
  <si>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</si>
  <si>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</si>
  <si>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</si>
  <si>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</si>
  <si>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</si>
  <si>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</si>
  <si>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</si>
  <si>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</si>
  <si>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</si>
  <si>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</si>
  <si>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</si>
  <si>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</si>
  <si>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</si>
  <si>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</si>
  <si>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</si>
  <si>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</si>
  <si>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</si>
  <si>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</si>
  <si>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</si>
  <si>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</si>
  <si>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</si>
  <si>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</si>
  <si>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</si>
  <si>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</si>
  <si>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</si>
  <si>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</si>
  <si>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</si>
  <si>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נכס עכו - גמל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</si>
  <si>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</si>
  <si>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</si>
  <si>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</si>
  <si>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</si>
  <si>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</si>
  <si>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</si>
  <si>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</si>
  <si>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</si>
  <si>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</si>
  <si>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</si>
  <si>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</si>
  <si>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</si>
  <si>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</si>
  <si>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</si>
  <si>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</si>
  <si>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</si>
  <si>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</si>
  <si>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דולר בוני</t>
  </si>
  <si>
    <t>20805061</t>
  </si>
  <si>
    <t>שקל  סיטי בנק סיטיבנק</t>
  </si>
  <si>
    <t>שקל  סיטי בנק עדכון ידני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</si>
  <si>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</si>
  <si>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</si>
  <si>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</si>
  <si>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Citibank USD סיטיבנק</t>
  </si>
  <si>
    <t>שקל  דיסקונט בנק דיסקונט לישראל בע"מ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</si>
  <si>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</si>
  <si>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</si>
  <si>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</si>
  <si>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</si>
  <si>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</si>
  <si>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</si>
  <si>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שטרלינג  סיטי בנק סיטיבנק</t>
  </si>
  <si>
    <t>דולר  JPM עדכון ידני JPM</t>
  </si>
  <si>
    <t>Margin FW  JPM USD JPM</t>
  </si>
  <si>
    <t>Margin Future  JPM USD JPM</t>
  </si>
  <si>
    <t>שקל  פועלים בנק הפועלים בע"מ</t>
  </si>
  <si>
    <t>שקל  יובנק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</si>
  <si>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</si>
  <si>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</si>
  <si>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</si>
  <si>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</si>
  <si>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</si>
  <si>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</si>
  <si>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דולר  דיסקונט עדכון ידני בנק דיסקונט לישראל בע"מ</t>
  </si>
  <si>
    <t>דולר  פועלים בנק הפועלים בע"מ</t>
  </si>
  <si>
    <t>דולר  לאומי בנק לאומי לישראל בע"מ</t>
  </si>
  <si>
    <t>דולר  לאומי עדכון ידני בנק לאומי לישראל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</si>
  <si>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</si>
  <si>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</si>
  <si>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</si>
  <si>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שטרלינג  BNY Bny Mellon</t>
  </si>
  <si>
    <t>דולר  BNY Bny Mellon</t>
  </si>
  <si>
    <t>דולר  BNY עדכון ידני Bny Mellon</t>
  </si>
  <si>
    <t>Margin FW  BNY USD Bny Mellon</t>
  </si>
  <si>
    <t>שקל  יו בנק הבנק הבינלאומי הראשון לישראל בע"מ</t>
  </si>
  <si>
    <t>דולר  דיסוקנט בנק דיסקונט לישראל בע"מ</t>
  </si>
  <si>
    <t>יורו  פועלים בנק הפועלים בע"מ</t>
  </si>
  <si>
    <t>אירו  לאומי בנק לאומי לישראל בע"מ</t>
  </si>
  <si>
    <t>שטרלינג  לאומי בנק לאומי לישראל בע"מ</t>
  </si>
  <si>
    <t>דולר  מזרחי בנק מזרחי טפחות בע"מ</t>
  </si>
  <si>
    <t>Margin Future   Leumi USD בנק לאומי לישראל בע"מ</t>
  </si>
  <si>
    <t>יורו  BNY Bny Mellon</t>
  </si>
  <si>
    <t>דולר  GS עדכון ידני Goldman Sachs</t>
  </si>
  <si>
    <t>Margin FW   USD GS Goldman Sachs</t>
  </si>
  <si>
    <t>Margin  JPM ILS JPM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</si>
  <si>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</si>
  <si>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</si>
  <si>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</si>
  <si>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</si>
  <si>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</si>
  <si>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</si>
  <si>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</si>
  <si>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Commitment Shaked Partners II</t>
  </si>
  <si>
    <t>2031</t>
  </si>
  <si>
    <t>Commitment Reality RE Investment Fund 5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</si>
  <si>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</si>
  <si>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</si>
  <si>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</si>
  <si>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</si>
  <si>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</si>
  <si>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</si>
  <si>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</si>
  <si>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</si>
  <si>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</si>
  <si>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</si>
  <si>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</si>
  <si>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</si>
  <si>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</si>
  <si>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</si>
  <si>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</si>
  <si>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</si>
  <si>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</si>
  <si>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</si>
  <si>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</si>
  <si>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</si>
  <si>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</si>
  <si>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2026</t>
  </si>
  <si>
    <t>מסגרת קריית התקשוב</t>
  </si>
  <si>
    <t>מסגרת קריית המודיעין</t>
  </si>
  <si>
    <t>2030</t>
  </si>
  <si>
    <t>מסגרת - Royal Palm Beach</t>
  </si>
  <si>
    <t>מסגרת מגוריט ישראל</t>
  </si>
  <si>
    <t>מסגרת דוראל</t>
  </si>
  <si>
    <t>2028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</si>
  <si>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</si>
  <si>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</si>
  <si>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</si>
  <si>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</si>
  <si>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</si>
  <si>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</si>
  <si>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</si>
  <si>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</si>
  <si>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</si>
  <si>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</si>
  <si>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Commitment Northwind Healthcare Debt Fund I</t>
  </si>
  <si>
    <t>Commitment Electra Capital PM II</t>
  </si>
  <si>
    <t>Commitment Clal Hamilton Lane Credit Internationa</t>
  </si>
  <si>
    <t>Commitment EQT Infrastructure VI</t>
  </si>
  <si>
    <t>2035</t>
  </si>
  <si>
    <t>Commitment Energy Capital Partners V</t>
  </si>
  <si>
    <t>Commitment ECP V Clal Co-Invest</t>
  </si>
  <si>
    <t>2033</t>
  </si>
  <si>
    <t>Commitment Michelson Multifamily Fund II</t>
  </si>
  <si>
    <t>Fort Lauderdale Commitment</t>
  </si>
  <si>
    <t>יין יפני</t>
  </si>
  <si>
    <t>עמית א</t>
  </si>
  <si>
    <t>הלוואה לגורם 197</t>
  </si>
  <si>
    <t>הלוואה לגורם 199</t>
  </si>
  <si>
    <t>הלוואה לגורם 200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</si>
  <si>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</si>
  <si>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</si>
  <si>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</si>
  <si>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</si>
  <si>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</si>
  <si>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181</t>
  </si>
  <si>
    <t>הלוואה לגורם 150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</si>
  <si>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</si>
  <si>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</si>
  <si>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</si>
  <si>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</si>
  <si>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</si>
  <si>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</si>
  <si>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</si>
  <si>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</si>
  <si>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</si>
  <si>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</si>
  <si>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</si>
  <si>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</si>
  <si>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</si>
  <si>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99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</si>
  <si>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</si>
  <si>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</si>
  <si>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</si>
  <si>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</si>
  <si>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</si>
  <si>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</si>
  <si>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</si>
  <si>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154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</si>
  <si>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</si>
  <si>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</si>
  <si>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</si>
  <si>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</si>
  <si>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</si>
  <si>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</si>
  <si>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</si>
  <si>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</si>
  <si>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</si>
  <si>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117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</si>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</sst>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742C6-DF63-4D7B-AC4C-39A746B758B7}" name="סכום נכסי הקרן1" displayName="סכום_נכסי_הקרן1" ref="A6:C42" totalsRowShown="0" headerRowDxfId="639" dataDxfId="638">
  <tableColumns count="3">
    <tableColumn id="1" xr3:uid="{415DAF40-6F92-41F6-A7BF-64ECDB58F987}" name="עמודה1" dataDxfId="637"/>
    <tableColumn id="2" xr3:uid="{040C9F9F-ABC6-4336-9896-B964916DBE6F}" name="שווי הוגן" dataDxfId="636"/>
    <tableColumn id="3" xr3:uid="{25F86FC0-7E64-4799-8505-AA7B86E77B7E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00FB6D-F052-470E-A066-BD3547347598}" name="סכום נכסי הקרן0" displayName="סכום_נכסי_הקרן0" ref="B43:C67" totalsRowShown="0" headerRowDxfId="634" dataDxfId="632" headerRowBorderDxfId="633" tableBorderDxfId="631" totalsRowBorderDxfId="630">
  <tableColumns count="2">
    <tableColumn id="1" xr3:uid="{C9C31B11-A7EC-45E9-B8C0-59B2F9A5F920}" name="שם המטבע" dataDxfId="629"/>
    <tableColumn id="2" xr3:uid="{EC37B167-20DE-4512-98A4-9A88193A61F4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4DDF8B-93BA-46CC-9FC4-1AEB5118B9D4}" name="מזומנים1" displayName="מזומנים1" ref="A6:K143" totalsRowShown="0" headerRowDxfId="627" headerRowBorderDxfId="626" tableBorderDxfId="625" headerRowCellStyle="Percent">
  <tableColumns count="11">
    <tableColumn id="1" xr3:uid="{A6C2A9EF-C011-4841-A61A-898C02D5CB52}" name="שם המנפיק/שם נייר ערך" dataDxfId="624"/>
    <tableColumn id="2" xr3:uid="{82B8F1E6-F929-404F-85F8-264265811B0F}" name="מספר נ&quot;ע" dataDxfId="623"/>
    <tableColumn id="3" xr3:uid="{C7F0796E-6527-4B02-B721-073AD9CE3E0C}" name="מספר מנפיק" dataDxfId="622"/>
    <tableColumn id="4" xr3:uid="{2CF55D27-1EDF-4F3B-A9A2-D8E5D0AF30D6}" name="דירוג" dataDxfId="621"/>
    <tableColumn id="5" xr3:uid="{890DCD83-AA60-4144-A955-EF14AB878C37}" name="שם מדרג" dataDxfId="620" dataCellStyle="Percent"/>
    <tableColumn id="6" xr3:uid="{D9B6E993-2C4C-43AA-8866-00D725BF849E}" name="סוג מטבע" dataDxfId="619"/>
    <tableColumn id="7" xr3:uid="{DE83166C-3C64-42C1-8386-AEFCE1E397FD}" name="שעור ריבית" dataDxfId="618" dataCellStyle="Percent"/>
    <tableColumn id="8" xr3:uid="{7CD7D821-6BAC-4EB6-AD61-E070D146DFD9}" name="תשואה לפדיון" dataDxfId="617" dataCellStyle="Comma"/>
    <tableColumn id="9" xr3:uid="{9695ADF4-3A80-403D-A6B4-16A787BE4A2D}" name="שווי שוק" dataDxfId="616" dataCellStyle="Percent"/>
    <tableColumn id="10" xr3:uid="{F6B54D0F-EBC6-48A3-AC99-C1D50FB3FA62}" name="שעור מנכסי אפיק ההשקעה" dataDxfId="615" dataCellStyle="Percent"/>
    <tableColumn id="11" xr3:uid="{8D5CE338-07B9-4594-B193-74E4ABAE5FE8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890C81-B07E-42F7-B1E9-AB29A4518809}" name="תעודות התחייבות ממשלתיות1" displayName="תעודות_התחייבות_ממשלתיות1" ref="A7:Q58" totalsRowShown="0" headerRowDxfId="613" dataDxfId="611" headerRowBorderDxfId="612" tableBorderDxfId="610" headerRowCellStyle="Percent" dataCellStyle="Percent">
  <tableColumns count="17">
    <tableColumn id="1" xr3:uid="{2A959331-82D5-4015-9620-575041D51BA3}" name="שם המנפיק/שם נייר ערך" dataDxfId="609"/>
    <tableColumn id="2" xr3:uid="{87CB753D-7990-4B30-880D-91CA165937DD}" name="מספר נ&quot;ע" dataDxfId="608"/>
    <tableColumn id="3" xr3:uid="{F45ACD09-BC27-4C85-8860-809508A819AF}" name="זירת מסחר" dataDxfId="607"/>
    <tableColumn id="4" xr3:uid="{1989D623-E194-4A0A-ADF2-959B070190A3}" name="דירוג" dataDxfId="606"/>
    <tableColumn id="5" xr3:uid="{8739B0E7-53A6-42FE-ABEB-AFF04849B9E8}" name="שם מדרג" dataDxfId="605" dataCellStyle="Percent"/>
    <tableColumn id="6" xr3:uid="{7B393353-7073-450E-A32C-C415205B115B}" name="תאריך רכישה" dataDxfId="604" dataCellStyle="Percent"/>
    <tableColumn id="7" xr3:uid="{83EBA657-A7F8-4EC8-8FE3-744B2EBECD7C}" name="מח&quot;מ" dataDxfId="603" dataCellStyle="Percent"/>
    <tableColumn id="8" xr3:uid="{678136EA-9876-41A9-8C7C-9D9591F026E0}" name="סוג מטבע" dataDxfId="602"/>
    <tableColumn id="9" xr3:uid="{C2CC3A1D-71B1-4E30-ACF4-9D4ABFEBE20D}" name="שעור ריבית" dataDxfId="601" dataCellStyle="Percent"/>
    <tableColumn id="10" xr3:uid="{71290241-69A9-45EF-A6F8-E26EF4C42944}" name="תשואה לפדיון" dataDxfId="600" dataCellStyle="Comma"/>
    <tableColumn id="11" xr3:uid="{CD8BE93F-CE54-4661-91B5-34C67A78266C}" name="ערך נקוב" dataDxfId="599" dataCellStyle="Comma"/>
    <tableColumn id="12" xr3:uid="{17023E13-EC1B-4AB2-BE6A-89DCDA716F5F}" name="שער" dataDxfId="598" dataCellStyle="Comma"/>
    <tableColumn id="13" xr3:uid="{FD1D30E0-C8A0-4E80-BC3A-B78F10A47BC4}" name="פדיון/ריבית לקבל" dataDxfId="597" dataCellStyle="Comma"/>
    <tableColumn id="14" xr3:uid="{0945EBAC-3969-40FF-B1CA-E60C00C0B26E}" name="שווי שוק" dataDxfId="596" dataCellStyle="Percent"/>
    <tableColumn id="15" xr3:uid="{420C5546-D1F7-4F38-928A-7899AC5228BE}" name="שעור מערך נקוב מונפק" dataDxfId="595" dataCellStyle="Percent"/>
    <tableColumn id="16" xr3:uid="{60530221-E1B9-414B-86C2-F93A5C3433EE}" name="שעור מנכסי אפיק ההשקעה" dataDxfId="594" dataCellStyle="Percent"/>
    <tableColumn id="17" xr3:uid="{278D12D6-B2B2-4BF8-99CE-2EF96F09870B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BE4CE-DF76-4AF6-B7F7-E64B944EB978}" name="תעודות חוב מסחריות1" displayName="תעודות_חוב_מסחריות1" ref="A7:T22" totalsRowShown="0" headerRowDxfId="592" dataDxfId="590" headerRowBorderDxfId="591" tableBorderDxfId="589" headerRowCellStyle="Percent" dataCellStyle="Comma">
  <tableColumns count="20">
    <tableColumn id="1" xr3:uid="{D7D8E99C-2E3C-4357-8AE7-0D3257D5C8D8}" name="שם המנפיק/שם נייר ערך" dataDxfId="588"/>
    <tableColumn id="2" xr3:uid="{7FD90758-1AF7-4075-837F-ADCBF5BD61D4}" name="מספר נ&quot;ע" dataDxfId="587"/>
    <tableColumn id="3" xr3:uid="{C1675376-7900-440D-859F-0C2C381FABE4}" name="זירת מסחר" dataDxfId="586"/>
    <tableColumn id="4" xr3:uid="{7029D1E5-0DE6-4784-BB38-AB0FFA4F463B}" name="ספק מידע" dataDxfId="585"/>
    <tableColumn id="5" xr3:uid="{5B04E84E-A624-4362-9F4F-6C20E98B6E22}" name="מספר מנפיק" dataDxfId="584"/>
    <tableColumn id="6" xr3:uid="{F4A6A85A-EFAD-445B-9BDA-D1217A63EAA6}" name="ענף מסחר" dataDxfId="583"/>
    <tableColumn id="7" xr3:uid="{AAB6B5D2-648E-46B0-8025-626FB29D6370}" name="דירוג" dataDxfId="582" dataCellStyle="Percent"/>
    <tableColumn id="8" xr3:uid="{57F7F3EE-9FCA-4ED6-9B98-B2135E7E36E5}" name="שם מדרג" dataDxfId="581" dataCellStyle="Percent"/>
    <tableColumn id="9" xr3:uid="{7C97955C-F59E-475F-8427-931CD560015B}" name="תאריך רכישה" dataDxfId="580" dataCellStyle="Percent"/>
    <tableColumn id="10" xr3:uid="{AA9D8688-4484-4390-9A58-E3D0DF983660}" name="מח&quot;מ" dataDxfId="579"/>
    <tableColumn id="11" xr3:uid="{2CDBED94-E4B8-4A5D-8B99-260044F84D1A}" name="סוג מטבע" dataDxfId="578" dataCellStyle="Percent"/>
    <tableColumn id="12" xr3:uid="{B74F5BDD-BAF7-4932-8C47-528E307458D9}" name="שעור ריבית" dataDxfId="577" dataCellStyle="Comma"/>
    <tableColumn id="13" xr3:uid="{6066001D-49B7-4901-A4B2-01BECAEEAC80}" name="תשואה לפדיון" dataDxfId="576" dataCellStyle="Comma"/>
    <tableColumn id="14" xr3:uid="{7088F1E3-A92B-43E5-95F5-239693FF0F42}" name="ערך נקוב" dataDxfId="575" dataCellStyle="Comma"/>
    <tableColumn id="15" xr3:uid="{C05F3024-7049-488F-ADE6-A9A1B732A32C}" name="שער" dataDxfId="574" dataCellStyle="Percent"/>
    <tableColumn id="16" xr3:uid="{D6C73404-D0C7-4C9D-8171-54F3FC96991D}" name="פדיון/ריבית לקבל" dataDxfId="573" dataCellStyle="Percent"/>
    <tableColumn id="17" xr3:uid="{A144501F-1AE4-429E-AF0B-126BFEBF51EE}" name="שווי שוק" dataDxfId="572" dataCellStyle="Percent"/>
    <tableColumn id="18" xr3:uid="{DA3529A1-B72C-4F38-8FBB-46A2DE21B114}" name="שעור מערך נקוב מונפק" dataDxfId="571" dataCellStyle="Comma"/>
    <tableColumn id="19" xr3:uid="{6E2E93C5-6F00-4E1B-8DEE-BCCF69E4CDF2}" name="שעור מנכסי אפיק ההשקעה" dataDxfId="570" dataCellStyle="Comma"/>
    <tableColumn id="20" xr3:uid="{9446D0C7-95B3-4D88-9FC1-D624070232DF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CE24FD-8B63-4D47-BF33-BE6AB07FCA70}" name="אג&quot;ח קונצרני1" displayName="אג_ח_קונצרני1" ref="A7:T407" totalsRowShown="0" headerRowDxfId="568" dataDxfId="566" headerRowBorderDxfId="567" tableBorderDxfId="565" headerRowCellStyle="Percent" dataCellStyle="Comma">
  <tableColumns count="20">
    <tableColumn id="1" xr3:uid="{0957DEDC-4F18-4F9E-924A-EBCDE3FAEEB7}" name="שם המנפיק/שם נייר ערך" dataDxfId="564"/>
    <tableColumn id="2" xr3:uid="{38C34009-CC65-48E5-8B86-C1542B2BFFF3}" name="מספר נ&quot;ע" dataDxfId="563"/>
    <tableColumn id="3" xr3:uid="{4A5C3053-C82C-4071-AD2E-1749A2364900}" name="זירת מסחר" dataDxfId="562"/>
    <tableColumn id="4" xr3:uid="{8A413B6D-FB82-443A-BA37-8DB40C03061D}" name="ספק מידע" dataDxfId="561"/>
    <tableColumn id="5" xr3:uid="{D8A2ACAE-AF3D-43B8-A508-137D575FC633}" name="מספר מנפיק" dataDxfId="560"/>
    <tableColumn id="6" xr3:uid="{7F82D411-EB0C-426B-8DDE-925CFD66CA26}" name="ענף מסחר" dataDxfId="559"/>
    <tableColumn id="7" xr3:uid="{AFEC1FD3-7098-4650-8AC1-565AE160C388}" name="דירוג" dataDxfId="558" dataCellStyle="Percent"/>
    <tableColumn id="8" xr3:uid="{B62F3997-EFD1-4530-882C-35D1715BA988}" name="שם מדרג" dataDxfId="557" dataCellStyle="Percent"/>
    <tableColumn id="9" xr3:uid="{69E936B8-E8D9-4B96-8B9A-6CD2047C607E}" name="תאריך רכישה" dataDxfId="556" dataCellStyle="Percent"/>
    <tableColumn id="10" xr3:uid="{A3B8D2AA-DF98-4BA6-BAEC-A023CF3A6E72}" name="מח&quot;מ" dataDxfId="555"/>
    <tableColumn id="11" xr3:uid="{B38AAE67-F2E6-46BA-8CF5-2DA9CAA8992B}" name="סוג מטבע" dataDxfId="554" dataCellStyle="Percent"/>
    <tableColumn id="12" xr3:uid="{B7CF1B97-6AD4-4E66-84C4-F502C868EE3F}" name="שעור ריבית" dataDxfId="553" dataCellStyle="Comma"/>
    <tableColumn id="13" xr3:uid="{0236650E-DB87-485E-92AB-28E172EC973A}" name="תשואה לפדיון" dataDxfId="552" dataCellStyle="Comma"/>
    <tableColumn id="14" xr3:uid="{71599D57-4755-4DE9-8609-855D5B37AC60}" name="ערך נקוב" dataDxfId="551" dataCellStyle="Comma"/>
    <tableColumn id="15" xr3:uid="{BA5760A3-811F-4096-94DB-8A9547166CE3}" name="שער" dataDxfId="550" dataCellStyle="Percent"/>
    <tableColumn id="16" xr3:uid="{16F60802-4547-4063-98F8-F4333D3CE639}" name="פדיון/ריבית לקבל" dataDxfId="549" dataCellStyle="Percent"/>
    <tableColumn id="17" xr3:uid="{5E502D5C-70F4-42E7-A309-F289F26E5FAC}" name="שווי שוק" dataDxfId="548" dataCellStyle="Percent"/>
    <tableColumn id="18" xr3:uid="{539F650E-F10A-4A92-B12A-83BFD50F0475}" name="שעור מערך נקוב מונפק" dataDxfId="547" dataCellStyle="Comma"/>
    <tableColumn id="19" xr3:uid="{D8EFFF77-796A-4DFE-9D7D-F125858DCDFC}" name="שעור מנכסי אפיק ההשקעה" dataDxfId="546" dataCellStyle="Comma"/>
    <tableColumn id="20" xr3:uid="{35DB7659-8555-4255-BC24-C53FB92FE88B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686465-C2CD-4361-925C-411425185305}" name="מניות1" displayName="מניות1" ref="A7:N26" totalsRowShown="0" headerRowDxfId="544" dataDxfId="542" headerRowBorderDxfId="543" tableBorderDxfId="541" headerRowCellStyle="Percent" dataCellStyle="Percent">
  <tableColumns count="14">
    <tableColumn id="1" xr3:uid="{C0B28498-E158-40EB-98C3-222B2B2E52DA}" name="שם המנפיק/שם נייר ערך" dataDxfId="540"/>
    <tableColumn id="2" xr3:uid="{CBB0F06D-BB73-4112-B633-114208972DD5}" name="מספר נ&quot;ע" dataDxfId="539"/>
    <tableColumn id="3" xr3:uid="{3E09EB56-3154-4E63-BF0B-B7FF5F4D7BB5}" name="זירת מסחר" dataDxfId="538"/>
    <tableColumn id="4" xr3:uid="{583CA0F6-398F-45C8-BFB0-2E37EAA624E5}" name="ספק מידע" dataDxfId="537"/>
    <tableColumn id="5" xr3:uid="{F7C7D734-45F8-4C47-B407-451041B31859}" name="מספר מנפיק" dataDxfId="536"/>
    <tableColumn id="6" xr3:uid="{FAD99AAF-2371-42F1-889C-FFC3171AD401}" name="ענף מסחר" dataDxfId="535"/>
    <tableColumn id="7" xr3:uid="{382CD650-9D33-4048-AA17-1C91D592FF7E}" name="סוג מטבע" dataDxfId="534" dataCellStyle="Percent"/>
    <tableColumn id="8" xr3:uid="{E6141513-D48F-4999-A95F-B42E902820AF}" name="ערך נקוב" dataDxfId="533" dataCellStyle="Percent"/>
    <tableColumn id="9" xr3:uid="{4B187BE5-F1F7-4735-960E-D097AEA4C697}" name="שער" dataDxfId="532" dataCellStyle="Percent"/>
    <tableColumn id="10" xr3:uid="{45270AED-4CCF-4C7F-B0A4-BC8C7990613C}" name="פדיון/ריבית לקבל" dataDxfId="531" dataCellStyle="Percent"/>
    <tableColumn id="11" xr3:uid="{869E8587-63AA-4BB1-9B98-B161DFEC6E85}" name="שווי שוק" dataDxfId="530"/>
    <tableColumn id="12" xr3:uid="{88884149-B4D5-4582-95EC-C4B60D126FF1}" name="שעור מערך נקוב מונפק" dataDxfId="529" dataCellStyle="Percent"/>
    <tableColumn id="13" xr3:uid="{4903A837-D87C-47FB-AD8B-5FAFA857A14F}" name="שעור מנכסי אפיק ההשקעה" dataDxfId="528" dataCellStyle="Percent"/>
    <tableColumn id="14" xr3:uid="{378220D3-17D1-4710-AACE-EC44D45E996C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845B6C-4245-4ABC-82FC-3E1BAE7B6B08}" name="קרנות סל1" displayName="קרנות_סל1" ref="A7:M44" totalsRowShown="0" headerRowDxfId="526" dataDxfId="524" headerRowBorderDxfId="525" tableBorderDxfId="523" headerRowCellStyle="Percent" dataCellStyle="Percent">
  <tableColumns count="13">
    <tableColumn id="1" xr3:uid="{2F25CD44-2958-4B0D-803C-CE8F271955D1}" name="שם המנפיק/שם נייר ערך" dataDxfId="522"/>
    <tableColumn id="2" xr3:uid="{84D5419D-A58F-4B65-97C1-11F739898BBF}" name="מספר נ&quot;ע" dataDxfId="521"/>
    <tableColumn id="3" xr3:uid="{10EF0BF0-89B3-4A98-895E-31E5D1F0DC14}" name="זירת מסחר" dataDxfId="520"/>
    <tableColumn id="4" xr3:uid="{A11A18C9-BCE9-4608-8659-5B393A33F8C5}" name="מספר מנפיק" dataDxfId="519"/>
    <tableColumn id="5" xr3:uid="{DEDE8504-1315-4C82-A08D-92F38B1C0E6B}" name="ענף מסחר" dataDxfId="518"/>
    <tableColumn id="6" xr3:uid="{7F00F8FB-89E7-4EBE-9402-5276FF99EC0E}" name="סוג מטבע" dataDxfId="517"/>
    <tableColumn id="7" xr3:uid="{603FA067-8C75-4B90-A61A-BC984014492A}" name="ערך נקוב" dataDxfId="516" dataCellStyle="Percent"/>
    <tableColumn id="8" xr3:uid="{FB4628F9-263F-4180-8FA7-08DF45C790CF}" name="שער" dataDxfId="515" dataCellStyle="Percent"/>
    <tableColumn id="9" xr3:uid="{44DBBD1A-1447-4313-8F05-181DD16852FE}" name="פדיון/ריבית לקבל" dataDxfId="514" dataCellStyle="Percent"/>
    <tableColumn id="10" xr3:uid="{095B47AA-A698-48CF-8BDD-2C0684385CC5}" name="שווי שוק" dataDxfId="513" dataCellStyle="Percent"/>
    <tableColumn id="11" xr3:uid="{2E9C89C5-CFA7-4143-967B-1DF0F2370AA3}" name="שעור מערך נקוב מונפק" dataDxfId="512"/>
    <tableColumn id="12" xr3:uid="{5EE55965-2CB8-4CE0-8FCA-CA974B1AD31B}" name="שעור מנכסי אפיק ההשקעה" dataDxfId="511"/>
    <tableColumn id="13" xr3:uid="{20654008-8BD0-446D-B429-405062AB77DD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D5BE17-B333-4AC1-8F3C-04E66D771914}" name="קרנות נאמנות1" displayName="קרנות_נאמנות1" ref="A7:N42" totalsRowShown="0" headerRowDxfId="509" dataDxfId="507" headerRowBorderDxfId="508" tableBorderDxfId="506" headerRowCellStyle="Percent" dataCellStyle="Comma">
  <tableColumns count="14">
    <tableColumn id="1" xr3:uid="{FEDC5010-9036-46F3-A1A1-19E2F30D9BF1}" name="שם המנפיק/שם נייר ערך" dataDxfId="505"/>
    <tableColumn id="2" xr3:uid="{04D23C9C-15F5-4DE7-BA3F-7C0FCA8585BA}" name="מספר נ&quot;ע" dataDxfId="504"/>
    <tableColumn id="3" xr3:uid="{3070E1B1-1C2F-4E3F-AA09-35576BABFA98}" name="זירת מסחר" dataDxfId="503"/>
    <tableColumn id="4" xr3:uid="{30FA6394-1AAA-42AC-9EDF-B44095F596B6}" name="מספר מנפיק" dataDxfId="502"/>
    <tableColumn id="5" xr3:uid="{D6C167E3-07A6-45D0-811E-7F4A86CC5089}" name="ענף מסחר" dataDxfId="501"/>
    <tableColumn id="6" xr3:uid="{E68822CD-C490-4EC0-A014-38F6E0814EFC}" name="דירוג" dataDxfId="500" dataCellStyle="Percent"/>
    <tableColumn id="7" xr3:uid="{DACD8499-A94E-4561-BD24-97F3D00237A3}" name="שם מדרג" dataDxfId="499" dataCellStyle="Percent"/>
    <tableColumn id="8" xr3:uid="{2285B44F-8D1F-4D71-AB80-E59E9FAEB89C}" name="סוג מטבע" dataDxfId="498" dataCellStyle="Percent"/>
    <tableColumn id="9" xr3:uid="{CB850076-360D-4728-90FF-C5F06A408A4C}" name="ערך נקוב" dataDxfId="497"/>
    <tableColumn id="10" xr3:uid="{BA79B82E-836A-46D0-9B4F-D508516E6573}" name="שער" dataDxfId="496" dataCellStyle="Percent"/>
    <tableColumn id="11" xr3:uid="{5490BF28-48D4-4E0F-AF49-79EAD6DF575C}" name="שווי שוק" dataDxfId="495" dataCellStyle="Comma"/>
    <tableColumn id="12" xr3:uid="{5A05EA75-50C1-49E2-8C6C-15AB6DDC1393}" name="שעור מערך נקוב מונפק" dataDxfId="494" dataCellStyle="Comma"/>
    <tableColumn id="13" xr3:uid="{D0D65D57-7F26-4C4F-BE63-B59BD74532E9}" name="שעור מנכסי אפיק ההשקעה" dataDxfId="493" dataCellStyle="Comma"/>
    <tableColumn id="14" xr3:uid="{B99420FF-7ED0-47AA-BE82-4BBCD220C7F8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B05ECB-AE9C-4B2D-9E58-528D8E6DFCE0}" name="כתבי אופציה1" displayName="כתבי_אופציה1" ref="A7:K21" totalsRowShown="0" headerRowDxfId="491" dataDxfId="489" headerRowBorderDxfId="490" tableBorderDxfId="488" headerRowCellStyle="Percent" dataCellStyle="Percent">
  <tableColumns count="11">
    <tableColumn id="1" xr3:uid="{73D9C61D-929A-49F6-81E1-9C2A176B691E}" name="שם המנפיק/שם נייר ערך" dataDxfId="487"/>
    <tableColumn id="2" xr3:uid="{92CD8FCB-EA9A-47C8-BBC8-4F2DA816EAD2}" name="מספר נ&quot;ע" dataDxfId="486"/>
    <tableColumn id="3" xr3:uid="{CEF34676-9352-4940-9809-6AAA3F3A159F}" name="זירת מסחר" dataDxfId="485"/>
    <tableColumn id="4" xr3:uid="{1AF80A4A-AB28-4031-9311-DEF4A7D46F21}" name="ענף מסחר" dataDxfId="484"/>
    <tableColumn id="5" xr3:uid="{E288B148-A5FD-4895-96EE-6BACDB0B6383}" name="סוג מטבע" dataDxfId="483" dataCellStyle="Percent"/>
    <tableColumn id="6" xr3:uid="{502DA038-CB8C-4153-9321-F26F19B78C5F}" name="ערך נקוב" dataDxfId="482" dataCellStyle="Percent"/>
    <tableColumn id="7" xr3:uid="{2EA55CD4-7AE8-4F75-BBD3-7A0E7377E60C}" name="שער" dataDxfId="481" dataCellStyle="Percent"/>
    <tableColumn id="8" xr3:uid="{1715CFEE-36D2-4368-887C-20468F1C7E33}" name="שווי שוק" dataDxfId="480"/>
    <tableColumn id="9" xr3:uid="{7C3F6ECB-FC78-438B-8F70-4A0B9303AEC8}" name="שעור מערך נקוב מונפק" dataDxfId="479" dataCellStyle="Percent"/>
    <tableColumn id="10" xr3:uid="{815D501B-17A2-49FF-9410-831DACA383F3}" name="שעור מנכסי אפיק ההשקעה" dataDxfId="478" dataCellStyle="Percent"/>
    <tableColumn id="11" xr3:uid="{D84788AC-E631-42D5-BBDC-B17E60A98176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A04FC3-BE41-407E-9DD0-D0F7F1812FC5}" name="אופציות1" displayName="אופציות1" ref="A7:K26" totalsRowShown="0" headerRowDxfId="476" dataDxfId="474" headerRowBorderDxfId="475" tableBorderDxfId="473" headerRowCellStyle="Percent" dataCellStyle="Percent">
  <tableColumns count="11">
    <tableColumn id="1" xr3:uid="{25655E96-E331-4024-9138-361E526BFD8A}" name="שם המנפיק/שם נייר ערך" dataDxfId="472"/>
    <tableColumn id="2" xr3:uid="{99E9728C-E316-43B3-A389-A109E8F6349C}" name="מספר נ&quot;ע" dataDxfId="471"/>
    <tableColumn id="3" xr3:uid="{9568220B-AD8F-44BD-BF0A-00542024BEA7}" name="זירת מסחר" dataDxfId="470"/>
    <tableColumn id="4" xr3:uid="{BC17AE03-551B-4C08-9CC5-9599DD6BA4DB}" name="ענף מסחר" dataDxfId="469"/>
    <tableColumn id="5" xr3:uid="{A36010EA-5871-4F84-8C33-D9019264108E}" name="סוג מטבע" dataDxfId="468"/>
    <tableColumn id="6" xr3:uid="{25AFEA06-6E97-4041-8F59-0E0A1ADA9030}" name="ערך נקוב" dataDxfId="467" dataCellStyle="Percent"/>
    <tableColumn id="7" xr3:uid="{7F105545-EF75-41AA-BAAC-577342BF6F59}" name="שער" dataDxfId="466" dataCellStyle="Percent"/>
    <tableColumn id="8" xr3:uid="{CD460216-DEE1-4068-BA4D-350BA575724F}" name="שווי שוק" dataDxfId="465" dataCellStyle="Percent"/>
    <tableColumn id="9" xr3:uid="{448207A6-8B2C-459F-A72C-C86413E8EF0D}" name="שעור מערך נקוב מונפק" dataDxfId="464"/>
    <tableColumn id="10" xr3:uid="{348E5067-E2D4-4518-9366-93801B6F8806}" name="שעור מנכסי אפיק ההשקעה" dataDxfId="463" dataCellStyle="Percent"/>
    <tableColumn id="11" xr3:uid="{C11FFF37-6AF1-4361-B805-96813BB7A3BC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591283-4C1B-453F-B314-F885D7FDA0F7}" name="חוזים עתידיים1" displayName="חוזים_עתידיים1" ref="A7:J18" totalsRowShown="0" headerRowDxfId="461" dataDxfId="459" headerRowBorderDxfId="460" tableBorderDxfId="458" headerRowCellStyle="Percent" dataCellStyle="Percent">
  <tableColumns count="10">
    <tableColumn id="1" xr3:uid="{B137107F-B988-4908-A90A-0BBE1822DC40}" name="שם המנפיק/שם נייר ערך" dataDxfId="457"/>
    <tableColumn id="2" xr3:uid="{E529B27F-6513-41F9-BDCB-86ADB8051D57}" name="מספר נ&quot;ע" dataDxfId="456"/>
    <tableColumn id="3" xr3:uid="{154D97E1-215E-4F89-9B4F-5CBC11C9E9AD}" name="זירת מסחר" dataDxfId="455"/>
    <tableColumn id="4" xr3:uid="{8DB22E24-8CA0-4704-A8A9-86C87E607BC0}" name="ענף מסחר" dataDxfId="454"/>
    <tableColumn id="5" xr3:uid="{1579DC87-D902-47E7-940C-DF496D72EF7E}" name="סוג מטבע" dataDxfId="453" dataCellStyle="Percent"/>
    <tableColumn id="6" xr3:uid="{77C6E1F7-5590-431F-934F-9D5D86E3C277}" name="ערך נקוב" dataDxfId="452" dataCellStyle="Percent"/>
    <tableColumn id="7" xr3:uid="{652D82FF-5594-4192-A81C-36BF223434ED}" name="שער" dataDxfId="451" dataCellStyle="Percent"/>
    <tableColumn id="8" xr3:uid="{F3556250-50B2-447C-8D2C-EC11D9EA6E06}" name="שווי שוק" dataDxfId="450"/>
    <tableColumn id="9" xr3:uid="{8BC1850B-A91D-4A6B-8E4D-50F15E5021E3}" name="שעור מנכסי אפיק ההשקעה" dataDxfId="449"/>
    <tableColumn id="10" xr3:uid="{19C48F40-00EE-4A77-B832-C6F3463433A9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CB9297-6E52-487F-A745-E97DDBB452D9}" name="מוצרים מובנים1" displayName="מוצרים_מובנים1" ref="A7:P31" totalsRowShown="0" headerRowDxfId="447" dataDxfId="445" headerRowBorderDxfId="446" tableBorderDxfId="444" headerRowCellStyle="Percent" dataCellStyle="Comma">
  <tableColumns count="16">
    <tableColumn id="1" xr3:uid="{5C9E8B21-382E-4C88-86A6-40551A8F0A83}" name="שם המנפיק/שם נייר ערך" dataDxfId="443"/>
    <tableColumn id="2" xr3:uid="{458EBDBC-A56B-4A20-92F4-D8A561EE1088}" name="מספר נ&quot;ע" dataDxfId="442"/>
    <tableColumn id="3" xr3:uid="{A46CDBDC-7820-45A5-B9D2-4B4958D5686E}" name="נכס הבסיס" dataDxfId="441"/>
    <tableColumn id="4" xr3:uid="{5F87FD54-7A38-4BBB-85F8-EEF111EFB167}" name="דירוג" dataDxfId="440" dataCellStyle="Percent"/>
    <tableColumn id="5" xr3:uid="{4D52D640-08AB-492F-BA1B-2E60EFE4D8EB}" name="שם מדרג" dataDxfId="439" dataCellStyle="Percent"/>
    <tableColumn id="6" xr3:uid="{9F08A0F7-F766-417A-9E04-94493B777C30}" name="תאריך רכישה" dataDxfId="438" dataCellStyle="Percent"/>
    <tableColumn id="7" xr3:uid="{BE56C648-2482-4A5C-9294-B78519428C12}" name="מח&quot;מ" dataDxfId="437"/>
    <tableColumn id="8" xr3:uid="{FB7E7952-0B22-47EF-85C7-A31368D77E62}" name="סוג מטבע" dataDxfId="436" dataCellStyle="Percent"/>
    <tableColumn id="9" xr3:uid="{8CA24B72-DEA8-4883-9CA8-2CAB5D3F9E2A}" name="שעור ריבית" dataDxfId="435" dataCellStyle="Comma"/>
    <tableColumn id="10" xr3:uid="{5C1386DE-94D5-4716-9C2A-0E8670211CCE}" name="תשואה לפדיון" dataDxfId="434" dataCellStyle="Comma"/>
    <tableColumn id="11" xr3:uid="{1B0D0AD9-BEBD-4392-BCA8-15F68C4A1845}" name="ערך נקוב" dataDxfId="433" dataCellStyle="Comma"/>
    <tableColumn id="12" xr3:uid="{03F08222-8B8E-416E-AC43-B885C53ED199}" name="שער" dataDxfId="432" dataCellStyle="Percent"/>
    <tableColumn id="13" xr3:uid="{29716180-DDCD-41D4-8199-AB9AB7B913DB}" name="שווי שוק" dataDxfId="431" dataCellStyle="Percent"/>
    <tableColumn id="14" xr3:uid="{147102FB-20BB-468D-BC3F-349D6CA2E553}" name="שעור מערך נקוב מונפק" dataDxfId="430" dataCellStyle="Comma"/>
    <tableColumn id="15" xr3:uid="{E5DEF0BC-B9C3-4FC2-984E-A1B83BFF9EAF}" name="שעור מנכסי אפיק ההשקעה" dataDxfId="429" dataCellStyle="Comma"/>
    <tableColumn id="16" xr3:uid="{2420E88C-9FBB-48CE-A49F-584DE4F59EEA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13DA51-3749-4E40-8785-55DD3F70C892}" name="לא סחיר- תעודות התחייבות ממשלתי1" displayName="לא_סחיר__תעודות_התחייבות_ממשלתי1" ref="A7:O24" totalsRowShown="0" headerRowDxfId="427" dataDxfId="425" headerRowBorderDxfId="426" tableBorderDxfId="424" headerRowCellStyle="Percent" dataCellStyle="Percent">
  <tableColumns count="15">
    <tableColumn id="1" xr3:uid="{981CB769-1AEA-4F7F-AC92-2E6EDBB1C07C}" name="שם המנפיק/שם נייר ערך" dataDxfId="423"/>
    <tableColumn id="2" xr3:uid="{9F6BED8B-B19D-4CCC-A32A-69008740418C}" name="מספר נ&quot;ע" dataDxfId="422"/>
    <tableColumn id="3" xr3:uid="{9416A37B-BB73-41BF-8C9A-6A0777F09CFA}" name="דירוג" dataDxfId="421"/>
    <tableColumn id="4" xr3:uid="{CD5C2F7F-5C3B-49F5-A56A-B7EF8A8DF952}" name="שם מדרג" dataDxfId="420" dataCellStyle="Percent"/>
    <tableColumn id="5" xr3:uid="{D439D3FE-3331-414D-9383-0747A51C0BD2}" name="תאריך רכישה" dataDxfId="419" dataCellStyle="Percent"/>
    <tableColumn id="6" xr3:uid="{F344771B-A214-4D75-BF6E-E2671A1F7E01}" name="מח&quot;מ" dataDxfId="418" dataCellStyle="Percent"/>
    <tableColumn id="7" xr3:uid="{CFADC2B7-EE03-439D-9BEE-F03CCAB51F17}" name="סוג מטבע" dataDxfId="417"/>
    <tableColumn id="8" xr3:uid="{B777BC63-6C90-408A-98FA-5CB316D70676}" name="שעור ריבית" dataDxfId="416" dataCellStyle="Percent"/>
    <tableColumn id="9" xr3:uid="{C8507779-E04F-4998-AB98-B54102F0E025}" name="תשואה לפדיון" dataDxfId="415" dataCellStyle="Comma"/>
    <tableColumn id="10" xr3:uid="{6E62F1E5-D519-4842-BF02-855455E45E82}" name="ערך נקוב" dataDxfId="414" dataCellStyle="Comma"/>
    <tableColumn id="11" xr3:uid="{9D22B685-1882-4967-8D0B-61CA303D42BF}" name="שער" dataDxfId="413" dataCellStyle="Comma"/>
    <tableColumn id="12" xr3:uid="{B9E4D1DC-A6C9-4982-B731-A85AE0B9926D}" name="שווי הוגן" dataDxfId="412" dataCellStyle="Percent"/>
    <tableColumn id="13" xr3:uid="{27AB7C0D-6D4B-414B-A0CB-429913E277B7}" name="שעור מערך נקוב מונפק" dataDxfId="411" dataCellStyle="Percent"/>
    <tableColumn id="14" xr3:uid="{A44D4068-4B61-4D60-93A3-12367888E58A}" name="שעור מנכסי אפיק ההשקעה" dataDxfId="410" dataCellStyle="Percent"/>
    <tableColumn id="15" xr3:uid="{3676C3E1-9EEB-4647-B42B-AF2171890B2B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5B5117-8695-4DC5-AA52-D78A3E316A32}" name="לא סחיר - תעודות חוב מסחריות1" displayName="לא_סחיר___תעודות_חוב_מסחריות1" ref="A7:R23" totalsRowShown="0" headerRowDxfId="408" dataDxfId="406" headerRowBorderDxfId="407" tableBorderDxfId="405" headerRowCellStyle="Percent" dataCellStyle="Comma">
  <tableColumns count="18">
    <tableColumn id="1" xr3:uid="{2F7E7736-3D49-4754-B7F8-B4063FA40FE9}" name="שם המנפיק/שם נייר ערך" dataDxfId="404"/>
    <tableColumn id="2" xr3:uid="{543E7282-2047-48EA-A40E-B76C2E106EA6}" name="מספר נ&quot;ע" dataDxfId="403"/>
    <tableColumn id="3" xr3:uid="{8A456605-724A-41C4-A446-BA4EF2254FBB}" name="ספק המידע" dataDxfId="402"/>
    <tableColumn id="4" xr3:uid="{902E7F83-8396-4580-B9C5-4879643C5DC1}" name="מספר מנפיק" dataDxfId="401"/>
    <tableColumn id="5" xr3:uid="{43A8227D-E63B-4B75-B4FF-DA6EFA1886D6}" name="ענף מסחר" dataDxfId="400"/>
    <tableColumn id="6" xr3:uid="{725B93B3-EFBE-4ECC-8A8D-5A713FFBFB09}" name="דירוג" dataDxfId="399" dataCellStyle="Percent"/>
    <tableColumn id="7" xr3:uid="{599AC43C-B918-44E8-9935-5E355C18AAD9}" name="שם מדרג" dataDxfId="398" dataCellStyle="Percent"/>
    <tableColumn id="8" xr3:uid="{505287F0-4E40-4A32-9965-43663F57B728}" name="תאריך רכישה" dataDxfId="397" dataCellStyle="Percent"/>
    <tableColumn id="9" xr3:uid="{8282619A-E45F-4371-BC47-EE5EE5BD363E}" name="מח&quot;מ" dataDxfId="396"/>
    <tableColumn id="10" xr3:uid="{13B160F0-D351-4F23-8A74-AE912352CB93}" name="סוג מטבע" dataDxfId="395" dataCellStyle="Percent"/>
    <tableColumn id="11" xr3:uid="{CEEC9C62-1B24-42FA-980E-1065A7611444}" name="שעור ריבית" dataDxfId="394" dataCellStyle="Comma"/>
    <tableColumn id="12" xr3:uid="{0FE48B95-815E-47A5-9604-F325B789B676}" name="תשואה לפדיון" dataDxfId="393" dataCellStyle="Comma"/>
    <tableColumn id="13" xr3:uid="{97750725-C6CF-4804-A426-4BA4BC37372C}" name="ערך נקוב" dataDxfId="392" dataCellStyle="Comma"/>
    <tableColumn id="14" xr3:uid="{2347E61D-9496-425F-ABF9-56BD53FCC8B8}" name="שער" dataDxfId="391" dataCellStyle="Percent"/>
    <tableColumn id="15" xr3:uid="{6291281B-3470-4F03-A174-0D48BE5ED1BA}" name="שווי הוגן" dataDxfId="390" dataCellStyle="Percent"/>
    <tableColumn id="16" xr3:uid="{EDD0EAAD-AEEF-4907-8956-10C80E9A867D}" name="שעור מערך נקוב מונפק" dataDxfId="389" dataCellStyle="Comma"/>
    <tableColumn id="17" xr3:uid="{41364BDF-8029-435E-B4BF-082943B20CEE}" name="שעור מנכסי אפיק ההשקעה" dataDxfId="388" dataCellStyle="Comma"/>
    <tableColumn id="18" xr3:uid="{646B9B20-3DFC-4D81-B68A-A55A9D50C75A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C8374CD-F269-4244-BF78-723B5FC6608E}" name="לא סחיר - אג&quot;ח קונצרני1" displayName="לא_סחיר___אג_ח_קונצרני1" ref="A7:R42" totalsRowShown="0" headerRowDxfId="386" dataDxfId="384" headerRowBorderDxfId="385" tableBorderDxfId="383" headerRowCellStyle="Percent" dataCellStyle="Comma">
  <tableColumns count="18">
    <tableColumn id="1" xr3:uid="{F234ECC2-718D-4488-911A-27212715F969}" name="שם המנפיק/שם נייר ערך" dataDxfId="382"/>
    <tableColumn id="2" xr3:uid="{690BA96A-09E1-451E-8753-452FE2476269}" name="מספר נ&quot;ע" dataDxfId="381"/>
    <tableColumn id="3" xr3:uid="{A34C649C-149C-4C5F-AA4C-435362034ACD}" name="ספק המידע" dataDxfId="380"/>
    <tableColumn id="4" xr3:uid="{CA715EAB-BA9B-4CA6-8D42-7DCDB0926A3D}" name="מספר מנפיק" dataDxfId="379"/>
    <tableColumn id="5" xr3:uid="{7808B7AD-BDB8-4A0B-A23A-3A195A32E8A5}" name="ענף מסחר" dataDxfId="378"/>
    <tableColumn id="6" xr3:uid="{65EADE05-509D-414D-A223-6E382742081D}" name="דירוג" dataDxfId="377" dataCellStyle="Percent"/>
    <tableColumn id="7" xr3:uid="{AF474E74-FBE5-49A2-8D44-F2B659836924}" name="שם מדרג" dataDxfId="376" dataCellStyle="Percent"/>
    <tableColumn id="8" xr3:uid="{9C8DCA0A-01FB-4664-842A-15F5ECC7AC06}" name="תאריך רכישה" dataDxfId="375" dataCellStyle="Percent"/>
    <tableColumn id="9" xr3:uid="{0F2EB4EE-46B9-41CA-934C-212A1CD38FA3}" name="מח&quot;מ" dataDxfId="374"/>
    <tableColumn id="10" xr3:uid="{69631618-2C13-4936-B0CB-7187D0A90671}" name="סוג מטבע" dataDxfId="373" dataCellStyle="Percent"/>
    <tableColumn id="11" xr3:uid="{692BD970-9CA2-47A0-AFC2-D220AA67BE61}" name="שעור ריבית" dataDxfId="372" dataCellStyle="Comma"/>
    <tableColumn id="12" xr3:uid="{2D7A7111-C79A-4984-BE9B-03F9DF517D33}" name="תשואה לפדיון" dataDxfId="371" dataCellStyle="Comma"/>
    <tableColumn id="13" xr3:uid="{9B54D79E-5C13-4A42-A2E3-9A98831038C7}" name="ערך נקוב" dataDxfId="370" dataCellStyle="Comma"/>
    <tableColumn id="14" xr3:uid="{CC787F54-023B-44CA-BA30-7848C723E8EF}" name="שער" dataDxfId="369" dataCellStyle="Percent"/>
    <tableColumn id="15" xr3:uid="{41227CE4-5203-4AEA-82D1-3EB4BFB23B30}" name="שווי הוגן" dataDxfId="368" dataCellStyle="Percent"/>
    <tableColumn id="16" xr3:uid="{60989615-9C51-453E-A706-390ED2EE90AF}" name="שעור מערך נקוב מונפק" dataDxfId="367" dataCellStyle="Comma"/>
    <tableColumn id="17" xr3:uid="{0E254A5E-7203-47F3-B01D-CC4778FAC9B3}" name="שעור מנכסי אפיק ההשקעה" dataDxfId="366" dataCellStyle="Comma"/>
    <tableColumn id="18" xr3:uid="{B50921C4-C986-49E2-986E-EA7AB5EF6CD4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A55DE64-8604-45A4-B214-2F81AE067C80}" name="לא סחיר - מניות1" displayName="לא_סחיר___מניות1" ref="A7:L20" totalsRowShown="0" headerRowDxfId="364" dataDxfId="362" headerRowBorderDxfId="363" tableBorderDxfId="361" headerRowCellStyle="Percent" dataCellStyle="Percent">
  <tableColumns count="12">
    <tableColumn id="1" xr3:uid="{B3D77756-0981-414E-A675-789C98D86B6E}" name="שם המנפיק/שם נייר ערך" dataDxfId="360"/>
    <tableColumn id="2" xr3:uid="{41CF6301-77C2-43E2-828A-BB0C0EB88CF7}" name="מספר נ&quot;ע" dataDxfId="359"/>
    <tableColumn id="3" xr3:uid="{0C02E7BC-97DB-4326-B4D8-918DBBC16F5C}" name="ספק המידע" dataDxfId="358"/>
    <tableColumn id="4" xr3:uid="{38C96338-7C19-452E-9182-D17C50868511}" name="מספר מנפיק" dataDxfId="357"/>
    <tableColumn id="5" xr3:uid="{9C83A5F9-CA96-4EE6-9B67-6F9AA2EF4F59}" name="ענף מסחר" dataDxfId="356"/>
    <tableColumn id="6" xr3:uid="{DF41D1E1-34B8-4711-8ABD-36CE0F7DFAC7}" name="סוג מטבע" dataDxfId="355" dataCellStyle="Percent"/>
    <tableColumn id="7" xr3:uid="{A668E6AB-0234-427F-AA97-F7EA011C7683}" name="ערך נקוב" dataDxfId="354" dataCellStyle="Percent"/>
    <tableColumn id="8" xr3:uid="{4E54C22E-2822-48F7-B133-FB1B2C3AA481}" name="שער" dataDxfId="353" dataCellStyle="Percent"/>
    <tableColumn id="9" xr3:uid="{B6311EB9-8590-47B6-BFD6-8715A5DA916F}" name="שווי שוק" dataDxfId="352"/>
    <tableColumn id="10" xr3:uid="{9B677A35-75E7-4CB0-88A5-198583F33F07}" name="שעור מערך נקוב מונפק" dataDxfId="351" dataCellStyle="Percent"/>
    <tableColumn id="11" xr3:uid="{1133DC2F-AA9B-477B-8C01-863E3B9E6152}" name="שעור מנכסי אפיק ההשקעה" dataDxfId="350" dataCellStyle="Percent"/>
    <tableColumn id="12" xr3:uid="{D1A0E826-A8F9-43D5-975B-B67428882A53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F411106-9E94-46DC-9091-F2C231D23392}" name="לא סחיר - קרנות השקעה1" displayName="לא_סחיר___קרנות_השקעה1" ref="A7:J52" totalsRowShown="0" headerRowDxfId="348" dataDxfId="346" headerRowBorderDxfId="347" tableBorderDxfId="345" headerRowCellStyle="Percent" dataCellStyle="Comma">
  <tableColumns count="10">
    <tableColumn id="1" xr3:uid="{0CAEFD7C-3064-437C-A16D-155C82AC4A87}" name="שם המנפיק/שם נייר ערך" dataDxfId="344"/>
    <tableColumn id="2" xr3:uid="{9C3B22A2-F9BE-49D6-A3B9-501D814CD865}" name="מספר נ&quot;ע" dataDxfId="343"/>
    <tableColumn id="3" xr3:uid="{A93C25DD-3295-4913-8ABB-403C19A9D095}" name="סוג מטבע" dataDxfId="342" dataCellStyle="Percent"/>
    <tableColumn id="4" xr3:uid="{C286C370-F1F6-4BCA-AEFF-70DB87195D8A}" name="תאריך רכישה" dataDxfId="341" dataCellStyle="Percent"/>
    <tableColumn id="5" xr3:uid="{F896D37D-43BA-49FF-96E5-6E64C35345E6}" name="ערך נקוב" dataDxfId="340" dataCellStyle="Percent"/>
    <tableColumn id="6" xr3:uid="{6B362B61-6315-4F9B-AFA8-520CB616A223}" name="שער" dataDxfId="339"/>
    <tableColumn id="7" xr3:uid="{8C07B116-EE2E-4083-AA9E-146196EDA15C}" name="שווי הוגן" dataDxfId="338" dataCellStyle="Percent"/>
    <tableColumn id="8" xr3:uid="{F98968B3-D66C-4BE8-B81A-AB0C4C035E54}" name="שעור מערך נקוב מונפק" dataDxfId="337" dataCellStyle="Comma"/>
    <tableColumn id="9" xr3:uid="{013C6B09-1CBA-4A19-B770-06E0A0662943}" name="שעור מנכסי אפיק ההשקעה" dataDxfId="336" dataCellStyle="Comma"/>
    <tableColumn id="10" xr3:uid="{D930F31E-B186-4246-8406-E0A749C0BD0E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57DDDF9-8514-49A3-8022-2A97ABC6FD2A}" name="לא סחיר - כתבי אופציה1" displayName="לא_סחיר___כתבי_אופציה1" ref="A7:K18" totalsRowShown="0" headerRowDxfId="334" dataDxfId="332" headerRowBorderDxfId="333" tableBorderDxfId="331" headerRowCellStyle="Percent" dataCellStyle="Comma">
  <tableColumns count="11">
    <tableColumn id="1" xr3:uid="{53147F23-3606-458A-A674-D665B56D19C6}" name="שם המנפיק/שם נייר ערך" dataDxfId="330"/>
    <tableColumn id="2" xr3:uid="{4DDED1DA-78EE-43B5-94A9-83DEDBCB1B85}" name="מספר נ&quot;ע" dataDxfId="329"/>
    <tableColumn id="3" xr3:uid="{31BA02EC-CB09-4FEC-8694-A3004907BAE7}" name="ענף מסחר" dataDxfId="328"/>
    <tableColumn id="4" xr3:uid="{57632D4E-FB9F-4418-8E9F-FFC60307F9BD}" name="סוג מטבע" dataDxfId="327" dataCellStyle="Percent"/>
    <tableColumn id="5" xr3:uid="{D1A9B160-03F4-470F-A6F3-A3E497883D1B}" name="תאריך רכישה" dataDxfId="326" dataCellStyle="Percent"/>
    <tableColumn id="6" xr3:uid="{A23B643B-125A-4F08-8F2E-95357DA7E817}" name="ערך נקוב" dataDxfId="325" dataCellStyle="Percent"/>
    <tableColumn id="7" xr3:uid="{47642FCC-4042-4F85-88F8-8B312C0FBF7C}" name="שער" dataDxfId="324"/>
    <tableColumn id="8" xr3:uid="{1D6D0951-62E3-4A4B-990A-0E37ABA1E92A}" name="שווי הוגן" dataDxfId="323" dataCellStyle="Percent"/>
    <tableColumn id="9" xr3:uid="{E8A76899-E1BC-4437-A433-A6A610754F66}" name="שעור מערך נקוב מונפק" dataDxfId="322" dataCellStyle="Comma"/>
    <tableColumn id="10" xr3:uid="{539E3833-1DBA-4866-B4CD-9DC37E10EBB2}" name="שעור מנכסי אפיק ההשקעה" dataDxfId="321" dataCellStyle="Comma"/>
    <tableColumn id="11" xr3:uid="{49E22C98-3EB0-400D-B637-AF14B09A915C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996208-2A3B-4703-9317-A2302EEC6A5B}" name="לא סחיר - אופציות1" displayName="לא_סחיר___אופציות1" ref="A7:K27" totalsRowShown="0" headerRowDxfId="319" dataDxfId="317" headerRowBorderDxfId="318" tableBorderDxfId="316" headerRowCellStyle="Percent" dataCellStyle="Comma">
  <tableColumns count="11">
    <tableColumn id="1" xr3:uid="{B2821DD6-87BB-4756-9C17-163DAC8D636B}" name="שם המנפיק/שם נייר ערך" dataDxfId="315"/>
    <tableColumn id="2" xr3:uid="{F31EFC73-8C82-454A-807E-EC1424DE706C}" name="מספר נ&quot;ע" dataDxfId="314"/>
    <tableColumn id="3" xr3:uid="{EC4ECB5D-4FEB-4CE5-8939-098C32A8FAD2}" name="ענף מסחר" dataDxfId="313"/>
    <tableColumn id="4" xr3:uid="{25E7C5B2-6732-4242-B377-628BC037FF70}" name="סוג מטבע" dataDxfId="312" dataCellStyle="Percent"/>
    <tableColumn id="5" xr3:uid="{E5CF4E3C-3BCD-4F70-8F58-7A0F253B367B}" name="תאריך רכישה" dataDxfId="311" dataCellStyle="Percent"/>
    <tableColumn id="6" xr3:uid="{6ED24EDF-E0F0-4CFE-B5AB-79A53C1E33B0}" name="ערך נקוב" dataDxfId="310" dataCellStyle="Percent"/>
    <tableColumn id="7" xr3:uid="{5FCDA6EC-7F56-4598-8712-C06925326EC6}" name="שער" dataDxfId="309"/>
    <tableColumn id="8" xr3:uid="{C3F64BF6-6D5D-44F2-90E7-ED7F3DA7DED9}" name="שווי הוגן" dataDxfId="308" dataCellStyle="Percent"/>
    <tableColumn id="9" xr3:uid="{A3D3B2BA-11E8-4222-8D49-2AC1273AB968}" name="שעור מערך נקוב מונפק" dataDxfId="307" dataCellStyle="Comma"/>
    <tableColumn id="10" xr3:uid="{04B0894B-0949-4006-AB51-A209097C87DF}" name="שעור מנכסי אפיק ההשקעה" dataDxfId="306" dataCellStyle="Comma"/>
    <tableColumn id="11" xr3:uid="{3A47765D-03C8-42F3-938A-39E32E70AF7F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1EACECB-3D1E-4765-8877-DB759E5A637D}" name="לא סחיר - חוזים עתידיים1" displayName="לא_סחיר___חוזים_עתידיים1" ref="A7:J188" totalsRowShown="0" headerRowDxfId="304" dataDxfId="302" headerRowBorderDxfId="303" tableBorderDxfId="301" headerRowCellStyle="Percent" dataCellStyle="Percent">
  <tableColumns count="10">
    <tableColumn id="1" xr3:uid="{FE3ACF7D-FB29-4FE3-872D-1FF95FB951ED}" name="שם המנפיק/שם נייר ערך" dataDxfId="300"/>
    <tableColumn id="2" xr3:uid="{86686B62-DCB2-4968-889D-5926042B62F3}" name="מספר נ&quot;ע" dataDxfId="299"/>
    <tableColumn id="3" xr3:uid="{22C90780-CB44-46F2-90C1-7D79BD1F9D00}" name="ענף מסחר" dataDxfId="298"/>
    <tableColumn id="4" xr3:uid="{57EC8DFE-4C3F-45D7-9A44-718D0A98EF34}" name="סוג מטבע" dataDxfId="297" dataCellStyle="Percent"/>
    <tableColumn id="5" xr3:uid="{57AB1F9D-A8AC-4506-B188-ED81487C93E4}" name="תאריך רכישה" dataDxfId="296" dataCellStyle="Percent"/>
    <tableColumn id="6" xr3:uid="{790D6B74-6785-49EC-BB4A-35DC52ECA871}" name="ערך נקוב" dataDxfId="295" dataCellStyle="Percent"/>
    <tableColumn id="7" xr3:uid="{42ACF325-89D2-40DD-899D-AA39B2952026}" name="שער" dataDxfId="294"/>
    <tableColumn id="8" xr3:uid="{3BB222D6-52EC-47E3-B0A9-404271E6CFC9}" name="שווי הוגן" dataDxfId="293" dataCellStyle="Percent"/>
    <tableColumn id="9" xr3:uid="{9131637A-ECA4-4161-81CC-57DB57D08B72}" name="שעור מנכסי אפיק ההשקעה" dataDxfId="292" dataCellStyle="Percent"/>
    <tableColumn id="10" xr3:uid="{05440DEF-7D59-4D1E-838F-896AB4BD1ED4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B74FB93-AF13-404F-9AF1-F5C66B73F7F8}" name="לא סחיר - מוצרים מובנים1" displayName="לא_סחיר___מוצרים_מובנים1" ref="A7:P31" totalsRowShown="0" headerRowDxfId="290" dataDxfId="288" headerRowBorderDxfId="289" tableBorderDxfId="287" headerRowCellStyle="Percent" dataCellStyle="Comma">
  <tableColumns count="16">
    <tableColumn id="1" xr3:uid="{2AFB5FBB-6363-4250-A0F1-703C4E06674B}" name="שם המנפיק/שם נייר ערך" dataDxfId="286"/>
    <tableColumn id="2" xr3:uid="{CAC6A330-A2C6-4C8F-9D69-04AF37FDFAAA}" name="מספר נ&quot;ע" dataDxfId="285"/>
    <tableColumn id="3" xr3:uid="{F4368A30-0C0D-4D1D-A761-9B6AB5179BC7}" name="נכס הבסיס" dataDxfId="284"/>
    <tableColumn id="4" xr3:uid="{AF4B59BA-BEDB-4CF8-9C83-91962185DF0C}" name="דירוג" dataDxfId="283" dataCellStyle="Percent"/>
    <tableColumn id="5" xr3:uid="{E4D3E7C9-EFA2-48DC-AC1A-69FBA45A5BA0}" name="שם מדרג" dataDxfId="282" dataCellStyle="Percent"/>
    <tableColumn id="6" xr3:uid="{91905E55-B1E9-477D-93BE-422C7CB05701}" name="תאריך רכישה" dataDxfId="281" dataCellStyle="Percent"/>
    <tableColumn id="7" xr3:uid="{381FAB5F-0F7D-4EB2-9977-DA6F6CAFAF87}" name="מח&quot;מ" dataDxfId="280"/>
    <tableColumn id="8" xr3:uid="{ADF7F0C4-3991-4A1B-85F5-DE4132C9DE33}" name="סוג מטבע" dataDxfId="279" dataCellStyle="Percent"/>
    <tableColumn id="9" xr3:uid="{6A71E1E1-DED0-49EE-B54E-733960F7ABFE}" name="שעור ריבית" dataDxfId="278" dataCellStyle="Comma"/>
    <tableColumn id="10" xr3:uid="{048A9A33-09FA-4FCC-B0F1-E57B722BEBE4}" name="תשואה לפדיון" dataDxfId="277" dataCellStyle="Comma"/>
    <tableColumn id="11" xr3:uid="{086EAD4C-97AF-4049-890E-D38AC5630684}" name="ערך נקוב" dataDxfId="276" dataCellStyle="Comma"/>
    <tableColumn id="12" xr3:uid="{8FD7CD3D-0EF6-4106-A4C5-F9C16299214A}" name="שער" dataDxfId="275" dataCellStyle="Percent"/>
    <tableColumn id="13" xr3:uid="{9BD66D22-1645-4C42-8C7F-C4BE7B2F1AFC}" name="שווי שוק" dataDxfId="274" dataCellStyle="Percent"/>
    <tableColumn id="14" xr3:uid="{99238405-A3F6-4BBE-B031-D762B6C6CDAC}" name="שעור מערך נקוב מונפק" dataDxfId="273" dataCellStyle="Comma"/>
    <tableColumn id="15" xr3:uid="{EF3EB035-6008-4597-B274-B200CA8A7A12}" name="שעור מנכסי אפיק ההשקעה" dataDxfId="272" dataCellStyle="Comma"/>
    <tableColumn id="16" xr3:uid="{8653AA32-3A38-4AFE-8C4B-7AFC8D77509E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B41DCF-F432-44AF-8793-CD5005AB34B3}" name="הלוואות1" displayName="הלוואות1" ref="A6:Q387" totalsRowShown="0" headerRowDxfId="270" dataDxfId="268" headerRowBorderDxfId="269" tableBorderDxfId="267" headerRowCellStyle="Percent" dataCellStyle="Comma">
  <tableColumns count="17">
    <tableColumn id="1" xr3:uid="{509F6103-565B-4D15-8593-294FF4542470}" name="שם המנפיק/שם נייר ערך" dataDxfId="266"/>
    <tableColumn id="2" xr3:uid="{858854C5-B855-438F-A166-B2769B08C7DA}" name="קונסורציום" dataDxfId="265"/>
    <tableColumn id="3" xr3:uid="{CBE20632-DEF2-4117-9794-407DA7A7959F}" name="מספר נ&quot;ע" dataDxfId="264"/>
    <tableColumn id="4" xr3:uid="{FA68EC95-15C7-4F9B-BAD8-C9409A4F2E6D}" name="מספר מנפיק" dataDxfId="263"/>
    <tableColumn id="5" xr3:uid="{E381941F-25D1-430F-80C4-E2A38877764A}" name="דירוג" dataDxfId="262"/>
    <tableColumn id="6" xr3:uid="{47A0A468-54A6-4966-AD96-D61B50C705B5}" name="תאריך רכישה" dataDxfId="261" dataCellStyle="Percent"/>
    <tableColumn id="7" xr3:uid="{F8E57B0D-8CB1-4AB3-AEDC-CB578EEBEBBF}" name="שם מדרג" dataDxfId="260" dataCellStyle="Percent"/>
    <tableColumn id="8" xr3:uid="{0FF74ABF-AFAD-425B-8A25-263698A3F6CF}" name="מח&quot;מ" dataDxfId="259" dataCellStyle="Percent"/>
    <tableColumn id="9" xr3:uid="{742FD304-F26A-4DB8-BE76-57F9F86513FC}" name="ענף משק" dataDxfId="258" dataCellStyle="Percent"/>
    <tableColumn id="10" xr3:uid="{17333770-BC69-48AA-8914-366718BFB681}" name="סוג מטבע" dataDxfId="257" dataCellStyle="Percent"/>
    <tableColumn id="11" xr3:uid="{2D062316-454A-401E-9CD3-079CDD0AF721}" name="שעור ריבית ממוצע" dataDxfId="256"/>
    <tableColumn id="12" xr3:uid="{EBEE2A54-85CF-48D6-8080-6137559A4210}" name="תשואה לפדיון" dataDxfId="255" dataCellStyle="Percent"/>
    <tableColumn id="13" xr3:uid="{8B842649-A592-4F37-A5A5-F83F81EC46D4}" name="ערך נקוב" dataDxfId="254" dataCellStyle="Comma"/>
    <tableColumn id="14" xr3:uid="{C4456128-84F7-4637-96CC-F2F496BD7485}" name="שער" dataDxfId="253" dataCellStyle="Comma"/>
    <tableColumn id="15" xr3:uid="{FD9441A3-F629-4E9D-8C0B-77176668EA1A}" name="שווי הוגן" dataDxfId="252" dataCellStyle="Comma"/>
    <tableColumn id="16" xr3:uid="{019ED62A-2439-4765-AEC3-5A5E28179C3C}" name="שעור מנכסי אפיק ההשקעה" dataDxfId="251" dataCellStyle="Comma"/>
    <tableColumn id="17" xr3:uid="{6003E9DD-5E41-4BBA-B0F3-F99C93CBE44C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CCF982-D975-42FE-BC92-A23214C97A8C}" name="פקדונות מעל 3 חודשים1" displayName="פקדונות_מעל_3_חודשים1" ref="A6:N22" totalsRowShown="0" headerRowDxfId="249" dataDxfId="247" headerRowBorderDxfId="248" tableBorderDxfId="246" headerRowCellStyle="Percent" dataCellStyle="Comma">
  <tableColumns count="14">
    <tableColumn id="1" xr3:uid="{2C566E8D-5D12-4ACE-ADE2-6DE6F7F275ED}" name="שם המנפיק/שם נייר ערך" dataDxfId="245"/>
    <tableColumn id="2" xr3:uid="{E2EA3A03-B6F7-48E1-BB78-B6793F63358F}" name="מספר נ&quot;ע" dataDxfId="244"/>
    <tableColumn id="3" xr3:uid="{019171E6-8876-46F2-857D-4E6B49CF559D}" name="מספר מנפיק" dataDxfId="243"/>
    <tableColumn id="4" xr3:uid="{F2C473D8-E11A-4ED0-9238-ABCF28308FE3}" name="דירוג" dataDxfId="242"/>
    <tableColumn id="5" xr3:uid="{ACE99189-BF90-408F-911E-64D8B896ED32}" name="שם מדרג" dataDxfId="241" dataCellStyle="Percent"/>
    <tableColumn id="6" xr3:uid="{A600150B-E1B4-43EB-B983-FE624B7E8C4D}" name="מח&quot;מ" dataDxfId="240" dataCellStyle="Percent"/>
    <tableColumn id="7" xr3:uid="{0B7ECFD8-D25D-4F38-A712-928D937BCFB2}" name="סוג מטבע" dataDxfId="239" dataCellStyle="Percent"/>
    <tableColumn id="8" xr3:uid="{F09C73A1-FB6A-49BE-B0CB-9F486A5DD8F4}" name="תנאי ושיעור ריבית" dataDxfId="238"/>
    <tableColumn id="9" xr3:uid="{4C0E3843-5073-429A-9F32-F6C7B8D4E176}" name="תשואה לפדיון" dataDxfId="237" dataCellStyle="Percent"/>
    <tableColumn id="10" xr3:uid="{78E65EB3-173C-4B61-9A28-B57332FA6208}" name="ערך נקוב" dataDxfId="236" dataCellStyle="Comma"/>
    <tableColumn id="11" xr3:uid="{4C591769-E77C-45E4-B226-B3F4D6EEB817}" name="שער" dataDxfId="235" dataCellStyle="Comma"/>
    <tableColumn id="12" xr3:uid="{F370CB7E-0A31-4494-BBF5-1726AE678154}" name="שווי הוגן" dataDxfId="234" dataCellStyle="Comma"/>
    <tableColumn id="13" xr3:uid="{50D62B4A-F761-43AB-91C4-CA222BC32DBF}" name="שעור מנכסי אפיק ההשקעה" dataDxfId="233" dataCellStyle="Comma"/>
    <tableColumn id="14" xr3:uid="{1D1CFFDA-FD31-4E98-88C8-C4784B86911B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3D12DE4-BE0A-495B-9D09-758EFFAC026D}" name="זכויות מקרקעין1" displayName="זכויות_מקרקעין1" ref="A6:I21" totalsRowShown="0" headerRowDxfId="231" dataDxfId="229" headerRowBorderDxfId="230" tableBorderDxfId="228" headerRowCellStyle="Percent" dataCellStyle="Percent">
  <tableColumns count="9">
    <tableColumn id="1" xr3:uid="{4824D4EF-EF60-41E7-B83A-A979234AACDA}" name="שם המנפיק/שם נייר ערך" dataDxfId="227"/>
    <tableColumn id="2" xr3:uid="{C4E6DA07-0BA2-420C-8DAA-243E69ACF022}" name="תאריך שערוך אחרון" dataDxfId="226"/>
    <tableColumn id="3" xr3:uid="{EC4EF357-EF09-411A-B6DD-ADF52A065F0F}" name="אופי הנכס" dataDxfId="225"/>
    <tableColumn id="4" xr3:uid="{D8E53845-81E0-4B80-84DC-C16630C85018}" name="שעור תשואה במהלך התקופה" dataDxfId="224" dataCellStyle="Percent"/>
    <tableColumn id="5" xr3:uid="{384CAE8B-CA46-4B83-83E4-D78996358BBF}" name="סוג מטבע" dataDxfId="223" dataCellStyle="Percent"/>
    <tableColumn id="6" xr3:uid="{D6711321-29F4-46F1-8019-EF1B605BC0D2}" name="שווי משוערך" dataDxfId="222" dataCellStyle="Percent"/>
    <tableColumn id="7" xr3:uid="{A6D79094-F2E9-4897-862B-1F2832F37B27}" name="שעור מנכסי אפיק ההשקעה" dataDxfId="221" dataCellStyle="Percent"/>
    <tableColumn id="8" xr3:uid="{D1A22AAD-3F89-4D2C-9D93-0EB29740DA5D}" name="שעור מנכסי השקעה" dataDxfId="220" dataCellStyle="Percent"/>
    <tableColumn id="9" xr3:uid="{857D14D9-C343-4697-806B-CD9150861AA1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5B08242-0ECD-4676-A046-A93C2D1815DD}" name="השקעה בחברות מוחזקות1" displayName="השקעה_בחברות_מוחזקות1" ref="A6:J16" totalsRowShown="0" headerRowDxfId="218" dataDxfId="216" headerRowBorderDxfId="217" tableBorderDxfId="215" headerRowCellStyle="Percent" dataCellStyle="Percent">
  <tableColumns count="10">
    <tableColumn id="1" xr3:uid="{899BD1C4-6C2A-4746-B004-2C678942B38C}" name="שם המנפיק/שם נייר ערך" dataDxfId="214"/>
    <tableColumn id="2" xr3:uid="{C8135A34-D6F3-4066-AE6B-4E15DD94F41E}" name="מספר מנפיק" dataDxfId="213"/>
    <tableColumn id="3" xr3:uid="{DDB1098C-A75F-44BD-8C9C-91CFBF1FF1BA}" name="דירוג" dataDxfId="212"/>
    <tableColumn id="4" xr3:uid="{F25D2DA6-1ED9-4F79-8189-43A0BE333D90}" name="שם המדרג" dataDxfId="211" dataCellStyle="Percent"/>
    <tableColumn id="5" xr3:uid="{2F9F652D-7753-4CF2-B904-C173F129BD46}" name="שעור הריבית" dataDxfId="210" dataCellStyle="Percent"/>
    <tableColumn id="6" xr3:uid="{0FAAC31D-F9C8-46CF-BB08-45287ED84B6D}" name="סוג מטבע" dataDxfId="209" dataCellStyle="Percent"/>
    <tableColumn id="7" xr3:uid="{103290C4-C682-4014-936A-1DF4288C1FF3}" name="תשואה לפדיון" dataDxfId="208" dataCellStyle="Percent"/>
    <tableColumn id="8" xr3:uid="{873DDD06-0287-4230-8164-EA09084BD939}" name="שווי הוגן" dataDxfId="207" dataCellStyle="Percent"/>
    <tableColumn id="9" xr3:uid="{C22835FC-3D9C-44AC-836C-28096D69DF0D}" name="שעור מנכסי אפיק ההשקעה" dataDxfId="206" dataCellStyle="Percent"/>
    <tableColumn id="10" xr3:uid="{258FEE65-2564-472A-92E2-01EC1797FD75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DC75023-38A6-49C5-8B12-30190EDD176F}" name="השקעות אחרות1" displayName="השקעות_אחרות1" ref="A6:J25" totalsRowShown="0" headerRowDxfId="204" dataDxfId="202" headerRowBorderDxfId="203" tableBorderDxfId="201" headerRowCellStyle="Percent" dataCellStyle="Percent">
  <tableColumns count="10">
    <tableColumn id="1" xr3:uid="{559F9329-F2CF-48B7-8194-EDC37C9F1227}" name="שם המנפיק/שם נייר ערך" dataDxfId="200"/>
    <tableColumn id="2" xr3:uid="{4CD7CFBD-342B-41AC-9B4B-C50B3F180FA0}" name="מספר נייר" dataDxfId="199"/>
    <tableColumn id="3" xr3:uid="{C449A012-7D7B-4B90-B452-48C97435411A}" name="דירוג" dataDxfId="198"/>
    <tableColumn id="4" xr3:uid="{57FD66DC-DE5B-4A0A-BBAB-8D2CA908BFE8}" name="שם מדרג" dataDxfId="197"/>
    <tableColumn id="5" xr3:uid="{3EC499A8-3F2D-4E25-B430-187D3B77DBF4}" name="שעור ריבית" dataDxfId="196" dataCellStyle="Percent"/>
    <tableColumn id="6" xr3:uid="{BCFB0789-FE4A-409E-82AF-C74F7CFFB487}" name="סוג מטבע" dataDxfId="195" dataCellStyle="Percent"/>
    <tableColumn id="7" xr3:uid="{02B30A9A-3D12-410C-97F4-2BEF3EF78BC2}" name="תשואה לפדיון" dataDxfId="194" dataCellStyle="Percent"/>
    <tableColumn id="8" xr3:uid="{745FE1D8-EAEC-4BCD-9A27-4508307BC4ED}" name="שווי הוגן" dataDxfId="193" dataCellStyle="Percent"/>
    <tableColumn id="9" xr3:uid="{0C2267AA-79FB-4FEA-86FF-F4996D8E4316}" name="שעור מנכסי אפיק ההשקעה" dataDxfId="192" dataCellStyle="Percent"/>
    <tableColumn id="10" xr3:uid="{56E9AAD6-8B37-48C3-9B17-D3B3101840B3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E0C7C3-AF5B-4830-94F1-8B4761009933}" name="יתרת התחייבות להשקעה1" displayName="יתרת_התחייבות_להשקעה1" ref="A6:C55" totalsRowShown="0" headerRowBorderDxfId="190" tableBorderDxfId="189">
  <tableColumns count="3">
    <tableColumn id="1" xr3:uid="{7C7064B8-0C38-47E6-9085-3EE7EADEAAAA}" name="שם המנפיק/שם נייר ערך" dataDxfId="188"/>
    <tableColumn id="2" xr3:uid="{9E3DC87B-3572-481E-8DAF-97FA718A57B6}" name="סכום ההתחייבות" dataDxfId="187"/>
    <tableColumn id="3" xr3:uid="{41AF39B6-E4D6-4000-9754-2357ED83FBB3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DCC23F1-E842-4552-96E3-005E9489FFE7}" name="עלות מתואמת אג&quot;ח קונצרני סחיר1" displayName="עלות_מתואמת_אג_ח_קונצרני_סחיר1" ref="A6:O17" totalsRowShown="0" headerRowDxfId="185" headerRowBorderDxfId="184" tableBorderDxfId="183" headerRowCellStyle="Percent">
  <tableColumns count="15">
    <tableColumn id="1" xr3:uid="{015419A4-3FE6-413B-BDF2-E360C56B4955}" name="שם המנפיק/שם נייר ערך" dataDxfId="182"/>
    <tableColumn id="2" xr3:uid="{F43478BE-7254-464F-BD42-438448486B36}" name="מספר ני&quot;ע" dataDxfId="181" dataCellStyle="Percent"/>
    <tableColumn id="3" xr3:uid="{354F0D40-B2F1-4278-A9EB-D439247DFB99}" name="ענף מסחר" dataDxfId="180" dataCellStyle="Percent"/>
    <tableColumn id="4" xr3:uid="{52E449E0-C358-4442-B5F6-0DF3066EC674}" name="דירוג" dataDxfId="179" dataCellStyle="Percent"/>
    <tableColumn id="5" xr3:uid="{347C0244-9D1C-4B93-AA47-5E34FDAA22D9}" name="שם מדרג" dataDxfId="178" dataCellStyle="Percent"/>
    <tableColumn id="6" xr3:uid="{66569F34-3484-412C-AA71-768CB9835415}" name="תאריך רכישה" dataDxfId="177" dataCellStyle="Percent"/>
    <tableColumn id="7" xr3:uid="{FDB0A5DD-1FE0-4A65-9086-340D0B087B35}" name="מח&quot;מ" dataDxfId="176" dataCellStyle="Percent"/>
    <tableColumn id="8" xr3:uid="{E09B54F1-CD8B-4723-87C2-7E931F41198A}" name="סוג מטבע" dataDxfId="175" dataCellStyle="Percent"/>
    <tableColumn id="9" xr3:uid="{0629A55C-9E10-45E0-A016-2E3B077B4206}" name="שיעור ריבית" dataDxfId="174" dataCellStyle="Percent"/>
    <tableColumn id="10" xr3:uid="{01EB4523-6E70-474D-BA1B-618CC3A1D118}" name="ריבית אפקטיבית" dataDxfId="173" dataCellStyle="Percent"/>
    <tableColumn id="11" xr3:uid="{D0B60826-B824-49E0-9927-E413E9B22352}" name="ערך נקוב" dataDxfId="172" dataCellStyle="Comma"/>
    <tableColumn id="12" xr3:uid="{71B9302C-1396-4C56-AE3B-B626C332F3A4}" name="עלות מתואמת" dataDxfId="171" dataCellStyle="Percent"/>
    <tableColumn id="13" xr3:uid="{804C6B1C-84CA-4967-A1EC-042BF18CA234}" name="שעור מערך נקוב מונפק" dataDxfId="170" dataCellStyle="Comma"/>
    <tableColumn id="14" xr3:uid="{8D5529D4-CB2B-47B9-B059-44EA5466DADA}" name="שעור מנכסי אפיק ההשקעה" dataDxfId="169" dataCellStyle="Percent"/>
    <tableColumn id="15" xr3:uid="{EF8C4E36-8F85-4254-9965-28FCF29F3285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AA6BB6-7B93-4DAE-AF63-B9C36C320618}" name="עלות מתואמת אג&quot;ח קונצרני ל.סחיר1" displayName="עלות_מתואמת_אג_ח_קונצרני_ל.סחיר1" ref="A6:O17" totalsRowShown="0" headerRowDxfId="167" headerRowBorderDxfId="166" tableBorderDxfId="165" headerRowCellStyle="Percent">
  <tableColumns count="15">
    <tableColumn id="1" xr3:uid="{6A8C9660-8FE8-4EE5-B9C7-E54AD735F199}" name="שם המנפיק/שם נייר ערך" dataDxfId="164"/>
    <tableColumn id="2" xr3:uid="{6B70D12E-46A2-40D8-BA57-7836818BCACC}" name="מספר ני&quot;ע" dataDxfId="163" dataCellStyle="Percent"/>
    <tableColumn id="3" xr3:uid="{B3F17798-77A5-4380-B1E8-8FE7473155DE}" name="ענף מסחר" dataDxfId="162" dataCellStyle="Percent"/>
    <tableColumn id="4" xr3:uid="{A3A361B2-4652-4CCB-89E2-202B7F5E3871}" name="דירוג" dataDxfId="161" dataCellStyle="Percent"/>
    <tableColumn id="5" xr3:uid="{0C02BCF1-D8EC-4D66-9A99-B76D2B42EC81}" name="שם מדרג" dataDxfId="160" dataCellStyle="Percent"/>
    <tableColumn id="6" xr3:uid="{D4E2C58E-54E6-48C8-AC69-CF69ACBBE9A6}" name="תאריך רכישה" dataDxfId="159" dataCellStyle="Percent"/>
    <tableColumn id="7" xr3:uid="{52F992E2-C585-45D8-9F15-0EE1B2B48F5C}" name="מח&quot;מ" dataDxfId="158" dataCellStyle="Percent"/>
    <tableColumn id="8" xr3:uid="{86F9FCCA-A350-4A1A-AE85-890223D2E2E7}" name="סוג מטבע" dataDxfId="157" dataCellStyle="Percent"/>
    <tableColumn id="9" xr3:uid="{6B0E0949-A02B-49C5-ACB5-8DC5D949D116}" name="שיעור ריבית" dataDxfId="156" dataCellStyle="Percent"/>
    <tableColumn id="10" xr3:uid="{F9A1983A-DC4C-4676-928C-4C227E3861DA}" name="ריבית אפקטיבית" dataDxfId="155" dataCellStyle="Percent"/>
    <tableColumn id="11" xr3:uid="{FC3D00E5-256D-4BDB-AB7E-0D144AD80215}" name="ערך נקוב" dataDxfId="154" dataCellStyle="Comma"/>
    <tableColumn id="12" xr3:uid="{DC587A32-7AD5-400D-81D6-6F0F8C83DD05}" name="עלות מתואמת" dataDxfId="153" dataCellStyle="Percent"/>
    <tableColumn id="13" xr3:uid="{078F9502-8016-4BF9-8E08-741F92D1C28F}" name="שעור מערך נקוב מונפק" dataDxfId="152" dataCellStyle="Comma"/>
    <tableColumn id="14" xr3:uid="{6FEB6148-8422-4FD6-8F49-25DC8E57AE92}" name="שעור מנכסי אפיק ההשקעה" dataDxfId="151" dataCellStyle="Percent"/>
    <tableColumn id="15" xr3:uid="{BF7D641B-9D82-4792-9967-27FADDEB5444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E3BA6D6-B99B-4783-A697-9553A2262BF9}" name="עלות מתואמת מסגרות אשראי ללווים1" displayName="עלות_מתואמת_מסגרות_אשראי_ללווים1" ref="A6:O17" totalsRowShown="0" headerRowDxfId="149" headerRowBorderDxfId="148" tableBorderDxfId="147" headerRowCellStyle="Percent">
  <tableColumns count="15">
    <tableColumn id="1" xr3:uid="{08F7D2CC-E215-49CF-B2F2-325ED5007F16}" name="שם המנפיק/שם נייר ערך" dataDxfId="146"/>
    <tableColumn id="2" xr3:uid="{BDBCD8FE-D67A-4131-8F06-C670368C8D82}" name="מספר ני&quot;ע" dataDxfId="145" dataCellStyle="Percent"/>
    <tableColumn id="3" xr3:uid="{A512CB92-A6A4-4465-B8E8-F05A38683C4C}" name="ענף מסחר" dataDxfId="144" dataCellStyle="Percent"/>
    <tableColumn id="4" xr3:uid="{1859C6E2-3448-4D1D-8E98-8F916DC308A2}" name="דירוג" dataDxfId="143" dataCellStyle="Percent"/>
    <tableColumn id="5" xr3:uid="{2F07746D-D65B-4F69-8575-C1AAA858C448}" name="שם מדרג" dataDxfId="142" dataCellStyle="Percent"/>
    <tableColumn id="6" xr3:uid="{4C56AFA6-BCDF-4A5A-9309-30624231FAC7}" name="תאריך רכישה" dataDxfId="141" dataCellStyle="Percent"/>
    <tableColumn id="7" xr3:uid="{190346A1-5B7D-4D58-8D64-DFCDDC6E9FBC}" name="מח&quot;מ" dataDxfId="140" dataCellStyle="Percent"/>
    <tableColumn id="8" xr3:uid="{0394B584-1F1B-4E40-8BBF-A683FC181C0D}" name="סוג מטבע" dataDxfId="139" dataCellStyle="Percent"/>
    <tableColumn id="9" xr3:uid="{A0038D83-2DF2-400E-A7A3-6C781A4234E8}" name="שיעור ריבית" dataDxfId="138" dataCellStyle="Percent"/>
    <tableColumn id="10" xr3:uid="{69613BAA-2350-48D2-BEA7-3C414344E661}" name="ריבית אפקטיבית" dataDxfId="137" dataCellStyle="Percent"/>
    <tableColumn id="11" xr3:uid="{04DD34BE-5AC9-4735-BFC4-344DD8790F71}" name="ערך נקוב" dataDxfId="136" dataCellStyle="Comma"/>
    <tableColumn id="12" xr3:uid="{07F63870-8667-46F4-A64C-D8A11B3E3D84}" name="עלות מתואמת" dataDxfId="135" dataCellStyle="Percent"/>
    <tableColumn id="13" xr3:uid="{F858B6E3-740E-49D6-AA6E-659E245B7CAC}" name="שעור מערך נקוב מונפק" dataDxfId="134" dataCellStyle="Comma"/>
    <tableColumn id="14" xr3:uid="{E01FC93C-7FBB-4F75-BDF9-3DFD151C4936}" name="שעור מנכסי אפיק ההשקעה" dataDxfId="133" dataCellStyle="Percent"/>
    <tableColumn id="15" xr3:uid="{9F67D1FA-4778-48CF-8C7D-8528438803DA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C5B5506-B409-4341-98E3-57BA44E73448}" name="טבלה32" displayName="טבלה32" ref="A1:B72" headerRowCount="0" totalsRowShown="0">
  <tableColumns count="2">
    <tableColumn id="1" xr3:uid="{E62CE6D4-4EBB-433E-877B-3DE89EEB14A0}" name="עמודה1"/>
    <tableColumn id="2" xr3:uid="{2EE6C380-5EC5-4DB7-9E8D-42E8CA21B58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9"/>
  <sheetViews>
    <sheetView rightToLeft="1" topLeftCell="A22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9" customWidth="1"/>
    <col min="2" max="2" width="14.88671875" style="40" bestFit="1" customWidth="1"/>
    <col min="3" max="3" width="17.88671875" style="39" customWidth="1"/>
    <col min="4" max="4" width="9.109375" style="39" customWidth="1"/>
    <col min="5" max="48" width="11.6640625" style="39" customWidth="1"/>
    <col min="49" max="16384" width="44.44140625" style="39"/>
  </cols>
  <sheetData>
    <row r="1" spans="1:54" x14ac:dyDescent="0.25">
      <c r="A1" s="42" t="s">
        <v>237</v>
      </c>
      <c r="B1" s="42" t="s">
        <v>247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2" spans="1:54" x14ac:dyDescent="0.25">
      <c r="A2" s="42" t="s">
        <v>238</v>
      </c>
      <c r="B2" s="42" t="s">
        <v>150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</row>
    <row r="3" spans="1:54" x14ac:dyDescent="0.25">
      <c r="A3" s="42" t="s">
        <v>239</v>
      </c>
      <c r="B3" s="42" t="s">
        <v>240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</row>
    <row r="4" spans="1:54" x14ac:dyDescent="0.25">
      <c r="A4" s="42" t="s">
        <v>241</v>
      </c>
      <c r="B4" s="42" t="s">
        <v>249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</row>
    <row r="5" spans="1:54" ht="21.75" customHeight="1" x14ac:dyDescent="0.25">
      <c r="A5" s="219" t="s">
        <v>51</v>
      </c>
      <c r="B5" s="220"/>
      <c r="C5" s="221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</row>
    <row r="6" spans="1:54" ht="21.75" customHeight="1" x14ac:dyDescent="0.25">
      <c r="A6" s="193" t="s">
        <v>2976</v>
      </c>
      <c r="B6" s="178" t="s">
        <v>29</v>
      </c>
      <c r="C6" s="178" t="s">
        <v>72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</row>
    <row r="7" spans="1:54" ht="15.6" x14ac:dyDescent="0.25">
      <c r="A7" s="177"/>
      <c r="B7" s="186" t="s">
        <v>10</v>
      </c>
      <c r="C7" s="186" t="s">
        <v>9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</row>
    <row r="8" spans="1:54" ht="15.6" x14ac:dyDescent="0.25">
      <c r="A8" s="179"/>
      <c r="B8" s="180" t="s">
        <v>49</v>
      </c>
      <c r="C8" s="180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</row>
    <row r="9" spans="1:54" x14ac:dyDescent="0.25">
      <c r="A9" s="181" t="s">
        <v>97</v>
      </c>
      <c r="B9" s="180"/>
      <c r="C9" s="180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</row>
    <row r="10" spans="1:54" x14ac:dyDescent="0.25">
      <c r="A10" s="187" t="s">
        <v>43</v>
      </c>
      <c r="B10" s="188">
        <v>29445.462842900008</v>
      </c>
      <c r="C10" s="189">
        <v>5.494187812972616E-2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</row>
    <row r="11" spans="1:54" x14ac:dyDescent="0.25">
      <c r="A11" s="182" t="s">
        <v>45</v>
      </c>
      <c r="B11" s="188">
        <v>396255.6966067999</v>
      </c>
      <c r="C11" s="189">
        <v>0.73936797350869465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</row>
    <row r="12" spans="1:54" x14ac:dyDescent="0.25">
      <c r="A12" s="190" t="s">
        <v>12</v>
      </c>
      <c r="B12" s="188">
        <v>176360.87307070004</v>
      </c>
      <c r="C12" s="189">
        <v>0.3290692914830135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</row>
    <row r="13" spans="1:54" x14ac:dyDescent="0.25">
      <c r="A13" s="190" t="s">
        <v>18</v>
      </c>
      <c r="B13" s="188">
        <v>4.9999999999999998E-7</v>
      </c>
      <c r="C13" s="189">
        <v>9.3294302118558705E-13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</row>
    <row r="14" spans="1:54" x14ac:dyDescent="0.25">
      <c r="A14" s="190" t="s">
        <v>20</v>
      </c>
      <c r="B14" s="188">
        <v>189710.88970059989</v>
      </c>
      <c r="C14" s="189">
        <v>0.35397890117816672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</row>
    <row r="15" spans="1:54" x14ac:dyDescent="0.25">
      <c r="A15" s="190" t="s">
        <v>21</v>
      </c>
      <c r="B15" s="188">
        <v>0.46049070000000003</v>
      </c>
      <c r="C15" s="189">
        <v>8.5922316977173177E-7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</row>
    <row r="16" spans="1:54" x14ac:dyDescent="0.25">
      <c r="A16" s="190" t="s">
        <v>158</v>
      </c>
      <c r="B16" s="188">
        <v>9500.4514710000003</v>
      </c>
      <c r="C16" s="189">
        <v>1.7726759795963592E-2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1:54" x14ac:dyDescent="0.25">
      <c r="A17" s="190" t="s">
        <v>44</v>
      </c>
      <c r="B17" s="188">
        <v>20858.924660799999</v>
      </c>
      <c r="C17" s="189">
        <v>3.8920376383458598E-2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1:54" x14ac:dyDescent="0.25">
      <c r="A18" s="190" t="s">
        <v>23</v>
      </c>
      <c r="B18" s="188">
        <v>12.662240199999999</v>
      </c>
      <c r="C18" s="189">
        <v>2.3626297254331186E-5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</row>
    <row r="19" spans="1:54" x14ac:dyDescent="0.25">
      <c r="A19" s="190" t="s">
        <v>24</v>
      </c>
      <c r="B19" s="188">
        <v>9.0000000000000007E-7</v>
      </c>
      <c r="C19" s="189">
        <v>1.679297438134057E-12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</row>
    <row r="20" spans="1:54" x14ac:dyDescent="0.25">
      <c r="A20" s="190" t="s">
        <v>25</v>
      </c>
      <c r="B20" s="188">
        <v>-188.56502979999999</v>
      </c>
      <c r="C20" s="189">
        <v>-3.5184085718312452E-4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</row>
    <row r="21" spans="1:54" x14ac:dyDescent="0.25">
      <c r="A21" s="190" t="s">
        <v>26</v>
      </c>
      <c r="B21" s="188">
        <v>1.2000000000000002E-6</v>
      </c>
      <c r="C21" s="189">
        <v>2.2390632508454095E-12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</row>
    <row r="22" spans="1:54" x14ac:dyDescent="0.25">
      <c r="A22" s="181" t="s">
        <v>46</v>
      </c>
      <c r="B22" s="188">
        <v>51741.867026299988</v>
      </c>
      <c r="C22" s="189">
        <v>9.6544427490598439E-2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</row>
    <row r="23" spans="1:54" x14ac:dyDescent="0.25">
      <c r="A23" s="190" t="s">
        <v>12</v>
      </c>
      <c r="B23" s="188">
        <v>6.9999999999999997E-7</v>
      </c>
      <c r="C23" s="189">
        <v>1.306120229659822E-12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</row>
    <row r="24" spans="1:54" x14ac:dyDescent="0.25">
      <c r="A24" s="190" t="s">
        <v>18</v>
      </c>
      <c r="B24" s="188">
        <v>6.0000000000000008E-7</v>
      </c>
      <c r="C24" s="189">
        <v>1.1195316254227047E-12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</row>
    <row r="25" spans="1:54" x14ac:dyDescent="0.25">
      <c r="A25" s="190" t="s">
        <v>20</v>
      </c>
      <c r="B25" s="188">
        <v>21866.1604806</v>
      </c>
      <c r="C25" s="189">
        <v>4.0799763640999707E-2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</row>
    <row r="26" spans="1:54" x14ac:dyDescent="0.25">
      <c r="A26" s="190" t="s">
        <v>21</v>
      </c>
      <c r="B26" s="188">
        <v>334.69816029999998</v>
      </c>
      <c r="C26" s="189">
        <v>6.2450862571107981E-4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</row>
    <row r="27" spans="1:54" x14ac:dyDescent="0.25">
      <c r="A27" s="190" t="s">
        <v>30</v>
      </c>
      <c r="B27" s="188">
        <v>32326.396650799994</v>
      </c>
      <c r="C27" s="189">
        <v>6.0317372310881988E-2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</row>
    <row r="28" spans="1:54" x14ac:dyDescent="0.25">
      <c r="A28" s="190" t="s">
        <v>31</v>
      </c>
      <c r="B28" s="188">
        <v>92.625910199999993</v>
      </c>
      <c r="C28" s="189">
        <v>1.7282939300410576E-4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</row>
    <row r="29" spans="1:54" x14ac:dyDescent="0.25">
      <c r="A29" s="190" t="s">
        <v>32</v>
      </c>
      <c r="B29" s="188">
        <v>9.9999999999999995E-7</v>
      </c>
      <c r="C29" s="189">
        <v>1.8658860423711741E-12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</row>
    <row r="30" spans="1:54" x14ac:dyDescent="0.25">
      <c r="A30" s="190" t="s">
        <v>33</v>
      </c>
      <c r="B30" s="188">
        <v>-2878.0141791000024</v>
      </c>
      <c r="C30" s="189">
        <v>-5.3700464865290279E-3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</row>
    <row r="31" spans="1:54" x14ac:dyDescent="0.25">
      <c r="A31" s="190" t="s">
        <v>34</v>
      </c>
      <c r="B31" s="188">
        <v>1.2000000000000002E-6</v>
      </c>
      <c r="C31" s="189">
        <v>2.2390632508454095E-12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</row>
    <row r="32" spans="1:54" x14ac:dyDescent="0.25">
      <c r="A32" s="190" t="s">
        <v>35</v>
      </c>
      <c r="B32" s="188">
        <v>56670.611461299944</v>
      </c>
      <c r="C32" s="189">
        <v>0.10574090293827947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</row>
    <row r="33" spans="1:54" x14ac:dyDescent="0.25">
      <c r="A33" s="190" t="s">
        <v>37</v>
      </c>
      <c r="B33" s="188">
        <v>1706.3030706</v>
      </c>
      <c r="C33" s="189">
        <v>3.1837670834876162E-3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</row>
    <row r="34" spans="1:54" x14ac:dyDescent="0.25">
      <c r="A34" s="190" t="s">
        <v>47</v>
      </c>
      <c r="B34" s="188">
        <v>14.0400004</v>
      </c>
      <c r="C34" s="189">
        <v>2.6197040781245704E-5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</row>
    <row r="35" spans="1:54" x14ac:dyDescent="0.25">
      <c r="A35" s="190" t="s">
        <v>86</v>
      </c>
      <c r="B35" s="188">
        <v>2.0000000000000002E-7</v>
      </c>
      <c r="C35" s="189">
        <v>3.7317720847423488E-13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</row>
    <row r="36" spans="1:54" x14ac:dyDescent="0.25">
      <c r="A36" s="190" t="s">
        <v>87</v>
      </c>
      <c r="B36" s="188">
        <v>104.42964020000002</v>
      </c>
      <c r="C36" s="189">
        <v>1.9485380805902373E-4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</row>
    <row r="37" spans="1:54" x14ac:dyDescent="0.25">
      <c r="A37" s="181" t="s">
        <v>93</v>
      </c>
      <c r="B37" s="191"/>
      <c r="C37" s="189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</row>
    <row r="38" spans="1:54" x14ac:dyDescent="0.25">
      <c r="A38" s="190" t="s">
        <v>94</v>
      </c>
      <c r="B38" s="191">
        <v>0</v>
      </c>
      <c r="C38" s="189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</row>
    <row r="39" spans="1:54" x14ac:dyDescent="0.25">
      <c r="A39" s="190" t="s">
        <v>95</v>
      </c>
      <c r="B39" s="191">
        <v>0</v>
      </c>
      <c r="C39" s="18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</row>
    <row r="40" spans="1:54" x14ac:dyDescent="0.25">
      <c r="A40" s="190" t="s">
        <v>96</v>
      </c>
      <c r="B40" s="191">
        <v>0</v>
      </c>
      <c r="C40" s="189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</row>
    <row r="41" spans="1:54" x14ac:dyDescent="0.25">
      <c r="A41" s="183" t="s">
        <v>48</v>
      </c>
      <c r="B41" s="184">
        <v>535938.41064869997</v>
      </c>
      <c r="C41" s="185">
        <v>0.99999999999999978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</row>
    <row r="42" spans="1:54" x14ac:dyDescent="0.25">
      <c r="A42" s="192" t="s">
        <v>92</v>
      </c>
      <c r="B42" s="188">
        <v>31674.539624114921</v>
      </c>
      <c r="C42" s="189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</row>
    <row r="43" spans="1:54" x14ac:dyDescent="0.25">
      <c r="A43" s="203"/>
      <c r="B43" s="194" t="s">
        <v>0</v>
      </c>
      <c r="C43" s="195" t="s">
        <v>1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</row>
    <row r="44" spans="1:54" x14ac:dyDescent="0.25">
      <c r="A44" s="42"/>
      <c r="B44" s="196" t="s">
        <v>49</v>
      </c>
      <c r="C44" s="197" t="s">
        <v>50</v>
      </c>
      <c r="D44" s="109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</row>
    <row r="45" spans="1:54" x14ac:dyDescent="0.25">
      <c r="A45" s="42"/>
      <c r="B45" s="198" t="s">
        <v>125</v>
      </c>
      <c r="C45" s="200">
        <v>3.8239999999999998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</row>
    <row r="46" spans="1:54" x14ac:dyDescent="0.25">
      <c r="A46" s="42"/>
      <c r="B46" s="198" t="s">
        <v>126</v>
      </c>
      <c r="C46" s="200">
        <v>4.0530999999999997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</row>
    <row r="47" spans="1:54" x14ac:dyDescent="0.25">
      <c r="A47" s="42"/>
      <c r="B47" s="198" t="s">
        <v>2</v>
      </c>
      <c r="C47" s="200">
        <v>4.6779000000000002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</row>
    <row r="48" spans="1:54" x14ac:dyDescent="0.25">
      <c r="A48" s="42"/>
      <c r="B48" s="198" t="s">
        <v>131</v>
      </c>
      <c r="C48" s="200">
        <v>2.8424999999999998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</row>
    <row r="49" spans="1:54" x14ac:dyDescent="0.25">
      <c r="A49" s="42"/>
      <c r="B49" s="198" t="s">
        <v>3</v>
      </c>
      <c r="C49" s="200">
        <v>2.4773999999999998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</row>
    <row r="50" spans="1:54" x14ac:dyDescent="0.25">
      <c r="A50" s="42"/>
      <c r="B50" s="198" t="s">
        <v>65</v>
      </c>
      <c r="C50" s="200">
        <v>0.48830000000000001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</row>
    <row r="51" spans="1:54" x14ac:dyDescent="0.25">
      <c r="A51" s="42"/>
      <c r="B51" s="198" t="s">
        <v>127</v>
      </c>
      <c r="C51" s="200">
        <v>2.3062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</row>
    <row r="52" spans="1:54" x14ac:dyDescent="0.25">
      <c r="A52" s="42"/>
      <c r="B52" s="198" t="s">
        <v>90</v>
      </c>
      <c r="C52" s="201">
        <v>0.54420000000000002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</row>
    <row r="53" spans="1:54" x14ac:dyDescent="0.25">
      <c r="A53" s="42"/>
      <c r="B53" s="198" t="s">
        <v>132</v>
      </c>
      <c r="C53" s="201">
        <v>0.34960000000000002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</row>
    <row r="54" spans="1:54" x14ac:dyDescent="0.25">
      <c r="A54" s="42"/>
      <c r="B54" s="198" t="s">
        <v>2909</v>
      </c>
      <c r="C54" s="200">
        <v>2.5659999999999998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</row>
    <row r="55" spans="1:54" ht="12" customHeight="1" x14ac:dyDescent="0.25">
      <c r="A55" s="42"/>
      <c r="B55" s="198" t="s">
        <v>130</v>
      </c>
      <c r="C55" s="201">
        <v>0.219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</row>
    <row r="56" spans="1:54" x14ac:dyDescent="0.25">
      <c r="A56" s="42"/>
      <c r="B56" s="198" t="s">
        <v>236</v>
      </c>
      <c r="C56" s="201">
        <v>4.2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</row>
    <row r="57" spans="1:54" x14ac:dyDescent="0.25">
      <c r="A57" s="42"/>
      <c r="B57" s="198" t="s">
        <v>91</v>
      </c>
      <c r="C57" s="201">
        <v>0.52429999999999999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</row>
    <row r="58" spans="1:54" x14ac:dyDescent="0.25">
      <c r="A58" s="42"/>
      <c r="B58" s="198" t="s">
        <v>163</v>
      </c>
      <c r="C58" s="201">
        <v>0.75800000000000001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</row>
    <row r="59" spans="1:54" x14ac:dyDescent="0.25">
      <c r="A59" s="42"/>
      <c r="B59" s="198" t="s">
        <v>129</v>
      </c>
      <c r="C59" s="201">
        <v>0.16639999999999999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</row>
    <row r="60" spans="1:54" x14ac:dyDescent="0.25">
      <c r="A60" s="42"/>
      <c r="B60" s="198" t="s">
        <v>151</v>
      </c>
      <c r="C60" s="201">
        <v>0.35849999999999999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</row>
    <row r="61" spans="1:54" x14ac:dyDescent="0.25">
      <c r="A61" s="42"/>
      <c r="B61" s="198" t="s">
        <v>161</v>
      </c>
      <c r="C61" s="201">
        <v>0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</row>
    <row r="62" spans="1:54" x14ac:dyDescent="0.25">
      <c r="A62" s="42"/>
      <c r="B62" s="198" t="s">
        <v>152</v>
      </c>
      <c r="C62" s="201">
        <v>0.87460000000000004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</row>
    <row r="63" spans="1:54" x14ac:dyDescent="0.25">
      <c r="A63" s="42"/>
      <c r="B63" s="198" t="s">
        <v>153</v>
      </c>
      <c r="C63" s="201">
        <v>4.5838337E-2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</row>
    <row r="64" spans="1:54" x14ac:dyDescent="0.25">
      <c r="A64" s="42"/>
      <c r="B64" s="198" t="s">
        <v>162</v>
      </c>
      <c r="C64" s="201">
        <v>2.4674899999999999E-4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</row>
    <row r="65" spans="1:54" x14ac:dyDescent="0.25">
      <c r="A65" s="42"/>
      <c r="B65" s="198" t="s">
        <v>154</v>
      </c>
      <c r="C65" s="201">
        <v>3.9300000000000002E-2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</row>
    <row r="66" spans="1:54" x14ac:dyDescent="0.25">
      <c r="A66" s="42"/>
      <c r="B66" s="198" t="s">
        <v>155</v>
      </c>
      <c r="C66" s="201">
        <v>2.8419999999999999E-3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</row>
    <row r="67" spans="1:54" x14ac:dyDescent="0.25">
      <c r="A67" s="42"/>
      <c r="B67" s="199" t="s">
        <v>156</v>
      </c>
      <c r="C67" s="202">
        <v>6.7530000000000007E-2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</row>
    <row r="68" spans="1:54" x14ac:dyDescent="0.25">
      <c r="A68" s="42"/>
      <c r="B68" s="43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</row>
    <row r="69" spans="1:54" x14ac:dyDescent="0.25">
      <c r="A69" s="42"/>
      <c r="B69" s="43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</row>
    <row r="70" spans="1:54" x14ac:dyDescent="0.25">
      <c r="A70" s="42"/>
      <c r="B70" s="43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</row>
    <row r="71" spans="1:54" x14ac:dyDescent="0.25">
      <c r="A71" s="42"/>
      <c r="B71" s="43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</row>
    <row r="72" spans="1:54" x14ac:dyDescent="0.25">
      <c r="A72" s="42"/>
      <c r="B72" s="43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</row>
    <row r="73" spans="1:54" x14ac:dyDescent="0.25">
      <c r="A73" s="42"/>
      <c r="B73" s="43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</row>
    <row r="74" spans="1:54" x14ac:dyDescent="0.25">
      <c r="A74" s="42"/>
      <c r="B74" s="43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</row>
    <row r="75" spans="1:54" x14ac:dyDescent="0.25">
      <c r="A75" s="42"/>
      <c r="B75" s="43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</row>
    <row r="76" spans="1:54" x14ac:dyDescent="0.25">
      <c r="A76" s="42"/>
      <c r="B76" s="43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</row>
    <row r="77" spans="1:54" x14ac:dyDescent="0.25">
      <c r="A77" s="42"/>
      <c r="B77" s="43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</row>
    <row r="78" spans="1:54" x14ac:dyDescent="0.25">
      <c r="A78" s="42"/>
      <c r="B78" s="43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</row>
    <row r="79" spans="1:54" x14ac:dyDescent="0.25">
      <c r="A79" s="42"/>
      <c r="B79" s="43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</row>
    <row r="80" spans="1:54" x14ac:dyDescent="0.25">
      <c r="A80" s="42"/>
      <c r="B80" s="43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</row>
    <row r="81" spans="1:54" x14ac:dyDescent="0.25">
      <c r="A81" s="42"/>
      <c r="B81" s="43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</row>
    <row r="82" spans="1:54" x14ac:dyDescent="0.25">
      <c r="A82" s="42"/>
      <c r="B82" s="43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</row>
    <row r="83" spans="1:54" x14ac:dyDescent="0.25">
      <c r="A83" s="42"/>
      <c r="B83" s="43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</row>
    <row r="84" spans="1:54" x14ac:dyDescent="0.25">
      <c r="A84" s="42"/>
      <c r="B84" s="43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</row>
    <row r="85" spans="1:54" x14ac:dyDescent="0.25">
      <c r="A85" s="42"/>
      <c r="B85" s="43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</row>
    <row r="86" spans="1:54" x14ac:dyDescent="0.25">
      <c r="A86" s="42"/>
      <c r="B86" s="43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</row>
    <row r="87" spans="1:54" x14ac:dyDescent="0.25">
      <c r="A87" s="42"/>
      <c r="B87" s="43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</row>
    <row r="88" spans="1:54" x14ac:dyDescent="0.25">
      <c r="A88" s="42"/>
      <c r="B88" s="43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</row>
    <row r="89" spans="1:54" x14ac:dyDescent="0.25">
      <c r="A89" s="42"/>
      <c r="B89" s="43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</row>
    <row r="90" spans="1:54" x14ac:dyDescent="0.25">
      <c r="A90" s="42"/>
      <c r="B90" s="43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</row>
    <row r="91" spans="1:54" x14ac:dyDescent="0.25">
      <c r="A91" s="42"/>
      <c r="B91" s="43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</row>
    <row r="92" spans="1:54" x14ac:dyDescent="0.25">
      <c r="A92" s="42"/>
      <c r="B92" s="43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</row>
    <row r="93" spans="1:54" x14ac:dyDescent="0.25">
      <c r="A93" s="42"/>
      <c r="B93" s="43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</row>
    <row r="94" spans="1:54" x14ac:dyDescent="0.25">
      <c r="A94" s="42"/>
      <c r="B94" s="43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</row>
    <row r="95" spans="1:54" x14ac:dyDescent="0.25">
      <c r="A95" s="42"/>
      <c r="B95" s="43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4" x14ac:dyDescent="0.25">
      <c r="A96" s="42"/>
      <c r="B96" s="43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1:54" x14ac:dyDescent="0.25">
      <c r="A97" s="42"/>
      <c r="B97" s="43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1:54" x14ac:dyDescent="0.25">
      <c r="A98" s="42"/>
      <c r="B98" s="43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1:54" x14ac:dyDescent="0.25">
      <c r="A99" s="42"/>
      <c r="B99" s="43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</row>
    <row r="100" spans="1:54" x14ac:dyDescent="0.25">
      <c r="A100" s="42"/>
      <c r="B100" s="43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</row>
    <row r="101" spans="1:54" x14ac:dyDescent="0.25">
      <c r="A101" s="42"/>
      <c r="B101" s="43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</row>
    <row r="102" spans="1:54" x14ac:dyDescent="0.25">
      <c r="A102" s="42"/>
      <c r="B102" s="43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</row>
    <row r="103" spans="1:54" x14ac:dyDescent="0.25">
      <c r="A103" s="42"/>
      <c r="B103" s="43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</row>
    <row r="104" spans="1:54" x14ac:dyDescent="0.25">
      <c r="A104" s="42"/>
      <c r="B104" s="43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</row>
    <row r="105" spans="1:54" x14ac:dyDescent="0.25">
      <c r="A105" s="42"/>
      <c r="B105" s="43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</row>
    <row r="106" spans="1:54" x14ac:dyDescent="0.25">
      <c r="A106" s="42"/>
      <c r="B106" s="43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</row>
    <row r="107" spans="1:54" x14ac:dyDescent="0.25">
      <c r="A107" s="42"/>
      <c r="B107" s="43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</row>
    <row r="108" spans="1:54" x14ac:dyDescent="0.25">
      <c r="A108" s="42"/>
      <c r="B108" s="43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</row>
    <row r="109" spans="1:54" x14ac:dyDescent="0.25">
      <c r="A109" s="42"/>
      <c r="B109" s="43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</row>
    <row r="110" spans="1:54" x14ac:dyDescent="0.25">
      <c r="A110" s="42"/>
      <c r="B110" s="43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</row>
    <row r="111" spans="1:54" x14ac:dyDescent="0.25">
      <c r="A111" s="42"/>
      <c r="B111" s="43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</row>
    <row r="112" spans="1:54" x14ac:dyDescent="0.25">
      <c r="A112" s="42"/>
      <c r="B112" s="43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</row>
    <row r="113" spans="1:54" x14ac:dyDescent="0.25">
      <c r="A113" s="42"/>
      <c r="B113" s="43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</row>
    <row r="114" spans="1:54" x14ac:dyDescent="0.25">
      <c r="A114" s="42"/>
      <c r="B114" s="43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</row>
    <row r="115" spans="1:54" x14ac:dyDescent="0.25">
      <c r="A115" s="42"/>
      <c r="B115" s="43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</row>
    <row r="116" spans="1:54" x14ac:dyDescent="0.25">
      <c r="A116" s="42"/>
      <c r="B116" s="43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</row>
    <row r="117" spans="1:54" x14ac:dyDescent="0.25">
      <c r="A117" s="42"/>
      <c r="B117" s="43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</row>
    <row r="118" spans="1:54" x14ac:dyDescent="0.25">
      <c r="A118" s="42"/>
      <c r="B118" s="43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</row>
    <row r="119" spans="1:54" x14ac:dyDescent="0.25">
      <c r="A119" s="42"/>
      <c r="B119" s="43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</row>
    <row r="120" spans="1:54" x14ac:dyDescent="0.25">
      <c r="A120" s="42"/>
      <c r="B120" s="43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</row>
    <row r="121" spans="1:54" x14ac:dyDescent="0.25">
      <c r="A121" s="42"/>
      <c r="B121" s="43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</row>
    <row r="122" spans="1:54" x14ac:dyDescent="0.25">
      <c r="A122" s="42"/>
      <c r="B122" s="43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</row>
    <row r="123" spans="1:54" x14ac:dyDescent="0.25">
      <c r="A123" s="42"/>
      <c r="B123" s="43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</row>
    <row r="124" spans="1:54" x14ac:dyDescent="0.25">
      <c r="A124" s="42"/>
      <c r="B124" s="43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</row>
    <row r="125" spans="1:54" x14ac:dyDescent="0.25">
      <c r="A125" s="42"/>
      <c r="B125" s="43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</row>
    <row r="126" spans="1:54" x14ac:dyDescent="0.25">
      <c r="A126" s="42"/>
      <c r="B126" s="43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</row>
    <row r="127" spans="1:54" x14ac:dyDescent="0.25">
      <c r="A127" s="42"/>
      <c r="B127" s="43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</row>
    <row r="128" spans="1:54" x14ac:dyDescent="0.25">
      <c r="A128" s="42"/>
      <c r="B128" s="43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</row>
    <row r="129" spans="1:54" x14ac:dyDescent="0.25">
      <c r="A129" s="42"/>
      <c r="B129" s="43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</row>
    <row r="130" spans="1:54" x14ac:dyDescent="0.25">
      <c r="A130" s="42"/>
      <c r="B130" s="43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</row>
    <row r="131" spans="1:54" x14ac:dyDescent="0.25">
      <c r="A131" s="42"/>
      <c r="B131" s="43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</row>
    <row r="132" spans="1:54" x14ac:dyDescent="0.25">
      <c r="A132" s="42"/>
      <c r="B132" s="43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</row>
    <row r="133" spans="1:54" x14ac:dyDescent="0.25">
      <c r="A133" s="42"/>
      <c r="B133" s="43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</row>
    <row r="134" spans="1:54" x14ac:dyDescent="0.25">
      <c r="A134" s="42"/>
      <c r="B134" s="43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</row>
    <row r="135" spans="1:54" x14ac:dyDescent="0.25">
      <c r="A135" s="42"/>
      <c r="B135" s="43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</row>
    <row r="136" spans="1:54" x14ac:dyDescent="0.25">
      <c r="A136" s="42"/>
      <c r="B136" s="43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</row>
    <row r="137" spans="1:54" x14ac:dyDescent="0.25">
      <c r="A137" s="42"/>
      <c r="B137" s="43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</row>
    <row r="138" spans="1:54" x14ac:dyDescent="0.25">
      <c r="A138" s="42"/>
      <c r="B138" s="43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</row>
    <row r="139" spans="1:54" x14ac:dyDescent="0.25">
      <c r="A139" s="42"/>
      <c r="B139" s="43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</row>
    <row r="140" spans="1:54" x14ac:dyDescent="0.25">
      <c r="A140" s="42"/>
      <c r="B140" s="43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</row>
    <row r="141" spans="1:54" x14ac:dyDescent="0.25">
      <c r="A141" s="42"/>
      <c r="B141" s="43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</row>
    <row r="142" spans="1:54" x14ac:dyDescent="0.25">
      <c r="A142" s="42"/>
      <c r="B142" s="43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</row>
    <row r="143" spans="1:54" x14ac:dyDescent="0.25">
      <c r="A143" s="42"/>
      <c r="B143" s="43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</row>
    <row r="144" spans="1:54" x14ac:dyDescent="0.25">
      <c r="A144" s="42"/>
      <c r="B144" s="43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</row>
    <row r="145" spans="1:54" x14ac:dyDescent="0.25">
      <c r="A145" s="42"/>
      <c r="B145" s="43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</row>
    <row r="146" spans="1:54" x14ac:dyDescent="0.25">
      <c r="A146" s="42"/>
      <c r="B146" s="43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</row>
    <row r="147" spans="1:54" x14ac:dyDescent="0.25">
      <c r="A147" s="42"/>
      <c r="B147" s="43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</row>
    <row r="148" spans="1:54" x14ac:dyDescent="0.25">
      <c r="A148" s="42"/>
      <c r="B148" s="43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</row>
    <row r="149" spans="1:54" x14ac:dyDescent="0.25">
      <c r="A149" s="42"/>
      <c r="B149" s="43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</row>
    <row r="150" spans="1:54" x14ac:dyDescent="0.25">
      <c r="A150" s="42"/>
      <c r="B150" s="43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</row>
    <row r="151" spans="1:54" x14ac:dyDescent="0.25">
      <c r="A151" s="42"/>
      <c r="B151" s="43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</row>
    <row r="152" spans="1:54" x14ac:dyDescent="0.25">
      <c r="A152" s="42"/>
      <c r="B152" s="43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</row>
    <row r="153" spans="1:54" x14ac:dyDescent="0.25">
      <c r="A153" s="42"/>
      <c r="B153" s="43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</row>
    <row r="154" spans="1:54" x14ac:dyDescent="0.25">
      <c r="A154" s="42"/>
      <c r="B154" s="43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</row>
    <row r="155" spans="1:54" x14ac:dyDescent="0.25">
      <c r="A155" s="42"/>
      <c r="B155" s="43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</row>
    <row r="156" spans="1:54" x14ac:dyDescent="0.25">
      <c r="A156" s="42"/>
      <c r="B156" s="43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</row>
    <row r="157" spans="1:54" x14ac:dyDescent="0.25">
      <c r="A157" s="42"/>
      <c r="B157" s="43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</row>
    <row r="158" spans="1:54" x14ac:dyDescent="0.25">
      <c r="A158" s="42"/>
      <c r="B158" s="43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</row>
    <row r="159" spans="1:54" x14ac:dyDescent="0.25">
      <c r="A159" s="42"/>
      <c r="B159" s="43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</row>
    <row r="160" spans="1:54" x14ac:dyDescent="0.25">
      <c r="A160" s="42"/>
      <c r="B160" s="43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</row>
    <row r="161" spans="1:54" x14ac:dyDescent="0.25">
      <c r="A161" s="42"/>
      <c r="B161" s="43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</row>
    <row r="162" spans="1:54" x14ac:dyDescent="0.25">
      <c r="A162" s="42"/>
      <c r="B162" s="43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</row>
    <row r="163" spans="1:54" x14ac:dyDescent="0.25">
      <c r="A163" s="42"/>
      <c r="B163" s="43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</row>
    <row r="164" spans="1:54" x14ac:dyDescent="0.25">
      <c r="A164" s="42"/>
      <c r="B164" s="43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</row>
    <row r="165" spans="1:54" x14ac:dyDescent="0.25">
      <c r="A165" s="42"/>
      <c r="B165" s="43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</row>
    <row r="166" spans="1:54" x14ac:dyDescent="0.25">
      <c r="A166" s="42"/>
      <c r="B166" s="43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</row>
    <row r="167" spans="1:54" x14ac:dyDescent="0.25">
      <c r="A167" s="42"/>
      <c r="B167" s="43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</row>
    <row r="168" spans="1:54" x14ac:dyDescent="0.25">
      <c r="A168" s="42"/>
      <c r="B168" s="43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</row>
    <row r="169" spans="1:54" x14ac:dyDescent="0.25">
      <c r="A169" s="42"/>
      <c r="B169" s="43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</row>
    <row r="170" spans="1:54" x14ac:dyDescent="0.25">
      <c r="A170" s="42"/>
      <c r="B170" s="43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</row>
    <row r="171" spans="1:54" x14ac:dyDescent="0.25">
      <c r="A171" s="42"/>
      <c r="B171" s="43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</row>
    <row r="172" spans="1:54" x14ac:dyDescent="0.25">
      <c r="A172" s="42"/>
      <c r="B172" s="43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</row>
    <row r="173" spans="1:54" x14ac:dyDescent="0.25">
      <c r="A173" s="42"/>
      <c r="B173" s="43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</row>
    <row r="174" spans="1:54" x14ac:dyDescent="0.25">
      <c r="A174" s="42"/>
      <c r="B174" s="43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</row>
    <row r="175" spans="1:54" x14ac:dyDescent="0.25">
      <c r="A175" s="42"/>
      <c r="B175" s="43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</row>
    <row r="176" spans="1:54" x14ac:dyDescent="0.25">
      <c r="A176" s="42"/>
      <c r="B176" s="43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</row>
    <row r="177" spans="1:54" x14ac:dyDescent="0.25">
      <c r="A177" s="42"/>
      <c r="B177" s="43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</row>
    <row r="178" spans="1:54" x14ac:dyDescent="0.25">
      <c r="A178" s="42"/>
      <c r="B178" s="43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</row>
    <row r="179" spans="1:54" x14ac:dyDescent="0.25">
      <c r="A179" s="42"/>
      <c r="B179" s="43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</row>
    <row r="180" spans="1:54" x14ac:dyDescent="0.25">
      <c r="A180" s="42"/>
      <c r="B180" s="43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</row>
    <row r="181" spans="1:54" x14ac:dyDescent="0.25">
      <c r="A181" s="42"/>
      <c r="B181" s="43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</row>
    <row r="182" spans="1:54" x14ac:dyDescent="0.25">
      <c r="A182" s="42"/>
      <c r="B182" s="43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</row>
    <row r="183" spans="1:54" x14ac:dyDescent="0.25">
      <c r="A183" s="42"/>
      <c r="B183" s="43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</row>
    <row r="184" spans="1:54" x14ac:dyDescent="0.25">
      <c r="A184" s="42"/>
      <c r="B184" s="43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</row>
    <row r="185" spans="1:54" x14ac:dyDescent="0.25">
      <c r="A185" s="42"/>
      <c r="B185" s="43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</row>
    <row r="186" spans="1:54" x14ac:dyDescent="0.25">
      <c r="A186" s="42"/>
      <c r="B186" s="43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</row>
    <row r="187" spans="1:54" x14ac:dyDescent="0.25">
      <c r="A187" s="42"/>
      <c r="B187" s="43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</row>
    <row r="188" spans="1:54" x14ac:dyDescent="0.25">
      <c r="A188" s="42"/>
      <c r="B188" s="43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</row>
    <row r="189" spans="1:54" x14ac:dyDescent="0.25">
      <c r="A189" s="42"/>
      <c r="B189" s="43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</row>
    <row r="190" spans="1:54" x14ac:dyDescent="0.25">
      <c r="A190" s="42"/>
      <c r="B190" s="43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</row>
    <row r="191" spans="1:54" x14ac:dyDescent="0.25">
      <c r="A191" s="42"/>
      <c r="B191" s="43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</row>
    <row r="192" spans="1:54" x14ac:dyDescent="0.25">
      <c r="A192" s="42"/>
      <c r="B192" s="43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</row>
    <row r="193" spans="1:54" x14ac:dyDescent="0.25">
      <c r="A193" s="42"/>
      <c r="B193" s="43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</row>
    <row r="194" spans="1:54" x14ac:dyDescent="0.25">
      <c r="A194" s="42"/>
      <c r="B194" s="43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</row>
    <row r="195" spans="1:54" x14ac:dyDescent="0.25">
      <c r="A195" s="42"/>
      <c r="B195" s="43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</row>
    <row r="196" spans="1:54" x14ac:dyDescent="0.25">
      <c r="A196" s="42"/>
      <c r="B196" s="43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</row>
    <row r="197" spans="1:54" x14ac:dyDescent="0.25">
      <c r="A197" s="42"/>
      <c r="B197" s="43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</row>
    <row r="198" spans="1:54" x14ac:dyDescent="0.25">
      <c r="A198" s="42"/>
      <c r="B198" s="43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</row>
    <row r="199" spans="1:54" x14ac:dyDescent="0.25">
      <c r="A199" s="42"/>
      <c r="B199" s="43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</row>
    <row r="200" spans="1:54" x14ac:dyDescent="0.25">
      <c r="A200" s="42"/>
      <c r="B200" s="43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</row>
    <row r="201" spans="1:54" x14ac:dyDescent="0.25">
      <c r="A201" s="42"/>
      <c r="B201" s="43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</row>
    <row r="202" spans="1:54" x14ac:dyDescent="0.25">
      <c r="A202" s="42"/>
      <c r="B202" s="43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</row>
    <row r="203" spans="1:54" x14ac:dyDescent="0.25">
      <c r="A203" s="42"/>
      <c r="B203" s="43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</row>
    <row r="204" spans="1:54" x14ac:dyDescent="0.25">
      <c r="A204" s="42"/>
      <c r="B204" s="43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</row>
    <row r="205" spans="1:54" x14ac:dyDescent="0.25">
      <c r="A205" s="42"/>
      <c r="B205" s="43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</row>
    <row r="206" spans="1:54" x14ac:dyDescent="0.25">
      <c r="A206" s="42"/>
      <c r="B206" s="43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</row>
    <row r="207" spans="1:54" x14ac:dyDescent="0.25">
      <c r="A207" s="42"/>
      <c r="B207" s="43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</row>
    <row r="208" spans="1:54" x14ac:dyDescent="0.25">
      <c r="A208" s="42"/>
      <c r="B208" s="43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</row>
    <row r="209" spans="1:54" x14ac:dyDescent="0.25">
      <c r="A209" s="42"/>
      <c r="B209" s="43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</row>
    <row r="210" spans="1:54" x14ac:dyDescent="0.25">
      <c r="A210" s="42"/>
      <c r="B210" s="43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</row>
    <row r="211" spans="1:54" x14ac:dyDescent="0.25">
      <c r="A211" s="42"/>
      <c r="B211" s="43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</row>
    <row r="212" spans="1:54" x14ac:dyDescent="0.25">
      <c r="A212" s="42"/>
      <c r="B212" s="43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</row>
    <row r="213" spans="1:54" x14ac:dyDescent="0.25">
      <c r="A213" s="42"/>
      <c r="B213" s="43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</row>
    <row r="214" spans="1:54" x14ac:dyDescent="0.25">
      <c r="A214" s="42"/>
      <c r="B214" s="43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</row>
    <row r="215" spans="1:54" x14ac:dyDescent="0.25">
      <c r="A215" s="42"/>
      <c r="B215" s="43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</row>
    <row r="216" spans="1:54" x14ac:dyDescent="0.25">
      <c r="A216" s="42"/>
      <c r="B216" s="43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</row>
    <row r="217" spans="1:54" x14ac:dyDescent="0.25">
      <c r="A217" s="42"/>
      <c r="B217" s="43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</row>
    <row r="218" spans="1:54" x14ac:dyDescent="0.25">
      <c r="A218" s="42"/>
      <c r="B218" s="43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</row>
    <row r="219" spans="1:54" x14ac:dyDescent="0.25">
      <c r="A219" s="42"/>
      <c r="B219" s="43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</row>
    <row r="220" spans="1:54" x14ac:dyDescent="0.25">
      <c r="A220" s="42"/>
      <c r="B220" s="43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</row>
    <row r="221" spans="1:54" x14ac:dyDescent="0.25">
      <c r="A221" s="42"/>
      <c r="B221" s="43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</row>
    <row r="222" spans="1:54" x14ac:dyDescent="0.25">
      <c r="A222" s="42"/>
      <c r="B222" s="43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</row>
    <row r="223" spans="1:54" x14ac:dyDescent="0.25">
      <c r="A223" s="42"/>
      <c r="B223" s="43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</row>
    <row r="224" spans="1:54" x14ac:dyDescent="0.25">
      <c r="A224" s="42"/>
      <c r="B224" s="43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</row>
    <row r="225" spans="1:54" x14ac:dyDescent="0.25">
      <c r="A225" s="42"/>
      <c r="B225" s="43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</row>
    <row r="226" spans="1:54" x14ac:dyDescent="0.25">
      <c r="A226" s="42"/>
      <c r="B226" s="43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</row>
    <row r="227" spans="1:54" x14ac:dyDescent="0.25">
      <c r="A227" s="42"/>
      <c r="B227" s="43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</row>
    <row r="228" spans="1:54" x14ac:dyDescent="0.25">
      <c r="A228" s="42"/>
      <c r="B228" s="43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</row>
    <row r="229" spans="1:54" x14ac:dyDescent="0.25">
      <c r="A229" s="42"/>
      <c r="B229" s="43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</row>
    <row r="230" spans="1:54" x14ac:dyDescent="0.25">
      <c r="A230" s="42"/>
      <c r="B230" s="43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</row>
    <row r="231" spans="1:54" x14ac:dyDescent="0.25">
      <c r="A231" s="42"/>
      <c r="B231" s="43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</row>
    <row r="232" spans="1:54" x14ac:dyDescent="0.25">
      <c r="A232" s="42"/>
      <c r="B232" s="43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</row>
    <row r="233" spans="1:54" x14ac:dyDescent="0.25">
      <c r="A233" s="42"/>
      <c r="B233" s="43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</row>
    <row r="234" spans="1:54" x14ac:dyDescent="0.25">
      <c r="A234" s="42"/>
      <c r="B234" s="43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</row>
    <row r="235" spans="1:54" x14ac:dyDescent="0.25">
      <c r="A235" s="42"/>
      <c r="B235" s="43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</row>
    <row r="236" spans="1:54" x14ac:dyDescent="0.25">
      <c r="A236" s="42"/>
      <c r="B236" s="43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</row>
    <row r="237" spans="1:54" x14ac:dyDescent="0.25">
      <c r="A237" s="42"/>
      <c r="B237" s="43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</row>
    <row r="238" spans="1:54" x14ac:dyDescent="0.25">
      <c r="A238" s="42"/>
      <c r="B238" s="43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</row>
    <row r="239" spans="1:54" x14ac:dyDescent="0.25">
      <c r="A239" s="42"/>
      <c r="B239" s="43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</row>
    <row r="240" spans="1:54" x14ac:dyDescent="0.25">
      <c r="A240" s="42"/>
      <c r="B240" s="43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</row>
    <row r="241" spans="1:54" x14ac:dyDescent="0.25">
      <c r="A241" s="42"/>
      <c r="B241" s="43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</row>
    <row r="242" spans="1:54" x14ac:dyDescent="0.25">
      <c r="A242" s="42"/>
      <c r="B242" s="43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</row>
    <row r="243" spans="1:54" x14ac:dyDescent="0.25">
      <c r="A243" s="42"/>
      <c r="B243" s="43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</row>
    <row r="244" spans="1:54" x14ac:dyDescent="0.25">
      <c r="A244" s="42"/>
      <c r="B244" s="43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</row>
    <row r="245" spans="1:54" x14ac:dyDescent="0.25">
      <c r="A245" s="42"/>
      <c r="B245" s="43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</row>
    <row r="246" spans="1:54" x14ac:dyDescent="0.25">
      <c r="A246" s="42"/>
      <c r="B246" s="43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</row>
    <row r="247" spans="1:54" x14ac:dyDescent="0.25">
      <c r="A247" s="42"/>
      <c r="B247" s="43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</row>
    <row r="248" spans="1:54" x14ac:dyDescent="0.25">
      <c r="A248" s="42"/>
      <c r="B248" s="43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</row>
    <row r="249" spans="1:54" x14ac:dyDescent="0.25">
      <c r="A249" s="42"/>
      <c r="B249" s="43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</row>
    <row r="250" spans="1:54" x14ac:dyDescent="0.25">
      <c r="A250" s="42"/>
      <c r="B250" s="43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</row>
    <row r="251" spans="1:54" x14ac:dyDescent="0.25">
      <c r="A251" s="42"/>
      <c r="B251" s="43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</row>
    <row r="252" spans="1:54" x14ac:dyDescent="0.25">
      <c r="A252" s="42"/>
      <c r="B252" s="43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</row>
    <row r="253" spans="1:54" x14ac:dyDescent="0.25">
      <c r="A253" s="42"/>
      <c r="B253" s="43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</row>
    <row r="254" spans="1:54" x14ac:dyDescent="0.25">
      <c r="A254" s="42"/>
      <c r="B254" s="43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</row>
    <row r="255" spans="1:54" x14ac:dyDescent="0.25">
      <c r="A255" s="42"/>
      <c r="B255" s="43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</row>
    <row r="256" spans="1:54" x14ac:dyDescent="0.25">
      <c r="A256" s="42"/>
      <c r="B256" s="43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</row>
    <row r="257" spans="1:54" x14ac:dyDescent="0.25">
      <c r="A257" s="42"/>
      <c r="B257" s="43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</row>
    <row r="258" spans="1:54" x14ac:dyDescent="0.25">
      <c r="A258" s="42"/>
      <c r="B258" s="43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</row>
    <row r="259" spans="1:54" x14ac:dyDescent="0.25">
      <c r="A259" s="42"/>
      <c r="B259" s="43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</row>
    <row r="260" spans="1:54" x14ac:dyDescent="0.25">
      <c r="A260" s="42"/>
      <c r="B260" s="43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</row>
    <row r="261" spans="1:54" x14ac:dyDescent="0.25">
      <c r="A261" s="42"/>
      <c r="B261" s="43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</row>
    <row r="262" spans="1:54" x14ac:dyDescent="0.25">
      <c r="A262" s="42"/>
      <c r="B262" s="43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</row>
    <row r="263" spans="1:54" x14ac:dyDescent="0.25">
      <c r="A263" s="42"/>
      <c r="B263" s="43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</row>
    <row r="264" spans="1:54" x14ac:dyDescent="0.25">
      <c r="A264" s="42"/>
      <c r="B264" s="43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</row>
    <row r="265" spans="1:54" x14ac:dyDescent="0.25">
      <c r="A265" s="42"/>
      <c r="B265" s="43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</row>
    <row r="266" spans="1:54" x14ac:dyDescent="0.25">
      <c r="A266" s="42"/>
      <c r="B266" s="43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</row>
    <row r="267" spans="1:54" x14ac:dyDescent="0.25">
      <c r="A267" s="42"/>
      <c r="B267" s="43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</row>
    <row r="268" spans="1:54" x14ac:dyDescent="0.25">
      <c r="A268" s="42"/>
      <c r="B268" s="43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</row>
    <row r="269" spans="1:54" x14ac:dyDescent="0.25">
      <c r="A269" s="42"/>
      <c r="B269" s="43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</row>
    <row r="270" spans="1:54" x14ac:dyDescent="0.25">
      <c r="A270" s="42"/>
      <c r="B270" s="43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</row>
    <row r="271" spans="1:54" x14ac:dyDescent="0.25">
      <c r="A271" s="42"/>
      <c r="B271" s="43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</row>
    <row r="272" spans="1:54" x14ac:dyDescent="0.25">
      <c r="A272" s="42"/>
      <c r="B272" s="43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</row>
    <row r="273" spans="1:54" x14ac:dyDescent="0.25">
      <c r="A273" s="42"/>
      <c r="B273" s="43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</row>
    <row r="274" spans="1:54" x14ac:dyDescent="0.25">
      <c r="A274" s="42"/>
      <c r="B274" s="43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</row>
    <row r="275" spans="1:54" x14ac:dyDescent="0.25">
      <c r="A275" s="42"/>
      <c r="B275" s="43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</row>
    <row r="276" spans="1:54" x14ac:dyDescent="0.25">
      <c r="A276" s="42"/>
      <c r="B276" s="43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</row>
    <row r="277" spans="1:54" x14ac:dyDescent="0.25">
      <c r="A277" s="42"/>
      <c r="B277" s="43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</row>
    <row r="278" spans="1:54" x14ac:dyDescent="0.25">
      <c r="A278" s="42"/>
      <c r="B278" s="43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</row>
    <row r="279" spans="1:54" x14ac:dyDescent="0.25">
      <c r="A279" s="42"/>
      <c r="B279" s="43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</row>
    <row r="280" spans="1:54" x14ac:dyDescent="0.25">
      <c r="A280" s="42"/>
      <c r="B280" s="43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</row>
    <row r="281" spans="1:54" x14ac:dyDescent="0.25">
      <c r="A281" s="42"/>
      <c r="B281" s="43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</row>
    <row r="282" spans="1:54" x14ac:dyDescent="0.25">
      <c r="A282" s="42"/>
      <c r="B282" s="43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</row>
    <row r="283" spans="1:54" x14ac:dyDescent="0.25">
      <c r="A283" s="42"/>
      <c r="B283" s="43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</row>
    <row r="284" spans="1:54" x14ac:dyDescent="0.25">
      <c r="A284" s="42"/>
      <c r="B284" s="43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</row>
    <row r="285" spans="1:54" x14ac:dyDescent="0.25">
      <c r="A285" s="42"/>
      <c r="B285" s="43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</row>
    <row r="286" spans="1:54" x14ac:dyDescent="0.25">
      <c r="A286" s="42"/>
      <c r="B286" s="43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</row>
    <row r="287" spans="1:54" x14ac:dyDescent="0.25">
      <c r="A287" s="42"/>
      <c r="B287" s="43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</row>
    <row r="288" spans="1:54" x14ac:dyDescent="0.25">
      <c r="A288" s="42"/>
      <c r="B288" s="43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</row>
    <row r="289" spans="1:54" x14ac:dyDescent="0.25">
      <c r="A289" s="42"/>
      <c r="B289" s="43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</row>
    <row r="290" spans="1:54" x14ac:dyDescent="0.25">
      <c r="A290" s="42"/>
      <c r="B290" s="43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</row>
    <row r="291" spans="1:54" x14ac:dyDescent="0.25">
      <c r="A291" s="42"/>
      <c r="B291" s="43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</row>
    <row r="292" spans="1:54" x14ac:dyDescent="0.25">
      <c r="A292" s="42"/>
      <c r="B292" s="43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</row>
    <row r="293" spans="1:54" x14ac:dyDescent="0.25">
      <c r="A293" s="42"/>
      <c r="B293" s="43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</row>
    <row r="294" spans="1:54" x14ac:dyDescent="0.25">
      <c r="A294" s="42"/>
      <c r="B294" s="43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</row>
    <row r="295" spans="1:54" x14ac:dyDescent="0.25">
      <c r="A295" s="42"/>
      <c r="B295" s="43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</row>
    <row r="296" spans="1:54" x14ac:dyDescent="0.25">
      <c r="A296" s="42"/>
      <c r="B296" s="43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</row>
    <row r="297" spans="1:54" x14ac:dyDescent="0.25">
      <c r="A297" s="42"/>
      <c r="B297" s="43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</row>
    <row r="298" spans="1:54" x14ac:dyDescent="0.25">
      <c r="A298" s="42"/>
      <c r="B298" s="43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</row>
    <row r="299" spans="1:54" x14ac:dyDescent="0.25">
      <c r="A299" s="42"/>
      <c r="B299" s="43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</row>
    <row r="300" spans="1:54" x14ac:dyDescent="0.25">
      <c r="A300" s="42"/>
      <c r="B300" s="43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</row>
    <row r="301" spans="1:54" x14ac:dyDescent="0.25">
      <c r="A301" s="42"/>
      <c r="B301" s="43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</row>
    <row r="302" spans="1:54" x14ac:dyDescent="0.25">
      <c r="A302" s="42"/>
      <c r="B302" s="43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</row>
    <row r="303" spans="1:54" x14ac:dyDescent="0.25">
      <c r="A303" s="42"/>
      <c r="B303" s="43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</row>
    <row r="304" spans="1:54" x14ac:dyDescent="0.25">
      <c r="A304" s="42"/>
      <c r="B304" s="43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</row>
    <row r="305" spans="1:54" x14ac:dyDescent="0.25">
      <c r="A305" s="42"/>
      <c r="B305" s="43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</row>
    <row r="306" spans="1:54" x14ac:dyDescent="0.25">
      <c r="A306" s="42"/>
      <c r="B306" s="43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</row>
    <row r="307" spans="1:54" x14ac:dyDescent="0.25">
      <c r="A307" s="42"/>
      <c r="B307" s="43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</row>
    <row r="308" spans="1:54" x14ac:dyDescent="0.25">
      <c r="A308" s="42"/>
      <c r="B308" s="43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</row>
    <row r="309" spans="1:54" x14ac:dyDescent="0.25">
      <c r="A309" s="42"/>
      <c r="B309" s="43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</row>
    <row r="310" spans="1:54" x14ac:dyDescent="0.25">
      <c r="A310" s="42"/>
      <c r="B310" s="43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</row>
    <row r="311" spans="1:54" x14ac:dyDescent="0.25">
      <c r="A311" s="42"/>
      <c r="B311" s="43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</row>
    <row r="312" spans="1:54" x14ac:dyDescent="0.25">
      <c r="A312" s="42"/>
      <c r="B312" s="43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</row>
    <row r="313" spans="1:54" x14ac:dyDescent="0.25">
      <c r="A313" s="42"/>
      <c r="B313" s="43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</row>
    <row r="314" spans="1:54" x14ac:dyDescent="0.25">
      <c r="A314" s="42"/>
      <c r="B314" s="43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</row>
    <row r="315" spans="1:54" x14ac:dyDescent="0.25">
      <c r="A315" s="42"/>
      <c r="B315" s="43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</row>
    <row r="316" spans="1:54" x14ac:dyDescent="0.25">
      <c r="A316" s="42"/>
      <c r="B316" s="43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</row>
    <row r="317" spans="1:54" x14ac:dyDescent="0.25">
      <c r="A317" s="42"/>
      <c r="B317" s="43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</row>
    <row r="318" spans="1:54" x14ac:dyDescent="0.25">
      <c r="A318" s="42"/>
      <c r="B318" s="43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</row>
    <row r="319" spans="1:54" x14ac:dyDescent="0.25">
      <c r="A319" s="42"/>
      <c r="B319" s="43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</row>
    <row r="320" spans="1:54" x14ac:dyDescent="0.25">
      <c r="A320" s="42"/>
      <c r="B320" s="43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</row>
    <row r="321" spans="1:54" x14ac:dyDescent="0.25">
      <c r="A321" s="42"/>
      <c r="B321" s="43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</row>
    <row r="322" spans="1:54" x14ac:dyDescent="0.25">
      <c r="A322" s="42"/>
      <c r="B322" s="43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</row>
    <row r="323" spans="1:54" x14ac:dyDescent="0.25">
      <c r="A323" s="42"/>
      <c r="B323" s="43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</row>
    <row r="324" spans="1:54" x14ac:dyDescent="0.25">
      <c r="A324" s="42"/>
      <c r="B324" s="43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</row>
    <row r="325" spans="1:54" x14ac:dyDescent="0.25">
      <c r="A325" s="42"/>
      <c r="B325" s="43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</row>
    <row r="326" spans="1:54" x14ac:dyDescent="0.25">
      <c r="A326" s="42"/>
      <c r="B326" s="43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</row>
    <row r="327" spans="1:54" x14ac:dyDescent="0.25">
      <c r="A327" s="42"/>
      <c r="B327" s="43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</row>
    <row r="328" spans="1:54" x14ac:dyDescent="0.25">
      <c r="A328" s="42"/>
      <c r="B328" s="43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</row>
    <row r="329" spans="1:54" x14ac:dyDescent="0.25">
      <c r="A329" s="42"/>
      <c r="B329" s="43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</row>
    <row r="330" spans="1:54" x14ac:dyDescent="0.25">
      <c r="A330" s="42"/>
      <c r="B330" s="43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</row>
    <row r="331" spans="1:54" x14ac:dyDescent="0.25">
      <c r="A331" s="42"/>
      <c r="B331" s="43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</row>
    <row r="332" spans="1:54" x14ac:dyDescent="0.25">
      <c r="A332" s="42"/>
      <c r="B332" s="43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</row>
    <row r="333" spans="1:54" x14ac:dyDescent="0.25">
      <c r="A333" s="42"/>
      <c r="B333" s="43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</row>
    <row r="334" spans="1:54" x14ac:dyDescent="0.25">
      <c r="A334" s="42"/>
      <c r="B334" s="43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</row>
    <row r="335" spans="1:54" x14ac:dyDescent="0.25">
      <c r="A335" s="42"/>
      <c r="B335" s="43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</row>
    <row r="336" spans="1:54" x14ac:dyDescent="0.25">
      <c r="A336" s="42"/>
      <c r="B336" s="43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</row>
    <row r="337" spans="1:54" x14ac:dyDescent="0.25">
      <c r="A337" s="42"/>
      <c r="B337" s="43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</row>
    <row r="338" spans="1:54" x14ac:dyDescent="0.25">
      <c r="A338" s="42"/>
      <c r="B338" s="43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</row>
    <row r="339" spans="1:54" x14ac:dyDescent="0.25">
      <c r="A339" s="42"/>
      <c r="B339" s="43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</row>
    <row r="340" spans="1:54" x14ac:dyDescent="0.25">
      <c r="A340" s="42"/>
      <c r="B340" s="43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</row>
    <row r="341" spans="1:54" x14ac:dyDescent="0.25">
      <c r="A341" s="42"/>
      <c r="B341" s="43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</row>
    <row r="342" spans="1:54" x14ac:dyDescent="0.25">
      <c r="A342" s="42"/>
      <c r="B342" s="43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</row>
    <row r="343" spans="1:54" x14ac:dyDescent="0.25">
      <c r="A343" s="42"/>
      <c r="B343" s="43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</row>
    <row r="344" spans="1:54" x14ac:dyDescent="0.25">
      <c r="A344" s="42"/>
      <c r="B344" s="43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</row>
    <row r="345" spans="1:54" x14ac:dyDescent="0.25">
      <c r="A345" s="42"/>
      <c r="B345" s="43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</row>
    <row r="346" spans="1:54" x14ac:dyDescent="0.25">
      <c r="A346" s="42"/>
      <c r="B346" s="43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</row>
    <row r="347" spans="1:54" x14ac:dyDescent="0.25">
      <c r="A347" s="42"/>
      <c r="B347" s="43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</row>
    <row r="348" spans="1:54" x14ac:dyDescent="0.25">
      <c r="A348" s="42"/>
      <c r="B348" s="43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</row>
    <row r="349" spans="1:54" x14ac:dyDescent="0.25">
      <c r="A349" s="42"/>
      <c r="B349" s="43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</row>
    <row r="350" spans="1:54" x14ac:dyDescent="0.25">
      <c r="A350" s="42"/>
      <c r="B350" s="43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</row>
    <row r="351" spans="1:54" x14ac:dyDescent="0.25">
      <c r="A351" s="42"/>
      <c r="B351" s="43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</row>
    <row r="352" spans="1:54" x14ac:dyDescent="0.25">
      <c r="A352" s="42"/>
      <c r="B352" s="43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</row>
    <row r="353" spans="1:54" x14ac:dyDescent="0.25">
      <c r="A353" s="42"/>
      <c r="B353" s="43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</row>
    <row r="354" spans="1:54" x14ac:dyDescent="0.25">
      <c r="A354" s="42"/>
      <c r="B354" s="43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</row>
    <row r="355" spans="1:54" x14ac:dyDescent="0.25">
      <c r="A355" s="42"/>
      <c r="B355" s="43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</row>
    <row r="356" spans="1:54" x14ac:dyDescent="0.25">
      <c r="A356" s="42"/>
      <c r="B356" s="43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</row>
    <row r="357" spans="1:54" x14ac:dyDescent="0.25">
      <c r="A357" s="42"/>
      <c r="B357" s="43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</row>
    <row r="358" spans="1:54" x14ac:dyDescent="0.25">
      <c r="A358" s="42"/>
      <c r="B358" s="43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</row>
    <row r="359" spans="1:54" x14ac:dyDescent="0.25">
      <c r="A359" s="42"/>
      <c r="B359" s="43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</row>
    <row r="360" spans="1:54" x14ac:dyDescent="0.25">
      <c r="A360" s="42"/>
      <c r="B360" s="43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</row>
    <row r="361" spans="1:54" x14ac:dyDescent="0.25">
      <c r="A361" s="42"/>
      <c r="B361" s="43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</row>
    <row r="362" spans="1:54" x14ac:dyDescent="0.25">
      <c r="A362" s="42"/>
      <c r="B362" s="43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</row>
    <row r="363" spans="1:54" x14ac:dyDescent="0.25">
      <c r="A363" s="42"/>
      <c r="B363" s="43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</row>
    <row r="364" spans="1:54" x14ac:dyDescent="0.25">
      <c r="A364" s="42"/>
      <c r="B364" s="43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</row>
    <row r="365" spans="1:54" x14ac:dyDescent="0.25">
      <c r="A365" s="42"/>
      <c r="B365" s="43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</row>
    <row r="366" spans="1:54" x14ac:dyDescent="0.25">
      <c r="A366" s="42"/>
      <c r="B366" s="43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</row>
    <row r="367" spans="1:54" x14ac:dyDescent="0.25">
      <c r="A367" s="42"/>
      <c r="B367" s="43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</row>
    <row r="368" spans="1:54" x14ac:dyDescent="0.25">
      <c r="A368" s="42"/>
      <c r="B368" s="43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</row>
    <row r="369" spans="1:54" x14ac:dyDescent="0.25">
      <c r="A369" s="42"/>
      <c r="B369" s="43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</row>
    <row r="370" spans="1:54" x14ac:dyDescent="0.25">
      <c r="A370" s="42"/>
      <c r="B370" s="43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</row>
    <row r="371" spans="1:54" x14ac:dyDescent="0.25">
      <c r="A371" s="42"/>
      <c r="B371" s="43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</row>
    <row r="372" spans="1:54" x14ac:dyDescent="0.25">
      <c r="A372" s="42"/>
      <c r="B372" s="43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</row>
    <row r="373" spans="1:54" x14ac:dyDescent="0.25">
      <c r="A373" s="42"/>
      <c r="B373" s="43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</row>
    <row r="374" spans="1:54" x14ac:dyDescent="0.25">
      <c r="A374" s="42"/>
      <c r="B374" s="43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</row>
    <row r="375" spans="1:54" x14ac:dyDescent="0.25">
      <c r="A375" s="42"/>
      <c r="B375" s="43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</row>
    <row r="376" spans="1:54" x14ac:dyDescent="0.25">
      <c r="A376" s="42"/>
      <c r="B376" s="43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</row>
    <row r="377" spans="1:54" x14ac:dyDescent="0.25">
      <c r="A377" s="42"/>
      <c r="B377" s="43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</row>
    <row r="378" spans="1:54" x14ac:dyDescent="0.25">
      <c r="A378" s="42"/>
      <c r="B378" s="43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</row>
    <row r="379" spans="1:54" x14ac:dyDescent="0.25">
      <c r="A379" s="42"/>
      <c r="B379" s="43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</row>
    <row r="380" spans="1:54" x14ac:dyDescent="0.25">
      <c r="A380" s="42"/>
      <c r="B380" s="43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</row>
    <row r="381" spans="1:54" x14ac:dyDescent="0.25">
      <c r="A381" s="42"/>
      <c r="B381" s="43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</row>
    <row r="382" spans="1:54" x14ac:dyDescent="0.25">
      <c r="A382" s="42"/>
      <c r="B382" s="43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</row>
    <row r="383" spans="1:54" x14ac:dyDescent="0.25">
      <c r="A383" s="42"/>
      <c r="B383" s="43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</row>
    <row r="384" spans="1:54" x14ac:dyDescent="0.25">
      <c r="A384" s="42"/>
      <c r="B384" s="43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</row>
    <row r="385" spans="1:54" x14ac:dyDescent="0.25">
      <c r="A385" s="42"/>
      <c r="B385" s="43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</row>
    <row r="386" spans="1:54" x14ac:dyDescent="0.25">
      <c r="A386" s="42"/>
      <c r="B386" s="43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</row>
    <row r="387" spans="1:54" x14ac:dyDescent="0.25">
      <c r="A387" s="42"/>
      <c r="B387" s="43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</row>
    <row r="388" spans="1:54" x14ac:dyDescent="0.25">
      <c r="A388" s="42"/>
      <c r="B388" s="43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</row>
    <row r="389" spans="1:54" x14ac:dyDescent="0.25">
      <c r="A389" s="42"/>
      <c r="B389" s="43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</row>
    <row r="390" spans="1:54" x14ac:dyDescent="0.25">
      <c r="A390" s="42"/>
      <c r="B390" s="43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</row>
    <row r="391" spans="1:54" x14ac:dyDescent="0.25">
      <c r="A391" s="42"/>
      <c r="B391" s="43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</row>
    <row r="392" spans="1:54" x14ac:dyDescent="0.25">
      <c r="A392" s="42"/>
      <c r="B392" s="43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</row>
    <row r="393" spans="1:54" x14ac:dyDescent="0.25">
      <c r="A393" s="42"/>
      <c r="B393" s="43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</row>
    <row r="394" spans="1:54" x14ac:dyDescent="0.25">
      <c r="A394" s="42"/>
      <c r="B394" s="43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</row>
    <row r="395" spans="1:54" x14ac:dyDescent="0.25">
      <c r="A395" s="42"/>
      <c r="B395" s="43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</row>
    <row r="396" spans="1:54" x14ac:dyDescent="0.25">
      <c r="A396" s="42"/>
      <c r="B396" s="43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</row>
    <row r="397" spans="1:54" x14ac:dyDescent="0.25">
      <c r="A397" s="42"/>
      <c r="B397" s="43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</row>
    <row r="398" spans="1:54" x14ac:dyDescent="0.25">
      <c r="A398" s="42"/>
      <c r="B398" s="43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</row>
    <row r="399" spans="1:54" x14ac:dyDescent="0.25">
      <c r="A399" s="42"/>
      <c r="B399" s="43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</row>
    <row r="400" spans="1:54" x14ac:dyDescent="0.25">
      <c r="A400" s="42"/>
      <c r="B400" s="43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</row>
    <row r="401" spans="1:54" x14ac:dyDescent="0.25">
      <c r="A401" s="42"/>
      <c r="B401" s="43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</row>
    <row r="402" spans="1:54" x14ac:dyDescent="0.25">
      <c r="A402" s="42"/>
      <c r="B402" s="43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</row>
    <row r="403" spans="1:54" x14ac:dyDescent="0.25">
      <c r="A403" s="42"/>
      <c r="B403" s="43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</row>
    <row r="404" spans="1:54" x14ac:dyDescent="0.25">
      <c r="A404" s="42"/>
      <c r="B404" s="43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</row>
    <row r="405" spans="1:54" x14ac:dyDescent="0.25">
      <c r="A405" s="42"/>
      <c r="B405" s="43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</row>
    <row r="406" spans="1:54" x14ac:dyDescent="0.25">
      <c r="A406" s="42"/>
      <c r="B406" s="43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</row>
    <row r="407" spans="1:54" x14ac:dyDescent="0.25">
      <c r="A407" s="42"/>
      <c r="B407" s="43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</row>
    <row r="408" spans="1:54" x14ac:dyDescent="0.25">
      <c r="A408" s="42"/>
      <c r="B408" s="43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</row>
    <row r="409" spans="1:54" x14ac:dyDescent="0.25">
      <c r="A409" s="42"/>
      <c r="B409" s="43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</row>
    <row r="410" spans="1:54" x14ac:dyDescent="0.25">
      <c r="A410" s="42"/>
      <c r="B410" s="43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</row>
    <row r="411" spans="1:54" x14ac:dyDescent="0.25">
      <c r="A411" s="42"/>
      <c r="B411" s="43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</row>
    <row r="412" spans="1:54" x14ac:dyDescent="0.25">
      <c r="A412" s="42"/>
      <c r="B412" s="43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</row>
    <row r="413" spans="1:54" x14ac:dyDescent="0.25">
      <c r="A413" s="42"/>
      <c r="B413" s="43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</row>
    <row r="414" spans="1:54" x14ac:dyDescent="0.25">
      <c r="A414" s="42"/>
      <c r="B414" s="43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</row>
    <row r="415" spans="1:54" x14ac:dyDescent="0.25">
      <c r="A415" s="42"/>
      <c r="B415" s="43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</row>
    <row r="416" spans="1:54" x14ac:dyDescent="0.25">
      <c r="A416" s="42"/>
      <c r="B416" s="43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</row>
    <row r="417" spans="1:54" x14ac:dyDescent="0.25">
      <c r="A417" s="42"/>
      <c r="B417" s="43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</row>
    <row r="418" spans="1:54" x14ac:dyDescent="0.25">
      <c r="A418" s="42"/>
      <c r="B418" s="43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</row>
    <row r="419" spans="1:54" x14ac:dyDescent="0.25">
      <c r="A419" s="42"/>
      <c r="B419" s="43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</row>
    <row r="420" spans="1:54" x14ac:dyDescent="0.25">
      <c r="A420" s="42"/>
      <c r="B420" s="43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</row>
    <row r="421" spans="1:54" x14ac:dyDescent="0.25">
      <c r="A421" s="42"/>
      <c r="B421" s="43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</row>
    <row r="422" spans="1:54" x14ac:dyDescent="0.25">
      <c r="A422" s="42"/>
      <c r="B422" s="43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</row>
    <row r="423" spans="1:54" x14ac:dyDescent="0.25">
      <c r="A423" s="42"/>
      <c r="B423" s="43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</row>
    <row r="424" spans="1:54" x14ac:dyDescent="0.25">
      <c r="A424" s="42"/>
      <c r="B424" s="43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</row>
    <row r="425" spans="1:54" x14ac:dyDescent="0.25">
      <c r="A425" s="42"/>
      <c r="B425" s="43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</row>
    <row r="426" spans="1:54" x14ac:dyDescent="0.25">
      <c r="A426" s="42"/>
      <c r="B426" s="43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</row>
    <row r="427" spans="1:54" x14ac:dyDescent="0.25">
      <c r="A427" s="42"/>
      <c r="B427" s="43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</row>
    <row r="428" spans="1:54" x14ac:dyDescent="0.25">
      <c r="A428" s="42"/>
      <c r="B428" s="43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</row>
    <row r="429" spans="1:54" x14ac:dyDescent="0.25">
      <c r="A429" s="42"/>
      <c r="B429" s="43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</row>
    <row r="430" spans="1:54" x14ac:dyDescent="0.25">
      <c r="A430" s="42"/>
      <c r="B430" s="43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</row>
    <row r="431" spans="1:54" x14ac:dyDescent="0.25">
      <c r="A431" s="42"/>
      <c r="B431" s="43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</row>
    <row r="432" spans="1:54" x14ac:dyDescent="0.25">
      <c r="A432" s="42"/>
      <c r="B432" s="43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</row>
    <row r="433" spans="1:54" x14ac:dyDescent="0.25">
      <c r="A433" s="42"/>
      <c r="B433" s="43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</row>
    <row r="434" spans="1:54" x14ac:dyDescent="0.25">
      <c r="A434" s="42"/>
      <c r="B434" s="43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</row>
    <row r="435" spans="1:54" x14ac:dyDescent="0.25">
      <c r="A435" s="42"/>
      <c r="B435" s="43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</row>
    <row r="436" spans="1:54" x14ac:dyDescent="0.25">
      <c r="A436" s="42"/>
      <c r="B436" s="43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</row>
    <row r="437" spans="1:54" x14ac:dyDescent="0.25">
      <c r="A437" s="42"/>
      <c r="B437" s="43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</row>
    <row r="438" spans="1:54" x14ac:dyDescent="0.25">
      <c r="A438" s="42"/>
      <c r="B438" s="43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</row>
    <row r="439" spans="1:54" x14ac:dyDescent="0.25">
      <c r="A439" s="42"/>
      <c r="B439" s="43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</row>
    <row r="440" spans="1:54" x14ac:dyDescent="0.25">
      <c r="A440" s="42"/>
      <c r="B440" s="43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</row>
    <row r="441" spans="1:54" x14ac:dyDescent="0.25">
      <c r="A441" s="42"/>
      <c r="B441" s="43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</row>
    <row r="442" spans="1:54" x14ac:dyDescent="0.25">
      <c r="A442" s="42"/>
      <c r="B442" s="43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</row>
    <row r="443" spans="1:54" x14ac:dyDescent="0.25">
      <c r="A443" s="42"/>
      <c r="B443" s="43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</row>
    <row r="444" spans="1:54" x14ac:dyDescent="0.25">
      <c r="A444" s="42"/>
      <c r="B444" s="43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</row>
    <row r="445" spans="1:54" x14ac:dyDescent="0.25">
      <c r="A445" s="42"/>
      <c r="B445" s="43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</row>
    <row r="446" spans="1:54" x14ac:dyDescent="0.25">
      <c r="A446" s="42"/>
      <c r="B446" s="43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</row>
    <row r="447" spans="1:54" x14ac:dyDescent="0.25">
      <c r="A447" s="42"/>
      <c r="B447" s="43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</row>
    <row r="448" spans="1:54" x14ac:dyDescent="0.25">
      <c r="A448" s="42"/>
      <c r="B448" s="43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</row>
    <row r="449" spans="1:54" x14ac:dyDescent="0.25">
      <c r="A449" s="42"/>
      <c r="B449" s="43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</row>
    <row r="450" spans="1:54" x14ac:dyDescent="0.25">
      <c r="A450" s="42"/>
      <c r="B450" s="43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</row>
    <row r="451" spans="1:54" x14ac:dyDescent="0.25">
      <c r="A451" s="42"/>
      <c r="B451" s="43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</row>
    <row r="452" spans="1:54" x14ac:dyDescent="0.25">
      <c r="A452" s="42"/>
      <c r="B452" s="43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</row>
    <row r="453" spans="1:54" x14ac:dyDescent="0.25">
      <c r="A453" s="42"/>
      <c r="B453" s="43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</row>
    <row r="454" spans="1:54" x14ac:dyDescent="0.25">
      <c r="A454" s="42"/>
      <c r="B454" s="43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</row>
    <row r="455" spans="1:54" x14ac:dyDescent="0.25">
      <c r="A455" s="42"/>
      <c r="B455" s="43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</row>
    <row r="456" spans="1:54" x14ac:dyDescent="0.25">
      <c r="A456" s="42"/>
      <c r="B456" s="43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</row>
    <row r="457" spans="1:54" x14ac:dyDescent="0.25">
      <c r="A457" s="42"/>
      <c r="B457" s="43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</row>
    <row r="458" spans="1:54" x14ac:dyDescent="0.25">
      <c r="A458" s="42"/>
      <c r="B458" s="43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</row>
    <row r="459" spans="1:54" x14ac:dyDescent="0.25">
      <c r="A459" s="42"/>
      <c r="B459" s="43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</row>
    <row r="460" spans="1:54" x14ac:dyDescent="0.25">
      <c r="A460" s="42"/>
      <c r="B460" s="43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</row>
    <row r="461" spans="1:54" x14ac:dyDescent="0.25">
      <c r="A461" s="42"/>
      <c r="B461" s="43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</row>
    <row r="462" spans="1:54" x14ac:dyDescent="0.25">
      <c r="A462" s="42"/>
      <c r="B462" s="43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</row>
    <row r="463" spans="1:54" x14ac:dyDescent="0.25">
      <c r="A463" s="42"/>
      <c r="B463" s="43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</row>
    <row r="464" spans="1:54" x14ac:dyDescent="0.25">
      <c r="A464" s="42"/>
      <c r="B464" s="43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</row>
    <row r="465" spans="1:54" x14ac:dyDescent="0.25">
      <c r="A465" s="42"/>
      <c r="B465" s="43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</row>
    <row r="466" spans="1:54" x14ac:dyDescent="0.25">
      <c r="A466" s="42"/>
      <c r="B466" s="43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</row>
    <row r="467" spans="1:54" x14ac:dyDescent="0.25">
      <c r="A467" s="42"/>
      <c r="B467" s="43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</row>
    <row r="468" spans="1:54" x14ac:dyDescent="0.25">
      <c r="A468" s="42"/>
      <c r="B468" s="43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</row>
    <row r="469" spans="1:54" x14ac:dyDescent="0.25">
      <c r="A469" s="42"/>
      <c r="B469" s="43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</row>
    <row r="470" spans="1:54" x14ac:dyDescent="0.25">
      <c r="A470" s="42"/>
      <c r="B470" s="43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</row>
    <row r="471" spans="1:54" x14ac:dyDescent="0.25">
      <c r="A471" s="42"/>
      <c r="B471" s="43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</row>
    <row r="472" spans="1:54" x14ac:dyDescent="0.25">
      <c r="A472" s="42"/>
      <c r="B472" s="43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</row>
    <row r="473" spans="1:54" x14ac:dyDescent="0.25">
      <c r="A473" s="42"/>
      <c r="B473" s="43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</row>
    <row r="474" spans="1:54" x14ac:dyDescent="0.25">
      <c r="A474" s="42"/>
      <c r="B474" s="43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</row>
    <row r="475" spans="1:54" x14ac:dyDescent="0.25">
      <c r="A475" s="42"/>
      <c r="B475" s="43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</row>
    <row r="476" spans="1:54" x14ac:dyDescent="0.25">
      <c r="A476" s="42"/>
      <c r="B476" s="43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</row>
    <row r="477" spans="1:54" x14ac:dyDescent="0.25">
      <c r="A477" s="42"/>
      <c r="B477" s="43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</row>
    <row r="478" spans="1:54" x14ac:dyDescent="0.25">
      <c r="A478" s="42"/>
      <c r="B478" s="43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</row>
    <row r="479" spans="1:54" x14ac:dyDescent="0.25">
      <c r="A479" s="42"/>
      <c r="B479" s="43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</row>
    <row r="480" spans="1:54" x14ac:dyDescent="0.25">
      <c r="A480" s="42"/>
      <c r="B480" s="43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</row>
    <row r="481" spans="1:54" x14ac:dyDescent="0.25">
      <c r="A481" s="42"/>
      <c r="B481" s="43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</row>
    <row r="482" spans="1:54" x14ac:dyDescent="0.25">
      <c r="A482" s="42"/>
      <c r="B482" s="43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</row>
    <row r="483" spans="1:54" x14ac:dyDescent="0.25">
      <c r="A483" s="42"/>
      <c r="B483" s="43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</row>
    <row r="484" spans="1:54" x14ac:dyDescent="0.25">
      <c r="A484" s="42"/>
      <c r="B484" s="43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</row>
    <row r="485" spans="1:54" x14ac:dyDescent="0.25">
      <c r="A485" s="42"/>
      <c r="B485" s="43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</row>
    <row r="486" spans="1:54" x14ac:dyDescent="0.25">
      <c r="A486" s="42"/>
      <c r="B486" s="43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</row>
    <row r="487" spans="1:54" x14ac:dyDescent="0.25">
      <c r="A487" s="42"/>
      <c r="B487" s="43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</row>
    <row r="488" spans="1:54" x14ac:dyDescent="0.25">
      <c r="A488" s="42"/>
      <c r="B488" s="43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</row>
    <row r="489" spans="1:54" x14ac:dyDescent="0.25">
      <c r="A489" s="42"/>
      <c r="B489" s="43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</row>
    <row r="490" spans="1:54" x14ac:dyDescent="0.25">
      <c r="A490" s="42"/>
      <c r="B490" s="43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</row>
    <row r="491" spans="1:54" x14ac:dyDescent="0.25">
      <c r="A491" s="42"/>
      <c r="B491" s="43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</row>
    <row r="492" spans="1:54" x14ac:dyDescent="0.25">
      <c r="A492" s="42"/>
      <c r="B492" s="43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</row>
    <row r="493" spans="1:54" x14ac:dyDescent="0.25">
      <c r="A493" s="42"/>
      <c r="B493" s="43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</row>
    <row r="494" spans="1:54" x14ac:dyDescent="0.25">
      <c r="A494" s="42"/>
      <c r="B494" s="43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</row>
    <row r="495" spans="1:54" x14ac:dyDescent="0.25">
      <c r="A495" s="42"/>
      <c r="B495" s="43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</row>
    <row r="496" spans="1:54" x14ac:dyDescent="0.25">
      <c r="A496" s="42"/>
      <c r="B496" s="43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</row>
    <row r="497" spans="1:54" x14ac:dyDescent="0.25">
      <c r="A497" s="42"/>
      <c r="B497" s="43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</row>
    <row r="498" spans="1:54" x14ac:dyDescent="0.25">
      <c r="A498" s="42"/>
      <c r="B498" s="43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</row>
    <row r="499" spans="1:54" x14ac:dyDescent="0.25">
      <c r="A499" s="42"/>
      <c r="B499" s="43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</row>
    <row r="500" spans="1:54" x14ac:dyDescent="0.25">
      <c r="A500" s="42"/>
      <c r="B500" s="43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</row>
    <row r="501" spans="1:54" x14ac:dyDescent="0.25">
      <c r="A501" s="42"/>
      <c r="B501" s="43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</row>
    <row r="502" spans="1:54" x14ac:dyDescent="0.25">
      <c r="A502" s="42"/>
      <c r="B502" s="43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</row>
    <row r="503" spans="1:54" x14ac:dyDescent="0.25">
      <c r="A503" s="42"/>
      <c r="B503" s="43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</row>
    <row r="504" spans="1:54" x14ac:dyDescent="0.25">
      <c r="A504" s="42"/>
      <c r="B504" s="43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</row>
    <row r="505" spans="1:54" x14ac:dyDescent="0.25">
      <c r="A505" s="42"/>
      <c r="B505" s="43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</row>
    <row r="506" spans="1:54" x14ac:dyDescent="0.25">
      <c r="A506" s="42"/>
      <c r="B506" s="43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</row>
    <row r="507" spans="1:54" x14ac:dyDescent="0.25">
      <c r="A507" s="42"/>
      <c r="B507" s="43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</row>
    <row r="508" spans="1:54" x14ac:dyDescent="0.25">
      <c r="A508" s="42"/>
      <c r="B508" s="43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</row>
    <row r="509" spans="1:54" x14ac:dyDescent="0.25">
      <c r="A509" s="42"/>
      <c r="B509" s="43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</row>
    <row r="510" spans="1:54" x14ac:dyDescent="0.25">
      <c r="A510" s="42"/>
      <c r="B510" s="43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</row>
    <row r="511" spans="1:54" x14ac:dyDescent="0.25">
      <c r="A511" s="42"/>
      <c r="B511" s="43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</row>
    <row r="512" spans="1:54" x14ac:dyDescent="0.25">
      <c r="A512" s="42"/>
      <c r="B512" s="43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</row>
    <row r="513" spans="1:54" x14ac:dyDescent="0.25">
      <c r="A513" s="42"/>
      <c r="B513" s="43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</row>
    <row r="514" spans="1:54" x14ac:dyDescent="0.25">
      <c r="A514" s="42"/>
      <c r="B514" s="43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</row>
    <row r="515" spans="1:54" x14ac:dyDescent="0.25">
      <c r="A515" s="42"/>
      <c r="B515" s="43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</row>
    <row r="516" spans="1:54" x14ac:dyDescent="0.25">
      <c r="A516" s="42"/>
      <c r="B516" s="43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</row>
    <row r="517" spans="1:54" x14ac:dyDescent="0.25">
      <c r="A517" s="42"/>
      <c r="B517" s="43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</row>
    <row r="518" spans="1:54" x14ac:dyDescent="0.25">
      <c r="A518" s="42"/>
      <c r="B518" s="43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</row>
    <row r="519" spans="1:54" x14ac:dyDescent="0.25">
      <c r="A519" s="42"/>
      <c r="B519" s="43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</row>
    <row r="520" spans="1:54" x14ac:dyDescent="0.25">
      <c r="A520" s="42"/>
      <c r="B520" s="43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</row>
    <row r="521" spans="1:54" x14ac:dyDescent="0.25">
      <c r="A521" s="42"/>
      <c r="B521" s="43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</row>
    <row r="522" spans="1:54" x14ac:dyDescent="0.25">
      <c r="A522" s="42"/>
      <c r="B522" s="43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</row>
    <row r="523" spans="1:54" x14ac:dyDescent="0.25">
      <c r="A523" s="42"/>
      <c r="B523" s="43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</row>
    <row r="524" spans="1:54" x14ac:dyDescent="0.25">
      <c r="A524" s="42"/>
      <c r="B524" s="43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</row>
    <row r="525" spans="1:54" x14ac:dyDescent="0.25">
      <c r="A525" s="42"/>
      <c r="B525" s="43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</row>
    <row r="526" spans="1:54" x14ac:dyDescent="0.25">
      <c r="A526" s="42"/>
      <c r="B526" s="43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</row>
    <row r="527" spans="1:54" x14ac:dyDescent="0.25">
      <c r="A527" s="42"/>
      <c r="B527" s="43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</row>
    <row r="528" spans="1:54" x14ac:dyDescent="0.25">
      <c r="A528" s="42"/>
      <c r="B528" s="43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</row>
    <row r="529" spans="1:54" x14ac:dyDescent="0.25">
      <c r="A529" s="42"/>
      <c r="B529" s="43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</row>
    <row r="530" spans="1:54" x14ac:dyDescent="0.25">
      <c r="A530" s="42"/>
      <c r="B530" s="43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</row>
    <row r="531" spans="1:54" x14ac:dyDescent="0.25">
      <c r="A531" s="42"/>
      <c r="B531" s="43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</row>
    <row r="532" spans="1:54" x14ac:dyDescent="0.25">
      <c r="A532" s="42"/>
      <c r="B532" s="43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</row>
    <row r="533" spans="1:54" x14ac:dyDescent="0.25">
      <c r="A533" s="42"/>
      <c r="B533" s="43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</row>
    <row r="534" spans="1:54" x14ac:dyDescent="0.25">
      <c r="A534" s="42"/>
      <c r="B534" s="43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</row>
    <row r="535" spans="1:54" x14ac:dyDescent="0.25">
      <c r="A535" s="42"/>
      <c r="B535" s="43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</row>
    <row r="536" spans="1:54" x14ac:dyDescent="0.25">
      <c r="A536" s="42"/>
      <c r="B536" s="43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</row>
    <row r="537" spans="1:54" x14ac:dyDescent="0.25">
      <c r="A537" s="42"/>
      <c r="B537" s="43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</row>
    <row r="538" spans="1:54" x14ac:dyDescent="0.25">
      <c r="A538" s="42"/>
      <c r="B538" s="43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</row>
    <row r="539" spans="1:54" x14ac:dyDescent="0.25">
      <c r="A539" s="42"/>
      <c r="B539" s="43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</row>
    <row r="540" spans="1:54" x14ac:dyDescent="0.25">
      <c r="A540" s="42"/>
      <c r="B540" s="43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</row>
    <row r="541" spans="1:54" x14ac:dyDescent="0.25">
      <c r="A541" s="42"/>
      <c r="B541" s="43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</row>
    <row r="542" spans="1:54" x14ac:dyDescent="0.25">
      <c r="A542" s="42"/>
      <c r="B542" s="43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</row>
    <row r="543" spans="1:54" x14ac:dyDescent="0.25">
      <c r="A543" s="42"/>
      <c r="B543" s="43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</row>
    <row r="544" spans="1:54" x14ac:dyDescent="0.25">
      <c r="A544" s="42"/>
      <c r="B544" s="43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</row>
    <row r="545" spans="1:54" x14ac:dyDescent="0.25">
      <c r="A545" s="42"/>
      <c r="B545" s="43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</row>
    <row r="546" spans="1:54" x14ac:dyDescent="0.25">
      <c r="A546" s="42"/>
      <c r="B546" s="43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</row>
    <row r="547" spans="1:54" x14ac:dyDescent="0.25">
      <c r="A547" s="42"/>
      <c r="B547" s="43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</row>
    <row r="548" spans="1:54" x14ac:dyDescent="0.25">
      <c r="A548" s="42"/>
      <c r="B548" s="43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</row>
    <row r="549" spans="1:54" x14ac:dyDescent="0.25">
      <c r="A549" s="42"/>
      <c r="B549" s="43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</row>
    <row r="550" spans="1:54" x14ac:dyDescent="0.25">
      <c r="A550" s="42"/>
      <c r="B550" s="43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</row>
    <row r="551" spans="1:54" x14ac:dyDescent="0.25">
      <c r="A551" s="42"/>
      <c r="B551" s="43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</row>
    <row r="552" spans="1:54" x14ac:dyDescent="0.25">
      <c r="A552" s="42"/>
      <c r="B552" s="43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</row>
    <row r="553" spans="1:54" x14ac:dyDescent="0.25">
      <c r="A553" s="42"/>
      <c r="B553" s="43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</row>
    <row r="554" spans="1:54" x14ac:dyDescent="0.25">
      <c r="A554" s="42"/>
      <c r="B554" s="43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</row>
    <row r="555" spans="1:54" x14ac:dyDescent="0.25">
      <c r="A555" s="42"/>
      <c r="B555" s="43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</row>
    <row r="556" spans="1:54" x14ac:dyDescent="0.25">
      <c r="A556" s="42"/>
      <c r="B556" s="43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</row>
    <row r="557" spans="1:54" x14ac:dyDescent="0.25">
      <c r="A557" s="42"/>
      <c r="B557" s="43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</row>
    <row r="558" spans="1:54" x14ac:dyDescent="0.25">
      <c r="A558" s="42"/>
      <c r="B558" s="43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</row>
    <row r="559" spans="1:54" x14ac:dyDescent="0.25">
      <c r="A559" s="42"/>
      <c r="B559" s="43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</row>
    <row r="560" spans="1:54" x14ac:dyDescent="0.25">
      <c r="A560" s="42"/>
      <c r="B560" s="43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</row>
    <row r="561" spans="1:54" x14ac:dyDescent="0.25">
      <c r="A561" s="42"/>
      <c r="B561" s="43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</row>
    <row r="562" spans="1:54" x14ac:dyDescent="0.25">
      <c r="A562" s="42"/>
      <c r="B562" s="43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</row>
    <row r="563" spans="1:54" x14ac:dyDescent="0.25">
      <c r="A563" s="42"/>
      <c r="B563" s="43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</row>
    <row r="564" spans="1:54" x14ac:dyDescent="0.25">
      <c r="A564" s="42"/>
      <c r="B564" s="43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</row>
    <row r="565" spans="1:54" x14ac:dyDescent="0.25">
      <c r="A565" s="42"/>
      <c r="B565" s="43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</row>
    <row r="566" spans="1:54" x14ac:dyDescent="0.25">
      <c r="A566" s="42"/>
      <c r="B566" s="43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</row>
    <row r="567" spans="1:54" x14ac:dyDescent="0.25">
      <c r="A567" s="42"/>
      <c r="B567" s="43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</row>
    <row r="568" spans="1:54" x14ac:dyDescent="0.25">
      <c r="A568" s="42"/>
      <c r="B568" s="43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</row>
    <row r="569" spans="1:54" x14ac:dyDescent="0.25">
      <c r="A569" s="42"/>
      <c r="B569" s="43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</row>
    <row r="570" spans="1:54" x14ac:dyDescent="0.25">
      <c r="A570" s="42"/>
      <c r="B570" s="43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</row>
    <row r="571" spans="1:54" x14ac:dyDescent="0.25">
      <c r="A571" s="42"/>
      <c r="B571" s="43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</row>
    <row r="572" spans="1:54" x14ac:dyDescent="0.25">
      <c r="A572" s="42"/>
      <c r="B572" s="43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</row>
    <row r="573" spans="1:54" x14ac:dyDescent="0.25">
      <c r="A573" s="42"/>
      <c r="B573" s="43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</row>
    <row r="574" spans="1:54" x14ac:dyDescent="0.25">
      <c r="A574" s="42"/>
      <c r="B574" s="43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</row>
    <row r="575" spans="1:54" x14ac:dyDescent="0.25">
      <c r="A575" s="42"/>
      <c r="B575" s="43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</row>
    <row r="576" spans="1:54" x14ac:dyDescent="0.25">
      <c r="A576" s="42"/>
      <c r="B576" s="43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</row>
    <row r="577" spans="1:54" x14ac:dyDescent="0.25">
      <c r="A577" s="42"/>
      <c r="B577" s="43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</row>
    <row r="578" spans="1:54" x14ac:dyDescent="0.25">
      <c r="A578" s="42"/>
      <c r="B578" s="43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</row>
    <row r="579" spans="1:54" x14ac:dyDescent="0.25">
      <c r="A579" s="42"/>
      <c r="B579" s="43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</row>
    <row r="580" spans="1:54" x14ac:dyDescent="0.25">
      <c r="A580" s="42"/>
      <c r="B580" s="43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</row>
    <row r="581" spans="1:54" x14ac:dyDescent="0.25">
      <c r="A581" s="42"/>
      <c r="B581" s="43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</row>
    <row r="582" spans="1:54" x14ac:dyDescent="0.25">
      <c r="A582" s="42"/>
      <c r="B582" s="43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</row>
    <row r="583" spans="1:54" x14ac:dyDescent="0.25">
      <c r="A583" s="42"/>
      <c r="B583" s="43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</row>
    <row r="584" spans="1:54" x14ac:dyDescent="0.25">
      <c r="A584" s="42"/>
      <c r="B584" s="43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</row>
    <row r="585" spans="1:54" x14ac:dyDescent="0.25">
      <c r="A585" s="42"/>
      <c r="B585" s="43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</row>
    <row r="586" spans="1:54" x14ac:dyDescent="0.25">
      <c r="A586" s="42"/>
      <c r="B586" s="43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</row>
    <row r="587" spans="1:54" x14ac:dyDescent="0.25">
      <c r="A587" s="42"/>
      <c r="B587" s="43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</row>
    <row r="588" spans="1:54" x14ac:dyDescent="0.25">
      <c r="A588" s="42"/>
      <c r="B588" s="43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</row>
    <row r="589" spans="1:54" x14ac:dyDescent="0.25">
      <c r="A589" s="42"/>
      <c r="B589" s="43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</row>
    <row r="590" spans="1:54" x14ac:dyDescent="0.25">
      <c r="A590" s="42"/>
      <c r="B590" s="43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</row>
    <row r="591" spans="1:54" x14ac:dyDescent="0.25">
      <c r="A591" s="42"/>
      <c r="B591" s="43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</row>
    <row r="592" spans="1:54" x14ac:dyDescent="0.25">
      <c r="A592" s="42"/>
      <c r="B592" s="43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</row>
    <row r="593" spans="1:54" x14ac:dyDescent="0.25">
      <c r="A593" s="42"/>
      <c r="B593" s="43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</row>
    <row r="594" spans="1:54" x14ac:dyDescent="0.25">
      <c r="A594" s="42"/>
      <c r="B594" s="43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</row>
    <row r="595" spans="1:54" x14ac:dyDescent="0.25">
      <c r="A595" s="42"/>
      <c r="B595" s="43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</row>
    <row r="596" spans="1:54" x14ac:dyDescent="0.25">
      <c r="A596" s="42"/>
      <c r="B596" s="43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</row>
    <row r="597" spans="1:54" x14ac:dyDescent="0.25">
      <c r="A597" s="42"/>
      <c r="B597" s="43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</row>
    <row r="598" spans="1:54" x14ac:dyDescent="0.25">
      <c r="A598" s="42"/>
      <c r="B598" s="43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</row>
    <row r="599" spans="1:54" x14ac:dyDescent="0.25">
      <c r="A599" s="42"/>
      <c r="B599" s="43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</row>
    <row r="600" spans="1:54" x14ac:dyDescent="0.25">
      <c r="A600" s="42"/>
      <c r="B600" s="43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</row>
    <row r="601" spans="1:54" x14ac:dyDescent="0.25">
      <c r="A601" s="42"/>
      <c r="B601" s="43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</row>
    <row r="602" spans="1:54" x14ac:dyDescent="0.25">
      <c r="A602" s="42"/>
      <c r="B602" s="43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</row>
    <row r="603" spans="1:54" x14ac:dyDescent="0.25">
      <c r="A603" s="42"/>
      <c r="B603" s="43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</row>
    <row r="604" spans="1:54" x14ac:dyDescent="0.25">
      <c r="A604" s="42"/>
      <c r="B604" s="43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</row>
    <row r="605" spans="1:54" x14ac:dyDescent="0.25">
      <c r="A605" s="42"/>
      <c r="B605" s="43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</row>
    <row r="606" spans="1:54" x14ac:dyDescent="0.25">
      <c r="A606" s="42"/>
      <c r="B606" s="43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</row>
    <row r="607" spans="1:54" x14ac:dyDescent="0.25">
      <c r="A607" s="42"/>
      <c r="B607" s="43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</row>
    <row r="608" spans="1:54" x14ac:dyDescent="0.25">
      <c r="A608" s="42"/>
      <c r="B608" s="43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</row>
    <row r="609" spans="1:54" x14ac:dyDescent="0.25">
      <c r="A609" s="42"/>
      <c r="B609" s="43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</row>
    <row r="610" spans="1:54" x14ac:dyDescent="0.25">
      <c r="A610" s="42"/>
      <c r="B610" s="43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</row>
    <row r="611" spans="1:54" x14ac:dyDescent="0.25">
      <c r="A611" s="42"/>
      <c r="B611" s="43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</row>
    <row r="612" spans="1:54" x14ac:dyDescent="0.25">
      <c r="A612" s="42"/>
      <c r="B612" s="43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</row>
    <row r="613" spans="1:54" x14ac:dyDescent="0.25">
      <c r="A613" s="42"/>
      <c r="B613" s="43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</row>
    <row r="614" spans="1:54" x14ac:dyDescent="0.25">
      <c r="A614" s="42"/>
      <c r="B614" s="43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</row>
    <row r="615" spans="1:54" x14ac:dyDescent="0.25">
      <c r="A615" s="42"/>
      <c r="B615" s="43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</row>
    <row r="616" spans="1:54" x14ac:dyDescent="0.25">
      <c r="A616" s="42"/>
      <c r="B616" s="43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</row>
    <row r="617" spans="1:54" x14ac:dyDescent="0.25">
      <c r="A617" s="42"/>
      <c r="B617" s="43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</row>
    <row r="618" spans="1:54" x14ac:dyDescent="0.25">
      <c r="A618" s="42"/>
      <c r="B618" s="43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</row>
    <row r="619" spans="1:54" x14ac:dyDescent="0.25">
      <c r="A619" s="42"/>
      <c r="B619" s="43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</row>
    <row r="620" spans="1:54" x14ac:dyDescent="0.25">
      <c r="A620" s="42"/>
      <c r="B620" s="43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</row>
    <row r="621" spans="1:54" x14ac:dyDescent="0.25">
      <c r="A621" s="42"/>
      <c r="B621" s="43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</row>
    <row r="622" spans="1:54" x14ac:dyDescent="0.25">
      <c r="A622" s="42"/>
      <c r="B622" s="43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</row>
    <row r="623" spans="1:54" x14ac:dyDescent="0.25">
      <c r="A623" s="42"/>
      <c r="B623" s="43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</row>
    <row r="624" spans="1:54" x14ac:dyDescent="0.25">
      <c r="A624" s="42"/>
      <c r="B624" s="43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</row>
    <row r="625" spans="1:54" x14ac:dyDescent="0.25">
      <c r="A625" s="42"/>
      <c r="B625" s="43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</row>
    <row r="626" spans="1:54" x14ac:dyDescent="0.25">
      <c r="A626" s="42"/>
      <c r="B626" s="43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</row>
    <row r="627" spans="1:54" x14ac:dyDescent="0.25">
      <c r="A627" s="42"/>
      <c r="B627" s="43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</row>
    <row r="628" spans="1:54" x14ac:dyDescent="0.25">
      <c r="A628" s="42"/>
      <c r="B628" s="43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</row>
    <row r="629" spans="1:54" x14ac:dyDescent="0.25">
      <c r="A629" s="42"/>
      <c r="B629" s="43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</row>
    <row r="630" spans="1:54" x14ac:dyDescent="0.25">
      <c r="A630" s="42"/>
      <c r="B630" s="43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</row>
    <row r="631" spans="1:54" x14ac:dyDescent="0.25">
      <c r="A631" s="42"/>
      <c r="B631" s="43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</row>
    <row r="632" spans="1:54" x14ac:dyDescent="0.25">
      <c r="A632" s="42"/>
      <c r="B632" s="43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</row>
    <row r="633" spans="1:54" x14ac:dyDescent="0.25">
      <c r="A633" s="42"/>
      <c r="B633" s="43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</row>
    <row r="634" spans="1:54" x14ac:dyDescent="0.25">
      <c r="A634" s="42"/>
      <c r="B634" s="43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</row>
    <row r="635" spans="1:54" x14ac:dyDescent="0.25">
      <c r="A635" s="42"/>
      <c r="B635" s="43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</row>
    <row r="636" spans="1:54" x14ac:dyDescent="0.25">
      <c r="A636" s="42"/>
      <c r="B636" s="43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</row>
    <row r="637" spans="1:54" x14ac:dyDescent="0.25">
      <c r="A637" s="42"/>
      <c r="B637" s="43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</row>
    <row r="638" spans="1:54" x14ac:dyDescent="0.25">
      <c r="A638" s="42"/>
      <c r="B638" s="43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</row>
    <row r="639" spans="1:54" x14ac:dyDescent="0.25">
      <c r="A639" s="42"/>
      <c r="B639" s="43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</row>
    <row r="640" spans="1:54" x14ac:dyDescent="0.25">
      <c r="A640" s="42"/>
      <c r="B640" s="43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</row>
    <row r="641" spans="1:54" x14ac:dyDescent="0.25">
      <c r="A641" s="42"/>
      <c r="B641" s="43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</row>
    <row r="642" spans="1:54" x14ac:dyDescent="0.25">
      <c r="A642" s="42"/>
      <c r="B642" s="43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</row>
    <row r="643" spans="1:54" x14ac:dyDescent="0.25">
      <c r="A643" s="42"/>
      <c r="B643" s="43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</row>
    <row r="644" spans="1:54" x14ac:dyDescent="0.25">
      <c r="A644" s="42"/>
      <c r="B644" s="43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</row>
    <row r="645" spans="1:54" x14ac:dyDescent="0.25">
      <c r="A645" s="42"/>
      <c r="B645" s="43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</row>
    <row r="646" spans="1:54" x14ac:dyDescent="0.25">
      <c r="A646" s="42"/>
      <c r="B646" s="43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</row>
    <row r="647" spans="1:54" x14ac:dyDescent="0.25">
      <c r="A647" s="42"/>
      <c r="B647" s="43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</row>
    <row r="648" spans="1:54" x14ac:dyDescent="0.25">
      <c r="A648" s="42"/>
      <c r="B648" s="43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</row>
    <row r="649" spans="1:54" x14ac:dyDescent="0.25">
      <c r="A649" s="42"/>
      <c r="B649" s="43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</row>
    <row r="650" spans="1:54" x14ac:dyDescent="0.25">
      <c r="A650" s="42"/>
      <c r="B650" s="43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</row>
    <row r="651" spans="1:54" x14ac:dyDescent="0.25">
      <c r="A651" s="42"/>
      <c r="B651" s="43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</row>
    <row r="652" spans="1:54" x14ac:dyDescent="0.25">
      <c r="A652" s="42"/>
      <c r="B652" s="43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</row>
    <row r="653" spans="1:54" x14ac:dyDescent="0.25">
      <c r="A653" s="42"/>
      <c r="B653" s="43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</row>
    <row r="654" spans="1:54" x14ac:dyDescent="0.25">
      <c r="A654" s="42"/>
      <c r="B654" s="43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</row>
    <row r="655" spans="1:54" x14ac:dyDescent="0.25">
      <c r="A655" s="42"/>
      <c r="B655" s="43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</row>
    <row r="656" spans="1:54" x14ac:dyDescent="0.25">
      <c r="A656" s="42"/>
      <c r="B656" s="43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</row>
    <row r="657" spans="1:54" x14ac:dyDescent="0.25">
      <c r="A657" s="42"/>
      <c r="B657" s="43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</row>
    <row r="658" spans="1:54" x14ac:dyDescent="0.25">
      <c r="A658" s="42"/>
      <c r="B658" s="43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</row>
    <row r="659" spans="1:54" x14ac:dyDescent="0.25">
      <c r="A659" s="42"/>
      <c r="B659" s="43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</row>
    <row r="660" spans="1:54" x14ac:dyDescent="0.25">
      <c r="A660" s="42"/>
      <c r="B660" s="43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</row>
    <row r="661" spans="1:54" x14ac:dyDescent="0.25">
      <c r="A661" s="42"/>
      <c r="B661" s="43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</row>
    <row r="662" spans="1:54" x14ac:dyDescent="0.25">
      <c r="A662" s="42"/>
      <c r="B662" s="43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</row>
    <row r="663" spans="1:54" x14ac:dyDescent="0.25">
      <c r="A663" s="42"/>
      <c r="B663" s="43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</row>
    <row r="664" spans="1:54" x14ac:dyDescent="0.25">
      <c r="A664" s="42"/>
      <c r="B664" s="43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</row>
    <row r="665" spans="1:54" x14ac:dyDescent="0.25">
      <c r="A665" s="42"/>
      <c r="B665" s="43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</row>
    <row r="666" spans="1:54" x14ac:dyDescent="0.25">
      <c r="A666" s="42"/>
      <c r="B666" s="43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</row>
    <row r="667" spans="1:54" x14ac:dyDescent="0.25">
      <c r="A667" s="42"/>
      <c r="B667" s="43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</row>
    <row r="668" spans="1:54" x14ac:dyDescent="0.25">
      <c r="A668" s="42"/>
      <c r="B668" s="43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</row>
    <row r="669" spans="1:54" x14ac:dyDescent="0.25">
      <c r="A669" s="42"/>
      <c r="B669" s="43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</row>
    <row r="670" spans="1:54" x14ac:dyDescent="0.25">
      <c r="A670" s="42"/>
      <c r="B670" s="43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</row>
    <row r="671" spans="1:54" x14ac:dyDescent="0.25">
      <c r="A671" s="42"/>
      <c r="B671" s="43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</row>
    <row r="672" spans="1:54" x14ac:dyDescent="0.25">
      <c r="A672" s="42"/>
      <c r="B672" s="43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</row>
    <row r="673" spans="1:54" x14ac:dyDescent="0.25">
      <c r="A673" s="42"/>
      <c r="B673" s="43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</row>
    <row r="674" spans="1:54" x14ac:dyDescent="0.25">
      <c r="A674" s="42"/>
      <c r="B674" s="43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</row>
    <row r="675" spans="1:54" x14ac:dyDescent="0.25">
      <c r="A675" s="42"/>
      <c r="B675" s="43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</row>
    <row r="676" spans="1:54" x14ac:dyDescent="0.25">
      <c r="A676" s="42"/>
      <c r="B676" s="43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</row>
    <row r="677" spans="1:54" x14ac:dyDescent="0.25">
      <c r="A677" s="42"/>
      <c r="B677" s="43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</row>
    <row r="678" spans="1:54" x14ac:dyDescent="0.25">
      <c r="A678" s="42"/>
      <c r="B678" s="43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</row>
    <row r="679" spans="1:54" x14ac:dyDescent="0.25">
      <c r="A679" s="42"/>
      <c r="B679" s="43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</row>
    <row r="680" spans="1:54" x14ac:dyDescent="0.25">
      <c r="A680" s="42"/>
      <c r="B680" s="43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</row>
    <row r="681" spans="1:54" x14ac:dyDescent="0.25">
      <c r="A681" s="42"/>
      <c r="B681" s="43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</row>
    <row r="682" spans="1:54" x14ac:dyDescent="0.25">
      <c r="A682" s="42"/>
      <c r="B682" s="43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</row>
    <row r="683" spans="1:54" x14ac:dyDescent="0.25">
      <c r="A683" s="42"/>
      <c r="B683" s="43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</row>
    <row r="684" spans="1:54" x14ac:dyDescent="0.25">
      <c r="A684" s="42"/>
      <c r="B684" s="43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</row>
    <row r="685" spans="1:54" x14ac:dyDescent="0.25">
      <c r="A685" s="42"/>
      <c r="B685" s="43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</row>
    <row r="686" spans="1:54" x14ac:dyDescent="0.25">
      <c r="A686" s="42"/>
      <c r="B686" s="43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</row>
    <row r="687" spans="1:54" x14ac:dyDescent="0.25">
      <c r="A687" s="42"/>
      <c r="B687" s="43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</row>
    <row r="688" spans="1:54" x14ac:dyDescent="0.25">
      <c r="A688" s="42"/>
      <c r="B688" s="43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</row>
    <row r="689" spans="1:54" x14ac:dyDescent="0.25">
      <c r="A689" s="42"/>
      <c r="B689" s="43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</row>
  </sheetData>
  <mergeCells count="1">
    <mergeCell ref="A5:C5"/>
  </mergeCells>
  <phoneticPr fontId="3" type="noConversion"/>
  <conditionalFormatting sqref="A9:A42">
    <cfRule type="expression" dxfId="131" priority="22" stopIfTrue="1">
      <formula>$E9&gt;0</formula>
    </cfRule>
    <cfRule type="expression" dxfId="130" priority="23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43"/>
  <sheetViews>
    <sheetView rightToLeft="1" zoomScale="90" workbookViewId="0"/>
  </sheetViews>
  <sheetFormatPr defaultColWidth="9.109375" defaultRowHeight="13.2" x14ac:dyDescent="0.25"/>
  <cols>
    <col min="1" max="1" width="51" style="10" bestFit="1" customWidth="1"/>
    <col min="2" max="2" width="12.6640625" style="9" bestFit="1" customWidth="1"/>
    <col min="3" max="3" width="12.88671875" style="9" customWidth="1"/>
    <col min="4" max="4" width="7.109375" style="9" customWidth="1"/>
    <col min="5" max="5" width="10.44140625" style="60" customWidth="1"/>
    <col min="6" max="6" width="11.33203125" style="37" bestFit="1" customWidth="1"/>
    <col min="7" max="7" width="11.88671875" style="62" customWidth="1"/>
    <col min="8" max="8" width="13.6640625" style="64" customWidth="1"/>
    <col min="9" max="9" width="11.109375" style="62" bestFit="1" customWidth="1"/>
    <col min="10" max="10" width="24" style="13" customWidth="1"/>
    <col min="11" max="11" width="19.5546875" style="15" customWidth="1"/>
    <col min="12" max="12" width="15.44140625" style="15" customWidth="1"/>
    <col min="13" max="16384" width="9.109375" style="15"/>
  </cols>
  <sheetData>
    <row r="1" spans="1:11" s="7" customFormat="1" x14ac:dyDescent="0.25">
      <c r="A1" s="7" t="s">
        <v>237</v>
      </c>
      <c r="B1" s="9" t="s">
        <v>247</v>
      </c>
      <c r="C1" s="9"/>
      <c r="D1" s="9"/>
      <c r="E1" s="60"/>
      <c r="F1" s="37"/>
      <c r="G1" s="62"/>
      <c r="H1" s="63"/>
      <c r="I1" s="62"/>
      <c r="J1" s="13"/>
      <c r="K1" s="15"/>
    </row>
    <row r="2" spans="1:11" s="7" customFormat="1" ht="14.25" customHeight="1" x14ac:dyDescent="0.25">
      <c r="A2" s="10" t="s">
        <v>238</v>
      </c>
      <c r="B2" s="9" t="s">
        <v>150</v>
      </c>
      <c r="C2" s="9"/>
      <c r="D2" s="9"/>
      <c r="E2" s="60"/>
      <c r="F2" s="37"/>
      <c r="G2" s="62"/>
      <c r="H2" s="63"/>
      <c r="I2" s="62"/>
      <c r="J2" s="13"/>
      <c r="K2" s="15"/>
    </row>
    <row r="3" spans="1:11" s="7" customFormat="1" x14ac:dyDescent="0.25">
      <c r="A3" s="10" t="s">
        <v>239</v>
      </c>
      <c r="B3" s="9" t="s">
        <v>240</v>
      </c>
      <c r="C3" s="9"/>
      <c r="D3" s="9"/>
      <c r="E3" s="60"/>
      <c r="F3" s="37"/>
      <c r="G3" s="62"/>
      <c r="H3" s="63"/>
      <c r="I3" s="62"/>
      <c r="J3" s="13"/>
      <c r="K3" s="15"/>
    </row>
    <row r="4" spans="1:11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37"/>
      <c r="G4" s="62"/>
      <c r="H4" s="63"/>
      <c r="I4" s="62"/>
      <c r="J4" s="13"/>
      <c r="K4" s="15"/>
    </row>
    <row r="5" spans="1:11" s="7" customFormat="1" x14ac:dyDescent="0.25">
      <c r="A5" s="222" t="s">
        <v>4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1" s="7" customFormat="1" x14ac:dyDescent="0.25">
      <c r="A6" s="87" t="s">
        <v>157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6</v>
      </c>
      <c r="G6" s="205" t="s">
        <v>66</v>
      </c>
      <c r="H6" s="205" t="s">
        <v>71</v>
      </c>
      <c r="I6" s="205" t="s">
        <v>7</v>
      </c>
      <c r="J6" s="90" t="s">
        <v>75</v>
      </c>
      <c r="K6" s="91" t="s">
        <v>8</v>
      </c>
    </row>
    <row r="7" spans="1:11" s="7" customFormat="1" x14ac:dyDescent="0.25">
      <c r="A7" s="5"/>
      <c r="B7" s="3"/>
      <c r="C7" s="3"/>
      <c r="D7" s="3"/>
      <c r="E7" s="28"/>
      <c r="F7" s="30"/>
      <c r="G7" s="50" t="s">
        <v>9</v>
      </c>
      <c r="H7" s="50" t="s">
        <v>9</v>
      </c>
      <c r="I7" s="50" t="s">
        <v>10</v>
      </c>
      <c r="J7" s="49" t="s">
        <v>9</v>
      </c>
      <c r="K7" s="51" t="s">
        <v>9</v>
      </c>
    </row>
    <row r="8" spans="1:11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3">
        <v>10</v>
      </c>
    </row>
    <row r="9" spans="1:11" s="119" customFormat="1" ht="12.75" customHeight="1" thickBot="1" x14ac:dyDescent="0.3">
      <c r="A9" s="73" t="s">
        <v>78</v>
      </c>
      <c r="B9" s="120"/>
      <c r="C9" s="120"/>
      <c r="D9" s="120"/>
      <c r="E9" s="120"/>
      <c r="F9" s="120"/>
      <c r="G9" s="120"/>
      <c r="H9" s="120"/>
      <c r="I9" s="81">
        <v>29445.462842900008</v>
      </c>
      <c r="J9" s="78">
        <v>1</v>
      </c>
      <c r="K9" s="59">
        <v>5.494187812972616E-2</v>
      </c>
    </row>
    <row r="10" spans="1:11" s="119" customFormat="1" x14ac:dyDescent="0.25">
      <c r="A10" s="92" t="s">
        <v>250</v>
      </c>
      <c r="B10" s="121" t="s">
        <v>251</v>
      </c>
      <c r="C10" s="121" t="s">
        <v>251</v>
      </c>
      <c r="D10" s="122" t="s">
        <v>251</v>
      </c>
      <c r="E10" s="122" t="s">
        <v>251</v>
      </c>
      <c r="F10" s="122" t="s">
        <v>251</v>
      </c>
      <c r="G10" s="121" t="s">
        <v>251</v>
      </c>
      <c r="H10" s="121" t="s">
        <v>251</v>
      </c>
      <c r="I10" s="123">
        <v>27987.497702699999</v>
      </c>
      <c r="J10" s="121">
        <v>0.95048591533511728</v>
      </c>
      <c r="K10" s="121">
        <v>5.2221481324363231E-2</v>
      </c>
    </row>
    <row r="11" spans="1:11" s="119" customFormat="1" x14ac:dyDescent="0.25">
      <c r="A11" s="93" t="s">
        <v>252</v>
      </c>
      <c r="B11" s="121" t="s">
        <v>251</v>
      </c>
      <c r="C11" s="121" t="s">
        <v>251</v>
      </c>
      <c r="D11" s="122" t="s">
        <v>251</v>
      </c>
      <c r="E11" s="122" t="s">
        <v>251</v>
      </c>
      <c r="F11" s="122" t="s">
        <v>251</v>
      </c>
      <c r="G11" s="121" t="s">
        <v>251</v>
      </c>
      <c r="H11" s="121" t="s">
        <v>251</v>
      </c>
      <c r="I11" s="124">
        <v>8622.6417020999997</v>
      </c>
      <c r="J11" s="121">
        <v>0.29283430687112194</v>
      </c>
      <c r="K11" s="121">
        <v>1.6088866800316015E-2</v>
      </c>
    </row>
    <row r="12" spans="1:11" x14ac:dyDescent="0.25">
      <c r="A12" s="17" t="s">
        <v>2809</v>
      </c>
      <c r="B12" s="33" t="s">
        <v>253</v>
      </c>
      <c r="C12" s="33" t="s">
        <v>254</v>
      </c>
      <c r="D12" s="67" t="s">
        <v>255</v>
      </c>
      <c r="E12" s="67" t="s">
        <v>256</v>
      </c>
      <c r="F12" s="67" t="s">
        <v>257</v>
      </c>
      <c r="G12" s="33">
        <v>0</v>
      </c>
      <c r="H12" s="33">
        <v>0</v>
      </c>
      <c r="I12" s="85">
        <v>223.45268999999999</v>
      </c>
      <c r="J12" s="33">
        <v>7.5886968118716357E-3</v>
      </c>
      <c r="K12" s="33">
        <v>4.1693725540129287E-4</v>
      </c>
    </row>
    <row r="13" spans="1:11" x14ac:dyDescent="0.25">
      <c r="A13" s="17" t="s">
        <v>2809</v>
      </c>
      <c r="B13" s="33" t="s">
        <v>272</v>
      </c>
      <c r="C13" s="33" t="s">
        <v>254</v>
      </c>
      <c r="D13" s="67" t="s">
        <v>255</v>
      </c>
      <c r="E13" s="67" t="s">
        <v>256</v>
      </c>
      <c r="F13" s="67" t="s">
        <v>257</v>
      </c>
      <c r="G13" s="33">
        <v>0</v>
      </c>
      <c r="H13" s="33">
        <v>0</v>
      </c>
      <c r="I13" s="85">
        <v>1038.6050699999998</v>
      </c>
      <c r="J13" s="33">
        <v>3.5272159773519468E-2</v>
      </c>
      <c r="K13" s="33">
        <v>1.9379187036489361E-3</v>
      </c>
    </row>
    <row r="14" spans="1:11" x14ac:dyDescent="0.25">
      <c r="A14" s="17" t="s">
        <v>2809</v>
      </c>
      <c r="B14" s="33" t="s">
        <v>291</v>
      </c>
      <c r="C14" s="33" t="s">
        <v>254</v>
      </c>
      <c r="D14" s="67" t="s">
        <v>255</v>
      </c>
      <c r="E14" s="67" t="s">
        <v>256</v>
      </c>
      <c r="F14" s="67" t="s">
        <v>257</v>
      </c>
      <c r="G14" s="33">
        <v>0</v>
      </c>
      <c r="H14" s="33">
        <v>0</v>
      </c>
      <c r="I14" s="85">
        <v>1.08E-3</v>
      </c>
      <c r="J14" s="33">
        <v>3.667797669753435E-8</v>
      </c>
      <c r="K14" s="33">
        <v>2.0151569257608682E-9</v>
      </c>
    </row>
    <row r="15" spans="1:11" x14ac:dyDescent="0.25">
      <c r="A15" s="17" t="s">
        <v>2809</v>
      </c>
      <c r="B15" s="33" t="s">
        <v>297</v>
      </c>
      <c r="C15" s="33" t="s">
        <v>254</v>
      </c>
      <c r="D15" s="67" t="s">
        <v>255</v>
      </c>
      <c r="E15" s="67" t="s">
        <v>256</v>
      </c>
      <c r="F15" s="67" t="s">
        <v>257</v>
      </c>
      <c r="G15" s="33">
        <v>0</v>
      </c>
      <c r="H15" s="33">
        <v>0</v>
      </c>
      <c r="I15" s="85">
        <v>0.43351999999999996</v>
      </c>
      <c r="J15" s="33">
        <v>1.4722811535106565E-5</v>
      </c>
      <c r="K15" s="33">
        <v>8.0889891708875146E-7</v>
      </c>
    </row>
    <row r="16" spans="1:11" x14ac:dyDescent="0.25">
      <c r="A16" s="17" t="s">
        <v>2809</v>
      </c>
      <c r="B16" s="33" t="s">
        <v>299</v>
      </c>
      <c r="C16" s="33" t="s">
        <v>254</v>
      </c>
      <c r="D16" s="67" t="s">
        <v>255</v>
      </c>
      <c r="E16" s="67" t="s">
        <v>256</v>
      </c>
      <c r="F16" s="67" t="s">
        <v>257</v>
      </c>
      <c r="G16" s="33">
        <v>0</v>
      </c>
      <c r="H16" s="33">
        <v>0</v>
      </c>
      <c r="I16" s="85">
        <v>5.3308100000000005</v>
      </c>
      <c r="J16" s="33">
        <v>1.8104011570276214E-4</v>
      </c>
      <c r="K16" s="33">
        <v>9.9466839735326806E-6</v>
      </c>
    </row>
    <row r="17" spans="1:11" x14ac:dyDescent="0.25">
      <c r="A17" s="17" t="s">
        <v>2810</v>
      </c>
      <c r="B17" s="33" t="s">
        <v>258</v>
      </c>
      <c r="C17" s="33" t="s">
        <v>259</v>
      </c>
      <c r="D17" s="67" t="s">
        <v>255</v>
      </c>
      <c r="E17" s="67" t="s">
        <v>256</v>
      </c>
      <c r="F17" s="67" t="s">
        <v>257</v>
      </c>
      <c r="G17" s="33">
        <v>0</v>
      </c>
      <c r="H17" s="33">
        <v>0</v>
      </c>
      <c r="I17" s="85">
        <v>172.42082000000002</v>
      </c>
      <c r="J17" s="33">
        <v>5.8555989056757081E-3</v>
      </c>
      <c r="K17" s="33">
        <v>3.2171760145219264E-4</v>
      </c>
    </row>
    <row r="18" spans="1:11" x14ac:dyDescent="0.25">
      <c r="A18" s="17" t="s">
        <v>269</v>
      </c>
      <c r="B18" s="33" t="s">
        <v>270</v>
      </c>
      <c r="C18" s="33" t="s">
        <v>259</v>
      </c>
      <c r="D18" s="67" t="s">
        <v>255</v>
      </c>
      <c r="E18" s="67" t="s">
        <v>256</v>
      </c>
      <c r="F18" s="67" t="s">
        <v>257</v>
      </c>
      <c r="G18" s="33">
        <v>0</v>
      </c>
      <c r="H18" s="33">
        <v>0</v>
      </c>
      <c r="I18" s="85">
        <v>3.86897</v>
      </c>
      <c r="J18" s="33">
        <v>1.3139443657727727E-4</v>
      </c>
      <c r="K18" s="33">
        <v>7.2190571213528026E-6</v>
      </c>
    </row>
    <row r="19" spans="1:11" x14ac:dyDescent="0.25">
      <c r="A19" s="17" t="s">
        <v>2810</v>
      </c>
      <c r="B19" s="33" t="s">
        <v>271</v>
      </c>
      <c r="C19" s="33" t="s">
        <v>259</v>
      </c>
      <c r="D19" s="67" t="s">
        <v>255</v>
      </c>
      <c r="E19" s="67" t="s">
        <v>256</v>
      </c>
      <c r="F19" s="67" t="s">
        <v>257</v>
      </c>
      <c r="G19" s="33">
        <v>0</v>
      </c>
      <c r="H19" s="33">
        <v>0</v>
      </c>
      <c r="I19" s="85">
        <v>584.48215000000005</v>
      </c>
      <c r="J19" s="33">
        <v>1.9849650627615532E-2</v>
      </c>
      <c r="K19" s="33">
        <v>1.0905770857000952E-3</v>
      </c>
    </row>
    <row r="20" spans="1:11" x14ac:dyDescent="0.25">
      <c r="A20" s="17" t="s">
        <v>2810</v>
      </c>
      <c r="B20" s="33" t="s">
        <v>273</v>
      </c>
      <c r="C20" s="33" t="s">
        <v>259</v>
      </c>
      <c r="D20" s="67" t="s">
        <v>255</v>
      </c>
      <c r="E20" s="67" t="s">
        <v>256</v>
      </c>
      <c r="F20" s="67" t="s">
        <v>257</v>
      </c>
      <c r="G20" s="33">
        <v>0</v>
      </c>
      <c r="H20" s="33">
        <v>0</v>
      </c>
      <c r="I20" s="85">
        <v>1033.5335700000001</v>
      </c>
      <c r="J20" s="33">
        <v>3.509992610794397E-2</v>
      </c>
      <c r="K20" s="33">
        <v>1.9284558625850511E-3</v>
      </c>
    </row>
    <row r="21" spans="1:11" x14ac:dyDescent="0.25">
      <c r="A21" s="17" t="s">
        <v>2810</v>
      </c>
      <c r="B21" s="33" t="s">
        <v>278</v>
      </c>
      <c r="C21" s="33" t="s">
        <v>259</v>
      </c>
      <c r="D21" s="67" t="s">
        <v>255</v>
      </c>
      <c r="E21" s="67" t="s">
        <v>256</v>
      </c>
      <c r="F21" s="67" t="s">
        <v>257</v>
      </c>
      <c r="G21" s="33">
        <v>0</v>
      </c>
      <c r="H21" s="33">
        <v>0</v>
      </c>
      <c r="I21" s="85">
        <v>0.11342000000000001</v>
      </c>
      <c r="J21" s="33">
        <v>3.8518667750318016E-6</v>
      </c>
      <c r="K21" s="33">
        <v>2.116287949257386E-7</v>
      </c>
    </row>
    <row r="22" spans="1:11" x14ac:dyDescent="0.25">
      <c r="A22" s="17" t="s">
        <v>2820</v>
      </c>
      <c r="B22" s="33" t="s">
        <v>283</v>
      </c>
      <c r="C22" s="33" t="s">
        <v>259</v>
      </c>
      <c r="D22" s="67" t="s">
        <v>255</v>
      </c>
      <c r="E22" s="67" t="s">
        <v>256</v>
      </c>
      <c r="F22" s="67" t="s">
        <v>257</v>
      </c>
      <c r="G22" s="33">
        <v>0</v>
      </c>
      <c r="H22" s="33">
        <v>0</v>
      </c>
      <c r="I22" s="85">
        <v>2.7799999999999999E-3</v>
      </c>
      <c r="J22" s="33">
        <v>9.4411828906616193E-8</v>
      </c>
      <c r="K22" s="33">
        <v>5.1871631977918648E-9</v>
      </c>
    </row>
    <row r="23" spans="1:11" x14ac:dyDescent="0.25">
      <c r="A23" s="17" t="s">
        <v>2820</v>
      </c>
      <c r="B23" s="33" t="s">
        <v>284</v>
      </c>
      <c r="C23" s="33" t="s">
        <v>259</v>
      </c>
      <c r="D23" s="67" t="s">
        <v>255</v>
      </c>
      <c r="E23" s="67" t="s">
        <v>256</v>
      </c>
      <c r="F23" s="67" t="s">
        <v>257</v>
      </c>
      <c r="G23" s="33">
        <v>0</v>
      </c>
      <c r="H23" s="33">
        <v>0</v>
      </c>
      <c r="I23" s="85">
        <v>0.98726999999999998</v>
      </c>
      <c r="J23" s="33">
        <v>3.3528764864976606E-5</v>
      </c>
      <c r="K23" s="33">
        <v>1.8421333130517892E-6</v>
      </c>
    </row>
    <row r="24" spans="1:11" x14ac:dyDescent="0.25">
      <c r="A24" s="17" t="s">
        <v>2820</v>
      </c>
      <c r="B24" s="33" t="s">
        <v>286</v>
      </c>
      <c r="C24" s="33" t="s">
        <v>259</v>
      </c>
      <c r="D24" s="67" t="s">
        <v>255</v>
      </c>
      <c r="E24" s="67" t="s">
        <v>256</v>
      </c>
      <c r="F24" s="67" t="s">
        <v>257</v>
      </c>
      <c r="G24" s="33">
        <v>0</v>
      </c>
      <c r="H24" s="33">
        <v>0</v>
      </c>
      <c r="I24" s="85">
        <v>7.2999999999999996E-4</v>
      </c>
      <c r="J24" s="33">
        <v>2.479159536037044E-8</v>
      </c>
      <c r="K24" s="33">
        <v>1.3620968109309572E-9</v>
      </c>
    </row>
    <row r="25" spans="1:11" x14ac:dyDescent="0.25">
      <c r="A25" s="17" t="s">
        <v>287</v>
      </c>
      <c r="B25" s="33" t="s">
        <v>288</v>
      </c>
      <c r="C25" s="33" t="s">
        <v>259</v>
      </c>
      <c r="D25" s="67" t="s">
        <v>255</v>
      </c>
      <c r="E25" s="67" t="s">
        <v>256</v>
      </c>
      <c r="F25" s="67" t="s">
        <v>257</v>
      </c>
      <c r="G25" s="33">
        <v>0</v>
      </c>
      <c r="H25" s="33">
        <v>0</v>
      </c>
      <c r="I25" s="85">
        <v>37.261769999999999</v>
      </c>
      <c r="J25" s="33">
        <v>1.2654503071934113E-3</v>
      </c>
      <c r="K25" s="33">
        <v>6.9526216557044945E-5</v>
      </c>
    </row>
    <row r="26" spans="1:11" x14ac:dyDescent="0.25">
      <c r="A26" s="17" t="s">
        <v>2810</v>
      </c>
      <c r="B26" s="33" t="s">
        <v>309</v>
      </c>
      <c r="C26" s="33" t="s">
        <v>259</v>
      </c>
      <c r="D26" s="67" t="s">
        <v>255</v>
      </c>
      <c r="E26" s="67" t="s">
        <v>256</v>
      </c>
      <c r="F26" s="67" t="s">
        <v>257</v>
      </c>
      <c r="G26" s="33">
        <v>0</v>
      </c>
      <c r="H26" s="33">
        <v>0</v>
      </c>
      <c r="I26" s="85">
        <v>525.41664000000003</v>
      </c>
      <c r="J26" s="33">
        <v>1.7843721554089625E-2</v>
      </c>
      <c r="K26" s="33">
        <v>9.8036757500556009E-4</v>
      </c>
    </row>
    <row r="27" spans="1:11" x14ac:dyDescent="0.25">
      <c r="A27" s="17" t="s">
        <v>2811</v>
      </c>
      <c r="B27" s="33" t="s">
        <v>267</v>
      </c>
      <c r="C27" s="33" t="s">
        <v>268</v>
      </c>
      <c r="D27" s="67" t="s">
        <v>255</v>
      </c>
      <c r="E27" s="67" t="s">
        <v>256</v>
      </c>
      <c r="F27" s="67" t="s">
        <v>257</v>
      </c>
      <c r="G27" s="33">
        <v>0</v>
      </c>
      <c r="H27" s="33">
        <v>0</v>
      </c>
      <c r="I27" s="85">
        <v>3.4588200000000002</v>
      </c>
      <c r="J27" s="33">
        <v>1.1746529570459792E-4</v>
      </c>
      <c r="K27" s="33">
        <v>6.4537639610742653E-6</v>
      </c>
    </row>
    <row r="28" spans="1:11" x14ac:dyDescent="0.25">
      <c r="A28" s="17" t="s">
        <v>2811</v>
      </c>
      <c r="B28" s="33" t="s">
        <v>306</v>
      </c>
      <c r="C28" s="33" t="s">
        <v>268</v>
      </c>
      <c r="D28" s="67" t="s">
        <v>255</v>
      </c>
      <c r="E28" s="67" t="s">
        <v>256</v>
      </c>
      <c r="F28" s="67" t="s">
        <v>257</v>
      </c>
      <c r="G28" s="33">
        <v>0</v>
      </c>
      <c r="H28" s="33">
        <v>0</v>
      </c>
      <c r="I28" s="85">
        <v>0.76403999999999994</v>
      </c>
      <c r="J28" s="33">
        <v>2.5947630848133464E-5</v>
      </c>
      <c r="K28" s="33">
        <v>1.4256115718132718E-6</v>
      </c>
    </row>
    <row r="29" spans="1:11" x14ac:dyDescent="0.25">
      <c r="A29" s="17" t="s">
        <v>2821</v>
      </c>
      <c r="B29" s="33" t="s">
        <v>310</v>
      </c>
      <c r="C29" s="33" t="s">
        <v>268</v>
      </c>
      <c r="D29" s="67" t="s">
        <v>255</v>
      </c>
      <c r="E29" s="67" t="s">
        <v>256</v>
      </c>
      <c r="F29" s="67" t="s">
        <v>257</v>
      </c>
      <c r="G29" s="33">
        <v>0</v>
      </c>
      <c r="H29" s="33">
        <v>0</v>
      </c>
      <c r="I29" s="85">
        <v>1.6744100000000002</v>
      </c>
      <c r="J29" s="33">
        <v>5.6864787927887489E-5</v>
      </c>
      <c r="K29" s="33">
        <v>3.1242582482067184E-6</v>
      </c>
    </row>
    <row r="30" spans="1:11" x14ac:dyDescent="0.25">
      <c r="A30" s="17" t="s">
        <v>2822</v>
      </c>
      <c r="B30" s="33" t="s">
        <v>312</v>
      </c>
      <c r="C30" s="33" t="s">
        <v>268</v>
      </c>
      <c r="D30" s="67" t="s">
        <v>255</v>
      </c>
      <c r="E30" s="67" t="s">
        <v>256</v>
      </c>
      <c r="F30" s="67" t="s">
        <v>257</v>
      </c>
      <c r="G30" s="33">
        <v>0</v>
      </c>
      <c r="H30" s="33">
        <v>0</v>
      </c>
      <c r="I30" s="85">
        <v>3.2000000000000002E-3</v>
      </c>
      <c r="J30" s="33">
        <v>1.0867548651121289E-7</v>
      </c>
      <c r="K30" s="33">
        <v>5.9708353355877582E-9</v>
      </c>
    </row>
    <row r="31" spans="1:11" x14ac:dyDescent="0.25">
      <c r="A31" s="17" t="s">
        <v>2823</v>
      </c>
      <c r="B31" s="33" t="s">
        <v>260</v>
      </c>
      <c r="C31" s="33" t="s">
        <v>261</v>
      </c>
      <c r="D31" s="67" t="s">
        <v>255</v>
      </c>
      <c r="E31" s="67" t="s">
        <v>256</v>
      </c>
      <c r="F31" s="67" t="s">
        <v>257</v>
      </c>
      <c r="G31" s="33">
        <v>0</v>
      </c>
      <c r="H31" s="33">
        <v>0</v>
      </c>
      <c r="I31" s="85">
        <v>4370.5123219999996</v>
      </c>
      <c r="J31" s="33">
        <v>0.14842736028018771</v>
      </c>
      <c r="K31" s="33">
        <v>8.1548779396310306E-3</v>
      </c>
    </row>
    <row r="32" spans="1:11" x14ac:dyDescent="0.25">
      <c r="A32" s="17" t="s">
        <v>2824</v>
      </c>
      <c r="B32" s="33" t="s">
        <v>262</v>
      </c>
      <c r="C32" s="33" t="s">
        <v>261</v>
      </c>
      <c r="D32" s="67" t="s">
        <v>255</v>
      </c>
      <c r="E32" s="67" t="s">
        <v>256</v>
      </c>
      <c r="F32" s="67" t="s">
        <v>257</v>
      </c>
      <c r="G32" s="33">
        <v>0</v>
      </c>
      <c r="H32" s="33">
        <v>0</v>
      </c>
      <c r="I32" s="85">
        <v>189.26491000000001</v>
      </c>
      <c r="J32" s="33">
        <v>6.4276425542971628E-3</v>
      </c>
      <c r="K32" s="33">
        <v>3.5314675387963654E-4</v>
      </c>
    </row>
    <row r="33" spans="1:11" x14ac:dyDescent="0.25">
      <c r="A33" s="17" t="s">
        <v>2823</v>
      </c>
      <c r="B33" s="33" t="s">
        <v>274</v>
      </c>
      <c r="C33" s="33" t="s">
        <v>261</v>
      </c>
      <c r="D33" s="67" t="s">
        <v>255</v>
      </c>
      <c r="E33" s="67" t="s">
        <v>256</v>
      </c>
      <c r="F33" s="67" t="s">
        <v>257</v>
      </c>
      <c r="G33" s="33">
        <v>0</v>
      </c>
      <c r="H33" s="33">
        <v>0</v>
      </c>
      <c r="I33" s="85">
        <v>10.935510000000001</v>
      </c>
      <c r="J33" s="33">
        <v>3.7138183421819799E-4</v>
      </c>
      <c r="K33" s="33">
        <v>2.0404415475210401E-5</v>
      </c>
    </row>
    <row r="34" spans="1:11" x14ac:dyDescent="0.25">
      <c r="A34" s="17" t="s">
        <v>2823</v>
      </c>
      <c r="B34" s="33" t="s">
        <v>275</v>
      </c>
      <c r="C34" s="33" t="s">
        <v>261</v>
      </c>
      <c r="D34" s="67" t="s">
        <v>255</v>
      </c>
      <c r="E34" s="67" t="s">
        <v>256</v>
      </c>
      <c r="F34" s="67" t="s">
        <v>257</v>
      </c>
      <c r="G34" s="33">
        <v>0</v>
      </c>
      <c r="H34" s="33">
        <v>0</v>
      </c>
      <c r="I34" s="85">
        <v>6.0285600000000006</v>
      </c>
      <c r="J34" s="33">
        <v>2.0473646592563674E-4</v>
      </c>
      <c r="K34" s="33">
        <v>1.1248605959597168E-5</v>
      </c>
    </row>
    <row r="35" spans="1:11" x14ac:dyDescent="0.25">
      <c r="A35" s="17" t="s">
        <v>2823</v>
      </c>
      <c r="B35" s="33" t="s">
        <v>276</v>
      </c>
      <c r="C35" s="33" t="s">
        <v>261</v>
      </c>
      <c r="D35" s="67" t="s">
        <v>255</v>
      </c>
      <c r="E35" s="67" t="s">
        <v>256</v>
      </c>
      <c r="F35" s="67" t="s">
        <v>257</v>
      </c>
      <c r="G35" s="33">
        <v>0</v>
      </c>
      <c r="H35" s="33">
        <v>0</v>
      </c>
      <c r="I35" s="85">
        <v>6.4593100000000003</v>
      </c>
      <c r="J35" s="33">
        <v>2.1936520524273206E-4</v>
      </c>
      <c r="K35" s="33">
        <v>1.205233637234855E-5</v>
      </c>
    </row>
    <row r="36" spans="1:11" x14ac:dyDescent="0.25">
      <c r="A36" s="17" t="s">
        <v>2823</v>
      </c>
      <c r="B36" s="33" t="s">
        <v>277</v>
      </c>
      <c r="C36" s="33" t="s">
        <v>261</v>
      </c>
      <c r="D36" s="67" t="s">
        <v>255</v>
      </c>
      <c r="E36" s="67" t="s">
        <v>256</v>
      </c>
      <c r="F36" s="67" t="s">
        <v>257</v>
      </c>
      <c r="G36" s="33">
        <v>0</v>
      </c>
      <c r="H36" s="33">
        <v>0</v>
      </c>
      <c r="I36" s="85">
        <v>5.6388400000000001</v>
      </c>
      <c r="J36" s="33">
        <v>1.915011501121524E-4</v>
      </c>
      <c r="K36" s="33">
        <v>1.0521432851164272E-5</v>
      </c>
    </row>
    <row r="37" spans="1:11" x14ac:dyDescent="0.25">
      <c r="A37" s="17" t="s">
        <v>2824</v>
      </c>
      <c r="B37" s="33" t="s">
        <v>279</v>
      </c>
      <c r="C37" s="33" t="s">
        <v>261</v>
      </c>
      <c r="D37" s="67" t="s">
        <v>255</v>
      </c>
      <c r="E37" s="67" t="s">
        <v>256</v>
      </c>
      <c r="F37" s="67" t="s">
        <v>257</v>
      </c>
      <c r="G37" s="33">
        <v>0</v>
      </c>
      <c r="H37" s="33">
        <v>0</v>
      </c>
      <c r="I37" s="85">
        <v>0.80115000000000003</v>
      </c>
      <c r="J37" s="33">
        <v>2.7207926880768188E-5</v>
      </c>
      <c r="K37" s="33">
        <v>1.4948546028456664E-6</v>
      </c>
    </row>
    <row r="38" spans="1:11" x14ac:dyDescent="0.25">
      <c r="A38" s="17" t="s">
        <v>2824</v>
      </c>
      <c r="B38" s="33" t="s">
        <v>280</v>
      </c>
      <c r="C38" s="33" t="s">
        <v>261</v>
      </c>
      <c r="D38" s="67" t="s">
        <v>255</v>
      </c>
      <c r="E38" s="67" t="s">
        <v>256</v>
      </c>
      <c r="F38" s="67" t="s">
        <v>257</v>
      </c>
      <c r="G38" s="33">
        <v>0</v>
      </c>
      <c r="H38" s="33">
        <v>0</v>
      </c>
      <c r="I38" s="85">
        <v>0.37161</v>
      </c>
      <c r="J38" s="33">
        <v>1.2620280482009944E-5</v>
      </c>
      <c r="K38" s="33">
        <v>6.9338191220555206E-7</v>
      </c>
    </row>
    <row r="39" spans="1:11" x14ac:dyDescent="0.25">
      <c r="A39" s="17" t="s">
        <v>2824</v>
      </c>
      <c r="B39" s="33" t="s">
        <v>281</v>
      </c>
      <c r="C39" s="33" t="s">
        <v>261</v>
      </c>
      <c r="D39" s="67" t="s">
        <v>255</v>
      </c>
      <c r="E39" s="67" t="s">
        <v>256</v>
      </c>
      <c r="F39" s="67" t="s">
        <v>257</v>
      </c>
      <c r="G39" s="33">
        <v>0</v>
      </c>
      <c r="H39" s="33">
        <v>0</v>
      </c>
      <c r="I39" s="85">
        <v>66.785350000000008</v>
      </c>
      <c r="J39" s="33">
        <v>2.2681032509598849E-3</v>
      </c>
      <c r="K39" s="33">
        <v>1.2461385239987373E-4</v>
      </c>
    </row>
    <row r="40" spans="1:11" x14ac:dyDescent="0.25">
      <c r="A40" s="17" t="s">
        <v>2824</v>
      </c>
      <c r="B40" s="33" t="s">
        <v>282</v>
      </c>
      <c r="C40" s="33" t="s">
        <v>261</v>
      </c>
      <c r="D40" s="67" t="s">
        <v>255</v>
      </c>
      <c r="E40" s="67" t="s">
        <v>256</v>
      </c>
      <c r="F40" s="67" t="s">
        <v>257</v>
      </c>
      <c r="G40" s="33">
        <v>0</v>
      </c>
      <c r="H40" s="33">
        <v>0</v>
      </c>
      <c r="I40" s="85">
        <v>2.8967299999999998</v>
      </c>
      <c r="J40" s="33">
        <v>9.8376106888008028E-5</v>
      </c>
      <c r="K40" s="33">
        <v>5.4049680755178516E-6</v>
      </c>
    </row>
    <row r="41" spans="1:11" x14ac:dyDescent="0.25">
      <c r="A41" s="17" t="s">
        <v>2823</v>
      </c>
      <c r="B41" s="33" t="s">
        <v>285</v>
      </c>
      <c r="C41" s="33" t="s">
        <v>261</v>
      </c>
      <c r="D41" s="67" t="s">
        <v>255</v>
      </c>
      <c r="E41" s="67" t="s">
        <v>256</v>
      </c>
      <c r="F41" s="67" t="s">
        <v>257</v>
      </c>
      <c r="G41" s="33">
        <v>0</v>
      </c>
      <c r="H41" s="33">
        <v>0</v>
      </c>
      <c r="I41" s="85">
        <v>1.09E-3</v>
      </c>
      <c r="J41" s="33">
        <v>3.7017587592881894E-8</v>
      </c>
      <c r="K41" s="33">
        <v>2.0338157861845802E-9</v>
      </c>
    </row>
    <row r="42" spans="1:11" x14ac:dyDescent="0.25">
      <c r="A42" s="17" t="s">
        <v>2823</v>
      </c>
      <c r="B42" s="33" t="s">
        <v>308</v>
      </c>
      <c r="C42" s="33" t="s">
        <v>261</v>
      </c>
      <c r="D42" s="67" t="s">
        <v>255</v>
      </c>
      <c r="E42" s="67" t="s">
        <v>256</v>
      </c>
      <c r="F42" s="67" t="s">
        <v>257</v>
      </c>
      <c r="G42" s="33">
        <v>0</v>
      </c>
      <c r="H42" s="33">
        <v>0</v>
      </c>
      <c r="I42" s="85">
        <v>6.3335900000000001</v>
      </c>
      <c r="J42" s="33">
        <v>2.1509561706642275E-4</v>
      </c>
      <c r="K42" s="33">
        <v>1.1817757179101645E-5</v>
      </c>
    </row>
    <row r="43" spans="1:11" x14ac:dyDescent="0.25">
      <c r="A43" s="17" t="s">
        <v>2824</v>
      </c>
      <c r="B43" s="33" t="s">
        <v>311</v>
      </c>
      <c r="C43" s="33" t="s">
        <v>261</v>
      </c>
      <c r="D43" s="67" t="s">
        <v>255</v>
      </c>
      <c r="E43" s="67" t="s">
        <v>256</v>
      </c>
      <c r="F43" s="67" t="s">
        <v>257</v>
      </c>
      <c r="G43" s="33">
        <v>0</v>
      </c>
      <c r="H43" s="33">
        <v>0</v>
      </c>
      <c r="I43" s="85">
        <v>0.65207000000000004</v>
      </c>
      <c r="J43" s="33">
        <v>2.2145007652927058E-5</v>
      </c>
      <c r="K43" s="33">
        <v>1.2166883116489716E-6</v>
      </c>
    </row>
    <row r="44" spans="1:11" x14ac:dyDescent="0.25">
      <c r="A44" s="17" t="s">
        <v>2825</v>
      </c>
      <c r="B44" s="33" t="s">
        <v>292</v>
      </c>
      <c r="C44" s="33" t="s">
        <v>293</v>
      </c>
      <c r="D44" s="67" t="s">
        <v>255</v>
      </c>
      <c r="E44" s="67" t="s">
        <v>256</v>
      </c>
      <c r="F44" s="67" t="s">
        <v>257</v>
      </c>
      <c r="G44" s="33">
        <v>0</v>
      </c>
      <c r="H44" s="33">
        <v>0</v>
      </c>
      <c r="I44" s="85">
        <v>9.3999999999999997E-4</v>
      </c>
      <c r="J44" s="33">
        <v>3.1923424162668783E-8</v>
      </c>
      <c r="K44" s="33">
        <v>1.7539328798289039E-9</v>
      </c>
    </row>
    <row r="45" spans="1:11" x14ac:dyDescent="0.25">
      <c r="A45" s="17" t="s">
        <v>2825</v>
      </c>
      <c r="B45" s="33" t="s">
        <v>296</v>
      </c>
      <c r="C45" s="33" t="s">
        <v>293</v>
      </c>
      <c r="D45" s="67" t="s">
        <v>255</v>
      </c>
      <c r="E45" s="67" t="s">
        <v>256</v>
      </c>
      <c r="F45" s="67" t="s">
        <v>257</v>
      </c>
      <c r="G45" s="33">
        <v>0</v>
      </c>
      <c r="H45" s="33">
        <v>0</v>
      </c>
      <c r="I45" s="85">
        <v>3.1353899999999997</v>
      </c>
      <c r="J45" s="33">
        <v>1.0648126051637242E-4</v>
      </c>
      <c r="K45" s="33">
        <v>5.8502804383901553E-6</v>
      </c>
    </row>
    <row r="46" spans="1:11" x14ac:dyDescent="0.25">
      <c r="A46" s="17" t="s">
        <v>2825</v>
      </c>
      <c r="B46" s="33" t="s">
        <v>298</v>
      </c>
      <c r="C46" s="33" t="s">
        <v>293</v>
      </c>
      <c r="D46" s="67" t="s">
        <v>255</v>
      </c>
      <c r="E46" s="67" t="s">
        <v>256</v>
      </c>
      <c r="F46" s="67" t="s">
        <v>257</v>
      </c>
      <c r="G46" s="33">
        <v>0</v>
      </c>
      <c r="H46" s="33">
        <v>0</v>
      </c>
      <c r="I46" s="85">
        <v>8.5470000000000004E-2</v>
      </c>
      <c r="J46" s="33">
        <v>2.9026543225354268E-6</v>
      </c>
      <c r="K46" s="33">
        <v>1.5947728004146428E-7</v>
      </c>
    </row>
    <row r="47" spans="1:11" x14ac:dyDescent="0.25">
      <c r="A47" s="17" t="s">
        <v>2825</v>
      </c>
      <c r="B47" s="33" t="s">
        <v>300</v>
      </c>
      <c r="C47" s="33" t="s">
        <v>293</v>
      </c>
      <c r="D47" s="67" t="s">
        <v>255</v>
      </c>
      <c r="E47" s="67" t="s">
        <v>256</v>
      </c>
      <c r="F47" s="67" t="s">
        <v>257</v>
      </c>
      <c r="G47" s="33">
        <v>0</v>
      </c>
      <c r="H47" s="33">
        <v>0</v>
      </c>
      <c r="I47" s="85">
        <v>0.35041</v>
      </c>
      <c r="J47" s="33">
        <v>1.1900305383873159E-5</v>
      </c>
      <c r="K47" s="33">
        <v>6.5382512810728316E-7</v>
      </c>
    </row>
    <row r="48" spans="1:11" x14ac:dyDescent="0.25">
      <c r="A48" s="17" t="s">
        <v>2826</v>
      </c>
      <c r="B48" s="33" t="s">
        <v>294</v>
      </c>
      <c r="C48" s="33" t="s">
        <v>295</v>
      </c>
      <c r="D48" s="67" t="s">
        <v>255</v>
      </c>
      <c r="E48" s="67" t="s">
        <v>256</v>
      </c>
      <c r="F48" s="67" t="s">
        <v>257</v>
      </c>
      <c r="G48" s="33">
        <v>0</v>
      </c>
      <c r="H48" s="33">
        <v>0</v>
      </c>
      <c r="I48" s="85">
        <v>1.0300000000000001E-3</v>
      </c>
      <c r="J48" s="33">
        <v>3.4979922220796649E-8</v>
      </c>
      <c r="K48" s="33">
        <v>1.9218626236423098E-9</v>
      </c>
    </row>
    <row r="49" spans="1:11" x14ac:dyDescent="0.25">
      <c r="A49" s="17" t="s">
        <v>2839</v>
      </c>
      <c r="B49" s="33" t="s">
        <v>289</v>
      </c>
      <c r="C49" s="33" t="s">
        <v>290</v>
      </c>
      <c r="D49" s="67" t="s">
        <v>255</v>
      </c>
      <c r="E49" s="67" t="s">
        <v>256</v>
      </c>
      <c r="F49" s="67" t="s">
        <v>257</v>
      </c>
      <c r="G49" s="33">
        <v>0</v>
      </c>
      <c r="H49" s="33">
        <v>0</v>
      </c>
      <c r="I49" s="85">
        <v>1.23E-3</v>
      </c>
      <c r="J49" s="33">
        <v>4.1772140127747454E-8</v>
      </c>
      <c r="K49" s="33">
        <v>2.2950398321165445E-9</v>
      </c>
    </row>
    <row r="50" spans="1:11" x14ac:dyDescent="0.25">
      <c r="A50" s="17" t="s">
        <v>2803</v>
      </c>
      <c r="B50" s="33" t="s">
        <v>263</v>
      </c>
      <c r="C50" s="33" t="s">
        <v>264</v>
      </c>
      <c r="D50" s="67" t="s">
        <v>265</v>
      </c>
      <c r="E50" s="67" t="s">
        <v>266</v>
      </c>
      <c r="F50" s="67" t="s">
        <v>257</v>
      </c>
      <c r="G50" s="33">
        <v>0</v>
      </c>
      <c r="H50" s="33">
        <v>0</v>
      </c>
      <c r="I50" s="85">
        <v>310.74146000000002</v>
      </c>
      <c r="J50" s="33">
        <v>1.0553118545220187E-2</v>
      </c>
      <c r="K50" s="33">
        <v>5.798081530000406E-4</v>
      </c>
    </row>
    <row r="51" spans="1:11" x14ac:dyDescent="0.25">
      <c r="A51" s="17" t="s">
        <v>2803</v>
      </c>
      <c r="B51" s="33" t="s">
        <v>301</v>
      </c>
      <c r="C51" s="33" t="s">
        <v>264</v>
      </c>
      <c r="D51" s="67" t="s">
        <v>265</v>
      </c>
      <c r="E51" s="67" t="s">
        <v>266</v>
      </c>
      <c r="F51" s="67" t="s">
        <v>257</v>
      </c>
      <c r="G51" s="33">
        <v>0</v>
      </c>
      <c r="H51" s="33">
        <v>0</v>
      </c>
      <c r="I51" s="85">
        <v>6.5494599999999998</v>
      </c>
      <c r="J51" s="33">
        <v>2.2242679746429009E-4</v>
      </c>
      <c r="K51" s="33">
        <v>1.2220545999068311E-5</v>
      </c>
    </row>
    <row r="52" spans="1:11" x14ac:dyDescent="0.25">
      <c r="A52" s="17" t="s">
        <v>2803</v>
      </c>
      <c r="B52" s="33" t="s">
        <v>302</v>
      </c>
      <c r="C52" s="33" t="s">
        <v>264</v>
      </c>
      <c r="D52" s="67" t="s">
        <v>265</v>
      </c>
      <c r="E52" s="67" t="s">
        <v>266</v>
      </c>
      <c r="F52" s="67" t="s">
        <v>257</v>
      </c>
      <c r="G52" s="33">
        <v>0</v>
      </c>
      <c r="H52" s="33">
        <v>0</v>
      </c>
      <c r="I52" s="85">
        <v>6.6E-3</v>
      </c>
      <c r="J52" s="33">
        <v>2.2414319092937657E-7</v>
      </c>
      <c r="K52" s="33">
        <v>1.231484787964975E-8</v>
      </c>
    </row>
    <row r="53" spans="1:11" x14ac:dyDescent="0.25">
      <c r="A53" s="17" t="s">
        <v>2803</v>
      </c>
      <c r="B53" s="33" t="s">
        <v>303</v>
      </c>
      <c r="C53" s="33" t="s">
        <v>264</v>
      </c>
      <c r="D53" s="67" t="s">
        <v>265</v>
      </c>
      <c r="E53" s="67" t="s">
        <v>266</v>
      </c>
      <c r="F53" s="67" t="s">
        <v>257</v>
      </c>
      <c r="G53" s="33">
        <v>0</v>
      </c>
      <c r="H53" s="33">
        <v>0</v>
      </c>
      <c r="I53" s="85">
        <v>0.15131</v>
      </c>
      <c r="J53" s="33">
        <v>5.1386524575036316E-6</v>
      </c>
      <c r="K53" s="33">
        <v>2.823272170711824E-7</v>
      </c>
    </row>
    <row r="54" spans="1:11" x14ac:dyDescent="0.25">
      <c r="A54" s="17" t="s">
        <v>2803</v>
      </c>
      <c r="B54" s="33" t="s">
        <v>304</v>
      </c>
      <c r="C54" s="33" t="s">
        <v>264</v>
      </c>
      <c r="D54" s="67" t="s">
        <v>265</v>
      </c>
      <c r="E54" s="67" t="s">
        <v>266</v>
      </c>
      <c r="F54" s="67" t="s">
        <v>257</v>
      </c>
      <c r="G54" s="33">
        <v>0</v>
      </c>
      <c r="H54" s="33">
        <v>0</v>
      </c>
      <c r="I54" s="85">
        <v>0.50488</v>
      </c>
      <c r="J54" s="33">
        <v>1.7146274884306613E-5</v>
      </c>
      <c r="K54" s="33">
        <v>9.4204854507235849E-7</v>
      </c>
    </row>
    <row r="55" spans="1:11" x14ac:dyDescent="0.25">
      <c r="A55" s="17" t="s">
        <v>2803</v>
      </c>
      <c r="B55" s="33" t="s">
        <v>305</v>
      </c>
      <c r="C55" s="33" t="s">
        <v>264</v>
      </c>
      <c r="D55" s="67" t="s">
        <v>265</v>
      </c>
      <c r="E55" s="67" t="s">
        <v>266</v>
      </c>
      <c r="F55" s="67" t="s">
        <v>257</v>
      </c>
      <c r="G55" s="33">
        <v>0</v>
      </c>
      <c r="H55" s="33">
        <v>0</v>
      </c>
      <c r="I55" s="85">
        <v>1.4E-3</v>
      </c>
      <c r="J55" s="33">
        <v>4.7545525348655634E-8</v>
      </c>
      <c r="K55" s="33">
        <v>2.612240459319644E-9</v>
      </c>
    </row>
    <row r="56" spans="1:11" x14ac:dyDescent="0.25">
      <c r="A56" s="17" t="s">
        <v>2804</v>
      </c>
      <c r="B56" s="33" t="s">
        <v>307</v>
      </c>
      <c r="C56" s="33" t="s">
        <v>264</v>
      </c>
      <c r="D56" s="67" t="s">
        <v>265</v>
      </c>
      <c r="E56" s="67" t="s">
        <v>266</v>
      </c>
      <c r="F56" s="67" t="s">
        <v>257</v>
      </c>
      <c r="G56" s="33">
        <v>0</v>
      </c>
      <c r="H56" s="33">
        <v>0</v>
      </c>
      <c r="I56" s="85">
        <v>2.6193200000000001</v>
      </c>
      <c r="J56" s="33">
        <v>8.8954961040171925E-5</v>
      </c>
      <c r="K56" s="33">
        <v>4.8873526285036641E-6</v>
      </c>
    </row>
    <row r="57" spans="1:11" s="119" customFormat="1" x14ac:dyDescent="0.25">
      <c r="A57" s="93" t="s">
        <v>313</v>
      </c>
      <c r="B57" s="121" t="s">
        <v>251</v>
      </c>
      <c r="C57" s="121" t="s">
        <v>251</v>
      </c>
      <c r="D57" s="122" t="s">
        <v>251</v>
      </c>
      <c r="E57" s="122" t="s">
        <v>251</v>
      </c>
      <c r="F57" s="122" t="s">
        <v>251</v>
      </c>
      <c r="G57" s="121" t="s">
        <v>251</v>
      </c>
      <c r="H57" s="121" t="s">
        <v>251</v>
      </c>
      <c r="I57" s="124">
        <v>1315.0202801000003</v>
      </c>
      <c r="J57" s="121">
        <v>4.4659521472493427E-2</v>
      </c>
      <c r="K57" s="121">
        <v>2.4536779860736225E-3</v>
      </c>
    </row>
    <row r="58" spans="1:11" x14ac:dyDescent="0.25">
      <c r="A58" s="17" t="s">
        <v>2827</v>
      </c>
      <c r="B58" s="33" t="s">
        <v>314</v>
      </c>
      <c r="C58" s="33" t="s">
        <v>254</v>
      </c>
      <c r="D58" s="67" t="s">
        <v>255</v>
      </c>
      <c r="E58" s="67" t="s">
        <v>256</v>
      </c>
      <c r="F58" s="67" t="s">
        <v>125</v>
      </c>
      <c r="G58" s="33">
        <v>0</v>
      </c>
      <c r="H58" s="33">
        <v>0</v>
      </c>
      <c r="I58" s="85">
        <v>143.29398999999998</v>
      </c>
      <c r="J58" s="33">
        <v>4.8664200241821474E-3</v>
      </c>
      <c r="K58" s="33">
        <v>2.6737025589667457E-4</v>
      </c>
    </row>
    <row r="59" spans="1:11" x14ac:dyDescent="0.25">
      <c r="A59" s="17" t="s">
        <v>2827</v>
      </c>
      <c r="B59" s="33" t="s">
        <v>335</v>
      </c>
      <c r="C59" s="33" t="s">
        <v>254</v>
      </c>
      <c r="D59" s="67" t="s">
        <v>255</v>
      </c>
      <c r="E59" s="67" t="s">
        <v>256</v>
      </c>
      <c r="F59" s="67" t="s">
        <v>125</v>
      </c>
      <c r="G59" s="33">
        <v>0</v>
      </c>
      <c r="H59" s="33">
        <v>0</v>
      </c>
      <c r="I59" s="85">
        <v>4.6476099999999994</v>
      </c>
      <c r="J59" s="33">
        <v>1.5783789933261814E-4</v>
      </c>
      <c r="K59" s="33">
        <v>8.6719106293846921E-6</v>
      </c>
    </row>
    <row r="60" spans="1:11" x14ac:dyDescent="0.25">
      <c r="A60" s="17" t="s">
        <v>2840</v>
      </c>
      <c r="B60" s="33" t="s">
        <v>338</v>
      </c>
      <c r="C60" s="33" t="s">
        <v>254</v>
      </c>
      <c r="D60" s="67" t="s">
        <v>255</v>
      </c>
      <c r="E60" s="67" t="s">
        <v>256</v>
      </c>
      <c r="F60" s="67" t="s">
        <v>125</v>
      </c>
      <c r="G60" s="33">
        <v>0</v>
      </c>
      <c r="H60" s="33">
        <v>0</v>
      </c>
      <c r="I60" s="85">
        <v>7.9689999999999997E-2</v>
      </c>
      <c r="J60" s="33">
        <v>2.7063592250245481E-6</v>
      </c>
      <c r="K60" s="33">
        <v>1.4869245871655886E-7</v>
      </c>
    </row>
    <row r="61" spans="1:11" x14ac:dyDescent="0.25">
      <c r="A61" s="17" t="s">
        <v>2827</v>
      </c>
      <c r="B61" s="33" t="s">
        <v>339</v>
      </c>
      <c r="C61" s="33" t="s">
        <v>254</v>
      </c>
      <c r="D61" s="67" t="s">
        <v>255</v>
      </c>
      <c r="E61" s="67" t="s">
        <v>256</v>
      </c>
      <c r="F61" s="67" t="s">
        <v>125</v>
      </c>
      <c r="G61" s="33">
        <v>0</v>
      </c>
      <c r="H61" s="33">
        <v>0</v>
      </c>
      <c r="I61" s="85">
        <v>4.1751800000000001</v>
      </c>
      <c r="J61" s="33">
        <v>1.4179366180371432E-4</v>
      </c>
      <c r="K61" s="33">
        <v>7.7904100863872791E-6</v>
      </c>
    </row>
    <row r="62" spans="1:11" x14ac:dyDescent="0.25">
      <c r="A62" s="17" t="s">
        <v>2828</v>
      </c>
      <c r="B62" s="33" t="s">
        <v>349</v>
      </c>
      <c r="C62" s="33" t="s">
        <v>254</v>
      </c>
      <c r="D62" s="67" t="s">
        <v>255</v>
      </c>
      <c r="E62" s="67" t="s">
        <v>256</v>
      </c>
      <c r="F62" s="67" t="s">
        <v>125</v>
      </c>
      <c r="G62" s="33">
        <v>0</v>
      </c>
      <c r="H62" s="33">
        <v>0</v>
      </c>
      <c r="I62" s="85">
        <v>-83.47196000000001</v>
      </c>
      <c r="J62" s="33">
        <v>-2.8347987072014067E-3</v>
      </c>
      <c r="K62" s="33">
        <v>-1.5574916509336498E-4</v>
      </c>
    </row>
    <row r="63" spans="1:11" x14ac:dyDescent="0.25">
      <c r="A63" s="17" t="s">
        <v>2814</v>
      </c>
      <c r="B63" s="33" t="s">
        <v>315</v>
      </c>
      <c r="C63" s="33" t="s">
        <v>259</v>
      </c>
      <c r="D63" s="67" t="s">
        <v>255</v>
      </c>
      <c r="E63" s="67" t="s">
        <v>256</v>
      </c>
      <c r="F63" s="67" t="s">
        <v>125</v>
      </c>
      <c r="G63" s="33">
        <v>0</v>
      </c>
      <c r="H63" s="33">
        <v>0</v>
      </c>
      <c r="I63" s="85">
        <v>11.51089</v>
      </c>
      <c r="J63" s="33">
        <v>3.9092236591470477E-4</v>
      </c>
      <c r="K63" s="33">
        <v>2.1478008986269926E-5</v>
      </c>
    </row>
    <row r="64" spans="1:11" x14ac:dyDescent="0.25">
      <c r="A64" s="17" t="s">
        <v>2812</v>
      </c>
      <c r="B64" s="33" t="s">
        <v>318</v>
      </c>
      <c r="C64" s="33" t="s">
        <v>259</v>
      </c>
      <c r="D64" s="67" t="s">
        <v>255</v>
      </c>
      <c r="E64" s="67" t="s">
        <v>256</v>
      </c>
      <c r="F64" s="67" t="s">
        <v>126</v>
      </c>
      <c r="G64" s="33">
        <v>0</v>
      </c>
      <c r="H64" s="33">
        <v>0</v>
      </c>
      <c r="I64" s="85">
        <v>0.15819</v>
      </c>
      <c r="J64" s="33">
        <v>5.3723047535027395E-6</v>
      </c>
      <c r="K64" s="33">
        <v>2.9516451304269604E-7</v>
      </c>
    </row>
    <row r="65" spans="1:11" x14ac:dyDescent="0.25">
      <c r="A65" s="17" t="s">
        <v>2813</v>
      </c>
      <c r="B65" s="33" t="s">
        <v>320</v>
      </c>
      <c r="C65" s="33" t="s">
        <v>259</v>
      </c>
      <c r="D65" s="67" t="s">
        <v>255</v>
      </c>
      <c r="E65" s="67" t="s">
        <v>256</v>
      </c>
      <c r="F65" s="67" t="s">
        <v>126</v>
      </c>
      <c r="G65" s="33">
        <v>0</v>
      </c>
      <c r="H65" s="33">
        <v>0</v>
      </c>
      <c r="I65" s="85">
        <v>128.65791999999999</v>
      </c>
      <c r="J65" s="33">
        <v>4.3693631404752202E-3</v>
      </c>
      <c r="K65" s="33">
        <v>2.4006101716850714E-4</v>
      </c>
    </row>
    <row r="66" spans="1:11" x14ac:dyDescent="0.25">
      <c r="A66" s="17" t="s">
        <v>2841</v>
      </c>
      <c r="B66" s="33" t="s">
        <v>321</v>
      </c>
      <c r="C66" s="33" t="s">
        <v>259</v>
      </c>
      <c r="D66" s="67" t="s">
        <v>255</v>
      </c>
      <c r="E66" s="67" t="s">
        <v>256</v>
      </c>
      <c r="F66" s="67" t="s">
        <v>126</v>
      </c>
      <c r="G66" s="33">
        <v>0</v>
      </c>
      <c r="H66" s="33">
        <v>0</v>
      </c>
      <c r="I66" s="85">
        <v>52.068179999999998</v>
      </c>
      <c r="J66" s="33">
        <v>1.7682921228916889E-3</v>
      </c>
      <c r="K66" s="33">
        <v>9.7153290313669924E-5</v>
      </c>
    </row>
    <row r="67" spans="1:11" x14ac:dyDescent="0.25">
      <c r="A67" s="17" t="s">
        <v>2814</v>
      </c>
      <c r="B67" s="33" t="s">
        <v>325</v>
      </c>
      <c r="C67" s="33" t="s">
        <v>259</v>
      </c>
      <c r="D67" s="67" t="s">
        <v>255</v>
      </c>
      <c r="E67" s="67" t="s">
        <v>256</v>
      </c>
      <c r="F67" s="67" t="s">
        <v>125</v>
      </c>
      <c r="G67" s="33">
        <v>0</v>
      </c>
      <c r="H67" s="33">
        <v>0</v>
      </c>
      <c r="I67" s="85">
        <v>19.392139999999998</v>
      </c>
      <c r="J67" s="33">
        <v>6.5857820281048493E-4</v>
      </c>
      <c r="K67" s="33">
        <v>3.6183523357707739E-5</v>
      </c>
    </row>
    <row r="68" spans="1:11" x14ac:dyDescent="0.25">
      <c r="A68" s="17" t="s">
        <v>2814</v>
      </c>
      <c r="B68" s="33" t="s">
        <v>328</v>
      </c>
      <c r="C68" s="33" t="s">
        <v>259</v>
      </c>
      <c r="D68" s="67" t="s">
        <v>255</v>
      </c>
      <c r="E68" s="67" t="s">
        <v>256</v>
      </c>
      <c r="F68" s="67" t="s">
        <v>125</v>
      </c>
      <c r="G68" s="33">
        <v>0</v>
      </c>
      <c r="H68" s="33">
        <v>0</v>
      </c>
      <c r="I68" s="85">
        <v>7.1289600000000002</v>
      </c>
      <c r="J68" s="33">
        <v>2.4210724884968007E-4</v>
      </c>
      <c r="K68" s="33">
        <v>1.3301826960622406E-5</v>
      </c>
    </row>
    <row r="69" spans="1:11" x14ac:dyDescent="0.25">
      <c r="A69" s="17" t="s">
        <v>2815</v>
      </c>
      <c r="B69" s="33" t="s">
        <v>332</v>
      </c>
      <c r="C69" s="33" t="s">
        <v>259</v>
      </c>
      <c r="D69" s="67" t="s">
        <v>255</v>
      </c>
      <c r="E69" s="67" t="s">
        <v>256</v>
      </c>
      <c r="F69" s="67" t="s">
        <v>125</v>
      </c>
      <c r="G69" s="33">
        <v>0</v>
      </c>
      <c r="H69" s="33">
        <v>0</v>
      </c>
      <c r="I69" s="85">
        <v>171.11329000000001</v>
      </c>
      <c r="J69" s="33">
        <v>5.8111937622763307E-3</v>
      </c>
      <c r="K69" s="33">
        <v>3.1927789947521103E-4</v>
      </c>
    </row>
    <row r="70" spans="1:11" x14ac:dyDescent="0.25">
      <c r="A70" s="17" t="s">
        <v>2829</v>
      </c>
      <c r="B70" s="33" t="s">
        <v>336</v>
      </c>
      <c r="C70" s="33" t="s">
        <v>259</v>
      </c>
      <c r="D70" s="67" t="s">
        <v>255</v>
      </c>
      <c r="E70" s="67" t="s">
        <v>256</v>
      </c>
      <c r="F70" s="67" t="s">
        <v>125</v>
      </c>
      <c r="G70" s="33">
        <v>0</v>
      </c>
      <c r="H70" s="33">
        <v>0</v>
      </c>
      <c r="I70" s="85">
        <v>4.2168100000000006</v>
      </c>
      <c r="J70" s="33">
        <v>1.4320746196104614E-4</v>
      </c>
      <c r="K70" s="33">
        <v>7.8680869223311932E-6</v>
      </c>
    </row>
    <row r="71" spans="1:11" x14ac:dyDescent="0.25">
      <c r="A71" s="17" t="s">
        <v>2829</v>
      </c>
      <c r="B71" s="33" t="s">
        <v>337</v>
      </c>
      <c r="C71" s="33" t="s">
        <v>259</v>
      </c>
      <c r="D71" s="67" t="s">
        <v>255</v>
      </c>
      <c r="E71" s="67" t="s">
        <v>256</v>
      </c>
      <c r="F71" s="67" t="s">
        <v>125</v>
      </c>
      <c r="G71" s="33">
        <v>0</v>
      </c>
      <c r="H71" s="33">
        <v>0</v>
      </c>
      <c r="I71" s="85">
        <v>20.209229999999998</v>
      </c>
      <c r="J71" s="33">
        <v>6.8632746945843711E-4</v>
      </c>
      <c r="K71" s="33">
        <v>3.7708120184068805E-5</v>
      </c>
    </row>
    <row r="72" spans="1:11" x14ac:dyDescent="0.25">
      <c r="A72" s="17" t="s">
        <v>2814</v>
      </c>
      <c r="B72" s="33" t="s">
        <v>351</v>
      </c>
      <c r="C72" s="33" t="s">
        <v>259</v>
      </c>
      <c r="D72" s="67" t="s">
        <v>255</v>
      </c>
      <c r="E72" s="67" t="s">
        <v>256</v>
      </c>
      <c r="F72" s="67" t="s">
        <v>125</v>
      </c>
      <c r="G72" s="33">
        <v>0</v>
      </c>
      <c r="H72" s="33">
        <v>0</v>
      </c>
      <c r="I72" s="85">
        <v>261.62959999999998</v>
      </c>
      <c r="J72" s="33">
        <v>8.8852262705418818E-3</v>
      </c>
      <c r="K72" s="33">
        <v>4.8817101891115338E-4</v>
      </c>
    </row>
    <row r="73" spans="1:11" x14ac:dyDescent="0.25">
      <c r="A73" s="17" t="s">
        <v>2830</v>
      </c>
      <c r="B73" s="33" t="s">
        <v>316</v>
      </c>
      <c r="C73" s="33" t="s">
        <v>261</v>
      </c>
      <c r="D73" s="67" t="s">
        <v>255</v>
      </c>
      <c r="E73" s="67" t="s">
        <v>256</v>
      </c>
      <c r="F73" s="67" t="s">
        <v>125</v>
      </c>
      <c r="G73" s="33">
        <v>0</v>
      </c>
      <c r="H73" s="33">
        <v>0</v>
      </c>
      <c r="I73" s="85">
        <v>64.484800000000007</v>
      </c>
      <c r="J73" s="33">
        <v>2.1899740664307068E-3</v>
      </c>
      <c r="K73" s="33">
        <v>1.2032128826509672E-4</v>
      </c>
    </row>
    <row r="74" spans="1:11" x14ac:dyDescent="0.25">
      <c r="A74" s="17" t="s">
        <v>2842</v>
      </c>
      <c r="B74" s="33" t="s">
        <v>319</v>
      </c>
      <c r="C74" s="33" t="s">
        <v>261</v>
      </c>
      <c r="D74" s="67" t="s">
        <v>255</v>
      </c>
      <c r="E74" s="67" t="s">
        <v>256</v>
      </c>
      <c r="F74" s="67" t="s">
        <v>126</v>
      </c>
      <c r="G74" s="33">
        <v>0</v>
      </c>
      <c r="H74" s="33">
        <v>0</v>
      </c>
      <c r="I74" s="85">
        <v>1.8288800000000001</v>
      </c>
      <c r="J74" s="33">
        <v>6.211075742832095E-5</v>
      </c>
      <c r="K74" s="33">
        <v>3.4124816651717933E-6</v>
      </c>
    </row>
    <row r="75" spans="1:11" x14ac:dyDescent="0.25">
      <c r="A75" s="17" t="s">
        <v>2843</v>
      </c>
      <c r="B75" s="33" t="s">
        <v>322</v>
      </c>
      <c r="C75" s="33" t="s">
        <v>261</v>
      </c>
      <c r="D75" s="67" t="s">
        <v>255</v>
      </c>
      <c r="E75" s="67" t="s">
        <v>256</v>
      </c>
      <c r="F75" s="67" t="s">
        <v>2</v>
      </c>
      <c r="G75" s="33">
        <v>0</v>
      </c>
      <c r="H75" s="33">
        <v>0</v>
      </c>
      <c r="I75" s="85">
        <v>13.95885</v>
      </c>
      <c r="J75" s="33">
        <v>4.7405775465220125E-4</v>
      </c>
      <c r="K75" s="33">
        <v>2.6045623382552866E-5</v>
      </c>
    </row>
    <row r="76" spans="1:11" x14ac:dyDescent="0.25">
      <c r="A76" s="17" t="s">
        <v>2830</v>
      </c>
      <c r="B76" s="33" t="s">
        <v>326</v>
      </c>
      <c r="C76" s="33" t="s">
        <v>261</v>
      </c>
      <c r="D76" s="67" t="s">
        <v>255</v>
      </c>
      <c r="E76" s="67" t="s">
        <v>256</v>
      </c>
      <c r="F76" s="67" t="s">
        <v>125</v>
      </c>
      <c r="G76" s="33">
        <v>0</v>
      </c>
      <c r="H76" s="33">
        <v>0</v>
      </c>
      <c r="I76" s="85">
        <v>2.2630599999999998</v>
      </c>
      <c r="J76" s="33">
        <v>7.6855983282520451E-5</v>
      </c>
      <c r="K76" s="33">
        <v>4.2226120670485094E-6</v>
      </c>
    </row>
    <row r="77" spans="1:11" x14ac:dyDescent="0.25">
      <c r="A77" s="17" t="s">
        <v>2830</v>
      </c>
      <c r="B77" s="33" t="s">
        <v>327</v>
      </c>
      <c r="C77" s="33" t="s">
        <v>261</v>
      </c>
      <c r="D77" s="67" t="s">
        <v>255</v>
      </c>
      <c r="E77" s="67" t="s">
        <v>256</v>
      </c>
      <c r="F77" s="67" t="s">
        <v>125</v>
      </c>
      <c r="G77" s="33">
        <v>0</v>
      </c>
      <c r="H77" s="33">
        <v>0</v>
      </c>
      <c r="I77" s="85">
        <v>2.1499999999999998E-2</v>
      </c>
      <c r="J77" s="33">
        <v>7.3016342499721157E-7</v>
      </c>
      <c r="K77" s="33">
        <v>4.0116549910980242E-8</v>
      </c>
    </row>
    <row r="78" spans="1:11" x14ac:dyDescent="0.25">
      <c r="A78" s="17" t="s">
        <v>2830</v>
      </c>
      <c r="B78" s="33" t="s">
        <v>329</v>
      </c>
      <c r="C78" s="33" t="s">
        <v>261</v>
      </c>
      <c r="D78" s="67" t="s">
        <v>255</v>
      </c>
      <c r="E78" s="67" t="s">
        <v>256</v>
      </c>
      <c r="F78" s="67" t="s">
        <v>125</v>
      </c>
      <c r="G78" s="33">
        <v>0</v>
      </c>
      <c r="H78" s="33">
        <v>0</v>
      </c>
      <c r="I78" s="85">
        <v>7.4618100000000007</v>
      </c>
      <c r="J78" s="33">
        <v>2.5341119750132296E-4</v>
      </c>
      <c r="K78" s="33">
        <v>1.3922887129825654E-5</v>
      </c>
    </row>
    <row r="79" spans="1:11" x14ac:dyDescent="0.25">
      <c r="A79" s="17" t="s">
        <v>2831</v>
      </c>
      <c r="B79" s="33" t="s">
        <v>330</v>
      </c>
      <c r="C79" s="33" t="s">
        <v>261</v>
      </c>
      <c r="D79" s="67" t="s">
        <v>255</v>
      </c>
      <c r="E79" s="67" t="s">
        <v>256</v>
      </c>
      <c r="F79" s="67" t="s">
        <v>125</v>
      </c>
      <c r="G79" s="33">
        <v>0</v>
      </c>
      <c r="H79" s="33">
        <v>0</v>
      </c>
      <c r="I79" s="85">
        <v>2.6339999999999999E-2</v>
      </c>
      <c r="J79" s="33">
        <v>8.9453509834542101E-7</v>
      </c>
      <c r="K79" s="33">
        <v>4.9147438356056729E-8</v>
      </c>
    </row>
    <row r="80" spans="1:11" x14ac:dyDescent="0.25">
      <c r="A80" s="17" t="s">
        <v>2831</v>
      </c>
      <c r="B80" s="33" t="s">
        <v>331</v>
      </c>
      <c r="C80" s="33" t="s">
        <v>261</v>
      </c>
      <c r="D80" s="67" t="s">
        <v>255</v>
      </c>
      <c r="E80" s="67" t="s">
        <v>256</v>
      </c>
      <c r="F80" s="67" t="s">
        <v>125</v>
      </c>
      <c r="G80" s="33">
        <v>0</v>
      </c>
      <c r="H80" s="33">
        <v>0</v>
      </c>
      <c r="I80" s="85">
        <v>-1.8190000000000001E-2</v>
      </c>
      <c r="J80" s="33">
        <v>-6.177522186371758E-7</v>
      </c>
      <c r="K80" s="33">
        <v>-3.3940467110731662E-8</v>
      </c>
    </row>
    <row r="81" spans="1:11" x14ac:dyDescent="0.25">
      <c r="A81" s="17" t="s">
        <v>2830</v>
      </c>
      <c r="B81" s="33" t="s">
        <v>333</v>
      </c>
      <c r="C81" s="33" t="s">
        <v>261</v>
      </c>
      <c r="D81" s="67" t="s">
        <v>255</v>
      </c>
      <c r="E81" s="67" t="s">
        <v>256</v>
      </c>
      <c r="F81" s="67" t="s">
        <v>125</v>
      </c>
      <c r="G81" s="33">
        <v>0</v>
      </c>
      <c r="H81" s="33">
        <v>0</v>
      </c>
      <c r="I81" s="85">
        <v>3.4100000000000003E-3</v>
      </c>
      <c r="J81" s="33">
        <v>1.1580731531351124E-7</v>
      </c>
      <c r="K81" s="33">
        <v>6.3626714044857053E-9</v>
      </c>
    </row>
    <row r="82" spans="1:11" x14ac:dyDescent="0.25">
      <c r="A82" s="17" t="s">
        <v>2830</v>
      </c>
      <c r="B82" s="33" t="s">
        <v>334</v>
      </c>
      <c r="C82" s="33" t="s">
        <v>261</v>
      </c>
      <c r="D82" s="67" t="s">
        <v>255</v>
      </c>
      <c r="E82" s="67" t="s">
        <v>256</v>
      </c>
      <c r="F82" s="67" t="s">
        <v>125</v>
      </c>
      <c r="G82" s="33">
        <v>0</v>
      </c>
      <c r="H82" s="33">
        <v>0</v>
      </c>
      <c r="I82" s="85">
        <v>5.1518600000000001</v>
      </c>
      <c r="J82" s="33">
        <v>1.7496277873051786E-4</v>
      </c>
      <c r="K82" s="33">
        <v>9.6127836662503587E-6</v>
      </c>
    </row>
    <row r="83" spans="1:11" x14ac:dyDescent="0.25">
      <c r="A83" s="17" t="s">
        <v>2831</v>
      </c>
      <c r="B83" s="33" t="s">
        <v>341</v>
      </c>
      <c r="C83" s="33" t="s">
        <v>261</v>
      </c>
      <c r="D83" s="67" t="s">
        <v>255</v>
      </c>
      <c r="E83" s="67" t="s">
        <v>256</v>
      </c>
      <c r="F83" s="67" t="s">
        <v>125</v>
      </c>
      <c r="G83" s="33">
        <v>0</v>
      </c>
      <c r="H83" s="33">
        <v>0</v>
      </c>
      <c r="I83" s="85">
        <v>0.73653000000000002</v>
      </c>
      <c r="J83" s="33">
        <v>2.5013361275032381E-5</v>
      </c>
      <c r="K83" s="33">
        <v>1.3742810467876411E-6</v>
      </c>
    </row>
    <row r="84" spans="1:11" x14ac:dyDescent="0.25">
      <c r="A84" s="17" t="s">
        <v>2831</v>
      </c>
      <c r="B84" s="33" t="s">
        <v>342</v>
      </c>
      <c r="C84" s="33" t="s">
        <v>261</v>
      </c>
      <c r="D84" s="67" t="s">
        <v>255</v>
      </c>
      <c r="E84" s="67" t="s">
        <v>256</v>
      </c>
      <c r="F84" s="67" t="s">
        <v>125</v>
      </c>
      <c r="G84" s="33">
        <v>0</v>
      </c>
      <c r="H84" s="33">
        <v>0</v>
      </c>
      <c r="I84" s="85">
        <v>-32.152839999999998</v>
      </c>
      <c r="J84" s="33">
        <v>-1.0919454780366205E-3</v>
      </c>
      <c r="K84" s="33">
        <v>-5.9993535378593583E-5</v>
      </c>
    </row>
    <row r="85" spans="1:11" x14ac:dyDescent="0.25">
      <c r="A85" s="17" t="s">
        <v>2830</v>
      </c>
      <c r="B85" s="33" t="s">
        <v>350</v>
      </c>
      <c r="C85" s="33" t="s">
        <v>261</v>
      </c>
      <c r="D85" s="67" t="s">
        <v>255</v>
      </c>
      <c r="E85" s="67" t="s">
        <v>256</v>
      </c>
      <c r="F85" s="67" t="s">
        <v>125</v>
      </c>
      <c r="G85" s="33">
        <v>0</v>
      </c>
      <c r="H85" s="33">
        <v>0</v>
      </c>
      <c r="I85" s="85">
        <v>199.92382000000001</v>
      </c>
      <c r="J85" s="33">
        <v>6.789630751150048E-3</v>
      </c>
      <c r="K85" s="33">
        <v>3.7303506527552703E-4</v>
      </c>
    </row>
    <row r="86" spans="1:11" x14ac:dyDescent="0.25">
      <c r="A86" s="17" t="s">
        <v>2831</v>
      </c>
      <c r="B86" s="33" t="s">
        <v>353</v>
      </c>
      <c r="C86" s="33" t="s">
        <v>261</v>
      </c>
      <c r="D86" s="67" t="s">
        <v>255</v>
      </c>
      <c r="E86" s="67" t="s">
        <v>256</v>
      </c>
      <c r="F86" s="67" t="s">
        <v>125</v>
      </c>
      <c r="G86" s="33">
        <v>0</v>
      </c>
      <c r="H86" s="33">
        <v>0</v>
      </c>
      <c r="I86" s="85">
        <v>0.12401999999999999</v>
      </c>
      <c r="J86" s="33">
        <v>4.211854324100194E-6</v>
      </c>
      <c r="K86" s="33">
        <v>2.3140718697487302E-7</v>
      </c>
    </row>
    <row r="87" spans="1:11" x14ac:dyDescent="0.25">
      <c r="A87" s="17" t="s">
        <v>2844</v>
      </c>
      <c r="B87" s="33" t="s">
        <v>340</v>
      </c>
      <c r="C87" s="33" t="s">
        <v>293</v>
      </c>
      <c r="D87" s="67" t="s">
        <v>255</v>
      </c>
      <c r="E87" s="67" t="s">
        <v>256</v>
      </c>
      <c r="F87" s="67" t="s">
        <v>125</v>
      </c>
      <c r="G87" s="33">
        <v>0</v>
      </c>
      <c r="H87" s="33">
        <v>0</v>
      </c>
      <c r="I87" s="85">
        <v>2.8613499999999998</v>
      </c>
      <c r="J87" s="33">
        <v>9.7174563540268434E-5</v>
      </c>
      <c r="K87" s="33">
        <v>5.338953027338759E-6</v>
      </c>
    </row>
    <row r="88" spans="1:11" x14ac:dyDescent="0.25">
      <c r="A88" s="17" t="s">
        <v>2807</v>
      </c>
      <c r="B88" s="33" t="s">
        <v>317</v>
      </c>
      <c r="C88" s="33" t="s">
        <v>264</v>
      </c>
      <c r="D88" s="67" t="s">
        <v>265</v>
      </c>
      <c r="E88" s="67" t="s">
        <v>266</v>
      </c>
      <c r="F88" s="67" t="s">
        <v>125</v>
      </c>
      <c r="G88" s="33">
        <v>0</v>
      </c>
      <c r="H88" s="33">
        <v>0</v>
      </c>
      <c r="I88" s="85">
        <v>142.80364</v>
      </c>
      <c r="J88" s="33">
        <v>4.8497672039287823E-3</v>
      </c>
      <c r="K88" s="33">
        <v>2.664553186757979E-4</v>
      </c>
    </row>
    <row r="89" spans="1:11" x14ac:dyDescent="0.25">
      <c r="A89" s="17" t="s">
        <v>2816</v>
      </c>
      <c r="B89" s="33" t="s">
        <v>323</v>
      </c>
      <c r="C89" s="33" t="s">
        <v>264</v>
      </c>
      <c r="D89" s="67" t="s">
        <v>265</v>
      </c>
      <c r="E89" s="67" t="s">
        <v>266</v>
      </c>
      <c r="F89" s="67" t="s">
        <v>2</v>
      </c>
      <c r="G89" s="33">
        <v>0</v>
      </c>
      <c r="H89" s="33">
        <v>0</v>
      </c>
      <c r="I89" s="85">
        <v>-2.4829999999999998E-2</v>
      </c>
      <c r="J89" s="33">
        <v>-8.4325385314794239E-7</v>
      </c>
      <c r="K89" s="33">
        <v>-4.6329950432076254E-8</v>
      </c>
    </row>
    <row r="90" spans="1:11" x14ac:dyDescent="0.25">
      <c r="A90" s="17" t="s">
        <v>2805</v>
      </c>
      <c r="B90" s="33" t="s">
        <v>324</v>
      </c>
      <c r="C90" s="33" t="s">
        <v>264</v>
      </c>
      <c r="D90" s="67" t="s">
        <v>265</v>
      </c>
      <c r="E90" s="67" t="s">
        <v>266</v>
      </c>
      <c r="F90" s="67" t="s">
        <v>126</v>
      </c>
      <c r="G90" s="33">
        <v>0</v>
      </c>
      <c r="H90" s="33">
        <v>0</v>
      </c>
      <c r="I90" s="85">
        <v>2.1412600000000004</v>
      </c>
      <c r="J90" s="33">
        <v>7.2719522577187408E-5</v>
      </c>
      <c r="K90" s="33">
        <v>3.9953471470877015E-6</v>
      </c>
    </row>
    <row r="91" spans="1:11" x14ac:dyDescent="0.25">
      <c r="A91" s="17" t="s">
        <v>2806</v>
      </c>
      <c r="B91" s="33" t="s">
        <v>343</v>
      </c>
      <c r="C91" s="33" t="s">
        <v>264</v>
      </c>
      <c r="D91" s="67" t="s">
        <v>265</v>
      </c>
      <c r="E91" s="67" t="s">
        <v>266</v>
      </c>
      <c r="F91" s="67" t="s">
        <v>125</v>
      </c>
      <c r="G91" s="33">
        <v>0</v>
      </c>
      <c r="H91" s="33">
        <v>0</v>
      </c>
      <c r="I91" s="85">
        <v>-3.0600000000000002E-2</v>
      </c>
      <c r="J91" s="33">
        <v>-1.0392093397634732E-6</v>
      </c>
      <c r="K91" s="33">
        <v>-5.7096112896557938E-8</v>
      </c>
    </row>
    <row r="92" spans="1:11" x14ac:dyDescent="0.25">
      <c r="A92" s="17" t="s">
        <v>2807</v>
      </c>
      <c r="B92" s="33" t="s">
        <v>344</v>
      </c>
      <c r="C92" s="33" t="s">
        <v>264</v>
      </c>
      <c r="D92" s="67" t="s">
        <v>265</v>
      </c>
      <c r="E92" s="67" t="s">
        <v>266</v>
      </c>
      <c r="F92" s="67" t="s">
        <v>125</v>
      </c>
      <c r="G92" s="33">
        <v>0</v>
      </c>
      <c r="H92" s="33">
        <v>0</v>
      </c>
      <c r="I92" s="85">
        <v>7.8436499999999993</v>
      </c>
      <c r="J92" s="33">
        <v>2.6637889992927341E-4</v>
      </c>
      <c r="K92" s="33">
        <v>1.4635357056244659E-5</v>
      </c>
    </row>
    <row r="93" spans="1:11" x14ac:dyDescent="0.25">
      <c r="A93" s="17" t="s">
        <v>2807</v>
      </c>
      <c r="B93" s="33" t="s">
        <v>345</v>
      </c>
      <c r="C93" s="33" t="s">
        <v>264</v>
      </c>
      <c r="D93" s="67" t="s">
        <v>265</v>
      </c>
      <c r="E93" s="67" t="s">
        <v>266</v>
      </c>
      <c r="F93" s="67" t="s">
        <v>125</v>
      </c>
      <c r="G93" s="33">
        <v>0</v>
      </c>
      <c r="H93" s="33">
        <v>0</v>
      </c>
      <c r="I93" s="85">
        <v>0.45694000000000001</v>
      </c>
      <c r="J93" s="33">
        <v>1.5518180252010505E-5</v>
      </c>
      <c r="K93" s="33">
        <v>8.5259796820108439E-7</v>
      </c>
    </row>
    <row r="94" spans="1:11" x14ac:dyDescent="0.25">
      <c r="A94" s="17" t="s">
        <v>2807</v>
      </c>
      <c r="B94" s="33" t="s">
        <v>346</v>
      </c>
      <c r="C94" s="33" t="s">
        <v>264</v>
      </c>
      <c r="D94" s="67" t="s">
        <v>265</v>
      </c>
      <c r="E94" s="67" t="s">
        <v>266</v>
      </c>
      <c r="F94" s="67" t="s">
        <v>125</v>
      </c>
      <c r="G94" s="33">
        <v>0</v>
      </c>
      <c r="H94" s="33">
        <v>0</v>
      </c>
      <c r="I94" s="85">
        <v>0.26383999999999996</v>
      </c>
      <c r="J94" s="33">
        <v>8.9602938628495007E-6</v>
      </c>
      <c r="K94" s="33">
        <v>4.9229537341921056E-7</v>
      </c>
    </row>
    <row r="95" spans="1:11" x14ac:dyDescent="0.25">
      <c r="A95" s="17" t="s">
        <v>2807</v>
      </c>
      <c r="B95" s="33" t="s">
        <v>347</v>
      </c>
      <c r="C95" s="33" t="s">
        <v>264</v>
      </c>
      <c r="D95" s="67" t="s">
        <v>265</v>
      </c>
      <c r="E95" s="67" t="s">
        <v>266</v>
      </c>
      <c r="F95" s="67" t="s">
        <v>125</v>
      </c>
      <c r="G95" s="33">
        <v>0</v>
      </c>
      <c r="H95" s="33">
        <v>0</v>
      </c>
      <c r="I95" s="85">
        <v>1.177</v>
      </c>
      <c r="J95" s="33">
        <v>3.9972202382405488E-5</v>
      </c>
      <c r="K95" s="33">
        <v>2.1961478718708724E-6</v>
      </c>
    </row>
    <row r="96" spans="1:11" x14ac:dyDescent="0.25">
      <c r="A96" s="17" t="s">
        <v>2806</v>
      </c>
      <c r="B96" s="33" t="s">
        <v>348</v>
      </c>
      <c r="C96" s="33" t="s">
        <v>264</v>
      </c>
      <c r="D96" s="67" t="s">
        <v>265</v>
      </c>
      <c r="E96" s="67" t="s">
        <v>266</v>
      </c>
      <c r="F96" s="67" t="s">
        <v>125</v>
      </c>
      <c r="G96" s="33">
        <v>0</v>
      </c>
      <c r="H96" s="33">
        <v>0</v>
      </c>
      <c r="I96" s="85">
        <v>108.28939</v>
      </c>
      <c r="J96" s="33">
        <v>3.6776256694538972E-3</v>
      </c>
      <c r="K96" s="33">
        <v>2.0205566133788862E-4</v>
      </c>
    </row>
    <row r="97" spans="1:11" x14ac:dyDescent="0.25">
      <c r="A97" s="17" t="s">
        <v>2806</v>
      </c>
      <c r="B97" s="33" t="s">
        <v>352</v>
      </c>
      <c r="C97" s="33" t="s">
        <v>264</v>
      </c>
      <c r="D97" s="67" t="s">
        <v>265</v>
      </c>
      <c r="E97" s="67" t="s">
        <v>266</v>
      </c>
      <c r="F97" s="67" t="s">
        <v>125</v>
      </c>
      <c r="G97" s="33">
        <v>0</v>
      </c>
      <c r="H97" s="33">
        <v>0</v>
      </c>
      <c r="I97" s="85">
        <v>-6.6900000000000001E-2</v>
      </c>
      <c r="J97" s="33">
        <v>-2.2719968898750444E-6</v>
      </c>
      <c r="K97" s="33">
        <v>-1.2482777623463156E-7</v>
      </c>
    </row>
    <row r="98" spans="1:11" x14ac:dyDescent="0.25">
      <c r="A98" s="17" t="s">
        <v>2806</v>
      </c>
      <c r="B98" s="33" t="s">
        <v>354</v>
      </c>
      <c r="C98" s="33" t="s">
        <v>264</v>
      </c>
      <c r="D98" s="67" t="s">
        <v>265</v>
      </c>
      <c r="E98" s="67" t="s">
        <v>266</v>
      </c>
      <c r="F98" s="67" t="s">
        <v>125</v>
      </c>
      <c r="G98" s="33">
        <v>0</v>
      </c>
      <c r="H98" s="33">
        <v>0</v>
      </c>
      <c r="I98" s="85">
        <v>40.68197</v>
      </c>
      <c r="J98" s="33">
        <v>1.3816040256201772E-3</v>
      </c>
      <c r="K98" s="33">
        <v>7.5907919999162847E-5</v>
      </c>
    </row>
    <row r="99" spans="1:11" s="119" customFormat="1" x14ac:dyDescent="0.25">
      <c r="A99" s="93" t="s">
        <v>355</v>
      </c>
      <c r="B99" s="121" t="s">
        <v>251</v>
      </c>
      <c r="C99" s="121" t="s">
        <v>251</v>
      </c>
      <c r="D99" s="122" t="s">
        <v>251</v>
      </c>
      <c r="E99" s="122" t="s">
        <v>251</v>
      </c>
      <c r="F99" s="122" t="s">
        <v>251</v>
      </c>
      <c r="G99" s="121" t="s">
        <v>251</v>
      </c>
      <c r="H99" s="121" t="s">
        <v>251</v>
      </c>
      <c r="I99" s="124">
        <v>0</v>
      </c>
      <c r="J99" s="121">
        <v>0</v>
      </c>
      <c r="K99" s="121">
        <v>0</v>
      </c>
    </row>
    <row r="100" spans="1:11" s="119" customFormat="1" x14ac:dyDescent="0.25">
      <c r="A100" s="93" t="s">
        <v>356</v>
      </c>
      <c r="B100" s="121" t="s">
        <v>251</v>
      </c>
      <c r="C100" s="121" t="s">
        <v>251</v>
      </c>
      <c r="D100" s="122" t="s">
        <v>251</v>
      </c>
      <c r="E100" s="122" t="s">
        <v>251</v>
      </c>
      <c r="F100" s="122" t="s">
        <v>251</v>
      </c>
      <c r="G100" s="121" t="s">
        <v>251</v>
      </c>
      <c r="H100" s="121" t="s">
        <v>251</v>
      </c>
      <c r="I100" s="124">
        <v>0</v>
      </c>
      <c r="J100" s="121">
        <v>0</v>
      </c>
      <c r="K100" s="121">
        <v>0</v>
      </c>
    </row>
    <row r="101" spans="1:11" s="119" customFormat="1" x14ac:dyDescent="0.25">
      <c r="A101" s="93" t="s">
        <v>357</v>
      </c>
      <c r="B101" s="121" t="s">
        <v>251</v>
      </c>
      <c r="C101" s="121" t="s">
        <v>251</v>
      </c>
      <c r="D101" s="122" t="s">
        <v>251</v>
      </c>
      <c r="E101" s="122" t="s">
        <v>251</v>
      </c>
      <c r="F101" s="122" t="s">
        <v>251</v>
      </c>
      <c r="G101" s="121" t="s">
        <v>251</v>
      </c>
      <c r="H101" s="121" t="s">
        <v>251</v>
      </c>
      <c r="I101" s="124">
        <v>0</v>
      </c>
      <c r="J101" s="121">
        <v>0</v>
      </c>
      <c r="K101" s="121">
        <v>0</v>
      </c>
    </row>
    <row r="102" spans="1:11" s="119" customFormat="1" x14ac:dyDescent="0.25">
      <c r="A102" s="93" t="s">
        <v>358</v>
      </c>
      <c r="B102" s="121" t="s">
        <v>251</v>
      </c>
      <c r="C102" s="121" t="s">
        <v>251</v>
      </c>
      <c r="D102" s="122" t="s">
        <v>251</v>
      </c>
      <c r="E102" s="122" t="s">
        <v>251</v>
      </c>
      <c r="F102" s="122" t="s">
        <v>251</v>
      </c>
      <c r="G102" s="121" t="s">
        <v>251</v>
      </c>
      <c r="H102" s="121" t="s">
        <v>251</v>
      </c>
      <c r="I102" s="124">
        <v>16693.278810100001</v>
      </c>
      <c r="J102" s="121">
        <v>0.56692193629841825</v>
      </c>
      <c r="K102" s="121">
        <v>3.1147755933176077E-2</v>
      </c>
    </row>
    <row r="103" spans="1:11" x14ac:dyDescent="0.25">
      <c r="A103" s="17" t="s">
        <v>363</v>
      </c>
      <c r="B103" s="33" t="s">
        <v>364</v>
      </c>
      <c r="C103" s="33" t="s">
        <v>254</v>
      </c>
      <c r="D103" s="67" t="s">
        <v>255</v>
      </c>
      <c r="E103" s="67" t="s">
        <v>256</v>
      </c>
      <c r="F103" s="67" t="s">
        <v>257</v>
      </c>
      <c r="G103" s="33">
        <v>8.0000000000000004E-4</v>
      </c>
      <c r="H103" s="33">
        <v>8.0000000000000004E-4</v>
      </c>
      <c r="I103" s="85">
        <v>855.8500600000001</v>
      </c>
      <c r="J103" s="33">
        <v>2.9065600515984606E-2</v>
      </c>
      <c r="K103" s="33">
        <v>1.5969186813165322E-3</v>
      </c>
    </row>
    <row r="104" spans="1:11" x14ac:dyDescent="0.25">
      <c r="A104" s="17" t="s">
        <v>359</v>
      </c>
      <c r="B104" s="33" t="s">
        <v>360</v>
      </c>
      <c r="C104" s="33" t="s">
        <v>261</v>
      </c>
      <c r="D104" s="67" t="s">
        <v>255</v>
      </c>
      <c r="E104" s="67" t="s">
        <v>256</v>
      </c>
      <c r="F104" s="67" t="s">
        <v>257</v>
      </c>
      <c r="G104" s="33">
        <v>8.0000000000000004E-4</v>
      </c>
      <c r="H104" s="33">
        <v>8.0000000000000004E-4</v>
      </c>
      <c r="I104" s="85">
        <v>410.41827000000001</v>
      </c>
      <c r="J104" s="33">
        <v>1.3938251614168853E-2</v>
      </c>
      <c r="K104" s="33">
        <v>7.6579372152712404E-4</v>
      </c>
    </row>
    <row r="105" spans="1:11" x14ac:dyDescent="0.25">
      <c r="A105" s="17" t="s">
        <v>371</v>
      </c>
      <c r="B105" s="33" t="s">
        <v>372</v>
      </c>
      <c r="C105" s="33" t="s">
        <v>261</v>
      </c>
      <c r="D105" s="67" t="s">
        <v>255</v>
      </c>
      <c r="E105" s="67" t="s">
        <v>256</v>
      </c>
      <c r="F105" s="67" t="s">
        <v>257</v>
      </c>
      <c r="G105" s="33">
        <v>0</v>
      </c>
      <c r="H105" s="33">
        <v>0</v>
      </c>
      <c r="I105" s="85">
        <v>-6.4999999999999997E-4</v>
      </c>
      <c r="J105" s="33">
        <v>-2.2074708197590119E-8</v>
      </c>
      <c r="K105" s="33">
        <v>-1.2128259275412632E-9</v>
      </c>
    </row>
    <row r="106" spans="1:11" x14ac:dyDescent="0.25">
      <c r="A106" s="17" t="s">
        <v>367</v>
      </c>
      <c r="B106" s="33" t="s">
        <v>368</v>
      </c>
      <c r="C106" s="33" t="s">
        <v>293</v>
      </c>
      <c r="D106" s="67" t="s">
        <v>255</v>
      </c>
      <c r="E106" s="67" t="s">
        <v>256</v>
      </c>
      <c r="F106" s="67" t="s">
        <v>257</v>
      </c>
      <c r="G106" s="33">
        <v>8.0000000000000004E-4</v>
      </c>
      <c r="H106" s="33">
        <v>8.0000000000000004E-4</v>
      </c>
      <c r="I106" s="85">
        <v>2176.7980699999998</v>
      </c>
      <c r="J106" s="33">
        <v>7.3926434154349754E-2</v>
      </c>
      <c r="K106" s="33">
        <v>4.0616571358735101E-3</v>
      </c>
    </row>
    <row r="107" spans="1:11" x14ac:dyDescent="0.25">
      <c r="A107" s="17" t="s">
        <v>369</v>
      </c>
      <c r="B107" s="33" t="s">
        <v>370</v>
      </c>
      <c r="C107" s="33" t="s">
        <v>293</v>
      </c>
      <c r="D107" s="67" t="s">
        <v>255</v>
      </c>
      <c r="E107" s="67" t="s">
        <v>256</v>
      </c>
      <c r="F107" s="67" t="s">
        <v>257</v>
      </c>
      <c r="G107" s="33">
        <v>0</v>
      </c>
      <c r="H107" s="33">
        <v>0</v>
      </c>
      <c r="I107" s="85">
        <v>3516.8844700000004</v>
      </c>
      <c r="J107" s="33">
        <v>0.11943722836905597</v>
      </c>
      <c r="K107" s="33">
        <v>6.5621056452049454E-3</v>
      </c>
    </row>
    <row r="108" spans="1:11" x14ac:dyDescent="0.25">
      <c r="A108" s="17" t="s">
        <v>369</v>
      </c>
      <c r="B108" s="33" t="s">
        <v>373</v>
      </c>
      <c r="C108" s="33" t="s">
        <v>293</v>
      </c>
      <c r="D108" s="67" t="s">
        <v>255</v>
      </c>
      <c r="E108" s="67" t="s">
        <v>256</v>
      </c>
      <c r="F108" s="67" t="s">
        <v>257</v>
      </c>
      <c r="G108" s="33">
        <v>8.0000000000000004E-4</v>
      </c>
      <c r="H108" s="33">
        <v>8.0000000000000004E-4</v>
      </c>
      <c r="I108" s="85">
        <v>4123.4939199999999</v>
      </c>
      <c r="J108" s="33">
        <v>0.14003834621313385</v>
      </c>
      <c r="K108" s="33">
        <v>7.6939697511303994E-3</v>
      </c>
    </row>
    <row r="109" spans="1:11" x14ac:dyDescent="0.25">
      <c r="A109" s="17" t="s">
        <v>365</v>
      </c>
      <c r="B109" s="33" t="s">
        <v>366</v>
      </c>
      <c r="C109" s="33" t="s">
        <v>295</v>
      </c>
      <c r="D109" s="67" t="s">
        <v>255</v>
      </c>
      <c r="E109" s="67" t="s">
        <v>256</v>
      </c>
      <c r="F109" s="67" t="s">
        <v>257</v>
      </c>
      <c r="G109" s="33">
        <v>8.0000000000000004E-4</v>
      </c>
      <c r="H109" s="33">
        <v>8.0000000000000004E-4</v>
      </c>
      <c r="I109" s="85">
        <v>1147.3649399999999</v>
      </c>
      <c r="J109" s="33">
        <v>3.8965763456377679E-2</v>
      </c>
      <c r="K109" s="33">
        <v>2.1408522270520399E-3</v>
      </c>
    </row>
    <row r="110" spans="1:11" x14ac:dyDescent="0.25">
      <c r="A110" s="17" t="s">
        <v>361</v>
      </c>
      <c r="B110" s="33" t="s">
        <v>362</v>
      </c>
      <c r="C110" s="33" t="s">
        <v>290</v>
      </c>
      <c r="D110" s="67" t="s">
        <v>255</v>
      </c>
      <c r="E110" s="67" t="s">
        <v>256</v>
      </c>
      <c r="F110" s="67" t="s">
        <v>257</v>
      </c>
      <c r="G110" s="33">
        <v>8.0000000000000004E-4</v>
      </c>
      <c r="H110" s="33">
        <v>8.0000000000000004E-4</v>
      </c>
      <c r="I110" s="85">
        <v>4462.4697300000007</v>
      </c>
      <c r="J110" s="33">
        <v>0.15155033404665963</v>
      </c>
      <c r="K110" s="33">
        <v>8.3264599837108641E-3</v>
      </c>
    </row>
    <row r="111" spans="1:11" s="119" customFormat="1" x14ac:dyDescent="0.25">
      <c r="A111" s="93" t="s">
        <v>374</v>
      </c>
      <c r="B111" s="121" t="s">
        <v>251</v>
      </c>
      <c r="C111" s="121" t="s">
        <v>251</v>
      </c>
      <c r="D111" s="122" t="s">
        <v>251</v>
      </c>
      <c r="E111" s="122" t="s">
        <v>251</v>
      </c>
      <c r="F111" s="122" t="s">
        <v>251</v>
      </c>
      <c r="G111" s="121" t="s">
        <v>251</v>
      </c>
      <c r="H111" s="121" t="s">
        <v>251</v>
      </c>
      <c r="I111" s="124">
        <v>1356.5569100999999</v>
      </c>
      <c r="J111" s="121">
        <v>4.6070150682895369E-2</v>
      </c>
      <c r="K111" s="121">
        <v>2.5311806042377575E-3</v>
      </c>
    </row>
    <row r="112" spans="1:11" x14ac:dyDescent="0.25">
      <c r="A112" s="17" t="s">
        <v>2832</v>
      </c>
      <c r="B112" s="33" t="s">
        <v>379</v>
      </c>
      <c r="C112" s="33" t="s">
        <v>254</v>
      </c>
      <c r="D112" s="67" t="s">
        <v>255</v>
      </c>
      <c r="E112" s="67" t="s">
        <v>256</v>
      </c>
      <c r="F112" s="67" t="s">
        <v>125</v>
      </c>
      <c r="G112" s="33">
        <v>0</v>
      </c>
      <c r="H112" s="33">
        <v>0</v>
      </c>
      <c r="I112" s="85">
        <v>407.45643999999999</v>
      </c>
      <c r="J112" s="33">
        <v>1.3837664640352132E-2</v>
      </c>
      <c r="K112" s="33">
        <v>7.6026728427024777E-4</v>
      </c>
    </row>
    <row r="113" spans="1:11" x14ac:dyDescent="0.25">
      <c r="A113" s="17" t="s">
        <v>2833</v>
      </c>
      <c r="B113" s="33" t="s">
        <v>376</v>
      </c>
      <c r="C113" s="33" t="s">
        <v>259</v>
      </c>
      <c r="D113" s="67" t="s">
        <v>255</v>
      </c>
      <c r="E113" s="67" t="s">
        <v>256</v>
      </c>
      <c r="F113" s="67" t="s">
        <v>125</v>
      </c>
      <c r="G113" s="33">
        <v>0</v>
      </c>
      <c r="H113" s="33">
        <v>0</v>
      </c>
      <c r="I113" s="85">
        <v>114.72</v>
      </c>
      <c r="J113" s="33">
        <v>3.8960161914269819E-3</v>
      </c>
      <c r="K113" s="33">
        <v>2.1405444678082111E-4</v>
      </c>
    </row>
    <row r="114" spans="1:11" x14ac:dyDescent="0.25">
      <c r="A114" s="17" t="s">
        <v>2833</v>
      </c>
      <c r="B114" s="33" t="s">
        <v>380</v>
      </c>
      <c r="C114" s="33" t="s">
        <v>259</v>
      </c>
      <c r="D114" s="67" t="s">
        <v>255</v>
      </c>
      <c r="E114" s="67" t="s">
        <v>256</v>
      </c>
      <c r="F114" s="67" t="s">
        <v>125</v>
      </c>
      <c r="G114" s="33">
        <v>0</v>
      </c>
      <c r="H114" s="33">
        <v>0</v>
      </c>
      <c r="I114" s="85">
        <v>33.477809999999998</v>
      </c>
      <c r="J114" s="33">
        <v>1.1369429028374835E-3</v>
      </c>
      <c r="K114" s="33">
        <v>6.2465778408154116E-5</v>
      </c>
    </row>
    <row r="115" spans="1:11" x14ac:dyDescent="0.25">
      <c r="A115" s="17" t="s">
        <v>2833</v>
      </c>
      <c r="B115" s="33" t="s">
        <v>381</v>
      </c>
      <c r="C115" s="33" t="s">
        <v>259</v>
      </c>
      <c r="D115" s="67" t="s">
        <v>255</v>
      </c>
      <c r="E115" s="67" t="s">
        <v>256</v>
      </c>
      <c r="F115" s="67" t="s">
        <v>125</v>
      </c>
      <c r="G115" s="33">
        <v>0</v>
      </c>
      <c r="H115" s="33">
        <v>0</v>
      </c>
      <c r="I115" s="85">
        <v>-4.2621000000000002</v>
      </c>
      <c r="J115" s="33">
        <v>-1.4474555970607516E-4</v>
      </c>
      <c r="K115" s="33">
        <v>-7.9525929011901829E-6</v>
      </c>
    </row>
    <row r="116" spans="1:11" x14ac:dyDescent="0.25">
      <c r="A116" s="17" t="s">
        <v>2833</v>
      </c>
      <c r="B116" s="33" t="s">
        <v>382</v>
      </c>
      <c r="C116" s="33" t="s">
        <v>259</v>
      </c>
      <c r="D116" s="67" t="s">
        <v>255</v>
      </c>
      <c r="E116" s="67" t="s">
        <v>256</v>
      </c>
      <c r="F116" s="67" t="s">
        <v>125</v>
      </c>
      <c r="G116" s="33">
        <v>0</v>
      </c>
      <c r="H116" s="33">
        <v>0</v>
      </c>
      <c r="I116" s="85">
        <v>227.54362</v>
      </c>
      <c r="J116" s="33">
        <v>7.7276292518820471E-3</v>
      </c>
      <c r="K116" s="33">
        <v>4.245704645886104E-4</v>
      </c>
    </row>
    <row r="117" spans="1:11" x14ac:dyDescent="0.25">
      <c r="A117" s="17" t="s">
        <v>2845</v>
      </c>
      <c r="B117" s="33" t="s">
        <v>375</v>
      </c>
      <c r="C117" s="33" t="s">
        <v>261</v>
      </c>
      <c r="D117" s="67" t="s">
        <v>255</v>
      </c>
      <c r="E117" s="67" t="s">
        <v>256</v>
      </c>
      <c r="F117" s="67" t="s">
        <v>125</v>
      </c>
      <c r="G117" s="33">
        <v>0</v>
      </c>
      <c r="H117" s="33">
        <v>0</v>
      </c>
      <c r="I117" s="85">
        <v>528.89724999999999</v>
      </c>
      <c r="J117" s="33">
        <v>1.7961926861935183E-2</v>
      </c>
      <c r="K117" s="33">
        <v>9.8686199662349761E-4</v>
      </c>
    </row>
    <row r="118" spans="1:11" x14ac:dyDescent="0.25">
      <c r="A118" s="17" t="s">
        <v>2834</v>
      </c>
      <c r="B118" s="33" t="s">
        <v>377</v>
      </c>
      <c r="C118" s="33" t="s">
        <v>261</v>
      </c>
      <c r="D118" s="67" t="s">
        <v>255</v>
      </c>
      <c r="E118" s="67" t="s">
        <v>256</v>
      </c>
      <c r="F118" s="67" t="s">
        <v>125</v>
      </c>
      <c r="G118" s="33">
        <v>0</v>
      </c>
      <c r="H118" s="33">
        <v>0</v>
      </c>
      <c r="I118" s="85">
        <v>19.457189999999997</v>
      </c>
      <c r="J118" s="33">
        <v>6.6078737168472068E-4</v>
      </c>
      <c r="K118" s="33">
        <v>3.6304899244763983E-5</v>
      </c>
    </row>
    <row r="119" spans="1:11" x14ac:dyDescent="0.25">
      <c r="A119" s="17" t="s">
        <v>2834</v>
      </c>
      <c r="B119" s="33" t="s">
        <v>378</v>
      </c>
      <c r="C119" s="33" t="s">
        <v>261</v>
      </c>
      <c r="D119" s="67" t="s">
        <v>255</v>
      </c>
      <c r="E119" s="67" t="s">
        <v>256</v>
      </c>
      <c r="F119" s="67" t="s">
        <v>125</v>
      </c>
      <c r="G119" s="33">
        <v>0</v>
      </c>
      <c r="H119" s="33">
        <v>0</v>
      </c>
      <c r="I119" s="85">
        <v>-3.8686799999999999</v>
      </c>
      <c r="J119" s="33">
        <v>-1.3138458786131219E-4</v>
      </c>
      <c r="K119" s="33">
        <v>-7.2185160144005147E-6</v>
      </c>
    </row>
    <row r="120" spans="1:11" x14ac:dyDescent="0.25">
      <c r="A120" s="17" t="s">
        <v>2834</v>
      </c>
      <c r="B120" s="33" t="s">
        <v>383</v>
      </c>
      <c r="C120" s="33" t="s">
        <v>261</v>
      </c>
      <c r="D120" s="67" t="s">
        <v>255</v>
      </c>
      <c r="E120" s="67" t="s">
        <v>256</v>
      </c>
      <c r="F120" s="67" t="s">
        <v>125</v>
      </c>
      <c r="G120" s="33">
        <v>0</v>
      </c>
      <c r="H120" s="33">
        <v>0</v>
      </c>
      <c r="I120" s="85">
        <v>33.135379999999998</v>
      </c>
      <c r="J120" s="33">
        <v>1.1253136069480979E-3</v>
      </c>
      <c r="K120" s="33">
        <v>6.1826843050664964E-5</v>
      </c>
    </row>
    <row r="121" spans="1:11" s="119" customFormat="1" x14ac:dyDescent="0.25">
      <c r="A121" s="93" t="s">
        <v>384</v>
      </c>
      <c r="B121" s="121" t="s">
        <v>251</v>
      </c>
      <c r="C121" s="121" t="s">
        <v>251</v>
      </c>
      <c r="D121" s="122" t="s">
        <v>251</v>
      </c>
      <c r="E121" s="122" t="s">
        <v>251</v>
      </c>
      <c r="F121" s="122" t="s">
        <v>251</v>
      </c>
      <c r="G121" s="121" t="s">
        <v>251</v>
      </c>
      <c r="H121" s="121" t="s">
        <v>251</v>
      </c>
      <c r="I121" s="124">
        <v>1457.9651402</v>
      </c>
      <c r="J121" s="121">
        <v>4.9514084664882406E-2</v>
      </c>
      <c r="K121" s="121">
        <v>2.7203968053629121E-3</v>
      </c>
    </row>
    <row r="122" spans="1:11" s="119" customFormat="1" x14ac:dyDescent="0.25">
      <c r="A122" s="93" t="s">
        <v>313</v>
      </c>
      <c r="B122" s="121" t="s">
        <v>251</v>
      </c>
      <c r="C122" s="121" t="s">
        <v>251</v>
      </c>
      <c r="D122" s="122" t="s">
        <v>251</v>
      </c>
      <c r="E122" s="122" t="s">
        <v>251</v>
      </c>
      <c r="F122" s="122" t="s">
        <v>251</v>
      </c>
      <c r="G122" s="121" t="s">
        <v>251</v>
      </c>
      <c r="H122" s="121" t="s">
        <v>251</v>
      </c>
      <c r="I122" s="124">
        <v>-34.203389900000005</v>
      </c>
      <c r="J122" s="121">
        <v>-1.1615843867860017E-3</v>
      </c>
      <c r="K122" s="121">
        <v>-6.3819627816189207E-5</v>
      </c>
    </row>
    <row r="123" spans="1:11" x14ac:dyDescent="0.25">
      <c r="A123" s="17" t="s">
        <v>2846</v>
      </c>
      <c r="B123" s="33" t="s">
        <v>385</v>
      </c>
      <c r="C123" s="33" t="s">
        <v>386</v>
      </c>
      <c r="D123" s="67" t="s">
        <v>387</v>
      </c>
      <c r="E123" s="67" t="s">
        <v>266</v>
      </c>
      <c r="F123" s="67" t="s">
        <v>126</v>
      </c>
      <c r="G123" s="33">
        <v>0</v>
      </c>
      <c r="H123" s="33">
        <v>0</v>
      </c>
      <c r="I123" s="85">
        <v>5.9999999999999995E-4</v>
      </c>
      <c r="J123" s="33">
        <v>2.0376653720852414E-8</v>
      </c>
      <c r="K123" s="33">
        <v>1.1195316254227045E-9</v>
      </c>
    </row>
    <row r="124" spans="1:11" x14ac:dyDescent="0.25">
      <c r="A124" s="17" t="s">
        <v>2835</v>
      </c>
      <c r="B124" s="33" t="s">
        <v>388</v>
      </c>
      <c r="C124" s="33" t="s">
        <v>386</v>
      </c>
      <c r="D124" s="67" t="s">
        <v>387</v>
      </c>
      <c r="E124" s="67" t="s">
        <v>266</v>
      </c>
      <c r="F124" s="67" t="s">
        <v>2</v>
      </c>
      <c r="G124" s="33">
        <v>0</v>
      </c>
      <c r="H124" s="33">
        <v>0</v>
      </c>
      <c r="I124" s="85">
        <v>9.3999999999999997E-4</v>
      </c>
      <c r="J124" s="33">
        <v>3.1923424162668783E-8</v>
      </c>
      <c r="K124" s="33">
        <v>1.7539328798289039E-9</v>
      </c>
    </row>
    <row r="125" spans="1:11" x14ac:dyDescent="0.25">
      <c r="A125" s="17" t="s">
        <v>2836</v>
      </c>
      <c r="B125" s="33" t="s">
        <v>389</v>
      </c>
      <c r="C125" s="33" t="s">
        <v>386</v>
      </c>
      <c r="D125" s="67" t="s">
        <v>387</v>
      </c>
      <c r="E125" s="67" t="s">
        <v>266</v>
      </c>
      <c r="F125" s="67" t="s">
        <v>125</v>
      </c>
      <c r="G125" s="33">
        <v>0</v>
      </c>
      <c r="H125" s="33">
        <v>0</v>
      </c>
      <c r="I125" s="85">
        <v>5.203E-2</v>
      </c>
      <c r="J125" s="33">
        <v>1.766995488493252E-6</v>
      </c>
      <c r="K125" s="33">
        <v>9.70820507845722E-8</v>
      </c>
    </row>
    <row r="126" spans="1:11" x14ac:dyDescent="0.25">
      <c r="A126" s="17" t="s">
        <v>2837</v>
      </c>
      <c r="B126" s="33" t="s">
        <v>390</v>
      </c>
      <c r="C126" s="33" t="s">
        <v>386</v>
      </c>
      <c r="D126" s="67" t="s">
        <v>387</v>
      </c>
      <c r="E126" s="67" t="s">
        <v>266</v>
      </c>
      <c r="F126" s="67" t="s">
        <v>125</v>
      </c>
      <c r="G126" s="33">
        <v>0</v>
      </c>
      <c r="H126" s="33">
        <v>0</v>
      </c>
      <c r="I126" s="85">
        <v>-8.8552</v>
      </c>
      <c r="J126" s="33">
        <v>-3.0073224004815389E-4</v>
      </c>
      <c r="K126" s="33">
        <v>-1.6522794082405224E-5</v>
      </c>
    </row>
    <row r="127" spans="1:11" x14ac:dyDescent="0.25">
      <c r="A127" s="17" t="s">
        <v>2847</v>
      </c>
      <c r="B127" s="33" t="s">
        <v>391</v>
      </c>
      <c r="C127" s="33" t="s">
        <v>392</v>
      </c>
      <c r="D127" s="67" t="s">
        <v>393</v>
      </c>
      <c r="E127" s="67" t="s">
        <v>266</v>
      </c>
      <c r="F127" s="67" t="s">
        <v>125</v>
      </c>
      <c r="G127" s="33">
        <v>0</v>
      </c>
      <c r="H127" s="33">
        <v>0</v>
      </c>
      <c r="I127" s="85">
        <v>0.74651000000000001</v>
      </c>
      <c r="J127" s="33">
        <v>2.5352292948589229E-5</v>
      </c>
      <c r="K127" s="33">
        <v>1.3929025894905054E-6</v>
      </c>
    </row>
    <row r="128" spans="1:11" x14ac:dyDescent="0.25">
      <c r="A128" s="17" t="s">
        <v>2817</v>
      </c>
      <c r="B128" s="33" t="s">
        <v>394</v>
      </c>
      <c r="C128" s="33" t="s">
        <v>395</v>
      </c>
      <c r="D128" s="67" t="s">
        <v>396</v>
      </c>
      <c r="E128" s="67" t="s">
        <v>397</v>
      </c>
      <c r="F128" s="67" t="s">
        <v>125</v>
      </c>
      <c r="G128" s="33">
        <v>0</v>
      </c>
      <c r="H128" s="33">
        <v>0</v>
      </c>
      <c r="I128" s="85">
        <v>-26.14827</v>
      </c>
      <c r="J128" s="33">
        <v>-8.8802373864892267E-4</v>
      </c>
      <c r="K128" s="33">
        <v>-4.8789692025152904E-5</v>
      </c>
    </row>
    <row r="129" spans="1:11" s="119" customFormat="1" x14ac:dyDescent="0.25">
      <c r="A129" s="93" t="s">
        <v>374</v>
      </c>
      <c r="B129" s="121" t="s">
        <v>251</v>
      </c>
      <c r="C129" s="121" t="s">
        <v>251</v>
      </c>
      <c r="D129" s="122" t="s">
        <v>251</v>
      </c>
      <c r="E129" s="122" t="s">
        <v>251</v>
      </c>
      <c r="F129" s="122" t="s">
        <v>251</v>
      </c>
      <c r="G129" s="121" t="s">
        <v>251</v>
      </c>
      <c r="H129" s="121" t="s">
        <v>251</v>
      </c>
      <c r="I129" s="124">
        <v>1492.1685301</v>
      </c>
      <c r="J129" s="121">
        <v>5.0675669051668412E-2</v>
      </c>
      <c r="K129" s="121">
        <v>2.7842164331791015E-3</v>
      </c>
    </row>
    <row r="130" spans="1:11" x14ac:dyDescent="0.25">
      <c r="A130" s="17" t="s">
        <v>2838</v>
      </c>
      <c r="B130" s="33" t="s">
        <v>398</v>
      </c>
      <c r="C130" s="33" t="s">
        <v>386</v>
      </c>
      <c r="D130" s="67" t="s">
        <v>387</v>
      </c>
      <c r="E130" s="67" t="s">
        <v>266</v>
      </c>
      <c r="F130" s="67" t="s">
        <v>125</v>
      </c>
      <c r="G130" s="33">
        <v>0</v>
      </c>
      <c r="H130" s="33">
        <v>0</v>
      </c>
      <c r="I130" s="85">
        <v>-146.10664000000003</v>
      </c>
      <c r="J130" s="33">
        <v>-4.9619406826620742E-3</v>
      </c>
      <c r="K130" s="33">
        <v>-2.7261834027374996E-4</v>
      </c>
    </row>
    <row r="131" spans="1:11" x14ac:dyDescent="0.25">
      <c r="A131" s="17" t="s">
        <v>2818</v>
      </c>
      <c r="B131" s="33" t="s">
        <v>399</v>
      </c>
      <c r="C131" s="33" t="s">
        <v>395</v>
      </c>
      <c r="D131" s="67" t="s">
        <v>396</v>
      </c>
      <c r="E131" s="67" t="s">
        <v>397</v>
      </c>
      <c r="F131" s="67" t="s">
        <v>125</v>
      </c>
      <c r="G131" s="33">
        <v>0</v>
      </c>
      <c r="H131" s="33">
        <v>0</v>
      </c>
      <c r="I131" s="85">
        <v>1414.88</v>
      </c>
      <c r="J131" s="33">
        <v>4.8050866360932774E-2</v>
      </c>
      <c r="K131" s="33">
        <v>2.6400048436301272E-3</v>
      </c>
    </row>
    <row r="132" spans="1:11" x14ac:dyDescent="0.25">
      <c r="A132" s="17" t="s">
        <v>2848</v>
      </c>
      <c r="B132" s="33" t="s">
        <v>400</v>
      </c>
      <c r="C132" s="33" t="s">
        <v>392</v>
      </c>
      <c r="D132" s="67" t="s">
        <v>393</v>
      </c>
      <c r="E132" s="67" t="s">
        <v>266</v>
      </c>
      <c r="F132" s="67" t="s">
        <v>125</v>
      </c>
      <c r="G132" s="33">
        <v>0</v>
      </c>
      <c r="H132" s="33">
        <v>0</v>
      </c>
      <c r="I132" s="85">
        <v>215.84344000000002</v>
      </c>
      <c r="J132" s="33">
        <v>7.3302783913293083E-3</v>
      </c>
      <c r="K132" s="33">
        <v>4.0273926203338007E-4</v>
      </c>
    </row>
    <row r="133" spans="1:11" x14ac:dyDescent="0.25">
      <c r="A133" s="17" t="s">
        <v>2808</v>
      </c>
      <c r="B133" s="33" t="s">
        <v>401</v>
      </c>
      <c r="C133" s="33" t="s">
        <v>264</v>
      </c>
      <c r="D133" s="67" t="s">
        <v>265</v>
      </c>
      <c r="E133" s="67" t="s">
        <v>266</v>
      </c>
      <c r="F133" s="67" t="s">
        <v>125</v>
      </c>
      <c r="G133" s="33">
        <v>0</v>
      </c>
      <c r="H133" s="33">
        <v>0</v>
      </c>
      <c r="I133" s="85">
        <v>-5.1490000000000001E-2</v>
      </c>
      <c r="J133" s="33">
        <v>-1.7486565001444848E-6</v>
      </c>
      <c r="K133" s="33">
        <v>-9.6074472321691767E-8</v>
      </c>
    </row>
    <row r="134" spans="1:11" x14ac:dyDescent="0.25">
      <c r="A134" s="17" t="s">
        <v>2818</v>
      </c>
      <c r="B134" s="33" t="s">
        <v>402</v>
      </c>
      <c r="C134" s="33" t="s">
        <v>395</v>
      </c>
      <c r="D134" s="67" t="s">
        <v>396</v>
      </c>
      <c r="E134" s="67" t="s">
        <v>397</v>
      </c>
      <c r="F134" s="67" t="s">
        <v>125</v>
      </c>
      <c r="G134" s="33">
        <v>0</v>
      </c>
      <c r="H134" s="33">
        <v>0</v>
      </c>
      <c r="I134" s="85">
        <v>54.232819999999997</v>
      </c>
      <c r="J134" s="33">
        <v>1.8418056557421988E-3</v>
      </c>
      <c r="K134" s="33">
        <v>1.0119226187642826E-4</v>
      </c>
    </row>
    <row r="135" spans="1:11" x14ac:dyDescent="0.25">
      <c r="A135" s="17" t="s">
        <v>2817</v>
      </c>
      <c r="B135" s="33" t="s">
        <v>403</v>
      </c>
      <c r="C135" s="33" t="s">
        <v>395</v>
      </c>
      <c r="D135" s="67" t="s">
        <v>396</v>
      </c>
      <c r="E135" s="67" t="s">
        <v>397</v>
      </c>
      <c r="F135" s="67" t="s">
        <v>125</v>
      </c>
      <c r="G135" s="33">
        <v>0</v>
      </c>
      <c r="H135" s="33">
        <v>0</v>
      </c>
      <c r="I135" s="85">
        <v>-15.13503</v>
      </c>
      <c r="J135" s="33">
        <v>-5.1400210894118827E-4</v>
      </c>
      <c r="K135" s="33">
        <v>-2.8240241227868997E-5</v>
      </c>
    </row>
    <row r="136" spans="1:11" x14ac:dyDescent="0.25">
      <c r="A136" s="17" t="s">
        <v>2849</v>
      </c>
      <c r="B136" s="33" t="s">
        <v>404</v>
      </c>
      <c r="C136" s="33" t="s">
        <v>395</v>
      </c>
      <c r="D136" s="67" t="s">
        <v>396</v>
      </c>
      <c r="E136" s="67" t="s">
        <v>397</v>
      </c>
      <c r="F136" s="67" t="s">
        <v>257</v>
      </c>
      <c r="G136" s="33">
        <v>0</v>
      </c>
      <c r="H136" s="33">
        <v>0</v>
      </c>
      <c r="I136" s="85">
        <v>-66.482649999999992</v>
      </c>
      <c r="J136" s="33">
        <v>-2.2578232291577145E-3</v>
      </c>
      <c r="K136" s="33">
        <v>-1.2404904869484795E-4</v>
      </c>
    </row>
    <row r="137" spans="1:11" x14ac:dyDescent="0.25">
      <c r="A137" s="17" t="s">
        <v>2818</v>
      </c>
      <c r="B137" s="33" t="s">
        <v>405</v>
      </c>
      <c r="C137" s="33" t="s">
        <v>395</v>
      </c>
      <c r="D137" s="67" t="s">
        <v>396</v>
      </c>
      <c r="E137" s="67" t="s">
        <v>397</v>
      </c>
      <c r="F137" s="67" t="s">
        <v>125</v>
      </c>
      <c r="G137" s="33">
        <v>0</v>
      </c>
      <c r="H137" s="33">
        <v>0</v>
      </c>
      <c r="I137" s="85">
        <v>34.948250000000002</v>
      </c>
      <c r="J137" s="33">
        <v>1.1868806473329674E-3</v>
      </c>
      <c r="K137" s="33">
        <v>6.520945188029839E-5</v>
      </c>
    </row>
    <row r="138" spans="1:11" x14ac:dyDescent="0.25">
      <c r="A138" s="17" t="s">
        <v>2819</v>
      </c>
      <c r="B138" s="33" t="s">
        <v>406</v>
      </c>
      <c r="C138" s="33" t="s">
        <v>395</v>
      </c>
      <c r="D138" s="67" t="s">
        <v>396</v>
      </c>
      <c r="E138" s="67" t="s">
        <v>397</v>
      </c>
      <c r="F138" s="67" t="s">
        <v>125</v>
      </c>
      <c r="G138" s="33">
        <v>0</v>
      </c>
      <c r="H138" s="33">
        <v>0</v>
      </c>
      <c r="I138" s="85">
        <v>3.9829999999999997E-2</v>
      </c>
      <c r="J138" s="33">
        <v>1.3526701961692527E-6</v>
      </c>
      <c r="K138" s="33">
        <v>7.4318241067643871E-8</v>
      </c>
    </row>
    <row r="139" spans="1:11" s="119" customFormat="1" x14ac:dyDescent="0.25">
      <c r="A139" s="79" t="s">
        <v>242</v>
      </c>
      <c r="B139" s="125"/>
      <c r="C139" s="125"/>
      <c r="D139" s="125"/>
      <c r="E139" s="126"/>
      <c r="F139" s="127"/>
      <c r="G139" s="128"/>
      <c r="H139" s="129"/>
      <c r="I139" s="128"/>
      <c r="J139" s="130"/>
    </row>
    <row r="140" spans="1:11" s="119" customFormat="1" x14ac:dyDescent="0.25">
      <c r="A140" s="79" t="s">
        <v>243</v>
      </c>
      <c r="B140" s="125"/>
      <c r="C140" s="125"/>
      <c r="D140" s="125"/>
      <c r="E140" s="126"/>
      <c r="F140" s="127"/>
      <c r="G140" s="128"/>
      <c r="H140" s="129"/>
      <c r="I140" s="128"/>
      <c r="J140" s="130"/>
    </row>
    <row r="141" spans="1:11" s="119" customFormat="1" x14ac:dyDescent="0.25">
      <c r="A141" s="79" t="s">
        <v>244</v>
      </c>
      <c r="B141" s="125"/>
      <c r="C141" s="125"/>
      <c r="D141" s="125"/>
      <c r="E141" s="126"/>
      <c r="F141" s="127"/>
      <c r="G141" s="128"/>
      <c r="H141" s="129"/>
      <c r="I141" s="128"/>
      <c r="J141" s="130"/>
    </row>
    <row r="142" spans="1:11" s="119" customFormat="1" x14ac:dyDescent="0.25">
      <c r="A142" s="79" t="s">
        <v>245</v>
      </c>
      <c r="B142" s="125"/>
      <c r="C142" s="125"/>
      <c r="D142" s="125"/>
      <c r="E142" s="126"/>
      <c r="F142" s="127"/>
      <c r="G142" s="128"/>
      <c r="H142" s="129"/>
      <c r="I142" s="128"/>
      <c r="J142" s="130"/>
    </row>
    <row r="143" spans="1:11" s="119" customFormat="1" x14ac:dyDescent="0.25">
      <c r="A143" s="79" t="s">
        <v>246</v>
      </c>
      <c r="B143" s="125"/>
      <c r="C143" s="125"/>
      <c r="D143" s="125"/>
      <c r="E143" s="126"/>
      <c r="F143" s="127"/>
      <c r="G143" s="128"/>
      <c r="H143" s="129"/>
      <c r="I143" s="128"/>
      <c r="J143" s="130"/>
    </row>
  </sheetData>
  <mergeCells count="1">
    <mergeCell ref="A5:K5"/>
  </mergeCells>
  <phoneticPr fontId="3" type="noConversion"/>
  <conditionalFormatting sqref="A10:A138 I10:K138">
    <cfRule type="expression" dxfId="129" priority="43" stopIfTrue="1">
      <formula>OR(LEFT(#REF!,3)="TIR",LEFT(#REF!,2)="IR")</formula>
    </cfRule>
  </conditionalFormatting>
  <conditionalFormatting sqref="B10:F138 J10:K138">
    <cfRule type="expression" dxfId="128" priority="39" stopIfTrue="1">
      <formula>LEFT(#REF!,3)="TIR"</formula>
    </cfRule>
  </conditionalFormatting>
  <conditionalFormatting sqref="G1:G4 G10:H138 G139:G55673">
    <cfRule type="expression" dxfId="127" priority="35" stopIfTrue="1">
      <formula>LEFT(#REF!,3)="TIR"</formula>
    </cfRule>
  </conditionalFormatting>
  <conditionalFormatting sqref="G6">
    <cfRule type="expression" dxfId="126" priority="38" stopIfTrue="1">
      <formula>LEFT(#REF!,3)="TIR"</formula>
    </cfRule>
  </conditionalFormatting>
  <conditionalFormatting sqref="I10:J138 A10:A138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8"/>
  <sheetViews>
    <sheetView rightToLeft="1" zoomScale="80" zoomScaleNormal="80" workbookViewId="0"/>
  </sheetViews>
  <sheetFormatPr defaultColWidth="9.109375" defaultRowHeight="13.2" x14ac:dyDescent="0.25"/>
  <cols>
    <col min="1" max="1" width="35.5546875" style="10" bestFit="1" customWidth="1"/>
    <col min="2" max="2" width="15.109375" style="9" bestFit="1" customWidth="1"/>
    <col min="3" max="3" width="12.33203125" style="9" customWidth="1"/>
    <col min="4" max="4" width="7.5546875" style="9" customWidth="1"/>
    <col min="5" max="5" width="11.109375" style="60" customWidth="1"/>
    <col min="6" max="6" width="14.109375" style="60" customWidth="1"/>
    <col min="7" max="7" width="7.88671875" style="60" customWidth="1"/>
    <col min="8" max="8" width="12" style="37" bestFit="1" customWidth="1"/>
    <col min="9" max="9" width="12.5546875" style="62" customWidth="1"/>
    <col min="10" max="10" width="14.109375" style="64" customWidth="1"/>
    <col min="11" max="11" width="13.5546875" style="64" bestFit="1" customWidth="1"/>
    <col min="12" max="12" width="8.88671875" style="64" bestFit="1" customWidth="1"/>
    <col min="13" max="13" width="16.5546875" style="64" customWidth="1"/>
    <col min="14" max="14" width="12.33203125" style="62" bestFit="1" customWidth="1"/>
    <col min="15" max="15" width="22" style="62" customWidth="1"/>
    <col min="16" max="16" width="25.44140625" style="62" customWidth="1"/>
    <col min="17" max="17" width="20.6640625" style="66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3"/>
      <c r="K1" s="63"/>
      <c r="L1" s="63"/>
      <c r="M1" s="63"/>
      <c r="N1" s="62"/>
      <c r="O1" s="62"/>
      <c r="P1" s="62"/>
      <c r="Q1" s="66"/>
    </row>
    <row r="2" spans="1:17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3"/>
      <c r="K2" s="63"/>
      <c r="L2" s="63"/>
      <c r="M2" s="63"/>
      <c r="N2" s="62"/>
      <c r="O2" s="62"/>
      <c r="P2" s="62"/>
      <c r="Q2" s="66"/>
    </row>
    <row r="3" spans="1:17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3"/>
      <c r="K3" s="63"/>
      <c r="L3" s="63"/>
      <c r="M3" s="63"/>
      <c r="N3" s="62"/>
      <c r="O3" s="62"/>
      <c r="P3" s="62"/>
      <c r="Q3" s="66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3"/>
      <c r="K4" s="63"/>
      <c r="L4" s="63"/>
      <c r="M4" s="63"/>
      <c r="N4" s="62"/>
      <c r="O4" s="62"/>
      <c r="P4" s="62"/>
      <c r="Q4" s="66"/>
    </row>
    <row r="5" spans="1:17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</row>
    <row r="6" spans="1:17" s="7" customFormat="1" x14ac:dyDescent="0.25">
      <c r="A6" s="225" t="s">
        <v>12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7"/>
    </row>
    <row r="7" spans="1:17" s="7" customFormat="1" ht="28.5" customHeight="1" x14ac:dyDescent="0.25">
      <c r="A7" s="206" t="s">
        <v>157</v>
      </c>
      <c r="B7" s="204" t="s">
        <v>69</v>
      </c>
      <c r="C7" s="204" t="s">
        <v>76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134</v>
      </c>
      <c r="N7" s="205" t="s">
        <v>7</v>
      </c>
      <c r="O7" s="90" t="s">
        <v>17</v>
      </c>
      <c r="P7" s="90" t="s">
        <v>75</v>
      </c>
      <c r="Q7" s="91" t="s">
        <v>8</v>
      </c>
    </row>
    <row r="8" spans="1:17" s="7" customFormat="1" x14ac:dyDescent="0.25">
      <c r="A8" s="27"/>
      <c r="B8" s="3"/>
      <c r="C8" s="3"/>
      <c r="D8" s="3"/>
      <c r="E8" s="28"/>
      <c r="F8" s="28" t="s">
        <v>40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2" t="s">
        <v>135</v>
      </c>
      <c r="O8" s="31" t="s">
        <v>9</v>
      </c>
      <c r="P8" s="31" t="s">
        <v>9</v>
      </c>
      <c r="Q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3">
        <v>16</v>
      </c>
    </row>
    <row r="10" spans="1:17" s="119" customFormat="1" ht="12.75" customHeight="1" thickBot="1" x14ac:dyDescent="0.3">
      <c r="A10" s="100" t="s">
        <v>52</v>
      </c>
      <c r="B10" s="68"/>
      <c r="C10" s="68"/>
      <c r="D10" s="101"/>
      <c r="E10" s="101"/>
      <c r="F10" s="101"/>
      <c r="G10" s="101"/>
      <c r="H10" s="101"/>
      <c r="I10" s="68"/>
      <c r="J10" s="68"/>
      <c r="K10" s="104"/>
      <c r="L10" s="101"/>
      <c r="M10" s="101" t="s">
        <v>251</v>
      </c>
      <c r="N10" s="105">
        <v>176360.87307070004</v>
      </c>
      <c r="O10" s="68"/>
      <c r="P10" s="68">
        <v>1</v>
      </c>
      <c r="Q10" s="82">
        <v>0.3290692914830135</v>
      </c>
    </row>
    <row r="11" spans="1:17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2" t="s">
        <v>251</v>
      </c>
      <c r="H11" s="131" t="s">
        <v>251</v>
      </c>
      <c r="I11" s="131" t="s">
        <v>251</v>
      </c>
      <c r="J11" s="131" t="s">
        <v>251</v>
      </c>
      <c r="K11" s="133" t="s">
        <v>251</v>
      </c>
      <c r="L11" s="122" t="s">
        <v>251</v>
      </c>
      <c r="M11" s="122" t="s">
        <v>251</v>
      </c>
      <c r="N11" s="134">
        <v>139316.41089050006</v>
      </c>
      <c r="O11" s="121" t="s">
        <v>251</v>
      </c>
      <c r="P11" s="121">
        <v>0.78995078933778307</v>
      </c>
      <c r="Q11" s="121">
        <v>0.25994854655383154</v>
      </c>
    </row>
    <row r="12" spans="1:17" s="119" customFormat="1" x14ac:dyDescent="0.25">
      <c r="A12" s="93" t="s">
        <v>407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2" t="s">
        <v>251</v>
      </c>
      <c r="H12" s="131" t="s">
        <v>251</v>
      </c>
      <c r="I12" s="131" t="s">
        <v>251</v>
      </c>
      <c r="J12" s="131" t="s">
        <v>251</v>
      </c>
      <c r="K12" s="135" t="s">
        <v>251</v>
      </c>
      <c r="L12" s="136" t="s">
        <v>251</v>
      </c>
      <c r="M12" s="136" t="s">
        <v>251</v>
      </c>
      <c r="N12" s="124">
        <v>84179.290690099995</v>
      </c>
      <c r="O12" s="137"/>
      <c r="P12" s="121">
        <v>0.47731273510056826</v>
      </c>
      <c r="Q12" s="121">
        <v>0.15706896355536332</v>
      </c>
    </row>
    <row r="13" spans="1:17" x14ac:dyDescent="0.25">
      <c r="A13" s="17" t="s">
        <v>434</v>
      </c>
      <c r="B13" s="117" t="s">
        <v>435</v>
      </c>
      <c r="C13" s="117" t="s">
        <v>410</v>
      </c>
      <c r="D13" s="117" t="s">
        <v>396</v>
      </c>
      <c r="E13" s="117" t="s">
        <v>397</v>
      </c>
      <c r="F13" s="117" t="s">
        <v>436</v>
      </c>
      <c r="G13" s="118">
        <v>0</v>
      </c>
      <c r="H13" s="117" t="s">
        <v>257</v>
      </c>
      <c r="I13" s="117">
        <v>0</v>
      </c>
      <c r="J13" s="117">
        <v>0</v>
      </c>
      <c r="K13" s="70">
        <v>-2229071.1826135577</v>
      </c>
      <c r="L13" s="61">
        <v>103.2394</v>
      </c>
      <c r="M13" s="61">
        <v>0</v>
      </c>
      <c r="N13" s="85">
        <v>-2301.2797099999998</v>
      </c>
      <c r="O13" s="25">
        <v>0</v>
      </c>
      <c r="P13" s="33">
        <v>-1.3048697650059015E-2</v>
      </c>
      <c r="Q13" s="33">
        <v>-4.2939256904809837E-3</v>
      </c>
    </row>
    <row r="14" spans="1:17" x14ac:dyDescent="0.25">
      <c r="A14" s="17" t="s">
        <v>437</v>
      </c>
      <c r="B14" s="117" t="s">
        <v>438</v>
      </c>
      <c r="C14" s="117" t="s">
        <v>410</v>
      </c>
      <c r="D14" s="117" t="s">
        <v>396</v>
      </c>
      <c r="E14" s="117" t="s">
        <v>397</v>
      </c>
      <c r="F14" s="117" t="s">
        <v>439</v>
      </c>
      <c r="G14" s="118">
        <v>0</v>
      </c>
      <c r="H14" s="117" t="s">
        <v>257</v>
      </c>
      <c r="I14" s="117">
        <v>0</v>
      </c>
      <c r="J14" s="117">
        <v>0</v>
      </c>
      <c r="K14" s="70">
        <v>-1783256.9460908461</v>
      </c>
      <c r="L14" s="61">
        <v>106.00689999999999</v>
      </c>
      <c r="M14" s="61">
        <v>0</v>
      </c>
      <c r="N14" s="85">
        <v>-1890.3754099999999</v>
      </c>
      <c r="O14" s="25">
        <v>0</v>
      </c>
      <c r="P14" s="33">
        <v>-1.071879140245683E-2</v>
      </c>
      <c r="Q14" s="33">
        <v>-3.5272250923606857E-3</v>
      </c>
    </row>
    <row r="15" spans="1:17" x14ac:dyDescent="0.25">
      <c r="A15" s="17" t="s">
        <v>408</v>
      </c>
      <c r="B15" s="117" t="s">
        <v>409</v>
      </c>
      <c r="C15" s="117" t="s">
        <v>410</v>
      </c>
      <c r="D15" s="117" t="s">
        <v>411</v>
      </c>
      <c r="E15" s="117" t="s">
        <v>218</v>
      </c>
      <c r="F15" s="117" t="s">
        <v>412</v>
      </c>
      <c r="G15" s="118">
        <v>14.71</v>
      </c>
      <c r="H15" s="117" t="s">
        <v>257</v>
      </c>
      <c r="I15" s="117">
        <v>2.75E-2</v>
      </c>
      <c r="J15" s="117">
        <v>1.54E-2</v>
      </c>
      <c r="K15" s="70">
        <v>5520.4374442981625</v>
      </c>
      <c r="L15" s="61">
        <v>141.94</v>
      </c>
      <c r="M15" s="70">
        <v>0</v>
      </c>
      <c r="N15" s="85">
        <v>7.8357099999999997</v>
      </c>
      <c r="O15" s="25">
        <v>3.0779446357868256E-7</v>
      </c>
      <c r="P15" s="33">
        <v>4.4429979640998934E-5</v>
      </c>
      <c r="Q15" s="33">
        <v>1.4620541921068234E-5</v>
      </c>
    </row>
    <row r="16" spans="1:17" x14ac:dyDescent="0.25">
      <c r="A16" s="17" t="s">
        <v>413</v>
      </c>
      <c r="B16" s="117" t="s">
        <v>414</v>
      </c>
      <c r="C16" s="117" t="s">
        <v>410</v>
      </c>
      <c r="D16" s="117" t="s">
        <v>411</v>
      </c>
      <c r="E16" s="117" t="s">
        <v>218</v>
      </c>
      <c r="F16" s="117" t="s">
        <v>415</v>
      </c>
      <c r="G16" s="118">
        <v>2.0699999999999998</v>
      </c>
      <c r="H16" s="117" t="s">
        <v>257</v>
      </c>
      <c r="I16" s="117">
        <v>7.4999999999999997E-3</v>
      </c>
      <c r="J16" s="117">
        <v>1.7399999999999999E-2</v>
      </c>
      <c r="K16" s="70">
        <v>25499334.805028439</v>
      </c>
      <c r="L16" s="61">
        <v>110.35999999999999</v>
      </c>
      <c r="M16" s="61">
        <v>0</v>
      </c>
      <c r="N16" s="85">
        <v>28141.065890000002</v>
      </c>
      <c r="O16" s="25">
        <v>1.1652457582459778E-3</v>
      </c>
      <c r="P16" s="33">
        <v>0.15956524483023357</v>
      </c>
      <c r="Q16" s="33">
        <v>5.2508022061598554E-2</v>
      </c>
    </row>
    <row r="17" spans="1:17" x14ac:dyDescent="0.25">
      <c r="A17" s="17" t="s">
        <v>416</v>
      </c>
      <c r="B17" s="117" t="s">
        <v>417</v>
      </c>
      <c r="C17" s="117" t="s">
        <v>410</v>
      </c>
      <c r="D17" s="117" t="s">
        <v>411</v>
      </c>
      <c r="E17" s="117" t="s">
        <v>218</v>
      </c>
      <c r="F17" s="117" t="s">
        <v>418</v>
      </c>
      <c r="G17" s="118">
        <v>3.63</v>
      </c>
      <c r="H17" s="117" t="s">
        <v>257</v>
      </c>
      <c r="I17" s="117">
        <v>7.4999999999999997E-3</v>
      </c>
      <c r="J17" s="117">
        <v>1.5600000000000001E-2</v>
      </c>
      <c r="K17" s="70">
        <v>8653417.2849255633</v>
      </c>
      <c r="L17" s="61">
        <v>109.59</v>
      </c>
      <c r="M17" s="61">
        <v>0</v>
      </c>
      <c r="N17" s="85">
        <v>9483.2800000000007</v>
      </c>
      <c r="O17" s="25">
        <v>4.3215093028145318E-4</v>
      </c>
      <c r="P17" s="33">
        <v>5.3772017766085312E-2</v>
      </c>
      <c r="Q17" s="33">
        <v>1.769471978789771E-2</v>
      </c>
    </row>
    <row r="18" spans="1:17" x14ac:dyDescent="0.25">
      <c r="A18" s="17" t="s">
        <v>419</v>
      </c>
      <c r="B18" s="117" t="s">
        <v>420</v>
      </c>
      <c r="C18" s="117" t="s">
        <v>410</v>
      </c>
      <c r="D18" s="117" t="s">
        <v>411</v>
      </c>
      <c r="E18" s="117" t="s">
        <v>218</v>
      </c>
      <c r="F18" s="117" t="s">
        <v>421</v>
      </c>
      <c r="G18" s="118">
        <v>5.6</v>
      </c>
      <c r="H18" s="117" t="s">
        <v>257</v>
      </c>
      <c r="I18" s="117">
        <v>5.0000000000000001E-3</v>
      </c>
      <c r="J18" s="117">
        <v>1.4999999999999999E-2</v>
      </c>
      <c r="K18" s="70">
        <v>9780287.5575330369</v>
      </c>
      <c r="L18" s="61">
        <v>105.57</v>
      </c>
      <c r="M18" s="61">
        <v>0</v>
      </c>
      <c r="N18" s="85">
        <v>10325.049570000001</v>
      </c>
      <c r="O18" s="25">
        <v>4.8375126090822258E-4</v>
      </c>
      <c r="P18" s="33">
        <v>5.854501279238318E-2</v>
      </c>
      <c r="Q18" s="33">
        <v>1.9265365879453496E-2</v>
      </c>
    </row>
    <row r="19" spans="1:17" x14ac:dyDescent="0.25">
      <c r="A19" s="17" t="s">
        <v>422</v>
      </c>
      <c r="B19" s="117" t="s">
        <v>423</v>
      </c>
      <c r="C19" s="117" t="s">
        <v>410</v>
      </c>
      <c r="D19" s="117" t="s">
        <v>411</v>
      </c>
      <c r="E19" s="117" t="s">
        <v>218</v>
      </c>
      <c r="F19" s="117" t="s">
        <v>424</v>
      </c>
      <c r="G19" s="118">
        <v>25.83</v>
      </c>
      <c r="H19" s="117" t="s">
        <v>257</v>
      </c>
      <c r="I19" s="117">
        <v>5.0000000000000001E-3</v>
      </c>
      <c r="J19" s="117">
        <v>1.66E-2</v>
      </c>
      <c r="K19" s="70">
        <v>214409.75625267718</v>
      </c>
      <c r="L19" s="61">
        <v>82.95</v>
      </c>
      <c r="M19" s="61">
        <v>0</v>
      </c>
      <c r="N19" s="85">
        <v>177.85289</v>
      </c>
      <c r="O19" s="25">
        <v>3.4745522707155432E-5</v>
      </c>
      <c r="P19" s="33">
        <v>1.0084600223582577E-3</v>
      </c>
      <c r="Q19" s="33">
        <v>3.318532250463758E-4</v>
      </c>
    </row>
    <row r="20" spans="1:17" x14ac:dyDescent="0.25">
      <c r="A20" s="17" t="s">
        <v>425</v>
      </c>
      <c r="B20" s="117" t="s">
        <v>426</v>
      </c>
      <c r="C20" s="117" t="s">
        <v>410</v>
      </c>
      <c r="D20" s="117" t="s">
        <v>411</v>
      </c>
      <c r="E20" s="117" t="s">
        <v>218</v>
      </c>
      <c r="F20" s="117" t="s">
        <v>427</v>
      </c>
      <c r="G20" s="118">
        <v>2.84</v>
      </c>
      <c r="H20" s="117" t="s">
        <v>257</v>
      </c>
      <c r="I20" s="117">
        <v>1E-3</v>
      </c>
      <c r="J20" s="117">
        <v>1.6399999999999998E-2</v>
      </c>
      <c r="K20" s="70">
        <v>11805371.862171561</v>
      </c>
      <c r="L20" s="61">
        <v>106.72</v>
      </c>
      <c r="M20" s="61">
        <v>0</v>
      </c>
      <c r="N20" s="85">
        <v>12598.692849999999</v>
      </c>
      <c r="O20" s="25">
        <v>1.3681012710913675E-3</v>
      </c>
      <c r="P20" s="33">
        <v>7.1437006579965157E-2</v>
      </c>
      <c r="Q20" s="33">
        <v>2.3507725140936509E-2</v>
      </c>
    </row>
    <row r="21" spans="1:17" x14ac:dyDescent="0.25">
      <c r="A21" s="17" t="s">
        <v>428</v>
      </c>
      <c r="B21" s="117" t="s">
        <v>429</v>
      </c>
      <c r="C21" s="117" t="s">
        <v>410</v>
      </c>
      <c r="D21" s="117" t="s">
        <v>411</v>
      </c>
      <c r="E21" s="117" t="s">
        <v>218</v>
      </c>
      <c r="F21" s="117" t="s">
        <v>430</v>
      </c>
      <c r="G21" s="118">
        <v>8.14</v>
      </c>
      <c r="H21" s="117" t="s">
        <v>257</v>
      </c>
      <c r="I21" s="117">
        <v>1E-3</v>
      </c>
      <c r="J21" s="117">
        <v>1.52E-2</v>
      </c>
      <c r="K21" s="70">
        <v>26075869.862769861</v>
      </c>
      <c r="L21" s="61">
        <v>99.42</v>
      </c>
      <c r="M21" s="61">
        <v>0</v>
      </c>
      <c r="N21" s="85">
        <v>25924.629820000002</v>
      </c>
      <c r="O21" s="25">
        <v>3.6640245627970183E-3</v>
      </c>
      <c r="P21" s="33">
        <v>0.14699762690337365</v>
      </c>
      <c r="Q21" s="33">
        <v>4.8372404934777534E-2</v>
      </c>
    </row>
    <row r="22" spans="1:17" x14ac:dyDescent="0.25">
      <c r="A22" s="17" t="s">
        <v>431</v>
      </c>
      <c r="B22" s="117" t="s">
        <v>432</v>
      </c>
      <c r="C22" s="117" t="s">
        <v>410</v>
      </c>
      <c r="D22" s="117" t="s">
        <v>411</v>
      </c>
      <c r="E22" s="117" t="s">
        <v>218</v>
      </c>
      <c r="F22" s="117" t="s">
        <v>433</v>
      </c>
      <c r="G22" s="118">
        <v>4.97</v>
      </c>
      <c r="H22" s="117" t="s">
        <v>257</v>
      </c>
      <c r="I22" s="117">
        <v>1.1000000000000001E-2</v>
      </c>
      <c r="J22" s="117">
        <v>1.4999999999999999E-2</v>
      </c>
      <c r="K22" s="70">
        <v>1729313.423471598</v>
      </c>
      <c r="L22" s="61">
        <v>99.03</v>
      </c>
      <c r="M22" s="61">
        <v>0</v>
      </c>
      <c r="N22" s="85">
        <v>1712.53908</v>
      </c>
      <c r="O22" s="25">
        <v>6.5282336399861605E-4</v>
      </c>
      <c r="P22" s="33">
        <v>9.7104252784770036E-3</v>
      </c>
      <c r="Q22" s="33">
        <v>3.195402766387172E-3</v>
      </c>
    </row>
    <row r="23" spans="1:17" s="119" customFormat="1" x14ac:dyDescent="0.25">
      <c r="A23" s="93" t="s">
        <v>139</v>
      </c>
      <c r="B23" s="131" t="s">
        <v>251</v>
      </c>
      <c r="C23" s="131" t="s">
        <v>251</v>
      </c>
      <c r="D23" s="131" t="s">
        <v>251</v>
      </c>
      <c r="E23" s="131" t="s">
        <v>251</v>
      </c>
      <c r="F23" s="131" t="s">
        <v>251</v>
      </c>
      <c r="G23" s="132" t="s">
        <v>251</v>
      </c>
      <c r="H23" s="131" t="s">
        <v>251</v>
      </c>
      <c r="I23" s="131" t="s">
        <v>251</v>
      </c>
      <c r="J23" s="131" t="s">
        <v>251</v>
      </c>
      <c r="K23" s="135" t="s">
        <v>251</v>
      </c>
      <c r="L23" s="136" t="s">
        <v>251</v>
      </c>
      <c r="M23" s="136" t="s">
        <v>251</v>
      </c>
      <c r="N23" s="124">
        <v>55137.1202003</v>
      </c>
      <c r="O23" s="137"/>
      <c r="P23" s="121">
        <v>0.31263805423664737</v>
      </c>
      <c r="Q23" s="121">
        <v>0.1028795829982815</v>
      </c>
    </row>
    <row r="24" spans="1:17" s="119" customFormat="1" x14ac:dyDescent="0.25">
      <c r="A24" s="93" t="s">
        <v>440</v>
      </c>
      <c r="B24" s="131" t="s">
        <v>251</v>
      </c>
      <c r="C24" s="131" t="s">
        <v>251</v>
      </c>
      <c r="D24" s="131" t="s">
        <v>251</v>
      </c>
      <c r="E24" s="131" t="s">
        <v>251</v>
      </c>
      <c r="F24" s="131" t="s">
        <v>251</v>
      </c>
      <c r="G24" s="132" t="s">
        <v>251</v>
      </c>
      <c r="H24" s="131" t="s">
        <v>251</v>
      </c>
      <c r="I24" s="131" t="s">
        <v>251</v>
      </c>
      <c r="J24" s="131" t="s">
        <v>251</v>
      </c>
      <c r="K24" s="135" t="s">
        <v>251</v>
      </c>
      <c r="L24" s="136" t="s">
        <v>251</v>
      </c>
      <c r="M24" s="136" t="s">
        <v>251</v>
      </c>
      <c r="N24" s="124">
        <v>8272.9281701</v>
      </c>
      <c r="O24" s="137"/>
      <c r="P24" s="121">
        <v>4.6909090582600621E-2</v>
      </c>
      <c r="Q24" s="121">
        <v>1.5436341202128889E-2</v>
      </c>
    </row>
    <row r="25" spans="1:17" x14ac:dyDescent="0.25">
      <c r="A25" s="17" t="s">
        <v>441</v>
      </c>
      <c r="B25" s="117" t="s">
        <v>442</v>
      </c>
      <c r="C25" s="117" t="s">
        <v>410</v>
      </c>
      <c r="D25" s="117" t="s">
        <v>411</v>
      </c>
      <c r="E25" s="117" t="s">
        <v>218</v>
      </c>
      <c r="F25" s="117" t="s">
        <v>443</v>
      </c>
      <c r="G25" s="118">
        <v>0.26</v>
      </c>
      <c r="H25" s="117" t="s">
        <v>257</v>
      </c>
      <c r="I25" s="117">
        <v>0</v>
      </c>
      <c r="J25" s="117">
        <v>4.7800000000000002E-2</v>
      </c>
      <c r="K25" s="70">
        <v>2397496.9805815122</v>
      </c>
      <c r="L25" s="61">
        <v>98.78</v>
      </c>
      <c r="M25" s="61">
        <v>0</v>
      </c>
      <c r="N25" s="85">
        <v>2368.2475199999999</v>
      </c>
      <c r="O25" s="25">
        <v>7.0514617075926824E-5</v>
      </c>
      <c r="P25" s="33">
        <v>1.342841798617435E-2</v>
      </c>
      <c r="Q25" s="33">
        <v>4.4188799924481485E-3</v>
      </c>
    </row>
    <row r="26" spans="1:17" x14ac:dyDescent="0.25">
      <c r="A26" s="17" t="s">
        <v>444</v>
      </c>
      <c r="B26" s="117" t="s">
        <v>445</v>
      </c>
      <c r="C26" s="117" t="s">
        <v>410</v>
      </c>
      <c r="D26" s="117" t="s">
        <v>411</v>
      </c>
      <c r="E26" s="117" t="s">
        <v>218</v>
      </c>
      <c r="F26" s="117" t="s">
        <v>446</v>
      </c>
      <c r="G26" s="118">
        <v>0.44</v>
      </c>
      <c r="H26" s="117" t="s">
        <v>257</v>
      </c>
      <c r="I26" s="117">
        <v>0</v>
      </c>
      <c r="J26" s="117">
        <v>4.82E-2</v>
      </c>
      <c r="K26" s="70">
        <v>1485997.290619683</v>
      </c>
      <c r="L26" s="61">
        <v>97.97</v>
      </c>
      <c r="M26" s="61">
        <v>0</v>
      </c>
      <c r="N26" s="85">
        <v>1455.8315500000001</v>
      </c>
      <c r="O26" s="25">
        <v>4.7935396471602674E-5</v>
      </c>
      <c r="P26" s="33">
        <v>8.2548443124137987E-3</v>
      </c>
      <c r="Q26" s="33">
        <v>2.7164157691885924E-3</v>
      </c>
    </row>
    <row r="27" spans="1:17" x14ac:dyDescent="0.25">
      <c r="A27" s="17" t="s">
        <v>447</v>
      </c>
      <c r="B27" s="117" t="s">
        <v>448</v>
      </c>
      <c r="C27" s="117" t="s">
        <v>410</v>
      </c>
      <c r="D27" s="117" t="s">
        <v>411</v>
      </c>
      <c r="E27" s="117" t="s">
        <v>218</v>
      </c>
      <c r="F27" s="117" t="s">
        <v>449</v>
      </c>
      <c r="G27" s="118">
        <v>0.51</v>
      </c>
      <c r="H27" s="117" t="s">
        <v>257</v>
      </c>
      <c r="I27" s="117">
        <v>0</v>
      </c>
      <c r="J27" s="117">
        <v>4.7699999999999992E-2</v>
      </c>
      <c r="K27" s="70">
        <v>1389250.8392791888</v>
      </c>
      <c r="L27" s="61">
        <v>97.64</v>
      </c>
      <c r="M27" s="61">
        <v>0</v>
      </c>
      <c r="N27" s="85">
        <v>1356.46452</v>
      </c>
      <c r="O27" s="25">
        <v>6.9462541963959435E-5</v>
      </c>
      <c r="P27" s="33">
        <v>7.6914141803789814E-3</v>
      </c>
      <c r="Q27" s="33">
        <v>2.5310082148397146E-3</v>
      </c>
    </row>
    <row r="28" spans="1:17" x14ac:dyDescent="0.25">
      <c r="A28" s="17" t="s">
        <v>450</v>
      </c>
      <c r="B28" s="117" t="s">
        <v>451</v>
      </c>
      <c r="C28" s="117" t="s">
        <v>410</v>
      </c>
      <c r="D28" s="117" t="s">
        <v>411</v>
      </c>
      <c r="E28" s="117" t="s">
        <v>218</v>
      </c>
      <c r="F28" s="117" t="s">
        <v>452</v>
      </c>
      <c r="G28" s="118">
        <v>0.93</v>
      </c>
      <c r="H28" s="117" t="s">
        <v>257</v>
      </c>
      <c r="I28" s="117">
        <v>0</v>
      </c>
      <c r="J28" s="117">
        <v>4.7899999999999998E-2</v>
      </c>
      <c r="K28" s="70">
        <v>2095131.781997632</v>
      </c>
      <c r="L28" s="61">
        <v>95.72</v>
      </c>
      <c r="M28" s="61">
        <v>0</v>
      </c>
      <c r="N28" s="85">
        <v>2005.4601399999999</v>
      </c>
      <c r="O28" s="25">
        <v>1.1639621011097956E-4</v>
      </c>
      <c r="P28" s="33">
        <v>1.1371343910256361E-2</v>
      </c>
      <c r="Q28" s="33">
        <v>3.7419600837577411E-3</v>
      </c>
    </row>
    <row r="29" spans="1:17" x14ac:dyDescent="0.25">
      <c r="A29" s="17" t="s">
        <v>453</v>
      </c>
      <c r="B29" s="117" t="s">
        <v>454</v>
      </c>
      <c r="C29" s="117" t="s">
        <v>410</v>
      </c>
      <c r="D29" s="117" t="s">
        <v>411</v>
      </c>
      <c r="E29" s="117" t="s">
        <v>218</v>
      </c>
      <c r="F29" s="117" t="s">
        <v>455</v>
      </c>
      <c r="G29" s="118">
        <v>0.68</v>
      </c>
      <c r="H29" s="117" t="s">
        <v>257</v>
      </c>
      <c r="I29" s="117">
        <v>0</v>
      </c>
      <c r="J29" s="117">
        <v>4.8000000000000001E-2</v>
      </c>
      <c r="K29" s="70">
        <v>1122392.0260701601</v>
      </c>
      <c r="L29" s="61">
        <v>96.84</v>
      </c>
      <c r="M29" s="61">
        <v>0</v>
      </c>
      <c r="N29" s="85">
        <v>1086.92444</v>
      </c>
      <c r="O29" s="25">
        <v>6.2355112559453344E-5</v>
      </c>
      <c r="P29" s="33">
        <v>6.1630701928101174E-3</v>
      </c>
      <c r="Q29" s="33">
        <v>2.028077141708105E-3</v>
      </c>
    </row>
    <row r="30" spans="1:17" s="119" customFormat="1" x14ac:dyDescent="0.25">
      <c r="A30" s="93" t="s">
        <v>456</v>
      </c>
      <c r="B30" s="131" t="s">
        <v>251</v>
      </c>
      <c r="C30" s="131" t="s">
        <v>251</v>
      </c>
      <c r="D30" s="131" t="s">
        <v>251</v>
      </c>
      <c r="E30" s="131" t="s">
        <v>251</v>
      </c>
      <c r="F30" s="131" t="s">
        <v>251</v>
      </c>
      <c r="G30" s="132" t="s">
        <v>251</v>
      </c>
      <c r="H30" s="131" t="s">
        <v>251</v>
      </c>
      <c r="I30" s="131" t="s">
        <v>251</v>
      </c>
      <c r="J30" s="131" t="s">
        <v>251</v>
      </c>
      <c r="K30" s="135" t="s">
        <v>251</v>
      </c>
      <c r="L30" s="136" t="s">
        <v>251</v>
      </c>
      <c r="M30" s="136" t="s">
        <v>251</v>
      </c>
      <c r="N30" s="124">
        <v>39005.099050100005</v>
      </c>
      <c r="O30" s="137"/>
      <c r="P30" s="121">
        <v>0.22116639802788643</v>
      </c>
      <c r="Q30" s="121">
        <v>7.2779069898886745E-2</v>
      </c>
    </row>
    <row r="31" spans="1:17" x14ac:dyDescent="0.25">
      <c r="A31" s="17" t="s">
        <v>481</v>
      </c>
      <c r="B31" s="117" t="s">
        <v>482</v>
      </c>
      <c r="C31" s="117" t="s">
        <v>410</v>
      </c>
      <c r="D31" s="117" t="s">
        <v>396</v>
      </c>
      <c r="E31" s="117" t="s">
        <v>397</v>
      </c>
      <c r="F31" s="117" t="s">
        <v>483</v>
      </c>
      <c r="G31" s="118">
        <v>0</v>
      </c>
      <c r="H31" s="117" t="s">
        <v>257</v>
      </c>
      <c r="I31" s="117">
        <v>0</v>
      </c>
      <c r="J31" s="117">
        <v>0</v>
      </c>
      <c r="K31" s="70">
        <v>-1870653.3767836001</v>
      </c>
      <c r="L31" s="61">
        <v>96.460400000000007</v>
      </c>
      <c r="M31" s="61">
        <v>0</v>
      </c>
      <c r="N31" s="85">
        <v>-1804.4397300000001</v>
      </c>
      <c r="O31" s="25">
        <v>0</v>
      </c>
      <c r="P31" s="33">
        <v>-1.0231519602857892E-2</v>
      </c>
      <c r="Q31" s="33">
        <v>-3.3668789065070103E-3</v>
      </c>
    </row>
    <row r="32" spans="1:17" x14ac:dyDescent="0.25">
      <c r="A32" s="17" t="s">
        <v>484</v>
      </c>
      <c r="B32" s="117" t="s">
        <v>485</v>
      </c>
      <c r="C32" s="117" t="s">
        <v>410</v>
      </c>
      <c r="D32" s="117" t="s">
        <v>396</v>
      </c>
      <c r="E32" s="117" t="s">
        <v>397</v>
      </c>
      <c r="F32" s="117" t="s">
        <v>486</v>
      </c>
      <c r="G32" s="118">
        <v>0</v>
      </c>
      <c r="H32" s="117" t="s">
        <v>257</v>
      </c>
      <c r="I32" s="117">
        <v>0</v>
      </c>
      <c r="J32" s="117">
        <v>0</v>
      </c>
      <c r="K32" s="70">
        <v>-1870653.3767836001</v>
      </c>
      <c r="L32" s="61">
        <v>90.984300000000005</v>
      </c>
      <c r="M32" s="61">
        <v>0</v>
      </c>
      <c r="N32" s="85">
        <v>-1702.0008799999998</v>
      </c>
      <c r="O32" s="25">
        <v>0</v>
      </c>
      <c r="P32" s="33">
        <v>-9.6506716618356553E-3</v>
      </c>
      <c r="Q32" s="33">
        <v>-3.1757396860954555E-3</v>
      </c>
    </row>
    <row r="33" spans="1:17" x14ac:dyDescent="0.25">
      <c r="A33" s="17" t="s">
        <v>487</v>
      </c>
      <c r="B33" s="117" t="s">
        <v>488</v>
      </c>
      <c r="C33" s="117" t="s">
        <v>410</v>
      </c>
      <c r="D33" s="117" t="s">
        <v>396</v>
      </c>
      <c r="E33" s="117" t="s">
        <v>397</v>
      </c>
      <c r="F33" s="117" t="s">
        <v>489</v>
      </c>
      <c r="G33" s="118">
        <v>0</v>
      </c>
      <c r="H33" s="117" t="s">
        <v>257</v>
      </c>
      <c r="I33" s="117">
        <v>0</v>
      </c>
      <c r="J33" s="117">
        <v>0</v>
      </c>
      <c r="K33" s="70">
        <v>-1870653.3767836001</v>
      </c>
      <c r="L33" s="61">
        <v>93.680499999999995</v>
      </c>
      <c r="M33" s="61">
        <v>0</v>
      </c>
      <c r="N33" s="85">
        <v>-1752.4374399999999</v>
      </c>
      <c r="O33" s="25">
        <v>0</v>
      </c>
      <c r="P33" s="33">
        <v>-9.9366566375381788E-3</v>
      </c>
      <c r="Q33" s="33">
        <v>-3.2698485594246721E-3</v>
      </c>
    </row>
    <row r="34" spans="1:17" x14ac:dyDescent="0.25">
      <c r="A34" s="17" t="s">
        <v>457</v>
      </c>
      <c r="B34" s="117" t="s">
        <v>458</v>
      </c>
      <c r="C34" s="117" t="s">
        <v>410</v>
      </c>
      <c r="D34" s="117" t="s">
        <v>411</v>
      </c>
      <c r="E34" s="117" t="s">
        <v>218</v>
      </c>
      <c r="F34" s="117" t="s">
        <v>459</v>
      </c>
      <c r="G34" s="118">
        <v>3.38</v>
      </c>
      <c r="H34" s="117" t="s">
        <v>257</v>
      </c>
      <c r="I34" s="117">
        <v>2.0099999999999996E-2</v>
      </c>
      <c r="J34" s="117">
        <v>4.3200000000000002E-2</v>
      </c>
      <c r="K34" s="70">
        <v>572296.79192529467</v>
      </c>
      <c r="L34" s="61">
        <v>93.59</v>
      </c>
      <c r="M34" s="61">
        <v>0</v>
      </c>
      <c r="N34" s="85">
        <v>535.61257000000001</v>
      </c>
      <c r="O34" s="25">
        <v>2.8466777991308893E-5</v>
      </c>
      <c r="P34" s="33">
        <v>3.0370260742884963E-3</v>
      </c>
      <c r="Q34" s="33">
        <v>9.9939201848155352E-4</v>
      </c>
    </row>
    <row r="35" spans="1:17" x14ac:dyDescent="0.25">
      <c r="A35" s="17" t="s">
        <v>460</v>
      </c>
      <c r="B35" s="117" t="s">
        <v>461</v>
      </c>
      <c r="C35" s="117" t="s">
        <v>410</v>
      </c>
      <c r="D35" s="117" t="s">
        <v>411</v>
      </c>
      <c r="E35" s="117" t="s">
        <v>218</v>
      </c>
      <c r="F35" s="117" t="s">
        <v>462</v>
      </c>
      <c r="G35" s="118">
        <v>15.25</v>
      </c>
      <c r="H35" s="117" t="s">
        <v>257</v>
      </c>
      <c r="I35" s="117">
        <v>3.7499999999999999E-2</v>
      </c>
      <c r="J35" s="117">
        <v>4.4800000000000006E-2</v>
      </c>
      <c r="K35" s="70">
        <v>8100785.9630283033</v>
      </c>
      <c r="L35" s="61">
        <v>91.42</v>
      </c>
      <c r="M35" s="61">
        <v>0</v>
      </c>
      <c r="N35" s="85">
        <v>7405.7385300000005</v>
      </c>
      <c r="O35" s="25">
        <v>3.2589225723858388E-4</v>
      </c>
      <c r="P35" s="33">
        <v>4.1991958879854074E-2</v>
      </c>
      <c r="Q35" s="33">
        <v>1.381826415657742E-2</v>
      </c>
    </row>
    <row r="36" spans="1:17" x14ac:dyDescent="0.25">
      <c r="A36" s="17" t="s">
        <v>463</v>
      </c>
      <c r="B36" s="117" t="s">
        <v>464</v>
      </c>
      <c r="C36" s="117" t="s">
        <v>410</v>
      </c>
      <c r="D36" s="117" t="s">
        <v>411</v>
      </c>
      <c r="E36" s="117" t="s">
        <v>218</v>
      </c>
      <c r="F36" s="117" t="s">
        <v>465</v>
      </c>
      <c r="G36" s="118">
        <v>4.78</v>
      </c>
      <c r="H36" s="117" t="s">
        <v>257</v>
      </c>
      <c r="I36" s="117">
        <v>2.2499999999999999E-2</v>
      </c>
      <c r="J36" s="117">
        <v>4.2500000000000003E-2</v>
      </c>
      <c r="K36" s="70">
        <v>920361.46137753117</v>
      </c>
      <c r="L36" s="61">
        <v>91.16</v>
      </c>
      <c r="M36" s="61">
        <v>0</v>
      </c>
      <c r="N36" s="85">
        <v>839.00151000000005</v>
      </c>
      <c r="O36" s="25">
        <v>4.8642174910903835E-5</v>
      </c>
      <c r="P36" s="33">
        <v>4.7572995948123864E-3</v>
      </c>
      <c r="Q36" s="33">
        <v>1.5654812070373394E-3</v>
      </c>
    </row>
    <row r="37" spans="1:17" x14ac:dyDescent="0.25">
      <c r="A37" s="17" t="s">
        <v>466</v>
      </c>
      <c r="B37" s="117" t="s">
        <v>467</v>
      </c>
      <c r="C37" s="117" t="s">
        <v>410</v>
      </c>
      <c r="D37" s="117" t="s">
        <v>411</v>
      </c>
      <c r="E37" s="117" t="s">
        <v>218</v>
      </c>
      <c r="F37" s="117" t="s">
        <v>468</v>
      </c>
      <c r="G37" s="118">
        <v>6.27</v>
      </c>
      <c r="H37" s="117" t="s">
        <v>257</v>
      </c>
      <c r="I37" s="117">
        <v>0.01</v>
      </c>
      <c r="J37" s="117">
        <v>4.24E-2</v>
      </c>
      <c r="K37" s="70">
        <v>149652.27014268801</v>
      </c>
      <c r="L37" s="61">
        <v>82.4</v>
      </c>
      <c r="M37" s="61">
        <v>0</v>
      </c>
      <c r="N37" s="85">
        <v>123.31347</v>
      </c>
      <c r="O37" s="25">
        <v>6.1169342310050416E-6</v>
      </c>
      <c r="P37" s="33">
        <v>6.9921104297644156E-4</v>
      </c>
      <c r="Q37" s="33">
        <v>2.3008888250935651E-4</v>
      </c>
    </row>
    <row r="38" spans="1:17" x14ac:dyDescent="0.25">
      <c r="A38" s="17" t="s">
        <v>469</v>
      </c>
      <c r="B38" s="117" t="s">
        <v>470</v>
      </c>
      <c r="C38" s="117" t="s">
        <v>410</v>
      </c>
      <c r="D38" s="117" t="s">
        <v>411</v>
      </c>
      <c r="E38" s="117" t="s">
        <v>218</v>
      </c>
      <c r="F38" s="117" t="s">
        <v>471</v>
      </c>
      <c r="G38" s="118">
        <v>12.1</v>
      </c>
      <c r="H38" s="117" t="s">
        <v>257</v>
      </c>
      <c r="I38" s="117">
        <v>1.4999999999999999E-2</v>
      </c>
      <c r="J38" s="117">
        <v>4.3499999999999997E-2</v>
      </c>
      <c r="K38" s="70">
        <v>28509227.467584286</v>
      </c>
      <c r="L38" s="61">
        <v>71.599999999999994</v>
      </c>
      <c r="M38" s="61">
        <v>0</v>
      </c>
      <c r="N38" s="85">
        <v>20412.60687</v>
      </c>
      <c r="O38" s="25">
        <v>1.6026094104325496E-3</v>
      </c>
      <c r="P38" s="33">
        <v>0.11574339883096937</v>
      </c>
      <c r="Q38" s="33">
        <v>3.8087598247142945E-2</v>
      </c>
    </row>
    <row r="39" spans="1:17" x14ac:dyDescent="0.25">
      <c r="A39" s="17" t="s">
        <v>472</v>
      </c>
      <c r="B39" s="117" t="s">
        <v>473</v>
      </c>
      <c r="C39" s="117" t="s">
        <v>410</v>
      </c>
      <c r="D39" s="117" t="s">
        <v>411</v>
      </c>
      <c r="E39" s="117" t="s">
        <v>218</v>
      </c>
      <c r="F39" s="117" t="s">
        <v>474</v>
      </c>
      <c r="G39" s="118">
        <v>8.07</v>
      </c>
      <c r="H39" s="117" t="s">
        <v>257</v>
      </c>
      <c r="I39" s="117">
        <v>1.3000000000000001E-2</v>
      </c>
      <c r="J39" s="117">
        <v>4.24E-2</v>
      </c>
      <c r="K39" s="70">
        <v>8908170.8551333714</v>
      </c>
      <c r="L39" s="61">
        <v>79.739999999999995</v>
      </c>
      <c r="M39" s="61">
        <v>0</v>
      </c>
      <c r="N39" s="85">
        <v>7103.3754400000007</v>
      </c>
      <c r="O39" s="25">
        <v>1.5579237924631673E-3</v>
      </c>
      <c r="P39" s="33">
        <v>4.0277502125725922E-2</v>
      </c>
      <c r="Q39" s="33">
        <v>1.32540890872182E-2</v>
      </c>
    </row>
    <row r="40" spans="1:17" x14ac:dyDescent="0.25">
      <c r="A40" s="17" t="s">
        <v>475</v>
      </c>
      <c r="B40" s="117" t="s">
        <v>476</v>
      </c>
      <c r="C40" s="117" t="s">
        <v>410</v>
      </c>
      <c r="D40" s="117" t="s">
        <v>411</v>
      </c>
      <c r="E40" s="117" t="s">
        <v>218</v>
      </c>
      <c r="F40" s="117" t="s">
        <v>477</v>
      </c>
      <c r="G40" s="118">
        <v>17.95</v>
      </c>
      <c r="H40" s="117" t="s">
        <v>257</v>
      </c>
      <c r="I40" s="117">
        <v>2.7999999999999997E-2</v>
      </c>
      <c r="J40" s="117">
        <v>4.5499999999999999E-2</v>
      </c>
      <c r="K40" s="70">
        <v>5279382.6451006364</v>
      </c>
      <c r="L40" s="61">
        <v>74.349999999999994</v>
      </c>
      <c r="M40" s="61">
        <v>0</v>
      </c>
      <c r="N40" s="85">
        <v>3925.221</v>
      </c>
      <c r="O40" s="25">
        <v>8.5596448322650684E-4</v>
      </c>
      <c r="P40" s="33">
        <v>2.2256756454287034E-2</v>
      </c>
      <c r="Q40" s="33">
        <v>7.3240150771222232E-3</v>
      </c>
    </row>
    <row r="41" spans="1:17" x14ac:dyDescent="0.25">
      <c r="A41" s="17" t="s">
        <v>478</v>
      </c>
      <c r="B41" s="117" t="s">
        <v>479</v>
      </c>
      <c r="C41" s="117" t="s">
        <v>410</v>
      </c>
      <c r="D41" s="117" t="s">
        <v>411</v>
      </c>
      <c r="E41" s="117" t="s">
        <v>218</v>
      </c>
      <c r="F41" s="117" t="s">
        <v>480</v>
      </c>
      <c r="G41" s="118">
        <v>4.92</v>
      </c>
      <c r="H41" s="117" t="s">
        <v>257</v>
      </c>
      <c r="I41" s="117">
        <v>3.7499999999999999E-2</v>
      </c>
      <c r="J41" s="117">
        <v>4.2300000000000004E-2</v>
      </c>
      <c r="K41" s="70">
        <v>3942764.2922348389</v>
      </c>
      <c r="L41" s="61">
        <v>99.4</v>
      </c>
      <c r="M41" s="61">
        <v>0</v>
      </c>
      <c r="N41" s="85">
        <v>3919.1077099999998</v>
      </c>
      <c r="O41" s="25">
        <v>4.7820174385299844E-4</v>
      </c>
      <c r="P41" s="33">
        <v>2.2222092926637401E-2</v>
      </c>
      <c r="Q41" s="33">
        <v>7.3126083746382553E-3</v>
      </c>
    </row>
    <row r="42" spans="1:17" s="119" customFormat="1" x14ac:dyDescent="0.25">
      <c r="A42" s="93" t="s">
        <v>490</v>
      </c>
      <c r="B42" s="131" t="s">
        <v>251</v>
      </c>
      <c r="C42" s="131" t="s">
        <v>251</v>
      </c>
      <c r="D42" s="131" t="s">
        <v>251</v>
      </c>
      <c r="E42" s="131" t="s">
        <v>251</v>
      </c>
      <c r="F42" s="131" t="s">
        <v>251</v>
      </c>
      <c r="G42" s="132" t="s">
        <v>251</v>
      </c>
      <c r="H42" s="131" t="s">
        <v>251</v>
      </c>
      <c r="I42" s="131" t="s">
        <v>251</v>
      </c>
      <c r="J42" s="131" t="s">
        <v>251</v>
      </c>
      <c r="K42" s="135" t="s">
        <v>251</v>
      </c>
      <c r="L42" s="136" t="s">
        <v>251</v>
      </c>
      <c r="M42" s="136" t="s">
        <v>251</v>
      </c>
      <c r="N42" s="124">
        <v>7859.0929800999993</v>
      </c>
      <c r="O42" s="137"/>
      <c r="P42" s="121">
        <v>4.456256562616031E-2</v>
      </c>
      <c r="Q42" s="121">
        <v>1.4664171897265866E-2</v>
      </c>
    </row>
    <row r="43" spans="1:17" x14ac:dyDescent="0.25">
      <c r="A43" s="17" t="s">
        <v>491</v>
      </c>
      <c r="B43" s="117" t="s">
        <v>492</v>
      </c>
      <c r="C43" s="117" t="s">
        <v>410</v>
      </c>
      <c r="D43" s="117" t="s">
        <v>411</v>
      </c>
      <c r="E43" s="117" t="s">
        <v>218</v>
      </c>
      <c r="F43" s="117" t="s">
        <v>493</v>
      </c>
      <c r="G43" s="118">
        <v>2.5099999999999998</v>
      </c>
      <c r="H43" s="117" t="s">
        <v>257</v>
      </c>
      <c r="I43" s="117">
        <v>2.2200000000000001E-2</v>
      </c>
      <c r="J43" s="117">
        <v>5.1900000000000002E-2</v>
      </c>
      <c r="K43" s="70">
        <v>5683044.9586685766</v>
      </c>
      <c r="L43" s="61">
        <v>99.62</v>
      </c>
      <c r="M43" s="61">
        <v>0</v>
      </c>
      <c r="N43" s="85">
        <v>5661.4493899999998</v>
      </c>
      <c r="O43" s="25">
        <v>2.6905356711733026E-4</v>
      </c>
      <c r="P43" s="33">
        <v>3.2101504667253616E-2</v>
      </c>
      <c r="Q43" s="33">
        <v>1.0563619396391798E-2</v>
      </c>
    </row>
    <row r="44" spans="1:17" x14ac:dyDescent="0.25">
      <c r="A44" s="17" t="s">
        <v>494</v>
      </c>
      <c r="B44" s="117" t="s">
        <v>495</v>
      </c>
      <c r="C44" s="117" t="s">
        <v>410</v>
      </c>
      <c r="D44" s="117" t="s">
        <v>411</v>
      </c>
      <c r="E44" s="117" t="s">
        <v>218</v>
      </c>
      <c r="F44" s="117" t="s">
        <v>496</v>
      </c>
      <c r="G44" s="118">
        <v>6.07</v>
      </c>
      <c r="H44" s="117" t="s">
        <v>257</v>
      </c>
      <c r="I44" s="117">
        <v>2.2200000000000001E-2</v>
      </c>
      <c r="J44" s="117">
        <v>5.3099999999999994E-2</v>
      </c>
      <c r="K44" s="70">
        <v>2244784.0521403202</v>
      </c>
      <c r="L44" s="61">
        <v>97.9</v>
      </c>
      <c r="M44" s="61">
        <v>0</v>
      </c>
      <c r="N44" s="85">
        <v>2197.6435899999997</v>
      </c>
      <c r="O44" s="25">
        <v>1.3506746875822489E-4</v>
      </c>
      <c r="P44" s="33">
        <v>1.2461060958339678E-2</v>
      </c>
      <c r="Q44" s="33">
        <v>4.1005525006874788E-3</v>
      </c>
    </row>
    <row r="45" spans="1:17" s="119" customFormat="1" x14ac:dyDescent="0.25">
      <c r="A45" s="93" t="s">
        <v>497</v>
      </c>
      <c r="B45" s="131" t="s">
        <v>251</v>
      </c>
      <c r="C45" s="131" t="s">
        <v>251</v>
      </c>
      <c r="D45" s="131" t="s">
        <v>251</v>
      </c>
      <c r="E45" s="131" t="s">
        <v>251</v>
      </c>
      <c r="F45" s="131" t="s">
        <v>251</v>
      </c>
      <c r="G45" s="132" t="s">
        <v>251</v>
      </c>
      <c r="H45" s="131" t="s">
        <v>251</v>
      </c>
      <c r="I45" s="131" t="s">
        <v>251</v>
      </c>
      <c r="J45" s="131" t="s">
        <v>251</v>
      </c>
      <c r="K45" s="135" t="s">
        <v>251</v>
      </c>
      <c r="L45" s="136" t="s">
        <v>251</v>
      </c>
      <c r="M45" s="136" t="s">
        <v>251</v>
      </c>
      <c r="N45" s="124">
        <v>0</v>
      </c>
      <c r="O45" s="137"/>
      <c r="P45" s="121">
        <v>0</v>
      </c>
      <c r="Q45" s="121">
        <v>0</v>
      </c>
    </row>
    <row r="46" spans="1:17" s="119" customFormat="1" x14ac:dyDescent="0.25">
      <c r="A46" s="93" t="s">
        <v>498</v>
      </c>
      <c r="B46" s="131" t="s">
        <v>251</v>
      </c>
      <c r="C46" s="131" t="s">
        <v>251</v>
      </c>
      <c r="D46" s="131" t="s">
        <v>251</v>
      </c>
      <c r="E46" s="131" t="s">
        <v>251</v>
      </c>
      <c r="F46" s="131" t="s">
        <v>251</v>
      </c>
      <c r="G46" s="132" t="s">
        <v>251</v>
      </c>
      <c r="H46" s="131" t="s">
        <v>251</v>
      </c>
      <c r="I46" s="131" t="s">
        <v>251</v>
      </c>
      <c r="J46" s="131" t="s">
        <v>251</v>
      </c>
      <c r="K46" s="135" t="s">
        <v>251</v>
      </c>
      <c r="L46" s="136" t="s">
        <v>251</v>
      </c>
      <c r="M46" s="136" t="s">
        <v>251</v>
      </c>
      <c r="N46" s="124">
        <v>37044.462180200004</v>
      </c>
      <c r="O46" s="137"/>
      <c r="P46" s="121">
        <v>0.21004921066221707</v>
      </c>
      <c r="Q46" s="121">
        <v>6.9120744929182035E-2</v>
      </c>
    </row>
    <row r="47" spans="1:17" s="119" customFormat="1" x14ac:dyDescent="0.25">
      <c r="A47" s="93" t="s">
        <v>499</v>
      </c>
      <c r="B47" s="131" t="s">
        <v>251</v>
      </c>
      <c r="C47" s="131" t="s">
        <v>251</v>
      </c>
      <c r="D47" s="131" t="s">
        <v>251</v>
      </c>
      <c r="E47" s="131" t="s">
        <v>251</v>
      </c>
      <c r="F47" s="131" t="s">
        <v>251</v>
      </c>
      <c r="G47" s="132" t="s">
        <v>251</v>
      </c>
      <c r="H47" s="131" t="s">
        <v>251</v>
      </c>
      <c r="I47" s="131" t="s">
        <v>251</v>
      </c>
      <c r="J47" s="131" t="s">
        <v>251</v>
      </c>
      <c r="K47" s="135" t="s">
        <v>251</v>
      </c>
      <c r="L47" s="136" t="s">
        <v>251</v>
      </c>
      <c r="M47" s="136" t="s">
        <v>251</v>
      </c>
      <c r="N47" s="124">
        <v>288.6018201</v>
      </c>
      <c r="O47" s="137"/>
      <c r="P47" s="121">
        <v>1.6364277125363543E-3</v>
      </c>
      <c r="Q47" s="121">
        <v>5.3849810792750666E-4</v>
      </c>
    </row>
    <row r="48" spans="1:17" x14ac:dyDescent="0.25">
      <c r="A48" s="17" t="s">
        <v>500</v>
      </c>
      <c r="B48" s="117" t="s">
        <v>501</v>
      </c>
      <c r="C48" s="117" t="s">
        <v>218</v>
      </c>
      <c r="D48" s="117" t="s">
        <v>387</v>
      </c>
      <c r="E48" s="117" t="s">
        <v>266</v>
      </c>
      <c r="F48" s="117" t="s">
        <v>502</v>
      </c>
      <c r="G48" s="118">
        <v>13.65</v>
      </c>
      <c r="H48" s="117" t="s">
        <v>125</v>
      </c>
      <c r="I48" s="117">
        <v>4.1299999999999996E-2</v>
      </c>
      <c r="J48" s="117">
        <v>5.8929999999999996E-2</v>
      </c>
      <c r="K48" s="70">
        <v>61000</v>
      </c>
      <c r="L48" s="61">
        <v>77.283000000000001</v>
      </c>
      <c r="M48" s="61">
        <v>0</v>
      </c>
      <c r="N48" s="85">
        <v>180.27341000000001</v>
      </c>
      <c r="O48" s="25">
        <v>6.0999999999999999E-5</v>
      </c>
      <c r="P48" s="33">
        <v>1.0221848353389104E-3</v>
      </c>
      <c r="Q48" s="33">
        <v>3.3636963952965611E-4</v>
      </c>
    </row>
    <row r="49" spans="1:17" x14ac:dyDescent="0.25">
      <c r="A49" s="17" t="s">
        <v>503</v>
      </c>
      <c r="B49" s="117" t="s">
        <v>504</v>
      </c>
      <c r="C49" s="117" t="s">
        <v>218</v>
      </c>
      <c r="D49" s="117" t="s">
        <v>387</v>
      </c>
      <c r="E49" s="117" t="s">
        <v>266</v>
      </c>
      <c r="F49" s="117" t="s">
        <v>505</v>
      </c>
      <c r="G49" s="118">
        <v>4.9539999999999997</v>
      </c>
      <c r="H49" s="117" t="s">
        <v>126</v>
      </c>
      <c r="I49" s="117">
        <v>1.4999999999999999E-2</v>
      </c>
      <c r="J49" s="117">
        <v>3.9230000000000001E-2</v>
      </c>
      <c r="K49" s="70">
        <v>30000</v>
      </c>
      <c r="L49" s="61">
        <v>89.090999999999994</v>
      </c>
      <c r="M49" s="61">
        <v>0</v>
      </c>
      <c r="N49" s="85">
        <v>108.32841000000001</v>
      </c>
      <c r="O49" s="25">
        <v>1.8181818181818182E-5</v>
      </c>
      <c r="P49" s="33">
        <v>6.142428766304247E-4</v>
      </c>
      <c r="Q49" s="33">
        <v>2.0212846821126196E-4</v>
      </c>
    </row>
    <row r="50" spans="1:17" s="119" customFormat="1" x14ac:dyDescent="0.25">
      <c r="A50" s="93" t="s">
        <v>506</v>
      </c>
      <c r="B50" s="131" t="s">
        <v>251</v>
      </c>
      <c r="C50" s="131" t="s">
        <v>251</v>
      </c>
      <c r="D50" s="131" t="s">
        <v>251</v>
      </c>
      <c r="E50" s="131" t="s">
        <v>251</v>
      </c>
      <c r="F50" s="131" t="s">
        <v>251</v>
      </c>
      <c r="G50" s="132" t="s">
        <v>251</v>
      </c>
      <c r="H50" s="131" t="s">
        <v>251</v>
      </c>
      <c r="I50" s="131" t="s">
        <v>251</v>
      </c>
      <c r="J50" s="131" t="s">
        <v>251</v>
      </c>
      <c r="K50" s="135" t="s">
        <v>251</v>
      </c>
      <c r="L50" s="136" t="s">
        <v>251</v>
      </c>
      <c r="M50" s="136" t="s">
        <v>251</v>
      </c>
      <c r="N50" s="124">
        <v>36755.8603601</v>
      </c>
      <c r="O50" s="137"/>
      <c r="P50" s="121">
        <v>0.20841278294968071</v>
      </c>
      <c r="Q50" s="121">
        <v>6.8582246821254508E-2</v>
      </c>
    </row>
    <row r="51" spans="1:17" x14ac:dyDescent="0.25">
      <c r="A51" s="17" t="s">
        <v>507</v>
      </c>
      <c r="B51" s="117" t="s">
        <v>508</v>
      </c>
      <c r="C51" s="117" t="s">
        <v>218</v>
      </c>
      <c r="D51" s="117" t="s">
        <v>509</v>
      </c>
      <c r="E51" s="117" t="s">
        <v>266</v>
      </c>
      <c r="F51" s="117" t="s">
        <v>510</v>
      </c>
      <c r="G51" s="118">
        <v>7.3559999999999999</v>
      </c>
      <c r="H51" s="117" t="s">
        <v>125</v>
      </c>
      <c r="I51" s="117">
        <v>2.8799999999999999E-2</v>
      </c>
      <c r="J51" s="117">
        <v>4.6104459999999993E-2</v>
      </c>
      <c r="K51" s="70">
        <v>8041888.3710975135</v>
      </c>
      <c r="L51" s="61">
        <v>88.890625</v>
      </c>
      <c r="M51" s="61">
        <v>0</v>
      </c>
      <c r="N51" s="85">
        <v>27335.806</v>
      </c>
      <c r="O51" s="25">
        <v>6.031069491827355E-5</v>
      </c>
      <c r="P51" s="33">
        <v>0.15499926669699318</v>
      </c>
      <c r="Q51" s="33">
        <v>5.1005498872366203E-2</v>
      </c>
    </row>
    <row r="52" spans="1:17" x14ac:dyDescent="0.25">
      <c r="A52" s="17" t="s">
        <v>511</v>
      </c>
      <c r="B52" s="117" t="s">
        <v>512</v>
      </c>
      <c r="C52" s="117" t="s">
        <v>218</v>
      </c>
      <c r="D52" s="117" t="s">
        <v>509</v>
      </c>
      <c r="E52" s="117" t="s">
        <v>266</v>
      </c>
      <c r="F52" s="117" t="s">
        <v>513</v>
      </c>
      <c r="G52" s="118">
        <v>7.37</v>
      </c>
      <c r="H52" s="117" t="s">
        <v>125</v>
      </c>
      <c r="I52" s="117">
        <v>4.1299999999999996E-2</v>
      </c>
      <c r="J52" s="117">
        <v>4.6090590000000001E-2</v>
      </c>
      <c r="K52" s="70">
        <v>1810792.4687265249</v>
      </c>
      <c r="L52" s="61">
        <v>98.022418000000002</v>
      </c>
      <c r="M52" s="61">
        <v>0</v>
      </c>
      <c r="N52" s="85">
        <v>6787.5333200000005</v>
      </c>
      <c r="O52" s="25">
        <v>1.6276054727666397E-5</v>
      </c>
      <c r="P52" s="33">
        <v>3.848661668441046E-2</v>
      </c>
      <c r="Q52" s="33">
        <v>1.2664763683917278E-2</v>
      </c>
    </row>
    <row r="53" spans="1:17" x14ac:dyDescent="0.25">
      <c r="A53" s="17" t="s">
        <v>514</v>
      </c>
      <c r="B53" s="117" t="s">
        <v>515</v>
      </c>
      <c r="C53" s="117" t="s">
        <v>218</v>
      </c>
      <c r="D53" s="117" t="s">
        <v>509</v>
      </c>
      <c r="E53" s="117" t="s">
        <v>266</v>
      </c>
      <c r="F53" s="117" t="s">
        <v>452</v>
      </c>
      <c r="G53" s="118">
        <v>7.9169999999999998</v>
      </c>
      <c r="H53" s="117" t="s">
        <v>125</v>
      </c>
      <c r="I53" s="117">
        <v>3.3799999999999997E-2</v>
      </c>
      <c r="J53" s="117">
        <v>4.5816129999999997E-2</v>
      </c>
      <c r="K53" s="70">
        <v>748261.35071343998</v>
      </c>
      <c r="L53" s="61">
        <v>92.002717000000004</v>
      </c>
      <c r="M53" s="61">
        <v>0</v>
      </c>
      <c r="N53" s="85">
        <v>2632.5210400000001</v>
      </c>
      <c r="O53" s="25">
        <v>6.8954646888765606E-6</v>
      </c>
      <c r="P53" s="33">
        <v>1.4926899567710053E-2</v>
      </c>
      <c r="Q53" s="33">
        <v>4.9119842647844482E-3</v>
      </c>
    </row>
    <row r="54" spans="1:17" s="119" customFormat="1" x14ac:dyDescent="0.25">
      <c r="A54" s="79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9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9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9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  <row r="58" spans="1:17" s="119" customFormat="1" x14ac:dyDescent="0.25">
      <c r="A58" s="79" t="s">
        <v>246</v>
      </c>
      <c r="B58" s="125"/>
      <c r="C58" s="125"/>
      <c r="D58" s="125"/>
      <c r="E58" s="126"/>
      <c r="F58" s="126"/>
      <c r="G58" s="126"/>
      <c r="H58" s="127"/>
      <c r="I58" s="128"/>
      <c r="J58" s="129"/>
      <c r="K58" s="129"/>
      <c r="L58" s="129"/>
      <c r="M58" s="129"/>
      <c r="N58" s="128"/>
      <c r="O58" s="128"/>
      <c r="P58" s="128"/>
      <c r="Q58" s="138"/>
    </row>
  </sheetData>
  <mergeCells count="2">
    <mergeCell ref="A6:Q6"/>
    <mergeCell ref="A5:Q5"/>
  </mergeCells>
  <phoneticPr fontId="3" type="noConversion"/>
  <conditionalFormatting sqref="A10:A53 N10:N53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10:F10 H10 P10:Q53">
    <cfRule type="expression" dxfId="122" priority="66" stopIfTrue="1">
      <formula>OR(LEFT(#REF!,3)="TIR",LEFT(#REF!,2)="IR")</formula>
    </cfRule>
  </conditionalFormatting>
  <conditionalFormatting sqref="B11:J53">
    <cfRule type="expression" dxfId="121" priority="73" stopIfTrue="1">
      <formula>LEFT(#REF!,3)="TIR"</formula>
    </cfRule>
  </conditionalFormatting>
  <conditionalFormatting sqref="I1:I4 G10 I10:M10 O10:O53 K11:M53 I54:I55588">
    <cfRule type="expression" dxfId="120" priority="59" stopIfTrue="1">
      <formula>LEFT(#REF!,3)="TIR"</formula>
    </cfRule>
  </conditionalFormatting>
  <conditionalFormatting sqref="I7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1.5546875" style="10" customWidth="1"/>
    <col min="7" max="7" width="7.5546875" style="11" customWidth="1"/>
    <col min="8" max="8" width="11.109375" style="11" customWidth="1"/>
    <col min="9" max="9" width="14.109375" style="11" customWidth="1"/>
    <col min="10" max="10" width="7.88671875" style="12" customWidth="1"/>
    <col min="11" max="11" width="11.33203125" style="13" customWidth="1"/>
    <col min="12" max="12" width="12.5546875" style="20" customWidth="1"/>
    <col min="13" max="13" width="14.109375" style="20" customWidth="1"/>
    <col min="14" max="14" width="10.5546875" style="20" customWidth="1"/>
    <col min="15" max="15" width="8.88671875" style="13" bestFit="1" customWidth="1"/>
    <col min="16" max="16" width="16.5546875" style="13" customWidth="1"/>
    <col min="17" max="17" width="10.44140625" style="13" customWidth="1"/>
    <col min="18" max="18" width="22" style="15" customWidth="1"/>
    <col min="19" max="19" width="25.44140625" style="15" customWidth="1"/>
    <col min="20" max="20" width="20.6640625" style="15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10"/>
      <c r="G1" s="11"/>
      <c r="H1" s="11"/>
      <c r="I1" s="11"/>
      <c r="J1" s="12"/>
      <c r="K1" s="13"/>
      <c r="L1" s="14"/>
      <c r="M1" s="14"/>
      <c r="N1" s="14"/>
      <c r="O1" s="13"/>
      <c r="P1" s="13"/>
      <c r="Q1" s="13"/>
      <c r="R1" s="15"/>
      <c r="S1" s="15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10"/>
      <c r="G2" s="11"/>
      <c r="H2" s="11"/>
      <c r="I2" s="11"/>
      <c r="J2" s="12"/>
      <c r="K2" s="13"/>
      <c r="L2" s="14"/>
      <c r="M2" s="14"/>
      <c r="N2" s="14"/>
      <c r="O2" s="13"/>
      <c r="P2" s="13"/>
      <c r="Q2" s="13"/>
      <c r="R2" s="15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10"/>
      <c r="G3" s="11"/>
      <c r="H3" s="11"/>
      <c r="I3" s="11"/>
      <c r="J3" s="12"/>
      <c r="K3" s="13"/>
      <c r="L3" s="14"/>
      <c r="M3" s="14"/>
      <c r="N3" s="14"/>
      <c r="O3" s="13"/>
      <c r="P3" s="13"/>
      <c r="Q3" s="13"/>
      <c r="R3" s="15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10"/>
      <c r="G4" s="11"/>
      <c r="H4" s="11"/>
      <c r="I4" s="11"/>
      <c r="J4" s="12"/>
      <c r="K4" s="13"/>
      <c r="L4" s="14"/>
      <c r="M4" s="14"/>
      <c r="N4" s="14"/>
      <c r="O4" s="13"/>
      <c r="P4" s="13"/>
      <c r="Q4" s="13"/>
      <c r="R4" s="15"/>
      <c r="S4" s="15"/>
    </row>
    <row r="5" spans="1:20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225" t="s">
        <v>18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7"/>
    </row>
    <row r="7" spans="1:20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134</v>
      </c>
      <c r="Q7" s="205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28"/>
      <c r="I8" s="28" t="s">
        <v>40</v>
      </c>
      <c r="J8" s="29" t="s">
        <v>16</v>
      </c>
      <c r="K8" s="30"/>
      <c r="L8" s="2" t="s">
        <v>9</v>
      </c>
      <c r="M8" s="2" t="s">
        <v>9</v>
      </c>
      <c r="N8" s="2" t="s">
        <v>133</v>
      </c>
      <c r="O8" s="2"/>
      <c r="P8" s="2" t="s">
        <v>135</v>
      </c>
      <c r="Q8" s="2" t="s">
        <v>135</v>
      </c>
      <c r="R8" s="31" t="s">
        <v>9</v>
      </c>
      <c r="S8" s="31" t="s">
        <v>9</v>
      </c>
      <c r="T8" s="6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9" customFormat="1" ht="12.75" customHeight="1" thickBot="1" x14ac:dyDescent="0.3">
      <c r="A10" s="100" t="s">
        <v>61</v>
      </c>
      <c r="B10" s="68" t="s">
        <v>251</v>
      </c>
      <c r="C10" s="68" t="s">
        <v>251</v>
      </c>
      <c r="D10" s="68" t="s">
        <v>251</v>
      </c>
      <c r="E10" s="68" t="s">
        <v>251</v>
      </c>
      <c r="F10" s="68" t="s">
        <v>251</v>
      </c>
      <c r="G10" s="139"/>
      <c r="H10" s="139" t="s">
        <v>251</v>
      </c>
      <c r="I10" s="139" t="s">
        <v>251</v>
      </c>
      <c r="J10" s="139" t="s">
        <v>251</v>
      </c>
      <c r="K10" s="139" t="s">
        <v>251</v>
      </c>
      <c r="L10" s="140" t="s">
        <v>251</v>
      </c>
      <c r="M10" s="140" t="s">
        <v>251</v>
      </c>
      <c r="N10" s="141" t="s">
        <v>251</v>
      </c>
      <c r="O10" s="139"/>
      <c r="P10" s="139" t="s">
        <v>251</v>
      </c>
      <c r="Q10" s="103">
        <v>4.9999999999999998E-7</v>
      </c>
      <c r="R10" s="68" t="s">
        <v>251</v>
      </c>
      <c r="S10" s="68">
        <v>1</v>
      </c>
      <c r="T10" s="82">
        <v>0</v>
      </c>
    </row>
    <row r="11" spans="1:20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1" t="s">
        <v>251</v>
      </c>
      <c r="H11" s="131" t="s">
        <v>251</v>
      </c>
      <c r="I11" s="131" t="s">
        <v>251</v>
      </c>
      <c r="J11" s="132" t="s">
        <v>251</v>
      </c>
      <c r="K11" s="131" t="s">
        <v>251</v>
      </c>
      <c r="L11" s="131" t="s">
        <v>251</v>
      </c>
      <c r="M11" s="131" t="s">
        <v>251</v>
      </c>
      <c r="N11" s="142" t="s">
        <v>251</v>
      </c>
      <c r="O11" s="143" t="s">
        <v>251</v>
      </c>
      <c r="P11" s="143" t="s">
        <v>251</v>
      </c>
      <c r="Q11" s="123">
        <v>0</v>
      </c>
      <c r="R11" s="121" t="s">
        <v>251</v>
      </c>
      <c r="S11" s="121">
        <v>0</v>
      </c>
      <c r="T11" s="121">
        <v>0</v>
      </c>
    </row>
    <row r="12" spans="1:20" s="119" customFormat="1" x14ac:dyDescent="0.25">
      <c r="A12" s="93" t="s">
        <v>138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1" t="s">
        <v>251</v>
      </c>
      <c r="H12" s="131" t="s">
        <v>251</v>
      </c>
      <c r="I12" s="131" t="s">
        <v>251</v>
      </c>
      <c r="J12" s="132" t="s">
        <v>251</v>
      </c>
      <c r="K12" s="131" t="s">
        <v>251</v>
      </c>
      <c r="L12" s="131" t="s">
        <v>251</v>
      </c>
      <c r="M12" s="131" t="s">
        <v>251</v>
      </c>
      <c r="N12" s="144" t="s">
        <v>251</v>
      </c>
      <c r="O12" s="145" t="s">
        <v>251</v>
      </c>
      <c r="P12" s="145" t="s">
        <v>251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3" t="s">
        <v>139</v>
      </c>
      <c r="B13" s="131" t="s">
        <v>251</v>
      </c>
      <c r="C13" s="131" t="s">
        <v>251</v>
      </c>
      <c r="D13" s="131" t="s">
        <v>251</v>
      </c>
      <c r="E13" s="131" t="s">
        <v>251</v>
      </c>
      <c r="F13" s="131" t="s">
        <v>251</v>
      </c>
      <c r="G13" s="131" t="s">
        <v>251</v>
      </c>
      <c r="H13" s="131" t="s">
        <v>251</v>
      </c>
      <c r="I13" s="131" t="s">
        <v>251</v>
      </c>
      <c r="J13" s="132" t="s">
        <v>251</v>
      </c>
      <c r="K13" s="131" t="s">
        <v>251</v>
      </c>
      <c r="L13" s="131" t="s">
        <v>251</v>
      </c>
      <c r="M13" s="131" t="s">
        <v>251</v>
      </c>
      <c r="N13" s="144" t="s">
        <v>251</v>
      </c>
      <c r="O13" s="145" t="s">
        <v>251</v>
      </c>
      <c r="P13" s="145" t="s">
        <v>251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3" t="s">
        <v>516</v>
      </c>
      <c r="B14" s="131" t="s">
        <v>251</v>
      </c>
      <c r="C14" s="131" t="s">
        <v>251</v>
      </c>
      <c r="D14" s="131" t="s">
        <v>251</v>
      </c>
      <c r="E14" s="131" t="s">
        <v>251</v>
      </c>
      <c r="F14" s="131" t="s">
        <v>251</v>
      </c>
      <c r="G14" s="131" t="s">
        <v>251</v>
      </c>
      <c r="H14" s="131" t="s">
        <v>251</v>
      </c>
      <c r="I14" s="131" t="s">
        <v>251</v>
      </c>
      <c r="J14" s="132" t="s">
        <v>251</v>
      </c>
      <c r="K14" s="131" t="s">
        <v>251</v>
      </c>
      <c r="L14" s="131" t="s">
        <v>251</v>
      </c>
      <c r="M14" s="131" t="s">
        <v>251</v>
      </c>
      <c r="N14" s="144" t="s">
        <v>251</v>
      </c>
      <c r="O14" s="145" t="s">
        <v>251</v>
      </c>
      <c r="P14" s="145" t="s">
        <v>251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3" t="s">
        <v>517</v>
      </c>
      <c r="B15" s="131" t="s">
        <v>251</v>
      </c>
      <c r="C15" s="131" t="s">
        <v>251</v>
      </c>
      <c r="D15" s="131" t="s">
        <v>251</v>
      </c>
      <c r="E15" s="131" t="s">
        <v>251</v>
      </c>
      <c r="F15" s="131" t="s">
        <v>251</v>
      </c>
      <c r="G15" s="131" t="s">
        <v>251</v>
      </c>
      <c r="H15" s="131" t="s">
        <v>251</v>
      </c>
      <c r="I15" s="131" t="s">
        <v>251</v>
      </c>
      <c r="J15" s="132" t="s">
        <v>251</v>
      </c>
      <c r="K15" s="131" t="s">
        <v>251</v>
      </c>
      <c r="L15" s="131" t="s">
        <v>251</v>
      </c>
      <c r="M15" s="131" t="s">
        <v>251</v>
      </c>
      <c r="N15" s="144" t="s">
        <v>251</v>
      </c>
      <c r="O15" s="145" t="s">
        <v>251</v>
      </c>
      <c r="P15" s="145" t="s">
        <v>251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3" t="s">
        <v>143</v>
      </c>
      <c r="B16" s="131" t="s">
        <v>251</v>
      </c>
      <c r="C16" s="131" t="s">
        <v>251</v>
      </c>
      <c r="D16" s="131" t="s">
        <v>251</v>
      </c>
      <c r="E16" s="131" t="s">
        <v>251</v>
      </c>
      <c r="F16" s="131" t="s">
        <v>251</v>
      </c>
      <c r="G16" s="131" t="s">
        <v>251</v>
      </c>
      <c r="H16" s="131" t="s">
        <v>251</v>
      </c>
      <c r="I16" s="131" t="s">
        <v>251</v>
      </c>
      <c r="J16" s="132" t="s">
        <v>251</v>
      </c>
      <c r="K16" s="131" t="s">
        <v>251</v>
      </c>
      <c r="L16" s="131" t="s">
        <v>251</v>
      </c>
      <c r="M16" s="131" t="s">
        <v>251</v>
      </c>
      <c r="N16" s="144" t="s">
        <v>251</v>
      </c>
      <c r="O16" s="145" t="s">
        <v>251</v>
      </c>
      <c r="P16" s="145" t="s">
        <v>251</v>
      </c>
      <c r="Q16" s="124">
        <v>0</v>
      </c>
      <c r="R16" s="137"/>
      <c r="S16" s="137">
        <v>0</v>
      </c>
      <c r="T16" s="121">
        <v>0</v>
      </c>
    </row>
    <row r="17" spans="1:20" s="119" customFormat="1" x14ac:dyDescent="0.25">
      <c r="A17" s="93" t="s">
        <v>144</v>
      </c>
      <c r="B17" s="131" t="s">
        <v>251</v>
      </c>
      <c r="C17" s="131" t="s">
        <v>251</v>
      </c>
      <c r="D17" s="131" t="s">
        <v>251</v>
      </c>
      <c r="E17" s="131" t="s">
        <v>251</v>
      </c>
      <c r="F17" s="131" t="s">
        <v>251</v>
      </c>
      <c r="G17" s="131" t="s">
        <v>251</v>
      </c>
      <c r="H17" s="131" t="s">
        <v>251</v>
      </c>
      <c r="I17" s="131" t="s">
        <v>251</v>
      </c>
      <c r="J17" s="132" t="s">
        <v>251</v>
      </c>
      <c r="K17" s="131" t="s">
        <v>251</v>
      </c>
      <c r="L17" s="131" t="s">
        <v>251</v>
      </c>
      <c r="M17" s="131" t="s">
        <v>251</v>
      </c>
      <c r="N17" s="144" t="s">
        <v>251</v>
      </c>
      <c r="O17" s="145" t="s">
        <v>251</v>
      </c>
      <c r="P17" s="145" t="s">
        <v>251</v>
      </c>
      <c r="Q17" s="124">
        <v>0</v>
      </c>
      <c r="R17" s="137"/>
      <c r="S17" s="137">
        <v>0</v>
      </c>
      <c r="T17" s="121">
        <v>0</v>
      </c>
    </row>
    <row r="18" spans="1:20" s="119" customFormat="1" x14ac:dyDescent="0.25">
      <c r="A18" s="79" t="s">
        <v>242</v>
      </c>
      <c r="B18" s="125"/>
      <c r="C18" s="125"/>
      <c r="D18" s="125"/>
      <c r="E18" s="125"/>
      <c r="F18" s="79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20" s="119" customFormat="1" x14ac:dyDescent="0.25">
      <c r="A19" s="79" t="s">
        <v>243</v>
      </c>
      <c r="B19" s="125"/>
      <c r="C19" s="125"/>
      <c r="D19" s="125"/>
      <c r="E19" s="125"/>
      <c r="F19" s="79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20" s="119" customFormat="1" x14ac:dyDescent="0.25">
      <c r="A20" s="79" t="s">
        <v>244</v>
      </c>
      <c r="B20" s="125"/>
      <c r="C20" s="125"/>
      <c r="D20" s="125"/>
      <c r="E20" s="125"/>
      <c r="F20" s="79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20" s="119" customFormat="1" x14ac:dyDescent="0.25">
      <c r="A21" s="79" t="s">
        <v>245</v>
      </c>
      <c r="B21" s="125"/>
      <c r="C21" s="125"/>
      <c r="D21" s="125"/>
      <c r="E21" s="125"/>
      <c r="F21" s="79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  <row r="22" spans="1:20" s="119" customFormat="1" x14ac:dyDescent="0.25">
      <c r="A22" s="79" t="s">
        <v>246</v>
      </c>
      <c r="B22" s="125"/>
      <c r="C22" s="125"/>
      <c r="D22" s="125"/>
      <c r="E22" s="125"/>
      <c r="F22" s="79"/>
      <c r="G22" s="146"/>
      <c r="H22" s="146"/>
      <c r="I22" s="146"/>
      <c r="J22" s="147"/>
      <c r="K22" s="130"/>
      <c r="L22" s="148"/>
      <c r="M22" s="148"/>
      <c r="N22" s="148"/>
      <c r="O22" s="130"/>
      <c r="P22" s="130"/>
      <c r="Q22" s="130"/>
    </row>
  </sheetData>
  <mergeCells count="2">
    <mergeCell ref="A6:T6"/>
    <mergeCell ref="A5:T5"/>
  </mergeCells>
  <phoneticPr fontId="3" type="noConversion"/>
  <conditionalFormatting sqref="A10:A17 Q10:Q17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10:I10 K10 B11:M17">
    <cfRule type="expression" dxfId="116" priority="96" stopIfTrue="1">
      <formula>LEFT(#REF!,3)="TIR"</formula>
    </cfRule>
  </conditionalFormatting>
  <conditionalFormatting sqref="K1:K4 J10 L10:P10 R10:R17 N11:P17 K18:K55552">
    <cfRule type="expression" dxfId="115" priority="89" stopIfTrue="1">
      <formula>LEFT(#REF!,3)="TIR"</formula>
    </cfRule>
  </conditionalFormatting>
  <conditionalFormatting sqref="L7">
    <cfRule type="expression" dxfId="114" priority="95" stopIfTrue="1">
      <formula>LEFT(#REF!,3)="TIR"</formula>
    </cfRule>
  </conditionalFormatting>
  <conditionalFormatting sqref="S10:T17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7"/>
  <sheetViews>
    <sheetView rightToLeft="1" zoomScale="80" zoomScaleNormal="80" workbookViewId="0"/>
  </sheetViews>
  <sheetFormatPr defaultColWidth="9.109375" defaultRowHeight="13.2" x14ac:dyDescent="0.25"/>
  <cols>
    <col min="1" max="1" width="41.33203125" style="10" bestFit="1" customWidth="1"/>
    <col min="2" max="2" width="16.3320312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40.6640625" style="9" bestFit="1" customWidth="1"/>
    <col min="7" max="7" width="7.5546875" style="60" customWidth="1"/>
    <col min="8" max="8" width="11.109375" style="60" customWidth="1"/>
    <col min="9" max="9" width="14.109375" style="60" customWidth="1"/>
    <col min="10" max="10" width="7.88671875" style="37" customWidth="1"/>
    <col min="11" max="11" width="12.6640625" style="62" bestFit="1" customWidth="1"/>
    <col min="12" max="12" width="12.5546875" style="64" customWidth="1"/>
    <col min="13" max="13" width="14.109375" style="64" customWidth="1"/>
    <col min="14" max="14" width="12.44140625" style="64" bestFit="1" customWidth="1"/>
    <col min="15" max="15" width="11.44140625" style="62" bestFit="1" customWidth="1"/>
    <col min="16" max="16" width="16.5546875" style="62" customWidth="1"/>
    <col min="17" max="17" width="12.33203125" style="62" bestFit="1" customWidth="1"/>
    <col min="18" max="18" width="22" style="66" customWidth="1"/>
    <col min="19" max="19" width="25.44140625" style="66" customWidth="1"/>
    <col min="20" max="20" width="20.6640625" style="66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37"/>
      <c r="K1" s="62"/>
      <c r="L1" s="63"/>
      <c r="M1" s="63"/>
      <c r="N1" s="63"/>
      <c r="O1" s="62"/>
      <c r="P1" s="62"/>
      <c r="Q1" s="62"/>
      <c r="R1" s="66"/>
      <c r="S1" s="66"/>
      <c r="T1" s="44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37"/>
      <c r="K2" s="62"/>
      <c r="L2" s="63"/>
      <c r="M2" s="63"/>
      <c r="N2" s="63"/>
      <c r="O2" s="62"/>
      <c r="P2" s="62"/>
      <c r="Q2" s="62"/>
      <c r="R2" s="66"/>
      <c r="S2" s="66"/>
      <c r="T2" s="44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37"/>
      <c r="K3" s="62"/>
      <c r="L3" s="63"/>
      <c r="M3" s="63"/>
      <c r="N3" s="63"/>
      <c r="O3" s="62"/>
      <c r="P3" s="62"/>
      <c r="Q3" s="62"/>
      <c r="R3" s="66"/>
      <c r="S3" s="66"/>
      <c r="T3" s="44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37"/>
      <c r="K4" s="62"/>
      <c r="L4" s="63"/>
      <c r="M4" s="63"/>
      <c r="N4" s="63"/>
      <c r="O4" s="62"/>
      <c r="P4" s="62"/>
      <c r="Q4" s="62"/>
      <c r="R4" s="66"/>
      <c r="S4" s="66"/>
      <c r="T4" s="44"/>
    </row>
    <row r="5" spans="1:20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225" t="s">
        <v>88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7"/>
    </row>
    <row r="7" spans="1:20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134</v>
      </c>
      <c r="Q7" s="205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52"/>
      <c r="I8" s="53" t="s">
        <v>40</v>
      </c>
      <c r="J8" s="52" t="s">
        <v>16</v>
      </c>
      <c r="K8" s="30"/>
      <c r="L8" s="50" t="s">
        <v>9</v>
      </c>
      <c r="M8" s="50" t="s">
        <v>9</v>
      </c>
      <c r="N8" s="2" t="s">
        <v>133</v>
      </c>
      <c r="O8" s="50"/>
      <c r="P8" s="2" t="s">
        <v>135</v>
      </c>
      <c r="Q8" s="2" t="s">
        <v>135</v>
      </c>
      <c r="R8" s="54" t="s">
        <v>9</v>
      </c>
      <c r="S8" s="54" t="s">
        <v>9</v>
      </c>
      <c r="T8" s="51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9" customFormat="1" ht="12.75" customHeight="1" thickBot="1" x14ac:dyDescent="0.3">
      <c r="A10" s="100" t="s">
        <v>53</v>
      </c>
      <c r="B10" s="68"/>
      <c r="C10" s="68"/>
      <c r="D10" s="68"/>
      <c r="E10" s="68"/>
      <c r="F10" s="68"/>
      <c r="G10" s="101"/>
      <c r="H10" s="101"/>
      <c r="I10" s="101"/>
      <c r="J10" s="101"/>
      <c r="K10" s="101"/>
      <c r="L10" s="68"/>
      <c r="M10" s="68"/>
      <c r="N10" s="104"/>
      <c r="O10" s="101"/>
      <c r="P10" s="103" t="s">
        <v>251</v>
      </c>
      <c r="Q10" s="105">
        <v>189710.88970059989</v>
      </c>
      <c r="R10" s="68" t="s">
        <v>251</v>
      </c>
      <c r="S10" s="68">
        <v>1</v>
      </c>
      <c r="T10" s="82">
        <v>0.35397890117816672</v>
      </c>
    </row>
    <row r="11" spans="1:20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1" t="s">
        <v>251</v>
      </c>
      <c r="H11" s="131" t="s">
        <v>251</v>
      </c>
      <c r="I11" s="131" t="s">
        <v>251</v>
      </c>
      <c r="J11" s="132" t="s">
        <v>251</v>
      </c>
      <c r="K11" s="132" t="s">
        <v>251</v>
      </c>
      <c r="L11" s="131" t="s">
        <v>251</v>
      </c>
      <c r="M11" s="131" t="s">
        <v>251</v>
      </c>
      <c r="N11" s="133" t="s">
        <v>251</v>
      </c>
      <c r="O11" s="122" t="s">
        <v>251</v>
      </c>
      <c r="P11" s="123" t="s">
        <v>251</v>
      </c>
      <c r="Q11" s="134">
        <v>157200.53589039989</v>
      </c>
      <c r="R11" s="121" t="s">
        <v>251</v>
      </c>
      <c r="S11" s="121">
        <v>0.82863211562864114</v>
      </c>
      <c r="T11" s="121">
        <v>0.29331828577116598</v>
      </c>
    </row>
    <row r="12" spans="1:20" s="119" customFormat="1" x14ac:dyDescent="0.25">
      <c r="A12" s="93" t="s">
        <v>138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1" t="s">
        <v>251</v>
      </c>
      <c r="H12" s="131" t="s">
        <v>251</v>
      </c>
      <c r="I12" s="131" t="s">
        <v>251</v>
      </c>
      <c r="J12" s="132" t="s">
        <v>251</v>
      </c>
      <c r="K12" s="132" t="s">
        <v>251</v>
      </c>
      <c r="L12" s="131" t="s">
        <v>251</v>
      </c>
      <c r="M12" s="131" t="s">
        <v>251</v>
      </c>
      <c r="N12" s="135" t="s">
        <v>251</v>
      </c>
      <c r="O12" s="136" t="s">
        <v>251</v>
      </c>
      <c r="P12" s="124" t="s">
        <v>251</v>
      </c>
      <c r="Q12" s="124">
        <v>124743.26984009999</v>
      </c>
      <c r="R12" s="137"/>
      <c r="S12" s="137">
        <v>0.65754406632623341</v>
      </c>
      <c r="T12" s="137">
        <v>0.23275672607438364</v>
      </c>
    </row>
    <row r="13" spans="1:20" x14ac:dyDescent="0.25">
      <c r="A13" s="17" t="s">
        <v>1035</v>
      </c>
      <c r="B13" s="117" t="s">
        <v>1036</v>
      </c>
      <c r="C13" s="117" t="s">
        <v>410</v>
      </c>
      <c r="D13" s="117" t="s">
        <v>251</v>
      </c>
      <c r="E13" s="117" t="s">
        <v>1037</v>
      </c>
      <c r="F13" s="117" t="s">
        <v>217</v>
      </c>
      <c r="G13" s="117" t="s">
        <v>255</v>
      </c>
      <c r="H13" s="117" t="s">
        <v>256</v>
      </c>
      <c r="I13" s="117" t="s">
        <v>1038</v>
      </c>
      <c r="J13" s="118">
        <v>3.74</v>
      </c>
      <c r="K13" s="118" t="s">
        <v>257</v>
      </c>
      <c r="L13" s="117">
        <v>5.0000000000000001E-4</v>
      </c>
      <c r="M13" s="117">
        <v>2.4700000000000003E-2</v>
      </c>
      <c r="N13" s="70">
        <v>10097.689936434919</v>
      </c>
      <c r="O13" s="61">
        <v>101.07</v>
      </c>
      <c r="P13" s="85">
        <v>0</v>
      </c>
      <c r="Q13" s="85">
        <v>10.20574</v>
      </c>
      <c r="R13" s="25">
        <v>8.5528870977205277E-6</v>
      </c>
      <c r="S13" s="25">
        <v>5.3796279254747118E-5</v>
      </c>
      <c r="T13" s="25">
        <v>1.9042747818069189E-5</v>
      </c>
    </row>
    <row r="14" spans="1:20" x14ac:dyDescent="0.25">
      <c r="A14" s="17" t="s">
        <v>824</v>
      </c>
      <c r="B14" s="117" t="s">
        <v>825</v>
      </c>
      <c r="C14" s="117" t="s">
        <v>410</v>
      </c>
      <c r="D14" s="117" t="s">
        <v>251</v>
      </c>
      <c r="E14" s="117" t="s">
        <v>826</v>
      </c>
      <c r="F14" s="117" t="s">
        <v>200</v>
      </c>
      <c r="G14" s="117" t="s">
        <v>668</v>
      </c>
      <c r="H14" s="117" t="s">
        <v>529</v>
      </c>
      <c r="I14" s="117" t="s">
        <v>827</v>
      </c>
      <c r="J14" s="118">
        <v>0.73</v>
      </c>
      <c r="K14" s="118" t="s">
        <v>257</v>
      </c>
      <c r="L14" s="117">
        <v>5.0000000000000001E-3</v>
      </c>
      <c r="M14" s="117">
        <v>2.6200000000000001E-2</v>
      </c>
      <c r="N14" s="70">
        <v>13396.536574376642</v>
      </c>
      <c r="O14" s="61">
        <v>109.87</v>
      </c>
      <c r="P14" s="85">
        <v>0</v>
      </c>
      <c r="Q14" s="85">
        <v>14.718770000000001</v>
      </c>
      <c r="R14" s="25">
        <v>1.1853007163700887E-4</v>
      </c>
      <c r="S14" s="25">
        <v>7.75852668406597E-5</v>
      </c>
      <c r="T14" s="25">
        <v>2.746354750387157E-5</v>
      </c>
    </row>
    <row r="15" spans="1:20" x14ac:dyDescent="0.25">
      <c r="A15" s="17" t="s">
        <v>919</v>
      </c>
      <c r="B15" s="117" t="s">
        <v>920</v>
      </c>
      <c r="C15" s="117" t="s">
        <v>410</v>
      </c>
      <c r="D15" s="117" t="s">
        <v>251</v>
      </c>
      <c r="E15" s="117" t="s">
        <v>826</v>
      </c>
      <c r="F15" s="117" t="s">
        <v>200</v>
      </c>
      <c r="G15" s="117" t="s">
        <v>668</v>
      </c>
      <c r="H15" s="117" t="s">
        <v>529</v>
      </c>
      <c r="I15" s="117" t="s">
        <v>921</v>
      </c>
      <c r="J15" s="118">
        <v>3.17</v>
      </c>
      <c r="K15" s="118" t="s">
        <v>257</v>
      </c>
      <c r="L15" s="117">
        <v>1E-3</v>
      </c>
      <c r="M15" s="117">
        <v>2.2599999999999999E-2</v>
      </c>
      <c r="N15" s="70">
        <v>586337.51269399829</v>
      </c>
      <c r="O15" s="61">
        <v>101.55000000000001</v>
      </c>
      <c r="P15" s="85">
        <v>0</v>
      </c>
      <c r="Q15" s="85">
        <v>595.42574000000002</v>
      </c>
      <c r="R15" s="25">
        <v>1.255936049878652E-3</v>
      </c>
      <c r="S15" s="25">
        <v>3.1385954751448155E-3</v>
      </c>
      <c r="T15" s="25">
        <v>1.110996577534528E-3</v>
      </c>
    </row>
    <row r="16" spans="1:20" x14ac:dyDescent="0.25">
      <c r="A16" s="17" t="s">
        <v>915</v>
      </c>
      <c r="B16" s="117" t="s">
        <v>916</v>
      </c>
      <c r="C16" s="117" t="s">
        <v>410</v>
      </c>
      <c r="D16" s="117" t="s">
        <v>251</v>
      </c>
      <c r="E16" s="117" t="s">
        <v>917</v>
      </c>
      <c r="F16" s="117" t="s">
        <v>200</v>
      </c>
      <c r="G16" s="117" t="s">
        <v>668</v>
      </c>
      <c r="H16" s="117" t="s">
        <v>529</v>
      </c>
      <c r="I16" s="117" t="s">
        <v>918</v>
      </c>
      <c r="J16" s="118">
        <v>4.46</v>
      </c>
      <c r="K16" s="118" t="s">
        <v>257</v>
      </c>
      <c r="L16" s="117">
        <v>2E-3</v>
      </c>
      <c r="M16" s="117">
        <v>2.35E-2</v>
      </c>
      <c r="N16" s="70">
        <v>4456133.9319234481</v>
      </c>
      <c r="O16" s="61">
        <v>98.65</v>
      </c>
      <c r="P16" s="85">
        <v>0</v>
      </c>
      <c r="Q16" s="85">
        <v>4395.9761200000003</v>
      </c>
      <c r="R16" s="25">
        <v>1.0893940306976125E-3</v>
      </c>
      <c r="S16" s="25">
        <v>2.3171975667489055E-2</v>
      </c>
      <c r="T16" s="25">
        <v>8.2023904849049915E-3</v>
      </c>
    </row>
    <row r="17" spans="1:20" x14ac:dyDescent="0.25">
      <c r="A17" s="17" t="s">
        <v>1039</v>
      </c>
      <c r="B17" s="117" t="s">
        <v>1040</v>
      </c>
      <c r="C17" s="117" t="s">
        <v>410</v>
      </c>
      <c r="D17" s="117" t="s">
        <v>251</v>
      </c>
      <c r="E17" s="117" t="s">
        <v>604</v>
      </c>
      <c r="F17" s="117" t="s">
        <v>225</v>
      </c>
      <c r="G17" s="117" t="s">
        <v>255</v>
      </c>
      <c r="H17" s="117" t="s">
        <v>256</v>
      </c>
      <c r="I17" s="117" t="s">
        <v>486</v>
      </c>
      <c r="J17" s="118">
        <v>8.43</v>
      </c>
      <c r="K17" s="118" t="s">
        <v>257</v>
      </c>
      <c r="L17" s="117">
        <v>1.4999999999999999E-2</v>
      </c>
      <c r="M17" s="117">
        <v>2.8900000000000002E-2</v>
      </c>
      <c r="N17" s="70">
        <v>1385554.5246279174</v>
      </c>
      <c r="O17" s="61">
        <v>102.99000000000001</v>
      </c>
      <c r="P17" s="85">
        <v>0</v>
      </c>
      <c r="Q17" s="85">
        <v>1426.9826</v>
      </c>
      <c r="R17" s="25">
        <v>1.2441673472827102E-3</v>
      </c>
      <c r="S17" s="25">
        <v>7.5218802792609953E-3</v>
      </c>
      <c r="T17" s="25">
        <v>2.6625869160465288E-3</v>
      </c>
    </row>
    <row r="18" spans="1:20" x14ac:dyDescent="0.25">
      <c r="A18" s="17" t="s">
        <v>1041</v>
      </c>
      <c r="B18" s="117" t="s">
        <v>1042</v>
      </c>
      <c r="C18" s="117" t="s">
        <v>410</v>
      </c>
      <c r="D18" s="117" t="s">
        <v>251</v>
      </c>
      <c r="E18" s="117" t="s">
        <v>604</v>
      </c>
      <c r="F18" s="117" t="s">
        <v>225</v>
      </c>
      <c r="G18" s="117" t="s">
        <v>255</v>
      </c>
      <c r="H18" s="117" t="s">
        <v>256</v>
      </c>
      <c r="I18" s="117" t="s">
        <v>486</v>
      </c>
      <c r="J18" s="118">
        <v>11.16</v>
      </c>
      <c r="K18" s="118" t="s">
        <v>257</v>
      </c>
      <c r="L18" s="117">
        <v>1.6E-2</v>
      </c>
      <c r="M18" s="117">
        <v>2.92E-2</v>
      </c>
      <c r="N18" s="70">
        <v>1654619.554870235</v>
      </c>
      <c r="O18" s="61">
        <v>105.31000000000002</v>
      </c>
      <c r="P18" s="85">
        <v>0</v>
      </c>
      <c r="Q18" s="85">
        <v>1742.4798500000002</v>
      </c>
      <c r="R18" s="25">
        <v>1.2134040140788953E-3</v>
      </c>
      <c r="S18" s="25">
        <v>9.1849226617932538E-3</v>
      </c>
      <c r="T18" s="25">
        <v>3.2512688312280177E-3</v>
      </c>
    </row>
    <row r="19" spans="1:20" x14ac:dyDescent="0.25">
      <c r="A19" s="17" t="s">
        <v>741</v>
      </c>
      <c r="B19" s="117" t="s">
        <v>742</v>
      </c>
      <c r="C19" s="117" t="s">
        <v>410</v>
      </c>
      <c r="D19" s="117" t="s">
        <v>251</v>
      </c>
      <c r="E19" s="117" t="s">
        <v>743</v>
      </c>
      <c r="F19" s="117" t="s">
        <v>200</v>
      </c>
      <c r="G19" s="117" t="s">
        <v>668</v>
      </c>
      <c r="H19" s="117" t="s">
        <v>529</v>
      </c>
      <c r="I19" s="117" t="s">
        <v>744</v>
      </c>
      <c r="J19" s="118">
        <v>1.73</v>
      </c>
      <c r="K19" s="118" t="s">
        <v>257</v>
      </c>
      <c r="L19" s="117">
        <v>8.3000000000000001E-3</v>
      </c>
      <c r="M19" s="117">
        <v>2.4500000000000001E-2</v>
      </c>
      <c r="N19" s="70">
        <v>850749.4163390171</v>
      </c>
      <c r="O19" s="61">
        <v>108.5</v>
      </c>
      <c r="P19" s="85">
        <v>0</v>
      </c>
      <c r="Q19" s="85">
        <v>923.06312000000003</v>
      </c>
      <c r="R19" s="25">
        <v>2.7967735134239207E-4</v>
      </c>
      <c r="S19" s="25">
        <v>4.8656306522876485E-3</v>
      </c>
      <c r="T19" s="25">
        <v>1.7223305918355883E-3</v>
      </c>
    </row>
    <row r="20" spans="1:20" x14ac:dyDescent="0.25">
      <c r="A20" s="17" t="s">
        <v>910</v>
      </c>
      <c r="B20" s="117" t="s">
        <v>911</v>
      </c>
      <c r="C20" s="117" t="s">
        <v>410</v>
      </c>
      <c r="D20" s="117" t="s">
        <v>251</v>
      </c>
      <c r="E20" s="117" t="s">
        <v>743</v>
      </c>
      <c r="F20" s="117" t="s">
        <v>200</v>
      </c>
      <c r="G20" s="117" t="s">
        <v>668</v>
      </c>
      <c r="H20" s="117" t="s">
        <v>529</v>
      </c>
      <c r="I20" s="117" t="s">
        <v>912</v>
      </c>
      <c r="J20" s="118">
        <v>4.1500000000000004</v>
      </c>
      <c r="K20" s="118" t="s">
        <v>257</v>
      </c>
      <c r="L20" s="117">
        <v>1E-3</v>
      </c>
      <c r="M20" s="117">
        <v>2.3099999999999999E-2</v>
      </c>
      <c r="N20" s="70">
        <v>2211700.6871899427</v>
      </c>
      <c r="O20" s="61">
        <v>99.25</v>
      </c>
      <c r="P20" s="85">
        <v>0</v>
      </c>
      <c r="Q20" s="85">
        <v>2195.1129300000002</v>
      </c>
      <c r="R20" s="25">
        <v>7.0497957201118256E-4</v>
      </c>
      <c r="S20" s="25">
        <v>1.1570832509743162E-2</v>
      </c>
      <c r="T20" s="25">
        <v>4.0958305775154928E-3</v>
      </c>
    </row>
    <row r="21" spans="1:20" x14ac:dyDescent="0.25">
      <c r="A21" s="17" t="s">
        <v>913</v>
      </c>
      <c r="B21" s="117" t="s">
        <v>914</v>
      </c>
      <c r="C21" s="117" t="s">
        <v>410</v>
      </c>
      <c r="D21" s="117" t="s">
        <v>251</v>
      </c>
      <c r="E21" s="117" t="s">
        <v>743</v>
      </c>
      <c r="F21" s="117" t="s">
        <v>200</v>
      </c>
      <c r="G21" s="117" t="s">
        <v>668</v>
      </c>
      <c r="H21" s="117" t="s">
        <v>529</v>
      </c>
      <c r="I21" s="117" t="s">
        <v>912</v>
      </c>
      <c r="J21" s="118">
        <v>6.14</v>
      </c>
      <c r="K21" s="118" t="s">
        <v>257</v>
      </c>
      <c r="L21" s="117">
        <v>1E-3</v>
      </c>
      <c r="M21" s="117">
        <v>2.35E-2</v>
      </c>
      <c r="N21" s="70">
        <v>2613780.2140077818</v>
      </c>
      <c r="O21" s="61">
        <v>94.8</v>
      </c>
      <c r="P21" s="85">
        <v>0</v>
      </c>
      <c r="Q21" s="85">
        <v>2477.86364</v>
      </c>
      <c r="R21" s="25">
        <v>1.0510485891513262E-3</v>
      </c>
      <c r="S21" s="25">
        <v>1.3061262028292333E-2</v>
      </c>
      <c r="T21" s="25">
        <v>4.6234111807750321E-3</v>
      </c>
    </row>
    <row r="22" spans="1:20" x14ac:dyDescent="0.25">
      <c r="A22" s="17" t="s">
        <v>900</v>
      </c>
      <c r="B22" s="117" t="s">
        <v>901</v>
      </c>
      <c r="C22" s="117" t="s">
        <v>410</v>
      </c>
      <c r="D22" s="117" t="s">
        <v>251</v>
      </c>
      <c r="E22" s="117" t="s">
        <v>667</v>
      </c>
      <c r="F22" s="117" t="s">
        <v>200</v>
      </c>
      <c r="G22" s="117" t="s">
        <v>668</v>
      </c>
      <c r="H22" s="117" t="s">
        <v>529</v>
      </c>
      <c r="I22" s="117" t="s">
        <v>899</v>
      </c>
      <c r="J22" s="118">
        <v>5.05</v>
      </c>
      <c r="K22" s="118" t="s">
        <v>257</v>
      </c>
      <c r="L22" s="117">
        <v>1E-3</v>
      </c>
      <c r="M22" s="117">
        <v>2.3300000000000001E-2</v>
      </c>
      <c r="N22" s="70">
        <v>3297622.8029702697</v>
      </c>
      <c r="O22" s="61">
        <v>97.31</v>
      </c>
      <c r="P22" s="85">
        <v>0</v>
      </c>
      <c r="Q22" s="85">
        <v>3208.9167499999999</v>
      </c>
      <c r="R22" s="25">
        <v>9.7646295293024794E-4</v>
      </c>
      <c r="S22" s="25">
        <v>1.691477360664053E-2</v>
      </c>
      <c r="T22" s="25">
        <v>5.9874729749560705E-3</v>
      </c>
    </row>
    <row r="23" spans="1:20" x14ac:dyDescent="0.25">
      <c r="A23" s="17" t="s">
        <v>961</v>
      </c>
      <c r="B23" s="117" t="s">
        <v>962</v>
      </c>
      <c r="C23" s="117" t="s">
        <v>410</v>
      </c>
      <c r="D23" s="117" t="s">
        <v>251</v>
      </c>
      <c r="E23" s="117" t="s">
        <v>667</v>
      </c>
      <c r="F23" s="117" t="s">
        <v>200</v>
      </c>
      <c r="G23" s="117" t="s">
        <v>668</v>
      </c>
      <c r="H23" s="117" t="s">
        <v>529</v>
      </c>
      <c r="I23" s="117" t="s">
        <v>963</v>
      </c>
      <c r="J23" s="118">
        <v>3.91</v>
      </c>
      <c r="K23" s="118" t="s">
        <v>257</v>
      </c>
      <c r="L23" s="117">
        <v>1E-3</v>
      </c>
      <c r="M23" s="117">
        <v>2.4E-2</v>
      </c>
      <c r="N23" s="70">
        <v>1069720.2732694675</v>
      </c>
      <c r="O23" s="61">
        <v>98.23</v>
      </c>
      <c r="P23" s="85">
        <v>0</v>
      </c>
      <c r="Q23" s="85">
        <v>1050.78622</v>
      </c>
      <c r="R23" s="25">
        <v>1.0289240133658818E-3</v>
      </c>
      <c r="S23" s="25">
        <v>5.5388819358674762E-3</v>
      </c>
      <c r="T23" s="25">
        <v>1.9606473414139659E-3</v>
      </c>
    </row>
    <row r="24" spans="1:20" x14ac:dyDescent="0.25">
      <c r="A24" s="17" t="s">
        <v>869</v>
      </c>
      <c r="B24" s="117" t="s">
        <v>870</v>
      </c>
      <c r="C24" s="117" t="s">
        <v>410</v>
      </c>
      <c r="D24" s="117" t="s">
        <v>251</v>
      </c>
      <c r="E24" s="117" t="s">
        <v>667</v>
      </c>
      <c r="F24" s="117" t="s">
        <v>200</v>
      </c>
      <c r="G24" s="117" t="s">
        <v>668</v>
      </c>
      <c r="H24" s="117" t="s">
        <v>529</v>
      </c>
      <c r="I24" s="117" t="s">
        <v>871</v>
      </c>
      <c r="J24" s="118">
        <v>0.91</v>
      </c>
      <c r="K24" s="118" t="s">
        <v>257</v>
      </c>
      <c r="L24" s="117">
        <v>9.4999999999999998E-3</v>
      </c>
      <c r="M24" s="117">
        <v>2.5399999999999999E-2</v>
      </c>
      <c r="N24" s="70">
        <v>447.18341868332499</v>
      </c>
      <c r="O24" s="61">
        <v>111.20000000000002</v>
      </c>
      <c r="P24" s="85">
        <v>0</v>
      </c>
      <c r="Q24" s="85">
        <v>0.49726999999999999</v>
      </c>
      <c r="R24" s="25">
        <v>1.3912019042107816E-6</v>
      </c>
      <c r="S24" s="25">
        <v>2.6211990296644924E-6</v>
      </c>
      <c r="T24" s="25">
        <v>9.2784915228991379E-7</v>
      </c>
    </row>
    <row r="25" spans="1:20" x14ac:dyDescent="0.25">
      <c r="A25" s="17" t="s">
        <v>1081</v>
      </c>
      <c r="B25" s="117" t="s">
        <v>1082</v>
      </c>
      <c r="C25" s="117" t="s">
        <v>410</v>
      </c>
      <c r="D25" s="117" t="s">
        <v>251</v>
      </c>
      <c r="E25" s="117" t="s">
        <v>667</v>
      </c>
      <c r="F25" s="117" t="s">
        <v>200</v>
      </c>
      <c r="G25" s="117" t="s">
        <v>668</v>
      </c>
      <c r="H25" s="117" t="s">
        <v>529</v>
      </c>
      <c r="I25" s="117" t="s">
        <v>1083</v>
      </c>
      <c r="J25" s="118">
        <v>6.41</v>
      </c>
      <c r="K25" s="118" t="s">
        <v>257</v>
      </c>
      <c r="L25" s="117">
        <v>4.6999999999999993E-3</v>
      </c>
      <c r="M25" s="117">
        <v>2.64E-2</v>
      </c>
      <c r="N25" s="70">
        <v>50.488449682174597</v>
      </c>
      <c r="O25" s="61">
        <v>107.76999999999998</v>
      </c>
      <c r="P25" s="85">
        <v>0</v>
      </c>
      <c r="Q25" s="85">
        <v>5.441E-2</v>
      </c>
      <c r="R25" s="25">
        <v>7.1928348221644976E-8</v>
      </c>
      <c r="S25" s="25">
        <v>2.868048327951516E-7</v>
      </c>
      <c r="T25" s="25">
        <v>1.015228595654156E-7</v>
      </c>
    </row>
    <row r="26" spans="1:20" x14ac:dyDescent="0.25">
      <c r="A26" s="17" t="s">
        <v>665</v>
      </c>
      <c r="B26" s="117" t="s">
        <v>666</v>
      </c>
      <c r="C26" s="117" t="s">
        <v>410</v>
      </c>
      <c r="D26" s="117" t="s">
        <v>251</v>
      </c>
      <c r="E26" s="117" t="s">
        <v>667</v>
      </c>
      <c r="F26" s="117" t="s">
        <v>200</v>
      </c>
      <c r="G26" s="117" t="s">
        <v>668</v>
      </c>
      <c r="H26" s="117" t="s">
        <v>529</v>
      </c>
      <c r="I26" s="117" t="s">
        <v>669</v>
      </c>
      <c r="J26" s="118">
        <v>3.93</v>
      </c>
      <c r="K26" s="118" t="s">
        <v>257</v>
      </c>
      <c r="L26" s="117">
        <v>1.2199999999999999E-2</v>
      </c>
      <c r="M26" s="117">
        <v>2.3399999999999997E-2</v>
      </c>
      <c r="N26" s="70">
        <v>922493.93248920958</v>
      </c>
      <c r="O26" s="61">
        <v>107.65</v>
      </c>
      <c r="P26" s="85">
        <v>0</v>
      </c>
      <c r="Q26" s="85">
        <v>993.06471999999997</v>
      </c>
      <c r="R26" s="25">
        <v>3.0590604245148568E-4</v>
      </c>
      <c r="S26" s="25">
        <v>5.2346215948238205E-3</v>
      </c>
      <c r="T26" s="25">
        <v>1.8529456002192382E-3</v>
      </c>
    </row>
    <row r="27" spans="1:20" x14ac:dyDescent="0.25">
      <c r="A27" s="17" t="s">
        <v>748</v>
      </c>
      <c r="B27" s="117" t="s">
        <v>749</v>
      </c>
      <c r="C27" s="117" t="s">
        <v>410</v>
      </c>
      <c r="D27" s="117" t="s">
        <v>251</v>
      </c>
      <c r="E27" s="117" t="s">
        <v>667</v>
      </c>
      <c r="F27" s="117" t="s">
        <v>200</v>
      </c>
      <c r="G27" s="117" t="s">
        <v>668</v>
      </c>
      <c r="H27" s="117" t="s">
        <v>529</v>
      </c>
      <c r="I27" s="117" t="s">
        <v>750</v>
      </c>
      <c r="J27" s="118">
        <v>2.72</v>
      </c>
      <c r="K27" s="118" t="s">
        <v>257</v>
      </c>
      <c r="L27" s="117">
        <v>3.8E-3</v>
      </c>
      <c r="M27" s="117">
        <v>2.3900000000000001E-2</v>
      </c>
      <c r="N27" s="70">
        <v>995586.74773700943</v>
      </c>
      <c r="O27" s="61">
        <v>104.01</v>
      </c>
      <c r="P27" s="85">
        <v>0</v>
      </c>
      <c r="Q27" s="85">
        <v>1035.5097800000001</v>
      </c>
      <c r="R27" s="25">
        <v>3.3186224924566983E-4</v>
      </c>
      <c r="S27" s="25">
        <v>5.4583570908039751E-3</v>
      </c>
      <c r="T27" s="25">
        <v>1.9321432452408455E-3</v>
      </c>
    </row>
    <row r="28" spans="1:20" x14ac:dyDescent="0.25">
      <c r="A28" s="17" t="s">
        <v>803</v>
      </c>
      <c r="B28" s="117" t="s">
        <v>804</v>
      </c>
      <c r="C28" s="117" t="s">
        <v>410</v>
      </c>
      <c r="D28" s="117" t="s">
        <v>251</v>
      </c>
      <c r="E28" s="117" t="s">
        <v>667</v>
      </c>
      <c r="F28" s="117" t="s">
        <v>200</v>
      </c>
      <c r="G28" s="117" t="s">
        <v>668</v>
      </c>
      <c r="H28" s="117" t="s">
        <v>529</v>
      </c>
      <c r="I28" s="117" t="s">
        <v>805</v>
      </c>
      <c r="J28" s="118">
        <v>6.71</v>
      </c>
      <c r="K28" s="118" t="s">
        <v>257</v>
      </c>
      <c r="L28" s="117">
        <v>2E-3</v>
      </c>
      <c r="M28" s="117">
        <v>2.4E-2</v>
      </c>
      <c r="N28" s="70">
        <v>353369.64385030884</v>
      </c>
      <c r="O28" s="61">
        <v>96.35</v>
      </c>
      <c r="P28" s="85">
        <v>0</v>
      </c>
      <c r="Q28" s="85">
        <v>340.47165000000001</v>
      </c>
      <c r="R28" s="25">
        <v>3.6870327567925781E-4</v>
      </c>
      <c r="S28" s="25">
        <v>1.7946869077327585E-3</v>
      </c>
      <c r="T28" s="25">
        <v>6.3528129955808365E-4</v>
      </c>
    </row>
    <row r="29" spans="1:20" x14ac:dyDescent="0.25">
      <c r="A29" s="17" t="s">
        <v>1001</v>
      </c>
      <c r="B29" s="117" t="s">
        <v>1002</v>
      </c>
      <c r="C29" s="117" t="s">
        <v>410</v>
      </c>
      <c r="D29" s="117" t="s">
        <v>251</v>
      </c>
      <c r="E29" s="117" t="s">
        <v>667</v>
      </c>
      <c r="F29" s="117" t="s">
        <v>200</v>
      </c>
      <c r="G29" s="117" t="s">
        <v>668</v>
      </c>
      <c r="H29" s="117" t="s">
        <v>529</v>
      </c>
      <c r="I29" s="117" t="s">
        <v>1000</v>
      </c>
      <c r="J29" s="118">
        <v>3.94</v>
      </c>
      <c r="K29" s="118" t="s">
        <v>257</v>
      </c>
      <c r="L29" s="117">
        <v>1.6399999999999998E-2</v>
      </c>
      <c r="M29" s="117">
        <v>2.3700000000000002E-2</v>
      </c>
      <c r="N29" s="70">
        <v>1167545.3989002877</v>
      </c>
      <c r="O29" s="61">
        <v>101.76</v>
      </c>
      <c r="P29" s="85">
        <v>0</v>
      </c>
      <c r="Q29" s="85">
        <v>1188.0942</v>
      </c>
      <c r="R29" s="25">
        <v>9.6491355281015515E-4</v>
      </c>
      <c r="S29" s="25">
        <v>6.262656834697471E-3</v>
      </c>
      <c r="T29" s="25">
        <v>2.2168483848021463E-3</v>
      </c>
    </row>
    <row r="30" spans="1:20" x14ac:dyDescent="0.25">
      <c r="A30" s="17" t="s">
        <v>1043</v>
      </c>
      <c r="B30" s="117" t="s">
        <v>1044</v>
      </c>
      <c r="C30" s="117" t="s">
        <v>410</v>
      </c>
      <c r="D30" s="117" t="s">
        <v>251</v>
      </c>
      <c r="E30" s="117" t="s">
        <v>667</v>
      </c>
      <c r="F30" s="117" t="s">
        <v>200</v>
      </c>
      <c r="G30" s="117" t="s">
        <v>668</v>
      </c>
      <c r="H30" s="117" t="s">
        <v>529</v>
      </c>
      <c r="I30" s="117" t="s">
        <v>486</v>
      </c>
      <c r="J30" s="118">
        <v>4.87</v>
      </c>
      <c r="K30" s="118" t="s">
        <v>257</v>
      </c>
      <c r="L30" s="117">
        <v>2.06E-2</v>
      </c>
      <c r="M30" s="117">
        <v>2.3E-2</v>
      </c>
      <c r="N30" s="70">
        <v>2345415.68576058</v>
      </c>
      <c r="O30" s="61">
        <v>100.43000000000002</v>
      </c>
      <c r="P30" s="85">
        <v>0</v>
      </c>
      <c r="Q30" s="85">
        <v>2355.5009700000001</v>
      </c>
      <c r="R30" s="25">
        <v>1.1726509693082785E-3</v>
      </c>
      <c r="S30" s="25">
        <v>1.2416266529124564E-2</v>
      </c>
      <c r="T30" s="25">
        <v>4.395096382714762E-3</v>
      </c>
    </row>
    <row r="31" spans="1:20" x14ac:dyDescent="0.25">
      <c r="A31" s="17" t="s">
        <v>751</v>
      </c>
      <c r="B31" s="117" t="s">
        <v>752</v>
      </c>
      <c r="C31" s="117" t="s">
        <v>410</v>
      </c>
      <c r="D31" s="117" t="s">
        <v>251</v>
      </c>
      <c r="E31" s="117" t="s">
        <v>753</v>
      </c>
      <c r="F31" s="117" t="s">
        <v>204</v>
      </c>
      <c r="G31" s="117" t="s">
        <v>255</v>
      </c>
      <c r="H31" s="117" t="s">
        <v>256</v>
      </c>
      <c r="I31" s="117" t="s">
        <v>754</v>
      </c>
      <c r="J31" s="118">
        <v>2.21</v>
      </c>
      <c r="K31" s="118" t="s">
        <v>257</v>
      </c>
      <c r="L31" s="117">
        <v>1E-3</v>
      </c>
      <c r="M31" s="117">
        <v>2.3599999999999999E-2</v>
      </c>
      <c r="N31" s="70">
        <v>473083.98832143558</v>
      </c>
      <c r="O31" s="61">
        <v>104.36000000000001</v>
      </c>
      <c r="P31" s="85">
        <v>0</v>
      </c>
      <c r="Q31" s="85">
        <v>493.71045000000004</v>
      </c>
      <c r="R31" s="25">
        <v>4.4192682161697404E-4</v>
      </c>
      <c r="S31" s="25">
        <v>2.6024360055406921E-3</v>
      </c>
      <c r="T31" s="25">
        <v>9.2120743762779159E-4</v>
      </c>
    </row>
    <row r="32" spans="1:20" x14ac:dyDescent="0.25">
      <c r="A32" s="17" t="s">
        <v>755</v>
      </c>
      <c r="B32" s="117" t="s">
        <v>756</v>
      </c>
      <c r="C32" s="117" t="s">
        <v>410</v>
      </c>
      <c r="D32" s="117" t="s">
        <v>251</v>
      </c>
      <c r="E32" s="117" t="s">
        <v>753</v>
      </c>
      <c r="F32" s="117" t="s">
        <v>204</v>
      </c>
      <c r="G32" s="117" t="s">
        <v>255</v>
      </c>
      <c r="H32" s="117" t="s">
        <v>256</v>
      </c>
      <c r="I32" s="117" t="s">
        <v>757</v>
      </c>
      <c r="J32" s="118">
        <v>12.16</v>
      </c>
      <c r="K32" s="118" t="s">
        <v>257</v>
      </c>
      <c r="L32" s="117">
        <v>2.07E-2</v>
      </c>
      <c r="M32" s="117">
        <v>2.69E-2</v>
      </c>
      <c r="N32" s="70">
        <v>1397305.3168251864</v>
      </c>
      <c r="O32" s="61">
        <v>102.42999999999999</v>
      </c>
      <c r="P32" s="85">
        <v>0</v>
      </c>
      <c r="Q32" s="85">
        <v>1431.2598400000002</v>
      </c>
      <c r="R32" s="25">
        <v>4.1027763041454529E-4</v>
      </c>
      <c r="S32" s="25">
        <v>7.5444263756224133E-3</v>
      </c>
      <c r="T32" s="25">
        <v>2.6705677584624005E-3</v>
      </c>
    </row>
    <row r="33" spans="1:20" x14ac:dyDescent="0.25">
      <c r="A33" s="17" t="s">
        <v>842</v>
      </c>
      <c r="B33" s="117" t="s">
        <v>843</v>
      </c>
      <c r="C33" s="117" t="s">
        <v>410</v>
      </c>
      <c r="D33" s="117" t="s">
        <v>251</v>
      </c>
      <c r="E33" s="117" t="s">
        <v>844</v>
      </c>
      <c r="F33" s="117" t="s">
        <v>200</v>
      </c>
      <c r="G33" s="117" t="s">
        <v>255</v>
      </c>
      <c r="H33" s="117" t="s">
        <v>256</v>
      </c>
      <c r="I33" s="117" t="s">
        <v>845</v>
      </c>
      <c r="J33" s="118">
        <v>3.2</v>
      </c>
      <c r="K33" s="118" t="s">
        <v>257</v>
      </c>
      <c r="L33" s="117">
        <v>1.4999999999999999E-2</v>
      </c>
      <c r="M33" s="117">
        <v>2.3700000000000002E-2</v>
      </c>
      <c r="N33" s="70">
        <v>51164.505775815218</v>
      </c>
      <c r="O33" s="61">
        <v>109.37</v>
      </c>
      <c r="P33" s="85">
        <v>0</v>
      </c>
      <c r="Q33" s="85">
        <v>55.958620000000003</v>
      </c>
      <c r="R33" s="25">
        <v>1.571645853136351E-4</v>
      </c>
      <c r="S33" s="25">
        <v>2.9496788554580827E-4</v>
      </c>
      <c r="T33" s="25">
        <v>1.0441240800835245E-4</v>
      </c>
    </row>
    <row r="34" spans="1:20" x14ac:dyDescent="0.25">
      <c r="A34" s="17" t="s">
        <v>691</v>
      </c>
      <c r="B34" s="117" t="s">
        <v>692</v>
      </c>
      <c r="C34" s="117" t="s">
        <v>410</v>
      </c>
      <c r="D34" s="117" t="s">
        <v>251</v>
      </c>
      <c r="E34" s="117" t="s">
        <v>693</v>
      </c>
      <c r="F34" s="117" t="s">
        <v>223</v>
      </c>
      <c r="G34" s="117" t="s">
        <v>668</v>
      </c>
      <c r="H34" s="117" t="s">
        <v>529</v>
      </c>
      <c r="I34" s="117" t="s">
        <v>694</v>
      </c>
      <c r="J34" s="118">
        <v>2.13</v>
      </c>
      <c r="K34" s="118" t="s">
        <v>257</v>
      </c>
      <c r="L34" s="117">
        <v>8.3000000000000001E-3</v>
      </c>
      <c r="M34" s="117">
        <v>2.3399999999999997E-2</v>
      </c>
      <c r="N34" s="70">
        <v>628707.13945638342</v>
      </c>
      <c r="O34" s="61">
        <v>109.00000000000001</v>
      </c>
      <c r="P34" s="85">
        <v>0</v>
      </c>
      <c r="Q34" s="85">
        <v>685.29078000000004</v>
      </c>
      <c r="R34" s="25">
        <v>4.5615348890434544E-4</v>
      </c>
      <c r="S34" s="25">
        <v>3.6122901594184717E-3</v>
      </c>
      <c r="T34" s="25">
        <v>1.2786745013676551E-3</v>
      </c>
    </row>
    <row r="35" spans="1:20" x14ac:dyDescent="0.25">
      <c r="A35" s="17" t="s">
        <v>695</v>
      </c>
      <c r="B35" s="117" t="s">
        <v>696</v>
      </c>
      <c r="C35" s="117" t="s">
        <v>410</v>
      </c>
      <c r="D35" s="117" t="s">
        <v>251</v>
      </c>
      <c r="E35" s="117" t="s">
        <v>693</v>
      </c>
      <c r="F35" s="117" t="s">
        <v>223</v>
      </c>
      <c r="G35" s="117" t="s">
        <v>668</v>
      </c>
      <c r="H35" s="117" t="s">
        <v>529</v>
      </c>
      <c r="I35" s="117" t="s">
        <v>694</v>
      </c>
      <c r="J35" s="118">
        <v>5.9</v>
      </c>
      <c r="K35" s="118" t="s">
        <v>257</v>
      </c>
      <c r="L35" s="117">
        <v>1.6500000000000001E-2</v>
      </c>
      <c r="M35" s="117">
        <v>2.7000000000000003E-2</v>
      </c>
      <c r="N35" s="70">
        <v>1067833.861257253</v>
      </c>
      <c r="O35" s="61">
        <v>106.13</v>
      </c>
      <c r="P35" s="85">
        <v>0</v>
      </c>
      <c r="Q35" s="85">
        <v>1133.2920800000002</v>
      </c>
      <c r="R35" s="25">
        <v>5.0473707107560374E-4</v>
      </c>
      <c r="S35" s="25">
        <v>5.9737850673124357E-3</v>
      </c>
      <c r="T35" s="25">
        <v>2.1145938740017964E-3</v>
      </c>
    </row>
    <row r="36" spans="1:20" x14ac:dyDescent="0.25">
      <c r="A36" s="17" t="s">
        <v>862</v>
      </c>
      <c r="B36" s="117" t="s">
        <v>863</v>
      </c>
      <c r="C36" s="117" t="s">
        <v>410</v>
      </c>
      <c r="D36" s="117" t="s">
        <v>251</v>
      </c>
      <c r="E36" s="117" t="s">
        <v>693</v>
      </c>
      <c r="F36" s="117" t="s">
        <v>223</v>
      </c>
      <c r="G36" s="117" t="s">
        <v>668</v>
      </c>
      <c r="H36" s="117" t="s">
        <v>529</v>
      </c>
      <c r="I36" s="117" t="s">
        <v>864</v>
      </c>
      <c r="J36" s="118">
        <v>14.24</v>
      </c>
      <c r="K36" s="118" t="s">
        <v>257</v>
      </c>
      <c r="L36" s="117">
        <v>9.5999999999999992E-3</v>
      </c>
      <c r="M36" s="117">
        <v>2.7000000000000003E-2</v>
      </c>
      <c r="N36" s="70">
        <v>261393.85053952257</v>
      </c>
      <c r="O36" s="61">
        <v>86.5</v>
      </c>
      <c r="P36" s="85">
        <v>0</v>
      </c>
      <c r="Q36" s="85">
        <v>226.10568000000001</v>
      </c>
      <c r="R36" s="25">
        <v>6.5348462634880645E-4</v>
      </c>
      <c r="S36" s="25">
        <v>1.1918434432353253E-3</v>
      </c>
      <c r="T36" s="25">
        <v>4.2188743241284318E-4</v>
      </c>
    </row>
    <row r="37" spans="1:20" x14ac:dyDescent="0.25">
      <c r="A37" s="17" t="s">
        <v>995</v>
      </c>
      <c r="B37" s="117" t="s">
        <v>996</v>
      </c>
      <c r="C37" s="117" t="s">
        <v>410</v>
      </c>
      <c r="D37" s="117" t="s">
        <v>251</v>
      </c>
      <c r="E37" s="117" t="s">
        <v>924</v>
      </c>
      <c r="F37" s="117" t="s">
        <v>200</v>
      </c>
      <c r="G37" s="117" t="s">
        <v>255</v>
      </c>
      <c r="H37" s="117" t="s">
        <v>256</v>
      </c>
      <c r="I37" s="117" t="s">
        <v>997</v>
      </c>
      <c r="J37" s="118">
        <v>4.37</v>
      </c>
      <c r="K37" s="118" t="s">
        <v>257</v>
      </c>
      <c r="L37" s="117">
        <v>1.3899999999999999E-2</v>
      </c>
      <c r="M37" s="117">
        <v>2.3799999999999998E-2</v>
      </c>
      <c r="N37" s="70">
        <v>1602186.0932013493</v>
      </c>
      <c r="O37" s="61">
        <v>100.13000000000001</v>
      </c>
      <c r="P37" s="85">
        <v>0</v>
      </c>
      <c r="Q37" s="85">
        <v>1604.2689399999999</v>
      </c>
      <c r="R37" s="25">
        <v>8.0109304660067461E-4</v>
      </c>
      <c r="S37" s="25">
        <v>8.4563882575841784E-3</v>
      </c>
      <c r="T37" s="25">
        <v>2.9933830233555988E-3</v>
      </c>
    </row>
    <row r="38" spans="1:20" x14ac:dyDescent="0.25">
      <c r="A38" s="17" t="s">
        <v>922</v>
      </c>
      <c r="B38" s="117" t="s">
        <v>923</v>
      </c>
      <c r="C38" s="117" t="s">
        <v>410</v>
      </c>
      <c r="D38" s="117" t="s">
        <v>251</v>
      </c>
      <c r="E38" s="117" t="s">
        <v>924</v>
      </c>
      <c r="F38" s="117" t="s">
        <v>200</v>
      </c>
      <c r="G38" s="117" t="s">
        <v>668</v>
      </c>
      <c r="H38" s="117" t="s">
        <v>529</v>
      </c>
      <c r="I38" s="117" t="s">
        <v>925</v>
      </c>
      <c r="J38" s="118">
        <v>4.04</v>
      </c>
      <c r="K38" s="118" t="s">
        <v>257</v>
      </c>
      <c r="L38" s="117">
        <v>1E-3</v>
      </c>
      <c r="M38" s="117">
        <v>2.3799999999999998E-2</v>
      </c>
      <c r="N38" s="70">
        <v>2768253.2559299273</v>
      </c>
      <c r="O38" s="61">
        <v>99.07</v>
      </c>
      <c r="P38" s="85">
        <v>0</v>
      </c>
      <c r="Q38" s="85">
        <v>2742.5084999999999</v>
      </c>
      <c r="R38" s="25">
        <v>9.3273659014948005E-4</v>
      </c>
      <c r="S38" s="25">
        <v>1.445625237606657E-2</v>
      </c>
      <c r="T38" s="25">
        <v>5.1172083312343054E-3</v>
      </c>
    </row>
    <row r="39" spans="1:20" x14ac:dyDescent="0.25">
      <c r="A39" s="17" t="s">
        <v>1075</v>
      </c>
      <c r="B39" s="117" t="s">
        <v>1076</v>
      </c>
      <c r="C39" s="117" t="s">
        <v>410</v>
      </c>
      <c r="D39" s="117" t="s">
        <v>251</v>
      </c>
      <c r="E39" s="117" t="s">
        <v>924</v>
      </c>
      <c r="F39" s="117" t="s">
        <v>200</v>
      </c>
      <c r="G39" s="117" t="s">
        <v>668</v>
      </c>
      <c r="H39" s="117" t="s">
        <v>529</v>
      </c>
      <c r="I39" s="117" t="s">
        <v>1077</v>
      </c>
      <c r="J39" s="118">
        <v>3.47</v>
      </c>
      <c r="K39" s="118" t="s">
        <v>257</v>
      </c>
      <c r="L39" s="117">
        <v>1.7500000000000002E-2</v>
      </c>
      <c r="M39" s="117">
        <v>2.4300000000000002E-2</v>
      </c>
      <c r="N39" s="70">
        <v>750510.06663683336</v>
      </c>
      <c r="O39" s="61">
        <v>109.67</v>
      </c>
      <c r="P39" s="85">
        <v>0</v>
      </c>
      <c r="Q39" s="85">
        <v>823.08438999999998</v>
      </c>
      <c r="R39" s="25">
        <v>2.2729396861494335E-4</v>
      </c>
      <c r="S39" s="25">
        <v>4.338624900758121E-3</v>
      </c>
      <c r="T39" s="25">
        <v>1.5357816749945921E-3</v>
      </c>
    </row>
    <row r="40" spans="1:20" x14ac:dyDescent="0.25">
      <c r="A40" s="17" t="s">
        <v>602</v>
      </c>
      <c r="B40" s="117" t="s">
        <v>603</v>
      </c>
      <c r="C40" s="117" t="s">
        <v>410</v>
      </c>
      <c r="D40" s="117" t="s">
        <v>251</v>
      </c>
      <c r="E40" s="117" t="s">
        <v>604</v>
      </c>
      <c r="F40" s="117" t="s">
        <v>225</v>
      </c>
      <c r="G40" s="117" t="s">
        <v>605</v>
      </c>
      <c r="H40" s="117" t="s">
        <v>529</v>
      </c>
      <c r="I40" s="117" t="s">
        <v>606</v>
      </c>
      <c r="J40" s="118">
        <v>4.2</v>
      </c>
      <c r="K40" s="118" t="s">
        <v>257</v>
      </c>
      <c r="L40" s="117">
        <v>3.85E-2</v>
      </c>
      <c r="M40" s="117">
        <v>2.52E-2</v>
      </c>
      <c r="N40" s="70">
        <v>779552.08946251974</v>
      </c>
      <c r="O40" s="61">
        <v>120.55</v>
      </c>
      <c r="P40" s="85">
        <v>0</v>
      </c>
      <c r="Q40" s="85">
        <v>939.75004000000001</v>
      </c>
      <c r="R40" s="25">
        <v>3.0184411552879601E-4</v>
      </c>
      <c r="S40" s="25">
        <v>4.9535903894768803E-3</v>
      </c>
      <c r="T40" s="25">
        <v>1.7534664829537527E-3</v>
      </c>
    </row>
    <row r="41" spans="1:20" x14ac:dyDescent="0.25">
      <c r="A41" s="17" t="s">
        <v>640</v>
      </c>
      <c r="B41" s="117" t="s">
        <v>641</v>
      </c>
      <c r="C41" s="117" t="s">
        <v>410</v>
      </c>
      <c r="D41" s="117" t="s">
        <v>251</v>
      </c>
      <c r="E41" s="117" t="s">
        <v>604</v>
      </c>
      <c r="F41" s="117" t="s">
        <v>225</v>
      </c>
      <c r="G41" s="117" t="s">
        <v>605</v>
      </c>
      <c r="H41" s="117" t="s">
        <v>529</v>
      </c>
      <c r="I41" s="117" t="s">
        <v>642</v>
      </c>
      <c r="J41" s="118">
        <v>1.86</v>
      </c>
      <c r="K41" s="118" t="s">
        <v>257</v>
      </c>
      <c r="L41" s="117">
        <v>4.4999999999999998E-2</v>
      </c>
      <c r="M41" s="117">
        <v>2.63E-2</v>
      </c>
      <c r="N41" s="70">
        <v>1658927.3303740174</v>
      </c>
      <c r="O41" s="61">
        <v>117.23000000000002</v>
      </c>
      <c r="P41" s="85">
        <v>0</v>
      </c>
      <c r="Q41" s="85">
        <v>1944.7605100000001</v>
      </c>
      <c r="R41" s="25">
        <v>5.6128195741809701E-4</v>
      </c>
      <c r="S41" s="25">
        <v>1.0251180167196542E-2</v>
      </c>
      <c r="T41" s="25">
        <v>3.6287014913636466E-3</v>
      </c>
    </row>
    <row r="42" spans="1:20" x14ac:dyDescent="0.25">
      <c r="A42" s="17" t="s">
        <v>726</v>
      </c>
      <c r="B42" s="117" t="s">
        <v>727</v>
      </c>
      <c r="C42" s="117" t="s">
        <v>410</v>
      </c>
      <c r="D42" s="117" t="s">
        <v>251</v>
      </c>
      <c r="E42" s="117" t="s">
        <v>604</v>
      </c>
      <c r="F42" s="117" t="s">
        <v>225</v>
      </c>
      <c r="G42" s="117" t="s">
        <v>605</v>
      </c>
      <c r="H42" s="117" t="s">
        <v>529</v>
      </c>
      <c r="I42" s="117" t="s">
        <v>728</v>
      </c>
      <c r="J42" s="118">
        <v>6.66</v>
      </c>
      <c r="K42" s="118" t="s">
        <v>257</v>
      </c>
      <c r="L42" s="117">
        <v>2.3900000000000001E-2</v>
      </c>
      <c r="M42" s="117">
        <v>2.8199999999999999E-2</v>
      </c>
      <c r="N42" s="70">
        <v>2064773.2198054728</v>
      </c>
      <c r="O42" s="61">
        <v>108.05</v>
      </c>
      <c r="P42" s="85">
        <v>0</v>
      </c>
      <c r="Q42" s="85">
        <v>2230.9874599999998</v>
      </c>
      <c r="R42" s="25">
        <v>5.3090631156373395E-4</v>
      </c>
      <c r="S42" s="25">
        <v>1.1759933567972431E-2</v>
      </c>
      <c r="T42" s="25">
        <v>4.1627683623191181E-3</v>
      </c>
    </row>
    <row r="43" spans="1:20" x14ac:dyDescent="0.25">
      <c r="A43" s="17" t="s">
        <v>889</v>
      </c>
      <c r="B43" s="117" t="s">
        <v>890</v>
      </c>
      <c r="C43" s="117" t="s">
        <v>410</v>
      </c>
      <c r="D43" s="117" t="s">
        <v>251</v>
      </c>
      <c r="E43" s="117" t="s">
        <v>604</v>
      </c>
      <c r="F43" s="117" t="s">
        <v>225</v>
      </c>
      <c r="G43" s="117" t="s">
        <v>605</v>
      </c>
      <c r="H43" s="117" t="s">
        <v>529</v>
      </c>
      <c r="I43" s="117" t="s">
        <v>891</v>
      </c>
      <c r="J43" s="118">
        <v>3.75</v>
      </c>
      <c r="K43" s="118" t="s">
        <v>257</v>
      </c>
      <c r="L43" s="117">
        <v>0.01</v>
      </c>
      <c r="M43" s="117">
        <v>2.3700000000000002E-2</v>
      </c>
      <c r="N43" s="70">
        <v>638499.73526465648</v>
      </c>
      <c r="O43" s="61">
        <v>104.44</v>
      </c>
      <c r="P43" s="85">
        <v>0</v>
      </c>
      <c r="Q43" s="85">
        <v>666.84911999999997</v>
      </c>
      <c r="R43" s="25">
        <v>5.3131226717292369E-4</v>
      </c>
      <c r="S43" s="25">
        <v>3.5150808741259694E-3</v>
      </c>
      <c r="T43" s="25">
        <v>1.2442644653755002E-3</v>
      </c>
    </row>
    <row r="44" spans="1:20" x14ac:dyDescent="0.25">
      <c r="A44" s="17" t="s">
        <v>892</v>
      </c>
      <c r="B44" s="117" t="s">
        <v>893</v>
      </c>
      <c r="C44" s="117" t="s">
        <v>410</v>
      </c>
      <c r="D44" s="117" t="s">
        <v>251</v>
      </c>
      <c r="E44" s="117" t="s">
        <v>604</v>
      </c>
      <c r="F44" s="117" t="s">
        <v>200</v>
      </c>
      <c r="G44" s="117" t="s">
        <v>605</v>
      </c>
      <c r="H44" s="117" t="s">
        <v>529</v>
      </c>
      <c r="I44" s="117" t="s">
        <v>891</v>
      </c>
      <c r="J44" s="118">
        <v>11.64</v>
      </c>
      <c r="K44" s="118" t="s">
        <v>257</v>
      </c>
      <c r="L44" s="117">
        <v>1.2500000000000001E-2</v>
      </c>
      <c r="M44" s="117">
        <v>2.8999999999999998E-2</v>
      </c>
      <c r="N44" s="70">
        <v>3382158.9667061935</v>
      </c>
      <c r="O44" s="61">
        <v>91.1</v>
      </c>
      <c r="P44" s="85">
        <v>0</v>
      </c>
      <c r="Q44" s="85">
        <v>3081.1468199999999</v>
      </c>
      <c r="R44" s="25">
        <v>7.8803872315445637E-4</v>
      </c>
      <c r="S44" s="25">
        <v>1.6241275473762418E-2</v>
      </c>
      <c r="T44" s="25">
        <v>5.7490688459343291E-3</v>
      </c>
    </row>
    <row r="45" spans="1:20" x14ac:dyDescent="0.25">
      <c r="A45" s="17" t="s">
        <v>3055</v>
      </c>
      <c r="B45" s="117" t="s">
        <v>703</v>
      </c>
      <c r="C45" s="117" t="s">
        <v>410</v>
      </c>
      <c r="D45" s="117" t="s">
        <v>251</v>
      </c>
      <c r="E45" s="117" t="s">
        <v>704</v>
      </c>
      <c r="F45" s="117" t="s">
        <v>204</v>
      </c>
      <c r="G45" s="117" t="s">
        <v>605</v>
      </c>
      <c r="H45" s="117" t="s">
        <v>529</v>
      </c>
      <c r="I45" s="117" t="s">
        <v>705</v>
      </c>
      <c r="J45" s="118">
        <v>6.24</v>
      </c>
      <c r="K45" s="118" t="s">
        <v>257</v>
      </c>
      <c r="L45" s="117">
        <v>2.6499999999999999E-2</v>
      </c>
      <c r="M45" s="117">
        <v>2.6499999999999999E-2</v>
      </c>
      <c r="N45" s="70">
        <v>945146.94625101448</v>
      </c>
      <c r="O45" s="61">
        <v>112.76000000000002</v>
      </c>
      <c r="P45" s="85">
        <v>0</v>
      </c>
      <c r="Q45" s="85">
        <v>1065.7476999999999</v>
      </c>
      <c r="R45" s="25">
        <v>6.320007777837433E-4</v>
      </c>
      <c r="S45" s="25">
        <v>5.6177465704892009E-3</v>
      </c>
      <c r="T45" s="25">
        <v>1.9885637581191812E-3</v>
      </c>
    </row>
    <row r="46" spans="1:20" x14ac:dyDescent="0.25">
      <c r="A46" s="17" t="s">
        <v>883</v>
      </c>
      <c r="B46" s="117" t="s">
        <v>884</v>
      </c>
      <c r="C46" s="117" t="s">
        <v>410</v>
      </c>
      <c r="D46" s="117" t="s">
        <v>251</v>
      </c>
      <c r="E46" s="117" t="s">
        <v>588</v>
      </c>
      <c r="F46" s="117" t="s">
        <v>223</v>
      </c>
      <c r="G46" s="117" t="s">
        <v>589</v>
      </c>
      <c r="H46" s="117" t="s">
        <v>256</v>
      </c>
      <c r="I46" s="117" t="s">
        <v>885</v>
      </c>
      <c r="J46" s="118">
        <v>7.69</v>
      </c>
      <c r="K46" s="118" t="s">
        <v>257</v>
      </c>
      <c r="L46" s="117">
        <v>9.0000000000000011E-3</v>
      </c>
      <c r="M46" s="117">
        <v>3.2000000000000001E-2</v>
      </c>
      <c r="N46" s="70">
        <v>1462627.202996504</v>
      </c>
      <c r="O46" s="61">
        <v>92.19</v>
      </c>
      <c r="P46" s="85">
        <v>0</v>
      </c>
      <c r="Q46" s="85">
        <v>1348.3960199999999</v>
      </c>
      <c r="R46" s="25">
        <v>7.6834958835619741E-4</v>
      </c>
      <c r="S46" s="25">
        <v>7.1076363730517905E-3</v>
      </c>
      <c r="T46" s="25">
        <v>2.5159533133068427E-3</v>
      </c>
    </row>
    <row r="47" spans="1:20" x14ac:dyDescent="0.25">
      <c r="A47" s="17" t="s">
        <v>586</v>
      </c>
      <c r="B47" s="117" t="s">
        <v>587</v>
      </c>
      <c r="C47" s="117" t="s">
        <v>410</v>
      </c>
      <c r="D47" s="117" t="s">
        <v>251</v>
      </c>
      <c r="E47" s="117" t="s">
        <v>588</v>
      </c>
      <c r="F47" s="117" t="s">
        <v>223</v>
      </c>
      <c r="G47" s="117" t="s">
        <v>589</v>
      </c>
      <c r="H47" s="117" t="s">
        <v>256</v>
      </c>
      <c r="I47" s="117" t="s">
        <v>590</v>
      </c>
      <c r="J47" s="118">
        <v>1</v>
      </c>
      <c r="K47" s="118" t="s">
        <v>257</v>
      </c>
      <c r="L47" s="117">
        <v>6.5000000000000006E-3</v>
      </c>
      <c r="M47" s="117">
        <v>2.5499999999999998E-2</v>
      </c>
      <c r="N47" s="70">
        <v>141353.99739000094</v>
      </c>
      <c r="O47" s="61">
        <v>109.23</v>
      </c>
      <c r="P47" s="85">
        <v>0.51129289479999995</v>
      </c>
      <c r="Q47" s="85">
        <v>154.91226</v>
      </c>
      <c r="R47" s="25">
        <v>1.294714566697814E-4</v>
      </c>
      <c r="S47" s="25">
        <v>8.1657020450687484E-4</v>
      </c>
      <c r="T47" s="25">
        <v>2.8904862372617436E-4</v>
      </c>
    </row>
    <row r="48" spans="1:20" x14ac:dyDescent="0.25">
      <c r="A48" s="17" t="s">
        <v>620</v>
      </c>
      <c r="B48" s="117" t="s">
        <v>621</v>
      </c>
      <c r="C48" s="117" t="s">
        <v>410</v>
      </c>
      <c r="D48" s="117" t="s">
        <v>251</v>
      </c>
      <c r="E48" s="117" t="s">
        <v>588</v>
      </c>
      <c r="F48" s="117" t="s">
        <v>223</v>
      </c>
      <c r="G48" s="117" t="s">
        <v>605</v>
      </c>
      <c r="H48" s="117" t="s">
        <v>529</v>
      </c>
      <c r="I48" s="117" t="s">
        <v>622</v>
      </c>
      <c r="J48" s="118">
        <v>3.35</v>
      </c>
      <c r="K48" s="118" t="s">
        <v>257</v>
      </c>
      <c r="L48" s="117">
        <v>1.34E-2</v>
      </c>
      <c r="M48" s="117">
        <v>0.03</v>
      </c>
      <c r="N48" s="70">
        <v>1973083.4627982352</v>
      </c>
      <c r="O48" s="61">
        <v>107.07</v>
      </c>
      <c r="P48" s="85">
        <v>0</v>
      </c>
      <c r="Q48" s="85">
        <v>2112.5804600000001</v>
      </c>
      <c r="R48" s="25">
        <v>6.3803409334964409E-4</v>
      </c>
      <c r="S48" s="25">
        <v>1.1135789112233127E-2</v>
      </c>
      <c r="T48" s="25">
        <v>3.9418343937000751E-3</v>
      </c>
    </row>
    <row r="49" spans="1:20" x14ac:dyDescent="0.25">
      <c r="A49" s="17" t="s">
        <v>736</v>
      </c>
      <c r="B49" s="117" t="s">
        <v>737</v>
      </c>
      <c r="C49" s="117" t="s">
        <v>410</v>
      </c>
      <c r="D49" s="117" t="s">
        <v>251</v>
      </c>
      <c r="E49" s="117" t="s">
        <v>588</v>
      </c>
      <c r="F49" s="117" t="s">
        <v>223</v>
      </c>
      <c r="G49" s="117" t="s">
        <v>605</v>
      </c>
      <c r="H49" s="117" t="s">
        <v>529</v>
      </c>
      <c r="I49" s="117" t="s">
        <v>738</v>
      </c>
      <c r="J49" s="118">
        <v>3.33</v>
      </c>
      <c r="K49" s="118" t="s">
        <v>257</v>
      </c>
      <c r="L49" s="117">
        <v>1.77E-2</v>
      </c>
      <c r="M49" s="117">
        <v>3.0099999999999998E-2</v>
      </c>
      <c r="N49" s="70">
        <v>1498227.9928062996</v>
      </c>
      <c r="O49" s="61">
        <v>107.4</v>
      </c>
      <c r="P49" s="85">
        <v>0</v>
      </c>
      <c r="Q49" s="85">
        <v>1609.0968600000001</v>
      </c>
      <c r="R49" s="25">
        <v>5.4345010145474641E-4</v>
      </c>
      <c r="S49" s="25">
        <v>8.4818370866293607E-3</v>
      </c>
      <c r="T49" s="25">
        <v>3.0023913718972839E-3</v>
      </c>
    </row>
    <row r="50" spans="1:20" x14ac:dyDescent="0.25">
      <c r="A50" s="17" t="s">
        <v>739</v>
      </c>
      <c r="B50" s="117" t="s">
        <v>740</v>
      </c>
      <c r="C50" s="117" t="s">
        <v>410</v>
      </c>
      <c r="D50" s="117" t="s">
        <v>251</v>
      </c>
      <c r="E50" s="117" t="s">
        <v>588</v>
      </c>
      <c r="F50" s="117" t="s">
        <v>223</v>
      </c>
      <c r="G50" s="117" t="s">
        <v>605</v>
      </c>
      <c r="H50" s="117" t="s">
        <v>529</v>
      </c>
      <c r="I50" s="117" t="s">
        <v>738</v>
      </c>
      <c r="J50" s="118">
        <v>6.33</v>
      </c>
      <c r="K50" s="118" t="s">
        <v>257</v>
      </c>
      <c r="L50" s="117">
        <v>2.4799999999999999E-2</v>
      </c>
      <c r="M50" s="117">
        <v>3.1400000000000004E-2</v>
      </c>
      <c r="N50" s="70">
        <v>2916896.542983776</v>
      </c>
      <c r="O50" s="61">
        <v>107.59</v>
      </c>
      <c r="P50" s="85">
        <v>0</v>
      </c>
      <c r="Q50" s="85">
        <v>3138.28899</v>
      </c>
      <c r="R50" s="25">
        <v>8.8538637026786416E-4</v>
      </c>
      <c r="S50" s="25">
        <v>1.6542482062852699E-2</v>
      </c>
      <c r="T50" s="25">
        <v>5.8556896233681295E-3</v>
      </c>
    </row>
    <row r="51" spans="1:20" x14ac:dyDescent="0.25">
      <c r="A51" s="17" t="s">
        <v>886</v>
      </c>
      <c r="B51" s="117" t="s">
        <v>887</v>
      </c>
      <c r="C51" s="117" t="s">
        <v>410</v>
      </c>
      <c r="D51" s="117" t="s">
        <v>251</v>
      </c>
      <c r="E51" s="117" t="s">
        <v>588</v>
      </c>
      <c r="F51" s="117" t="s">
        <v>223</v>
      </c>
      <c r="G51" s="117" t="s">
        <v>589</v>
      </c>
      <c r="H51" s="117" t="s">
        <v>256</v>
      </c>
      <c r="I51" s="117" t="s">
        <v>888</v>
      </c>
      <c r="J51" s="118">
        <v>11.18</v>
      </c>
      <c r="K51" s="118" t="s">
        <v>257</v>
      </c>
      <c r="L51" s="117">
        <v>1.6899999999999998E-2</v>
      </c>
      <c r="M51" s="117">
        <v>3.32E-2</v>
      </c>
      <c r="N51" s="70">
        <v>2464450.6273597134</v>
      </c>
      <c r="O51" s="61">
        <v>92.05</v>
      </c>
      <c r="P51" s="85">
        <v>0</v>
      </c>
      <c r="Q51" s="85">
        <v>2268.5267999999996</v>
      </c>
      <c r="R51" s="25">
        <v>9.2028881753296917E-4</v>
      </c>
      <c r="S51" s="25">
        <v>1.1957810137204931E-2</v>
      </c>
      <c r="T51" s="25">
        <v>4.232812492864944E-3</v>
      </c>
    </row>
    <row r="52" spans="1:20" x14ac:dyDescent="0.25">
      <c r="A52" s="17" t="s">
        <v>563</v>
      </c>
      <c r="B52" s="117" t="s">
        <v>564</v>
      </c>
      <c r="C52" s="117" t="s">
        <v>410</v>
      </c>
      <c r="D52" s="117" t="s">
        <v>251</v>
      </c>
      <c r="E52" s="117" t="s">
        <v>565</v>
      </c>
      <c r="F52" s="117" t="s">
        <v>223</v>
      </c>
      <c r="G52" s="117" t="s">
        <v>545</v>
      </c>
      <c r="H52" s="117" t="s">
        <v>256</v>
      </c>
      <c r="I52" s="117" t="s">
        <v>566</v>
      </c>
      <c r="J52" s="118">
        <v>2.52</v>
      </c>
      <c r="K52" s="118" t="s">
        <v>257</v>
      </c>
      <c r="L52" s="117">
        <v>3.2000000000000001E-2</v>
      </c>
      <c r="M52" s="117">
        <v>2.9900000000000003E-2</v>
      </c>
      <c r="N52" s="70">
        <v>687362.70325069944</v>
      </c>
      <c r="O52" s="61">
        <v>112.5</v>
      </c>
      <c r="P52" s="85">
        <v>0</v>
      </c>
      <c r="Q52" s="85">
        <v>773.28304000000003</v>
      </c>
      <c r="R52" s="25">
        <v>4.8997744530880627E-4</v>
      </c>
      <c r="S52" s="25">
        <v>4.0761130856556988E-3</v>
      </c>
      <c r="T52" s="25">
        <v>1.4428580311383506E-3</v>
      </c>
    </row>
    <row r="53" spans="1:20" x14ac:dyDescent="0.25">
      <c r="A53" s="17" t="s">
        <v>758</v>
      </c>
      <c r="B53" s="117" t="s">
        <v>759</v>
      </c>
      <c r="C53" s="117" t="s">
        <v>410</v>
      </c>
      <c r="D53" s="117" t="s">
        <v>251</v>
      </c>
      <c r="E53" s="117" t="s">
        <v>565</v>
      </c>
      <c r="F53" s="117" t="s">
        <v>223</v>
      </c>
      <c r="G53" s="117" t="s">
        <v>545</v>
      </c>
      <c r="H53" s="117" t="s">
        <v>256</v>
      </c>
      <c r="I53" s="117" t="s">
        <v>760</v>
      </c>
      <c r="J53" s="118">
        <v>4.29</v>
      </c>
      <c r="K53" s="118" t="s">
        <v>257</v>
      </c>
      <c r="L53" s="117">
        <v>1.1399999999999999E-2</v>
      </c>
      <c r="M53" s="117">
        <v>3.1E-2</v>
      </c>
      <c r="N53" s="70">
        <v>733932.97256083309</v>
      </c>
      <c r="O53" s="61">
        <v>100.96000000000001</v>
      </c>
      <c r="P53" s="85">
        <v>9.1754311586000004</v>
      </c>
      <c r="Q53" s="85">
        <v>750.15416000000005</v>
      </c>
      <c r="R53" s="25">
        <v>3.1059595966658799E-4</v>
      </c>
      <c r="S53" s="25">
        <v>3.9541966261604014E-3</v>
      </c>
      <c r="T53" s="25">
        <v>1.3997021767706728E-3</v>
      </c>
    </row>
    <row r="54" spans="1:20" x14ac:dyDescent="0.25">
      <c r="A54" s="17" t="s">
        <v>853</v>
      </c>
      <c r="B54" s="117" t="s">
        <v>854</v>
      </c>
      <c r="C54" s="117" t="s">
        <v>410</v>
      </c>
      <c r="D54" s="117" t="s">
        <v>251</v>
      </c>
      <c r="E54" s="117" t="s">
        <v>565</v>
      </c>
      <c r="F54" s="117" t="s">
        <v>223</v>
      </c>
      <c r="G54" s="117" t="s">
        <v>625</v>
      </c>
      <c r="H54" s="117" t="s">
        <v>529</v>
      </c>
      <c r="I54" s="117" t="s">
        <v>855</v>
      </c>
      <c r="J54" s="118">
        <v>6.5</v>
      </c>
      <c r="K54" s="118" t="s">
        <v>257</v>
      </c>
      <c r="L54" s="117">
        <v>9.1999999999999998E-3</v>
      </c>
      <c r="M54" s="117">
        <v>3.2899999999999999E-2</v>
      </c>
      <c r="N54" s="70">
        <v>1474326.4218987725</v>
      </c>
      <c r="O54" s="61">
        <v>96.51</v>
      </c>
      <c r="P54" s="85">
        <v>0</v>
      </c>
      <c r="Q54" s="85">
        <v>1422.8724299999999</v>
      </c>
      <c r="R54" s="25">
        <v>7.366063365589477E-4</v>
      </c>
      <c r="S54" s="25">
        <v>7.5002148387241507E-3</v>
      </c>
      <c r="T54" s="25">
        <v>2.6549178072117555E-3</v>
      </c>
    </row>
    <row r="55" spans="1:20" x14ac:dyDescent="0.25">
      <c r="A55" s="17" t="s">
        <v>897</v>
      </c>
      <c r="B55" s="117" t="s">
        <v>898</v>
      </c>
      <c r="C55" s="117" t="s">
        <v>410</v>
      </c>
      <c r="D55" s="117" t="s">
        <v>251</v>
      </c>
      <c r="E55" s="117" t="s">
        <v>565</v>
      </c>
      <c r="F55" s="117" t="s">
        <v>223</v>
      </c>
      <c r="G55" s="117" t="s">
        <v>625</v>
      </c>
      <c r="H55" s="117" t="s">
        <v>529</v>
      </c>
      <c r="I55" s="117" t="s">
        <v>899</v>
      </c>
      <c r="J55" s="118">
        <v>8.2799999999999994</v>
      </c>
      <c r="K55" s="118" t="s">
        <v>257</v>
      </c>
      <c r="L55" s="117">
        <v>9.1999999999999998E-3</v>
      </c>
      <c r="M55" s="117">
        <v>3.27E-2</v>
      </c>
      <c r="N55" s="70">
        <v>504884.496821746</v>
      </c>
      <c r="O55" s="61">
        <v>96.469671000000005</v>
      </c>
      <c r="P55" s="85">
        <v>0</v>
      </c>
      <c r="Q55" s="85">
        <v>487.06040999999999</v>
      </c>
      <c r="R55" s="25">
        <v>2.5225154624191411E-4</v>
      </c>
      <c r="S55" s="25">
        <v>2.5673824563717698E-3</v>
      </c>
      <c r="T55" s="25">
        <v>9.0879922081058147E-4</v>
      </c>
    </row>
    <row r="56" spans="1:20" x14ac:dyDescent="0.25">
      <c r="A56" s="17" t="s">
        <v>567</v>
      </c>
      <c r="B56" s="117" t="s">
        <v>568</v>
      </c>
      <c r="C56" s="117" t="s">
        <v>410</v>
      </c>
      <c r="D56" s="117" t="s">
        <v>251</v>
      </c>
      <c r="E56" s="117" t="s">
        <v>569</v>
      </c>
      <c r="F56" s="117" t="s">
        <v>223</v>
      </c>
      <c r="G56" s="117" t="s">
        <v>545</v>
      </c>
      <c r="H56" s="117" t="s">
        <v>256</v>
      </c>
      <c r="I56" s="117" t="s">
        <v>570</v>
      </c>
      <c r="J56" s="118">
        <v>2.61</v>
      </c>
      <c r="K56" s="118" t="s">
        <v>257</v>
      </c>
      <c r="L56" s="117">
        <v>2.3399999999999997E-2</v>
      </c>
      <c r="M56" s="117">
        <v>3.1400000000000004E-2</v>
      </c>
      <c r="N56" s="70">
        <v>1185766.6042035138</v>
      </c>
      <c r="O56" s="61">
        <v>110.3</v>
      </c>
      <c r="P56" s="85">
        <v>0</v>
      </c>
      <c r="Q56" s="85">
        <v>1307.90056</v>
      </c>
      <c r="R56" s="25">
        <v>4.5800143659510944E-4</v>
      </c>
      <c r="S56" s="25">
        <v>6.8941775670554161E-3</v>
      </c>
      <c r="T56" s="25">
        <v>2.4403933997134428E-3</v>
      </c>
    </row>
    <row r="57" spans="1:20" x14ac:dyDescent="0.25">
      <c r="A57" s="17" t="s">
        <v>767</v>
      </c>
      <c r="B57" s="117" t="s">
        <v>768</v>
      </c>
      <c r="C57" s="117" t="s">
        <v>410</v>
      </c>
      <c r="D57" s="117" t="s">
        <v>251</v>
      </c>
      <c r="E57" s="117" t="s">
        <v>569</v>
      </c>
      <c r="F57" s="117" t="s">
        <v>223</v>
      </c>
      <c r="G57" s="117" t="s">
        <v>545</v>
      </c>
      <c r="H57" s="117" t="s">
        <v>256</v>
      </c>
      <c r="I57" s="117" t="s">
        <v>769</v>
      </c>
      <c r="J57" s="118">
        <v>5.89</v>
      </c>
      <c r="K57" s="118" t="s">
        <v>257</v>
      </c>
      <c r="L57" s="117">
        <v>6.5000000000000006E-3</v>
      </c>
      <c r="M57" s="117">
        <v>3.1800000000000002E-2</v>
      </c>
      <c r="N57" s="70">
        <v>1837292.4800021008</v>
      </c>
      <c r="O57" s="61">
        <v>95.32</v>
      </c>
      <c r="P57" s="85">
        <v>0</v>
      </c>
      <c r="Q57" s="85">
        <v>1751.30719</v>
      </c>
      <c r="R57" s="25">
        <v>8.6068303493193473E-4</v>
      </c>
      <c r="S57" s="25">
        <v>9.2314531483348068E-3</v>
      </c>
      <c r="T57" s="25">
        <v>3.2677396417252823E-3</v>
      </c>
    </row>
    <row r="58" spans="1:20" x14ac:dyDescent="0.25">
      <c r="A58" s="17" t="s">
        <v>1030</v>
      </c>
      <c r="B58" s="117" t="s">
        <v>1031</v>
      </c>
      <c r="C58" s="117" t="s">
        <v>410</v>
      </c>
      <c r="D58" s="117" t="s">
        <v>251</v>
      </c>
      <c r="E58" s="117" t="s">
        <v>569</v>
      </c>
      <c r="F58" s="117" t="s">
        <v>223</v>
      </c>
      <c r="G58" s="117" t="s">
        <v>545</v>
      </c>
      <c r="H58" s="117" t="s">
        <v>256</v>
      </c>
      <c r="I58" s="117" t="s">
        <v>1032</v>
      </c>
      <c r="J58" s="118">
        <v>8.8000000000000007</v>
      </c>
      <c r="K58" s="118" t="s">
        <v>257</v>
      </c>
      <c r="L58" s="117">
        <v>2.6600000000000002E-2</v>
      </c>
      <c r="M58" s="117">
        <v>3.0299999999999997E-2</v>
      </c>
      <c r="N58" s="70">
        <v>251075.29887995296</v>
      </c>
      <c r="O58" s="61">
        <v>99.52</v>
      </c>
      <c r="P58" s="85">
        <v>0</v>
      </c>
      <c r="Q58" s="85">
        <v>249.87014000000002</v>
      </c>
      <c r="R58" s="25">
        <v>8.3691766293317652E-4</v>
      </c>
      <c r="S58" s="25">
        <v>1.3171101584855934E-3</v>
      </c>
      <c r="T58" s="25">
        <v>4.6622920663133132E-4</v>
      </c>
    </row>
    <row r="59" spans="1:20" x14ac:dyDescent="0.25">
      <c r="A59" s="17" t="s">
        <v>623</v>
      </c>
      <c r="B59" s="117" t="s">
        <v>624</v>
      </c>
      <c r="C59" s="117" t="s">
        <v>410</v>
      </c>
      <c r="D59" s="117" t="s">
        <v>251</v>
      </c>
      <c r="E59" s="117" t="s">
        <v>593</v>
      </c>
      <c r="F59" s="117" t="s">
        <v>223</v>
      </c>
      <c r="G59" s="117" t="s">
        <v>625</v>
      </c>
      <c r="H59" s="117" t="s">
        <v>529</v>
      </c>
      <c r="I59" s="117" t="s">
        <v>626</v>
      </c>
      <c r="J59" s="118">
        <v>2.2599999999999998</v>
      </c>
      <c r="K59" s="118" t="s">
        <v>257</v>
      </c>
      <c r="L59" s="117">
        <v>1.34E-2</v>
      </c>
      <c r="M59" s="117">
        <v>2.9600000000000001E-2</v>
      </c>
      <c r="N59" s="70">
        <v>248791.82605943087</v>
      </c>
      <c r="O59" s="61">
        <v>109.13999999999999</v>
      </c>
      <c r="P59" s="85">
        <v>0</v>
      </c>
      <c r="Q59" s="85">
        <v>271.53140000000002</v>
      </c>
      <c r="R59" s="25">
        <v>4.6661629494446451E-4</v>
      </c>
      <c r="S59" s="25">
        <v>1.4312905307045294E-3</v>
      </c>
      <c r="T59" s="25">
        <v>5.0664664932550431E-4</v>
      </c>
    </row>
    <row r="60" spans="1:20" x14ac:dyDescent="0.25">
      <c r="A60" s="17" t="s">
        <v>849</v>
      </c>
      <c r="B60" s="117" t="s">
        <v>850</v>
      </c>
      <c r="C60" s="117" t="s">
        <v>410</v>
      </c>
      <c r="D60" s="117" t="s">
        <v>251</v>
      </c>
      <c r="E60" s="117" t="s">
        <v>593</v>
      </c>
      <c r="F60" s="117" t="s">
        <v>223</v>
      </c>
      <c r="G60" s="117" t="s">
        <v>545</v>
      </c>
      <c r="H60" s="117" t="s">
        <v>256</v>
      </c>
      <c r="I60" s="117" t="s">
        <v>424</v>
      </c>
      <c r="J60" s="118">
        <v>4.37</v>
      </c>
      <c r="K60" s="118" t="s">
        <v>257</v>
      </c>
      <c r="L60" s="117">
        <v>6.8999999999999999E-3</v>
      </c>
      <c r="M60" s="117">
        <v>3.0099999999999998E-2</v>
      </c>
      <c r="N60" s="70">
        <v>132312.05097704785</v>
      </c>
      <c r="O60" s="61">
        <v>100.81</v>
      </c>
      <c r="P60" s="85">
        <v>0</v>
      </c>
      <c r="Q60" s="85">
        <v>133.38378</v>
      </c>
      <c r="R60" s="25">
        <v>7.6711532338269862E-4</v>
      </c>
      <c r="S60" s="25">
        <v>7.030897393950614E-4</v>
      </c>
      <c r="T60" s="25">
        <v>2.4887893338070737E-4</v>
      </c>
    </row>
    <row r="61" spans="1:20" x14ac:dyDescent="0.25">
      <c r="A61" s="17" t="s">
        <v>706</v>
      </c>
      <c r="B61" s="117" t="s">
        <v>707</v>
      </c>
      <c r="C61" s="117" t="s">
        <v>410</v>
      </c>
      <c r="D61" s="117" t="s">
        <v>251</v>
      </c>
      <c r="E61" s="117" t="s">
        <v>593</v>
      </c>
      <c r="F61" s="117" t="s">
        <v>223</v>
      </c>
      <c r="G61" s="117" t="s">
        <v>545</v>
      </c>
      <c r="H61" s="117" t="s">
        <v>256</v>
      </c>
      <c r="I61" s="117" t="s">
        <v>708</v>
      </c>
      <c r="J61" s="118">
        <v>3.59</v>
      </c>
      <c r="K61" s="118" t="s">
        <v>257</v>
      </c>
      <c r="L61" s="117">
        <v>1.8200000000000001E-2</v>
      </c>
      <c r="M61" s="117">
        <v>2.9600000000000001E-2</v>
      </c>
      <c r="N61" s="70">
        <v>506399.28622711776</v>
      </c>
      <c r="O61" s="61">
        <v>107.72</v>
      </c>
      <c r="P61" s="85">
        <v>0</v>
      </c>
      <c r="Q61" s="85">
        <v>545.49331000000006</v>
      </c>
      <c r="R61" s="25">
        <v>9.4862237175993261E-4</v>
      </c>
      <c r="S61" s="25">
        <v>2.875392713939052E-3</v>
      </c>
      <c r="T61" s="25">
        <v>1.0178283533358522E-3</v>
      </c>
    </row>
    <row r="62" spans="1:20" x14ac:dyDescent="0.25">
      <c r="A62" s="17" t="s">
        <v>761</v>
      </c>
      <c r="B62" s="117" t="s">
        <v>762</v>
      </c>
      <c r="C62" s="117" t="s">
        <v>410</v>
      </c>
      <c r="D62" s="117" t="s">
        <v>251</v>
      </c>
      <c r="E62" s="117" t="s">
        <v>593</v>
      </c>
      <c r="F62" s="117" t="s">
        <v>223</v>
      </c>
      <c r="G62" s="117" t="s">
        <v>545</v>
      </c>
      <c r="H62" s="117" t="s">
        <v>256</v>
      </c>
      <c r="I62" s="117" t="s">
        <v>763</v>
      </c>
      <c r="J62" s="118">
        <v>4.6500000000000004</v>
      </c>
      <c r="K62" s="118" t="s">
        <v>257</v>
      </c>
      <c r="L62" s="117">
        <v>7.8000000000000005E-3</v>
      </c>
      <c r="M62" s="117">
        <v>2.98E-2</v>
      </c>
      <c r="N62" s="70">
        <v>308198.81202527758</v>
      </c>
      <c r="O62" s="61">
        <v>99.78</v>
      </c>
      <c r="P62" s="85">
        <v>0</v>
      </c>
      <c r="Q62" s="85">
        <v>307.52077000000003</v>
      </c>
      <c r="R62" s="25">
        <v>7.8302543705609142E-4</v>
      </c>
      <c r="S62" s="25">
        <v>1.6209969310951348E-3</v>
      </c>
      <c r="T62" s="25">
        <v>5.7379871248223622E-4</v>
      </c>
    </row>
    <row r="63" spans="1:20" x14ac:dyDescent="0.25">
      <c r="A63" s="17" t="s">
        <v>851</v>
      </c>
      <c r="B63" s="117" t="s">
        <v>852</v>
      </c>
      <c r="C63" s="117" t="s">
        <v>410</v>
      </c>
      <c r="D63" s="117" t="s">
        <v>251</v>
      </c>
      <c r="E63" s="117" t="s">
        <v>593</v>
      </c>
      <c r="F63" s="117" t="s">
        <v>223</v>
      </c>
      <c r="G63" s="117" t="s">
        <v>545</v>
      </c>
      <c r="H63" s="117" t="s">
        <v>256</v>
      </c>
      <c r="I63" s="117" t="s">
        <v>424</v>
      </c>
      <c r="J63" s="118">
        <v>4.37</v>
      </c>
      <c r="K63" s="118" t="s">
        <v>257</v>
      </c>
      <c r="L63" s="117">
        <v>6.8999999999999999E-3</v>
      </c>
      <c r="M63" s="117">
        <v>2.92E-2</v>
      </c>
      <c r="N63" s="70">
        <v>154692.74104774918</v>
      </c>
      <c r="O63" s="61">
        <v>101.2</v>
      </c>
      <c r="P63" s="85">
        <v>0</v>
      </c>
      <c r="Q63" s="85">
        <v>156.54904999999999</v>
      </c>
      <c r="R63" s="25">
        <v>7.9903275334581192E-4</v>
      </c>
      <c r="S63" s="25">
        <v>8.2519801708306985E-4</v>
      </c>
      <c r="T63" s="25">
        <v>2.9210268734146708E-4</v>
      </c>
    </row>
    <row r="64" spans="1:20" x14ac:dyDescent="0.25">
      <c r="A64" s="17" t="s">
        <v>784</v>
      </c>
      <c r="B64" s="117" t="s">
        <v>785</v>
      </c>
      <c r="C64" s="117" t="s">
        <v>410</v>
      </c>
      <c r="D64" s="117" t="s">
        <v>251</v>
      </c>
      <c r="E64" s="117" t="s">
        <v>786</v>
      </c>
      <c r="F64" s="117" t="s">
        <v>201</v>
      </c>
      <c r="G64" s="117" t="s">
        <v>625</v>
      </c>
      <c r="H64" s="117" t="s">
        <v>529</v>
      </c>
      <c r="I64" s="117" t="s">
        <v>783</v>
      </c>
      <c r="J64" s="118">
        <v>5.28</v>
      </c>
      <c r="K64" s="118" t="s">
        <v>257</v>
      </c>
      <c r="L64" s="117">
        <v>4.4000000000000003E-3</v>
      </c>
      <c r="M64" s="117">
        <v>2.7400000000000001E-2</v>
      </c>
      <c r="N64" s="70">
        <v>763760.60414563364</v>
      </c>
      <c r="O64" s="61">
        <v>98.69</v>
      </c>
      <c r="P64" s="85">
        <v>0</v>
      </c>
      <c r="Q64" s="85">
        <v>753.75533999999993</v>
      </c>
      <c r="R64" s="25">
        <v>1.0091884545444228E-3</v>
      </c>
      <c r="S64" s="25">
        <v>3.9731790894532741E-3</v>
      </c>
      <c r="T64" s="25">
        <v>1.4064215682687389E-3</v>
      </c>
    </row>
    <row r="65" spans="1:20" x14ac:dyDescent="0.25">
      <c r="A65" s="17" t="s">
        <v>764</v>
      </c>
      <c r="B65" s="117" t="s">
        <v>765</v>
      </c>
      <c r="C65" s="117" t="s">
        <v>410</v>
      </c>
      <c r="D65" s="117" t="s">
        <v>251</v>
      </c>
      <c r="E65" s="117" t="s">
        <v>648</v>
      </c>
      <c r="F65" s="117" t="s">
        <v>223</v>
      </c>
      <c r="G65" s="117" t="s">
        <v>625</v>
      </c>
      <c r="H65" s="117" t="s">
        <v>529</v>
      </c>
      <c r="I65" s="117" t="s">
        <v>766</v>
      </c>
      <c r="J65" s="118">
        <v>5.49</v>
      </c>
      <c r="K65" s="118" t="s">
        <v>257</v>
      </c>
      <c r="L65" s="117">
        <v>8.3999999999999995E-3</v>
      </c>
      <c r="M65" s="117">
        <v>3.0099999999999998E-2</v>
      </c>
      <c r="N65" s="70">
        <v>561764.77499429765</v>
      </c>
      <c r="O65" s="61">
        <v>98.550000000000011</v>
      </c>
      <c r="P65" s="85">
        <v>0</v>
      </c>
      <c r="Q65" s="85">
        <v>553.61918999999989</v>
      </c>
      <c r="R65" s="25">
        <v>6.8432790229540461E-4</v>
      </c>
      <c r="S65" s="25">
        <v>2.9182256794732082E-3</v>
      </c>
      <c r="T65" s="25">
        <v>1.0329903194098351E-3</v>
      </c>
    </row>
    <row r="66" spans="1:20" x14ac:dyDescent="0.25">
      <c r="A66" s="17" t="s">
        <v>1096</v>
      </c>
      <c r="B66" s="117" t="s">
        <v>1097</v>
      </c>
      <c r="C66" s="117" t="s">
        <v>410</v>
      </c>
      <c r="D66" s="117" t="s">
        <v>251</v>
      </c>
      <c r="E66" s="117" t="s">
        <v>743</v>
      </c>
      <c r="F66" s="117" t="s">
        <v>200</v>
      </c>
      <c r="G66" s="117" t="s">
        <v>545</v>
      </c>
      <c r="H66" s="117" t="s">
        <v>256</v>
      </c>
      <c r="I66" s="117" t="s">
        <v>1098</v>
      </c>
      <c r="J66" s="118">
        <v>1.4</v>
      </c>
      <c r="K66" s="118" t="s">
        <v>257</v>
      </c>
      <c r="L66" s="117">
        <v>2.4199999999999999E-2</v>
      </c>
      <c r="M66" s="117">
        <v>3.56E-2</v>
      </c>
      <c r="N66" s="70">
        <v>29.283300815661267</v>
      </c>
      <c r="O66" s="61">
        <v>5557000</v>
      </c>
      <c r="P66" s="85">
        <v>0</v>
      </c>
      <c r="Q66" s="85">
        <v>1627.2730300000001</v>
      </c>
      <c r="R66" s="25">
        <v>1.0159699134601279E-3</v>
      </c>
      <c r="S66" s="25">
        <v>8.5776469266901252E-3</v>
      </c>
      <c r="T66" s="25">
        <v>3.0363060338040493E-3</v>
      </c>
    </row>
    <row r="67" spans="1:20" x14ac:dyDescent="0.25">
      <c r="A67" s="17" t="s">
        <v>1099</v>
      </c>
      <c r="B67" s="117" t="s">
        <v>1100</v>
      </c>
      <c r="C67" s="117" t="s">
        <v>410</v>
      </c>
      <c r="D67" s="117" t="s">
        <v>251</v>
      </c>
      <c r="E67" s="117" t="s">
        <v>743</v>
      </c>
      <c r="F67" s="117" t="s">
        <v>200</v>
      </c>
      <c r="G67" s="117" t="s">
        <v>545</v>
      </c>
      <c r="H67" s="117" t="s">
        <v>256</v>
      </c>
      <c r="I67" s="117" t="s">
        <v>1101</v>
      </c>
      <c r="J67" s="118">
        <v>1.01</v>
      </c>
      <c r="K67" s="118" t="s">
        <v>257</v>
      </c>
      <c r="L67" s="117">
        <v>1.95E-2</v>
      </c>
      <c r="M67" s="117">
        <v>3.56E-2</v>
      </c>
      <c r="N67" s="70">
        <v>16.333013472183485</v>
      </c>
      <c r="O67" s="61">
        <v>5397000</v>
      </c>
      <c r="P67" s="85">
        <v>14.24627334</v>
      </c>
      <c r="Q67" s="85">
        <v>895.73901000000001</v>
      </c>
      <c r="R67" s="25">
        <v>6.580850748291021E-4</v>
      </c>
      <c r="S67" s="25">
        <v>4.7216003857957116E-3</v>
      </c>
      <c r="T67" s="25">
        <v>1.6713469163663738E-3</v>
      </c>
    </row>
    <row r="68" spans="1:20" x14ac:dyDescent="0.25">
      <c r="A68" s="17" t="s">
        <v>1118</v>
      </c>
      <c r="B68" s="117" t="s">
        <v>1119</v>
      </c>
      <c r="C68" s="117" t="s">
        <v>410</v>
      </c>
      <c r="D68" s="117" t="s">
        <v>251</v>
      </c>
      <c r="E68" s="117" t="s">
        <v>743</v>
      </c>
      <c r="F68" s="117" t="s">
        <v>200</v>
      </c>
      <c r="G68" s="117" t="s">
        <v>625</v>
      </c>
      <c r="H68" s="117" t="s">
        <v>529</v>
      </c>
      <c r="I68" s="117" t="s">
        <v>1120</v>
      </c>
      <c r="J68" s="118">
        <v>4.34</v>
      </c>
      <c r="K68" s="118" t="s">
        <v>257</v>
      </c>
      <c r="L68" s="117">
        <v>1.4999999999999999E-2</v>
      </c>
      <c r="M68" s="117">
        <v>3.7999999999999999E-2</v>
      </c>
      <c r="N68" s="70">
        <v>5.3113849065647676</v>
      </c>
      <c r="O68" s="61">
        <v>4910638</v>
      </c>
      <c r="P68" s="85">
        <v>0</v>
      </c>
      <c r="Q68" s="85">
        <v>260.82289000000003</v>
      </c>
      <c r="R68" s="25">
        <v>1.8916535745297982E-4</v>
      </c>
      <c r="S68" s="25">
        <v>1.3748440609372952E-3</v>
      </c>
      <c r="T68" s="25">
        <v>4.8666578998191219E-4</v>
      </c>
    </row>
    <row r="69" spans="1:20" x14ac:dyDescent="0.25">
      <c r="A69" s="17" t="s">
        <v>902</v>
      </c>
      <c r="B69" s="117" t="s">
        <v>903</v>
      </c>
      <c r="C69" s="117" t="s">
        <v>410</v>
      </c>
      <c r="D69" s="117" t="s">
        <v>251</v>
      </c>
      <c r="E69" s="117" t="s">
        <v>638</v>
      </c>
      <c r="F69" s="117" t="s">
        <v>223</v>
      </c>
      <c r="G69" s="117" t="s">
        <v>625</v>
      </c>
      <c r="H69" s="117" t="s">
        <v>529</v>
      </c>
      <c r="I69" s="117" t="s">
        <v>904</v>
      </c>
      <c r="J69" s="118">
        <v>6.82</v>
      </c>
      <c r="K69" s="118" t="s">
        <v>257</v>
      </c>
      <c r="L69" s="117">
        <v>3.4999999999999996E-3</v>
      </c>
      <c r="M69" s="117">
        <v>3.3000000000000002E-2</v>
      </c>
      <c r="N69" s="70">
        <v>3628119.2353092404</v>
      </c>
      <c r="O69" s="61">
        <v>88.99</v>
      </c>
      <c r="P69" s="85">
        <v>204.08050130300001</v>
      </c>
      <c r="Q69" s="85">
        <v>3271.3106400000001</v>
      </c>
      <c r="R69" s="25">
        <v>1.2457815423234327E-3</v>
      </c>
      <c r="S69" s="25">
        <v>1.7243662950306937E-2</v>
      </c>
      <c r="T69" s="25">
        <v>6.1038928634363134E-3</v>
      </c>
    </row>
    <row r="70" spans="1:20" x14ac:dyDescent="0.25">
      <c r="A70" s="17" t="s">
        <v>636</v>
      </c>
      <c r="B70" s="117" t="s">
        <v>637</v>
      </c>
      <c r="C70" s="117" t="s">
        <v>410</v>
      </c>
      <c r="D70" s="117" t="s">
        <v>251</v>
      </c>
      <c r="E70" s="117" t="s">
        <v>638</v>
      </c>
      <c r="F70" s="117" t="s">
        <v>223</v>
      </c>
      <c r="G70" s="117" t="s">
        <v>625</v>
      </c>
      <c r="H70" s="117" t="s">
        <v>529</v>
      </c>
      <c r="I70" s="117" t="s">
        <v>639</v>
      </c>
      <c r="J70" s="118">
        <v>2.6</v>
      </c>
      <c r="K70" s="118" t="s">
        <v>257</v>
      </c>
      <c r="L70" s="117">
        <v>3.7000000000000005E-2</v>
      </c>
      <c r="M70" s="117">
        <v>3.0499999999999999E-2</v>
      </c>
      <c r="N70" s="70">
        <v>77895.397450916833</v>
      </c>
      <c r="O70" s="61">
        <v>114.36</v>
      </c>
      <c r="P70" s="85">
        <v>0</v>
      </c>
      <c r="Q70" s="85">
        <v>89.081179999999989</v>
      </c>
      <c r="R70" s="25">
        <v>2.0720666462748942E-4</v>
      </c>
      <c r="S70" s="25">
        <v>4.6956281814179018E-4</v>
      </c>
      <c r="T70" s="25">
        <v>1.6621533039995419E-4</v>
      </c>
    </row>
    <row r="71" spans="1:20" x14ac:dyDescent="0.25">
      <c r="A71" s="17" t="s">
        <v>697</v>
      </c>
      <c r="B71" s="117" t="s">
        <v>698</v>
      </c>
      <c r="C71" s="117" t="s">
        <v>410</v>
      </c>
      <c r="D71" s="117" t="s">
        <v>251</v>
      </c>
      <c r="E71" s="117" t="s">
        <v>638</v>
      </c>
      <c r="F71" s="117" t="s">
        <v>223</v>
      </c>
      <c r="G71" s="117" t="s">
        <v>545</v>
      </c>
      <c r="H71" s="117" t="s">
        <v>256</v>
      </c>
      <c r="I71" s="117" t="s">
        <v>699</v>
      </c>
      <c r="J71" s="118">
        <v>3.19</v>
      </c>
      <c r="K71" s="118" t="s">
        <v>257</v>
      </c>
      <c r="L71" s="117">
        <v>2.6000000000000002E-2</v>
      </c>
      <c r="M71" s="117">
        <v>2.8799999999999999E-2</v>
      </c>
      <c r="N71" s="70">
        <v>376783.43034550257</v>
      </c>
      <c r="O71" s="61">
        <v>111.35999999999999</v>
      </c>
      <c r="P71" s="85">
        <v>5.500818529</v>
      </c>
      <c r="Q71" s="85">
        <v>425.08684999999997</v>
      </c>
      <c r="R71" s="25">
        <v>1.0445562282453804E-3</v>
      </c>
      <c r="S71" s="25">
        <v>2.2407087472462359E-3</v>
      </c>
      <c r="T71" s="25">
        <v>7.9316362021052893E-4</v>
      </c>
    </row>
    <row r="72" spans="1:20" x14ac:dyDescent="0.25">
      <c r="A72" s="17" t="s">
        <v>659</v>
      </c>
      <c r="B72" s="117" t="s">
        <v>660</v>
      </c>
      <c r="C72" s="117" t="s">
        <v>410</v>
      </c>
      <c r="D72" s="117" t="s">
        <v>251</v>
      </c>
      <c r="E72" s="117" t="s">
        <v>638</v>
      </c>
      <c r="F72" s="117" t="s">
        <v>223</v>
      </c>
      <c r="G72" s="117" t="s">
        <v>625</v>
      </c>
      <c r="H72" s="117" t="s">
        <v>529</v>
      </c>
      <c r="I72" s="117" t="s">
        <v>661</v>
      </c>
      <c r="J72" s="118">
        <v>4.08</v>
      </c>
      <c r="K72" s="118" t="s">
        <v>257</v>
      </c>
      <c r="L72" s="117">
        <v>2.81E-2</v>
      </c>
      <c r="M72" s="117">
        <v>3.1200000000000002E-2</v>
      </c>
      <c r="N72" s="70">
        <v>726665.5211710108</v>
      </c>
      <c r="O72" s="61">
        <v>112.12</v>
      </c>
      <c r="P72" s="85">
        <v>0</v>
      </c>
      <c r="Q72" s="85">
        <v>814.73738000000003</v>
      </c>
      <c r="R72" s="25">
        <v>5.4432575548614621E-4</v>
      </c>
      <c r="S72" s="25">
        <v>4.2946263194791386E-3</v>
      </c>
      <c r="T72" s="25">
        <v>1.5202071055400595E-3</v>
      </c>
    </row>
    <row r="73" spans="1:20" x14ac:dyDescent="0.25">
      <c r="A73" s="17" t="s">
        <v>770</v>
      </c>
      <c r="B73" s="117" t="s">
        <v>771</v>
      </c>
      <c r="C73" s="117" t="s">
        <v>410</v>
      </c>
      <c r="D73" s="117" t="s">
        <v>251</v>
      </c>
      <c r="E73" s="117" t="s">
        <v>638</v>
      </c>
      <c r="F73" s="117" t="s">
        <v>223</v>
      </c>
      <c r="G73" s="117" t="s">
        <v>545</v>
      </c>
      <c r="H73" s="117" t="s">
        <v>256</v>
      </c>
      <c r="I73" s="117" t="s">
        <v>772</v>
      </c>
      <c r="J73" s="118">
        <v>2.72</v>
      </c>
      <c r="K73" s="118" t="s">
        <v>257</v>
      </c>
      <c r="L73" s="117">
        <v>2.4E-2</v>
      </c>
      <c r="M73" s="117">
        <v>2.9399999999999999E-2</v>
      </c>
      <c r="N73" s="70">
        <v>516721.18410966697</v>
      </c>
      <c r="O73" s="61">
        <v>110.4</v>
      </c>
      <c r="P73" s="85">
        <v>44.028747144</v>
      </c>
      <c r="Q73" s="85">
        <v>577.92097000000001</v>
      </c>
      <c r="R73" s="25">
        <v>8.9552443712455734E-4</v>
      </c>
      <c r="S73" s="25">
        <v>3.0463247044598754E-3</v>
      </c>
      <c r="T73" s="25">
        <v>1.0783346715166101E-3</v>
      </c>
    </row>
    <row r="74" spans="1:20" x14ac:dyDescent="0.25">
      <c r="A74" s="17" t="s">
        <v>773</v>
      </c>
      <c r="B74" s="117" t="s">
        <v>774</v>
      </c>
      <c r="C74" s="117" t="s">
        <v>410</v>
      </c>
      <c r="D74" s="117" t="s">
        <v>251</v>
      </c>
      <c r="E74" s="117" t="s">
        <v>638</v>
      </c>
      <c r="F74" s="117" t="s">
        <v>223</v>
      </c>
      <c r="G74" s="117" t="s">
        <v>625</v>
      </c>
      <c r="H74" s="117" t="s">
        <v>529</v>
      </c>
      <c r="I74" s="117" t="s">
        <v>772</v>
      </c>
      <c r="J74" s="118">
        <v>3.87</v>
      </c>
      <c r="K74" s="118" t="s">
        <v>257</v>
      </c>
      <c r="L74" s="117">
        <v>2.6000000000000002E-2</v>
      </c>
      <c r="M74" s="117">
        <v>2.9300000000000003E-2</v>
      </c>
      <c r="N74" s="70">
        <v>307080.50977844809</v>
      </c>
      <c r="O74" s="61">
        <v>111.25</v>
      </c>
      <c r="P74" s="85">
        <v>0</v>
      </c>
      <c r="Q74" s="85">
        <v>341.62707</v>
      </c>
      <c r="R74" s="25">
        <v>6.2637789400150142E-4</v>
      </c>
      <c r="S74" s="25">
        <v>1.8007773330205397E-3</v>
      </c>
      <c r="T74" s="25">
        <v>6.3743718160916014E-4</v>
      </c>
    </row>
    <row r="75" spans="1:20" x14ac:dyDescent="0.25">
      <c r="A75" s="17" t="s">
        <v>542</v>
      </c>
      <c r="B75" s="117" t="s">
        <v>543</v>
      </c>
      <c r="C75" s="117" t="s">
        <v>410</v>
      </c>
      <c r="D75" s="117" t="s">
        <v>251</v>
      </c>
      <c r="E75" s="117" t="s">
        <v>544</v>
      </c>
      <c r="F75" s="117" t="s">
        <v>223</v>
      </c>
      <c r="G75" s="117" t="s">
        <v>545</v>
      </c>
      <c r="H75" s="117" t="s">
        <v>256</v>
      </c>
      <c r="I75" s="117" t="s">
        <v>546</v>
      </c>
      <c r="J75" s="118">
        <v>0.03</v>
      </c>
      <c r="K75" s="118" t="s">
        <v>257</v>
      </c>
      <c r="L75" s="117">
        <v>4.9000000000000002E-2</v>
      </c>
      <c r="M75" s="117">
        <v>0.45</v>
      </c>
      <c r="N75" s="70">
        <v>91.917100488030741</v>
      </c>
      <c r="O75" s="61">
        <v>117.36</v>
      </c>
      <c r="P75" s="85">
        <v>0</v>
      </c>
      <c r="Q75" s="85">
        <v>0.10787000000000001</v>
      </c>
      <c r="R75" s="25">
        <v>6.9109222284345179E-7</v>
      </c>
      <c r="S75" s="25">
        <v>5.6860204583004978E-7</v>
      </c>
      <c r="T75" s="25">
        <v>2.0127312739057858E-7</v>
      </c>
    </row>
    <row r="76" spans="1:20" x14ac:dyDescent="0.25">
      <c r="A76" s="17" t="s">
        <v>643</v>
      </c>
      <c r="B76" s="117" t="s">
        <v>644</v>
      </c>
      <c r="C76" s="117" t="s">
        <v>410</v>
      </c>
      <c r="D76" s="117" t="s">
        <v>251</v>
      </c>
      <c r="E76" s="117" t="s">
        <v>544</v>
      </c>
      <c r="F76" s="117" t="s">
        <v>223</v>
      </c>
      <c r="G76" s="117" t="s">
        <v>545</v>
      </c>
      <c r="H76" s="117" t="s">
        <v>256</v>
      </c>
      <c r="I76" s="117" t="s">
        <v>645</v>
      </c>
      <c r="J76" s="118">
        <v>3.27</v>
      </c>
      <c r="K76" s="118" t="s">
        <v>257</v>
      </c>
      <c r="L76" s="117">
        <v>2.35E-2</v>
      </c>
      <c r="M76" s="117">
        <v>2.8500000000000001E-2</v>
      </c>
      <c r="N76" s="70">
        <v>836378.61995400838</v>
      </c>
      <c r="O76" s="61">
        <v>110.9</v>
      </c>
      <c r="P76" s="85">
        <v>21.899089630000002</v>
      </c>
      <c r="Q76" s="85">
        <v>938.78156000000001</v>
      </c>
      <c r="R76" s="25">
        <v>8.8024024861997174E-4</v>
      </c>
      <c r="S76" s="25">
        <v>4.948485358334343E-3</v>
      </c>
      <c r="T76" s="25">
        <v>1.7516594096394372E-3</v>
      </c>
    </row>
    <row r="77" spans="1:20" x14ac:dyDescent="0.25">
      <c r="A77" s="17" t="s">
        <v>576</v>
      </c>
      <c r="B77" s="117" t="s">
        <v>577</v>
      </c>
      <c r="C77" s="117" t="s">
        <v>410</v>
      </c>
      <c r="D77" s="117" t="s">
        <v>251</v>
      </c>
      <c r="E77" s="117" t="s">
        <v>544</v>
      </c>
      <c r="F77" s="117" t="s">
        <v>223</v>
      </c>
      <c r="G77" s="117" t="s">
        <v>545</v>
      </c>
      <c r="H77" s="117" t="s">
        <v>256</v>
      </c>
      <c r="I77" s="117" t="s">
        <v>578</v>
      </c>
      <c r="J77" s="118">
        <v>1.72</v>
      </c>
      <c r="K77" s="118" t="s">
        <v>257</v>
      </c>
      <c r="L77" s="117">
        <v>1.7600000000000001E-2</v>
      </c>
      <c r="M77" s="117">
        <v>2.9600000000000001E-2</v>
      </c>
      <c r="N77" s="70">
        <v>1387374.676709515</v>
      </c>
      <c r="O77" s="61">
        <v>111.29</v>
      </c>
      <c r="P77" s="85">
        <v>0</v>
      </c>
      <c r="Q77" s="85">
        <v>1544.00928</v>
      </c>
      <c r="R77" s="25">
        <v>1.0387719487768407E-3</v>
      </c>
      <c r="S77" s="25">
        <v>8.1387488216240114E-3</v>
      </c>
      <c r="T77" s="25">
        <v>2.8809453648435662E-3</v>
      </c>
    </row>
    <row r="78" spans="1:20" x14ac:dyDescent="0.25">
      <c r="A78" s="17" t="s">
        <v>614</v>
      </c>
      <c r="B78" s="117" t="s">
        <v>615</v>
      </c>
      <c r="C78" s="117" t="s">
        <v>410</v>
      </c>
      <c r="D78" s="117" t="s">
        <v>251</v>
      </c>
      <c r="E78" s="117" t="s">
        <v>544</v>
      </c>
      <c r="F78" s="117" t="s">
        <v>223</v>
      </c>
      <c r="G78" s="117" t="s">
        <v>545</v>
      </c>
      <c r="H78" s="117" t="s">
        <v>256</v>
      </c>
      <c r="I78" s="117" t="s">
        <v>616</v>
      </c>
      <c r="J78" s="118">
        <v>2.41</v>
      </c>
      <c r="K78" s="118" t="s">
        <v>257</v>
      </c>
      <c r="L78" s="117">
        <v>2.1499999999999998E-2</v>
      </c>
      <c r="M78" s="117">
        <v>2.9300000000000003E-2</v>
      </c>
      <c r="N78" s="70">
        <v>221808.8368710528</v>
      </c>
      <c r="O78" s="61">
        <v>112.3</v>
      </c>
      <c r="P78" s="85">
        <v>0</v>
      </c>
      <c r="Q78" s="85">
        <v>249.09132</v>
      </c>
      <c r="R78" s="25">
        <v>1.8161797689876719E-4</v>
      </c>
      <c r="S78" s="25">
        <v>1.3130048590943506E-3</v>
      </c>
      <c r="T78" s="25">
        <v>4.6477601726381171E-4</v>
      </c>
    </row>
    <row r="79" spans="1:20" x14ac:dyDescent="0.25">
      <c r="A79" s="17" t="s">
        <v>787</v>
      </c>
      <c r="B79" s="117" t="s">
        <v>788</v>
      </c>
      <c r="C79" s="117" t="s">
        <v>410</v>
      </c>
      <c r="D79" s="117" t="s">
        <v>251</v>
      </c>
      <c r="E79" s="117" t="s">
        <v>544</v>
      </c>
      <c r="F79" s="117" t="s">
        <v>223</v>
      </c>
      <c r="G79" s="117" t="s">
        <v>545</v>
      </c>
      <c r="H79" s="117" t="s">
        <v>256</v>
      </c>
      <c r="I79" s="117" t="s">
        <v>789</v>
      </c>
      <c r="J79" s="118">
        <v>4.43</v>
      </c>
      <c r="K79" s="118" t="s">
        <v>257</v>
      </c>
      <c r="L79" s="117">
        <v>6.5000000000000006E-3</v>
      </c>
      <c r="M79" s="117">
        <v>2.6800000000000001E-2</v>
      </c>
      <c r="N79" s="70">
        <v>279560.42385648965</v>
      </c>
      <c r="O79" s="61">
        <v>101.81</v>
      </c>
      <c r="P79" s="85">
        <v>0</v>
      </c>
      <c r="Q79" s="85">
        <v>284.62046999999995</v>
      </c>
      <c r="R79" s="25">
        <v>5.5511310870432883E-4</v>
      </c>
      <c r="S79" s="25">
        <v>1.5002853576259411E-3</v>
      </c>
      <c r="T79" s="25">
        <v>5.3106936234612349E-4</v>
      </c>
    </row>
    <row r="80" spans="1:20" x14ac:dyDescent="0.25">
      <c r="A80" s="17" t="s">
        <v>810</v>
      </c>
      <c r="B80" s="117" t="s">
        <v>811</v>
      </c>
      <c r="C80" s="117" t="s">
        <v>410</v>
      </c>
      <c r="D80" s="117" t="s">
        <v>251</v>
      </c>
      <c r="E80" s="117" t="s">
        <v>544</v>
      </c>
      <c r="F80" s="117" t="s">
        <v>223</v>
      </c>
      <c r="G80" s="117" t="s">
        <v>545</v>
      </c>
      <c r="H80" s="117" t="s">
        <v>256</v>
      </c>
      <c r="I80" s="117" t="s">
        <v>812</v>
      </c>
      <c r="J80" s="118">
        <v>5.17</v>
      </c>
      <c r="K80" s="118" t="s">
        <v>257</v>
      </c>
      <c r="L80" s="117">
        <v>1.43E-2</v>
      </c>
      <c r="M80" s="117">
        <v>3.0800000000000001E-2</v>
      </c>
      <c r="N80" s="70">
        <v>672306.21691950085</v>
      </c>
      <c r="O80" s="61">
        <v>102.75000000000001</v>
      </c>
      <c r="P80" s="85">
        <v>0</v>
      </c>
      <c r="Q80" s="85">
        <v>690.79463999999996</v>
      </c>
      <c r="R80" s="25">
        <v>1.6710733170598052E-3</v>
      </c>
      <c r="S80" s="25">
        <v>3.6413019889907547E-3</v>
      </c>
      <c r="T80" s="25">
        <v>1.28894407692082E-3</v>
      </c>
    </row>
    <row r="81" spans="1:20" x14ac:dyDescent="0.25">
      <c r="A81" s="17" t="s">
        <v>894</v>
      </c>
      <c r="B81" s="117" t="s">
        <v>895</v>
      </c>
      <c r="C81" s="117" t="s">
        <v>410</v>
      </c>
      <c r="D81" s="117" t="s">
        <v>251</v>
      </c>
      <c r="E81" s="117" t="s">
        <v>544</v>
      </c>
      <c r="F81" s="117" t="s">
        <v>223</v>
      </c>
      <c r="G81" s="117" t="s">
        <v>545</v>
      </c>
      <c r="H81" s="117" t="s">
        <v>256</v>
      </c>
      <c r="I81" s="117" t="s">
        <v>896</v>
      </c>
      <c r="J81" s="118">
        <v>5.99</v>
      </c>
      <c r="K81" s="118" t="s">
        <v>257</v>
      </c>
      <c r="L81" s="117">
        <v>2.5000000000000001E-3</v>
      </c>
      <c r="M81" s="117">
        <v>3.1099999999999999E-2</v>
      </c>
      <c r="N81" s="70">
        <v>905498.86665223155</v>
      </c>
      <c r="O81" s="61">
        <v>92.21</v>
      </c>
      <c r="P81" s="85">
        <v>0</v>
      </c>
      <c r="Q81" s="85">
        <v>834.96050000000002</v>
      </c>
      <c r="R81" s="25">
        <v>6.978168291540375E-4</v>
      </c>
      <c r="S81" s="25">
        <v>4.4012259987696416E-3</v>
      </c>
      <c r="T81" s="25">
        <v>1.5579411428812569E-3</v>
      </c>
    </row>
    <row r="82" spans="1:20" x14ac:dyDescent="0.25">
      <c r="A82" s="17" t="s">
        <v>1024</v>
      </c>
      <c r="B82" s="117" t="s">
        <v>1025</v>
      </c>
      <c r="C82" s="117" t="s">
        <v>410</v>
      </c>
      <c r="D82" s="117" t="s">
        <v>251</v>
      </c>
      <c r="E82" s="117" t="s">
        <v>544</v>
      </c>
      <c r="F82" s="117" t="s">
        <v>223</v>
      </c>
      <c r="G82" s="117" t="s">
        <v>545</v>
      </c>
      <c r="H82" s="117" t="s">
        <v>256</v>
      </c>
      <c r="I82" s="117" t="s">
        <v>1026</v>
      </c>
      <c r="J82" s="118">
        <v>6.73</v>
      </c>
      <c r="K82" s="118" t="s">
        <v>257</v>
      </c>
      <c r="L82" s="117">
        <v>3.61E-2</v>
      </c>
      <c r="M82" s="117">
        <v>3.3500000000000002E-2</v>
      </c>
      <c r="N82" s="70">
        <v>442985.65751139994</v>
      </c>
      <c r="O82" s="61">
        <v>104.99000000000001</v>
      </c>
      <c r="P82" s="85">
        <v>0</v>
      </c>
      <c r="Q82" s="85">
        <v>465.09064000000001</v>
      </c>
      <c r="R82" s="25">
        <v>9.6420078120509401E-4</v>
      </c>
      <c r="S82" s="25">
        <v>2.4515758728136383E-3</v>
      </c>
      <c r="T82" s="25">
        <v>8.6780613361347656E-4</v>
      </c>
    </row>
    <row r="83" spans="1:20" x14ac:dyDescent="0.25">
      <c r="A83" s="17" t="s">
        <v>1136</v>
      </c>
      <c r="B83" s="117" t="s">
        <v>1137</v>
      </c>
      <c r="C83" s="117" t="s">
        <v>410</v>
      </c>
      <c r="D83" s="117" t="s">
        <v>251</v>
      </c>
      <c r="E83" s="117" t="s">
        <v>924</v>
      </c>
      <c r="F83" s="117" t="s">
        <v>200</v>
      </c>
      <c r="G83" s="117" t="s">
        <v>625</v>
      </c>
      <c r="H83" s="117" t="s">
        <v>529</v>
      </c>
      <c r="I83" s="117" t="s">
        <v>1138</v>
      </c>
      <c r="J83" s="118">
        <v>0.25</v>
      </c>
      <c r="K83" s="118" t="s">
        <v>257</v>
      </c>
      <c r="L83" s="117">
        <v>1.5900000000000001E-2</v>
      </c>
      <c r="M83" s="117">
        <v>6.3099999999999989E-2</v>
      </c>
      <c r="N83" s="70">
        <v>8.1589334686394146</v>
      </c>
      <c r="O83" s="61">
        <v>5566000</v>
      </c>
      <c r="P83" s="85">
        <v>0</v>
      </c>
      <c r="Q83" s="85">
        <v>454.12624</v>
      </c>
      <c r="R83" s="25">
        <v>5.4501893578085599E-4</v>
      </c>
      <c r="S83" s="25">
        <v>2.3937805611301396E-3</v>
      </c>
      <c r="T83" s="25">
        <v>8.4734781269050206E-4</v>
      </c>
    </row>
    <row r="84" spans="1:20" x14ac:dyDescent="0.25">
      <c r="A84" s="17" t="s">
        <v>1139</v>
      </c>
      <c r="B84" s="117" t="s">
        <v>1140</v>
      </c>
      <c r="C84" s="117" t="s">
        <v>410</v>
      </c>
      <c r="D84" s="117" t="s">
        <v>251</v>
      </c>
      <c r="E84" s="117" t="s">
        <v>924</v>
      </c>
      <c r="F84" s="117" t="s">
        <v>200</v>
      </c>
      <c r="G84" s="117" t="s">
        <v>625</v>
      </c>
      <c r="H84" s="117" t="s">
        <v>529</v>
      </c>
      <c r="I84" s="117" t="s">
        <v>1138</v>
      </c>
      <c r="J84" s="118">
        <v>1.49</v>
      </c>
      <c r="K84" s="118" t="s">
        <v>257</v>
      </c>
      <c r="L84" s="117">
        <v>2.0199999999999999E-2</v>
      </c>
      <c r="M84" s="117">
        <v>3.3799999999999997E-2</v>
      </c>
      <c r="N84" s="70">
        <v>14.828457671654681</v>
      </c>
      <c r="O84" s="61">
        <v>5510000</v>
      </c>
      <c r="P84" s="85">
        <v>0</v>
      </c>
      <c r="Q84" s="85">
        <v>817.04802000000007</v>
      </c>
      <c r="R84" s="25">
        <v>7.046071594989157E-4</v>
      </c>
      <c r="S84" s="25">
        <v>4.3068061158189619E-3</v>
      </c>
      <c r="T84" s="25">
        <v>1.5245184964650042E-3</v>
      </c>
    </row>
    <row r="85" spans="1:20" x14ac:dyDescent="0.25">
      <c r="A85" s="17" t="s">
        <v>1141</v>
      </c>
      <c r="B85" s="117" t="s">
        <v>1142</v>
      </c>
      <c r="C85" s="117" t="s">
        <v>410</v>
      </c>
      <c r="D85" s="117" t="s">
        <v>251</v>
      </c>
      <c r="E85" s="117" t="s">
        <v>924</v>
      </c>
      <c r="F85" s="117" t="s">
        <v>200</v>
      </c>
      <c r="G85" s="117" t="s">
        <v>625</v>
      </c>
      <c r="H85" s="117" t="s">
        <v>529</v>
      </c>
      <c r="I85" s="117" t="s">
        <v>1138</v>
      </c>
      <c r="J85" s="118">
        <v>2.56</v>
      </c>
      <c r="K85" s="118" t="s">
        <v>257</v>
      </c>
      <c r="L85" s="117">
        <v>2.5899999999999999E-2</v>
      </c>
      <c r="M85" s="117">
        <v>3.6600000000000001E-2</v>
      </c>
      <c r="N85" s="70">
        <v>7.5732674523261903</v>
      </c>
      <c r="O85" s="61">
        <v>5460000</v>
      </c>
      <c r="P85" s="85">
        <v>0</v>
      </c>
      <c r="Q85" s="85">
        <v>413.50040000000001</v>
      </c>
      <c r="R85" s="25">
        <v>3.5853181140586994E-4</v>
      </c>
      <c r="S85" s="25">
        <v>2.1796344988555105E-3</v>
      </c>
      <c r="T85" s="25">
        <v>7.7154462487489758E-4</v>
      </c>
    </row>
    <row r="86" spans="1:20" x14ac:dyDescent="0.25">
      <c r="A86" s="17" t="s">
        <v>1111</v>
      </c>
      <c r="B86" s="117" t="s">
        <v>1112</v>
      </c>
      <c r="C86" s="117" t="s">
        <v>410</v>
      </c>
      <c r="D86" s="117" t="s">
        <v>251</v>
      </c>
      <c r="E86" s="117" t="s">
        <v>924</v>
      </c>
      <c r="F86" s="117" t="s">
        <v>200</v>
      </c>
      <c r="G86" s="117" t="s">
        <v>625</v>
      </c>
      <c r="H86" s="117" t="s">
        <v>529</v>
      </c>
      <c r="I86" s="117" t="s">
        <v>1113</v>
      </c>
      <c r="J86" s="118">
        <v>2.8</v>
      </c>
      <c r="K86" s="118" t="s">
        <v>257</v>
      </c>
      <c r="L86" s="117">
        <v>2.9700000000000001E-2</v>
      </c>
      <c r="M86" s="117">
        <v>2.9100000000000001E-2</v>
      </c>
      <c r="N86" s="70">
        <v>16.797507209259489</v>
      </c>
      <c r="O86" s="61">
        <v>5594000</v>
      </c>
      <c r="P86" s="85">
        <v>0</v>
      </c>
      <c r="Q86" s="85">
        <v>939.65255000000002</v>
      </c>
      <c r="R86" s="25">
        <v>1.199821943518535E-3</v>
      </c>
      <c r="S86" s="25">
        <v>4.953076502265904E-3</v>
      </c>
      <c r="T86" s="25">
        <v>1.753284577723482E-3</v>
      </c>
    </row>
    <row r="87" spans="1:20" x14ac:dyDescent="0.25">
      <c r="A87" s="17" t="s">
        <v>1127</v>
      </c>
      <c r="B87" s="117" t="s">
        <v>1128</v>
      </c>
      <c r="C87" s="117" t="s">
        <v>410</v>
      </c>
      <c r="D87" s="117" t="s">
        <v>251</v>
      </c>
      <c r="E87" s="117" t="s">
        <v>924</v>
      </c>
      <c r="F87" s="117" t="s">
        <v>200</v>
      </c>
      <c r="G87" s="117" t="s">
        <v>545</v>
      </c>
      <c r="H87" s="117" t="s">
        <v>256</v>
      </c>
      <c r="I87" s="117" t="s">
        <v>1129</v>
      </c>
      <c r="J87" s="118">
        <v>4.7300000000000004</v>
      </c>
      <c r="K87" s="118" t="s">
        <v>257</v>
      </c>
      <c r="L87" s="117">
        <v>3.0899999999999997E-2</v>
      </c>
      <c r="M87" s="117">
        <v>3.5200000000000002E-2</v>
      </c>
      <c r="N87" s="70">
        <v>10.032054951848092</v>
      </c>
      <c r="O87" s="61">
        <v>5195000</v>
      </c>
      <c r="P87" s="85">
        <v>0</v>
      </c>
      <c r="Q87" s="85">
        <v>521.16525000000001</v>
      </c>
      <c r="R87" s="25">
        <v>5.2800289220253122E-4</v>
      </c>
      <c r="S87" s="25">
        <v>2.7471551623762798E-3</v>
      </c>
      <c r="T87" s="25">
        <v>9.7243496574388373E-4</v>
      </c>
    </row>
    <row r="88" spans="1:20" x14ac:dyDescent="0.25">
      <c r="A88" s="17" t="s">
        <v>719</v>
      </c>
      <c r="B88" s="117" t="s">
        <v>720</v>
      </c>
      <c r="C88" s="117" t="s">
        <v>410</v>
      </c>
      <c r="D88" s="117" t="s">
        <v>251</v>
      </c>
      <c r="E88" s="117" t="s">
        <v>681</v>
      </c>
      <c r="F88" s="117" t="s">
        <v>223</v>
      </c>
      <c r="G88" s="117" t="s">
        <v>545</v>
      </c>
      <c r="H88" s="117" t="s">
        <v>256</v>
      </c>
      <c r="I88" s="117" t="s">
        <v>721</v>
      </c>
      <c r="J88" s="118">
        <v>2.13</v>
      </c>
      <c r="K88" s="118" t="s">
        <v>257</v>
      </c>
      <c r="L88" s="117">
        <v>1.6E-2</v>
      </c>
      <c r="M88" s="117">
        <v>3.1E-2</v>
      </c>
      <c r="N88" s="70">
        <v>281127.92845412839</v>
      </c>
      <c r="O88" s="61">
        <v>109.97000000000001</v>
      </c>
      <c r="P88" s="85">
        <v>0</v>
      </c>
      <c r="Q88" s="85">
        <v>309.15638000000001</v>
      </c>
      <c r="R88" s="25">
        <v>7.2511813371093877E-4</v>
      </c>
      <c r="S88" s="25">
        <v>1.6296185236804696E-3</v>
      </c>
      <c r="T88" s="25">
        <v>5.7685057435199886E-4</v>
      </c>
    </row>
    <row r="89" spans="1:20" x14ac:dyDescent="0.25">
      <c r="A89" s="17" t="s">
        <v>745</v>
      </c>
      <c r="B89" s="117" t="s">
        <v>746</v>
      </c>
      <c r="C89" s="117" t="s">
        <v>410</v>
      </c>
      <c r="D89" s="117" t="s">
        <v>251</v>
      </c>
      <c r="E89" s="117" t="s">
        <v>681</v>
      </c>
      <c r="F89" s="117" t="s">
        <v>223</v>
      </c>
      <c r="G89" s="117" t="s">
        <v>545</v>
      </c>
      <c r="H89" s="117" t="s">
        <v>256</v>
      </c>
      <c r="I89" s="117" t="s">
        <v>747</v>
      </c>
      <c r="J89" s="118">
        <v>2.97</v>
      </c>
      <c r="K89" s="118" t="s">
        <v>257</v>
      </c>
      <c r="L89" s="117">
        <v>1.4199999999999999E-2</v>
      </c>
      <c r="M89" s="117">
        <v>2.9600000000000001E-2</v>
      </c>
      <c r="N89" s="70">
        <v>408592.26171527774</v>
      </c>
      <c r="O89" s="61">
        <v>107.02000000000001</v>
      </c>
      <c r="P89" s="85">
        <v>0</v>
      </c>
      <c r="Q89" s="85">
        <v>437.27544</v>
      </c>
      <c r="R89" s="25">
        <v>4.2437963085482867E-4</v>
      </c>
      <c r="S89" s="25">
        <v>2.304956983176371E-3</v>
      </c>
      <c r="T89" s="25">
        <v>8.1590614016771395E-4</v>
      </c>
    </row>
    <row r="90" spans="1:20" x14ac:dyDescent="0.25">
      <c r="A90" s="17" t="s">
        <v>905</v>
      </c>
      <c r="B90" s="117" t="s">
        <v>906</v>
      </c>
      <c r="C90" s="117" t="s">
        <v>410</v>
      </c>
      <c r="D90" s="117" t="s">
        <v>251</v>
      </c>
      <c r="E90" s="117" t="s">
        <v>681</v>
      </c>
      <c r="F90" s="117" t="s">
        <v>223</v>
      </c>
      <c r="G90" s="117" t="s">
        <v>545</v>
      </c>
      <c r="H90" s="117" t="s">
        <v>256</v>
      </c>
      <c r="I90" s="117" t="s">
        <v>907</v>
      </c>
      <c r="J90" s="118">
        <v>4.59</v>
      </c>
      <c r="K90" s="118" t="s">
        <v>257</v>
      </c>
      <c r="L90" s="117">
        <v>1.4199999999999999E-2</v>
      </c>
      <c r="M90" s="117">
        <v>2.87E-2</v>
      </c>
      <c r="N90" s="70">
        <v>218731.85955423606</v>
      </c>
      <c r="O90" s="61">
        <v>106.913082</v>
      </c>
      <c r="P90" s="85">
        <v>0</v>
      </c>
      <c r="Q90" s="85">
        <v>233.85297</v>
      </c>
      <c r="R90" s="25">
        <v>2.2718331821590168E-4</v>
      </c>
      <c r="S90" s="25">
        <v>1.2326807932273407E-3</v>
      </c>
      <c r="T90" s="25">
        <v>4.3634299269004496E-4</v>
      </c>
    </row>
    <row r="91" spans="1:20" x14ac:dyDescent="0.25">
      <c r="A91" s="17" t="s">
        <v>555</v>
      </c>
      <c r="B91" s="117" t="s">
        <v>556</v>
      </c>
      <c r="C91" s="117" t="s">
        <v>410</v>
      </c>
      <c r="D91" s="117" t="s">
        <v>251</v>
      </c>
      <c r="E91" s="117" t="s">
        <v>557</v>
      </c>
      <c r="F91" s="117" t="s">
        <v>223</v>
      </c>
      <c r="G91" s="117" t="s">
        <v>545</v>
      </c>
      <c r="H91" s="117" t="s">
        <v>256</v>
      </c>
      <c r="I91" s="117" t="s">
        <v>558</v>
      </c>
      <c r="J91" s="118">
        <v>0.97</v>
      </c>
      <c r="K91" s="118" t="s">
        <v>257</v>
      </c>
      <c r="L91" s="117">
        <v>0.04</v>
      </c>
      <c r="M91" s="117">
        <v>3.0099999999999998E-2</v>
      </c>
      <c r="N91" s="70">
        <v>61665.866367413175</v>
      </c>
      <c r="O91" s="61">
        <v>112.25</v>
      </c>
      <c r="P91" s="85">
        <v>0</v>
      </c>
      <c r="Q91" s="85">
        <v>69.219929999999991</v>
      </c>
      <c r="R91" s="25">
        <v>7.5746436610960022E-4</v>
      </c>
      <c r="S91" s="25">
        <v>3.6487062028564782E-4</v>
      </c>
      <c r="T91" s="25">
        <v>1.2915650124090971E-4</v>
      </c>
    </row>
    <row r="92" spans="1:20" x14ac:dyDescent="0.25">
      <c r="A92" s="17" t="s">
        <v>599</v>
      </c>
      <c r="B92" s="117" t="s">
        <v>600</v>
      </c>
      <c r="C92" s="117" t="s">
        <v>410</v>
      </c>
      <c r="D92" s="117" t="s">
        <v>251</v>
      </c>
      <c r="E92" s="117" t="s">
        <v>557</v>
      </c>
      <c r="F92" s="117" t="s">
        <v>223</v>
      </c>
      <c r="G92" s="117" t="s">
        <v>545</v>
      </c>
      <c r="H92" s="117" t="s">
        <v>256</v>
      </c>
      <c r="I92" s="117" t="s">
        <v>601</v>
      </c>
      <c r="J92" s="118">
        <v>2.92</v>
      </c>
      <c r="K92" s="118" t="s">
        <v>257</v>
      </c>
      <c r="L92" s="117">
        <v>0.04</v>
      </c>
      <c r="M92" s="117">
        <v>2.8799999999999999E-2</v>
      </c>
      <c r="N92" s="70">
        <v>842875.43119832443</v>
      </c>
      <c r="O92" s="61">
        <v>115.78</v>
      </c>
      <c r="P92" s="85">
        <v>0</v>
      </c>
      <c r="Q92" s="85">
        <v>975.88117</v>
      </c>
      <c r="R92" s="25">
        <v>9.3075572847414506E-4</v>
      </c>
      <c r="S92" s="25">
        <v>5.1440440321592895E-3</v>
      </c>
      <c r="T92" s="25">
        <v>1.820883054115851E-3</v>
      </c>
    </row>
    <row r="93" spans="1:20" x14ac:dyDescent="0.25">
      <c r="A93" s="17" t="s">
        <v>617</v>
      </c>
      <c r="B93" s="117" t="s">
        <v>618</v>
      </c>
      <c r="C93" s="117" t="s">
        <v>410</v>
      </c>
      <c r="D93" s="117" t="s">
        <v>251</v>
      </c>
      <c r="E93" s="117" t="s">
        <v>557</v>
      </c>
      <c r="F93" s="117" t="s">
        <v>223</v>
      </c>
      <c r="G93" s="117" t="s">
        <v>545</v>
      </c>
      <c r="H93" s="117" t="s">
        <v>256</v>
      </c>
      <c r="I93" s="117" t="s">
        <v>619</v>
      </c>
      <c r="J93" s="118">
        <v>4.2699999999999996</v>
      </c>
      <c r="K93" s="118" t="s">
        <v>257</v>
      </c>
      <c r="L93" s="117">
        <v>3.5000000000000003E-2</v>
      </c>
      <c r="M93" s="117">
        <v>3.1200000000000002E-2</v>
      </c>
      <c r="N93" s="70">
        <v>668698.4966890309</v>
      </c>
      <c r="O93" s="61">
        <v>115.14</v>
      </c>
      <c r="P93" s="85">
        <v>0</v>
      </c>
      <c r="Q93" s="85">
        <v>769.93944999999997</v>
      </c>
      <c r="R93" s="25">
        <v>7.5849515340417584E-4</v>
      </c>
      <c r="S93" s="25">
        <v>4.0584884252828704E-3</v>
      </c>
      <c r="T93" s="25">
        <v>1.4366192732259385E-3</v>
      </c>
    </row>
    <row r="94" spans="1:20" x14ac:dyDescent="0.25">
      <c r="A94" s="17" t="s">
        <v>839</v>
      </c>
      <c r="B94" s="117" t="s">
        <v>840</v>
      </c>
      <c r="C94" s="117" t="s">
        <v>410</v>
      </c>
      <c r="D94" s="117" t="s">
        <v>251</v>
      </c>
      <c r="E94" s="117" t="s">
        <v>557</v>
      </c>
      <c r="F94" s="117" t="s">
        <v>223</v>
      </c>
      <c r="G94" s="117" t="s">
        <v>545</v>
      </c>
      <c r="H94" s="117" t="s">
        <v>256</v>
      </c>
      <c r="I94" s="117" t="s">
        <v>841</v>
      </c>
      <c r="J94" s="118">
        <v>6.82</v>
      </c>
      <c r="K94" s="118" t="s">
        <v>257</v>
      </c>
      <c r="L94" s="117">
        <v>2.5000000000000001E-2</v>
      </c>
      <c r="M94" s="117">
        <v>3.1800000000000002E-2</v>
      </c>
      <c r="N94" s="70">
        <v>194157.75745467117</v>
      </c>
      <c r="O94" s="61">
        <v>106.56000000000002</v>
      </c>
      <c r="P94" s="85">
        <v>0</v>
      </c>
      <c r="Q94" s="85">
        <v>206.89451</v>
      </c>
      <c r="R94" s="25">
        <v>3.2769046366964223E-4</v>
      </c>
      <c r="S94" s="25">
        <v>1.0905779332252312E-3</v>
      </c>
      <c r="T94" s="25">
        <v>3.8604157845222335E-4</v>
      </c>
    </row>
    <row r="95" spans="1:20" x14ac:dyDescent="0.25">
      <c r="A95" s="17" t="s">
        <v>551</v>
      </c>
      <c r="B95" s="117" t="s">
        <v>552</v>
      </c>
      <c r="C95" s="117" t="s">
        <v>410</v>
      </c>
      <c r="D95" s="117" t="s">
        <v>251</v>
      </c>
      <c r="E95" s="117" t="s">
        <v>553</v>
      </c>
      <c r="F95" s="117" t="s">
        <v>235</v>
      </c>
      <c r="G95" s="117" t="s">
        <v>545</v>
      </c>
      <c r="H95" s="117" t="s">
        <v>256</v>
      </c>
      <c r="I95" s="117" t="s">
        <v>554</v>
      </c>
      <c r="J95" s="118">
        <v>3.38</v>
      </c>
      <c r="K95" s="118" t="s">
        <v>257</v>
      </c>
      <c r="L95" s="117">
        <v>2.9900000000000003E-2</v>
      </c>
      <c r="M95" s="117">
        <v>2.5699999999999997E-2</v>
      </c>
      <c r="N95" s="70">
        <v>2046.6720452881248</v>
      </c>
      <c r="O95" s="61">
        <v>112.51</v>
      </c>
      <c r="P95" s="85">
        <v>0.39274687321000001</v>
      </c>
      <c r="Q95" s="85">
        <v>2.3664999999999998</v>
      </c>
      <c r="R95" s="25">
        <v>1.1553523600671334E-5</v>
      </c>
      <c r="S95" s="25">
        <v>1.2474244381726269E-5</v>
      </c>
      <c r="T95" s="25">
        <v>4.4156193192713834E-6</v>
      </c>
    </row>
    <row r="96" spans="1:20" x14ac:dyDescent="0.25">
      <c r="A96" s="17" t="s">
        <v>611</v>
      </c>
      <c r="B96" s="117" t="s">
        <v>612</v>
      </c>
      <c r="C96" s="117" t="s">
        <v>410</v>
      </c>
      <c r="D96" s="117" t="s">
        <v>251</v>
      </c>
      <c r="E96" s="117" t="s">
        <v>553</v>
      </c>
      <c r="F96" s="117" t="s">
        <v>235</v>
      </c>
      <c r="G96" s="117" t="s">
        <v>545</v>
      </c>
      <c r="H96" s="117" t="s">
        <v>256</v>
      </c>
      <c r="I96" s="117" t="s">
        <v>613</v>
      </c>
      <c r="J96" s="118">
        <v>2.9</v>
      </c>
      <c r="K96" s="118" t="s">
        <v>257</v>
      </c>
      <c r="L96" s="117">
        <v>4.2999999999999997E-2</v>
      </c>
      <c r="M96" s="117">
        <v>2.6499999999999999E-2</v>
      </c>
      <c r="N96" s="70">
        <v>46466.177273423855</v>
      </c>
      <c r="O96" s="61">
        <v>116.38999999999999</v>
      </c>
      <c r="P96" s="85">
        <v>10.842665136999999</v>
      </c>
      <c r="Q96" s="85">
        <v>55.910989999999998</v>
      </c>
      <c r="R96" s="25">
        <v>9.1126581281763318E-5</v>
      </c>
      <c r="S96" s="25">
        <v>2.9471681930456521E-4</v>
      </c>
      <c r="T96" s="25">
        <v>1.043235358561543E-4</v>
      </c>
    </row>
    <row r="97" spans="1:20" x14ac:dyDescent="0.25">
      <c r="A97" s="17" t="s">
        <v>1019</v>
      </c>
      <c r="B97" s="117" t="s">
        <v>1020</v>
      </c>
      <c r="C97" s="117" t="s">
        <v>410</v>
      </c>
      <c r="D97" s="117" t="s">
        <v>251</v>
      </c>
      <c r="E97" s="117" t="s">
        <v>658</v>
      </c>
      <c r="F97" s="117" t="s">
        <v>204</v>
      </c>
      <c r="G97" s="117" t="s">
        <v>545</v>
      </c>
      <c r="H97" s="117" t="s">
        <v>256</v>
      </c>
      <c r="I97" s="117" t="s">
        <v>1021</v>
      </c>
      <c r="J97" s="118">
        <v>3.94</v>
      </c>
      <c r="K97" s="118" t="s">
        <v>257</v>
      </c>
      <c r="L97" s="117">
        <v>2.2000000000000002E-2</v>
      </c>
      <c r="M97" s="117">
        <v>3.0800000000000001E-2</v>
      </c>
      <c r="N97" s="70">
        <v>14034.740770452237</v>
      </c>
      <c r="O97" s="61">
        <v>99.64</v>
      </c>
      <c r="P97" s="85">
        <v>0</v>
      </c>
      <c r="Q97" s="85">
        <v>13.984219999999999</v>
      </c>
      <c r="R97" s="25">
        <v>5.128190325566897E-5</v>
      </c>
      <c r="S97" s="25">
        <v>7.3713322530244717E-5</v>
      </c>
      <c r="T97" s="25">
        <v>2.609296091144782E-5</v>
      </c>
    </row>
    <row r="98" spans="1:20" x14ac:dyDescent="0.25">
      <c r="A98" s="17" t="s">
        <v>656</v>
      </c>
      <c r="B98" s="117" t="s">
        <v>657</v>
      </c>
      <c r="C98" s="117" t="s">
        <v>410</v>
      </c>
      <c r="D98" s="117" t="s">
        <v>251</v>
      </c>
      <c r="E98" s="117" t="s">
        <v>658</v>
      </c>
      <c r="F98" s="117" t="s">
        <v>204</v>
      </c>
      <c r="G98" s="117" t="s">
        <v>545</v>
      </c>
      <c r="H98" s="117" t="s">
        <v>256</v>
      </c>
      <c r="I98" s="117" t="s">
        <v>462</v>
      </c>
      <c r="J98" s="118">
        <v>1.45</v>
      </c>
      <c r="K98" s="118" t="s">
        <v>257</v>
      </c>
      <c r="L98" s="117">
        <v>1.8000000000000002E-2</v>
      </c>
      <c r="M98" s="117">
        <v>3.2899999999999999E-2</v>
      </c>
      <c r="N98" s="70">
        <v>259884.85655182443</v>
      </c>
      <c r="O98" s="61">
        <v>109.59</v>
      </c>
      <c r="P98" s="85">
        <v>0</v>
      </c>
      <c r="Q98" s="85">
        <v>284.80781000000002</v>
      </c>
      <c r="R98" s="25">
        <v>2.9087505684658192E-4</v>
      </c>
      <c r="S98" s="25">
        <v>1.5012728602426632E-3</v>
      </c>
      <c r="T98" s="25">
        <v>5.3141891743730134E-4</v>
      </c>
    </row>
    <row r="99" spans="1:20" x14ac:dyDescent="0.25">
      <c r="A99" s="17" t="s">
        <v>3056</v>
      </c>
      <c r="B99" s="117" t="s">
        <v>535</v>
      </c>
      <c r="C99" s="117" t="s">
        <v>410</v>
      </c>
      <c r="D99" s="117" t="s">
        <v>251</v>
      </c>
      <c r="E99" s="117" t="s">
        <v>536</v>
      </c>
      <c r="F99" s="117" t="s">
        <v>212</v>
      </c>
      <c r="G99" s="117" t="s">
        <v>537</v>
      </c>
      <c r="H99" s="117" t="s">
        <v>256</v>
      </c>
      <c r="I99" s="117" t="s">
        <v>538</v>
      </c>
      <c r="J99" s="118">
        <v>5.63</v>
      </c>
      <c r="K99" s="118" t="s">
        <v>257</v>
      </c>
      <c r="L99" s="117">
        <v>5.1500000000000004E-2</v>
      </c>
      <c r="M99" s="117">
        <v>3.2599999999999997E-2</v>
      </c>
      <c r="N99" s="70">
        <v>1454437.3208655363</v>
      </c>
      <c r="O99" s="61">
        <v>151.19999999999999</v>
      </c>
      <c r="P99" s="85">
        <v>0</v>
      </c>
      <c r="Q99" s="85">
        <v>2199.10923</v>
      </c>
      <c r="R99" s="25">
        <v>4.6506719940049937E-4</v>
      </c>
      <c r="S99" s="25">
        <v>1.1591897721162004E-2</v>
      </c>
      <c r="T99" s="25">
        <v>4.1032872179066204E-3</v>
      </c>
    </row>
    <row r="100" spans="1:20" x14ac:dyDescent="0.25">
      <c r="A100" s="17" t="s">
        <v>1045</v>
      </c>
      <c r="B100" s="117" t="s">
        <v>1046</v>
      </c>
      <c r="C100" s="117" t="s">
        <v>410</v>
      </c>
      <c r="D100" s="117" t="s">
        <v>251</v>
      </c>
      <c r="E100" s="117" t="s">
        <v>1047</v>
      </c>
      <c r="F100" s="117" t="s">
        <v>223</v>
      </c>
      <c r="G100" s="117" t="s">
        <v>528</v>
      </c>
      <c r="H100" s="117" t="s">
        <v>529</v>
      </c>
      <c r="I100" s="117" t="s">
        <v>1048</v>
      </c>
      <c r="J100" s="118">
        <v>7.73</v>
      </c>
      <c r="K100" s="118" t="s">
        <v>257</v>
      </c>
      <c r="L100" s="117">
        <v>2.5600000000000001E-2</v>
      </c>
      <c r="M100" s="117">
        <v>4.0500000000000001E-2</v>
      </c>
      <c r="N100" s="70">
        <v>383897.3172464192</v>
      </c>
      <c r="O100" s="61">
        <v>94.1</v>
      </c>
      <c r="P100" s="85">
        <v>0</v>
      </c>
      <c r="Q100" s="85">
        <v>361.24738000000002</v>
      </c>
      <c r="R100" s="25">
        <v>5.7441539433004984E-4</v>
      </c>
      <c r="S100" s="25">
        <v>1.9041994930819079E-3</v>
      </c>
      <c r="T100" s="25">
        <v>6.7404644418515576E-4</v>
      </c>
    </row>
    <row r="101" spans="1:20" x14ac:dyDescent="0.25">
      <c r="A101" s="17" t="s">
        <v>595</v>
      </c>
      <c r="B101" s="117" t="s">
        <v>596</v>
      </c>
      <c r="C101" s="117" t="s">
        <v>410</v>
      </c>
      <c r="D101" s="117" t="s">
        <v>251</v>
      </c>
      <c r="E101" s="117" t="s">
        <v>597</v>
      </c>
      <c r="F101" s="117" t="s">
        <v>206</v>
      </c>
      <c r="G101" s="117" t="s">
        <v>528</v>
      </c>
      <c r="H101" s="117" t="s">
        <v>529</v>
      </c>
      <c r="I101" s="117" t="s">
        <v>598</v>
      </c>
      <c r="J101" s="118">
        <v>1.1499999999999999</v>
      </c>
      <c r="K101" s="118" t="s">
        <v>257</v>
      </c>
      <c r="L101" s="117">
        <v>2.2000000000000002E-2</v>
      </c>
      <c r="M101" s="117">
        <v>2.75E-2</v>
      </c>
      <c r="N101" s="70">
        <v>250288.90972087203</v>
      </c>
      <c r="O101" s="61">
        <v>111.64</v>
      </c>
      <c r="P101" s="85">
        <v>0</v>
      </c>
      <c r="Q101" s="85">
        <v>279.42253999999997</v>
      </c>
      <c r="R101" s="25">
        <v>3.1541782453697908E-4</v>
      </c>
      <c r="S101" s="25">
        <v>1.4728861397518206E-3</v>
      </c>
      <c r="T101" s="25">
        <v>5.2137061730990106E-4</v>
      </c>
    </row>
    <row r="102" spans="1:20" x14ac:dyDescent="0.25">
      <c r="A102" s="17" t="s">
        <v>795</v>
      </c>
      <c r="B102" s="117" t="s">
        <v>796</v>
      </c>
      <c r="C102" s="117" t="s">
        <v>410</v>
      </c>
      <c r="D102" s="117" t="s">
        <v>251</v>
      </c>
      <c r="E102" s="117" t="s">
        <v>597</v>
      </c>
      <c r="F102" s="117" t="s">
        <v>206</v>
      </c>
      <c r="G102" s="117" t="s">
        <v>528</v>
      </c>
      <c r="H102" s="117" t="s">
        <v>529</v>
      </c>
      <c r="I102" s="117" t="s">
        <v>794</v>
      </c>
      <c r="J102" s="118">
        <v>4.45</v>
      </c>
      <c r="K102" s="118" t="s">
        <v>257</v>
      </c>
      <c r="L102" s="117">
        <v>2.1000000000000001E-2</v>
      </c>
      <c r="M102" s="117">
        <v>2.5899999999999999E-2</v>
      </c>
      <c r="N102" s="70">
        <v>989196.82856833399</v>
      </c>
      <c r="O102" s="61">
        <v>106.1</v>
      </c>
      <c r="P102" s="85">
        <v>0</v>
      </c>
      <c r="Q102" s="85">
        <v>1049.5378400000002</v>
      </c>
      <c r="R102" s="25">
        <v>7.7936153018210428E-4</v>
      </c>
      <c r="S102" s="25">
        <v>5.5323015018082086E-3</v>
      </c>
      <c r="T102" s="25">
        <v>1.9583180065963911E-3</v>
      </c>
    </row>
    <row r="103" spans="1:20" x14ac:dyDescent="0.25">
      <c r="A103" s="17" t="s">
        <v>926</v>
      </c>
      <c r="B103" s="117" t="s">
        <v>927</v>
      </c>
      <c r="C103" s="117" t="s">
        <v>410</v>
      </c>
      <c r="D103" s="117" t="s">
        <v>251</v>
      </c>
      <c r="E103" s="117" t="s">
        <v>597</v>
      </c>
      <c r="F103" s="117" t="s">
        <v>206</v>
      </c>
      <c r="G103" s="117" t="s">
        <v>528</v>
      </c>
      <c r="H103" s="117" t="s">
        <v>529</v>
      </c>
      <c r="I103" s="117" t="s">
        <v>928</v>
      </c>
      <c r="J103" s="118">
        <v>9.32</v>
      </c>
      <c r="K103" s="118" t="s">
        <v>257</v>
      </c>
      <c r="L103" s="117">
        <v>5.7999999999999996E-3</v>
      </c>
      <c r="M103" s="117">
        <v>2.9300000000000003E-2</v>
      </c>
      <c r="N103" s="70">
        <v>404405.18132439448</v>
      </c>
      <c r="O103" s="61">
        <v>87.7</v>
      </c>
      <c r="P103" s="85">
        <v>0</v>
      </c>
      <c r="Q103" s="85">
        <v>354.66334000000001</v>
      </c>
      <c r="R103" s="25">
        <v>8.4539394000872662E-4</v>
      </c>
      <c r="S103" s="25">
        <v>1.8694938417068558E-3</v>
      </c>
      <c r="T103" s="25">
        <v>6.6176137584674226E-4</v>
      </c>
    </row>
    <row r="104" spans="1:20" x14ac:dyDescent="0.25">
      <c r="A104" s="17" t="s">
        <v>591</v>
      </c>
      <c r="B104" s="117" t="s">
        <v>592</v>
      </c>
      <c r="C104" s="117" t="s">
        <v>410</v>
      </c>
      <c r="D104" s="117" t="s">
        <v>251</v>
      </c>
      <c r="E104" s="117" t="s">
        <v>593</v>
      </c>
      <c r="F104" s="117" t="s">
        <v>223</v>
      </c>
      <c r="G104" s="117" t="s">
        <v>537</v>
      </c>
      <c r="H104" s="117" t="s">
        <v>256</v>
      </c>
      <c r="I104" s="117" t="s">
        <v>594</v>
      </c>
      <c r="J104" s="118">
        <v>1.0900000000000001</v>
      </c>
      <c r="K104" s="118" t="s">
        <v>257</v>
      </c>
      <c r="L104" s="117">
        <v>2.5000000000000001E-2</v>
      </c>
      <c r="M104" s="117">
        <v>2.87E-2</v>
      </c>
      <c r="N104" s="70">
        <v>1259.7663388785056</v>
      </c>
      <c r="O104" s="61">
        <v>112.16</v>
      </c>
      <c r="P104" s="85">
        <v>0</v>
      </c>
      <c r="Q104" s="85">
        <v>1.4129500000000002</v>
      </c>
      <c r="R104" s="25">
        <v>2.6751486367491005E-6</v>
      </c>
      <c r="S104" s="25">
        <v>7.447911937105486E-6</v>
      </c>
      <c r="T104" s="25">
        <v>2.6364036835683508E-6</v>
      </c>
    </row>
    <row r="105" spans="1:20" x14ac:dyDescent="0.25">
      <c r="A105" s="17" t="s">
        <v>653</v>
      </c>
      <c r="B105" s="117" t="s">
        <v>654</v>
      </c>
      <c r="C105" s="117" t="s">
        <v>410</v>
      </c>
      <c r="D105" s="117" t="s">
        <v>251</v>
      </c>
      <c r="E105" s="117" t="s">
        <v>593</v>
      </c>
      <c r="F105" s="117" t="s">
        <v>223</v>
      </c>
      <c r="G105" s="117" t="s">
        <v>537</v>
      </c>
      <c r="H105" s="117" t="s">
        <v>256</v>
      </c>
      <c r="I105" s="117" t="s">
        <v>655</v>
      </c>
      <c r="J105" s="118">
        <v>1.94</v>
      </c>
      <c r="K105" s="118" t="s">
        <v>257</v>
      </c>
      <c r="L105" s="117">
        <v>1.95E-2</v>
      </c>
      <c r="M105" s="117">
        <v>3.2099999999999997E-2</v>
      </c>
      <c r="N105" s="70">
        <v>58099.042740466328</v>
      </c>
      <c r="O105" s="61">
        <v>110.25</v>
      </c>
      <c r="P105" s="85">
        <v>0</v>
      </c>
      <c r="Q105" s="85">
        <v>64.054190000000006</v>
      </c>
      <c r="R105" s="25">
        <v>1.0209335728636363E-4</v>
      </c>
      <c r="S105" s="25">
        <v>3.3764108165371945E-4</v>
      </c>
      <c r="T105" s="25">
        <v>1.1951781907639125E-4</v>
      </c>
    </row>
    <row r="106" spans="1:20" x14ac:dyDescent="0.25">
      <c r="A106" s="17" t="s">
        <v>733</v>
      </c>
      <c r="B106" s="117" t="s">
        <v>734</v>
      </c>
      <c r="C106" s="117" t="s">
        <v>410</v>
      </c>
      <c r="D106" s="117" t="s">
        <v>251</v>
      </c>
      <c r="E106" s="117" t="s">
        <v>593</v>
      </c>
      <c r="F106" s="117" t="s">
        <v>223</v>
      </c>
      <c r="G106" s="117" t="s">
        <v>537</v>
      </c>
      <c r="H106" s="117" t="s">
        <v>256</v>
      </c>
      <c r="I106" s="117" t="s">
        <v>735</v>
      </c>
      <c r="J106" s="118">
        <v>3.5</v>
      </c>
      <c r="K106" s="118" t="s">
        <v>257</v>
      </c>
      <c r="L106" s="117">
        <v>3.3500000000000002E-2</v>
      </c>
      <c r="M106" s="117">
        <v>3.3799999999999997E-2</v>
      </c>
      <c r="N106" s="70">
        <v>137561.11304230185</v>
      </c>
      <c r="O106" s="61">
        <v>111.29</v>
      </c>
      <c r="P106" s="85">
        <v>0</v>
      </c>
      <c r="Q106" s="85">
        <v>153.09176000000002</v>
      </c>
      <c r="R106" s="25">
        <v>2.0641505837330681E-4</v>
      </c>
      <c r="S106" s="25">
        <v>8.0697402369262058E-4</v>
      </c>
      <c r="T106" s="25">
        <v>2.8565177818603768E-4</v>
      </c>
    </row>
    <row r="107" spans="1:20" x14ac:dyDescent="0.25">
      <c r="A107" s="17" t="s">
        <v>856</v>
      </c>
      <c r="B107" s="117" t="s">
        <v>857</v>
      </c>
      <c r="C107" s="117" t="s">
        <v>410</v>
      </c>
      <c r="D107" s="117" t="s">
        <v>251</v>
      </c>
      <c r="E107" s="117" t="s">
        <v>593</v>
      </c>
      <c r="F107" s="117" t="s">
        <v>223</v>
      </c>
      <c r="G107" s="117" t="s">
        <v>528</v>
      </c>
      <c r="H107" s="117" t="s">
        <v>529</v>
      </c>
      <c r="I107" s="117" t="s">
        <v>858</v>
      </c>
      <c r="J107" s="118">
        <v>5.16</v>
      </c>
      <c r="K107" s="118" t="s">
        <v>257</v>
      </c>
      <c r="L107" s="117">
        <v>1.3300000000000001E-2</v>
      </c>
      <c r="M107" s="117">
        <v>3.9199999999999999E-2</v>
      </c>
      <c r="N107" s="70">
        <v>35699.629987480897</v>
      </c>
      <c r="O107" s="61">
        <v>97.5</v>
      </c>
      <c r="P107" s="85">
        <v>0.263979768</v>
      </c>
      <c r="Q107" s="85">
        <v>35.071120000000001</v>
      </c>
      <c r="R107" s="25">
        <v>3.0062846305247071E-5</v>
      </c>
      <c r="S107" s="25">
        <v>1.8486614055391836E-4</v>
      </c>
      <c r="T107" s="25">
        <v>6.5438713298324546E-5</v>
      </c>
    </row>
    <row r="108" spans="1:20" x14ac:dyDescent="0.25">
      <c r="A108" s="17" t="s">
        <v>967</v>
      </c>
      <c r="B108" s="117" t="s">
        <v>968</v>
      </c>
      <c r="C108" s="117" t="s">
        <v>410</v>
      </c>
      <c r="D108" s="117" t="s">
        <v>251</v>
      </c>
      <c r="E108" s="117" t="s">
        <v>593</v>
      </c>
      <c r="F108" s="117" t="s">
        <v>223</v>
      </c>
      <c r="G108" s="117" t="s">
        <v>537</v>
      </c>
      <c r="H108" s="117" t="s">
        <v>256</v>
      </c>
      <c r="I108" s="117" t="s">
        <v>969</v>
      </c>
      <c r="J108" s="118">
        <v>5.75</v>
      </c>
      <c r="K108" s="118" t="s">
        <v>257</v>
      </c>
      <c r="L108" s="117">
        <v>1.8700000000000001E-2</v>
      </c>
      <c r="M108" s="117">
        <v>4.0399999999999998E-2</v>
      </c>
      <c r="N108" s="70">
        <v>159810.70061401711</v>
      </c>
      <c r="O108" s="61">
        <v>95.22</v>
      </c>
      <c r="P108" s="85">
        <v>0</v>
      </c>
      <c r="Q108" s="85">
        <v>152.17175</v>
      </c>
      <c r="R108" s="25">
        <v>2.85812676846408E-4</v>
      </c>
      <c r="S108" s="25">
        <v>8.0212448658143018E-4</v>
      </c>
      <c r="T108" s="25">
        <v>2.8393514436819575E-4</v>
      </c>
    </row>
    <row r="109" spans="1:20" x14ac:dyDescent="0.25">
      <c r="A109" s="17" t="s">
        <v>1116</v>
      </c>
      <c r="B109" s="117" t="s">
        <v>1117</v>
      </c>
      <c r="C109" s="117" t="s">
        <v>410</v>
      </c>
      <c r="D109" s="117" t="s">
        <v>251</v>
      </c>
      <c r="E109" s="117" t="s">
        <v>826</v>
      </c>
      <c r="F109" s="117" t="s">
        <v>200</v>
      </c>
      <c r="G109" s="117" t="s">
        <v>528</v>
      </c>
      <c r="H109" s="117" t="s">
        <v>529</v>
      </c>
      <c r="I109" s="117" t="s">
        <v>477</v>
      </c>
      <c r="J109" s="118">
        <v>4.3899999999999997</v>
      </c>
      <c r="K109" s="118" t="s">
        <v>257</v>
      </c>
      <c r="L109" s="117">
        <v>1.09E-2</v>
      </c>
      <c r="M109" s="117">
        <v>3.7000000000000005E-2</v>
      </c>
      <c r="N109" s="70">
        <v>8.7496483299208574</v>
      </c>
      <c r="O109" s="61">
        <v>4827766</v>
      </c>
      <c r="P109" s="85">
        <v>0</v>
      </c>
      <c r="Q109" s="85">
        <v>422.41255000000001</v>
      </c>
      <c r="R109" s="25">
        <v>4.8183536152436021E-4</v>
      </c>
      <c r="S109" s="25">
        <v>2.2266120340621873E-3</v>
      </c>
      <c r="T109" s="25">
        <v>7.8817368116741585E-4</v>
      </c>
    </row>
    <row r="110" spans="1:20" x14ac:dyDescent="0.25">
      <c r="A110" s="17" t="s">
        <v>1121</v>
      </c>
      <c r="B110" s="117" t="s">
        <v>1122</v>
      </c>
      <c r="C110" s="117" t="s">
        <v>410</v>
      </c>
      <c r="D110" s="117" t="s">
        <v>251</v>
      </c>
      <c r="E110" s="117" t="s">
        <v>826</v>
      </c>
      <c r="F110" s="117" t="s">
        <v>200</v>
      </c>
      <c r="G110" s="117" t="s">
        <v>528</v>
      </c>
      <c r="H110" s="117" t="s">
        <v>529</v>
      </c>
      <c r="I110" s="117" t="s">
        <v>1123</v>
      </c>
      <c r="J110" s="118">
        <v>5.03</v>
      </c>
      <c r="K110" s="118" t="s">
        <v>257</v>
      </c>
      <c r="L110" s="117">
        <v>2.9900000000000003E-2</v>
      </c>
      <c r="M110" s="117">
        <v>3.4000000000000002E-2</v>
      </c>
      <c r="N110" s="70">
        <v>4.8266957896158917</v>
      </c>
      <c r="O110" s="61">
        <v>5169986</v>
      </c>
      <c r="P110" s="85">
        <v>0</v>
      </c>
      <c r="Q110" s="85">
        <v>249.5395</v>
      </c>
      <c r="R110" s="25">
        <v>3.0166848685099322E-4</v>
      </c>
      <c r="S110" s="25">
        <v>1.3153672959618772E-3</v>
      </c>
      <c r="T110" s="25">
        <v>4.6561227007028164E-4</v>
      </c>
    </row>
    <row r="111" spans="1:20" x14ac:dyDescent="0.25">
      <c r="A111" s="17" t="s">
        <v>1108</v>
      </c>
      <c r="B111" s="117" t="s">
        <v>1109</v>
      </c>
      <c r="C111" s="117" t="s">
        <v>410</v>
      </c>
      <c r="D111" s="117" t="s">
        <v>251</v>
      </c>
      <c r="E111" s="117" t="s">
        <v>826</v>
      </c>
      <c r="F111" s="117" t="s">
        <v>200</v>
      </c>
      <c r="G111" s="117" t="s">
        <v>528</v>
      </c>
      <c r="H111" s="117" t="s">
        <v>529</v>
      </c>
      <c r="I111" s="117" t="s">
        <v>1110</v>
      </c>
      <c r="J111" s="118">
        <v>2.67</v>
      </c>
      <c r="K111" s="118" t="s">
        <v>257</v>
      </c>
      <c r="L111" s="117">
        <v>2.3199999999999998E-2</v>
      </c>
      <c r="M111" s="117">
        <v>3.5900000000000001E-2</v>
      </c>
      <c r="N111" s="70">
        <v>0.69674060561400897</v>
      </c>
      <c r="O111" s="61">
        <v>5424000</v>
      </c>
      <c r="P111" s="85">
        <v>0</v>
      </c>
      <c r="Q111" s="85">
        <v>37.79121</v>
      </c>
      <c r="R111" s="25">
        <v>1.161234342690015E-4</v>
      </c>
      <c r="S111" s="25">
        <v>1.9920422101041098E-4</v>
      </c>
      <c r="T111" s="25">
        <v>7.0514091263317944E-5</v>
      </c>
    </row>
    <row r="112" spans="1:20" x14ac:dyDescent="0.25">
      <c r="A112" s="17" t="s">
        <v>1093</v>
      </c>
      <c r="B112" s="117" t="s">
        <v>1094</v>
      </c>
      <c r="C112" s="117" t="s">
        <v>410</v>
      </c>
      <c r="D112" s="117" t="s">
        <v>251</v>
      </c>
      <c r="E112" s="117" t="s">
        <v>826</v>
      </c>
      <c r="F112" s="117" t="s">
        <v>200</v>
      </c>
      <c r="G112" s="117" t="s">
        <v>537</v>
      </c>
      <c r="H112" s="117" t="s">
        <v>256</v>
      </c>
      <c r="I112" s="117" t="s">
        <v>1095</v>
      </c>
      <c r="J112" s="118">
        <v>0.79</v>
      </c>
      <c r="K112" s="118" t="s">
        <v>257</v>
      </c>
      <c r="L112" s="117">
        <v>2.2000000000000002E-2</v>
      </c>
      <c r="M112" s="117">
        <v>3.9199999999999999E-2</v>
      </c>
      <c r="N112" s="70">
        <v>6.1444443263206487</v>
      </c>
      <c r="O112" s="61">
        <v>5519000</v>
      </c>
      <c r="P112" s="85">
        <v>0</v>
      </c>
      <c r="Q112" s="85">
        <v>339.11187999999999</v>
      </c>
      <c r="R112" s="25">
        <v>1.2205888610092668E-3</v>
      </c>
      <c r="S112" s="25">
        <v>1.7875193170786533E-3</v>
      </c>
      <c r="T112" s="25">
        <v>6.327441236942485E-4</v>
      </c>
    </row>
    <row r="113" spans="1:20" x14ac:dyDescent="0.25">
      <c r="A113" s="17" t="s">
        <v>525</v>
      </c>
      <c r="B113" s="117" t="s">
        <v>526</v>
      </c>
      <c r="C113" s="117" t="s">
        <v>410</v>
      </c>
      <c r="D113" s="117" t="s">
        <v>251</v>
      </c>
      <c r="E113" s="117" t="s">
        <v>527</v>
      </c>
      <c r="F113" s="117" t="s">
        <v>223</v>
      </c>
      <c r="G113" s="117" t="s">
        <v>528</v>
      </c>
      <c r="H113" s="117" t="s">
        <v>529</v>
      </c>
      <c r="I113" s="117" t="s">
        <v>530</v>
      </c>
      <c r="J113" s="118">
        <v>1.46</v>
      </c>
      <c r="K113" s="118" t="s">
        <v>257</v>
      </c>
      <c r="L113" s="117">
        <v>4.7500000000000001E-2</v>
      </c>
      <c r="M113" s="117">
        <v>3.27E-2</v>
      </c>
      <c r="N113" s="70">
        <v>773409.52588143817</v>
      </c>
      <c r="O113" s="61">
        <v>137.97999999999999</v>
      </c>
      <c r="P113" s="85">
        <v>24.80811864</v>
      </c>
      <c r="Q113" s="85">
        <v>1091.95858</v>
      </c>
      <c r="R113" s="25">
        <v>5.9921960091186043E-4</v>
      </c>
      <c r="S113" s="25">
        <v>5.7559088027225001E-3</v>
      </c>
      <c r="T113" s="25">
        <v>2.0374702732694474E-3</v>
      </c>
    </row>
    <row r="114" spans="1:20" x14ac:dyDescent="0.25">
      <c r="A114" s="17" t="s">
        <v>778</v>
      </c>
      <c r="B114" s="117" t="s">
        <v>779</v>
      </c>
      <c r="C114" s="117" t="s">
        <v>410</v>
      </c>
      <c r="D114" s="117" t="s">
        <v>251</v>
      </c>
      <c r="E114" s="117" t="s">
        <v>527</v>
      </c>
      <c r="F114" s="117" t="s">
        <v>223</v>
      </c>
      <c r="G114" s="117" t="s">
        <v>528</v>
      </c>
      <c r="H114" s="117" t="s">
        <v>529</v>
      </c>
      <c r="I114" s="117" t="s">
        <v>780</v>
      </c>
      <c r="J114" s="118">
        <v>4.28</v>
      </c>
      <c r="K114" s="118" t="s">
        <v>257</v>
      </c>
      <c r="L114" s="117">
        <v>5.0000000000000001E-3</v>
      </c>
      <c r="M114" s="117">
        <v>3.15E-2</v>
      </c>
      <c r="N114" s="70">
        <v>999936.76854227134</v>
      </c>
      <c r="O114" s="61">
        <v>99.19</v>
      </c>
      <c r="P114" s="85">
        <v>0</v>
      </c>
      <c r="Q114" s="85">
        <v>991.83728000000008</v>
      </c>
      <c r="R114" s="25">
        <v>5.6023045276469628E-4</v>
      </c>
      <c r="S114" s="25">
        <v>5.2281515392464247E-3</v>
      </c>
      <c r="T114" s="25">
        <v>1.8506553370553904E-3</v>
      </c>
    </row>
    <row r="115" spans="1:20" x14ac:dyDescent="0.25">
      <c r="A115" s="17" t="s">
        <v>951</v>
      </c>
      <c r="B115" s="117" t="s">
        <v>952</v>
      </c>
      <c r="C115" s="117" t="s">
        <v>410</v>
      </c>
      <c r="D115" s="117" t="s">
        <v>251</v>
      </c>
      <c r="E115" s="117" t="s">
        <v>527</v>
      </c>
      <c r="F115" s="117" t="s">
        <v>223</v>
      </c>
      <c r="G115" s="117" t="s">
        <v>528</v>
      </c>
      <c r="H115" s="117" t="s">
        <v>529</v>
      </c>
      <c r="I115" s="117" t="s">
        <v>953</v>
      </c>
      <c r="J115" s="118">
        <v>6.1</v>
      </c>
      <c r="K115" s="118" t="s">
        <v>257</v>
      </c>
      <c r="L115" s="117">
        <v>5.8999999999999999E-3</v>
      </c>
      <c r="M115" s="117">
        <v>3.3700000000000001E-2</v>
      </c>
      <c r="N115" s="70">
        <v>1185851.107176143</v>
      </c>
      <c r="O115" s="61">
        <v>91.47</v>
      </c>
      <c r="P115" s="85">
        <v>0</v>
      </c>
      <c r="Q115" s="85">
        <v>1084.6980100000001</v>
      </c>
      <c r="R115" s="25">
        <v>1.0786397129113222E-3</v>
      </c>
      <c r="S115" s="25">
        <v>5.7176370408249166E-3</v>
      </c>
      <c r="T115" s="25">
        <v>2.0239228770467885E-3</v>
      </c>
    </row>
    <row r="116" spans="1:20" x14ac:dyDescent="0.25">
      <c r="A116" s="17" t="s">
        <v>1133</v>
      </c>
      <c r="B116" s="117" t="s">
        <v>1134</v>
      </c>
      <c r="C116" s="117" t="s">
        <v>410</v>
      </c>
      <c r="D116" s="117" t="s">
        <v>251</v>
      </c>
      <c r="E116" s="117" t="s">
        <v>917</v>
      </c>
      <c r="F116" s="117" t="s">
        <v>200</v>
      </c>
      <c r="G116" s="117" t="s">
        <v>528</v>
      </c>
      <c r="H116" s="117" t="s">
        <v>529</v>
      </c>
      <c r="I116" s="117" t="s">
        <v>1135</v>
      </c>
      <c r="J116" s="118">
        <v>4.7300000000000004</v>
      </c>
      <c r="K116" s="118" t="s">
        <v>257</v>
      </c>
      <c r="L116" s="117">
        <v>3.1699999999999999E-2</v>
      </c>
      <c r="M116" s="117">
        <v>3.5099999999999999E-2</v>
      </c>
      <c r="N116" s="70">
        <v>1.691363064352849</v>
      </c>
      <c r="O116" s="61">
        <v>5221000</v>
      </c>
      <c r="P116" s="85">
        <v>0</v>
      </c>
      <c r="Q116" s="85">
        <v>88.306070000000005</v>
      </c>
      <c r="R116" s="25">
        <v>1.0013990907950556E-4</v>
      </c>
      <c r="S116" s="25">
        <v>4.654770748235059E-4</v>
      </c>
      <c r="T116" s="25">
        <v>1.6476906346965189E-4</v>
      </c>
    </row>
    <row r="117" spans="1:20" x14ac:dyDescent="0.25">
      <c r="A117" s="17" t="s">
        <v>1124</v>
      </c>
      <c r="B117" s="117" t="s">
        <v>1125</v>
      </c>
      <c r="C117" s="117" t="s">
        <v>410</v>
      </c>
      <c r="D117" s="117" t="s">
        <v>251</v>
      </c>
      <c r="E117" s="117" t="s">
        <v>917</v>
      </c>
      <c r="F117" s="117" t="s">
        <v>200</v>
      </c>
      <c r="G117" s="117" t="s">
        <v>537</v>
      </c>
      <c r="H117" s="117" t="s">
        <v>256</v>
      </c>
      <c r="I117" s="117" t="s">
        <v>1126</v>
      </c>
      <c r="J117" s="118">
        <v>4.07</v>
      </c>
      <c r="K117" s="118" t="s">
        <v>257</v>
      </c>
      <c r="L117" s="117">
        <v>2E-3</v>
      </c>
      <c r="M117" s="117">
        <v>3.7000000000000005E-2</v>
      </c>
      <c r="N117" s="70">
        <v>0.30797954306126502</v>
      </c>
      <c r="O117" s="61">
        <v>4729000</v>
      </c>
      <c r="P117" s="85">
        <v>0</v>
      </c>
      <c r="Q117" s="85">
        <v>14.564350000000001</v>
      </c>
      <c r="R117" s="25">
        <v>2.6869616389920174E-5</v>
      </c>
      <c r="S117" s="25">
        <v>7.677129142657722E-5</v>
      </c>
      <c r="T117" s="25">
        <v>2.7175417381208615E-5</v>
      </c>
    </row>
    <row r="118" spans="1:20" x14ac:dyDescent="0.25">
      <c r="A118" s="17" t="s">
        <v>1102</v>
      </c>
      <c r="B118" s="117" t="s">
        <v>1103</v>
      </c>
      <c r="C118" s="117" t="s">
        <v>410</v>
      </c>
      <c r="D118" s="117" t="s">
        <v>251</v>
      </c>
      <c r="E118" s="117" t="s">
        <v>917</v>
      </c>
      <c r="F118" s="117" t="s">
        <v>200</v>
      </c>
      <c r="G118" s="117" t="s">
        <v>528</v>
      </c>
      <c r="H118" s="117" t="s">
        <v>529</v>
      </c>
      <c r="I118" s="117" t="s">
        <v>1104</v>
      </c>
      <c r="J118" s="118">
        <v>2.04</v>
      </c>
      <c r="K118" s="118" t="s">
        <v>257</v>
      </c>
      <c r="L118" s="117">
        <v>1.46E-2</v>
      </c>
      <c r="M118" s="117">
        <v>3.4599999999999999E-2</v>
      </c>
      <c r="N118" s="70">
        <v>19.22600163897209</v>
      </c>
      <c r="O118" s="61">
        <v>5387000</v>
      </c>
      <c r="P118" s="85">
        <v>0</v>
      </c>
      <c r="Q118" s="85">
        <v>1035.70471</v>
      </c>
      <c r="R118" s="25">
        <v>7.218864430958619E-4</v>
      </c>
      <c r="S118" s="25">
        <v>5.4593846016669908E-3</v>
      </c>
      <c r="T118" s="25">
        <v>1.9325069624070846E-3</v>
      </c>
    </row>
    <row r="119" spans="1:20" x14ac:dyDescent="0.25">
      <c r="A119" s="17" t="s">
        <v>1105</v>
      </c>
      <c r="B119" s="117" t="s">
        <v>1106</v>
      </c>
      <c r="C119" s="117" t="s">
        <v>410</v>
      </c>
      <c r="D119" s="117" t="s">
        <v>251</v>
      </c>
      <c r="E119" s="117" t="s">
        <v>917</v>
      </c>
      <c r="F119" s="117" t="s">
        <v>200</v>
      </c>
      <c r="G119" s="117" t="s">
        <v>528</v>
      </c>
      <c r="H119" s="117" t="s">
        <v>529</v>
      </c>
      <c r="I119" s="117" t="s">
        <v>1107</v>
      </c>
      <c r="J119" s="118">
        <v>2.68</v>
      </c>
      <c r="K119" s="118" t="s">
        <v>257</v>
      </c>
      <c r="L119" s="117">
        <v>2.4199999999999999E-2</v>
      </c>
      <c r="M119" s="117">
        <v>3.7999999999999999E-2</v>
      </c>
      <c r="N119" s="70">
        <v>29.687208413118665</v>
      </c>
      <c r="O119" s="61">
        <v>5405000</v>
      </c>
      <c r="P119" s="85">
        <v>0</v>
      </c>
      <c r="Q119" s="85">
        <v>1604.5936100000001</v>
      </c>
      <c r="R119" s="25">
        <v>9.8029350195214188E-4</v>
      </c>
      <c r="S119" s="25">
        <v>8.458099651171086E-3</v>
      </c>
      <c r="T119" s="25">
        <v>2.9939888205769757E-3</v>
      </c>
    </row>
    <row r="120" spans="1:20" x14ac:dyDescent="0.25">
      <c r="A120" s="17" t="s">
        <v>1090</v>
      </c>
      <c r="B120" s="117" t="s">
        <v>1091</v>
      </c>
      <c r="C120" s="117" t="s">
        <v>410</v>
      </c>
      <c r="D120" s="117" t="s">
        <v>251</v>
      </c>
      <c r="E120" s="117" t="s">
        <v>1086</v>
      </c>
      <c r="F120" s="117" t="s">
        <v>201</v>
      </c>
      <c r="G120" s="117" t="s">
        <v>537</v>
      </c>
      <c r="H120" s="117" t="s">
        <v>256</v>
      </c>
      <c r="I120" s="117" t="s">
        <v>1092</v>
      </c>
      <c r="J120" s="118">
        <v>0.66</v>
      </c>
      <c r="K120" s="118" t="s">
        <v>257</v>
      </c>
      <c r="L120" s="117">
        <v>3.85E-2</v>
      </c>
      <c r="M120" s="117">
        <v>2.4900000000000002E-2</v>
      </c>
      <c r="N120" s="70">
        <v>105360.96291560147</v>
      </c>
      <c r="O120" s="61">
        <v>117.44000000000001</v>
      </c>
      <c r="P120" s="85">
        <v>0</v>
      </c>
      <c r="Q120" s="85">
        <v>123.73591</v>
      </c>
      <c r="R120" s="25">
        <v>4.2144385166240588E-4</v>
      </c>
      <c r="S120" s="25">
        <v>6.5223409259889602E-4</v>
      </c>
      <c r="T120" s="25">
        <v>2.3087710740909582E-4</v>
      </c>
    </row>
    <row r="121" spans="1:20" x14ac:dyDescent="0.25">
      <c r="A121" s="17" t="s">
        <v>1084</v>
      </c>
      <c r="B121" s="117" t="s">
        <v>1085</v>
      </c>
      <c r="C121" s="117" t="s">
        <v>410</v>
      </c>
      <c r="D121" s="117" t="s">
        <v>251</v>
      </c>
      <c r="E121" s="117" t="s">
        <v>1086</v>
      </c>
      <c r="F121" s="117" t="s">
        <v>201</v>
      </c>
      <c r="G121" s="117" t="s">
        <v>528</v>
      </c>
      <c r="H121" s="117" t="s">
        <v>529</v>
      </c>
      <c r="I121" s="117" t="s">
        <v>1087</v>
      </c>
      <c r="J121" s="118">
        <v>2.2000000000000002</v>
      </c>
      <c r="K121" s="118" t="s">
        <v>257</v>
      </c>
      <c r="L121" s="117">
        <v>2.4E-2</v>
      </c>
      <c r="M121" s="117">
        <v>2.4300000000000002E-2</v>
      </c>
      <c r="N121" s="70">
        <v>203096.81234527106</v>
      </c>
      <c r="O121" s="61">
        <v>111.91</v>
      </c>
      <c r="P121" s="85">
        <v>0</v>
      </c>
      <c r="Q121" s="85">
        <v>227.28564</v>
      </c>
      <c r="R121" s="25">
        <v>6.8801678598029686E-4</v>
      </c>
      <c r="S121" s="25">
        <v>1.1980632232482821E-3</v>
      </c>
      <c r="T121" s="25">
        <v>4.2408910330739947E-4</v>
      </c>
    </row>
    <row r="122" spans="1:20" x14ac:dyDescent="0.25">
      <c r="A122" s="17" t="s">
        <v>1088</v>
      </c>
      <c r="B122" s="117" t="s">
        <v>1089</v>
      </c>
      <c r="C122" s="117" t="s">
        <v>410</v>
      </c>
      <c r="D122" s="117" t="s">
        <v>251</v>
      </c>
      <c r="E122" s="117" t="s">
        <v>1086</v>
      </c>
      <c r="F122" s="117" t="s">
        <v>201</v>
      </c>
      <c r="G122" s="117" t="s">
        <v>528</v>
      </c>
      <c r="H122" s="117" t="s">
        <v>529</v>
      </c>
      <c r="I122" s="117" t="s">
        <v>1087</v>
      </c>
      <c r="J122" s="118">
        <v>3.14</v>
      </c>
      <c r="K122" s="118" t="s">
        <v>257</v>
      </c>
      <c r="L122" s="117">
        <v>2.4E-2</v>
      </c>
      <c r="M122" s="117">
        <v>2.3E-2</v>
      </c>
      <c r="N122" s="70">
        <v>201236.07365923145</v>
      </c>
      <c r="O122" s="61">
        <v>112.33999999999999</v>
      </c>
      <c r="P122" s="85">
        <v>0</v>
      </c>
      <c r="Q122" s="85">
        <v>226.06860999999998</v>
      </c>
      <c r="R122" s="25">
        <v>6.8171329241220602E-4</v>
      </c>
      <c r="S122" s="25">
        <v>1.1916480406411016E-3</v>
      </c>
      <c r="T122" s="25">
        <v>4.2181826401725242E-4</v>
      </c>
    </row>
    <row r="123" spans="1:20" x14ac:dyDescent="0.25">
      <c r="A123" s="17" t="s">
        <v>835</v>
      </c>
      <c r="B123" s="117" t="s">
        <v>836</v>
      </c>
      <c r="C123" s="117" t="s">
        <v>410</v>
      </c>
      <c r="D123" s="117" t="s">
        <v>251</v>
      </c>
      <c r="E123" s="117" t="s">
        <v>837</v>
      </c>
      <c r="F123" s="117" t="s">
        <v>200</v>
      </c>
      <c r="G123" s="117" t="s">
        <v>537</v>
      </c>
      <c r="H123" s="117" t="s">
        <v>256</v>
      </c>
      <c r="I123" s="117" t="s">
        <v>838</v>
      </c>
      <c r="J123" s="118">
        <v>1.72</v>
      </c>
      <c r="K123" s="118" t="s">
        <v>257</v>
      </c>
      <c r="L123" s="117">
        <v>2E-3</v>
      </c>
      <c r="M123" s="117">
        <v>2.64E-2</v>
      </c>
      <c r="N123" s="70">
        <v>640052.10362703423</v>
      </c>
      <c r="O123" s="61">
        <v>105.86</v>
      </c>
      <c r="P123" s="85">
        <v>0</v>
      </c>
      <c r="Q123" s="85">
        <v>677.55916000000002</v>
      </c>
      <c r="R123" s="25">
        <v>1.1478133986801457E-3</v>
      </c>
      <c r="S123" s="25">
        <v>3.5715354087966071E-3</v>
      </c>
      <c r="T123" s="25">
        <v>1.2642481795247372E-3</v>
      </c>
    </row>
    <row r="124" spans="1:20" x14ac:dyDescent="0.25">
      <c r="A124" s="17" t="s">
        <v>908</v>
      </c>
      <c r="B124" s="117" t="s">
        <v>909</v>
      </c>
      <c r="C124" s="117" t="s">
        <v>410</v>
      </c>
      <c r="D124" s="117" t="s">
        <v>251</v>
      </c>
      <c r="E124" s="117" t="s">
        <v>837</v>
      </c>
      <c r="F124" s="117" t="s">
        <v>200</v>
      </c>
      <c r="G124" s="117" t="s">
        <v>537</v>
      </c>
      <c r="H124" s="117" t="s">
        <v>256</v>
      </c>
      <c r="I124" s="117" t="s">
        <v>474</v>
      </c>
      <c r="J124" s="118">
        <v>3.95</v>
      </c>
      <c r="K124" s="118" t="s">
        <v>257</v>
      </c>
      <c r="L124" s="117">
        <v>2E-3</v>
      </c>
      <c r="M124" s="117">
        <v>2.5499999999999998E-2</v>
      </c>
      <c r="N124" s="70">
        <v>817862.39640154631</v>
      </c>
      <c r="O124" s="61">
        <v>99.050000000000011</v>
      </c>
      <c r="P124" s="85">
        <v>1.7762150640000001</v>
      </c>
      <c r="Q124" s="85">
        <v>811.86892</v>
      </c>
      <c r="R124" s="25">
        <v>1.016115718030822E-3</v>
      </c>
      <c r="S124" s="25">
        <v>4.2795061542396677E-3</v>
      </c>
      <c r="T124" s="25">
        <v>1.5148548860629595E-3</v>
      </c>
    </row>
    <row r="125" spans="1:20" x14ac:dyDescent="0.25">
      <c r="A125" s="17" t="s">
        <v>846</v>
      </c>
      <c r="B125" s="117" t="s">
        <v>847</v>
      </c>
      <c r="C125" s="117" t="s">
        <v>410</v>
      </c>
      <c r="D125" s="117" t="s">
        <v>251</v>
      </c>
      <c r="E125" s="117" t="s">
        <v>837</v>
      </c>
      <c r="F125" s="117" t="s">
        <v>200</v>
      </c>
      <c r="G125" s="117" t="s">
        <v>537</v>
      </c>
      <c r="H125" s="117" t="s">
        <v>256</v>
      </c>
      <c r="I125" s="117" t="s">
        <v>848</v>
      </c>
      <c r="J125" s="118">
        <v>3.21</v>
      </c>
      <c r="K125" s="118" t="s">
        <v>257</v>
      </c>
      <c r="L125" s="117">
        <v>2E-3</v>
      </c>
      <c r="M125" s="117">
        <v>2.6699999999999998E-2</v>
      </c>
      <c r="N125" s="70">
        <v>707554.802384109</v>
      </c>
      <c r="O125" s="61">
        <v>103.03</v>
      </c>
      <c r="P125" s="85">
        <v>0</v>
      </c>
      <c r="Q125" s="85">
        <v>728.99370999999996</v>
      </c>
      <c r="R125" s="25">
        <v>8.3972200813204397E-4</v>
      </c>
      <c r="S125" s="25">
        <v>3.8426561129437098E-3</v>
      </c>
      <c r="T125" s="25">
        <v>1.3602191884653796E-3</v>
      </c>
    </row>
    <row r="126" spans="1:20" x14ac:dyDescent="0.25">
      <c r="A126" s="17" t="s">
        <v>646</v>
      </c>
      <c r="B126" s="117" t="s">
        <v>647</v>
      </c>
      <c r="C126" s="117" t="s">
        <v>410</v>
      </c>
      <c r="D126" s="117" t="s">
        <v>251</v>
      </c>
      <c r="E126" s="117" t="s">
        <v>648</v>
      </c>
      <c r="F126" s="117" t="s">
        <v>223</v>
      </c>
      <c r="G126" s="117" t="s">
        <v>528</v>
      </c>
      <c r="H126" s="117" t="s">
        <v>529</v>
      </c>
      <c r="I126" s="117" t="s">
        <v>649</v>
      </c>
      <c r="J126" s="118">
        <v>4.13</v>
      </c>
      <c r="K126" s="118" t="s">
        <v>257</v>
      </c>
      <c r="L126" s="117">
        <v>2.4E-2</v>
      </c>
      <c r="M126" s="117">
        <v>3.1400000000000004E-2</v>
      </c>
      <c r="N126" s="70">
        <v>1038613.4031624688</v>
      </c>
      <c r="O126" s="61">
        <v>109.47</v>
      </c>
      <c r="P126" s="85">
        <v>0</v>
      </c>
      <c r="Q126" s="85">
        <v>1136.97009</v>
      </c>
      <c r="R126" s="25">
        <v>9.6368612467890745E-4</v>
      </c>
      <c r="S126" s="25">
        <v>5.9931725152644463E-3</v>
      </c>
      <c r="T126" s="25">
        <v>2.121456621524498E-3</v>
      </c>
    </row>
    <row r="127" spans="1:20" x14ac:dyDescent="0.25">
      <c r="A127" s="17" t="s">
        <v>958</v>
      </c>
      <c r="B127" s="117" t="s">
        <v>959</v>
      </c>
      <c r="C127" s="117" t="s">
        <v>410</v>
      </c>
      <c r="D127" s="117" t="s">
        <v>251</v>
      </c>
      <c r="E127" s="117" t="s">
        <v>648</v>
      </c>
      <c r="F127" s="117" t="s">
        <v>223</v>
      </c>
      <c r="G127" s="117" t="s">
        <v>528</v>
      </c>
      <c r="H127" s="117" t="s">
        <v>529</v>
      </c>
      <c r="I127" s="117" t="s">
        <v>960</v>
      </c>
      <c r="J127" s="118">
        <v>6.28</v>
      </c>
      <c r="K127" s="118" t="s">
        <v>257</v>
      </c>
      <c r="L127" s="117">
        <v>1.4999999999999999E-2</v>
      </c>
      <c r="M127" s="117">
        <v>3.3099999999999997E-2</v>
      </c>
      <c r="N127" s="70">
        <v>252445.24086128565</v>
      </c>
      <c r="O127" s="61">
        <v>95.95</v>
      </c>
      <c r="P127" s="85">
        <v>2.034104965</v>
      </c>
      <c r="Q127" s="85">
        <v>244.25531000000001</v>
      </c>
      <c r="R127" s="25">
        <v>9.6435630958115572E-4</v>
      </c>
      <c r="S127" s="25">
        <v>1.2875133862135255E-3</v>
      </c>
      <c r="T127" s="25">
        <v>4.5575257370404431E-4</v>
      </c>
    </row>
    <row r="128" spans="1:20" x14ac:dyDescent="0.25">
      <c r="A128" s="17" t="s">
        <v>700</v>
      </c>
      <c r="B128" s="117" t="s">
        <v>701</v>
      </c>
      <c r="C128" s="117" t="s">
        <v>410</v>
      </c>
      <c r="D128" s="117" t="s">
        <v>251</v>
      </c>
      <c r="E128" s="117" t="s">
        <v>634</v>
      </c>
      <c r="F128" s="117" t="s">
        <v>223</v>
      </c>
      <c r="G128" s="117" t="s">
        <v>537</v>
      </c>
      <c r="H128" s="117" t="s">
        <v>256</v>
      </c>
      <c r="I128" s="117" t="s">
        <v>702</v>
      </c>
      <c r="J128" s="118">
        <v>2.2400000000000002</v>
      </c>
      <c r="K128" s="118" t="s">
        <v>257</v>
      </c>
      <c r="L128" s="117">
        <v>1.3999999999999999E-2</v>
      </c>
      <c r="M128" s="117">
        <v>3.1600000000000003E-2</v>
      </c>
      <c r="N128" s="70">
        <v>436196.99066482467</v>
      </c>
      <c r="O128" s="61">
        <v>107.61</v>
      </c>
      <c r="P128" s="85">
        <v>3.4155352899999998</v>
      </c>
      <c r="Q128" s="85">
        <v>472.80712</v>
      </c>
      <c r="R128" s="25">
        <v>4.9088115087196117E-4</v>
      </c>
      <c r="S128" s="25">
        <v>2.4922508177900606E-3</v>
      </c>
      <c r="T128" s="25">
        <v>8.8220420594171294E-4</v>
      </c>
    </row>
    <row r="129" spans="1:20" x14ac:dyDescent="0.25">
      <c r="A129" s="17" t="s">
        <v>1078</v>
      </c>
      <c r="B129" s="117" t="s">
        <v>1079</v>
      </c>
      <c r="C129" s="117" t="s">
        <v>410</v>
      </c>
      <c r="D129" s="117" t="s">
        <v>251</v>
      </c>
      <c r="E129" s="117" t="s">
        <v>667</v>
      </c>
      <c r="F129" s="117" t="s">
        <v>200</v>
      </c>
      <c r="G129" s="117" t="s">
        <v>528</v>
      </c>
      <c r="H129" s="117" t="s">
        <v>529</v>
      </c>
      <c r="I129" s="117" t="s">
        <v>1080</v>
      </c>
      <c r="J129" s="118">
        <v>1.22</v>
      </c>
      <c r="K129" s="118" t="s">
        <v>257</v>
      </c>
      <c r="L129" s="117">
        <v>1.9E-2</v>
      </c>
      <c r="M129" s="117">
        <v>3.5699999999999996E-2</v>
      </c>
      <c r="N129" s="70">
        <v>5.6294621395624684</v>
      </c>
      <c r="O129" s="61">
        <v>5453000</v>
      </c>
      <c r="P129" s="85">
        <v>0</v>
      </c>
      <c r="Q129" s="85">
        <v>306.97457000000003</v>
      </c>
      <c r="R129" s="25">
        <v>2.5825590143877734E-4</v>
      </c>
      <c r="S129" s="25">
        <v>1.6181178132919237E-3</v>
      </c>
      <c r="T129" s="25">
        <v>5.7277956552589308E-4</v>
      </c>
    </row>
    <row r="130" spans="1:20" x14ac:dyDescent="0.25">
      <c r="A130" s="17" t="s">
        <v>1130</v>
      </c>
      <c r="B130" s="117" t="s">
        <v>1131</v>
      </c>
      <c r="C130" s="117" t="s">
        <v>410</v>
      </c>
      <c r="D130" s="117" t="s">
        <v>251</v>
      </c>
      <c r="E130" s="117" t="s">
        <v>667</v>
      </c>
      <c r="F130" s="117" t="s">
        <v>200</v>
      </c>
      <c r="G130" s="117" t="s">
        <v>528</v>
      </c>
      <c r="H130" s="117" t="s">
        <v>529</v>
      </c>
      <c r="I130" s="117" t="s">
        <v>1132</v>
      </c>
      <c r="J130" s="118">
        <v>4.38</v>
      </c>
      <c r="K130" s="118" t="s">
        <v>257</v>
      </c>
      <c r="L130" s="117">
        <v>3.3099999999999997E-2</v>
      </c>
      <c r="M130" s="117">
        <v>3.5299999999999998E-2</v>
      </c>
      <c r="N130" s="70">
        <v>14.722431927322113</v>
      </c>
      <c r="O130" s="61">
        <v>5170870</v>
      </c>
      <c r="P130" s="85">
        <v>0</v>
      </c>
      <c r="Q130" s="85">
        <v>761.27781999999991</v>
      </c>
      <c r="R130" s="25">
        <v>1.049428464418142E-3</v>
      </c>
      <c r="S130" s="25">
        <v>4.0128314257628656E-3</v>
      </c>
      <c r="T130" s="25">
        <v>1.420457658704755E-3</v>
      </c>
    </row>
    <row r="131" spans="1:20" x14ac:dyDescent="0.25">
      <c r="A131" s="17" t="s">
        <v>1114</v>
      </c>
      <c r="B131" s="117" t="s">
        <v>1115</v>
      </c>
      <c r="C131" s="117" t="s">
        <v>410</v>
      </c>
      <c r="D131" s="117" t="s">
        <v>251</v>
      </c>
      <c r="E131" s="117" t="s">
        <v>667</v>
      </c>
      <c r="F131" s="117" t="s">
        <v>200</v>
      </c>
      <c r="G131" s="117" t="s">
        <v>528</v>
      </c>
      <c r="H131" s="117" t="s">
        <v>529</v>
      </c>
      <c r="I131" s="117" t="s">
        <v>834</v>
      </c>
      <c r="J131" s="118">
        <v>2.68</v>
      </c>
      <c r="K131" s="118" t="s">
        <v>257</v>
      </c>
      <c r="L131" s="117">
        <v>1.89E-2</v>
      </c>
      <c r="M131" s="117">
        <v>3.27E-2</v>
      </c>
      <c r="N131" s="70">
        <v>4.3268601377623632</v>
      </c>
      <c r="O131" s="61">
        <v>5395000</v>
      </c>
      <c r="P131" s="85">
        <v>0</v>
      </c>
      <c r="Q131" s="85">
        <v>233.4341</v>
      </c>
      <c r="R131" s="25">
        <v>5.408575172202954E-4</v>
      </c>
      <c r="S131" s="25">
        <v>1.2304728546073645E-3</v>
      </c>
      <c r="T131" s="25">
        <v>4.3556142900347695E-4</v>
      </c>
    </row>
    <row r="132" spans="1:20" x14ac:dyDescent="0.25">
      <c r="A132" s="17" t="s">
        <v>607</v>
      </c>
      <c r="B132" s="117" t="s">
        <v>608</v>
      </c>
      <c r="C132" s="117" t="s">
        <v>410</v>
      </c>
      <c r="D132" s="117" t="s">
        <v>251</v>
      </c>
      <c r="E132" s="117" t="s">
        <v>609</v>
      </c>
      <c r="F132" s="117" t="s">
        <v>223</v>
      </c>
      <c r="G132" s="117" t="s">
        <v>528</v>
      </c>
      <c r="H132" s="117" t="s">
        <v>529</v>
      </c>
      <c r="I132" s="117" t="s">
        <v>610</v>
      </c>
      <c r="J132" s="118">
        <v>0.78</v>
      </c>
      <c r="K132" s="118" t="s">
        <v>257</v>
      </c>
      <c r="L132" s="117">
        <v>2.75E-2</v>
      </c>
      <c r="M132" s="117">
        <v>3.1699999999999999E-2</v>
      </c>
      <c r="N132" s="70">
        <v>7378.4207611939019</v>
      </c>
      <c r="O132" s="61">
        <v>112.87</v>
      </c>
      <c r="P132" s="85">
        <v>0</v>
      </c>
      <c r="Q132" s="85">
        <v>8.3280200000000004</v>
      </c>
      <c r="R132" s="25">
        <v>2.6686757395770364E-5</v>
      </c>
      <c r="S132" s="25">
        <v>4.3898481595564764E-5</v>
      </c>
      <c r="T132" s="25">
        <v>1.5539136278587988E-5</v>
      </c>
    </row>
    <row r="133" spans="1:20" x14ac:dyDescent="0.25">
      <c r="A133" s="17" t="s">
        <v>650</v>
      </c>
      <c r="B133" s="117" t="s">
        <v>651</v>
      </c>
      <c r="C133" s="117" t="s">
        <v>410</v>
      </c>
      <c r="D133" s="117" t="s">
        <v>251</v>
      </c>
      <c r="E133" s="117" t="s">
        <v>609</v>
      </c>
      <c r="F133" s="117" t="s">
        <v>223</v>
      </c>
      <c r="G133" s="117" t="s">
        <v>528</v>
      </c>
      <c r="H133" s="117" t="s">
        <v>529</v>
      </c>
      <c r="I133" s="117" t="s">
        <v>652</v>
      </c>
      <c r="J133" s="118">
        <v>3.84</v>
      </c>
      <c r="K133" s="118" t="s">
        <v>257</v>
      </c>
      <c r="L133" s="117">
        <v>1.9599999999999999E-2</v>
      </c>
      <c r="M133" s="117">
        <v>3.1200000000000002E-2</v>
      </c>
      <c r="N133" s="70">
        <v>789211.51633004961</v>
      </c>
      <c r="O133" s="61">
        <v>108.21000000000001</v>
      </c>
      <c r="P133" s="85">
        <v>0</v>
      </c>
      <c r="Q133" s="85">
        <v>854.00578000000007</v>
      </c>
      <c r="R133" s="25">
        <v>7.5088517107377349E-4</v>
      </c>
      <c r="S133" s="25">
        <v>4.5016170729460219E-3</v>
      </c>
      <c r="T133" s="25">
        <v>1.5934774650063078E-3</v>
      </c>
    </row>
    <row r="134" spans="1:20" x14ac:dyDescent="0.25">
      <c r="A134" s="17" t="s">
        <v>797</v>
      </c>
      <c r="B134" s="117" t="s">
        <v>798</v>
      </c>
      <c r="C134" s="117" t="s">
        <v>410</v>
      </c>
      <c r="D134" s="117" t="s">
        <v>251</v>
      </c>
      <c r="E134" s="117" t="s">
        <v>609</v>
      </c>
      <c r="F134" s="117" t="s">
        <v>223</v>
      </c>
      <c r="G134" s="117" t="s">
        <v>528</v>
      </c>
      <c r="H134" s="117" t="s">
        <v>529</v>
      </c>
      <c r="I134" s="117" t="s">
        <v>799</v>
      </c>
      <c r="J134" s="118">
        <v>6.07</v>
      </c>
      <c r="K134" s="118" t="s">
        <v>257</v>
      </c>
      <c r="L134" s="117">
        <v>1.5800000000000002E-2</v>
      </c>
      <c r="M134" s="117">
        <v>3.2799999999999996E-2</v>
      </c>
      <c r="N134" s="70">
        <v>691512.12067179638</v>
      </c>
      <c r="O134" s="61">
        <v>100.66</v>
      </c>
      <c r="P134" s="85">
        <v>0</v>
      </c>
      <c r="Q134" s="85">
        <v>696.0761</v>
      </c>
      <c r="R134" s="25">
        <v>5.8239965679246259E-4</v>
      </c>
      <c r="S134" s="25">
        <v>3.669141508421269E-3</v>
      </c>
      <c r="T134" s="25">
        <v>1.2987986794181618E-3</v>
      </c>
    </row>
    <row r="135" spans="1:20" x14ac:dyDescent="0.25">
      <c r="A135" s="17" t="s">
        <v>579</v>
      </c>
      <c r="B135" s="117" t="s">
        <v>580</v>
      </c>
      <c r="C135" s="117" t="s">
        <v>410</v>
      </c>
      <c r="D135" s="117" t="s">
        <v>251</v>
      </c>
      <c r="E135" s="117" t="s">
        <v>581</v>
      </c>
      <c r="F135" s="117" t="s">
        <v>201</v>
      </c>
      <c r="G135" s="117" t="s">
        <v>528</v>
      </c>
      <c r="H135" s="117" t="s">
        <v>529</v>
      </c>
      <c r="I135" s="117" t="s">
        <v>582</v>
      </c>
      <c r="J135" s="118">
        <v>2.98</v>
      </c>
      <c r="K135" s="118" t="s">
        <v>257</v>
      </c>
      <c r="L135" s="117">
        <v>2.2499999999999999E-2</v>
      </c>
      <c r="M135" s="117">
        <v>2.4799999999999999E-2</v>
      </c>
      <c r="N135" s="70">
        <v>193230.17249916287</v>
      </c>
      <c r="O135" s="61">
        <v>113.07000000000001</v>
      </c>
      <c r="P135" s="85">
        <v>0</v>
      </c>
      <c r="Q135" s="85">
        <v>218.48535999999999</v>
      </c>
      <c r="R135" s="25">
        <v>4.7231129737565318E-4</v>
      </c>
      <c r="S135" s="25">
        <v>1.1516753748022147E-3</v>
      </c>
      <c r="T135" s="25">
        <v>4.0766878368644124E-4</v>
      </c>
    </row>
    <row r="136" spans="1:20" x14ac:dyDescent="0.25">
      <c r="A136" s="17" t="s">
        <v>859</v>
      </c>
      <c r="B136" s="117" t="s">
        <v>860</v>
      </c>
      <c r="C136" s="117" t="s">
        <v>410</v>
      </c>
      <c r="D136" s="117" t="s">
        <v>251</v>
      </c>
      <c r="E136" s="117" t="s">
        <v>681</v>
      </c>
      <c r="F136" s="117" t="s">
        <v>223</v>
      </c>
      <c r="G136" s="117" t="s">
        <v>537</v>
      </c>
      <c r="H136" s="117" t="s">
        <v>256</v>
      </c>
      <c r="I136" s="117" t="s">
        <v>861</v>
      </c>
      <c r="J136" s="118">
        <v>7.19</v>
      </c>
      <c r="K136" s="118" t="s">
        <v>257</v>
      </c>
      <c r="L136" s="117">
        <v>1.15E-2</v>
      </c>
      <c r="M136" s="117">
        <v>3.7699999999999997E-2</v>
      </c>
      <c r="N136" s="70">
        <v>132848.29364801338</v>
      </c>
      <c r="O136" s="61">
        <v>92.59</v>
      </c>
      <c r="P136" s="85">
        <v>0</v>
      </c>
      <c r="Q136" s="85">
        <v>123.00424000000001</v>
      </c>
      <c r="R136" s="25">
        <v>2.8895009151856075E-4</v>
      </c>
      <c r="S136" s="25">
        <v>6.4837732928312258E-4</v>
      </c>
      <c r="T136" s="25">
        <v>2.2951189456847413E-4</v>
      </c>
    </row>
    <row r="137" spans="1:20" x14ac:dyDescent="0.25">
      <c r="A137" s="17" t="s">
        <v>1003</v>
      </c>
      <c r="B137" s="117" t="s">
        <v>1004</v>
      </c>
      <c r="C137" s="117" t="s">
        <v>410</v>
      </c>
      <c r="D137" s="117" t="s">
        <v>251</v>
      </c>
      <c r="E137" s="117" t="s">
        <v>1005</v>
      </c>
      <c r="F137" s="117" t="s">
        <v>204</v>
      </c>
      <c r="G137" s="117" t="s">
        <v>630</v>
      </c>
      <c r="H137" s="117" t="s">
        <v>256</v>
      </c>
      <c r="I137" s="117" t="s">
        <v>1006</v>
      </c>
      <c r="J137" s="118">
        <v>2.25</v>
      </c>
      <c r="K137" s="118" t="s">
        <v>257</v>
      </c>
      <c r="L137" s="117">
        <v>3.2000000000000001E-2</v>
      </c>
      <c r="M137" s="117">
        <v>4.2999999999999997E-2</v>
      </c>
      <c r="N137" s="70">
        <v>198070.46043578305</v>
      </c>
      <c r="O137" s="61">
        <v>101.36</v>
      </c>
      <c r="P137" s="85">
        <v>0</v>
      </c>
      <c r="Q137" s="85">
        <v>200.76421999999999</v>
      </c>
      <c r="R137" s="25">
        <v>3.4286901858499659E-4</v>
      </c>
      <c r="S137" s="25">
        <v>1.0582640791830368E-3</v>
      </c>
      <c r="T137" s="25">
        <v>3.7460315590553576E-4</v>
      </c>
    </row>
    <row r="138" spans="1:20" x14ac:dyDescent="0.25">
      <c r="A138" s="17" t="s">
        <v>722</v>
      </c>
      <c r="B138" s="117" t="s">
        <v>723</v>
      </c>
      <c r="C138" s="117" t="s">
        <v>410</v>
      </c>
      <c r="D138" s="117" t="s">
        <v>251</v>
      </c>
      <c r="E138" s="117" t="s">
        <v>724</v>
      </c>
      <c r="F138" s="117" t="s">
        <v>204</v>
      </c>
      <c r="G138" s="117" t="s">
        <v>630</v>
      </c>
      <c r="H138" s="117" t="s">
        <v>256</v>
      </c>
      <c r="I138" s="117" t="s">
        <v>725</v>
      </c>
      <c r="J138" s="118">
        <v>0.5</v>
      </c>
      <c r="K138" s="118" t="s">
        <v>257</v>
      </c>
      <c r="L138" s="117">
        <v>3.15E-2</v>
      </c>
      <c r="M138" s="117">
        <v>4.1299999999999996E-2</v>
      </c>
      <c r="N138" s="70">
        <v>45833.793183873822</v>
      </c>
      <c r="O138" s="61">
        <v>110.56000000000002</v>
      </c>
      <c r="P138" s="85">
        <v>0.80192909999999995</v>
      </c>
      <c r="Q138" s="85">
        <v>51.475769999999997</v>
      </c>
      <c r="R138" s="25">
        <v>3.3802484880944653E-4</v>
      </c>
      <c r="S138" s="25">
        <v>2.7133798213291088E-4</v>
      </c>
      <c r="T138" s="25">
        <v>9.6047920763308816E-5</v>
      </c>
    </row>
    <row r="139" spans="1:20" x14ac:dyDescent="0.25">
      <c r="A139" s="17" t="s">
        <v>945</v>
      </c>
      <c r="B139" s="117" t="s">
        <v>946</v>
      </c>
      <c r="C139" s="117" t="s">
        <v>410</v>
      </c>
      <c r="D139" s="117" t="s">
        <v>251</v>
      </c>
      <c r="E139" s="117" t="s">
        <v>724</v>
      </c>
      <c r="F139" s="117" t="s">
        <v>204</v>
      </c>
      <c r="G139" s="117" t="s">
        <v>630</v>
      </c>
      <c r="H139" s="117" t="s">
        <v>256</v>
      </c>
      <c r="I139" s="117" t="s">
        <v>947</v>
      </c>
      <c r="J139" s="118">
        <v>2.82</v>
      </c>
      <c r="K139" s="118" t="s">
        <v>257</v>
      </c>
      <c r="L139" s="117">
        <v>0.01</v>
      </c>
      <c r="M139" s="117">
        <v>3.6900000000000002E-2</v>
      </c>
      <c r="N139" s="70">
        <v>58046.844246993416</v>
      </c>
      <c r="O139" s="61">
        <v>100.59</v>
      </c>
      <c r="P139" s="85">
        <v>0</v>
      </c>
      <c r="Q139" s="85">
        <v>58.389319999999998</v>
      </c>
      <c r="R139" s="25">
        <v>1.5719264998969166E-4</v>
      </c>
      <c r="S139" s="25">
        <v>3.0778053959975378E-4</v>
      </c>
      <c r="T139" s="25">
        <v>1.0894781721154405E-4</v>
      </c>
    </row>
    <row r="140" spans="1:20" x14ac:dyDescent="0.25">
      <c r="A140" s="17" t="s">
        <v>1049</v>
      </c>
      <c r="B140" s="117" t="s">
        <v>1050</v>
      </c>
      <c r="C140" s="117" t="s">
        <v>410</v>
      </c>
      <c r="D140" s="117" t="s">
        <v>251</v>
      </c>
      <c r="E140" s="117" t="s">
        <v>1051</v>
      </c>
      <c r="F140" s="117" t="s">
        <v>228</v>
      </c>
      <c r="G140" s="117" t="s">
        <v>630</v>
      </c>
      <c r="H140" s="117" t="s">
        <v>256</v>
      </c>
      <c r="I140" s="117" t="s">
        <v>1052</v>
      </c>
      <c r="J140" s="118">
        <v>4.8499999999999996</v>
      </c>
      <c r="K140" s="118" t="s">
        <v>257</v>
      </c>
      <c r="L140" s="117">
        <v>0.03</v>
      </c>
      <c r="M140" s="117">
        <v>4.2500000000000003E-2</v>
      </c>
      <c r="N140" s="70">
        <v>254670.10679039359</v>
      </c>
      <c r="O140" s="61">
        <v>95.81</v>
      </c>
      <c r="P140" s="85">
        <v>0</v>
      </c>
      <c r="Q140" s="85">
        <v>243.99942999999999</v>
      </c>
      <c r="R140" s="25">
        <v>9.0971803928783471E-4</v>
      </c>
      <c r="S140" s="25">
        <v>1.2861645970090479E-3</v>
      </c>
      <c r="T140" s="25">
        <v>4.5527513078352235E-4</v>
      </c>
    </row>
    <row r="141" spans="1:20" x14ac:dyDescent="0.25">
      <c r="A141" s="17" t="s">
        <v>992</v>
      </c>
      <c r="B141" s="117" t="s">
        <v>993</v>
      </c>
      <c r="C141" s="117" t="s">
        <v>410</v>
      </c>
      <c r="D141" s="117" t="s">
        <v>251</v>
      </c>
      <c r="E141" s="117" t="s">
        <v>714</v>
      </c>
      <c r="F141" s="117" t="s">
        <v>223</v>
      </c>
      <c r="G141" s="117" t="s">
        <v>630</v>
      </c>
      <c r="H141" s="117" t="s">
        <v>256</v>
      </c>
      <c r="I141" s="117" t="s">
        <v>994</v>
      </c>
      <c r="J141" s="118">
        <v>4.59</v>
      </c>
      <c r="K141" s="118" t="s">
        <v>257</v>
      </c>
      <c r="L141" s="117">
        <v>1.5300000000000001E-2</v>
      </c>
      <c r="M141" s="117">
        <v>2.8900000000000002E-2</v>
      </c>
      <c r="N141" s="70">
        <v>35125.766100676927</v>
      </c>
      <c r="O141" s="61">
        <v>105.22</v>
      </c>
      <c r="P141" s="85">
        <v>0</v>
      </c>
      <c r="Q141" s="85">
        <v>36.959330000000001</v>
      </c>
      <c r="R141" s="25">
        <v>8.8988118253164743E-5</v>
      </c>
      <c r="S141" s="25">
        <v>1.9481923287761131E-4</v>
      </c>
      <c r="T141" s="25">
        <v>6.8961897982390221E-5</v>
      </c>
    </row>
    <row r="142" spans="1:20" x14ac:dyDescent="0.25">
      <c r="A142" s="17" t="s">
        <v>712</v>
      </c>
      <c r="B142" s="117" t="s">
        <v>713</v>
      </c>
      <c r="C142" s="117" t="s">
        <v>410</v>
      </c>
      <c r="D142" s="117" t="s">
        <v>251</v>
      </c>
      <c r="E142" s="117" t="s">
        <v>714</v>
      </c>
      <c r="F142" s="117" t="s">
        <v>223</v>
      </c>
      <c r="G142" s="117" t="s">
        <v>630</v>
      </c>
      <c r="H142" s="117" t="s">
        <v>256</v>
      </c>
      <c r="I142" s="117" t="s">
        <v>715</v>
      </c>
      <c r="J142" s="118">
        <v>4.12</v>
      </c>
      <c r="K142" s="118" t="s">
        <v>257</v>
      </c>
      <c r="L142" s="117">
        <v>1.83E-2</v>
      </c>
      <c r="M142" s="117">
        <v>2.9600000000000001E-2</v>
      </c>
      <c r="N142" s="70">
        <v>95306.606357225115</v>
      </c>
      <c r="O142" s="61">
        <v>107.06</v>
      </c>
      <c r="P142" s="85">
        <v>0</v>
      </c>
      <c r="Q142" s="85">
        <v>102.03525</v>
      </c>
      <c r="R142" s="25">
        <v>4.5820483825588997E-4</v>
      </c>
      <c r="S142" s="25">
        <v>5.3784603593937683E-4</v>
      </c>
      <c r="T142" s="25">
        <v>1.9038614880485338E-4</v>
      </c>
    </row>
    <row r="143" spans="1:20" x14ac:dyDescent="0.25">
      <c r="A143" s="17" t="s">
        <v>942</v>
      </c>
      <c r="B143" s="117" t="s">
        <v>943</v>
      </c>
      <c r="C143" s="117" t="s">
        <v>410</v>
      </c>
      <c r="D143" s="117" t="s">
        <v>251</v>
      </c>
      <c r="E143" s="117" t="s">
        <v>944</v>
      </c>
      <c r="F143" s="117" t="s">
        <v>228</v>
      </c>
      <c r="G143" s="117" t="s">
        <v>630</v>
      </c>
      <c r="H143" s="117" t="s">
        <v>256</v>
      </c>
      <c r="I143" s="117" t="s">
        <v>941</v>
      </c>
      <c r="J143" s="118">
        <v>5.09</v>
      </c>
      <c r="K143" s="118" t="s">
        <v>257</v>
      </c>
      <c r="L143" s="117">
        <v>7.4999999999999997E-3</v>
      </c>
      <c r="M143" s="117">
        <v>4.2900000000000001E-2</v>
      </c>
      <c r="N143" s="70">
        <v>252442.248410873</v>
      </c>
      <c r="O143" s="61">
        <v>90.28</v>
      </c>
      <c r="P143" s="85">
        <v>1.0239657899999999</v>
      </c>
      <c r="Q143" s="85">
        <v>228.92882999999998</v>
      </c>
      <c r="R143" s="25">
        <v>2.4093541397484823E-4</v>
      </c>
      <c r="S143" s="25">
        <v>1.2067247713681251E-3</v>
      </c>
      <c r="T143" s="25">
        <v>4.2715510859336333E-4</v>
      </c>
    </row>
    <row r="144" spans="1:20" x14ac:dyDescent="0.25">
      <c r="A144" s="17" t="s">
        <v>1027</v>
      </c>
      <c r="B144" s="117" t="s">
        <v>1028</v>
      </c>
      <c r="C144" s="117" t="s">
        <v>410</v>
      </c>
      <c r="D144" s="117" t="s">
        <v>251</v>
      </c>
      <c r="E144" s="117" t="s">
        <v>676</v>
      </c>
      <c r="F144" s="117" t="s">
        <v>223</v>
      </c>
      <c r="G144" s="117" t="s">
        <v>677</v>
      </c>
      <c r="H144" s="117" t="s">
        <v>529</v>
      </c>
      <c r="I144" s="117" t="s">
        <v>1029</v>
      </c>
      <c r="J144" s="118">
        <v>1.99</v>
      </c>
      <c r="K144" s="118" t="s">
        <v>257</v>
      </c>
      <c r="L144" s="117">
        <v>2.5000000000000001E-2</v>
      </c>
      <c r="M144" s="117">
        <v>3.5000000000000003E-2</v>
      </c>
      <c r="N144" s="70">
        <v>8585.9193364465336</v>
      </c>
      <c r="O144" s="61">
        <v>111.20000000000002</v>
      </c>
      <c r="P144" s="85">
        <v>0</v>
      </c>
      <c r="Q144" s="85">
        <v>9.5475400000000015</v>
      </c>
      <c r="R144" s="25">
        <v>2.413985606894949E-5</v>
      </c>
      <c r="S144" s="25">
        <v>5.032678943769568E-5</v>
      </c>
      <c r="T144" s="25">
        <v>1.7814621624980483E-5</v>
      </c>
    </row>
    <row r="145" spans="1:20" x14ac:dyDescent="0.25">
      <c r="A145" s="17" t="s">
        <v>674</v>
      </c>
      <c r="B145" s="117" t="s">
        <v>675</v>
      </c>
      <c r="C145" s="117" t="s">
        <v>410</v>
      </c>
      <c r="D145" s="117" t="s">
        <v>251</v>
      </c>
      <c r="E145" s="117" t="s">
        <v>676</v>
      </c>
      <c r="F145" s="117" t="s">
        <v>223</v>
      </c>
      <c r="G145" s="117" t="s">
        <v>677</v>
      </c>
      <c r="H145" s="117" t="s">
        <v>529</v>
      </c>
      <c r="I145" s="117" t="s">
        <v>678</v>
      </c>
      <c r="J145" s="118">
        <v>4.97</v>
      </c>
      <c r="K145" s="118" t="s">
        <v>257</v>
      </c>
      <c r="L145" s="117">
        <v>1.9E-2</v>
      </c>
      <c r="M145" s="117">
        <v>3.8699999999999998E-2</v>
      </c>
      <c r="N145" s="70">
        <v>252209.57486444674</v>
      </c>
      <c r="O145" s="61">
        <v>102.11000000000001</v>
      </c>
      <c r="P145" s="85">
        <v>0</v>
      </c>
      <c r="Q145" s="85">
        <v>257.53120000000001</v>
      </c>
      <c r="R145" s="25">
        <v>8.3919029497512643E-4</v>
      </c>
      <c r="S145" s="25">
        <v>1.3574929747387384E-3</v>
      </c>
      <c r="T145" s="25">
        <v>4.8052387155509937E-4</v>
      </c>
    </row>
    <row r="146" spans="1:20" x14ac:dyDescent="0.25">
      <c r="A146" s="17" t="s">
        <v>932</v>
      </c>
      <c r="B146" s="117" t="s">
        <v>933</v>
      </c>
      <c r="C146" s="117" t="s">
        <v>410</v>
      </c>
      <c r="D146" s="117" t="s">
        <v>251</v>
      </c>
      <c r="E146" s="117" t="s">
        <v>676</v>
      </c>
      <c r="F146" s="117" t="s">
        <v>223</v>
      </c>
      <c r="G146" s="117" t="s">
        <v>677</v>
      </c>
      <c r="H146" s="117" t="s">
        <v>529</v>
      </c>
      <c r="I146" s="117" t="s">
        <v>934</v>
      </c>
      <c r="J146" s="118">
        <v>6.71</v>
      </c>
      <c r="K146" s="118" t="s">
        <v>257</v>
      </c>
      <c r="L146" s="117">
        <v>3.9000000000000003E-3</v>
      </c>
      <c r="M146" s="117">
        <v>4.1500000000000002E-2</v>
      </c>
      <c r="N146" s="70">
        <v>274872.88322114188</v>
      </c>
      <c r="O146" s="61">
        <v>83.82</v>
      </c>
      <c r="P146" s="85">
        <v>0</v>
      </c>
      <c r="Q146" s="85">
        <v>230.39845000000003</v>
      </c>
      <c r="R146" s="25">
        <v>1.1696718434942208E-3</v>
      </c>
      <c r="S146" s="25">
        <v>1.2144714010018766E-3</v>
      </c>
      <c r="T146" s="25">
        <v>4.2989725203895291E-4</v>
      </c>
    </row>
    <row r="147" spans="1:20" x14ac:dyDescent="0.25">
      <c r="A147" s="17" t="s">
        <v>632</v>
      </c>
      <c r="B147" s="117" t="s">
        <v>633</v>
      </c>
      <c r="C147" s="117" t="s">
        <v>410</v>
      </c>
      <c r="D147" s="117" t="s">
        <v>251</v>
      </c>
      <c r="E147" s="117" t="s">
        <v>634</v>
      </c>
      <c r="F147" s="117" t="s">
        <v>223</v>
      </c>
      <c r="G147" s="117" t="s">
        <v>630</v>
      </c>
      <c r="H147" s="117" t="s">
        <v>256</v>
      </c>
      <c r="I147" s="117" t="s">
        <v>635</v>
      </c>
      <c r="J147" s="118">
        <v>1.71</v>
      </c>
      <c r="K147" s="118" t="s">
        <v>257</v>
      </c>
      <c r="L147" s="117">
        <v>2.0499999999999997E-2</v>
      </c>
      <c r="M147" s="117">
        <v>3.7900000000000003E-2</v>
      </c>
      <c r="N147" s="70">
        <v>157810.9047717902</v>
      </c>
      <c r="O147" s="61">
        <v>110.12000000000002</v>
      </c>
      <c r="P147" s="85">
        <v>0</v>
      </c>
      <c r="Q147" s="85">
        <v>173.78136999999998</v>
      </c>
      <c r="R147" s="25">
        <v>4.2651987821453006E-4</v>
      </c>
      <c r="S147" s="25">
        <v>9.1603265513255606E-4</v>
      </c>
      <c r="T147" s="25">
        <v>3.242562327071407E-4</v>
      </c>
    </row>
    <row r="148" spans="1:20" x14ac:dyDescent="0.25">
      <c r="A148" s="17" t="s">
        <v>662</v>
      </c>
      <c r="B148" s="117" t="s">
        <v>663</v>
      </c>
      <c r="C148" s="117" t="s">
        <v>410</v>
      </c>
      <c r="D148" s="117" t="s">
        <v>251</v>
      </c>
      <c r="E148" s="117" t="s">
        <v>634</v>
      </c>
      <c r="F148" s="117" t="s">
        <v>223</v>
      </c>
      <c r="G148" s="117" t="s">
        <v>630</v>
      </c>
      <c r="H148" s="117" t="s">
        <v>256</v>
      </c>
      <c r="I148" s="117" t="s">
        <v>664</v>
      </c>
      <c r="J148" s="118">
        <v>2.5499999999999998</v>
      </c>
      <c r="K148" s="118" t="s">
        <v>257</v>
      </c>
      <c r="L148" s="117">
        <v>2.0499999999999997E-2</v>
      </c>
      <c r="M148" s="117">
        <v>3.6900000000000002E-2</v>
      </c>
      <c r="N148" s="70">
        <v>385954.39766914974</v>
      </c>
      <c r="O148" s="61">
        <v>108.46000000000001</v>
      </c>
      <c r="P148" s="85">
        <v>0</v>
      </c>
      <c r="Q148" s="85">
        <v>418.60614000000004</v>
      </c>
      <c r="R148" s="25">
        <v>4.3799768712523543E-4</v>
      </c>
      <c r="S148" s="25">
        <v>2.2065477667657387E-3</v>
      </c>
      <c r="T148" s="25">
        <v>7.8107135387687381E-4</v>
      </c>
    </row>
    <row r="149" spans="1:20" x14ac:dyDescent="0.25">
      <c r="A149" s="17" t="s">
        <v>781</v>
      </c>
      <c r="B149" s="117" t="s">
        <v>782</v>
      </c>
      <c r="C149" s="117" t="s">
        <v>410</v>
      </c>
      <c r="D149" s="117" t="s">
        <v>251</v>
      </c>
      <c r="E149" s="117" t="s">
        <v>634</v>
      </c>
      <c r="F149" s="117" t="s">
        <v>223</v>
      </c>
      <c r="G149" s="117" t="s">
        <v>630</v>
      </c>
      <c r="H149" s="117" t="s">
        <v>256</v>
      </c>
      <c r="I149" s="117" t="s">
        <v>783</v>
      </c>
      <c r="J149" s="118">
        <v>5.27</v>
      </c>
      <c r="K149" s="118" t="s">
        <v>257</v>
      </c>
      <c r="L149" s="117">
        <v>8.3999999999999995E-3</v>
      </c>
      <c r="M149" s="117">
        <v>4.2300000000000004E-2</v>
      </c>
      <c r="N149" s="70">
        <v>440763.71622671676</v>
      </c>
      <c r="O149" s="61">
        <v>93.32</v>
      </c>
      <c r="P149" s="85">
        <v>0</v>
      </c>
      <c r="Q149" s="85">
        <v>411.32069999999999</v>
      </c>
      <c r="R149" s="25">
        <v>6.5081480692895572E-4</v>
      </c>
      <c r="S149" s="25">
        <v>2.1681449106540109E-3</v>
      </c>
      <c r="T149" s="25">
        <v>7.6747755306834104E-4</v>
      </c>
    </row>
    <row r="150" spans="1:20" x14ac:dyDescent="0.25">
      <c r="A150" s="17" t="s">
        <v>875</v>
      </c>
      <c r="B150" s="117" t="s">
        <v>876</v>
      </c>
      <c r="C150" s="117" t="s">
        <v>410</v>
      </c>
      <c r="D150" s="117" t="s">
        <v>251</v>
      </c>
      <c r="E150" s="117" t="s">
        <v>634</v>
      </c>
      <c r="F150" s="117" t="s">
        <v>223</v>
      </c>
      <c r="G150" s="117" t="s">
        <v>630</v>
      </c>
      <c r="H150" s="117" t="s">
        <v>256</v>
      </c>
      <c r="I150" s="117" t="s">
        <v>877</v>
      </c>
      <c r="J150" s="118">
        <v>6.25</v>
      </c>
      <c r="K150" s="118" t="s">
        <v>257</v>
      </c>
      <c r="L150" s="117">
        <v>5.0000000000000001E-3</v>
      </c>
      <c r="M150" s="117">
        <v>4.0300000000000002E-2</v>
      </c>
      <c r="N150" s="70">
        <v>175751.46942159667</v>
      </c>
      <c r="O150" s="61">
        <v>88.06</v>
      </c>
      <c r="P150" s="85">
        <v>5.6963218221000007</v>
      </c>
      <c r="Q150" s="85">
        <v>156.28018</v>
      </c>
      <c r="R150" s="25">
        <v>1.0027904982563098E-3</v>
      </c>
      <c r="S150" s="25">
        <v>8.2378075526734419E-4</v>
      </c>
      <c r="T150" s="25">
        <v>2.9160100656125474E-4</v>
      </c>
    </row>
    <row r="151" spans="1:20" x14ac:dyDescent="0.25">
      <c r="A151" s="17" t="s">
        <v>878</v>
      </c>
      <c r="B151" s="117" t="s">
        <v>879</v>
      </c>
      <c r="C151" s="117" t="s">
        <v>410</v>
      </c>
      <c r="D151" s="117" t="s">
        <v>251</v>
      </c>
      <c r="E151" s="117" t="s">
        <v>634</v>
      </c>
      <c r="F151" s="117" t="s">
        <v>223</v>
      </c>
      <c r="G151" s="117" t="s">
        <v>630</v>
      </c>
      <c r="H151" s="117" t="s">
        <v>256</v>
      </c>
      <c r="I151" s="117" t="s">
        <v>877</v>
      </c>
      <c r="J151" s="118">
        <v>6.14</v>
      </c>
      <c r="K151" s="118" t="s">
        <v>257</v>
      </c>
      <c r="L151" s="117">
        <v>9.7000000000000003E-3</v>
      </c>
      <c r="M151" s="117">
        <v>4.4699999999999997E-2</v>
      </c>
      <c r="N151" s="70">
        <v>391223.03925616742</v>
      </c>
      <c r="O151" s="61">
        <v>88.66</v>
      </c>
      <c r="P151" s="85">
        <v>13.689199836</v>
      </c>
      <c r="Q151" s="85">
        <v>351.173</v>
      </c>
      <c r="R151" s="25">
        <v>9.641188498684455E-4</v>
      </c>
      <c r="S151" s="25">
        <v>1.8510956358605364E-3</v>
      </c>
      <c r="T151" s="25">
        <v>6.5524879915761236E-4</v>
      </c>
    </row>
    <row r="152" spans="1:20" x14ac:dyDescent="0.25">
      <c r="A152" s="17" t="s">
        <v>831</v>
      </c>
      <c r="B152" s="117" t="s">
        <v>832</v>
      </c>
      <c r="C152" s="117" t="s">
        <v>410</v>
      </c>
      <c r="D152" s="117" t="s">
        <v>251</v>
      </c>
      <c r="E152" s="117" t="s">
        <v>833</v>
      </c>
      <c r="F152" s="117" t="s">
        <v>234</v>
      </c>
      <c r="G152" s="117" t="s">
        <v>677</v>
      </c>
      <c r="H152" s="117" t="s">
        <v>529</v>
      </c>
      <c r="I152" s="117" t="s">
        <v>834</v>
      </c>
      <c r="J152" s="118">
        <v>1.29</v>
      </c>
      <c r="K152" s="118" t="s">
        <v>257</v>
      </c>
      <c r="L152" s="117">
        <v>1.8500000000000003E-2</v>
      </c>
      <c r="M152" s="117">
        <v>3.5699999999999996E-2</v>
      </c>
      <c r="N152" s="70">
        <v>53619.681533600655</v>
      </c>
      <c r="O152" s="61">
        <v>109.43</v>
      </c>
      <c r="P152" s="85">
        <v>0</v>
      </c>
      <c r="Q152" s="85">
        <v>58.676019999999994</v>
      </c>
      <c r="R152" s="25">
        <v>9.0868495006779854E-5</v>
      </c>
      <c r="S152" s="25">
        <v>3.0929178653161133E-4</v>
      </c>
      <c r="T152" s="25">
        <v>1.0948276673989185E-4</v>
      </c>
    </row>
    <row r="153" spans="1:20" x14ac:dyDescent="0.25">
      <c r="A153" s="17" t="s">
        <v>981</v>
      </c>
      <c r="B153" s="117" t="s">
        <v>982</v>
      </c>
      <c r="C153" s="117" t="s">
        <v>410</v>
      </c>
      <c r="D153" s="117" t="s">
        <v>251</v>
      </c>
      <c r="E153" s="117" t="s">
        <v>833</v>
      </c>
      <c r="F153" s="117" t="s">
        <v>234</v>
      </c>
      <c r="G153" s="117" t="s">
        <v>677</v>
      </c>
      <c r="H153" s="117" t="s">
        <v>529</v>
      </c>
      <c r="I153" s="117" t="s">
        <v>983</v>
      </c>
      <c r="J153" s="118">
        <v>0</v>
      </c>
      <c r="K153" s="118" t="s">
        <v>257</v>
      </c>
      <c r="L153" s="117">
        <v>0.01</v>
      </c>
      <c r="M153" s="117">
        <v>4.7100000000000003E-2</v>
      </c>
      <c r="N153" s="70">
        <v>695018.51023033506</v>
      </c>
      <c r="O153" s="61">
        <v>92.686800000000005</v>
      </c>
      <c r="P153" s="85">
        <v>0</v>
      </c>
      <c r="Q153" s="85">
        <v>644.19042000000002</v>
      </c>
      <c r="R153" s="25">
        <v>5.86980122789876E-4</v>
      </c>
      <c r="S153" s="25">
        <v>3.395642817429489E-3</v>
      </c>
      <c r="T153" s="25">
        <v>1.2019859133072246E-3</v>
      </c>
    </row>
    <row r="154" spans="1:20" x14ac:dyDescent="0.25">
      <c r="A154" s="17" t="s">
        <v>998</v>
      </c>
      <c r="B154" s="117" t="s">
        <v>999</v>
      </c>
      <c r="C154" s="117" t="s">
        <v>410</v>
      </c>
      <c r="D154" s="117" t="s">
        <v>251</v>
      </c>
      <c r="E154" s="117" t="s">
        <v>833</v>
      </c>
      <c r="F154" s="117" t="s">
        <v>234</v>
      </c>
      <c r="G154" s="117" t="s">
        <v>677</v>
      </c>
      <c r="H154" s="117" t="s">
        <v>529</v>
      </c>
      <c r="I154" s="117" t="s">
        <v>1000</v>
      </c>
      <c r="J154" s="118">
        <v>2.59</v>
      </c>
      <c r="K154" s="118" t="s">
        <v>257</v>
      </c>
      <c r="L154" s="117">
        <v>3.5400000000000001E-2</v>
      </c>
      <c r="M154" s="117">
        <v>4.5899999999999996E-2</v>
      </c>
      <c r="N154" s="70">
        <v>0</v>
      </c>
      <c r="O154" s="61">
        <v>0</v>
      </c>
      <c r="P154" s="85">
        <v>4.0406114290000001</v>
      </c>
      <c r="Q154" s="85">
        <v>4.04061</v>
      </c>
      <c r="R154" s="25">
        <v>0</v>
      </c>
      <c r="S154" s="25">
        <v>2.1298777346818925E-5</v>
      </c>
      <c r="T154" s="25">
        <v>7.5393178016653906E-6</v>
      </c>
    </row>
    <row r="155" spans="1:20" x14ac:dyDescent="0.25">
      <c r="A155" s="17" t="s">
        <v>998</v>
      </c>
      <c r="B155" s="117" t="s">
        <v>1010</v>
      </c>
      <c r="C155" s="117" t="s">
        <v>410</v>
      </c>
      <c r="D155" s="117" t="s">
        <v>251</v>
      </c>
      <c r="E155" s="117" t="s">
        <v>833</v>
      </c>
      <c r="F155" s="117" t="s">
        <v>234</v>
      </c>
      <c r="G155" s="117" t="s">
        <v>677</v>
      </c>
      <c r="H155" s="117" t="s">
        <v>529</v>
      </c>
      <c r="I155" s="117" t="s">
        <v>1011</v>
      </c>
      <c r="J155" s="118">
        <v>0</v>
      </c>
      <c r="K155" s="118" t="s">
        <v>257</v>
      </c>
      <c r="L155" s="117">
        <v>3.5400000000000001E-2</v>
      </c>
      <c r="M155" s="117">
        <v>4.5100000000000001E-2</v>
      </c>
      <c r="N155" s="70">
        <v>203736.52569159612</v>
      </c>
      <c r="O155" s="61">
        <v>99.490382999999994</v>
      </c>
      <c r="P155" s="85">
        <v>4.0406114290000001</v>
      </c>
      <c r="Q155" s="85">
        <v>206.73885999999999</v>
      </c>
      <c r="R155" s="25">
        <v>2.9655540049139915E-4</v>
      </c>
      <c r="S155" s="25">
        <v>1.0897574742613537E-3</v>
      </c>
      <c r="T155" s="25">
        <v>3.8575115328972823E-4</v>
      </c>
    </row>
    <row r="156" spans="1:20" x14ac:dyDescent="0.25">
      <c r="A156" s="17" t="s">
        <v>729</v>
      </c>
      <c r="B156" s="117" t="s">
        <v>730</v>
      </c>
      <c r="C156" s="117" t="s">
        <v>410</v>
      </c>
      <c r="D156" s="117" t="s">
        <v>251</v>
      </c>
      <c r="E156" s="117" t="s">
        <v>731</v>
      </c>
      <c r="F156" s="117" t="s">
        <v>223</v>
      </c>
      <c r="G156" s="117" t="s">
        <v>677</v>
      </c>
      <c r="H156" s="117" t="s">
        <v>529</v>
      </c>
      <c r="I156" s="117" t="s">
        <v>732</v>
      </c>
      <c r="J156" s="118">
        <v>3.5</v>
      </c>
      <c r="K156" s="118" t="s">
        <v>257</v>
      </c>
      <c r="L156" s="117">
        <v>2.75E-2</v>
      </c>
      <c r="M156" s="117">
        <v>3.0099999999999998E-2</v>
      </c>
      <c r="N156" s="70">
        <v>553290.80425270426</v>
      </c>
      <c r="O156" s="61">
        <v>110.48</v>
      </c>
      <c r="P156" s="85">
        <v>0</v>
      </c>
      <c r="Q156" s="85">
        <v>611.27568000000008</v>
      </c>
      <c r="R156" s="25">
        <v>1.0832428933879848E-3</v>
      </c>
      <c r="S156" s="25">
        <v>3.2221433411899029E-3</v>
      </c>
      <c r="T156" s="25">
        <v>1.1405707593529486E-3</v>
      </c>
    </row>
    <row r="157" spans="1:20" x14ac:dyDescent="0.25">
      <c r="A157" s="17" t="s">
        <v>872</v>
      </c>
      <c r="B157" s="117" t="s">
        <v>873</v>
      </c>
      <c r="C157" s="117" t="s">
        <v>410</v>
      </c>
      <c r="D157" s="117" t="s">
        <v>251</v>
      </c>
      <c r="E157" s="117" t="s">
        <v>731</v>
      </c>
      <c r="F157" s="117" t="s">
        <v>223</v>
      </c>
      <c r="G157" s="117" t="s">
        <v>677</v>
      </c>
      <c r="H157" s="117" t="s">
        <v>529</v>
      </c>
      <c r="I157" s="117" t="s">
        <v>874</v>
      </c>
      <c r="J157" s="118">
        <v>5.15</v>
      </c>
      <c r="K157" s="118" t="s">
        <v>257</v>
      </c>
      <c r="L157" s="117">
        <v>8.5000000000000006E-3</v>
      </c>
      <c r="M157" s="117">
        <v>3.4200000000000001E-2</v>
      </c>
      <c r="N157" s="70">
        <v>231141.17148996354</v>
      </c>
      <c r="O157" s="61">
        <v>96.94</v>
      </c>
      <c r="P157" s="85">
        <v>0</v>
      </c>
      <c r="Q157" s="85">
        <v>224.06825000000001</v>
      </c>
      <c r="R157" s="25">
        <v>3.6787759464271383E-4</v>
      </c>
      <c r="S157" s="25">
        <v>1.1811037856267641E-3</v>
      </c>
      <c r="T157" s="25">
        <v>4.180858202135349E-4</v>
      </c>
    </row>
    <row r="158" spans="1:20" x14ac:dyDescent="0.25">
      <c r="A158" s="17" t="s">
        <v>1022</v>
      </c>
      <c r="B158" s="117" t="s">
        <v>1023</v>
      </c>
      <c r="C158" s="117" t="s">
        <v>410</v>
      </c>
      <c r="D158" s="117" t="s">
        <v>251</v>
      </c>
      <c r="E158" s="117" t="s">
        <v>731</v>
      </c>
      <c r="F158" s="117" t="s">
        <v>223</v>
      </c>
      <c r="G158" s="117" t="s">
        <v>677</v>
      </c>
      <c r="H158" s="117" t="s">
        <v>529</v>
      </c>
      <c r="I158" s="117" t="s">
        <v>1021</v>
      </c>
      <c r="J158" s="118">
        <v>6.48</v>
      </c>
      <c r="K158" s="118" t="s">
        <v>257</v>
      </c>
      <c r="L158" s="117">
        <v>3.1800000000000002E-2</v>
      </c>
      <c r="M158" s="117">
        <v>3.6400000000000002E-2</v>
      </c>
      <c r="N158" s="70">
        <v>188468.33381858957</v>
      </c>
      <c r="O158" s="61">
        <v>101.6</v>
      </c>
      <c r="P158" s="85">
        <v>0</v>
      </c>
      <c r="Q158" s="85">
        <v>191.48382999999998</v>
      </c>
      <c r="R158" s="25">
        <v>5.4682551106627006E-4</v>
      </c>
      <c r="S158" s="25">
        <v>1.0093454851337114E-3</v>
      </c>
      <c r="T158" s="25">
        <v>3.5728700573677469E-4</v>
      </c>
    </row>
    <row r="159" spans="1:20" x14ac:dyDescent="0.25">
      <c r="A159" s="17" t="s">
        <v>627</v>
      </c>
      <c r="B159" s="117" t="s">
        <v>628</v>
      </c>
      <c r="C159" s="117" t="s">
        <v>410</v>
      </c>
      <c r="D159" s="117" t="s">
        <v>251</v>
      </c>
      <c r="E159" s="117" t="s">
        <v>629</v>
      </c>
      <c r="F159" s="117" t="s">
        <v>225</v>
      </c>
      <c r="G159" s="117" t="s">
        <v>630</v>
      </c>
      <c r="H159" s="117" t="s">
        <v>256</v>
      </c>
      <c r="I159" s="117" t="s">
        <v>631</v>
      </c>
      <c r="J159" s="118">
        <v>2.5499999999999998</v>
      </c>
      <c r="K159" s="118" t="s">
        <v>257</v>
      </c>
      <c r="L159" s="117">
        <v>1.9400000000000001E-2</v>
      </c>
      <c r="M159" s="117">
        <v>2.9900000000000003E-2</v>
      </c>
      <c r="N159" s="70">
        <v>274486.51980457612</v>
      </c>
      <c r="O159" s="61">
        <v>109.98999999999998</v>
      </c>
      <c r="P159" s="85">
        <v>0</v>
      </c>
      <c r="Q159" s="85">
        <v>301.90771999999998</v>
      </c>
      <c r="R159" s="25">
        <v>7.5941115450541604E-4</v>
      </c>
      <c r="S159" s="25">
        <v>1.5914095415211439E-3</v>
      </c>
      <c r="T159" s="25">
        <v>5.6332540083210464E-4</v>
      </c>
    </row>
    <row r="160" spans="1:20" x14ac:dyDescent="0.25">
      <c r="A160" s="17" t="s">
        <v>683</v>
      </c>
      <c r="B160" s="117" t="s">
        <v>684</v>
      </c>
      <c r="C160" s="117" t="s">
        <v>410</v>
      </c>
      <c r="D160" s="117" t="s">
        <v>251</v>
      </c>
      <c r="E160" s="117" t="s">
        <v>629</v>
      </c>
      <c r="F160" s="117" t="s">
        <v>225</v>
      </c>
      <c r="G160" s="117" t="s">
        <v>630</v>
      </c>
      <c r="H160" s="117" t="s">
        <v>256</v>
      </c>
      <c r="I160" s="117" t="s">
        <v>685</v>
      </c>
      <c r="J160" s="118">
        <v>3.52</v>
      </c>
      <c r="K160" s="118" t="s">
        <v>257</v>
      </c>
      <c r="L160" s="117">
        <v>1.23E-2</v>
      </c>
      <c r="M160" s="117">
        <v>2.9300000000000003E-2</v>
      </c>
      <c r="N160" s="70">
        <v>1100062.2878441054</v>
      </c>
      <c r="O160" s="61">
        <v>105.97000000000001</v>
      </c>
      <c r="P160" s="85">
        <v>0</v>
      </c>
      <c r="Q160" s="85">
        <v>1165.7360100000001</v>
      </c>
      <c r="R160" s="25">
        <v>8.6505162676215783E-4</v>
      </c>
      <c r="S160" s="25">
        <v>6.1448028199106268E-3</v>
      </c>
      <c r="T160" s="25">
        <v>2.1751305501484636E-3</v>
      </c>
    </row>
    <row r="161" spans="1:20" x14ac:dyDescent="0.25">
      <c r="A161" s="17" t="s">
        <v>679</v>
      </c>
      <c r="B161" s="117" t="s">
        <v>680</v>
      </c>
      <c r="C161" s="117" t="s">
        <v>410</v>
      </c>
      <c r="D161" s="117" t="s">
        <v>251</v>
      </c>
      <c r="E161" s="117" t="s">
        <v>681</v>
      </c>
      <c r="F161" s="117" t="s">
        <v>223</v>
      </c>
      <c r="G161" s="117" t="s">
        <v>677</v>
      </c>
      <c r="H161" s="117" t="s">
        <v>529</v>
      </c>
      <c r="I161" s="117" t="s">
        <v>682</v>
      </c>
      <c r="J161" s="118">
        <v>2.17</v>
      </c>
      <c r="K161" s="118" t="s">
        <v>257</v>
      </c>
      <c r="L161" s="117">
        <v>2.1499999999999998E-2</v>
      </c>
      <c r="M161" s="117">
        <v>3.4799999999999998E-2</v>
      </c>
      <c r="N161" s="70">
        <v>468828.68546340778</v>
      </c>
      <c r="O161" s="61">
        <v>110.54000000000002</v>
      </c>
      <c r="P161" s="85">
        <v>0</v>
      </c>
      <c r="Q161" s="85">
        <v>518.24322999999993</v>
      </c>
      <c r="R161" s="25">
        <v>2.3903985963151761E-4</v>
      </c>
      <c r="S161" s="25">
        <v>2.7317526728059048E-3</v>
      </c>
      <c r="T161" s="25">
        <v>9.6698280941035408E-4</v>
      </c>
    </row>
    <row r="162" spans="1:20" x14ac:dyDescent="0.25">
      <c r="A162" s="17" t="s">
        <v>716</v>
      </c>
      <c r="B162" s="117" t="s">
        <v>717</v>
      </c>
      <c r="C162" s="117" t="s">
        <v>410</v>
      </c>
      <c r="D162" s="117" t="s">
        <v>251</v>
      </c>
      <c r="E162" s="117" t="s">
        <v>688</v>
      </c>
      <c r="F162" s="117" t="s">
        <v>224</v>
      </c>
      <c r="G162" s="117" t="s">
        <v>689</v>
      </c>
      <c r="H162" s="117" t="s">
        <v>529</v>
      </c>
      <c r="I162" s="117" t="s">
        <v>718</v>
      </c>
      <c r="J162" s="118">
        <v>1.22</v>
      </c>
      <c r="K162" s="118" t="s">
        <v>257</v>
      </c>
      <c r="L162" s="117">
        <v>4.6500000000000007E-2</v>
      </c>
      <c r="M162" s="117">
        <v>4.41E-2</v>
      </c>
      <c r="N162" s="70">
        <v>10636.821758445079</v>
      </c>
      <c r="O162" s="61">
        <v>113.5</v>
      </c>
      <c r="P162" s="85">
        <v>0</v>
      </c>
      <c r="Q162" s="85">
        <v>12.072790000000001</v>
      </c>
      <c r="R162" s="25">
        <v>3.7107504927441102E-5</v>
      </c>
      <c r="S162" s="25">
        <v>6.3637833437253796E-5</v>
      </c>
      <c r="T162" s="25">
        <v>2.2526450353478292E-5</v>
      </c>
    </row>
    <row r="163" spans="1:20" x14ac:dyDescent="0.25">
      <c r="A163" s="17" t="s">
        <v>686</v>
      </c>
      <c r="B163" s="117" t="s">
        <v>687</v>
      </c>
      <c r="C163" s="117" t="s">
        <v>410</v>
      </c>
      <c r="D163" s="117" t="s">
        <v>251</v>
      </c>
      <c r="E163" s="117" t="s">
        <v>688</v>
      </c>
      <c r="F163" s="117" t="s">
        <v>224</v>
      </c>
      <c r="G163" s="117" t="s">
        <v>689</v>
      </c>
      <c r="H163" s="117" t="s">
        <v>529</v>
      </c>
      <c r="I163" s="117" t="s">
        <v>690</v>
      </c>
      <c r="J163" s="118">
        <v>2.3199999999999998</v>
      </c>
      <c r="K163" s="118" t="s">
        <v>257</v>
      </c>
      <c r="L163" s="117">
        <v>2.8500000000000001E-2</v>
      </c>
      <c r="M163" s="117">
        <v>4.1100000000000005E-2</v>
      </c>
      <c r="N163" s="70">
        <v>264720.23963653488</v>
      </c>
      <c r="O163" s="61">
        <v>109.76000000000002</v>
      </c>
      <c r="P163" s="85">
        <v>0</v>
      </c>
      <c r="Q163" s="85">
        <v>290.55694</v>
      </c>
      <c r="R163" s="25">
        <v>4.8753149215687713E-4</v>
      </c>
      <c r="S163" s="25">
        <v>1.53157755181347E-3</v>
      </c>
      <c r="T163" s="25">
        <v>5.4214613886007879E-4</v>
      </c>
    </row>
    <row r="164" spans="1:20" x14ac:dyDescent="0.25">
      <c r="A164" s="17" t="s">
        <v>828</v>
      </c>
      <c r="B164" s="117" t="s">
        <v>829</v>
      </c>
      <c r="C164" s="117" t="s">
        <v>410</v>
      </c>
      <c r="D164" s="117" t="s">
        <v>251</v>
      </c>
      <c r="E164" s="117" t="s">
        <v>688</v>
      </c>
      <c r="F164" s="117" t="s">
        <v>224</v>
      </c>
      <c r="G164" s="117" t="s">
        <v>689</v>
      </c>
      <c r="H164" s="117" t="s">
        <v>529</v>
      </c>
      <c r="I164" s="117" t="s">
        <v>830</v>
      </c>
      <c r="J164" s="118">
        <v>3.92</v>
      </c>
      <c r="K164" s="118" t="s">
        <v>257</v>
      </c>
      <c r="L164" s="117">
        <v>2.4500000000000001E-2</v>
      </c>
      <c r="M164" s="117">
        <v>4.7199999999999999E-2</v>
      </c>
      <c r="N164" s="70">
        <v>610855.67742843751</v>
      </c>
      <c r="O164" s="61">
        <v>101.92000000000002</v>
      </c>
      <c r="P164" s="85">
        <v>8.3124144680000001</v>
      </c>
      <c r="Q164" s="85">
        <v>630.89652000000001</v>
      </c>
      <c r="R164" s="25">
        <v>1.1936603369388128E-3</v>
      </c>
      <c r="S164" s="25">
        <v>3.3255682949759795E-3</v>
      </c>
      <c r="T164" s="25">
        <v>1.1771810108485465E-3</v>
      </c>
    </row>
    <row r="165" spans="1:20" x14ac:dyDescent="0.25">
      <c r="A165" s="17" t="s">
        <v>935</v>
      </c>
      <c r="B165" s="117" t="s">
        <v>936</v>
      </c>
      <c r="C165" s="117" t="s">
        <v>410</v>
      </c>
      <c r="D165" s="117" t="s">
        <v>251</v>
      </c>
      <c r="E165" s="117" t="s">
        <v>688</v>
      </c>
      <c r="F165" s="117" t="s">
        <v>224</v>
      </c>
      <c r="G165" s="117" t="s">
        <v>689</v>
      </c>
      <c r="H165" s="117" t="s">
        <v>529</v>
      </c>
      <c r="I165" s="117" t="s">
        <v>937</v>
      </c>
      <c r="J165" s="118">
        <v>5.0199999999999996</v>
      </c>
      <c r="K165" s="118" t="s">
        <v>257</v>
      </c>
      <c r="L165" s="117">
        <v>4.3E-3</v>
      </c>
      <c r="M165" s="117">
        <v>4.7500000000000001E-2</v>
      </c>
      <c r="N165" s="70">
        <v>196134.43438334638</v>
      </c>
      <c r="O165" s="61">
        <v>87.77</v>
      </c>
      <c r="P165" s="85">
        <v>1.756229665</v>
      </c>
      <c r="Q165" s="85">
        <v>173.90342000000001</v>
      </c>
      <c r="R165" s="25">
        <v>3.1381509501335423E-4</v>
      </c>
      <c r="S165" s="25">
        <v>9.166760024922814E-4</v>
      </c>
      <c r="T165" s="25">
        <v>3.2448396409861212E-4</v>
      </c>
    </row>
    <row r="166" spans="1:20" x14ac:dyDescent="0.25">
      <c r="A166" s="17" t="s">
        <v>3057</v>
      </c>
      <c r="B166" s="117" t="s">
        <v>1067</v>
      </c>
      <c r="C166" s="117" t="s">
        <v>410</v>
      </c>
      <c r="D166" s="117" t="s">
        <v>251</v>
      </c>
      <c r="E166" s="117" t="s">
        <v>688</v>
      </c>
      <c r="F166" s="117" t="s">
        <v>224</v>
      </c>
      <c r="G166" s="117" t="s">
        <v>689</v>
      </c>
      <c r="H166" s="117" t="s">
        <v>529</v>
      </c>
      <c r="I166" s="117" t="s">
        <v>1068</v>
      </c>
      <c r="J166" s="118">
        <v>0</v>
      </c>
      <c r="K166" s="118" t="s">
        <v>257</v>
      </c>
      <c r="L166" s="117">
        <v>4.3E-3</v>
      </c>
      <c r="M166" s="117">
        <v>4.6100000000000002E-2</v>
      </c>
      <c r="N166" s="70">
        <v>555372.9465039206</v>
      </c>
      <c r="O166" s="61">
        <v>86.067920000000001</v>
      </c>
      <c r="P166" s="85">
        <v>0</v>
      </c>
      <c r="Q166" s="85">
        <v>477.99795</v>
      </c>
      <c r="R166" s="25">
        <v>8.8859671440627292E-4</v>
      </c>
      <c r="S166" s="25">
        <v>2.5196126102954466E-3</v>
      </c>
      <c r="T166" s="25">
        <v>8.9188970318703441E-4</v>
      </c>
    </row>
    <row r="167" spans="1:20" x14ac:dyDescent="0.25">
      <c r="A167" s="17" t="s">
        <v>938</v>
      </c>
      <c r="B167" s="117" t="s">
        <v>939</v>
      </c>
      <c r="C167" s="117" t="s">
        <v>410</v>
      </c>
      <c r="D167" s="117" t="s">
        <v>251</v>
      </c>
      <c r="E167" s="117" t="s">
        <v>940</v>
      </c>
      <c r="F167" s="117" t="s">
        <v>224</v>
      </c>
      <c r="G167" s="117" t="s">
        <v>689</v>
      </c>
      <c r="H167" s="117" t="s">
        <v>529</v>
      </c>
      <c r="I167" s="117" t="s">
        <v>941</v>
      </c>
      <c r="J167" s="118">
        <v>6.05</v>
      </c>
      <c r="K167" s="118" t="s">
        <v>257</v>
      </c>
      <c r="L167" s="117">
        <v>1.54E-2</v>
      </c>
      <c r="M167" s="117">
        <v>4.5700000000000005E-2</v>
      </c>
      <c r="N167" s="70">
        <v>30864.1345659699</v>
      </c>
      <c r="O167" s="61">
        <v>90.46</v>
      </c>
      <c r="P167" s="85">
        <v>0.25706143669999998</v>
      </c>
      <c r="Q167" s="85">
        <v>28.176759999999998</v>
      </c>
      <c r="R167" s="25">
        <v>8.8183241617056853E-5</v>
      </c>
      <c r="S167" s="25">
        <v>1.485247370062326E-4</v>
      </c>
      <c r="T167" s="25">
        <v>5.2574623203242404E-5</v>
      </c>
    </row>
    <row r="168" spans="1:20" x14ac:dyDescent="0.25">
      <c r="A168" s="17" t="s">
        <v>929</v>
      </c>
      <c r="B168" s="117" t="s">
        <v>930</v>
      </c>
      <c r="C168" s="117" t="s">
        <v>410</v>
      </c>
      <c r="D168" s="117" t="s">
        <v>251</v>
      </c>
      <c r="E168" s="117" t="s">
        <v>561</v>
      </c>
      <c r="F168" s="117" t="s">
        <v>226</v>
      </c>
      <c r="G168" s="117" t="s">
        <v>524</v>
      </c>
      <c r="H168" s="117" t="s">
        <v>256</v>
      </c>
      <c r="I168" s="117" t="s">
        <v>931</v>
      </c>
      <c r="J168" s="118">
        <v>4.22</v>
      </c>
      <c r="K168" s="118" t="s">
        <v>257</v>
      </c>
      <c r="L168" s="117">
        <v>7.4999999999999997E-3</v>
      </c>
      <c r="M168" s="117">
        <v>4.1100000000000005E-2</v>
      </c>
      <c r="N168" s="70">
        <v>967212.6732162945</v>
      </c>
      <c r="O168" s="61">
        <v>94.68</v>
      </c>
      <c r="P168" s="85">
        <v>0</v>
      </c>
      <c r="Q168" s="85">
        <v>915.75695999999994</v>
      </c>
      <c r="R168" s="25">
        <v>6.284850169603573E-4</v>
      </c>
      <c r="S168" s="25">
        <v>4.8271185773533605E-3</v>
      </c>
      <c r="T168" s="25">
        <v>1.7086981298682577E-3</v>
      </c>
    </row>
    <row r="169" spans="1:20" x14ac:dyDescent="0.25">
      <c r="A169" s="17" t="s">
        <v>559</v>
      </c>
      <c r="B169" s="117" t="s">
        <v>560</v>
      </c>
      <c r="C169" s="117" t="s">
        <v>410</v>
      </c>
      <c r="D169" s="117" t="s">
        <v>251</v>
      </c>
      <c r="E169" s="117" t="s">
        <v>561</v>
      </c>
      <c r="F169" s="117" t="s">
        <v>226</v>
      </c>
      <c r="G169" s="117" t="s">
        <v>524</v>
      </c>
      <c r="H169" s="117" t="s">
        <v>256</v>
      </c>
      <c r="I169" s="117" t="s">
        <v>562</v>
      </c>
      <c r="J169" s="118">
        <v>1.0900000000000001</v>
      </c>
      <c r="K169" s="118" t="s">
        <v>257</v>
      </c>
      <c r="L169" s="117">
        <v>2.4E-2</v>
      </c>
      <c r="M169" s="117">
        <v>3.3099999999999997E-2</v>
      </c>
      <c r="N169" s="70">
        <v>32358.567533314326</v>
      </c>
      <c r="O169" s="61">
        <v>111.48</v>
      </c>
      <c r="P169" s="85">
        <v>0</v>
      </c>
      <c r="Q169" s="85">
        <v>36.073329999999999</v>
      </c>
      <c r="R169" s="25">
        <v>1.931115662323268E-4</v>
      </c>
      <c r="S169" s="25">
        <v>1.9014896855383803E-4</v>
      </c>
      <c r="T169" s="25">
        <v>6.7308722948849345E-5</v>
      </c>
    </row>
    <row r="170" spans="1:20" x14ac:dyDescent="0.25">
      <c r="A170" s="17" t="s">
        <v>670</v>
      </c>
      <c r="B170" s="117" t="s">
        <v>671</v>
      </c>
      <c r="C170" s="117" t="s">
        <v>410</v>
      </c>
      <c r="D170" s="117" t="s">
        <v>251</v>
      </c>
      <c r="E170" s="117" t="s">
        <v>672</v>
      </c>
      <c r="F170" s="117" t="s">
        <v>223</v>
      </c>
      <c r="G170" s="117" t="s">
        <v>524</v>
      </c>
      <c r="H170" s="117" t="s">
        <v>256</v>
      </c>
      <c r="I170" s="117" t="s">
        <v>673</v>
      </c>
      <c r="J170" s="118">
        <v>3.52</v>
      </c>
      <c r="K170" s="118" t="s">
        <v>257</v>
      </c>
      <c r="L170" s="117">
        <v>1.8000000000000002E-2</v>
      </c>
      <c r="M170" s="117">
        <v>3.32E-2</v>
      </c>
      <c r="N170" s="70">
        <v>599858.31956937304</v>
      </c>
      <c r="O170" s="61">
        <v>106.61</v>
      </c>
      <c r="P170" s="85">
        <v>3.0315716400000001</v>
      </c>
      <c r="Q170" s="85">
        <v>642.54052999999999</v>
      </c>
      <c r="R170" s="25">
        <v>7.1580598023882026E-4</v>
      </c>
      <c r="S170" s="25">
        <v>3.3869459524123896E-3</v>
      </c>
      <c r="T170" s="25">
        <v>1.1989074065847768E-3</v>
      </c>
    </row>
    <row r="171" spans="1:20" x14ac:dyDescent="0.25">
      <c r="A171" s="17" t="s">
        <v>1012</v>
      </c>
      <c r="B171" s="117" t="s">
        <v>1013</v>
      </c>
      <c r="C171" s="117" t="s">
        <v>410</v>
      </c>
      <c r="D171" s="117" t="s">
        <v>251</v>
      </c>
      <c r="E171" s="117" t="s">
        <v>1014</v>
      </c>
      <c r="F171" s="117" t="s">
        <v>223</v>
      </c>
      <c r="G171" s="117" t="s">
        <v>689</v>
      </c>
      <c r="H171" s="117" t="s">
        <v>529</v>
      </c>
      <c r="I171" s="117" t="s">
        <v>1015</v>
      </c>
      <c r="J171" s="118">
        <v>4.42</v>
      </c>
      <c r="K171" s="118" t="s">
        <v>257</v>
      </c>
      <c r="L171" s="117">
        <v>2.8900000000000002E-2</v>
      </c>
      <c r="M171" s="117">
        <v>3.5200000000000002E-2</v>
      </c>
      <c r="N171" s="70">
        <v>249034.27805732621</v>
      </c>
      <c r="O171" s="61">
        <v>101.01</v>
      </c>
      <c r="P171" s="85">
        <v>0</v>
      </c>
      <c r="Q171" s="85">
        <v>251.54952</v>
      </c>
      <c r="R171" s="25">
        <v>1.2451713902866311E-3</v>
      </c>
      <c r="S171" s="25">
        <v>1.3259624705624085E-3</v>
      </c>
      <c r="T171" s="25">
        <v>4.6936273833316855E-4</v>
      </c>
    </row>
    <row r="172" spans="1:20" x14ac:dyDescent="0.25">
      <c r="A172" s="17" t="s">
        <v>3058</v>
      </c>
      <c r="B172" s="117" t="s">
        <v>522</v>
      </c>
      <c r="C172" s="117" t="s">
        <v>410</v>
      </c>
      <c r="D172" s="117" t="s">
        <v>251</v>
      </c>
      <c r="E172" s="117" t="s">
        <v>523</v>
      </c>
      <c r="F172" s="117" t="s">
        <v>223</v>
      </c>
      <c r="G172" s="117" t="s">
        <v>524</v>
      </c>
      <c r="H172" s="117" t="s">
        <v>256</v>
      </c>
      <c r="I172" s="117" t="s">
        <v>521</v>
      </c>
      <c r="J172" s="118">
        <v>1.2</v>
      </c>
      <c r="K172" s="118" t="s">
        <v>257</v>
      </c>
      <c r="L172" s="117">
        <v>4.9500000000000002E-2</v>
      </c>
      <c r="M172" s="117">
        <v>6.1600000000000002E-2</v>
      </c>
      <c r="N172" s="70">
        <v>593992.61273436144</v>
      </c>
      <c r="O172" s="61">
        <v>134.31</v>
      </c>
      <c r="P172" s="85">
        <v>0</v>
      </c>
      <c r="Q172" s="85">
        <v>797.79147999999998</v>
      </c>
      <c r="R172" s="25">
        <v>9.0172034933651789E-4</v>
      </c>
      <c r="S172" s="25">
        <v>4.2053014524314749E-3</v>
      </c>
      <c r="T172" s="25">
        <v>1.4885879872546417E-3</v>
      </c>
    </row>
    <row r="173" spans="1:20" x14ac:dyDescent="0.25">
      <c r="A173" s="17" t="s">
        <v>1033</v>
      </c>
      <c r="B173" s="117" t="s">
        <v>1034</v>
      </c>
      <c r="C173" s="117" t="s">
        <v>410</v>
      </c>
      <c r="D173" s="117" t="s">
        <v>251</v>
      </c>
      <c r="E173" s="117" t="s">
        <v>523</v>
      </c>
      <c r="F173" s="117" t="s">
        <v>223</v>
      </c>
      <c r="G173" s="117" t="s">
        <v>689</v>
      </c>
      <c r="H173" s="117" t="s">
        <v>529</v>
      </c>
      <c r="I173" s="117" t="s">
        <v>439</v>
      </c>
      <c r="J173" s="118">
        <v>3.77</v>
      </c>
      <c r="K173" s="118" t="s">
        <v>257</v>
      </c>
      <c r="L173" s="117">
        <v>2.8500000000000001E-2</v>
      </c>
      <c r="M173" s="117">
        <v>0.05</v>
      </c>
      <c r="N173" s="70">
        <v>643.99648346538436</v>
      </c>
      <c r="O173" s="61">
        <v>104.62</v>
      </c>
      <c r="P173" s="85">
        <v>0</v>
      </c>
      <c r="Q173" s="85">
        <v>0.67374999999999996</v>
      </c>
      <c r="R173" s="25">
        <v>1.048222542548276E-5</v>
      </c>
      <c r="S173" s="25">
        <v>3.5514566457587467E-6</v>
      </c>
      <c r="T173" s="25">
        <v>1.2571407210475787E-6</v>
      </c>
    </row>
    <row r="174" spans="1:20" x14ac:dyDescent="0.25">
      <c r="A174" s="17" t="s">
        <v>1016</v>
      </c>
      <c r="B174" s="117" t="s">
        <v>1017</v>
      </c>
      <c r="C174" s="117" t="s">
        <v>410</v>
      </c>
      <c r="D174" s="117" t="s">
        <v>251</v>
      </c>
      <c r="E174" s="117" t="s">
        <v>523</v>
      </c>
      <c r="F174" s="117" t="s">
        <v>223</v>
      </c>
      <c r="G174" s="117" t="s">
        <v>524</v>
      </c>
      <c r="H174" s="117" t="s">
        <v>256</v>
      </c>
      <c r="I174" s="117" t="s">
        <v>1018</v>
      </c>
      <c r="J174" s="118">
        <v>4.74</v>
      </c>
      <c r="K174" s="118" t="s">
        <v>257</v>
      </c>
      <c r="L174" s="117">
        <v>3.6200000000000003E-2</v>
      </c>
      <c r="M174" s="117">
        <v>4.5100000000000001E-2</v>
      </c>
      <c r="N174" s="70">
        <v>1914386.2417919016</v>
      </c>
      <c r="O174" s="61">
        <v>99.56</v>
      </c>
      <c r="P174" s="85">
        <v>0</v>
      </c>
      <c r="Q174" s="85">
        <v>1905.9629399999999</v>
      </c>
      <c r="R174" s="25">
        <v>1.0771925242953713E-3</v>
      </c>
      <c r="S174" s="25">
        <v>1.0046671242794626E-2</v>
      </c>
      <c r="T174" s="25">
        <v>3.5563096470227276E-3</v>
      </c>
    </row>
    <row r="175" spans="1:20" x14ac:dyDescent="0.25">
      <c r="A175" s="17" t="s">
        <v>547</v>
      </c>
      <c r="B175" s="117" t="s">
        <v>548</v>
      </c>
      <c r="C175" s="117" t="s">
        <v>410</v>
      </c>
      <c r="D175" s="117" t="s">
        <v>251</v>
      </c>
      <c r="E175" s="117" t="s">
        <v>549</v>
      </c>
      <c r="F175" s="117" t="s">
        <v>226</v>
      </c>
      <c r="G175" s="117" t="s">
        <v>524</v>
      </c>
      <c r="H175" s="117" t="s">
        <v>256</v>
      </c>
      <c r="I175" s="117" t="s">
        <v>550</v>
      </c>
      <c r="J175" s="118">
        <v>0.99</v>
      </c>
      <c r="K175" s="118" t="s">
        <v>257</v>
      </c>
      <c r="L175" s="117">
        <v>4.3400000000000001E-2</v>
      </c>
      <c r="M175" s="117">
        <v>3.85E-2</v>
      </c>
      <c r="N175" s="70">
        <v>333.08487417727667</v>
      </c>
      <c r="O175" s="61">
        <v>111.83000000000001</v>
      </c>
      <c r="P175" s="85">
        <v>8.0443751760000005E-3</v>
      </c>
      <c r="Q175" s="85">
        <v>0.38052999999999998</v>
      </c>
      <c r="R175" s="25">
        <v>3.8287400022001331E-7</v>
      </c>
      <c r="S175" s="25">
        <v>2.0058416288097598E-6</v>
      </c>
      <c r="T175" s="25">
        <v>7.1002561570350294E-7</v>
      </c>
    </row>
    <row r="176" spans="1:20" x14ac:dyDescent="0.25">
      <c r="A176" s="17" t="s">
        <v>583</v>
      </c>
      <c r="B176" s="117" t="s">
        <v>584</v>
      </c>
      <c r="C176" s="117" t="s">
        <v>410</v>
      </c>
      <c r="D176" s="117" t="s">
        <v>251</v>
      </c>
      <c r="E176" s="117" t="s">
        <v>549</v>
      </c>
      <c r="F176" s="117" t="s">
        <v>226</v>
      </c>
      <c r="G176" s="117" t="s">
        <v>524</v>
      </c>
      <c r="H176" s="117" t="s">
        <v>256</v>
      </c>
      <c r="I176" s="117" t="s">
        <v>585</v>
      </c>
      <c r="J176" s="118">
        <v>3.56</v>
      </c>
      <c r="K176" s="118" t="s">
        <v>257</v>
      </c>
      <c r="L176" s="117">
        <v>3.9E-2</v>
      </c>
      <c r="M176" s="117">
        <v>4.4400000000000002E-2</v>
      </c>
      <c r="N176" s="70">
        <v>1050364.6081028138</v>
      </c>
      <c r="O176" s="61">
        <v>111.7</v>
      </c>
      <c r="P176" s="85">
        <v>0</v>
      </c>
      <c r="Q176" s="85">
        <v>1173.2572700000001</v>
      </c>
      <c r="R176" s="25">
        <v>7.1340321305452296E-4</v>
      </c>
      <c r="S176" s="25">
        <v>6.1844487253822104E-3</v>
      </c>
      <c r="T176" s="25">
        <v>2.1891643642035085E-3</v>
      </c>
    </row>
    <row r="177" spans="1:20" x14ac:dyDescent="0.25">
      <c r="A177" s="17" t="s">
        <v>800</v>
      </c>
      <c r="B177" s="117" t="s">
        <v>801</v>
      </c>
      <c r="C177" s="117" t="s">
        <v>410</v>
      </c>
      <c r="D177" s="117" t="s">
        <v>251</v>
      </c>
      <c r="E177" s="117" t="s">
        <v>549</v>
      </c>
      <c r="F177" s="117" t="s">
        <v>226</v>
      </c>
      <c r="G177" s="117" t="s">
        <v>524</v>
      </c>
      <c r="H177" s="117" t="s">
        <v>256</v>
      </c>
      <c r="I177" s="117" t="s">
        <v>802</v>
      </c>
      <c r="J177" s="118">
        <v>4.6399999999999997</v>
      </c>
      <c r="K177" s="118" t="s">
        <v>257</v>
      </c>
      <c r="L177" s="117">
        <v>3.2500000000000001E-2</v>
      </c>
      <c r="M177" s="117">
        <v>4.5100000000000001E-2</v>
      </c>
      <c r="N177" s="70">
        <v>335368.22456330835</v>
      </c>
      <c r="O177" s="61">
        <v>105.39</v>
      </c>
      <c r="P177" s="85">
        <v>6.0719390249999998</v>
      </c>
      <c r="Q177" s="85">
        <v>359.51650999999998</v>
      </c>
      <c r="R177" s="25">
        <v>8.4814708031986355E-4</v>
      </c>
      <c r="S177" s="25">
        <v>1.8950757680140868E-3</v>
      </c>
      <c r="T177" s="25">
        <v>6.7081683801099672E-4</v>
      </c>
    </row>
    <row r="178" spans="1:20" x14ac:dyDescent="0.25">
      <c r="A178" s="17" t="s">
        <v>1061</v>
      </c>
      <c r="B178" s="117" t="s">
        <v>1062</v>
      </c>
      <c r="C178" s="117" t="s">
        <v>410</v>
      </c>
      <c r="D178" s="117" t="s">
        <v>251</v>
      </c>
      <c r="E178" s="117" t="s">
        <v>1059</v>
      </c>
      <c r="F178" s="117" t="s">
        <v>226</v>
      </c>
      <c r="G178" s="117" t="s">
        <v>574</v>
      </c>
      <c r="H178" s="117" t="s">
        <v>529</v>
      </c>
      <c r="I178" s="117" t="s">
        <v>1063</v>
      </c>
      <c r="J178" s="118">
        <v>3.69</v>
      </c>
      <c r="K178" s="118" t="s">
        <v>257</v>
      </c>
      <c r="L178" s="117">
        <v>3.85E-2</v>
      </c>
      <c r="M178" s="117">
        <v>4.3299999999999998E-2</v>
      </c>
      <c r="N178" s="70">
        <v>12622.11242054365</v>
      </c>
      <c r="O178" s="61">
        <v>101.63</v>
      </c>
      <c r="P178" s="85">
        <v>0</v>
      </c>
      <c r="Q178" s="85">
        <v>12.82785</v>
      </c>
      <c r="R178" s="25">
        <v>1.0380026661631291E-4</v>
      </c>
      <c r="S178" s="25">
        <v>6.761788962270329E-5</v>
      </c>
      <c r="T178" s="25">
        <v>2.3935306268631069E-5</v>
      </c>
    </row>
    <row r="179" spans="1:20" x14ac:dyDescent="0.25">
      <c r="A179" s="17" t="s">
        <v>3059</v>
      </c>
      <c r="B179" s="117" t="s">
        <v>1058</v>
      </c>
      <c r="C179" s="117" t="s">
        <v>410</v>
      </c>
      <c r="D179" s="117" t="s">
        <v>251</v>
      </c>
      <c r="E179" s="117" t="s">
        <v>1059</v>
      </c>
      <c r="F179" s="117" t="s">
        <v>226</v>
      </c>
      <c r="G179" s="117" t="s">
        <v>574</v>
      </c>
      <c r="H179" s="117" t="s">
        <v>529</v>
      </c>
      <c r="I179" s="117" t="s">
        <v>1060</v>
      </c>
      <c r="J179" s="118">
        <v>0</v>
      </c>
      <c r="K179" s="118" t="s">
        <v>257</v>
      </c>
      <c r="L179" s="117">
        <v>3.85E-2</v>
      </c>
      <c r="M179" s="117">
        <v>4.2699999999999995E-2</v>
      </c>
      <c r="N179" s="70">
        <v>134299.27615458443</v>
      </c>
      <c r="O179" s="61">
        <v>101.63</v>
      </c>
      <c r="P179" s="85">
        <v>0</v>
      </c>
      <c r="Q179" s="85">
        <v>136.48835</v>
      </c>
      <c r="R179" s="25">
        <v>1.1044348367975692E-3</v>
      </c>
      <c r="S179" s="25">
        <v>7.1945448263620901E-4</v>
      </c>
      <c r="T179" s="25">
        <v>2.5467170721127168E-4</v>
      </c>
    </row>
    <row r="180" spans="1:20" x14ac:dyDescent="0.25">
      <c r="A180" s="17" t="s">
        <v>790</v>
      </c>
      <c r="B180" s="117" t="s">
        <v>791</v>
      </c>
      <c r="C180" s="117" t="s">
        <v>410</v>
      </c>
      <c r="D180" s="117" t="s">
        <v>251</v>
      </c>
      <c r="E180" s="117" t="s">
        <v>792</v>
      </c>
      <c r="F180" s="117" t="s">
        <v>225</v>
      </c>
      <c r="G180" s="117" t="s">
        <v>793</v>
      </c>
      <c r="H180" s="117" t="s">
        <v>256</v>
      </c>
      <c r="I180" s="117" t="s">
        <v>794</v>
      </c>
      <c r="J180" s="118">
        <v>3.57</v>
      </c>
      <c r="K180" s="118" t="s">
        <v>257</v>
      </c>
      <c r="L180" s="117">
        <v>2.75E-2</v>
      </c>
      <c r="M180" s="117">
        <v>3.9599999999999996E-2</v>
      </c>
      <c r="N180" s="70">
        <v>84511.940286558412</v>
      </c>
      <c r="O180" s="61">
        <v>106.24</v>
      </c>
      <c r="P180" s="85">
        <v>3.162721951</v>
      </c>
      <c r="Q180" s="85">
        <v>91.322570000000013</v>
      </c>
      <c r="R180" s="25">
        <v>9.5099763039875444E-5</v>
      </c>
      <c r="S180" s="25">
        <v>4.8137758535698457E-4</v>
      </c>
      <c r="T180" s="25">
        <v>1.7039750871646454E-4</v>
      </c>
    </row>
    <row r="181" spans="1:20" x14ac:dyDescent="0.25">
      <c r="A181" s="17" t="s">
        <v>813</v>
      </c>
      <c r="B181" s="117" t="s">
        <v>814</v>
      </c>
      <c r="C181" s="117" t="s">
        <v>410</v>
      </c>
      <c r="D181" s="117" t="s">
        <v>251</v>
      </c>
      <c r="E181" s="117" t="s">
        <v>815</v>
      </c>
      <c r="F181" s="117" t="s">
        <v>228</v>
      </c>
      <c r="G181" s="117" t="s">
        <v>793</v>
      </c>
      <c r="H181" s="117" t="s">
        <v>256</v>
      </c>
      <c r="I181" s="117" t="s">
        <v>812</v>
      </c>
      <c r="J181" s="118">
        <v>3.18</v>
      </c>
      <c r="K181" s="118" t="s">
        <v>257</v>
      </c>
      <c r="L181" s="117">
        <v>2.8799999999999999E-2</v>
      </c>
      <c r="M181" s="117">
        <v>3.78E-2</v>
      </c>
      <c r="N181" s="70">
        <v>287456.12862335122</v>
      </c>
      <c r="O181" s="61">
        <v>108.32</v>
      </c>
      <c r="P181" s="85">
        <v>4.6073639670000004</v>
      </c>
      <c r="Q181" s="85">
        <v>315.97984000000002</v>
      </c>
      <c r="R181" s="25">
        <v>1.1384401133598069E-3</v>
      </c>
      <c r="S181" s="25">
        <v>1.6655862006586799E-3</v>
      </c>
      <c r="T181" s="25">
        <v>5.8958237312667697E-4</v>
      </c>
    </row>
    <row r="182" spans="1:20" x14ac:dyDescent="0.25">
      <c r="A182" s="17" t="s">
        <v>571</v>
      </c>
      <c r="B182" s="117" t="s">
        <v>572</v>
      </c>
      <c r="C182" s="117" t="s">
        <v>410</v>
      </c>
      <c r="D182" s="117" t="s">
        <v>251</v>
      </c>
      <c r="E182" s="117" t="s">
        <v>573</v>
      </c>
      <c r="F182" s="117" t="s">
        <v>224</v>
      </c>
      <c r="G182" s="117" t="s">
        <v>574</v>
      </c>
      <c r="H182" s="117" t="s">
        <v>529</v>
      </c>
      <c r="I182" s="117" t="s">
        <v>575</v>
      </c>
      <c r="J182" s="118">
        <v>2.4</v>
      </c>
      <c r="K182" s="118" t="s">
        <v>257</v>
      </c>
      <c r="L182" s="117">
        <v>0.04</v>
      </c>
      <c r="M182" s="117">
        <v>7.3700000000000002E-2</v>
      </c>
      <c r="N182" s="70">
        <v>465402.35094605811</v>
      </c>
      <c r="O182" s="61">
        <v>103.93</v>
      </c>
      <c r="P182" s="85">
        <v>0</v>
      </c>
      <c r="Q182" s="85">
        <v>483.69265999999999</v>
      </c>
      <c r="R182" s="25">
        <v>1.7931109999917553E-4</v>
      </c>
      <c r="S182" s="25">
        <v>2.5496304443216708E-3</v>
      </c>
      <c r="T182" s="25">
        <v>9.0251538309138598E-4</v>
      </c>
    </row>
    <row r="183" spans="1:20" x14ac:dyDescent="0.25">
      <c r="A183" s="17" t="s">
        <v>709</v>
      </c>
      <c r="B183" s="117" t="s">
        <v>710</v>
      </c>
      <c r="C183" s="117" t="s">
        <v>410</v>
      </c>
      <c r="D183" s="117" t="s">
        <v>251</v>
      </c>
      <c r="E183" s="117" t="s">
        <v>573</v>
      </c>
      <c r="F183" s="117" t="s">
        <v>224</v>
      </c>
      <c r="G183" s="117" t="s">
        <v>574</v>
      </c>
      <c r="H183" s="117" t="s">
        <v>529</v>
      </c>
      <c r="I183" s="117" t="s">
        <v>711</v>
      </c>
      <c r="J183" s="118">
        <v>3.08</v>
      </c>
      <c r="K183" s="118" t="s">
        <v>257</v>
      </c>
      <c r="L183" s="117">
        <v>2.7799999999999998E-2</v>
      </c>
      <c r="M183" s="117">
        <v>7.6600000000000001E-2</v>
      </c>
      <c r="N183" s="70">
        <v>79806.129395924159</v>
      </c>
      <c r="O183" s="61">
        <v>99.89</v>
      </c>
      <c r="P183" s="85">
        <v>0</v>
      </c>
      <c r="Q183" s="85">
        <v>79.718339999999998</v>
      </c>
      <c r="R183" s="25">
        <v>5.6835058988870904E-5</v>
      </c>
      <c r="S183" s="25">
        <v>4.2020961540906171E-4</v>
      </c>
      <c r="T183" s="25">
        <v>1.4874533792699968E-4</v>
      </c>
    </row>
    <row r="184" spans="1:20" x14ac:dyDescent="0.25">
      <c r="A184" s="17" t="s">
        <v>775</v>
      </c>
      <c r="B184" s="117" t="s">
        <v>776</v>
      </c>
      <c r="C184" s="117" t="s">
        <v>410</v>
      </c>
      <c r="D184" s="117" t="s">
        <v>251</v>
      </c>
      <c r="E184" s="117" t="s">
        <v>573</v>
      </c>
      <c r="F184" s="117" t="s">
        <v>224</v>
      </c>
      <c r="G184" s="117" t="s">
        <v>574</v>
      </c>
      <c r="H184" s="117" t="s">
        <v>529</v>
      </c>
      <c r="I184" s="117" t="s">
        <v>777</v>
      </c>
      <c r="J184" s="118">
        <v>4.9400000000000004</v>
      </c>
      <c r="K184" s="118" t="s">
        <v>257</v>
      </c>
      <c r="L184" s="117">
        <v>1.29E-2</v>
      </c>
      <c r="M184" s="117">
        <v>7.1500000000000008E-2</v>
      </c>
      <c r="N184" s="70">
        <v>126544.91168209325</v>
      </c>
      <c r="O184" s="61">
        <v>85.02</v>
      </c>
      <c r="P184" s="85">
        <v>26.710148088999997</v>
      </c>
      <c r="Q184" s="85">
        <v>114.73708999999999</v>
      </c>
      <c r="R184" s="25">
        <v>1.5386638066637386E-4</v>
      </c>
      <c r="S184" s="25">
        <v>6.0479970433472265E-4</v>
      </c>
      <c r="T184" s="25">
        <v>2.1408633477328523E-4</v>
      </c>
    </row>
    <row r="185" spans="1:20" x14ac:dyDescent="0.25">
      <c r="A185" s="17" t="s">
        <v>954</v>
      </c>
      <c r="B185" s="117" t="s">
        <v>955</v>
      </c>
      <c r="C185" s="117" t="s">
        <v>410</v>
      </c>
      <c r="D185" s="117" t="s">
        <v>251</v>
      </c>
      <c r="E185" s="117" t="s">
        <v>956</v>
      </c>
      <c r="F185" s="117" t="s">
        <v>225</v>
      </c>
      <c r="G185" s="117" t="s">
        <v>574</v>
      </c>
      <c r="H185" s="117" t="s">
        <v>529</v>
      </c>
      <c r="I185" s="117" t="s">
        <v>957</v>
      </c>
      <c r="J185" s="118">
        <v>4.1900000000000004</v>
      </c>
      <c r="K185" s="118" t="s">
        <v>257</v>
      </c>
      <c r="L185" s="117">
        <v>1.8000000000000002E-2</v>
      </c>
      <c r="M185" s="117">
        <v>3.8699999999999998E-2</v>
      </c>
      <c r="N185" s="70">
        <v>1031343.232161816</v>
      </c>
      <c r="O185" s="61">
        <v>102.19</v>
      </c>
      <c r="P185" s="85">
        <v>63.110672210000004</v>
      </c>
      <c r="Q185" s="85">
        <v>1068.5837900000001</v>
      </c>
      <c r="R185" s="25">
        <v>9.8661715541666388E-4</v>
      </c>
      <c r="S185" s="25">
        <v>5.6326961076743143E-3</v>
      </c>
      <c r="T185" s="25">
        <v>1.9938555788650901E-3</v>
      </c>
    </row>
    <row r="186" spans="1:20" x14ac:dyDescent="0.25">
      <c r="A186" s="17" t="s">
        <v>1064</v>
      </c>
      <c r="B186" s="117" t="s">
        <v>1065</v>
      </c>
      <c r="C186" s="117" t="s">
        <v>410</v>
      </c>
      <c r="D186" s="117" t="s">
        <v>251</v>
      </c>
      <c r="E186" s="117" t="s">
        <v>956</v>
      </c>
      <c r="F186" s="117" t="s">
        <v>225</v>
      </c>
      <c r="G186" s="117" t="s">
        <v>574</v>
      </c>
      <c r="H186" s="117" t="s">
        <v>529</v>
      </c>
      <c r="I186" s="117" t="s">
        <v>1066</v>
      </c>
      <c r="J186" s="118">
        <v>6.46</v>
      </c>
      <c r="K186" s="118" t="s">
        <v>257</v>
      </c>
      <c r="L186" s="117">
        <v>3.3000000000000002E-2</v>
      </c>
      <c r="M186" s="117">
        <v>4.2000000000000003E-2</v>
      </c>
      <c r="N186" s="70">
        <v>656349.8458682698</v>
      </c>
      <c r="O186" s="61">
        <v>97.42</v>
      </c>
      <c r="P186" s="85">
        <v>30.517630519999997</v>
      </c>
      <c r="Q186" s="85">
        <v>653.94825000000003</v>
      </c>
      <c r="R186" s="25">
        <v>1.1219655484927689E-3</v>
      </c>
      <c r="S186" s="25">
        <v>3.4470780830349571E-3</v>
      </c>
      <c r="T186" s="25">
        <v>1.2201929121080553E-3</v>
      </c>
    </row>
    <row r="187" spans="1:20" x14ac:dyDescent="0.25">
      <c r="A187" s="17" t="s">
        <v>816</v>
      </c>
      <c r="B187" s="117" t="s">
        <v>817</v>
      </c>
      <c r="C187" s="117" t="s">
        <v>410</v>
      </c>
      <c r="D187" s="117" t="s">
        <v>251</v>
      </c>
      <c r="E187" s="117" t="s">
        <v>818</v>
      </c>
      <c r="F187" s="117" t="s">
        <v>223</v>
      </c>
      <c r="G187" s="117" t="s">
        <v>793</v>
      </c>
      <c r="H187" s="117" t="s">
        <v>256</v>
      </c>
      <c r="I187" s="117" t="s">
        <v>819</v>
      </c>
      <c r="J187" s="118">
        <v>2.25</v>
      </c>
      <c r="K187" s="118" t="s">
        <v>257</v>
      </c>
      <c r="L187" s="117">
        <v>1E-3</v>
      </c>
      <c r="M187" s="117">
        <v>3.3300000000000003E-2</v>
      </c>
      <c r="N187" s="70">
        <v>232494.38816257002</v>
      </c>
      <c r="O187" s="61">
        <v>103.63</v>
      </c>
      <c r="P187" s="85">
        <v>0</v>
      </c>
      <c r="Q187" s="85">
        <v>240.93393</v>
      </c>
      <c r="R187" s="25">
        <v>4.1054261475617599E-4</v>
      </c>
      <c r="S187" s="25">
        <v>1.2700057987195142E-3</v>
      </c>
      <c r="T187" s="25">
        <v>4.4955525712063357E-4</v>
      </c>
    </row>
    <row r="188" spans="1:20" x14ac:dyDescent="0.25">
      <c r="A188" s="17" t="s">
        <v>964</v>
      </c>
      <c r="B188" s="117" t="s">
        <v>965</v>
      </c>
      <c r="C188" s="117" t="s">
        <v>410</v>
      </c>
      <c r="D188" s="117" t="s">
        <v>251</v>
      </c>
      <c r="E188" s="117" t="s">
        <v>818</v>
      </c>
      <c r="F188" s="117" t="s">
        <v>223</v>
      </c>
      <c r="G188" s="117" t="s">
        <v>793</v>
      </c>
      <c r="H188" s="117" t="s">
        <v>256</v>
      </c>
      <c r="I188" s="117" t="s">
        <v>966</v>
      </c>
      <c r="J188" s="118">
        <v>3.49</v>
      </c>
      <c r="K188" s="118" t="s">
        <v>257</v>
      </c>
      <c r="L188" s="117">
        <v>3.0000000000000001E-3</v>
      </c>
      <c r="M188" s="117">
        <v>3.9599999999999996E-2</v>
      </c>
      <c r="N188" s="70">
        <v>377471.8452038102</v>
      </c>
      <c r="O188" s="61">
        <v>94.81</v>
      </c>
      <c r="P188" s="85">
        <v>0.60830407790000007</v>
      </c>
      <c r="Q188" s="85">
        <v>358.48935999999998</v>
      </c>
      <c r="R188" s="25">
        <v>7.4217822493867513E-4</v>
      </c>
      <c r="S188" s="25">
        <v>1.8896614768175136E-3</v>
      </c>
      <c r="T188" s="25">
        <v>6.689002931625751E-4</v>
      </c>
    </row>
    <row r="189" spans="1:20" x14ac:dyDescent="0.25">
      <c r="A189" s="17" t="s">
        <v>1007</v>
      </c>
      <c r="B189" s="117" t="s">
        <v>1008</v>
      </c>
      <c r="C189" s="117" t="s">
        <v>410</v>
      </c>
      <c r="D189" s="117" t="s">
        <v>251</v>
      </c>
      <c r="E189" s="117" t="s">
        <v>818</v>
      </c>
      <c r="F189" s="117" t="s">
        <v>223</v>
      </c>
      <c r="G189" s="117" t="s">
        <v>793</v>
      </c>
      <c r="H189" s="117" t="s">
        <v>256</v>
      </c>
      <c r="I189" s="117" t="s">
        <v>1009</v>
      </c>
      <c r="J189" s="118">
        <v>2.99</v>
      </c>
      <c r="K189" s="118" t="s">
        <v>257</v>
      </c>
      <c r="L189" s="117">
        <v>3.0000000000000001E-3</v>
      </c>
      <c r="M189" s="117">
        <v>3.9599999999999996E-2</v>
      </c>
      <c r="N189" s="70">
        <v>250973.03452512171</v>
      </c>
      <c r="O189" s="61">
        <v>92.74</v>
      </c>
      <c r="P189" s="85">
        <v>0.38867614099999998</v>
      </c>
      <c r="Q189" s="85">
        <v>233.14107000000001</v>
      </c>
      <c r="R189" s="25">
        <v>9.3046021771816894E-4</v>
      </c>
      <c r="S189" s="25">
        <v>1.2289282411143676E-3</v>
      </c>
      <c r="T189" s="25">
        <v>4.3501466841648092E-4</v>
      </c>
    </row>
    <row r="190" spans="1:20" x14ac:dyDescent="0.25">
      <c r="A190" s="17" t="s">
        <v>948</v>
      </c>
      <c r="B190" s="117" t="s">
        <v>949</v>
      </c>
      <c r="C190" s="117" t="s">
        <v>410</v>
      </c>
      <c r="D190" s="117" t="s">
        <v>251</v>
      </c>
      <c r="E190" s="117" t="s">
        <v>950</v>
      </c>
      <c r="F190" s="117" t="s">
        <v>226</v>
      </c>
      <c r="G190" s="117" t="s">
        <v>574</v>
      </c>
      <c r="H190" s="117" t="s">
        <v>529</v>
      </c>
      <c r="I190" s="117" t="s">
        <v>947</v>
      </c>
      <c r="J190" s="118">
        <v>4.05</v>
      </c>
      <c r="K190" s="118" t="s">
        <v>257</v>
      </c>
      <c r="L190" s="117">
        <v>1.5700000000000002E-2</v>
      </c>
      <c r="M190" s="117">
        <v>5.5800000000000002E-2</v>
      </c>
      <c r="N190" s="70">
        <v>258713.58030893488</v>
      </c>
      <c r="O190" s="61">
        <v>93.79</v>
      </c>
      <c r="P190" s="85">
        <v>0</v>
      </c>
      <c r="Q190" s="85">
        <v>242.64747</v>
      </c>
      <c r="R190" s="25">
        <v>5.6144005445056555E-4</v>
      </c>
      <c r="S190" s="25">
        <v>1.2790381742605508E-3</v>
      </c>
      <c r="T190" s="25">
        <v>4.5275252748967824E-4</v>
      </c>
    </row>
    <row r="191" spans="1:20" x14ac:dyDescent="0.25">
      <c r="A191" s="17" t="s">
        <v>984</v>
      </c>
      <c r="B191" s="117" t="s">
        <v>985</v>
      </c>
      <c r="C191" s="117" t="s">
        <v>410</v>
      </c>
      <c r="D191" s="117" t="s">
        <v>251</v>
      </c>
      <c r="E191" s="117" t="s">
        <v>986</v>
      </c>
      <c r="F191" s="117" t="s">
        <v>205</v>
      </c>
      <c r="G191" s="117" t="s">
        <v>574</v>
      </c>
      <c r="H191" s="117" t="s">
        <v>529</v>
      </c>
      <c r="I191" s="117" t="s">
        <v>987</v>
      </c>
      <c r="J191" s="118">
        <v>4.04</v>
      </c>
      <c r="K191" s="118" t="s">
        <v>257</v>
      </c>
      <c r="L191" s="117">
        <v>3.3000000000000002E-2</v>
      </c>
      <c r="M191" s="117">
        <v>4.7400000000000005E-2</v>
      </c>
      <c r="N191" s="70">
        <v>251687.09266897672</v>
      </c>
      <c r="O191" s="61">
        <v>99.9</v>
      </c>
      <c r="P191" s="85">
        <v>0</v>
      </c>
      <c r="Q191" s="85">
        <v>251.43540999999999</v>
      </c>
      <c r="R191" s="25">
        <v>9.6802727949606431E-4</v>
      </c>
      <c r="S191" s="25">
        <v>1.3253609763615216E-3</v>
      </c>
      <c r="T191" s="25">
        <v>4.6914982207687357E-4</v>
      </c>
    </row>
    <row r="192" spans="1:20" x14ac:dyDescent="0.25">
      <c r="A192" s="17" t="s">
        <v>1053</v>
      </c>
      <c r="B192" s="117" t="s">
        <v>1054</v>
      </c>
      <c r="C192" s="117" t="s">
        <v>410</v>
      </c>
      <c r="D192" s="117" t="s">
        <v>251</v>
      </c>
      <c r="E192" s="117" t="s">
        <v>1055</v>
      </c>
      <c r="F192" s="117" t="s">
        <v>223</v>
      </c>
      <c r="G192" s="117" t="s">
        <v>1056</v>
      </c>
      <c r="H192" s="117" t="s">
        <v>256</v>
      </c>
      <c r="I192" s="117" t="s">
        <v>1057</v>
      </c>
      <c r="J192" s="118">
        <v>4.1900000000000004</v>
      </c>
      <c r="K192" s="118" t="s">
        <v>257</v>
      </c>
      <c r="L192" s="117">
        <v>9.3999999999999986E-3</v>
      </c>
      <c r="M192" s="117">
        <v>5.8200000000000002E-2</v>
      </c>
      <c r="N192" s="70">
        <v>138985.67968906846</v>
      </c>
      <c r="O192" s="61">
        <v>89.04</v>
      </c>
      <c r="P192" s="85">
        <v>0</v>
      </c>
      <c r="Q192" s="85">
        <v>123.75285000000001</v>
      </c>
      <c r="R192" s="25">
        <v>3.3941994649083827E-4</v>
      </c>
      <c r="S192" s="25">
        <v>6.5232338636598934E-4</v>
      </c>
      <c r="T192" s="25">
        <v>2.309087155186536E-4</v>
      </c>
    </row>
    <row r="193" spans="1:20" x14ac:dyDescent="0.25">
      <c r="A193" s="17" t="s">
        <v>3060</v>
      </c>
      <c r="B193" s="117" t="s">
        <v>518</v>
      </c>
      <c r="C193" s="117" t="s">
        <v>410</v>
      </c>
      <c r="D193" s="117" t="s">
        <v>251</v>
      </c>
      <c r="E193" s="117" t="s">
        <v>519</v>
      </c>
      <c r="F193" s="117" t="s">
        <v>228</v>
      </c>
      <c r="G193" s="117" t="s">
        <v>520</v>
      </c>
      <c r="H193" s="117" t="s">
        <v>256</v>
      </c>
      <c r="I193" s="117" t="s">
        <v>521</v>
      </c>
      <c r="J193" s="118">
        <v>1.1499999999999999</v>
      </c>
      <c r="K193" s="118" t="s">
        <v>257</v>
      </c>
      <c r="L193" s="117">
        <v>4.9500000000000002E-2</v>
      </c>
      <c r="M193" s="117">
        <v>0.1242</v>
      </c>
      <c r="N193" s="70">
        <v>298748.50947756565</v>
      </c>
      <c r="O193" s="61">
        <v>128.6</v>
      </c>
      <c r="P193" s="85">
        <v>0</v>
      </c>
      <c r="Q193" s="85">
        <v>384.19058000000001</v>
      </c>
      <c r="R193" s="25">
        <v>5.4282086512204145E-4</v>
      </c>
      <c r="S193" s="25">
        <v>2.0251372001171167E-3</v>
      </c>
      <c r="T193" s="25">
        <v>7.1685584083248607E-4</v>
      </c>
    </row>
    <row r="194" spans="1:20" x14ac:dyDescent="0.25">
      <c r="A194" s="17" t="s">
        <v>974</v>
      </c>
      <c r="B194" s="117" t="s">
        <v>975</v>
      </c>
      <c r="C194" s="117" t="s">
        <v>410</v>
      </c>
      <c r="D194" s="117" t="s">
        <v>251</v>
      </c>
      <c r="E194" s="117" t="s">
        <v>976</v>
      </c>
      <c r="F194" s="117" t="s">
        <v>223</v>
      </c>
      <c r="G194" s="117" t="s">
        <v>533</v>
      </c>
      <c r="H194" s="117" t="s">
        <v>533</v>
      </c>
      <c r="I194" s="117" t="s">
        <v>977</v>
      </c>
      <c r="J194" s="118">
        <v>3.25</v>
      </c>
      <c r="K194" s="118" t="s">
        <v>257</v>
      </c>
      <c r="L194" s="117">
        <v>1.9E-2</v>
      </c>
      <c r="M194" s="117">
        <v>3.5499999999999997E-2</v>
      </c>
      <c r="N194" s="70">
        <v>605008.14138646645</v>
      </c>
      <c r="O194" s="61">
        <v>101.4</v>
      </c>
      <c r="P194" s="85">
        <v>15.832949461</v>
      </c>
      <c r="Q194" s="85">
        <v>620.10903000000008</v>
      </c>
      <c r="R194" s="25">
        <v>1.1294759821638661E-3</v>
      </c>
      <c r="S194" s="25">
        <v>3.268705507515414E-3</v>
      </c>
      <c r="T194" s="25">
        <v>1.157052783825328E-3</v>
      </c>
    </row>
    <row r="195" spans="1:20" x14ac:dyDescent="0.25">
      <c r="A195" s="17" t="s">
        <v>1071</v>
      </c>
      <c r="B195" s="117" t="s">
        <v>1072</v>
      </c>
      <c r="C195" s="117" t="s">
        <v>410</v>
      </c>
      <c r="D195" s="117" t="s">
        <v>251</v>
      </c>
      <c r="E195" s="117" t="s">
        <v>1073</v>
      </c>
      <c r="F195" s="117" t="s">
        <v>231</v>
      </c>
      <c r="G195" s="117" t="s">
        <v>533</v>
      </c>
      <c r="H195" s="117" t="s">
        <v>533</v>
      </c>
      <c r="I195" s="117" t="s">
        <v>1074</v>
      </c>
      <c r="J195" s="118">
        <v>3.15</v>
      </c>
      <c r="K195" s="118" t="s">
        <v>257</v>
      </c>
      <c r="L195" s="117">
        <v>1.5800000000000002E-2</v>
      </c>
      <c r="M195" s="117">
        <v>6.3299999999999995E-2</v>
      </c>
      <c r="N195" s="70">
        <v>252442.248410873</v>
      </c>
      <c r="O195" s="61">
        <v>95.09</v>
      </c>
      <c r="P195" s="85">
        <v>0</v>
      </c>
      <c r="Q195" s="85">
        <v>240.04732999999999</v>
      </c>
      <c r="R195" s="25">
        <v>2.9811766706140533E-4</v>
      </c>
      <c r="S195" s="25">
        <v>1.2653323716885238E-3</v>
      </c>
      <c r="T195" s="25">
        <v>4.4790096255546723E-4</v>
      </c>
    </row>
    <row r="196" spans="1:20" x14ac:dyDescent="0.25">
      <c r="A196" s="17" t="s">
        <v>978</v>
      </c>
      <c r="B196" s="117" t="s">
        <v>979</v>
      </c>
      <c r="C196" s="117" t="s">
        <v>410</v>
      </c>
      <c r="D196" s="117" t="s">
        <v>251</v>
      </c>
      <c r="E196" s="117" t="s">
        <v>731</v>
      </c>
      <c r="F196" s="117" t="s">
        <v>223</v>
      </c>
      <c r="G196" s="117" t="s">
        <v>533</v>
      </c>
      <c r="H196" s="117" t="s">
        <v>533</v>
      </c>
      <c r="I196" s="117" t="s">
        <v>980</v>
      </c>
      <c r="J196" s="118">
        <v>0</v>
      </c>
      <c r="K196" s="118" t="s">
        <v>257</v>
      </c>
      <c r="L196" s="117">
        <v>8.5000000000000006E-3</v>
      </c>
      <c r="M196" s="117">
        <v>3.3700000000000001E-2</v>
      </c>
      <c r="N196" s="70">
        <v>328174.9229341349</v>
      </c>
      <c r="O196" s="61">
        <v>96.359786999999997</v>
      </c>
      <c r="P196" s="85">
        <v>0</v>
      </c>
      <c r="Q196" s="85">
        <v>316.22865999999999</v>
      </c>
      <c r="R196" s="25">
        <v>5.2231370332182347E-4</v>
      </c>
      <c r="S196" s="25">
        <v>1.6668977753415703E-3</v>
      </c>
      <c r="T196" s="25">
        <v>5.9004664289173962E-4</v>
      </c>
    </row>
    <row r="197" spans="1:20" x14ac:dyDescent="0.25">
      <c r="A197" s="17" t="s">
        <v>820</v>
      </c>
      <c r="B197" s="117" t="s">
        <v>821</v>
      </c>
      <c r="C197" s="117" t="s">
        <v>410</v>
      </c>
      <c r="D197" s="117" t="s">
        <v>251</v>
      </c>
      <c r="E197" s="117" t="s">
        <v>822</v>
      </c>
      <c r="F197" s="117" t="s">
        <v>231</v>
      </c>
      <c r="G197" s="117" t="s">
        <v>533</v>
      </c>
      <c r="H197" s="117" t="s">
        <v>533</v>
      </c>
      <c r="I197" s="117" t="s">
        <v>823</v>
      </c>
      <c r="J197" s="118">
        <v>2.36</v>
      </c>
      <c r="K197" s="118" t="s">
        <v>257</v>
      </c>
      <c r="L197" s="117">
        <v>1.6500000000000001E-2</v>
      </c>
      <c r="M197" s="117">
        <v>3.6499999999999998E-2</v>
      </c>
      <c r="N197" s="70">
        <v>203775.18000209195</v>
      </c>
      <c r="O197" s="61">
        <v>106.4</v>
      </c>
      <c r="P197" s="85">
        <v>8.9273091559999997</v>
      </c>
      <c r="Q197" s="85">
        <v>218.99669</v>
      </c>
      <c r="R197" s="25">
        <v>8.0654579522248778E-4</v>
      </c>
      <c r="S197" s="25">
        <v>1.1543706866043312E-3</v>
      </c>
      <c r="T197" s="25">
        <v>4.0862286719648691E-4</v>
      </c>
    </row>
    <row r="198" spans="1:20" x14ac:dyDescent="0.25">
      <c r="A198" s="17" t="s">
        <v>970</v>
      </c>
      <c r="B198" s="117" t="s">
        <v>971</v>
      </c>
      <c r="C198" s="117" t="s">
        <v>410</v>
      </c>
      <c r="D198" s="117" t="s">
        <v>251</v>
      </c>
      <c r="E198" s="117" t="s">
        <v>972</v>
      </c>
      <c r="F198" s="117" t="s">
        <v>231</v>
      </c>
      <c r="G198" s="117" t="s">
        <v>533</v>
      </c>
      <c r="H198" s="117" t="s">
        <v>533</v>
      </c>
      <c r="I198" s="117" t="s">
        <v>973</v>
      </c>
      <c r="J198" s="118">
        <v>2.87</v>
      </c>
      <c r="K198" s="118" t="s">
        <v>257</v>
      </c>
      <c r="L198" s="117">
        <v>2.9500000000000002E-2</v>
      </c>
      <c r="M198" s="117">
        <v>5.3600000000000002E-2</v>
      </c>
      <c r="N198" s="70">
        <v>227455.51466316479</v>
      </c>
      <c r="O198" s="61">
        <v>100.70000000000002</v>
      </c>
      <c r="P198" s="85">
        <v>0</v>
      </c>
      <c r="Q198" s="85">
        <v>229.04770000000002</v>
      </c>
      <c r="R198" s="25">
        <v>1.2498860576827516E-3</v>
      </c>
      <c r="S198" s="25">
        <v>1.2073513563796003E-3</v>
      </c>
      <c r="T198" s="25">
        <v>4.2737690646722006E-4</v>
      </c>
    </row>
    <row r="199" spans="1:20" x14ac:dyDescent="0.25">
      <c r="A199" s="17" t="s">
        <v>806</v>
      </c>
      <c r="B199" s="117" t="s">
        <v>807</v>
      </c>
      <c r="C199" s="117" t="s">
        <v>410</v>
      </c>
      <c r="D199" s="117" t="s">
        <v>251</v>
      </c>
      <c r="E199" s="117" t="s">
        <v>808</v>
      </c>
      <c r="F199" s="117" t="s">
        <v>228</v>
      </c>
      <c r="G199" s="117" t="s">
        <v>533</v>
      </c>
      <c r="H199" s="117" t="s">
        <v>533</v>
      </c>
      <c r="I199" s="117" t="s">
        <v>809</v>
      </c>
      <c r="J199" s="118">
        <v>3.31</v>
      </c>
      <c r="K199" s="118" t="s">
        <v>257</v>
      </c>
      <c r="L199" s="117">
        <v>3.7000000000000005E-2</v>
      </c>
      <c r="M199" s="117">
        <v>6.5599999999999992E-2</v>
      </c>
      <c r="N199" s="70">
        <v>476066.00605329801</v>
      </c>
      <c r="O199" s="61">
        <v>102.66999999999999</v>
      </c>
      <c r="P199" s="85">
        <v>0</v>
      </c>
      <c r="Q199" s="85">
        <v>488.77696999999995</v>
      </c>
      <c r="R199" s="25">
        <v>5.4168828578825983E-4</v>
      </c>
      <c r="S199" s="25">
        <v>2.5764307508724651E-3</v>
      </c>
      <c r="T199" s="25">
        <v>9.1200212615547406E-4</v>
      </c>
    </row>
    <row r="200" spans="1:20" x14ac:dyDescent="0.25">
      <c r="A200" s="17" t="s">
        <v>880</v>
      </c>
      <c r="B200" s="117" t="s">
        <v>881</v>
      </c>
      <c r="C200" s="117" t="s">
        <v>410</v>
      </c>
      <c r="D200" s="117" t="s">
        <v>251</v>
      </c>
      <c r="E200" s="117" t="s">
        <v>808</v>
      </c>
      <c r="F200" s="117" t="s">
        <v>228</v>
      </c>
      <c r="G200" s="117" t="s">
        <v>533</v>
      </c>
      <c r="H200" s="117" t="s">
        <v>533</v>
      </c>
      <c r="I200" s="117" t="s">
        <v>882</v>
      </c>
      <c r="J200" s="118">
        <v>4.78</v>
      </c>
      <c r="K200" s="118" t="s">
        <v>257</v>
      </c>
      <c r="L200" s="117">
        <v>2.5000000000000001E-2</v>
      </c>
      <c r="M200" s="117">
        <v>6.5299999999999997E-2</v>
      </c>
      <c r="N200" s="70">
        <v>132112.59110577963</v>
      </c>
      <c r="O200" s="61">
        <v>91.65</v>
      </c>
      <c r="P200" s="85">
        <v>0</v>
      </c>
      <c r="Q200" s="85">
        <v>121.08119000000001</v>
      </c>
      <c r="R200" s="25">
        <v>9.2457548537882032E-4</v>
      </c>
      <c r="S200" s="25">
        <v>6.3824058909369569E-4</v>
      </c>
      <c r="T200" s="25">
        <v>2.2592370241469222E-4</v>
      </c>
    </row>
    <row r="201" spans="1:20" x14ac:dyDescent="0.25">
      <c r="A201" s="17" t="s">
        <v>3061</v>
      </c>
      <c r="B201" s="117" t="s">
        <v>531</v>
      </c>
      <c r="C201" s="117" t="s">
        <v>410</v>
      </c>
      <c r="D201" s="117" t="s">
        <v>251</v>
      </c>
      <c r="E201" s="117" t="s">
        <v>532</v>
      </c>
      <c r="F201" s="117" t="s">
        <v>228</v>
      </c>
      <c r="G201" s="117" t="s">
        <v>533</v>
      </c>
      <c r="H201" s="117" t="s">
        <v>533</v>
      </c>
      <c r="I201" s="117" t="s">
        <v>534</v>
      </c>
      <c r="J201" s="118">
        <v>1.66</v>
      </c>
      <c r="K201" s="118" t="s">
        <v>257</v>
      </c>
      <c r="L201" s="117">
        <v>6.3200000000000006E-2</v>
      </c>
      <c r="M201" s="117">
        <v>0.45</v>
      </c>
      <c r="N201" s="70">
        <v>469.72115969074963</v>
      </c>
      <c r="O201" s="61">
        <v>9.77</v>
      </c>
      <c r="P201" s="85">
        <v>0</v>
      </c>
      <c r="Q201" s="85">
        <v>4.589E-2</v>
      </c>
      <c r="R201" s="25">
        <v>5.4278767593842644E-6</v>
      </c>
      <c r="S201" s="25">
        <v>2.4189439031372003E-7</v>
      </c>
      <c r="T201" s="25">
        <v>8.5625510484413191E-8</v>
      </c>
    </row>
    <row r="202" spans="1:20" x14ac:dyDescent="0.25">
      <c r="A202" s="17" t="s">
        <v>539</v>
      </c>
      <c r="B202" s="117" t="s">
        <v>540</v>
      </c>
      <c r="C202" s="117" t="s">
        <v>410</v>
      </c>
      <c r="D202" s="117" t="s">
        <v>251</v>
      </c>
      <c r="E202" s="117" t="s">
        <v>532</v>
      </c>
      <c r="F202" s="117" t="s">
        <v>228</v>
      </c>
      <c r="G202" s="117" t="s">
        <v>533</v>
      </c>
      <c r="H202" s="117" t="s">
        <v>533</v>
      </c>
      <c r="I202" s="117" t="s">
        <v>541</v>
      </c>
      <c r="J202" s="118">
        <v>1.26</v>
      </c>
      <c r="K202" s="118" t="s">
        <v>257</v>
      </c>
      <c r="L202" s="117">
        <v>6.7799999999999999E-2</v>
      </c>
      <c r="M202" s="117">
        <v>0.45</v>
      </c>
      <c r="N202" s="70">
        <v>208082.48333789301</v>
      </c>
      <c r="O202" s="61">
        <v>22.6</v>
      </c>
      <c r="P202" s="85">
        <v>0</v>
      </c>
      <c r="Q202" s="85">
        <v>47.02664</v>
      </c>
      <c r="R202" s="25">
        <v>4.5818484194725751E-4</v>
      </c>
      <c r="S202" s="25">
        <v>2.4788582286560908E-4</v>
      </c>
      <c r="T202" s="25">
        <v>8.7746351195613955E-5</v>
      </c>
    </row>
    <row r="203" spans="1:20" x14ac:dyDescent="0.25">
      <c r="A203" s="17" t="s">
        <v>865</v>
      </c>
      <c r="B203" s="117" t="s">
        <v>866</v>
      </c>
      <c r="C203" s="117" t="s">
        <v>410</v>
      </c>
      <c r="D203" s="117" t="s">
        <v>251</v>
      </c>
      <c r="E203" s="117" t="s">
        <v>867</v>
      </c>
      <c r="F203" s="117" t="s">
        <v>223</v>
      </c>
      <c r="G203" s="117" t="s">
        <v>533</v>
      </c>
      <c r="H203" s="117" t="s">
        <v>533</v>
      </c>
      <c r="I203" s="117" t="s">
        <v>868</v>
      </c>
      <c r="J203" s="118">
        <v>6.09</v>
      </c>
      <c r="K203" s="118" t="s">
        <v>257</v>
      </c>
      <c r="L203" s="117">
        <v>6.4000000000000003E-3</v>
      </c>
      <c r="M203" s="117">
        <v>3.5000000000000003E-2</v>
      </c>
      <c r="N203" s="70">
        <v>171122.01716128484</v>
      </c>
      <c r="O203" s="61">
        <v>92.96</v>
      </c>
      <c r="P203" s="85">
        <v>0</v>
      </c>
      <c r="Q203" s="85">
        <v>159.07503</v>
      </c>
      <c r="R203" s="25">
        <v>7.6666737795502097E-4</v>
      </c>
      <c r="S203" s="25">
        <v>8.3851290904307532E-4</v>
      </c>
      <c r="T203" s="25">
        <v>2.9681587816677581E-4</v>
      </c>
    </row>
    <row r="204" spans="1:20" x14ac:dyDescent="0.25">
      <c r="A204" s="17" t="s">
        <v>1069</v>
      </c>
      <c r="B204" s="117" t="s">
        <v>1070</v>
      </c>
      <c r="C204" s="117" t="s">
        <v>410</v>
      </c>
      <c r="D204" s="117" t="s">
        <v>251</v>
      </c>
      <c r="E204" s="117" t="s">
        <v>1055</v>
      </c>
      <c r="F204" s="117" t="s">
        <v>223</v>
      </c>
      <c r="G204" s="117" t="s">
        <v>533</v>
      </c>
      <c r="H204" s="117" t="s">
        <v>533</v>
      </c>
      <c r="I204" s="117" t="s">
        <v>452</v>
      </c>
      <c r="J204" s="118">
        <v>3.85</v>
      </c>
      <c r="K204" s="118" t="s">
        <v>257</v>
      </c>
      <c r="L204" s="117">
        <v>1.0800000000000001E-2</v>
      </c>
      <c r="M204" s="117">
        <v>3.8800000000000001E-2</v>
      </c>
      <c r="N204" s="70">
        <v>87354.80261171046</v>
      </c>
      <c r="O204" s="61">
        <v>100.35000000000001</v>
      </c>
      <c r="P204" s="85">
        <v>0</v>
      </c>
      <c r="Q204" s="85">
        <v>87.660539999999997</v>
      </c>
      <c r="R204" s="25">
        <v>2.8715296213704499E-4</v>
      </c>
      <c r="S204" s="25">
        <v>4.6207437084052011E-4</v>
      </c>
      <c r="T204" s="25">
        <v>1.6356457805272002E-4</v>
      </c>
    </row>
    <row r="205" spans="1:20" x14ac:dyDescent="0.25">
      <c r="A205" s="17" t="s">
        <v>988</v>
      </c>
      <c r="B205" s="117" t="s">
        <v>989</v>
      </c>
      <c r="C205" s="117" t="s">
        <v>410</v>
      </c>
      <c r="D205" s="117" t="s">
        <v>251</v>
      </c>
      <c r="E205" s="117" t="s">
        <v>990</v>
      </c>
      <c r="F205" s="117" t="s">
        <v>223</v>
      </c>
      <c r="G205" s="117" t="s">
        <v>533</v>
      </c>
      <c r="H205" s="117" t="s">
        <v>533</v>
      </c>
      <c r="I205" s="117" t="s">
        <v>991</v>
      </c>
      <c r="J205" s="118">
        <v>3.05</v>
      </c>
      <c r="K205" s="118" t="s">
        <v>257</v>
      </c>
      <c r="L205" s="117">
        <v>3.4300000000000004E-2</v>
      </c>
      <c r="M205" s="117">
        <v>4.53E-2</v>
      </c>
      <c r="N205" s="70">
        <v>407578.10774929088</v>
      </c>
      <c r="O205" s="61">
        <v>102.02</v>
      </c>
      <c r="P205" s="85">
        <v>0</v>
      </c>
      <c r="Q205" s="85">
        <v>415.81119000000001</v>
      </c>
      <c r="R205" s="25">
        <v>6.1382245142965492E-4</v>
      </c>
      <c r="S205" s="25">
        <v>2.1918150858721377E-3</v>
      </c>
      <c r="T205" s="25">
        <v>7.7585629568274847E-4</v>
      </c>
    </row>
    <row r="206" spans="1:20" s="119" customFormat="1" x14ac:dyDescent="0.25">
      <c r="A206" s="93" t="s">
        <v>139</v>
      </c>
      <c r="B206" s="131" t="s">
        <v>251</v>
      </c>
      <c r="C206" s="131" t="s">
        <v>251</v>
      </c>
      <c r="D206" s="131" t="s">
        <v>251</v>
      </c>
      <c r="E206" s="131" t="s">
        <v>251</v>
      </c>
      <c r="F206" s="131" t="s">
        <v>251</v>
      </c>
      <c r="G206" s="131" t="s">
        <v>251</v>
      </c>
      <c r="H206" s="131" t="s">
        <v>251</v>
      </c>
      <c r="I206" s="131" t="s">
        <v>251</v>
      </c>
      <c r="J206" s="132" t="s">
        <v>251</v>
      </c>
      <c r="K206" s="132" t="s">
        <v>251</v>
      </c>
      <c r="L206" s="131" t="s">
        <v>251</v>
      </c>
      <c r="M206" s="131" t="s">
        <v>251</v>
      </c>
      <c r="N206" s="135" t="s">
        <v>251</v>
      </c>
      <c r="O206" s="136" t="s">
        <v>251</v>
      </c>
      <c r="P206" s="124" t="s">
        <v>251</v>
      </c>
      <c r="Q206" s="124">
        <v>31577.117420100007</v>
      </c>
      <c r="R206" s="137"/>
      <c r="S206" s="137">
        <v>0.16644862859446152</v>
      </c>
      <c r="T206" s="137">
        <v>5.8919302652480264E-2</v>
      </c>
    </row>
    <row r="207" spans="1:20" x14ac:dyDescent="0.25">
      <c r="A207" s="17" t="s">
        <v>1456</v>
      </c>
      <c r="B207" s="117" t="s">
        <v>1457</v>
      </c>
      <c r="C207" s="117" t="s">
        <v>410</v>
      </c>
      <c r="D207" s="117" t="s">
        <v>251</v>
      </c>
      <c r="E207" s="117" t="s">
        <v>1059</v>
      </c>
      <c r="F207" s="117" t="s">
        <v>226</v>
      </c>
      <c r="G207" s="117" t="s">
        <v>574</v>
      </c>
      <c r="H207" s="117" t="s">
        <v>529</v>
      </c>
      <c r="I207" s="117" t="s">
        <v>1060</v>
      </c>
      <c r="J207" s="118">
        <v>0</v>
      </c>
      <c r="K207" s="118" t="s">
        <v>257</v>
      </c>
      <c r="L207" s="117">
        <v>4.7500000000000001E-2</v>
      </c>
      <c r="M207" s="117">
        <v>5.8899999999999994E-2</v>
      </c>
      <c r="N207" s="70">
        <v>241306.88512632065</v>
      </c>
      <c r="O207" s="61">
        <v>100.25</v>
      </c>
      <c r="P207" s="85">
        <v>0</v>
      </c>
      <c r="Q207" s="85">
        <v>241.91014999999999</v>
      </c>
      <c r="R207" s="25">
        <v>1.096849477846912E-3</v>
      </c>
      <c r="S207" s="25">
        <v>1.2751516287851507E-3</v>
      </c>
      <c r="T207" s="25">
        <v>4.5137677239291712E-4</v>
      </c>
    </row>
    <row r="208" spans="1:20" x14ac:dyDescent="0.25">
      <c r="A208" s="17" t="s">
        <v>1283</v>
      </c>
      <c r="B208" s="117" t="s">
        <v>1284</v>
      </c>
      <c r="C208" s="117" t="s">
        <v>410</v>
      </c>
      <c r="D208" s="117" t="s">
        <v>251</v>
      </c>
      <c r="E208" s="117" t="s">
        <v>1285</v>
      </c>
      <c r="F208" s="117" t="s">
        <v>226</v>
      </c>
      <c r="G208" s="117" t="s">
        <v>689</v>
      </c>
      <c r="H208" s="117" t="s">
        <v>529</v>
      </c>
      <c r="I208" s="117" t="s">
        <v>1286</v>
      </c>
      <c r="J208" s="118">
        <v>3.18</v>
      </c>
      <c r="K208" s="118" t="s">
        <v>257</v>
      </c>
      <c r="L208" s="117">
        <v>2.5499999999999998E-2</v>
      </c>
      <c r="M208" s="117">
        <v>6.2300000000000001E-2</v>
      </c>
      <c r="N208" s="70">
        <v>485536.8741111033</v>
      </c>
      <c r="O208" s="61">
        <v>89.91</v>
      </c>
      <c r="P208" s="85">
        <v>0</v>
      </c>
      <c r="Q208" s="85">
        <v>436.5462</v>
      </c>
      <c r="R208" s="25">
        <v>8.3384031000206652E-4</v>
      </c>
      <c r="S208" s="25">
        <v>2.3011130288248267E-3</v>
      </c>
      <c r="T208" s="25">
        <v>8.1454546143017517E-4</v>
      </c>
    </row>
    <row r="209" spans="1:20" x14ac:dyDescent="0.25">
      <c r="A209" s="17" t="s">
        <v>1493</v>
      </c>
      <c r="B209" s="117" t="s">
        <v>1494</v>
      </c>
      <c r="C209" s="117" t="s">
        <v>410</v>
      </c>
      <c r="D209" s="117" t="s">
        <v>251</v>
      </c>
      <c r="E209" s="117" t="s">
        <v>1495</v>
      </c>
      <c r="F209" s="117" t="s">
        <v>201</v>
      </c>
      <c r="G209" s="117" t="s">
        <v>689</v>
      </c>
      <c r="H209" s="117" t="s">
        <v>529</v>
      </c>
      <c r="I209" s="117" t="s">
        <v>1496</v>
      </c>
      <c r="J209" s="118">
        <v>2.0499999999999998</v>
      </c>
      <c r="K209" s="118" t="s">
        <v>257</v>
      </c>
      <c r="L209" s="117">
        <v>3.27E-2</v>
      </c>
      <c r="M209" s="117">
        <v>5.6600000000000004E-2</v>
      </c>
      <c r="N209" s="70">
        <v>110243.70484569597</v>
      </c>
      <c r="O209" s="61">
        <v>96.6</v>
      </c>
      <c r="P209" s="85">
        <v>0</v>
      </c>
      <c r="Q209" s="85">
        <v>106.49542</v>
      </c>
      <c r="R209" s="25">
        <v>3.4932240209920999E-4</v>
      </c>
      <c r="S209" s="25">
        <v>5.6135638901947153E-4</v>
      </c>
      <c r="T209" s="25">
        <v>1.9870831775445599E-4</v>
      </c>
    </row>
    <row r="210" spans="1:20" x14ac:dyDescent="0.25">
      <c r="A210" s="17" t="s">
        <v>1233</v>
      </c>
      <c r="B210" s="117" t="s">
        <v>1234</v>
      </c>
      <c r="C210" s="117" t="s">
        <v>410</v>
      </c>
      <c r="D210" s="117" t="s">
        <v>251</v>
      </c>
      <c r="E210" s="117" t="s">
        <v>1235</v>
      </c>
      <c r="F210" s="117" t="s">
        <v>212</v>
      </c>
      <c r="G210" s="117" t="s">
        <v>545</v>
      </c>
      <c r="H210" s="117" t="s">
        <v>256</v>
      </c>
      <c r="I210" s="117" t="s">
        <v>1236</v>
      </c>
      <c r="J210" s="118">
        <v>8.17</v>
      </c>
      <c r="K210" s="118" t="s">
        <v>257</v>
      </c>
      <c r="L210" s="117">
        <v>2.4E-2</v>
      </c>
      <c r="M210" s="117">
        <v>5.3800000000000001E-2</v>
      </c>
      <c r="N210" s="70">
        <v>226140.08928644468</v>
      </c>
      <c r="O210" s="61">
        <v>79.239999999999995</v>
      </c>
      <c r="P210" s="85">
        <v>0</v>
      </c>
      <c r="Q210" s="85">
        <v>179.19341</v>
      </c>
      <c r="R210" s="25">
        <v>3.0110154775034689E-4</v>
      </c>
      <c r="S210" s="25">
        <v>9.4456048507706402E-4</v>
      </c>
      <c r="T210" s="25">
        <v>3.3435448260389519E-4</v>
      </c>
    </row>
    <row r="211" spans="1:20" x14ac:dyDescent="0.25">
      <c r="A211" s="17" t="s">
        <v>1435</v>
      </c>
      <c r="B211" s="117" t="s">
        <v>1436</v>
      </c>
      <c r="C211" s="117" t="s">
        <v>410</v>
      </c>
      <c r="D211" s="117" t="s">
        <v>251</v>
      </c>
      <c r="E211" s="117" t="s">
        <v>1437</v>
      </c>
      <c r="F211" s="117" t="s">
        <v>201</v>
      </c>
      <c r="G211" s="117" t="s">
        <v>1412</v>
      </c>
      <c r="H211" s="117" t="s">
        <v>529</v>
      </c>
      <c r="I211" s="117" t="s">
        <v>1438</v>
      </c>
      <c r="J211" s="118">
        <v>1.32</v>
      </c>
      <c r="K211" s="118" t="s">
        <v>257</v>
      </c>
      <c r="L211" s="117">
        <v>3.1800000000000002E-2</v>
      </c>
      <c r="M211" s="117">
        <v>6.8199999999999997E-2</v>
      </c>
      <c r="N211" s="70">
        <v>103877.1297994918</v>
      </c>
      <c r="O211" s="61">
        <v>96.05</v>
      </c>
      <c r="P211" s="85">
        <v>0</v>
      </c>
      <c r="Q211" s="85">
        <v>99.773979999999995</v>
      </c>
      <c r="R211" s="25">
        <v>9.4433754363174363E-4</v>
      </c>
      <c r="S211" s="25">
        <v>5.2592647769172582E-4</v>
      </c>
      <c r="T211" s="25">
        <v>1.8616687667382068E-4</v>
      </c>
    </row>
    <row r="212" spans="1:20" x14ac:dyDescent="0.25">
      <c r="A212" s="17" t="s">
        <v>1439</v>
      </c>
      <c r="B212" s="117" t="s">
        <v>1440</v>
      </c>
      <c r="C212" s="117" t="s">
        <v>410</v>
      </c>
      <c r="D212" s="117" t="s">
        <v>251</v>
      </c>
      <c r="E212" s="117" t="s">
        <v>1437</v>
      </c>
      <c r="F212" s="117" t="s">
        <v>201</v>
      </c>
      <c r="G212" s="117" t="s">
        <v>1412</v>
      </c>
      <c r="H212" s="117" t="s">
        <v>529</v>
      </c>
      <c r="I212" s="117" t="s">
        <v>1438</v>
      </c>
      <c r="J212" s="118">
        <v>2.72</v>
      </c>
      <c r="K212" s="118" t="s">
        <v>257</v>
      </c>
      <c r="L212" s="117">
        <v>3.2000000000000001E-2</v>
      </c>
      <c r="M212" s="117">
        <v>7.22E-2</v>
      </c>
      <c r="N212" s="70">
        <v>74338.973361074459</v>
      </c>
      <c r="O212" s="61">
        <v>90.65</v>
      </c>
      <c r="P212" s="85">
        <v>0</v>
      </c>
      <c r="Q212" s="85">
        <v>67.388279999999995</v>
      </c>
      <c r="R212" s="25">
        <v>4.9559315574049636E-4</v>
      </c>
      <c r="S212" s="25">
        <v>3.5521566582894431E-4</v>
      </c>
      <c r="T212" s="25">
        <v>1.2573885107140055E-4</v>
      </c>
    </row>
    <row r="213" spans="1:20" x14ac:dyDescent="0.25">
      <c r="A213" s="17" t="s">
        <v>1441</v>
      </c>
      <c r="B213" s="117" t="s">
        <v>1442</v>
      </c>
      <c r="C213" s="117" t="s">
        <v>410</v>
      </c>
      <c r="D213" s="117" t="s">
        <v>251</v>
      </c>
      <c r="E213" s="117" t="s">
        <v>1437</v>
      </c>
      <c r="F213" s="117" t="s">
        <v>201</v>
      </c>
      <c r="G213" s="117" t="s">
        <v>1412</v>
      </c>
      <c r="H213" s="117" t="s">
        <v>529</v>
      </c>
      <c r="I213" s="117" t="s">
        <v>1438</v>
      </c>
      <c r="J213" s="118">
        <v>0</v>
      </c>
      <c r="K213" s="118" t="s">
        <v>257</v>
      </c>
      <c r="L213" s="117">
        <v>3.2000000000000001E-2</v>
      </c>
      <c r="M213" s="117">
        <v>7.2300000000000003E-2</v>
      </c>
      <c r="N213" s="70">
        <v>77602.100557669022</v>
      </c>
      <c r="O213" s="61">
        <v>90.619410000000002</v>
      </c>
      <c r="P213" s="85">
        <v>0</v>
      </c>
      <c r="Q213" s="85">
        <v>70.322570000000013</v>
      </c>
      <c r="R213" s="25">
        <v>5.1734733705112684E-4</v>
      </c>
      <c r="S213" s="25">
        <v>3.706828327619068E-4</v>
      </c>
      <c r="T213" s="25">
        <v>1.3121390182666991E-4</v>
      </c>
    </row>
    <row r="214" spans="1:20" x14ac:dyDescent="0.25">
      <c r="A214" s="17" t="s">
        <v>1302</v>
      </c>
      <c r="B214" s="117" t="s">
        <v>1303</v>
      </c>
      <c r="C214" s="117" t="s">
        <v>410</v>
      </c>
      <c r="D214" s="117" t="s">
        <v>251</v>
      </c>
      <c r="E214" s="117" t="s">
        <v>724</v>
      </c>
      <c r="F214" s="117" t="s">
        <v>204</v>
      </c>
      <c r="G214" s="117" t="s">
        <v>630</v>
      </c>
      <c r="H214" s="117" t="s">
        <v>256</v>
      </c>
      <c r="I214" s="117" t="s">
        <v>1304</v>
      </c>
      <c r="J214" s="118">
        <v>1.65</v>
      </c>
      <c r="K214" s="118" t="s">
        <v>257</v>
      </c>
      <c r="L214" s="117">
        <v>2.7999999999999997E-2</v>
      </c>
      <c r="M214" s="117">
        <v>6.2300000000000001E-2</v>
      </c>
      <c r="N214" s="70">
        <v>348587.9703013135</v>
      </c>
      <c r="O214" s="61">
        <v>95.33</v>
      </c>
      <c r="P214" s="85">
        <v>0</v>
      </c>
      <c r="Q214" s="85">
        <v>332.30890999999997</v>
      </c>
      <c r="R214" s="25">
        <v>1.0025870782932557E-3</v>
      </c>
      <c r="S214" s="25">
        <v>1.7516596465519036E-3</v>
      </c>
      <c r="T214" s="25">
        <v>6.2005055692457864E-4</v>
      </c>
    </row>
    <row r="215" spans="1:20" x14ac:dyDescent="0.25">
      <c r="A215" s="17" t="s">
        <v>1405</v>
      </c>
      <c r="B215" s="117" t="s">
        <v>1406</v>
      </c>
      <c r="C215" s="117" t="s">
        <v>410</v>
      </c>
      <c r="D215" s="117" t="s">
        <v>251</v>
      </c>
      <c r="E215" s="117" t="s">
        <v>724</v>
      </c>
      <c r="F215" s="117" t="s">
        <v>204</v>
      </c>
      <c r="G215" s="117" t="s">
        <v>630</v>
      </c>
      <c r="H215" s="117" t="s">
        <v>256</v>
      </c>
      <c r="I215" s="117" t="s">
        <v>1407</v>
      </c>
      <c r="J215" s="118">
        <v>3.43</v>
      </c>
      <c r="K215" s="118" t="s">
        <v>257</v>
      </c>
      <c r="L215" s="117">
        <v>5.6500000000000002E-2</v>
      </c>
      <c r="M215" s="117">
        <v>6.6100000000000006E-2</v>
      </c>
      <c r="N215" s="70">
        <v>329516.04662251868</v>
      </c>
      <c r="O215" s="61">
        <v>97.13</v>
      </c>
      <c r="P215" s="85">
        <v>20.179045425999998</v>
      </c>
      <c r="Q215" s="85">
        <v>333.74809999999997</v>
      </c>
      <c r="R215" s="25">
        <v>7.803584847301552E-4</v>
      </c>
      <c r="S215" s="25">
        <v>1.759245874217966E-3</v>
      </c>
      <c r="T215" s="25">
        <v>6.2273592145789883E-4</v>
      </c>
    </row>
    <row r="216" spans="1:20" x14ac:dyDescent="0.25">
      <c r="A216" s="17" t="s">
        <v>1445</v>
      </c>
      <c r="B216" s="117" t="s">
        <v>1446</v>
      </c>
      <c r="C216" s="117" t="s">
        <v>410</v>
      </c>
      <c r="D216" s="117" t="s">
        <v>251</v>
      </c>
      <c r="E216" s="117" t="s">
        <v>1051</v>
      </c>
      <c r="F216" s="117" t="s">
        <v>228</v>
      </c>
      <c r="G216" s="117" t="s">
        <v>630</v>
      </c>
      <c r="H216" s="117" t="s">
        <v>256</v>
      </c>
      <c r="I216" s="117" t="s">
        <v>1447</v>
      </c>
      <c r="J216" s="118">
        <v>4.54</v>
      </c>
      <c r="K216" s="118" t="s">
        <v>257</v>
      </c>
      <c r="L216" s="117">
        <v>5.5E-2</v>
      </c>
      <c r="M216" s="117">
        <v>6.7599999999999993E-2</v>
      </c>
      <c r="N216" s="70">
        <v>109684.94778469121</v>
      </c>
      <c r="O216" s="61">
        <v>96.34</v>
      </c>
      <c r="P216" s="85">
        <v>0</v>
      </c>
      <c r="Q216" s="85">
        <v>105.67048</v>
      </c>
      <c r="R216" s="25">
        <v>4.5061993510795085E-4</v>
      </c>
      <c r="S216" s="25">
        <v>5.5700798286681516E-4</v>
      </c>
      <c r="T216" s="25">
        <v>1.9716907372266233E-4</v>
      </c>
    </row>
    <row r="217" spans="1:20" x14ac:dyDescent="0.25">
      <c r="A217" s="17" t="s">
        <v>1379</v>
      </c>
      <c r="B217" s="117" t="s">
        <v>1380</v>
      </c>
      <c r="C217" s="117" t="s">
        <v>410</v>
      </c>
      <c r="D217" s="117" t="s">
        <v>251</v>
      </c>
      <c r="E217" s="117" t="s">
        <v>1381</v>
      </c>
      <c r="F217" s="117" t="s">
        <v>235</v>
      </c>
      <c r="G217" s="117" t="s">
        <v>537</v>
      </c>
      <c r="H217" s="117" t="s">
        <v>256</v>
      </c>
      <c r="I217" s="117" t="s">
        <v>1382</v>
      </c>
      <c r="J217" s="118">
        <v>3.25</v>
      </c>
      <c r="K217" s="118" t="s">
        <v>257</v>
      </c>
      <c r="L217" s="117">
        <v>2.1000000000000001E-2</v>
      </c>
      <c r="M217" s="117">
        <v>5.6100000000000004E-2</v>
      </c>
      <c r="N217" s="70">
        <v>40135.488322077843</v>
      </c>
      <c r="O217" s="61">
        <v>89.88</v>
      </c>
      <c r="P217" s="85">
        <v>0</v>
      </c>
      <c r="Q217" s="85">
        <v>36.073779999999999</v>
      </c>
      <c r="R217" s="25">
        <v>9.3747126007773059E-5</v>
      </c>
      <c r="S217" s="25">
        <v>1.9015134058425077E-4</v>
      </c>
      <c r="T217" s="25">
        <v>6.7309562597568415E-5</v>
      </c>
    </row>
    <row r="218" spans="1:20" x14ac:dyDescent="0.25">
      <c r="A218" s="17" t="s">
        <v>1383</v>
      </c>
      <c r="B218" s="117" t="s">
        <v>1384</v>
      </c>
      <c r="C218" s="117" t="s">
        <v>410</v>
      </c>
      <c r="D218" s="117" t="s">
        <v>251</v>
      </c>
      <c r="E218" s="117" t="s">
        <v>1381</v>
      </c>
      <c r="F218" s="117" t="s">
        <v>235</v>
      </c>
      <c r="G218" s="117" t="s">
        <v>537</v>
      </c>
      <c r="H218" s="117" t="s">
        <v>256</v>
      </c>
      <c r="I218" s="117" t="s">
        <v>1385</v>
      </c>
      <c r="J218" s="118">
        <v>0</v>
      </c>
      <c r="K218" s="118" t="s">
        <v>257</v>
      </c>
      <c r="L218" s="117">
        <v>2.1000000000000001E-2</v>
      </c>
      <c r="M218" s="117">
        <v>5.5599999999999997E-2</v>
      </c>
      <c r="N218" s="70">
        <v>363727.8183593204</v>
      </c>
      <c r="O218" s="61">
        <v>89.042298000000002</v>
      </c>
      <c r="P218" s="85">
        <v>0</v>
      </c>
      <c r="Q218" s="85">
        <v>323.87160999999998</v>
      </c>
      <c r="R218" s="25">
        <v>8.4958322536483595E-4</v>
      </c>
      <c r="S218" s="25">
        <v>1.7071851305485489E-3</v>
      </c>
      <c r="T218" s="25">
        <v>6.0430751661928034E-4</v>
      </c>
    </row>
    <row r="219" spans="1:20" x14ac:dyDescent="0.25">
      <c r="A219" s="17" t="s">
        <v>1483</v>
      </c>
      <c r="B219" s="117" t="s">
        <v>1484</v>
      </c>
      <c r="C219" s="117" t="s">
        <v>410</v>
      </c>
      <c r="D219" s="117" t="s">
        <v>251</v>
      </c>
      <c r="E219" s="117" t="s">
        <v>1485</v>
      </c>
      <c r="F219" s="117" t="s">
        <v>224</v>
      </c>
      <c r="G219" s="117" t="s">
        <v>574</v>
      </c>
      <c r="H219" s="117" t="s">
        <v>529</v>
      </c>
      <c r="I219" s="117" t="s">
        <v>1486</v>
      </c>
      <c r="J219" s="118">
        <v>3.06</v>
      </c>
      <c r="K219" s="118" t="s">
        <v>257</v>
      </c>
      <c r="L219" s="117">
        <v>2.8500000000000001E-2</v>
      </c>
      <c r="M219" s="117">
        <v>6.54E-2</v>
      </c>
      <c r="N219" s="70">
        <v>301012.94864661375</v>
      </c>
      <c r="O219" s="61">
        <v>90.45</v>
      </c>
      <c r="P219" s="85">
        <v>0</v>
      </c>
      <c r="Q219" s="85">
        <v>272.26621</v>
      </c>
      <c r="R219" s="25">
        <v>5.4587075261592862E-4</v>
      </c>
      <c r="S219" s="25">
        <v>1.435163845521405E-3</v>
      </c>
      <c r="T219" s="25">
        <v>5.0801772104829902E-4</v>
      </c>
    </row>
    <row r="220" spans="1:20" x14ac:dyDescent="0.25">
      <c r="A220" s="17" t="s">
        <v>1256</v>
      </c>
      <c r="B220" s="117" t="s">
        <v>1257</v>
      </c>
      <c r="C220" s="117" t="s">
        <v>410</v>
      </c>
      <c r="D220" s="117" t="s">
        <v>251</v>
      </c>
      <c r="E220" s="117" t="s">
        <v>1258</v>
      </c>
      <c r="F220" s="117" t="s">
        <v>225</v>
      </c>
      <c r="G220" s="117" t="s">
        <v>677</v>
      </c>
      <c r="H220" s="117" t="s">
        <v>529</v>
      </c>
      <c r="I220" s="117" t="s">
        <v>1259</v>
      </c>
      <c r="J220" s="118">
        <v>3.53</v>
      </c>
      <c r="K220" s="118" t="s">
        <v>257</v>
      </c>
      <c r="L220" s="117">
        <v>1.7000000000000001E-2</v>
      </c>
      <c r="M220" s="117">
        <v>5.9299999999999999E-2</v>
      </c>
      <c r="N220" s="70">
        <v>215410.00609437769</v>
      </c>
      <c r="O220" s="61">
        <v>87.52</v>
      </c>
      <c r="P220" s="85">
        <v>0</v>
      </c>
      <c r="Q220" s="85">
        <v>188.52683999999999</v>
      </c>
      <c r="R220" s="25">
        <v>9.3388539883108336E-4</v>
      </c>
      <c r="S220" s="25">
        <v>9.9375866244437233E-4</v>
      </c>
      <c r="T220" s="25">
        <v>3.5176959936834357E-4</v>
      </c>
    </row>
    <row r="221" spans="1:20" x14ac:dyDescent="0.25">
      <c r="A221" s="17" t="s">
        <v>1340</v>
      </c>
      <c r="B221" s="117" t="s">
        <v>1341</v>
      </c>
      <c r="C221" s="117" t="s">
        <v>410</v>
      </c>
      <c r="D221" s="117" t="s">
        <v>251</v>
      </c>
      <c r="E221" s="117" t="s">
        <v>1258</v>
      </c>
      <c r="F221" s="117" t="s">
        <v>225</v>
      </c>
      <c r="G221" s="117" t="s">
        <v>677</v>
      </c>
      <c r="H221" s="117" t="s">
        <v>529</v>
      </c>
      <c r="I221" s="117" t="s">
        <v>1342</v>
      </c>
      <c r="J221" s="118">
        <v>4.5999999999999996</v>
      </c>
      <c r="K221" s="118" t="s">
        <v>257</v>
      </c>
      <c r="L221" s="117">
        <v>1.9900000000000001E-2</v>
      </c>
      <c r="M221" s="117">
        <v>5.9900000000000002E-2</v>
      </c>
      <c r="N221" s="70">
        <v>117774.21268381218</v>
      </c>
      <c r="O221" s="61">
        <v>83.72</v>
      </c>
      <c r="P221" s="85">
        <v>0</v>
      </c>
      <c r="Q221" s="85">
        <v>98.600570000000005</v>
      </c>
      <c r="R221" s="25">
        <v>5.3533733038096444E-4</v>
      </c>
      <c r="S221" s="25">
        <v>5.1974122389922153E-4</v>
      </c>
      <c r="T221" s="25">
        <v>1.8397742733284195E-4</v>
      </c>
    </row>
    <row r="222" spans="1:20" x14ac:dyDescent="0.25">
      <c r="A222" s="17" t="s">
        <v>1154</v>
      </c>
      <c r="B222" s="117" t="s">
        <v>1155</v>
      </c>
      <c r="C222" s="117" t="s">
        <v>410</v>
      </c>
      <c r="D222" s="117" t="s">
        <v>251</v>
      </c>
      <c r="E222" s="117" t="s">
        <v>565</v>
      </c>
      <c r="F222" s="117" t="s">
        <v>223</v>
      </c>
      <c r="G222" s="117" t="s">
        <v>545</v>
      </c>
      <c r="H222" s="117" t="s">
        <v>256</v>
      </c>
      <c r="I222" s="117" t="s">
        <v>1156</v>
      </c>
      <c r="J222" s="118">
        <v>1.21</v>
      </c>
      <c r="K222" s="118" t="s">
        <v>257</v>
      </c>
      <c r="L222" s="117">
        <v>3.39E-2</v>
      </c>
      <c r="M222" s="117">
        <v>5.6500000000000002E-2</v>
      </c>
      <c r="N222" s="70">
        <v>114936.60363538051</v>
      </c>
      <c r="O222" s="61">
        <v>99.8</v>
      </c>
      <c r="P222" s="85">
        <v>0</v>
      </c>
      <c r="Q222" s="85">
        <v>114.70672999999999</v>
      </c>
      <c r="R222" s="25">
        <v>1.7651928580923385E-4</v>
      </c>
      <c r="S222" s="25">
        <v>6.0463967134954239E-4</v>
      </c>
      <c r="T222" s="25">
        <v>2.1402968647303883E-4</v>
      </c>
    </row>
    <row r="223" spans="1:20" x14ac:dyDescent="0.25">
      <c r="A223" s="17" t="s">
        <v>1240</v>
      </c>
      <c r="B223" s="117" t="s">
        <v>1241</v>
      </c>
      <c r="C223" s="117" t="s">
        <v>410</v>
      </c>
      <c r="D223" s="117" t="s">
        <v>251</v>
      </c>
      <c r="E223" s="117" t="s">
        <v>565</v>
      </c>
      <c r="F223" s="117" t="s">
        <v>223</v>
      </c>
      <c r="G223" s="117" t="s">
        <v>545</v>
      </c>
      <c r="H223" s="117" t="s">
        <v>256</v>
      </c>
      <c r="I223" s="117" t="s">
        <v>590</v>
      </c>
      <c r="J223" s="118">
        <v>6.1</v>
      </c>
      <c r="K223" s="118" t="s">
        <v>257</v>
      </c>
      <c r="L223" s="117">
        <v>2.4399999999999998E-2</v>
      </c>
      <c r="M223" s="117">
        <v>5.5599999999999997E-2</v>
      </c>
      <c r="N223" s="70">
        <v>628423.19234634587</v>
      </c>
      <c r="O223" s="61">
        <v>84.62</v>
      </c>
      <c r="P223" s="85">
        <v>0</v>
      </c>
      <c r="Q223" s="85">
        <v>531.77170999999998</v>
      </c>
      <c r="R223" s="25">
        <v>5.720541231585488E-4</v>
      </c>
      <c r="S223" s="25">
        <v>2.8030637083576886E-3</v>
      </c>
      <c r="T223" s="25">
        <v>9.9222541141685177E-4</v>
      </c>
    </row>
    <row r="224" spans="1:20" x14ac:dyDescent="0.25">
      <c r="A224" s="17" t="s">
        <v>1326</v>
      </c>
      <c r="B224" s="117" t="s">
        <v>1327</v>
      </c>
      <c r="C224" s="117" t="s">
        <v>410</v>
      </c>
      <c r="D224" s="117" t="s">
        <v>251</v>
      </c>
      <c r="E224" s="117" t="s">
        <v>1328</v>
      </c>
      <c r="F224" s="117" t="s">
        <v>231</v>
      </c>
      <c r="G224" s="117" t="s">
        <v>689</v>
      </c>
      <c r="H224" s="117" t="s">
        <v>529</v>
      </c>
      <c r="I224" s="117" t="s">
        <v>1329</v>
      </c>
      <c r="J224" s="118">
        <v>4.6900000000000004</v>
      </c>
      <c r="K224" s="118" t="s">
        <v>257</v>
      </c>
      <c r="L224" s="117">
        <v>1.4999999999999999E-2</v>
      </c>
      <c r="M224" s="117">
        <v>6.0400000000000002E-2</v>
      </c>
      <c r="N224" s="70">
        <v>163721.31409028277</v>
      </c>
      <c r="O224" s="61">
        <v>81.430000000000007</v>
      </c>
      <c r="P224" s="85">
        <v>0</v>
      </c>
      <c r="Q224" s="85">
        <v>133.31826999999998</v>
      </c>
      <c r="R224" s="25">
        <v>4.2418144956935194E-4</v>
      </c>
      <c r="S224" s="25">
        <v>7.0274442447875157E-4</v>
      </c>
      <c r="T224" s="25">
        <v>2.487566991860716E-4</v>
      </c>
    </row>
    <row r="225" spans="1:20" x14ac:dyDescent="0.25">
      <c r="A225" s="17" t="s">
        <v>1230</v>
      </c>
      <c r="B225" s="117" t="s">
        <v>1231</v>
      </c>
      <c r="C225" s="117" t="s">
        <v>410</v>
      </c>
      <c r="D225" s="117" t="s">
        <v>251</v>
      </c>
      <c r="E225" s="117" t="s">
        <v>940</v>
      </c>
      <c r="F225" s="117" t="s">
        <v>224</v>
      </c>
      <c r="G225" s="117" t="s">
        <v>689</v>
      </c>
      <c r="H225" s="117" t="s">
        <v>529</v>
      </c>
      <c r="I225" s="117" t="s">
        <v>1232</v>
      </c>
      <c r="J225" s="118">
        <v>3.23</v>
      </c>
      <c r="K225" s="118" t="s">
        <v>257</v>
      </c>
      <c r="L225" s="117">
        <v>3.2500000000000001E-2</v>
      </c>
      <c r="M225" s="117">
        <v>6.6500000000000004E-2</v>
      </c>
      <c r="N225" s="70">
        <v>59834.241350274286</v>
      </c>
      <c r="O225" s="61">
        <v>89.97</v>
      </c>
      <c r="P225" s="85">
        <v>0.97230644249999998</v>
      </c>
      <c r="Q225" s="85">
        <v>54.805169999999997</v>
      </c>
      <c r="R225" s="25">
        <v>1.7431324445029317E-4</v>
      </c>
      <c r="S225" s="25">
        <v>2.8888784448005624E-4</v>
      </c>
      <c r="T225" s="25">
        <v>1.022602017527794E-4</v>
      </c>
    </row>
    <row r="226" spans="1:20" x14ac:dyDescent="0.25">
      <c r="A226" s="17" t="s">
        <v>1307</v>
      </c>
      <c r="B226" s="117" t="s">
        <v>1308</v>
      </c>
      <c r="C226" s="117" t="s">
        <v>410</v>
      </c>
      <c r="D226" s="117" t="s">
        <v>251</v>
      </c>
      <c r="E226" s="117" t="s">
        <v>940</v>
      </c>
      <c r="F226" s="117" t="s">
        <v>224</v>
      </c>
      <c r="G226" s="117" t="s">
        <v>689</v>
      </c>
      <c r="H226" s="117" t="s">
        <v>529</v>
      </c>
      <c r="I226" s="117" t="s">
        <v>430</v>
      </c>
      <c r="J226" s="118">
        <v>3.42</v>
      </c>
      <c r="K226" s="118" t="s">
        <v>257</v>
      </c>
      <c r="L226" s="117">
        <v>2.3E-2</v>
      </c>
      <c r="M226" s="117">
        <v>5.7699999999999994E-2</v>
      </c>
      <c r="N226" s="70">
        <v>168639.57129947338</v>
      </c>
      <c r="O226" s="61">
        <v>89.28</v>
      </c>
      <c r="P226" s="85">
        <v>0</v>
      </c>
      <c r="Q226" s="85">
        <v>150.56141</v>
      </c>
      <c r="R226" s="25">
        <v>2.9848679835407647E-4</v>
      </c>
      <c r="S226" s="25">
        <v>7.9363609668171788E-4</v>
      </c>
      <c r="T226" s="25">
        <v>2.8093043343872375E-4</v>
      </c>
    </row>
    <row r="227" spans="1:20" x14ac:dyDescent="0.25">
      <c r="A227" s="17" t="s">
        <v>1264</v>
      </c>
      <c r="B227" s="117" t="s">
        <v>1265</v>
      </c>
      <c r="C227" s="117" t="s">
        <v>410</v>
      </c>
      <c r="D227" s="117" t="s">
        <v>251</v>
      </c>
      <c r="E227" s="117" t="s">
        <v>1266</v>
      </c>
      <c r="F227" s="117" t="s">
        <v>226</v>
      </c>
      <c r="G227" s="117" t="s">
        <v>689</v>
      </c>
      <c r="H227" s="117" t="s">
        <v>529</v>
      </c>
      <c r="I227" s="117" t="s">
        <v>1267</v>
      </c>
      <c r="J227" s="118">
        <v>2.61</v>
      </c>
      <c r="K227" s="118" t="s">
        <v>257</v>
      </c>
      <c r="L227" s="117">
        <v>2.4E-2</v>
      </c>
      <c r="M227" s="117">
        <v>6.0700000000000004E-2</v>
      </c>
      <c r="N227" s="70">
        <v>159496.38788528077</v>
      </c>
      <c r="O227" s="61">
        <v>91.2</v>
      </c>
      <c r="P227" s="85">
        <v>1.913956655</v>
      </c>
      <c r="Q227" s="85">
        <v>147.37466000000001</v>
      </c>
      <c r="R227" s="25">
        <v>6.1201740810813178E-4</v>
      </c>
      <c r="S227" s="25">
        <v>7.7683816797541479E-4</v>
      </c>
      <c r="T227" s="25">
        <v>2.7498432109319742E-4</v>
      </c>
    </row>
    <row r="228" spans="1:20" x14ac:dyDescent="0.25">
      <c r="A228" s="17" t="s">
        <v>1448</v>
      </c>
      <c r="B228" s="117" t="s">
        <v>1449</v>
      </c>
      <c r="C228" s="117" t="s">
        <v>410</v>
      </c>
      <c r="D228" s="117" t="s">
        <v>251</v>
      </c>
      <c r="E228" s="117" t="s">
        <v>1450</v>
      </c>
      <c r="F228" s="117" t="s">
        <v>228</v>
      </c>
      <c r="G228" s="117" t="s">
        <v>545</v>
      </c>
      <c r="H228" s="117" t="s">
        <v>256</v>
      </c>
      <c r="I228" s="117" t="s">
        <v>1451</v>
      </c>
      <c r="J228" s="118">
        <v>6.96</v>
      </c>
      <c r="K228" s="118" t="s">
        <v>257</v>
      </c>
      <c r="L228" s="117">
        <v>5.3099999999999994E-2</v>
      </c>
      <c r="M228" s="117">
        <v>5.6900000000000006E-2</v>
      </c>
      <c r="N228" s="70">
        <v>164099.6503806765</v>
      </c>
      <c r="O228" s="61">
        <v>99.18</v>
      </c>
      <c r="P228" s="85">
        <v>0</v>
      </c>
      <c r="Q228" s="85">
        <v>162.75403</v>
      </c>
      <c r="R228" s="25">
        <v>1.0141189035668913E-3</v>
      </c>
      <c r="S228" s="25">
        <v>8.5790557546199398E-4</v>
      </c>
      <c r="T228" s="25">
        <v>3.0368047291665936E-4</v>
      </c>
    </row>
    <row r="229" spans="1:20" x14ac:dyDescent="0.25">
      <c r="A229" s="17" t="s">
        <v>1279</v>
      </c>
      <c r="B229" s="117" t="s">
        <v>1280</v>
      </c>
      <c r="C229" s="117" t="s">
        <v>410</v>
      </c>
      <c r="D229" s="117" t="s">
        <v>251</v>
      </c>
      <c r="E229" s="117" t="s">
        <v>1281</v>
      </c>
      <c r="F229" s="117" t="s">
        <v>226</v>
      </c>
      <c r="G229" s="117" t="s">
        <v>533</v>
      </c>
      <c r="H229" s="117" t="s">
        <v>533</v>
      </c>
      <c r="I229" s="117" t="s">
        <v>1282</v>
      </c>
      <c r="J229" s="118">
        <v>0.98</v>
      </c>
      <c r="K229" s="118" t="s">
        <v>257</v>
      </c>
      <c r="L229" s="117">
        <v>4.2000000000000003E-2</v>
      </c>
      <c r="M229" s="117">
        <v>6.4100000000000004E-2</v>
      </c>
      <c r="N229" s="70">
        <v>57803.967482532265</v>
      </c>
      <c r="O229" s="61">
        <v>99</v>
      </c>
      <c r="P229" s="85">
        <v>0</v>
      </c>
      <c r="Q229" s="85">
        <v>57.225929999999998</v>
      </c>
      <c r="R229" s="25">
        <v>6.7213915677363095E-4</v>
      </c>
      <c r="S229" s="25">
        <v>3.0164810301777341E-4</v>
      </c>
      <c r="T229" s="25">
        <v>1.0677706404870986E-4</v>
      </c>
    </row>
    <row r="230" spans="1:20" x14ac:dyDescent="0.25">
      <c r="A230" s="17" t="s">
        <v>1316</v>
      </c>
      <c r="B230" s="117" t="s">
        <v>1317</v>
      </c>
      <c r="C230" s="117" t="s">
        <v>410</v>
      </c>
      <c r="D230" s="117" t="s">
        <v>251</v>
      </c>
      <c r="E230" s="117" t="s">
        <v>1281</v>
      </c>
      <c r="F230" s="117" t="s">
        <v>226</v>
      </c>
      <c r="G230" s="117" t="s">
        <v>533</v>
      </c>
      <c r="H230" s="117" t="s">
        <v>533</v>
      </c>
      <c r="I230" s="117" t="s">
        <v>1318</v>
      </c>
      <c r="J230" s="118">
        <v>1.04</v>
      </c>
      <c r="K230" s="118" t="s">
        <v>257</v>
      </c>
      <c r="L230" s="117">
        <v>3.0499999999999999E-2</v>
      </c>
      <c r="M230" s="117">
        <v>8.0399999999999985E-2</v>
      </c>
      <c r="N230" s="70">
        <v>84100.933713911974</v>
      </c>
      <c r="O230" s="61">
        <v>95.88</v>
      </c>
      <c r="P230" s="85">
        <v>0</v>
      </c>
      <c r="Q230" s="85">
        <v>80.635979999999989</v>
      </c>
      <c r="R230" s="25">
        <v>8.0096127346582831E-4</v>
      </c>
      <c r="S230" s="25">
        <v>4.2504665982674489E-4</v>
      </c>
      <c r="T230" s="25">
        <v>1.5045754959492114E-4</v>
      </c>
    </row>
    <row r="231" spans="1:20" x14ac:dyDescent="0.25">
      <c r="A231" s="17" t="s">
        <v>1162</v>
      </c>
      <c r="B231" s="117" t="s">
        <v>1163</v>
      </c>
      <c r="C231" s="117" t="s">
        <v>410</v>
      </c>
      <c r="D231" s="117" t="s">
        <v>251</v>
      </c>
      <c r="E231" s="117" t="s">
        <v>597</v>
      </c>
      <c r="F231" s="117" t="s">
        <v>206</v>
      </c>
      <c r="G231" s="117" t="s">
        <v>528</v>
      </c>
      <c r="H231" s="117" t="s">
        <v>529</v>
      </c>
      <c r="I231" s="117" t="s">
        <v>1164</v>
      </c>
      <c r="J231" s="118">
        <v>1.1299999999999999</v>
      </c>
      <c r="K231" s="118" t="s">
        <v>257</v>
      </c>
      <c r="L231" s="117">
        <v>3.6499999999999998E-2</v>
      </c>
      <c r="M231" s="117">
        <v>5.3200000000000004E-2</v>
      </c>
      <c r="N231" s="70">
        <v>911803.91506597435</v>
      </c>
      <c r="O231" s="61">
        <v>99.41</v>
      </c>
      <c r="P231" s="85">
        <v>0</v>
      </c>
      <c r="Q231" s="85">
        <v>906.42426999999998</v>
      </c>
      <c r="R231" s="25">
        <v>5.7077950934997105E-4</v>
      </c>
      <c r="S231" s="25">
        <v>4.7779243006582867E-3</v>
      </c>
      <c r="T231" s="25">
        <v>1.6912843938594808E-3</v>
      </c>
    </row>
    <row r="232" spans="1:20" x14ac:dyDescent="0.25">
      <c r="A232" s="17" t="s">
        <v>1246</v>
      </c>
      <c r="B232" s="117" t="s">
        <v>1247</v>
      </c>
      <c r="C232" s="117" t="s">
        <v>410</v>
      </c>
      <c r="D232" s="117" t="s">
        <v>251</v>
      </c>
      <c r="E232" s="117" t="s">
        <v>597</v>
      </c>
      <c r="F232" s="117" t="s">
        <v>206</v>
      </c>
      <c r="G232" s="117" t="s">
        <v>528</v>
      </c>
      <c r="H232" s="117" t="s">
        <v>529</v>
      </c>
      <c r="I232" s="117" t="s">
        <v>794</v>
      </c>
      <c r="J232" s="118">
        <v>4.26</v>
      </c>
      <c r="K232" s="118" t="s">
        <v>257</v>
      </c>
      <c r="L232" s="117">
        <v>3.6000000000000004E-2</v>
      </c>
      <c r="M232" s="117">
        <v>5.1200000000000002E-2</v>
      </c>
      <c r="N232" s="70">
        <v>293749.7101207645</v>
      </c>
      <c r="O232" s="61">
        <v>93.46</v>
      </c>
      <c r="P232" s="85">
        <v>0</v>
      </c>
      <c r="Q232" s="85">
        <v>274.53847999999999</v>
      </c>
      <c r="R232" s="25">
        <v>3.5189467481996689E-4</v>
      </c>
      <c r="S232" s="25">
        <v>1.4471413867347008E-3</v>
      </c>
      <c r="T232" s="25">
        <v>5.1225751792579775E-4</v>
      </c>
    </row>
    <row r="233" spans="1:20" x14ac:dyDescent="0.25">
      <c r="A233" s="17" t="s">
        <v>1351</v>
      </c>
      <c r="B233" s="117" t="s">
        <v>1352</v>
      </c>
      <c r="C233" s="117" t="s">
        <v>410</v>
      </c>
      <c r="D233" s="117" t="s">
        <v>251</v>
      </c>
      <c r="E233" s="117" t="s">
        <v>597</v>
      </c>
      <c r="F233" s="117" t="s">
        <v>206</v>
      </c>
      <c r="G233" s="117" t="s">
        <v>528</v>
      </c>
      <c r="H233" s="117" t="s">
        <v>529</v>
      </c>
      <c r="I233" s="117" t="s">
        <v>928</v>
      </c>
      <c r="J233" s="118">
        <v>8.59</v>
      </c>
      <c r="K233" s="118" t="s">
        <v>257</v>
      </c>
      <c r="L233" s="117">
        <v>2.7900000000000001E-2</v>
      </c>
      <c r="M233" s="117">
        <v>5.4900000000000004E-2</v>
      </c>
      <c r="N233" s="70">
        <v>510967.87767972291</v>
      </c>
      <c r="O233" s="61">
        <v>80.599999999999994</v>
      </c>
      <c r="P233" s="85">
        <v>0</v>
      </c>
      <c r="Q233" s="85">
        <v>411.84010999999998</v>
      </c>
      <c r="R233" s="25">
        <v>1.1881868609425238E-3</v>
      </c>
      <c r="S233" s="25">
        <v>2.1708828135799823E-3</v>
      </c>
      <c r="T233" s="25">
        <v>7.6844671293760901E-4</v>
      </c>
    </row>
    <row r="234" spans="1:20" x14ac:dyDescent="0.25">
      <c r="A234" s="17" t="s">
        <v>1452</v>
      </c>
      <c r="B234" s="117" t="s">
        <v>1453</v>
      </c>
      <c r="C234" s="117" t="s">
        <v>410</v>
      </c>
      <c r="D234" s="117" t="s">
        <v>251</v>
      </c>
      <c r="E234" s="117" t="s">
        <v>1454</v>
      </c>
      <c r="F234" s="117" t="s">
        <v>206</v>
      </c>
      <c r="G234" s="117" t="s">
        <v>574</v>
      </c>
      <c r="H234" s="117" t="s">
        <v>529</v>
      </c>
      <c r="I234" s="117" t="s">
        <v>1455</v>
      </c>
      <c r="J234" s="118">
        <v>2.98</v>
      </c>
      <c r="K234" s="118" t="s">
        <v>257</v>
      </c>
      <c r="L234" s="117">
        <v>3.6499999999999998E-2</v>
      </c>
      <c r="M234" s="117">
        <v>5.91E-2</v>
      </c>
      <c r="N234" s="70">
        <v>266459.54509676265</v>
      </c>
      <c r="O234" s="61">
        <v>94.97</v>
      </c>
      <c r="P234" s="85">
        <v>0</v>
      </c>
      <c r="Q234" s="85">
        <v>253.05663000000001</v>
      </c>
      <c r="R234" s="25">
        <v>1.3258233046976937E-4</v>
      </c>
      <c r="S234" s="25">
        <v>1.3339067166854355E-3</v>
      </c>
      <c r="T234" s="25">
        <v>4.7217483384648661E-4</v>
      </c>
    </row>
    <row r="235" spans="1:20" x14ac:dyDescent="0.25">
      <c r="A235" s="17" t="s">
        <v>1333</v>
      </c>
      <c r="B235" s="117" t="s">
        <v>1334</v>
      </c>
      <c r="C235" s="117" t="s">
        <v>410</v>
      </c>
      <c r="D235" s="117" t="s">
        <v>251</v>
      </c>
      <c r="E235" s="117" t="s">
        <v>593</v>
      </c>
      <c r="F235" s="117" t="s">
        <v>223</v>
      </c>
      <c r="G235" s="117" t="s">
        <v>537</v>
      </c>
      <c r="H235" s="117" t="s">
        <v>256</v>
      </c>
      <c r="I235" s="117" t="s">
        <v>1335</v>
      </c>
      <c r="J235" s="118">
        <v>4.92</v>
      </c>
      <c r="K235" s="118" t="s">
        <v>257</v>
      </c>
      <c r="L235" s="117">
        <v>2.0899999999999998E-2</v>
      </c>
      <c r="M235" s="117">
        <v>5.6500000000000002E-2</v>
      </c>
      <c r="N235" s="70">
        <v>4219.79931117264</v>
      </c>
      <c r="O235" s="61">
        <v>85.06</v>
      </c>
      <c r="P235" s="85">
        <v>0</v>
      </c>
      <c r="Q235" s="85">
        <v>3.5893600000000001</v>
      </c>
      <c r="R235" s="25">
        <v>2.1442069670592682E-5</v>
      </c>
      <c r="S235" s="25">
        <v>1.8920157960698502E-5</v>
      </c>
      <c r="T235" s="25">
        <v>6.6973367250453988E-6</v>
      </c>
    </row>
    <row r="236" spans="1:20" x14ac:dyDescent="0.25">
      <c r="A236" s="17" t="s">
        <v>1490</v>
      </c>
      <c r="B236" s="117" t="s">
        <v>1491</v>
      </c>
      <c r="C236" s="117" t="s">
        <v>410</v>
      </c>
      <c r="D236" s="117" t="s">
        <v>251</v>
      </c>
      <c r="E236" s="117" t="s">
        <v>1492</v>
      </c>
      <c r="F236" s="117" t="s">
        <v>225</v>
      </c>
      <c r="G236" s="117" t="s">
        <v>574</v>
      </c>
      <c r="H236" s="117" t="s">
        <v>529</v>
      </c>
      <c r="I236" s="117" t="s">
        <v>452</v>
      </c>
      <c r="J236" s="118">
        <v>3.38</v>
      </c>
      <c r="K236" s="118" t="s">
        <v>257</v>
      </c>
      <c r="L236" s="117">
        <v>7.2499999999999995E-2</v>
      </c>
      <c r="M236" s="117">
        <v>6.5500000000000003E-2</v>
      </c>
      <c r="N236" s="70">
        <v>435474.74993983138</v>
      </c>
      <c r="O236" s="61">
        <v>107.80000000000001</v>
      </c>
      <c r="P236" s="85">
        <v>0</v>
      </c>
      <c r="Q236" s="85">
        <v>469.44178000000005</v>
      </c>
      <c r="R236" s="25">
        <v>7.5081853437901965E-4</v>
      </c>
      <c r="S236" s="25">
        <v>2.4745115092806168E-3</v>
      </c>
      <c r="T236" s="25">
        <v>8.759248650078796E-4</v>
      </c>
    </row>
    <row r="237" spans="1:20" x14ac:dyDescent="0.25">
      <c r="A237" s="17" t="s">
        <v>1343</v>
      </c>
      <c r="B237" s="117" t="s">
        <v>1344</v>
      </c>
      <c r="C237" s="117" t="s">
        <v>410</v>
      </c>
      <c r="D237" s="117" t="s">
        <v>251</v>
      </c>
      <c r="E237" s="117" t="s">
        <v>924</v>
      </c>
      <c r="F237" s="117" t="s">
        <v>200</v>
      </c>
      <c r="G237" s="117" t="s">
        <v>668</v>
      </c>
      <c r="H237" s="117" t="s">
        <v>529</v>
      </c>
      <c r="I237" s="117" t="s">
        <v>925</v>
      </c>
      <c r="J237" s="118">
        <v>3.73</v>
      </c>
      <c r="K237" s="118" t="s">
        <v>257</v>
      </c>
      <c r="L237" s="117">
        <v>2.5000000000000001E-2</v>
      </c>
      <c r="M237" s="117">
        <v>4.9800000000000004E-2</v>
      </c>
      <c r="N237" s="70">
        <v>1987317.43612185</v>
      </c>
      <c r="O237" s="61">
        <v>93.11</v>
      </c>
      <c r="P237" s="85">
        <v>0</v>
      </c>
      <c r="Q237" s="85">
        <v>1850.3912600000001</v>
      </c>
      <c r="R237" s="25">
        <v>6.6980512630899526E-4</v>
      </c>
      <c r="S237" s="25">
        <v>9.7537429871330621E-3</v>
      </c>
      <c r="T237" s="25">
        <v>3.4526192249596109E-3</v>
      </c>
    </row>
    <row r="238" spans="1:20" x14ac:dyDescent="0.25">
      <c r="A238" s="17" t="s">
        <v>1219</v>
      </c>
      <c r="B238" s="117" t="s">
        <v>1220</v>
      </c>
      <c r="C238" s="117" t="s">
        <v>410</v>
      </c>
      <c r="D238" s="117" t="s">
        <v>251</v>
      </c>
      <c r="E238" s="117" t="s">
        <v>743</v>
      </c>
      <c r="F238" s="117" t="s">
        <v>200</v>
      </c>
      <c r="G238" s="117" t="s">
        <v>255</v>
      </c>
      <c r="H238" s="117" t="s">
        <v>256</v>
      </c>
      <c r="I238" s="117" t="s">
        <v>1098</v>
      </c>
      <c r="J238" s="118">
        <v>1.4</v>
      </c>
      <c r="K238" s="118" t="s">
        <v>257</v>
      </c>
      <c r="L238" s="117">
        <v>2.0199999999999999E-2</v>
      </c>
      <c r="M238" s="117">
        <v>4.9000000000000002E-2</v>
      </c>
      <c r="N238" s="70">
        <v>189291.2199346532</v>
      </c>
      <c r="O238" s="61">
        <v>97.31</v>
      </c>
      <c r="P238" s="85">
        <v>0</v>
      </c>
      <c r="Q238" s="85">
        <v>184.19929000000002</v>
      </c>
      <c r="R238" s="25">
        <v>2.2405610058567785E-4</v>
      </c>
      <c r="S238" s="25">
        <v>9.7094737308280911E-4</v>
      </c>
      <c r="T238" s="25">
        <v>3.4369488422568027E-4</v>
      </c>
    </row>
    <row r="239" spans="1:20" x14ac:dyDescent="0.25">
      <c r="A239" s="17" t="s">
        <v>1364</v>
      </c>
      <c r="B239" s="117" t="s">
        <v>1365</v>
      </c>
      <c r="C239" s="117" t="s">
        <v>410</v>
      </c>
      <c r="D239" s="117" t="s">
        <v>251</v>
      </c>
      <c r="E239" s="117" t="s">
        <v>743</v>
      </c>
      <c r="F239" s="117" t="s">
        <v>200</v>
      </c>
      <c r="G239" s="117" t="s">
        <v>668</v>
      </c>
      <c r="H239" s="117" t="s">
        <v>529</v>
      </c>
      <c r="I239" s="117" t="s">
        <v>1366</v>
      </c>
      <c r="J239" s="118">
        <v>4.01</v>
      </c>
      <c r="K239" s="118" t="s">
        <v>257</v>
      </c>
      <c r="L239" s="117">
        <v>2.76E-2</v>
      </c>
      <c r="M239" s="117">
        <v>4.8399999999999999E-2</v>
      </c>
      <c r="N239" s="70">
        <v>893722.8810374384</v>
      </c>
      <c r="O239" s="61">
        <v>93.32</v>
      </c>
      <c r="P239" s="85">
        <v>0</v>
      </c>
      <c r="Q239" s="85">
        <v>834.02218999999991</v>
      </c>
      <c r="R239" s="25">
        <v>6.6880307074107385E-4</v>
      </c>
      <c r="S239" s="25">
        <v>4.3962799990883324E-3</v>
      </c>
      <c r="T239" s="25">
        <v>1.5561903633488393E-3</v>
      </c>
    </row>
    <row r="240" spans="1:20" x14ac:dyDescent="0.25">
      <c r="A240" s="17" t="s">
        <v>1150</v>
      </c>
      <c r="B240" s="117" t="s">
        <v>1151</v>
      </c>
      <c r="C240" s="117" t="s">
        <v>410</v>
      </c>
      <c r="D240" s="117" t="s">
        <v>251</v>
      </c>
      <c r="E240" s="117" t="s">
        <v>1152</v>
      </c>
      <c r="F240" s="117" t="s">
        <v>225</v>
      </c>
      <c r="G240" s="117" t="s">
        <v>630</v>
      </c>
      <c r="H240" s="117" t="s">
        <v>256</v>
      </c>
      <c r="I240" s="117" t="s">
        <v>1153</v>
      </c>
      <c r="J240" s="118">
        <v>0.74</v>
      </c>
      <c r="K240" s="118" t="s">
        <v>257</v>
      </c>
      <c r="L240" s="117">
        <v>5.9000000000000004E-2</v>
      </c>
      <c r="M240" s="117">
        <v>5.7500000000000002E-2</v>
      </c>
      <c r="N240" s="70">
        <v>11072.620180147922</v>
      </c>
      <c r="O240" s="61">
        <v>101.61</v>
      </c>
      <c r="P240" s="85">
        <v>0</v>
      </c>
      <c r="Q240" s="85">
        <v>11.25089</v>
      </c>
      <c r="R240" s="25">
        <v>4.2080941281467338E-5</v>
      </c>
      <c r="S240" s="25">
        <v>5.9305451667830235E-5</v>
      </c>
      <c r="T240" s="25">
        <v>2.099287861525342E-5</v>
      </c>
    </row>
    <row r="241" spans="1:20" x14ac:dyDescent="0.25">
      <c r="A241" s="17" t="s">
        <v>1287</v>
      </c>
      <c r="B241" s="117" t="s">
        <v>1288</v>
      </c>
      <c r="C241" s="117" t="s">
        <v>410</v>
      </c>
      <c r="D241" s="117" t="s">
        <v>251</v>
      </c>
      <c r="E241" s="117" t="s">
        <v>1152</v>
      </c>
      <c r="F241" s="117" t="s">
        <v>225</v>
      </c>
      <c r="G241" s="117" t="s">
        <v>630</v>
      </c>
      <c r="H241" s="117" t="s">
        <v>256</v>
      </c>
      <c r="I241" s="117" t="s">
        <v>1289</v>
      </c>
      <c r="J241" s="118">
        <v>4.0199999999999996</v>
      </c>
      <c r="K241" s="118" t="s">
        <v>257</v>
      </c>
      <c r="L241" s="117">
        <v>0.05</v>
      </c>
      <c r="M241" s="117">
        <v>6.1200000000000004E-2</v>
      </c>
      <c r="N241" s="70">
        <v>221267.61517772664</v>
      </c>
      <c r="O241" s="61">
        <v>96.07</v>
      </c>
      <c r="P241" s="85">
        <v>0</v>
      </c>
      <c r="Q241" s="85">
        <v>212.5718</v>
      </c>
      <c r="R241" s="25">
        <v>2.1380087861863566E-4</v>
      </c>
      <c r="S241" s="25">
        <v>1.1205039433185887E-3</v>
      </c>
      <c r="T241" s="25">
        <v>3.9663475462171677E-4</v>
      </c>
    </row>
    <row r="242" spans="1:20" x14ac:dyDescent="0.25">
      <c r="A242" s="17" t="s">
        <v>1465</v>
      </c>
      <c r="B242" s="117" t="s">
        <v>1466</v>
      </c>
      <c r="C242" s="117" t="s">
        <v>410</v>
      </c>
      <c r="D242" s="117" t="s">
        <v>251</v>
      </c>
      <c r="E242" s="117" t="s">
        <v>1467</v>
      </c>
      <c r="F242" s="117" t="s">
        <v>226</v>
      </c>
      <c r="G242" s="117" t="s">
        <v>574</v>
      </c>
      <c r="H242" s="117" t="s">
        <v>529</v>
      </c>
      <c r="I242" s="117" t="s">
        <v>1464</v>
      </c>
      <c r="J242" s="118">
        <v>1.65</v>
      </c>
      <c r="K242" s="118" t="s">
        <v>257</v>
      </c>
      <c r="L242" s="117">
        <v>3.4700000000000002E-2</v>
      </c>
      <c r="M242" s="117">
        <v>6.2E-2</v>
      </c>
      <c r="N242" s="70">
        <v>43876.172812832177</v>
      </c>
      <c r="O242" s="61">
        <v>96.6</v>
      </c>
      <c r="P242" s="85">
        <v>0</v>
      </c>
      <c r="Q242" s="85">
        <v>42.38438</v>
      </c>
      <c r="R242" s="25">
        <v>3.6564574281255252E-4</v>
      </c>
      <c r="S242" s="25">
        <v>2.2341564085694114E-4</v>
      </c>
      <c r="T242" s="25">
        <v>7.908442305655595E-5</v>
      </c>
    </row>
    <row r="243" spans="1:20" x14ac:dyDescent="0.25">
      <c r="A243" s="17" t="s">
        <v>1182</v>
      </c>
      <c r="B243" s="117" t="s">
        <v>1183</v>
      </c>
      <c r="C243" s="117" t="s">
        <v>410</v>
      </c>
      <c r="D243" s="117" t="s">
        <v>251</v>
      </c>
      <c r="E243" s="117" t="s">
        <v>1184</v>
      </c>
      <c r="F243" s="117" t="s">
        <v>225</v>
      </c>
      <c r="G243" s="117" t="s">
        <v>689</v>
      </c>
      <c r="H243" s="117" t="s">
        <v>529</v>
      </c>
      <c r="I243" s="117" t="s">
        <v>1185</v>
      </c>
      <c r="J243" s="118">
        <v>1.1399999999999999</v>
      </c>
      <c r="K243" s="118" t="s">
        <v>257</v>
      </c>
      <c r="L243" s="117">
        <v>2.9500000000000002E-2</v>
      </c>
      <c r="M243" s="117">
        <v>5.3600000000000002E-2</v>
      </c>
      <c r="N243" s="70">
        <v>101495.55500665591</v>
      </c>
      <c r="O243" s="61">
        <v>98.35</v>
      </c>
      <c r="P243" s="85">
        <v>0</v>
      </c>
      <c r="Q243" s="85">
        <v>99.820880000000002</v>
      </c>
      <c r="R243" s="25">
        <v>8.4670002404863443E-4</v>
      </c>
      <c r="S243" s="25">
        <v>5.2617369597252148E-4</v>
      </c>
      <c r="T243" s="25">
        <v>1.8625438672920791E-4</v>
      </c>
    </row>
    <row r="244" spans="1:20" x14ac:dyDescent="0.25">
      <c r="A244" s="17" t="s">
        <v>1213</v>
      </c>
      <c r="B244" s="117" t="s">
        <v>1214</v>
      </c>
      <c r="C244" s="117" t="s">
        <v>410</v>
      </c>
      <c r="D244" s="117" t="s">
        <v>251</v>
      </c>
      <c r="E244" s="117" t="s">
        <v>917</v>
      </c>
      <c r="F244" s="117" t="s">
        <v>200</v>
      </c>
      <c r="G244" s="117" t="s">
        <v>668</v>
      </c>
      <c r="H244" s="117" t="s">
        <v>529</v>
      </c>
      <c r="I244" s="117" t="s">
        <v>1212</v>
      </c>
      <c r="J244" s="118">
        <v>3.31</v>
      </c>
      <c r="K244" s="118" t="s">
        <v>257</v>
      </c>
      <c r="L244" s="117">
        <v>2.6800000000000001E-2</v>
      </c>
      <c r="M244" s="117">
        <v>4.99E-2</v>
      </c>
      <c r="N244" s="70">
        <v>1933216.1405500406</v>
      </c>
      <c r="O244" s="61">
        <v>94.81</v>
      </c>
      <c r="P244" s="85">
        <v>0</v>
      </c>
      <c r="Q244" s="85">
        <v>1832.88222</v>
      </c>
      <c r="R244" s="25">
        <v>7.4082306046638487E-4</v>
      </c>
      <c r="S244" s="25">
        <v>9.6614497085150946E-3</v>
      </c>
      <c r="T244" s="25">
        <v>3.4199493516082918E-3</v>
      </c>
    </row>
    <row r="245" spans="1:20" x14ac:dyDescent="0.25">
      <c r="A245" s="17" t="s">
        <v>1175</v>
      </c>
      <c r="B245" s="117" t="s">
        <v>1176</v>
      </c>
      <c r="C245" s="117" t="s">
        <v>410</v>
      </c>
      <c r="D245" s="117" t="s">
        <v>251</v>
      </c>
      <c r="E245" s="117" t="s">
        <v>581</v>
      </c>
      <c r="F245" s="117" t="s">
        <v>201</v>
      </c>
      <c r="G245" s="117" t="s">
        <v>528</v>
      </c>
      <c r="H245" s="117" t="s">
        <v>529</v>
      </c>
      <c r="I245" s="117" t="s">
        <v>1177</v>
      </c>
      <c r="J245" s="118">
        <v>1.79</v>
      </c>
      <c r="K245" s="118" t="s">
        <v>257</v>
      </c>
      <c r="L245" s="117">
        <v>3.61E-2</v>
      </c>
      <c r="M245" s="117">
        <v>5.21E-2</v>
      </c>
      <c r="N245" s="70">
        <v>296999.87255653093</v>
      </c>
      <c r="O245" s="61">
        <v>97.92</v>
      </c>
      <c r="P245" s="85">
        <v>0</v>
      </c>
      <c r="Q245" s="85">
        <v>290.82228000000003</v>
      </c>
      <c r="R245" s="25">
        <v>3.869705179889654E-4</v>
      </c>
      <c r="S245" s="25">
        <v>1.5329762063684023E-3</v>
      </c>
      <c r="T245" s="25">
        <v>5.4264123306256161E-4</v>
      </c>
    </row>
    <row r="246" spans="1:20" x14ac:dyDescent="0.25">
      <c r="A246" s="17" t="s">
        <v>1206</v>
      </c>
      <c r="B246" s="117" t="s">
        <v>1207</v>
      </c>
      <c r="C246" s="117" t="s">
        <v>410</v>
      </c>
      <c r="D246" s="117" t="s">
        <v>251</v>
      </c>
      <c r="E246" s="117" t="s">
        <v>581</v>
      </c>
      <c r="F246" s="117" t="s">
        <v>201</v>
      </c>
      <c r="G246" s="117" t="s">
        <v>528</v>
      </c>
      <c r="H246" s="117" t="s">
        <v>529</v>
      </c>
      <c r="I246" s="117" t="s">
        <v>1208</v>
      </c>
      <c r="J246" s="118">
        <v>2.8</v>
      </c>
      <c r="K246" s="118" t="s">
        <v>257</v>
      </c>
      <c r="L246" s="117">
        <v>3.3000000000000002E-2</v>
      </c>
      <c r="M246" s="117">
        <v>4.8799999999999996E-2</v>
      </c>
      <c r="N246" s="70">
        <v>327059.46575246926</v>
      </c>
      <c r="O246" s="61">
        <v>96.15000000000002</v>
      </c>
      <c r="P246" s="85">
        <v>0</v>
      </c>
      <c r="Q246" s="85">
        <v>314.46767999999997</v>
      </c>
      <c r="R246" s="25">
        <v>1.0606932681005668E-3</v>
      </c>
      <c r="S246" s="25">
        <v>1.6576153350832429E-3</v>
      </c>
      <c r="T246" s="25">
        <v>5.867608548888448E-4</v>
      </c>
    </row>
    <row r="247" spans="1:20" x14ac:dyDescent="0.25">
      <c r="A247" s="17" t="s">
        <v>1224</v>
      </c>
      <c r="B247" s="117" t="s">
        <v>1225</v>
      </c>
      <c r="C247" s="117" t="s">
        <v>410</v>
      </c>
      <c r="D247" s="117" t="s">
        <v>251</v>
      </c>
      <c r="E247" s="117" t="s">
        <v>581</v>
      </c>
      <c r="F247" s="117" t="s">
        <v>201</v>
      </c>
      <c r="G247" s="117" t="s">
        <v>528</v>
      </c>
      <c r="H247" s="117" t="s">
        <v>529</v>
      </c>
      <c r="I247" s="117" t="s">
        <v>1226</v>
      </c>
      <c r="J247" s="118">
        <v>5.14</v>
      </c>
      <c r="K247" s="118" t="s">
        <v>257</v>
      </c>
      <c r="L247" s="117">
        <v>2.6200000000000001E-2</v>
      </c>
      <c r="M247" s="117">
        <v>5.2600000000000001E-2</v>
      </c>
      <c r="N247" s="70">
        <v>587022.49912006641</v>
      </c>
      <c r="O247" s="61">
        <v>88.74</v>
      </c>
      <c r="P247" s="85">
        <v>0</v>
      </c>
      <c r="Q247" s="85">
        <v>520.92376999999999</v>
      </c>
      <c r="R247" s="25">
        <v>4.5387366645512458E-4</v>
      </c>
      <c r="S247" s="25">
        <v>2.7458822781450108E-3</v>
      </c>
      <c r="T247" s="25">
        <v>9.7198439158237184E-4</v>
      </c>
    </row>
    <row r="248" spans="1:20" x14ac:dyDescent="0.25">
      <c r="A248" s="17" t="s">
        <v>1500</v>
      </c>
      <c r="B248" s="117" t="s">
        <v>1501</v>
      </c>
      <c r="C248" s="117" t="s">
        <v>410</v>
      </c>
      <c r="D248" s="117" t="s">
        <v>251</v>
      </c>
      <c r="E248" s="117" t="s">
        <v>581</v>
      </c>
      <c r="F248" s="117" t="s">
        <v>201</v>
      </c>
      <c r="G248" s="117" t="s">
        <v>528</v>
      </c>
      <c r="H248" s="117" t="s">
        <v>529</v>
      </c>
      <c r="I248" s="117" t="s">
        <v>1208</v>
      </c>
      <c r="J248" s="118">
        <v>1.29</v>
      </c>
      <c r="K248" s="118" t="s">
        <v>257</v>
      </c>
      <c r="L248" s="117">
        <v>6.0900000333786009E-2</v>
      </c>
      <c r="M248" s="117">
        <v>5.45E-2</v>
      </c>
      <c r="N248" s="70">
        <v>37013.640822477355</v>
      </c>
      <c r="O248" s="61">
        <v>101.96000000000001</v>
      </c>
      <c r="P248" s="85">
        <v>0</v>
      </c>
      <c r="Q248" s="85">
        <v>37.739110000000004</v>
      </c>
      <c r="R248" s="25">
        <v>1.2617612748800014E-4</v>
      </c>
      <c r="S248" s="25">
        <v>1.9892959260040129E-4</v>
      </c>
      <c r="T248" s="25">
        <v>7.0416878600510418E-5</v>
      </c>
    </row>
    <row r="249" spans="1:20" x14ac:dyDescent="0.25">
      <c r="A249" s="17" t="s">
        <v>1157</v>
      </c>
      <c r="B249" s="117" t="s">
        <v>1158</v>
      </c>
      <c r="C249" s="117" t="s">
        <v>410</v>
      </c>
      <c r="D249" s="117" t="s">
        <v>251</v>
      </c>
      <c r="E249" s="117" t="s">
        <v>1086</v>
      </c>
      <c r="F249" s="117" t="s">
        <v>201</v>
      </c>
      <c r="G249" s="117" t="s">
        <v>528</v>
      </c>
      <c r="H249" s="117" t="s">
        <v>529</v>
      </c>
      <c r="I249" s="117" t="s">
        <v>1159</v>
      </c>
      <c r="J249" s="118">
        <v>4.74</v>
      </c>
      <c r="K249" s="118" t="s">
        <v>257</v>
      </c>
      <c r="L249" s="117">
        <v>3.95E-2</v>
      </c>
      <c r="M249" s="117">
        <v>5.1399999999999994E-2</v>
      </c>
      <c r="N249" s="70">
        <v>181463.99511791352</v>
      </c>
      <c r="O249" s="61">
        <v>95.79</v>
      </c>
      <c r="P249" s="85">
        <v>0</v>
      </c>
      <c r="Q249" s="85">
        <v>173.82435999999998</v>
      </c>
      <c r="R249" s="25">
        <v>7.5606856185894212E-4</v>
      </c>
      <c r="S249" s="25">
        <v>9.1625926310465427E-4</v>
      </c>
      <c r="T249" s="25">
        <v>3.2433644714810223E-4</v>
      </c>
    </row>
    <row r="250" spans="1:20" x14ac:dyDescent="0.25">
      <c r="A250" s="17" t="s">
        <v>1160</v>
      </c>
      <c r="B250" s="117" t="s">
        <v>1161</v>
      </c>
      <c r="C250" s="117" t="s">
        <v>410</v>
      </c>
      <c r="D250" s="117" t="s">
        <v>251</v>
      </c>
      <c r="E250" s="117" t="s">
        <v>1086</v>
      </c>
      <c r="F250" s="117" t="s">
        <v>201</v>
      </c>
      <c r="G250" s="117" t="s">
        <v>528</v>
      </c>
      <c r="H250" s="117" t="s">
        <v>529</v>
      </c>
      <c r="I250" s="117" t="s">
        <v>1159</v>
      </c>
      <c r="J250" s="118">
        <v>5.52</v>
      </c>
      <c r="K250" s="118" t="s">
        <v>257</v>
      </c>
      <c r="L250" s="117">
        <v>3.95E-2</v>
      </c>
      <c r="M250" s="117">
        <v>5.2300000000000006E-2</v>
      </c>
      <c r="N250" s="70">
        <v>130109.22835275166</v>
      </c>
      <c r="O250" s="61">
        <v>94.53</v>
      </c>
      <c r="P250" s="85">
        <v>0</v>
      </c>
      <c r="Q250" s="85">
        <v>122.99225</v>
      </c>
      <c r="R250" s="25">
        <v>5.4209925832020181E-4</v>
      </c>
      <c r="S250" s="25">
        <v>6.4831412785056953E-4</v>
      </c>
      <c r="T250" s="25">
        <v>2.2948952259482607E-4</v>
      </c>
    </row>
    <row r="251" spans="1:20" x14ac:dyDescent="0.25">
      <c r="A251" s="17" t="s">
        <v>1188</v>
      </c>
      <c r="B251" s="117" t="s">
        <v>1189</v>
      </c>
      <c r="C251" s="117" t="s">
        <v>410</v>
      </c>
      <c r="D251" s="117" t="s">
        <v>251</v>
      </c>
      <c r="E251" s="117" t="s">
        <v>1086</v>
      </c>
      <c r="F251" s="117" t="s">
        <v>201</v>
      </c>
      <c r="G251" s="117" t="s">
        <v>528</v>
      </c>
      <c r="H251" s="117" t="s">
        <v>529</v>
      </c>
      <c r="I251" s="117" t="s">
        <v>1190</v>
      </c>
      <c r="J251" s="118">
        <v>6.44</v>
      </c>
      <c r="K251" s="118" t="s">
        <v>257</v>
      </c>
      <c r="L251" s="117">
        <v>3.0499999999999999E-2</v>
      </c>
      <c r="M251" s="117">
        <v>5.5199999999999999E-2</v>
      </c>
      <c r="N251" s="70">
        <v>480104.03605689545</v>
      </c>
      <c r="O251" s="61">
        <v>86.53</v>
      </c>
      <c r="P251" s="85">
        <v>0</v>
      </c>
      <c r="Q251" s="85">
        <v>415.43402000000003</v>
      </c>
      <c r="R251" s="25">
        <v>6.5869503205557558E-4</v>
      </c>
      <c r="S251" s="25">
        <v>2.1898269554037433E-3</v>
      </c>
      <c r="T251" s="25">
        <v>7.7515253944414732E-4</v>
      </c>
    </row>
    <row r="252" spans="1:20" x14ac:dyDescent="0.25">
      <c r="A252" s="17" t="s">
        <v>1191</v>
      </c>
      <c r="B252" s="117" t="s">
        <v>1192</v>
      </c>
      <c r="C252" s="117" t="s">
        <v>410</v>
      </c>
      <c r="D252" s="117" t="s">
        <v>251</v>
      </c>
      <c r="E252" s="117" t="s">
        <v>1086</v>
      </c>
      <c r="F252" s="117" t="s">
        <v>201</v>
      </c>
      <c r="G252" s="117" t="s">
        <v>528</v>
      </c>
      <c r="H252" s="117" t="s">
        <v>529</v>
      </c>
      <c r="I252" s="117" t="s">
        <v>1190</v>
      </c>
      <c r="J252" s="118">
        <v>7.2</v>
      </c>
      <c r="K252" s="118" t="s">
        <v>257</v>
      </c>
      <c r="L252" s="117">
        <v>3.0499999999999999E-2</v>
      </c>
      <c r="M252" s="117">
        <v>5.5599999999999997E-2</v>
      </c>
      <c r="N252" s="70">
        <v>558671.85773733479</v>
      </c>
      <c r="O252" s="61">
        <v>84.73</v>
      </c>
      <c r="P252" s="85">
        <v>0</v>
      </c>
      <c r="Q252" s="85">
        <v>473.36266999999998</v>
      </c>
      <c r="R252" s="25">
        <v>8.1837077526092253E-4</v>
      </c>
      <c r="S252" s="25">
        <v>2.4951792211140695E-3</v>
      </c>
      <c r="T252" s="25">
        <v>8.8324079893255215E-4</v>
      </c>
    </row>
    <row r="253" spans="1:20" x14ac:dyDescent="0.25">
      <c r="A253" s="17" t="s">
        <v>1221</v>
      </c>
      <c r="B253" s="117" t="s">
        <v>1222</v>
      </c>
      <c r="C253" s="117" t="s">
        <v>410</v>
      </c>
      <c r="D253" s="117" t="s">
        <v>251</v>
      </c>
      <c r="E253" s="117" t="s">
        <v>1086</v>
      </c>
      <c r="F253" s="117" t="s">
        <v>201</v>
      </c>
      <c r="G253" s="117" t="s">
        <v>528</v>
      </c>
      <c r="H253" s="117" t="s">
        <v>529</v>
      </c>
      <c r="I253" s="117" t="s">
        <v>1223</v>
      </c>
      <c r="J253" s="118">
        <v>2.64</v>
      </c>
      <c r="K253" s="118" t="s">
        <v>257</v>
      </c>
      <c r="L253" s="117">
        <v>2.9100000000000001E-2</v>
      </c>
      <c r="M253" s="117">
        <v>5.28E-2</v>
      </c>
      <c r="N253" s="70">
        <v>303883.94667063066</v>
      </c>
      <c r="O253" s="61">
        <v>94.88</v>
      </c>
      <c r="P253" s="85">
        <v>0</v>
      </c>
      <c r="Q253" s="85">
        <v>288.32509000000005</v>
      </c>
      <c r="R253" s="25">
        <v>5.064732444510511E-4</v>
      </c>
      <c r="S253" s="25">
        <v>1.519813071643026E-3</v>
      </c>
      <c r="T253" s="25">
        <v>5.3798176109641277E-4</v>
      </c>
    </row>
    <row r="254" spans="1:20" x14ac:dyDescent="0.25">
      <c r="A254" s="17" t="s">
        <v>1345</v>
      </c>
      <c r="B254" s="117" t="s">
        <v>1346</v>
      </c>
      <c r="C254" s="117" t="s">
        <v>410</v>
      </c>
      <c r="D254" s="117" t="s">
        <v>251</v>
      </c>
      <c r="E254" s="117" t="s">
        <v>1086</v>
      </c>
      <c r="F254" s="117" t="s">
        <v>201</v>
      </c>
      <c r="G254" s="117" t="s">
        <v>528</v>
      </c>
      <c r="H254" s="117" t="s">
        <v>529</v>
      </c>
      <c r="I254" s="117" t="s">
        <v>1347</v>
      </c>
      <c r="J254" s="118">
        <v>8.06</v>
      </c>
      <c r="K254" s="118" t="s">
        <v>257</v>
      </c>
      <c r="L254" s="117">
        <v>2.63E-2</v>
      </c>
      <c r="M254" s="117">
        <v>5.62E-2</v>
      </c>
      <c r="N254" s="70">
        <v>569913.04026449146</v>
      </c>
      <c r="O254" s="61">
        <v>79.77</v>
      </c>
      <c r="P254" s="85">
        <v>0</v>
      </c>
      <c r="Q254" s="85">
        <v>454.61963000000003</v>
      </c>
      <c r="R254" s="25">
        <v>8.2156496004637714E-4</v>
      </c>
      <c r="S254" s="25">
        <v>2.3963813079864674E-3</v>
      </c>
      <c r="T254" s="25">
        <v>8.4826842220494766E-4</v>
      </c>
    </row>
    <row r="255" spans="1:20" x14ac:dyDescent="0.25">
      <c r="A255" s="17" t="s">
        <v>1408</v>
      </c>
      <c r="B255" s="117" t="s">
        <v>1409</v>
      </c>
      <c r="C255" s="117" t="s">
        <v>410</v>
      </c>
      <c r="D255" s="117" t="s">
        <v>251</v>
      </c>
      <c r="E255" s="117" t="s">
        <v>1086</v>
      </c>
      <c r="F255" s="117" t="s">
        <v>201</v>
      </c>
      <c r="G255" s="117" t="s">
        <v>537</v>
      </c>
      <c r="H255" s="117" t="s">
        <v>256</v>
      </c>
      <c r="I255" s="117" t="s">
        <v>1410</v>
      </c>
      <c r="J255" s="118">
        <v>5.46</v>
      </c>
      <c r="K255" s="118" t="s">
        <v>257</v>
      </c>
      <c r="L255" s="117">
        <v>4.3799999999999999E-2</v>
      </c>
      <c r="M255" s="117">
        <v>5.3099999999999994E-2</v>
      </c>
      <c r="N255" s="70">
        <v>545364.5288802631</v>
      </c>
      <c r="O255" s="61">
        <v>96.52</v>
      </c>
      <c r="P255" s="85">
        <v>0</v>
      </c>
      <c r="Q255" s="85">
        <v>526.38583999999992</v>
      </c>
      <c r="R255" s="25">
        <v>1.0907290577605261E-3</v>
      </c>
      <c r="S255" s="25">
        <v>2.7746738251596291E-3</v>
      </c>
      <c r="T255" s="25">
        <v>9.821759917578261E-4</v>
      </c>
    </row>
    <row r="256" spans="1:20" x14ac:dyDescent="0.25">
      <c r="A256" s="17" t="s">
        <v>1458</v>
      </c>
      <c r="B256" s="117" t="s">
        <v>1459</v>
      </c>
      <c r="C256" s="117" t="s">
        <v>410</v>
      </c>
      <c r="D256" s="117" t="s">
        <v>251</v>
      </c>
      <c r="E256" s="117" t="s">
        <v>1086</v>
      </c>
      <c r="F256" s="117" t="s">
        <v>201</v>
      </c>
      <c r="G256" s="117" t="s">
        <v>528</v>
      </c>
      <c r="H256" s="117" t="s">
        <v>529</v>
      </c>
      <c r="I256" s="117" t="s">
        <v>1460</v>
      </c>
      <c r="J256" s="118">
        <v>4.09</v>
      </c>
      <c r="K256" s="118" t="s">
        <v>257</v>
      </c>
      <c r="L256" s="117">
        <v>1.7899999999999999E-2</v>
      </c>
      <c r="M256" s="117">
        <v>5.0599999999999999E-2</v>
      </c>
      <c r="N256" s="70">
        <v>205154.91828514505</v>
      </c>
      <c r="O256" s="61">
        <v>88.26</v>
      </c>
      <c r="P256" s="85">
        <v>0</v>
      </c>
      <c r="Q256" s="85">
        <v>181.06973000000002</v>
      </c>
      <c r="R256" s="25">
        <v>5.8615690938612869E-4</v>
      </c>
      <c r="S256" s="25">
        <v>9.544509030860734E-4</v>
      </c>
      <c r="T256" s="25">
        <v>3.3785548190291712E-4</v>
      </c>
    </row>
    <row r="257" spans="1:20" x14ac:dyDescent="0.25">
      <c r="A257" s="17" t="s">
        <v>1322</v>
      </c>
      <c r="B257" s="117" t="s">
        <v>1323</v>
      </c>
      <c r="C257" s="117" t="s">
        <v>410</v>
      </c>
      <c r="D257" s="117" t="s">
        <v>251</v>
      </c>
      <c r="E257" s="117" t="s">
        <v>1324</v>
      </c>
      <c r="F257" s="117" t="s">
        <v>201</v>
      </c>
      <c r="G257" s="117" t="s">
        <v>625</v>
      </c>
      <c r="H257" s="117" t="s">
        <v>529</v>
      </c>
      <c r="I257" s="117" t="s">
        <v>1325</v>
      </c>
      <c r="J257" s="118">
        <v>5.37</v>
      </c>
      <c r="K257" s="118" t="s">
        <v>257</v>
      </c>
      <c r="L257" s="117">
        <v>1.95E-2</v>
      </c>
      <c r="M257" s="117">
        <v>5.2999999999999999E-2</v>
      </c>
      <c r="N257" s="70">
        <v>561496.40561186918</v>
      </c>
      <c r="O257" s="61">
        <v>83.94</v>
      </c>
      <c r="P257" s="85">
        <v>0</v>
      </c>
      <c r="Q257" s="85">
        <v>471.32008000000002</v>
      </c>
      <c r="R257" s="25">
        <v>4.9250480307693389E-4</v>
      </c>
      <c r="S257" s="25">
        <v>2.4844123642234423E-3</v>
      </c>
      <c r="T257" s="25">
        <v>8.7942955876126527E-4</v>
      </c>
    </row>
    <row r="258" spans="1:20" x14ac:dyDescent="0.25">
      <c r="A258" s="17" t="s">
        <v>1430</v>
      </c>
      <c r="B258" s="117" t="s">
        <v>1431</v>
      </c>
      <c r="C258" s="117" t="s">
        <v>410</v>
      </c>
      <c r="D258" s="117" t="s">
        <v>251</v>
      </c>
      <c r="E258" s="117" t="s">
        <v>523</v>
      </c>
      <c r="F258" s="117" t="s">
        <v>223</v>
      </c>
      <c r="G258" s="117" t="s">
        <v>524</v>
      </c>
      <c r="H258" s="117" t="s">
        <v>256</v>
      </c>
      <c r="I258" s="117" t="s">
        <v>1432</v>
      </c>
      <c r="J258" s="118">
        <v>3.61</v>
      </c>
      <c r="K258" s="118" t="s">
        <v>257</v>
      </c>
      <c r="L258" s="117">
        <v>3.95E-2</v>
      </c>
      <c r="M258" s="117">
        <v>9.1499999999999998E-2</v>
      </c>
      <c r="N258" s="70">
        <v>1438837.9684677927</v>
      </c>
      <c r="O258" s="61">
        <v>84.53</v>
      </c>
      <c r="P258" s="85">
        <v>0</v>
      </c>
      <c r="Q258" s="85">
        <v>1216.24973</v>
      </c>
      <c r="R258" s="25">
        <v>9.1948584985414728E-4</v>
      </c>
      <c r="S258" s="25">
        <v>6.4110696645800092E-3</v>
      </c>
      <c r="T258" s="25">
        <v>2.2693833952447092E-3</v>
      </c>
    </row>
    <row r="259" spans="1:20" x14ac:dyDescent="0.25">
      <c r="A259" s="17" t="s">
        <v>1197</v>
      </c>
      <c r="B259" s="117" t="s">
        <v>1198</v>
      </c>
      <c r="C259" s="117" t="s">
        <v>410</v>
      </c>
      <c r="D259" s="117" t="s">
        <v>251</v>
      </c>
      <c r="E259" s="117" t="s">
        <v>527</v>
      </c>
      <c r="F259" s="117" t="s">
        <v>223</v>
      </c>
      <c r="G259" s="117" t="s">
        <v>545</v>
      </c>
      <c r="H259" s="117" t="s">
        <v>256</v>
      </c>
      <c r="I259" s="117" t="s">
        <v>1199</v>
      </c>
      <c r="J259" s="118">
        <v>5.79</v>
      </c>
      <c r="K259" s="118" t="s">
        <v>257</v>
      </c>
      <c r="L259" s="117">
        <v>2.5499999999999998E-2</v>
      </c>
      <c r="M259" s="117">
        <v>5.5500000000000001E-2</v>
      </c>
      <c r="N259" s="70">
        <v>850202.36523255892</v>
      </c>
      <c r="O259" s="61">
        <v>84.91</v>
      </c>
      <c r="P259" s="85">
        <v>0</v>
      </c>
      <c r="Q259" s="85">
        <v>721.90683000000001</v>
      </c>
      <c r="R259" s="25">
        <v>6.2383039160460792E-4</v>
      </c>
      <c r="S259" s="25">
        <v>3.8052999020736617E-3</v>
      </c>
      <c r="T259" s="25">
        <v>1.3469958779894202E-3</v>
      </c>
    </row>
    <row r="260" spans="1:20" x14ac:dyDescent="0.25">
      <c r="A260" s="17" t="s">
        <v>1203</v>
      </c>
      <c r="B260" s="117" t="s">
        <v>1204</v>
      </c>
      <c r="C260" s="117" t="s">
        <v>410</v>
      </c>
      <c r="D260" s="117" t="s">
        <v>251</v>
      </c>
      <c r="E260" s="117" t="s">
        <v>519</v>
      </c>
      <c r="F260" s="117" t="s">
        <v>228</v>
      </c>
      <c r="G260" s="117" t="s">
        <v>520</v>
      </c>
      <c r="H260" s="117" t="s">
        <v>256</v>
      </c>
      <c r="I260" s="117" t="s">
        <v>1205</v>
      </c>
      <c r="J260" s="118">
        <v>1.55</v>
      </c>
      <c r="K260" s="118" t="s">
        <v>257</v>
      </c>
      <c r="L260" s="117">
        <v>4.8000000000000001E-2</v>
      </c>
      <c r="M260" s="117">
        <v>0.1401</v>
      </c>
      <c r="N260" s="70">
        <v>751815.05339174485</v>
      </c>
      <c r="O260" s="61">
        <v>89.7</v>
      </c>
      <c r="P260" s="85">
        <v>0</v>
      </c>
      <c r="Q260" s="85">
        <v>674.37810000000002</v>
      </c>
      <c r="R260" s="25">
        <v>6.6291035514268952E-4</v>
      </c>
      <c r="S260" s="25">
        <v>3.5547674730970783E-3</v>
      </c>
      <c r="T260" s="25">
        <v>1.2583126840707921E-3</v>
      </c>
    </row>
    <row r="261" spans="1:20" x14ac:dyDescent="0.25">
      <c r="A261" s="17" t="s">
        <v>1330</v>
      </c>
      <c r="B261" s="117" t="s">
        <v>1331</v>
      </c>
      <c r="C261" s="117" t="s">
        <v>410</v>
      </c>
      <c r="D261" s="117" t="s">
        <v>251</v>
      </c>
      <c r="E261" s="117" t="s">
        <v>519</v>
      </c>
      <c r="F261" s="117" t="s">
        <v>228</v>
      </c>
      <c r="G261" s="117" t="s">
        <v>520</v>
      </c>
      <c r="H261" s="117" t="s">
        <v>256</v>
      </c>
      <c r="I261" s="117" t="s">
        <v>1332</v>
      </c>
      <c r="J261" s="118">
        <v>2.81</v>
      </c>
      <c r="K261" s="118" t="s">
        <v>257</v>
      </c>
      <c r="L261" s="117">
        <v>3.4000000000000002E-2</v>
      </c>
      <c r="M261" s="117">
        <v>0.13880000000000001</v>
      </c>
      <c r="N261" s="70">
        <v>643557.78051752422</v>
      </c>
      <c r="O261" s="61">
        <v>77.959999999999994</v>
      </c>
      <c r="P261" s="85">
        <v>0</v>
      </c>
      <c r="Q261" s="85">
        <v>501.71765000000005</v>
      </c>
      <c r="R261" s="25">
        <v>1.2871155610350484E-3</v>
      </c>
      <c r="S261" s="25">
        <v>2.6446433875873259E-3</v>
      </c>
      <c r="T261" s="25">
        <v>9.3614796034626607E-4</v>
      </c>
    </row>
    <row r="262" spans="1:20" x14ac:dyDescent="0.25">
      <c r="A262" s="17" t="s">
        <v>1215</v>
      </c>
      <c r="B262" s="117" t="s">
        <v>1216</v>
      </c>
      <c r="C262" s="117" t="s">
        <v>410</v>
      </c>
      <c r="D262" s="117" t="s">
        <v>251</v>
      </c>
      <c r="E262" s="117" t="s">
        <v>1217</v>
      </c>
      <c r="F262" s="117" t="s">
        <v>206</v>
      </c>
      <c r="G262" s="117" t="s">
        <v>630</v>
      </c>
      <c r="H262" s="117" t="s">
        <v>256</v>
      </c>
      <c r="I262" s="117" t="s">
        <v>1218</v>
      </c>
      <c r="J262" s="118">
        <v>2.7</v>
      </c>
      <c r="K262" s="118" t="s">
        <v>257</v>
      </c>
      <c r="L262" s="117">
        <v>0.04</v>
      </c>
      <c r="M262" s="117">
        <v>5.3800000000000001E-2</v>
      </c>
      <c r="N262" s="70">
        <v>22232.416366363374</v>
      </c>
      <c r="O262" s="61">
        <v>97.49</v>
      </c>
      <c r="P262" s="85">
        <v>0</v>
      </c>
      <c r="Q262" s="85">
        <v>21.674379999999999</v>
      </c>
      <c r="R262" s="25">
        <v>3.2662659062001263E-5</v>
      </c>
      <c r="S262" s="25">
        <v>1.1424953008341442E-4</v>
      </c>
      <c r="T262" s="25">
        <v>4.0441923119048928E-5</v>
      </c>
    </row>
    <row r="263" spans="1:20" x14ac:dyDescent="0.25">
      <c r="A263" s="17" t="s">
        <v>1294</v>
      </c>
      <c r="B263" s="117" t="s">
        <v>1295</v>
      </c>
      <c r="C263" s="117" t="s">
        <v>410</v>
      </c>
      <c r="D263" s="117" t="s">
        <v>251</v>
      </c>
      <c r="E263" s="117" t="s">
        <v>1296</v>
      </c>
      <c r="F263" s="117" t="s">
        <v>203</v>
      </c>
      <c r="G263" s="117" t="s">
        <v>537</v>
      </c>
      <c r="H263" s="117" t="s">
        <v>256</v>
      </c>
      <c r="I263" s="117" t="s">
        <v>1297</v>
      </c>
      <c r="J263" s="118">
        <v>2.5499999999999998</v>
      </c>
      <c r="K263" s="118" t="s">
        <v>257</v>
      </c>
      <c r="L263" s="117">
        <v>2.18E-2</v>
      </c>
      <c r="M263" s="117">
        <v>5.62E-2</v>
      </c>
      <c r="N263" s="70">
        <v>137269.80796467396</v>
      </c>
      <c r="O263" s="61">
        <v>92.07</v>
      </c>
      <c r="P263" s="85">
        <v>0</v>
      </c>
      <c r="Q263" s="85">
        <v>126.38431</v>
      </c>
      <c r="R263" s="25">
        <v>3.2782964213327279E-4</v>
      </c>
      <c r="S263" s="25">
        <v>6.6619428225474372E-4</v>
      </c>
      <c r="T263" s="25">
        <v>2.3581872000371162E-4</v>
      </c>
    </row>
    <row r="264" spans="1:20" x14ac:dyDescent="0.25">
      <c r="A264" s="17" t="s">
        <v>1372</v>
      </c>
      <c r="B264" s="117" t="s">
        <v>1373</v>
      </c>
      <c r="C264" s="117" t="s">
        <v>410</v>
      </c>
      <c r="D264" s="117" t="s">
        <v>251</v>
      </c>
      <c r="E264" s="117" t="s">
        <v>1296</v>
      </c>
      <c r="F264" s="117" t="s">
        <v>203</v>
      </c>
      <c r="G264" s="117" t="s">
        <v>537</v>
      </c>
      <c r="H264" s="117" t="s">
        <v>256</v>
      </c>
      <c r="I264" s="117" t="s">
        <v>1374</v>
      </c>
      <c r="J264" s="118">
        <v>3.11</v>
      </c>
      <c r="K264" s="118" t="s">
        <v>257</v>
      </c>
      <c r="L264" s="117">
        <v>2.18E-2</v>
      </c>
      <c r="M264" s="117">
        <v>5.5199999999999999E-2</v>
      </c>
      <c r="N264" s="70">
        <v>134059.3866340314</v>
      </c>
      <c r="O264" s="61">
        <v>91.407674</v>
      </c>
      <c r="P264" s="85">
        <v>0</v>
      </c>
      <c r="Q264" s="85">
        <v>122.54057</v>
      </c>
      <c r="R264" s="25">
        <v>3.2016246978469322E-4</v>
      </c>
      <c r="S264" s="25">
        <v>6.4593324185761023E-4</v>
      </c>
      <c r="T264" s="25">
        <v>2.2864673918720786E-4</v>
      </c>
    </row>
    <row r="265" spans="1:20" x14ac:dyDescent="0.25">
      <c r="A265" s="17" t="s">
        <v>1290</v>
      </c>
      <c r="B265" s="117" t="s">
        <v>1291</v>
      </c>
      <c r="C265" s="117" t="s">
        <v>410</v>
      </c>
      <c r="D265" s="117" t="s">
        <v>251</v>
      </c>
      <c r="E265" s="117" t="s">
        <v>1292</v>
      </c>
      <c r="F265" s="117" t="s">
        <v>226</v>
      </c>
      <c r="G265" s="117" t="s">
        <v>533</v>
      </c>
      <c r="H265" s="117" t="s">
        <v>533</v>
      </c>
      <c r="I265" s="117" t="s">
        <v>1293</v>
      </c>
      <c r="J265" s="118">
        <v>2.61</v>
      </c>
      <c r="K265" s="118" t="s">
        <v>257</v>
      </c>
      <c r="L265" s="117">
        <v>3.95E-2</v>
      </c>
      <c r="M265" s="117">
        <v>8.5199999999999998E-2</v>
      </c>
      <c r="N265" s="70">
        <v>203519.69669383916</v>
      </c>
      <c r="O265" s="61">
        <v>90.26</v>
      </c>
      <c r="P265" s="85">
        <v>0</v>
      </c>
      <c r="Q265" s="85">
        <v>183.69687999999999</v>
      </c>
      <c r="R265" s="25">
        <v>2.4274251828305113E-4</v>
      </c>
      <c r="S265" s="25">
        <v>9.6829908019465229E-4</v>
      </c>
      <c r="T265" s="25">
        <v>3.4275744441913253E-4</v>
      </c>
    </row>
    <row r="266" spans="1:20" x14ac:dyDescent="0.25">
      <c r="A266" s="17" t="s">
        <v>1275</v>
      </c>
      <c r="B266" s="117" t="s">
        <v>1276</v>
      </c>
      <c r="C266" s="117" t="s">
        <v>410</v>
      </c>
      <c r="D266" s="117" t="s">
        <v>251</v>
      </c>
      <c r="E266" s="117" t="s">
        <v>1277</v>
      </c>
      <c r="F266" s="117" t="s">
        <v>215</v>
      </c>
      <c r="G266" s="117" t="s">
        <v>545</v>
      </c>
      <c r="H266" s="117" t="s">
        <v>256</v>
      </c>
      <c r="I266" s="117" t="s">
        <v>1278</v>
      </c>
      <c r="J266" s="118">
        <v>3.79</v>
      </c>
      <c r="K266" s="118" t="s">
        <v>257</v>
      </c>
      <c r="L266" s="117">
        <v>2.3E-2</v>
      </c>
      <c r="M266" s="117">
        <v>5.4600000000000003E-2</v>
      </c>
      <c r="N266" s="70">
        <v>684129.7750064641</v>
      </c>
      <c r="O266" s="61">
        <v>89.710000000000008</v>
      </c>
      <c r="P266" s="85">
        <v>0</v>
      </c>
      <c r="Q266" s="85">
        <v>613.73281999999995</v>
      </c>
      <c r="R266" s="25">
        <v>1.0655697559676771E-3</v>
      </c>
      <c r="S266" s="25">
        <v>3.2350953652085439E-3</v>
      </c>
      <c r="T266" s="25">
        <v>1.1451555025831003E-3</v>
      </c>
    </row>
    <row r="267" spans="1:20" x14ac:dyDescent="0.25">
      <c r="A267" s="17" t="s">
        <v>3062</v>
      </c>
      <c r="B267" s="117" t="s">
        <v>1417</v>
      </c>
      <c r="C267" s="117" t="s">
        <v>410</v>
      </c>
      <c r="D267" s="117" t="s">
        <v>251</v>
      </c>
      <c r="E267" s="117" t="s">
        <v>1418</v>
      </c>
      <c r="F267" s="117" t="s">
        <v>221</v>
      </c>
      <c r="G267" s="117" t="s">
        <v>630</v>
      </c>
      <c r="H267" s="117" t="s">
        <v>256</v>
      </c>
      <c r="I267" s="117" t="s">
        <v>1419</v>
      </c>
      <c r="J267" s="118">
        <v>0</v>
      </c>
      <c r="K267" s="118" t="s">
        <v>257</v>
      </c>
      <c r="L267" s="117">
        <v>1.9E-2</v>
      </c>
      <c r="M267" s="117">
        <v>5.6500000000000002E-2</v>
      </c>
      <c r="N267" s="70">
        <v>350991.83291101182</v>
      </c>
      <c r="O267" s="61">
        <v>88.028604000000001</v>
      </c>
      <c r="P267" s="85">
        <v>0</v>
      </c>
      <c r="Q267" s="85">
        <v>308.97320999999999</v>
      </c>
      <c r="R267" s="25">
        <v>1.0085972210086547E-3</v>
      </c>
      <c r="S267" s="25">
        <v>1.628653001878906E-3</v>
      </c>
      <c r="T267" s="25">
        <v>5.7650880000561773E-4</v>
      </c>
    </row>
    <row r="268" spans="1:20" x14ac:dyDescent="0.25">
      <c r="A268" s="17" t="s">
        <v>1353</v>
      </c>
      <c r="B268" s="117" t="s">
        <v>1354</v>
      </c>
      <c r="C268" s="117" t="s">
        <v>410</v>
      </c>
      <c r="D268" s="117" t="s">
        <v>251</v>
      </c>
      <c r="E268" s="117" t="s">
        <v>1355</v>
      </c>
      <c r="F268" s="117" t="s">
        <v>201</v>
      </c>
      <c r="G268" s="117" t="s">
        <v>677</v>
      </c>
      <c r="H268" s="117" t="s">
        <v>529</v>
      </c>
      <c r="I268" s="117" t="s">
        <v>1356</v>
      </c>
      <c r="J268" s="118">
        <v>5.97</v>
      </c>
      <c r="K268" s="118" t="s">
        <v>257</v>
      </c>
      <c r="L268" s="117">
        <v>2.3799999999999998E-2</v>
      </c>
      <c r="M268" s="117">
        <v>5.7699999999999994E-2</v>
      </c>
      <c r="N268" s="70">
        <v>284431.95186946541</v>
      </c>
      <c r="O268" s="61">
        <v>83.2</v>
      </c>
      <c r="P268" s="85">
        <v>0</v>
      </c>
      <c r="Q268" s="85">
        <v>236.64738</v>
      </c>
      <c r="R268" s="25">
        <v>4.3747656651690789E-4</v>
      </c>
      <c r="S268" s="25">
        <v>1.2474106276844461E-3</v>
      </c>
      <c r="T268" s="25">
        <v>4.4155704330570741E-4</v>
      </c>
    </row>
    <row r="269" spans="1:20" x14ac:dyDescent="0.25">
      <c r="A269" s="17" t="s">
        <v>1367</v>
      </c>
      <c r="B269" s="117" t="s">
        <v>1368</v>
      </c>
      <c r="C269" s="117" t="s">
        <v>410</v>
      </c>
      <c r="D269" s="117" t="s">
        <v>251</v>
      </c>
      <c r="E269" s="117" t="s">
        <v>1355</v>
      </c>
      <c r="F269" s="117" t="s">
        <v>201</v>
      </c>
      <c r="G269" s="117" t="s">
        <v>677</v>
      </c>
      <c r="H269" s="117" t="s">
        <v>529</v>
      </c>
      <c r="I269" s="117" t="s">
        <v>1369</v>
      </c>
      <c r="J269" s="118">
        <v>4.18</v>
      </c>
      <c r="K269" s="118" t="s">
        <v>257</v>
      </c>
      <c r="L269" s="117">
        <v>3.2599999999999997E-2</v>
      </c>
      <c r="M269" s="117">
        <v>5.4900000000000004E-2</v>
      </c>
      <c r="N269" s="70">
        <v>266554.32545057515</v>
      </c>
      <c r="O269" s="61">
        <v>92.89</v>
      </c>
      <c r="P269" s="85">
        <v>0</v>
      </c>
      <c r="Q269" s="85">
        <v>247.60230999999999</v>
      </c>
      <c r="R269" s="25">
        <v>2.7041833301096887E-4</v>
      </c>
      <c r="S269" s="25">
        <v>1.3051560213057029E-3</v>
      </c>
      <c r="T269" s="25">
        <v>4.6199769428786062E-4</v>
      </c>
    </row>
    <row r="270" spans="1:20" x14ac:dyDescent="0.25">
      <c r="A270" s="17" t="s">
        <v>1402</v>
      </c>
      <c r="B270" s="117" t="s">
        <v>1403</v>
      </c>
      <c r="C270" s="117" t="s">
        <v>410</v>
      </c>
      <c r="D270" s="117" t="s">
        <v>251</v>
      </c>
      <c r="E270" s="117" t="s">
        <v>1355</v>
      </c>
      <c r="F270" s="117" t="s">
        <v>201</v>
      </c>
      <c r="G270" s="117" t="s">
        <v>677</v>
      </c>
      <c r="H270" s="117" t="s">
        <v>529</v>
      </c>
      <c r="I270" s="117" t="s">
        <v>1404</v>
      </c>
      <c r="J270" s="118">
        <v>5.26</v>
      </c>
      <c r="K270" s="118" t="s">
        <v>257</v>
      </c>
      <c r="L270" s="117">
        <v>5.1699999999999996E-2</v>
      </c>
      <c r="M270" s="117">
        <v>5.6600000000000004E-2</v>
      </c>
      <c r="N270" s="70">
        <v>805912.76434977585</v>
      </c>
      <c r="O270" s="61">
        <v>99.53</v>
      </c>
      <c r="P270" s="85">
        <v>0</v>
      </c>
      <c r="Q270" s="85">
        <v>802.12496999999996</v>
      </c>
      <c r="R270" s="25">
        <v>1.3207051368040979E-3</v>
      </c>
      <c r="S270" s="25">
        <v>4.2281440525944866E-3</v>
      </c>
      <c r="T270" s="25">
        <v>1.4966737857603969E-3</v>
      </c>
    </row>
    <row r="271" spans="1:20" x14ac:dyDescent="0.25">
      <c r="A271" s="17" t="s">
        <v>1433</v>
      </c>
      <c r="B271" s="117" t="s">
        <v>1434</v>
      </c>
      <c r="C271" s="117" t="s">
        <v>410</v>
      </c>
      <c r="D271" s="117" t="s">
        <v>251</v>
      </c>
      <c r="E271" s="117" t="s">
        <v>1355</v>
      </c>
      <c r="F271" s="117" t="s">
        <v>201</v>
      </c>
      <c r="G271" s="117" t="s">
        <v>677</v>
      </c>
      <c r="H271" s="117" t="s">
        <v>529</v>
      </c>
      <c r="I271" s="117" t="s">
        <v>610</v>
      </c>
      <c r="J271" s="118">
        <v>2.1800000000000002</v>
      </c>
      <c r="K271" s="118" t="s">
        <v>257</v>
      </c>
      <c r="L271" s="117">
        <v>2.63E-2</v>
      </c>
      <c r="M271" s="117">
        <v>5.5500000000000001E-2</v>
      </c>
      <c r="N271" s="70">
        <v>5236.874926495746</v>
      </c>
      <c r="O271" s="61">
        <v>95.9</v>
      </c>
      <c r="P271" s="85">
        <v>0</v>
      </c>
      <c r="Q271" s="85">
        <v>5.0221599999999995</v>
      </c>
      <c r="R271" s="25">
        <v>3.7971797604183857E-6</v>
      </c>
      <c r="S271" s="25">
        <v>2.6472702794899808E-5</v>
      </c>
      <c r="T271" s="25">
        <v>9.3707782465548161E-6</v>
      </c>
    </row>
    <row r="272" spans="1:20" x14ac:dyDescent="0.25">
      <c r="A272" s="17" t="s">
        <v>1271</v>
      </c>
      <c r="B272" s="117" t="s">
        <v>1272</v>
      </c>
      <c r="C272" s="117" t="s">
        <v>410</v>
      </c>
      <c r="D272" s="117" t="s">
        <v>251</v>
      </c>
      <c r="E272" s="117" t="s">
        <v>1273</v>
      </c>
      <c r="F272" s="117" t="s">
        <v>223</v>
      </c>
      <c r="G272" s="117" t="s">
        <v>689</v>
      </c>
      <c r="H272" s="117" t="s">
        <v>529</v>
      </c>
      <c r="I272" s="117" t="s">
        <v>1274</v>
      </c>
      <c r="J272" s="118">
        <v>4</v>
      </c>
      <c r="K272" s="118" t="s">
        <v>257</v>
      </c>
      <c r="L272" s="117">
        <v>3.04E-2</v>
      </c>
      <c r="M272" s="117">
        <v>5.5599999999999997E-2</v>
      </c>
      <c r="N272" s="70">
        <v>292747.78748097783</v>
      </c>
      <c r="O272" s="61">
        <v>91.49</v>
      </c>
      <c r="P272" s="85">
        <v>0</v>
      </c>
      <c r="Q272" s="85">
        <v>267.83494999999999</v>
      </c>
      <c r="R272" s="25">
        <v>5.4012192707849033E-4</v>
      </c>
      <c r="S272" s="25">
        <v>1.4118058822173828E-3</v>
      </c>
      <c r="T272" s="25">
        <v>4.9974949486418139E-4</v>
      </c>
    </row>
    <row r="273" spans="1:20" x14ac:dyDescent="0.25">
      <c r="A273" s="17" t="s">
        <v>1475</v>
      </c>
      <c r="B273" s="117" t="s">
        <v>1476</v>
      </c>
      <c r="C273" s="117" t="s">
        <v>410</v>
      </c>
      <c r="D273" s="117" t="s">
        <v>251</v>
      </c>
      <c r="E273" s="117" t="s">
        <v>1273</v>
      </c>
      <c r="F273" s="117" t="s">
        <v>223</v>
      </c>
      <c r="G273" s="117" t="s">
        <v>533</v>
      </c>
      <c r="H273" s="117" t="s">
        <v>533</v>
      </c>
      <c r="I273" s="117" t="s">
        <v>1477</v>
      </c>
      <c r="J273" s="118">
        <v>6.07</v>
      </c>
      <c r="K273" s="118" t="s">
        <v>257</v>
      </c>
      <c r="L273" s="117">
        <v>5.4800000000000001E-2</v>
      </c>
      <c r="M273" s="117">
        <v>5.8799999999999998E-2</v>
      </c>
      <c r="N273" s="70">
        <v>49358.226503111036</v>
      </c>
      <c r="O273" s="61">
        <v>98.590000000000018</v>
      </c>
      <c r="P273" s="85">
        <v>0</v>
      </c>
      <c r="Q273" s="85">
        <v>48.662279999999996</v>
      </c>
      <c r="R273" s="25">
        <v>1.645274216770368E-4</v>
      </c>
      <c r="S273" s="25">
        <v>2.5650757358630492E-4</v>
      </c>
      <c r="T273" s="25">
        <v>9.0798269041957936E-5</v>
      </c>
    </row>
    <row r="274" spans="1:20" x14ac:dyDescent="0.25">
      <c r="A274" s="17" t="s">
        <v>1370</v>
      </c>
      <c r="B274" s="117" t="s">
        <v>1371</v>
      </c>
      <c r="C274" s="117" t="s">
        <v>410</v>
      </c>
      <c r="D274" s="117" t="s">
        <v>251</v>
      </c>
      <c r="E274" s="117" t="s">
        <v>667</v>
      </c>
      <c r="F274" s="117" t="s">
        <v>200</v>
      </c>
      <c r="G274" s="117" t="s">
        <v>668</v>
      </c>
      <c r="H274" s="117" t="s">
        <v>529</v>
      </c>
      <c r="I274" s="117" t="s">
        <v>963</v>
      </c>
      <c r="J274" s="118">
        <v>3.66</v>
      </c>
      <c r="K274" s="118" t="s">
        <v>257</v>
      </c>
      <c r="L274" s="117">
        <v>2.7400000000000001E-2</v>
      </c>
      <c r="M274" s="117">
        <v>0.05</v>
      </c>
      <c r="N274" s="70">
        <v>736713.67381925508</v>
      </c>
      <c r="O274" s="61">
        <v>93.39</v>
      </c>
      <c r="P274" s="85">
        <v>0</v>
      </c>
      <c r="Q274" s="85">
        <v>688.01690000000008</v>
      </c>
      <c r="R274" s="25">
        <v>4.3031467739460579E-4</v>
      </c>
      <c r="S274" s="25">
        <v>3.626660025082495E-3</v>
      </c>
      <c r="T274" s="25">
        <v>1.2837611306254842E-3</v>
      </c>
    </row>
    <row r="275" spans="1:20" x14ac:dyDescent="0.25">
      <c r="A275" s="17" t="s">
        <v>1242</v>
      </c>
      <c r="B275" s="117" t="s">
        <v>1243</v>
      </c>
      <c r="C275" s="117" t="s">
        <v>410</v>
      </c>
      <c r="D275" s="117" t="s">
        <v>251</v>
      </c>
      <c r="E275" s="117" t="s">
        <v>1244</v>
      </c>
      <c r="F275" s="117" t="s">
        <v>202</v>
      </c>
      <c r="G275" s="117" t="s">
        <v>677</v>
      </c>
      <c r="H275" s="117" t="s">
        <v>529</v>
      </c>
      <c r="I275" s="117" t="s">
        <v>1245</v>
      </c>
      <c r="J275" s="118">
        <v>3.77</v>
      </c>
      <c r="K275" s="118" t="s">
        <v>257</v>
      </c>
      <c r="L275" s="117">
        <v>2.4900000000000002E-2</v>
      </c>
      <c r="M275" s="117">
        <v>5.57E-2</v>
      </c>
      <c r="N275" s="70">
        <v>67787.729884971341</v>
      </c>
      <c r="O275" s="61">
        <v>88.61</v>
      </c>
      <c r="P275" s="85">
        <v>0</v>
      </c>
      <c r="Q275" s="85">
        <v>60.06671</v>
      </c>
      <c r="R275" s="25">
        <v>1.1314000817351081E-4</v>
      </c>
      <c r="S275" s="25">
        <v>3.1662236203096604E-4</v>
      </c>
      <c r="T275" s="25">
        <v>1.1207763580015703E-4</v>
      </c>
    </row>
    <row r="276" spans="1:20" x14ac:dyDescent="0.25">
      <c r="A276" s="17" t="s">
        <v>1348</v>
      </c>
      <c r="B276" s="117" t="s">
        <v>1349</v>
      </c>
      <c r="C276" s="117" t="s">
        <v>410</v>
      </c>
      <c r="D276" s="117" t="s">
        <v>251</v>
      </c>
      <c r="E276" s="117" t="s">
        <v>1350</v>
      </c>
      <c r="F276" s="117" t="s">
        <v>207</v>
      </c>
      <c r="G276" s="117" t="s">
        <v>533</v>
      </c>
      <c r="H276" s="117" t="s">
        <v>533</v>
      </c>
      <c r="I276" s="117" t="s">
        <v>928</v>
      </c>
      <c r="J276" s="118">
        <v>0.25</v>
      </c>
      <c r="K276" s="118" t="s">
        <v>257</v>
      </c>
      <c r="L276" s="117">
        <v>0.01</v>
      </c>
      <c r="M276" s="117">
        <v>0.45</v>
      </c>
      <c r="N276" s="70">
        <v>1356.2783455187976</v>
      </c>
      <c r="O276" s="61">
        <v>54.66</v>
      </c>
      <c r="P276" s="85">
        <v>0</v>
      </c>
      <c r="Q276" s="85">
        <v>0.74134</v>
      </c>
      <c r="R276" s="25">
        <v>2.2403753594995077E-5</v>
      </c>
      <c r="S276" s="25">
        <v>3.9077356137540476E-6</v>
      </c>
      <c r="T276" s="25">
        <v>1.3832559586514463E-6</v>
      </c>
    </row>
    <row r="277" spans="1:20" x14ac:dyDescent="0.25">
      <c r="A277" s="17" t="s">
        <v>1502</v>
      </c>
      <c r="B277" s="117" t="s">
        <v>1503</v>
      </c>
      <c r="C277" s="117" t="s">
        <v>410</v>
      </c>
      <c r="D277" s="117" t="s">
        <v>251</v>
      </c>
      <c r="E277" s="117" t="s">
        <v>1350</v>
      </c>
      <c r="F277" s="117" t="s">
        <v>226</v>
      </c>
      <c r="G277" s="117" t="s">
        <v>533</v>
      </c>
      <c r="H277" s="117" t="s">
        <v>533</v>
      </c>
      <c r="I277" s="117" t="s">
        <v>928</v>
      </c>
      <c r="J277" s="118">
        <v>3.26</v>
      </c>
      <c r="K277" s="118" t="s">
        <v>257</v>
      </c>
      <c r="L277" s="117">
        <v>0.01</v>
      </c>
      <c r="M277" s="117">
        <v>0.45</v>
      </c>
      <c r="N277" s="70">
        <v>2062.5086563230329</v>
      </c>
      <c r="O277" s="61">
        <v>3.2</v>
      </c>
      <c r="P277" s="85">
        <v>0</v>
      </c>
      <c r="Q277" s="85">
        <v>6.6000000000000003E-2</v>
      </c>
      <c r="R277" s="25">
        <v>2.0625086563230328E-5</v>
      </c>
      <c r="S277" s="25">
        <v>3.4789779387024459E-7</v>
      </c>
      <c r="T277" s="25">
        <v>1.231484787964975E-7</v>
      </c>
    </row>
    <row r="278" spans="1:20" x14ac:dyDescent="0.25">
      <c r="A278" s="17" t="s">
        <v>1169</v>
      </c>
      <c r="B278" s="117" t="s">
        <v>1170</v>
      </c>
      <c r="C278" s="117" t="s">
        <v>410</v>
      </c>
      <c r="D278" s="117" t="s">
        <v>251</v>
      </c>
      <c r="E278" s="117" t="s">
        <v>544</v>
      </c>
      <c r="F278" s="117" t="s">
        <v>223</v>
      </c>
      <c r="G278" s="117" t="s">
        <v>545</v>
      </c>
      <c r="H278" s="117" t="s">
        <v>256</v>
      </c>
      <c r="I278" s="117" t="s">
        <v>1171</v>
      </c>
      <c r="J278" s="118">
        <v>0.98</v>
      </c>
      <c r="K278" s="118" t="s">
        <v>257</v>
      </c>
      <c r="L278" s="117">
        <v>3.5000000000000003E-2</v>
      </c>
      <c r="M278" s="117">
        <v>5.7200000000000001E-2</v>
      </c>
      <c r="N278" s="70">
        <v>446204.8636243139</v>
      </c>
      <c r="O278" s="61">
        <v>98.8</v>
      </c>
      <c r="P278" s="85">
        <v>0</v>
      </c>
      <c r="Q278" s="85">
        <v>440.85040999999995</v>
      </c>
      <c r="R278" s="25">
        <v>4.8519985116109176E-4</v>
      </c>
      <c r="S278" s="25">
        <v>2.3238012888756486E-3</v>
      </c>
      <c r="T278" s="25">
        <v>8.2257662679260945E-4</v>
      </c>
    </row>
    <row r="279" spans="1:20" x14ac:dyDescent="0.25">
      <c r="A279" s="17" t="s">
        <v>1248</v>
      </c>
      <c r="B279" s="117" t="s">
        <v>1249</v>
      </c>
      <c r="C279" s="117" t="s">
        <v>410</v>
      </c>
      <c r="D279" s="117" t="s">
        <v>251</v>
      </c>
      <c r="E279" s="117" t="s">
        <v>1250</v>
      </c>
      <c r="F279" s="117" t="s">
        <v>204</v>
      </c>
      <c r="G279" s="117" t="s">
        <v>630</v>
      </c>
      <c r="H279" s="117" t="s">
        <v>256</v>
      </c>
      <c r="I279" s="117" t="s">
        <v>1251</v>
      </c>
      <c r="J279" s="118">
        <v>2.56</v>
      </c>
      <c r="K279" s="118" t="s">
        <v>257</v>
      </c>
      <c r="L279" s="117">
        <v>2.3900000000000001E-2</v>
      </c>
      <c r="M279" s="117">
        <v>5.8899999999999994E-2</v>
      </c>
      <c r="N279" s="70">
        <v>139130.31393814617</v>
      </c>
      <c r="O279" s="61">
        <v>92.2</v>
      </c>
      <c r="P279" s="85">
        <v>0</v>
      </c>
      <c r="Q279" s="85">
        <v>128.27814999999998</v>
      </c>
      <c r="R279" s="25">
        <v>6.8027397977919214E-4</v>
      </c>
      <c r="S279" s="25">
        <v>6.7617705131448947E-4</v>
      </c>
      <c r="T279" s="25">
        <v>2.3935240962619583E-4</v>
      </c>
    </row>
    <row r="280" spans="1:20" x14ac:dyDescent="0.25">
      <c r="A280" s="17" t="s">
        <v>1146</v>
      </c>
      <c r="B280" s="117" t="s">
        <v>1147</v>
      </c>
      <c r="C280" s="117" t="s">
        <v>410</v>
      </c>
      <c r="D280" s="117" t="s">
        <v>251</v>
      </c>
      <c r="E280" s="117" t="s">
        <v>1148</v>
      </c>
      <c r="F280" s="117" t="s">
        <v>201</v>
      </c>
      <c r="G280" s="117" t="s">
        <v>625</v>
      </c>
      <c r="H280" s="117" t="s">
        <v>529</v>
      </c>
      <c r="I280" s="117" t="s">
        <v>1149</v>
      </c>
      <c r="J280" s="118">
        <v>0.75</v>
      </c>
      <c r="K280" s="118" t="s">
        <v>257</v>
      </c>
      <c r="L280" s="117">
        <v>4.0999999999999995E-2</v>
      </c>
      <c r="M280" s="117">
        <v>5.4900000000000004E-2</v>
      </c>
      <c r="N280" s="70">
        <v>117050.54978806051</v>
      </c>
      <c r="O280" s="61">
        <v>100.03</v>
      </c>
      <c r="P280" s="85">
        <v>0</v>
      </c>
      <c r="Q280" s="85">
        <v>117.08566</v>
      </c>
      <c r="R280" s="25">
        <v>3.9016849929353505E-4</v>
      </c>
      <c r="S280" s="25">
        <v>6.1717943648244755E-4</v>
      </c>
      <c r="T280" s="25">
        <v>2.1846849875581693E-4</v>
      </c>
    </row>
    <row r="281" spans="1:20" x14ac:dyDescent="0.25">
      <c r="A281" s="17" t="s">
        <v>1227</v>
      </c>
      <c r="B281" s="117" t="s">
        <v>1228</v>
      </c>
      <c r="C281" s="117" t="s">
        <v>410</v>
      </c>
      <c r="D281" s="117" t="s">
        <v>251</v>
      </c>
      <c r="E281" s="117" t="s">
        <v>1148</v>
      </c>
      <c r="F281" s="117" t="s">
        <v>201</v>
      </c>
      <c r="G281" s="117" t="s">
        <v>528</v>
      </c>
      <c r="H281" s="117" t="s">
        <v>529</v>
      </c>
      <c r="I281" s="117" t="s">
        <v>1229</v>
      </c>
      <c r="J281" s="118">
        <v>2.93</v>
      </c>
      <c r="K281" s="118" t="s">
        <v>257</v>
      </c>
      <c r="L281" s="117">
        <v>1.84E-2</v>
      </c>
      <c r="M281" s="117">
        <v>5.0199999999999995E-2</v>
      </c>
      <c r="N281" s="70">
        <v>244724.54744584905</v>
      </c>
      <c r="O281" s="61">
        <v>91.39</v>
      </c>
      <c r="P281" s="85">
        <v>2.2514658500000002</v>
      </c>
      <c r="Q281" s="85">
        <v>225.90523000000002</v>
      </c>
      <c r="R281" s="25">
        <v>8.1574849148616355E-4</v>
      </c>
      <c r="S281" s="25">
        <v>1.190786835465912E-3</v>
      </c>
      <c r="T281" s="25">
        <v>4.2151341555564988E-4</v>
      </c>
    </row>
    <row r="282" spans="1:20" x14ac:dyDescent="0.25">
      <c r="A282" s="17" t="s">
        <v>1361</v>
      </c>
      <c r="B282" s="117" t="s">
        <v>1362</v>
      </c>
      <c r="C282" s="117" t="s">
        <v>410</v>
      </c>
      <c r="D282" s="117" t="s">
        <v>251</v>
      </c>
      <c r="E282" s="117" t="s">
        <v>1148</v>
      </c>
      <c r="F282" s="117" t="s">
        <v>201</v>
      </c>
      <c r="G282" s="117" t="s">
        <v>528</v>
      </c>
      <c r="H282" s="117" t="s">
        <v>529</v>
      </c>
      <c r="I282" s="117" t="s">
        <v>1363</v>
      </c>
      <c r="J282" s="118">
        <v>6.46</v>
      </c>
      <c r="K282" s="118" t="s">
        <v>257</v>
      </c>
      <c r="L282" s="117">
        <v>2.98E-2</v>
      </c>
      <c r="M282" s="117">
        <v>5.4800000000000001E-2</v>
      </c>
      <c r="N282" s="70">
        <v>230594.00563441636</v>
      </c>
      <c r="O282" s="61">
        <v>86.29</v>
      </c>
      <c r="P282" s="85">
        <v>0</v>
      </c>
      <c r="Q282" s="85">
        <v>198.97957</v>
      </c>
      <c r="R282" s="25">
        <v>5.8743753431520819E-4</v>
      </c>
      <c r="S282" s="25">
        <v>1.0488568701249984E-3</v>
      </c>
      <c r="T282" s="25">
        <v>3.7127320238001805E-4</v>
      </c>
    </row>
    <row r="283" spans="1:20" x14ac:dyDescent="0.25">
      <c r="A283" s="17" t="s">
        <v>1397</v>
      </c>
      <c r="B283" s="117" t="s">
        <v>1398</v>
      </c>
      <c r="C283" s="117" t="s">
        <v>410</v>
      </c>
      <c r="D283" s="117" t="s">
        <v>251</v>
      </c>
      <c r="E283" s="117" t="s">
        <v>1148</v>
      </c>
      <c r="F283" s="117" t="s">
        <v>201</v>
      </c>
      <c r="G283" s="117" t="s">
        <v>528</v>
      </c>
      <c r="H283" s="117" t="s">
        <v>529</v>
      </c>
      <c r="I283" s="117" t="s">
        <v>1006</v>
      </c>
      <c r="J283" s="118">
        <v>0</v>
      </c>
      <c r="K283" s="118" t="s">
        <v>257</v>
      </c>
      <c r="L283" s="117">
        <v>2.98E-2</v>
      </c>
      <c r="M283" s="117">
        <v>5.4199999999999998E-2</v>
      </c>
      <c r="N283" s="70">
        <v>246791.13251555519</v>
      </c>
      <c r="O283" s="61">
        <v>85.286278999999993</v>
      </c>
      <c r="P283" s="85">
        <v>0</v>
      </c>
      <c r="Q283" s="85">
        <v>210.47897</v>
      </c>
      <c r="R283" s="25">
        <v>6.2869966622479271E-4</v>
      </c>
      <c r="S283" s="25">
        <v>1.1094722624103242E-3</v>
      </c>
      <c r="T283" s="25">
        <v>3.9272977233566111E-4</v>
      </c>
    </row>
    <row r="284" spans="1:20" x14ac:dyDescent="0.25">
      <c r="A284" s="17" t="s">
        <v>1478</v>
      </c>
      <c r="B284" s="117" t="s">
        <v>1479</v>
      </c>
      <c r="C284" s="117" t="s">
        <v>410</v>
      </c>
      <c r="D284" s="117" t="s">
        <v>251</v>
      </c>
      <c r="E284" s="117" t="s">
        <v>1148</v>
      </c>
      <c r="F284" s="117" t="s">
        <v>201</v>
      </c>
      <c r="G284" s="117" t="s">
        <v>574</v>
      </c>
      <c r="H284" s="117" t="s">
        <v>529</v>
      </c>
      <c r="I284" s="117" t="s">
        <v>1480</v>
      </c>
      <c r="J284" s="118">
        <v>7.71</v>
      </c>
      <c r="K284" s="118" t="s">
        <v>257</v>
      </c>
      <c r="L284" s="117">
        <v>5.28E-2</v>
      </c>
      <c r="M284" s="117">
        <v>5.5899999999999998E-2</v>
      </c>
      <c r="N284" s="70">
        <v>255889.49893429535</v>
      </c>
      <c r="O284" s="61">
        <v>98.56</v>
      </c>
      <c r="P284" s="85">
        <v>0</v>
      </c>
      <c r="Q284" s="85">
        <v>252.20469</v>
      </c>
      <c r="R284" s="25">
        <v>8.5296499644765117E-4</v>
      </c>
      <c r="S284" s="25">
        <v>1.3294159887080141E-3</v>
      </c>
      <c r="T284" s="25">
        <v>4.7058521089154889E-4</v>
      </c>
    </row>
    <row r="285" spans="1:20" x14ac:dyDescent="0.25">
      <c r="A285" s="17" t="s">
        <v>1165</v>
      </c>
      <c r="B285" s="117" t="s">
        <v>1166</v>
      </c>
      <c r="C285" s="117" t="s">
        <v>410</v>
      </c>
      <c r="D285" s="117" t="s">
        <v>251</v>
      </c>
      <c r="E285" s="117" t="s">
        <v>1167</v>
      </c>
      <c r="F285" s="117" t="s">
        <v>201</v>
      </c>
      <c r="G285" s="117" t="s">
        <v>625</v>
      </c>
      <c r="H285" s="117" t="s">
        <v>529</v>
      </c>
      <c r="I285" s="117" t="s">
        <v>1168</v>
      </c>
      <c r="J285" s="118">
        <v>1.96</v>
      </c>
      <c r="K285" s="118" t="s">
        <v>257</v>
      </c>
      <c r="L285" s="117">
        <v>2.9399999999999999E-2</v>
      </c>
      <c r="M285" s="117">
        <v>5.16E-2</v>
      </c>
      <c r="N285" s="70">
        <v>26729.567120518393</v>
      </c>
      <c r="O285" s="61">
        <v>95.88</v>
      </c>
      <c r="P285" s="85">
        <v>7.4390602614999999</v>
      </c>
      <c r="Q285" s="85">
        <v>26.688269999999999</v>
      </c>
      <c r="R285" s="25">
        <v>1.6662007475358605E-4</v>
      </c>
      <c r="S285" s="25">
        <v>1.4067864023050656E-4</v>
      </c>
      <c r="T285" s="25">
        <v>4.9797270488033336E-5</v>
      </c>
    </row>
    <row r="286" spans="1:20" x14ac:dyDescent="0.25">
      <c r="A286" s="17" t="s">
        <v>1390</v>
      </c>
      <c r="B286" s="117" t="s">
        <v>1391</v>
      </c>
      <c r="C286" s="117" t="s">
        <v>410</v>
      </c>
      <c r="D286" s="117" t="s">
        <v>251</v>
      </c>
      <c r="E286" s="117" t="s">
        <v>1392</v>
      </c>
      <c r="F286" s="117" t="s">
        <v>225</v>
      </c>
      <c r="G286" s="117" t="s">
        <v>533</v>
      </c>
      <c r="H286" s="117" t="s">
        <v>533</v>
      </c>
      <c r="I286" s="117" t="s">
        <v>1393</v>
      </c>
      <c r="J286" s="118">
        <v>3.59</v>
      </c>
      <c r="K286" s="118" t="s">
        <v>257</v>
      </c>
      <c r="L286" s="117">
        <v>7.4999999999999997E-2</v>
      </c>
      <c r="M286" s="117">
        <v>6.6799999999999998E-2</v>
      </c>
      <c r="N286" s="70">
        <v>115226.68039695003</v>
      </c>
      <c r="O286" s="61">
        <v>106.86</v>
      </c>
      <c r="P286" s="85">
        <v>0</v>
      </c>
      <c r="Q286" s="85">
        <v>123.13123</v>
      </c>
      <c r="R286" s="25">
        <v>4.1522535233911375E-4</v>
      </c>
      <c r="S286" s="25">
        <v>6.490467162656011E-4</v>
      </c>
      <c r="T286" s="25">
        <v>2.297488434369948E-4</v>
      </c>
    </row>
    <row r="287" spans="1:20" x14ac:dyDescent="0.25">
      <c r="A287" s="17" t="s">
        <v>1394</v>
      </c>
      <c r="B287" s="117" t="s">
        <v>1395</v>
      </c>
      <c r="C287" s="117" t="s">
        <v>410</v>
      </c>
      <c r="D287" s="117" t="s">
        <v>251</v>
      </c>
      <c r="E287" s="117" t="s">
        <v>1392</v>
      </c>
      <c r="F287" s="117" t="s">
        <v>225</v>
      </c>
      <c r="G287" s="117" t="s">
        <v>533</v>
      </c>
      <c r="H287" s="117" t="s">
        <v>533</v>
      </c>
      <c r="I287" s="117" t="s">
        <v>1396</v>
      </c>
      <c r="J287" s="118">
        <v>3.84</v>
      </c>
      <c r="K287" s="118" t="s">
        <v>257</v>
      </c>
      <c r="L287" s="117">
        <v>0.10539999999999999</v>
      </c>
      <c r="M287" s="117">
        <v>7.3399999999999993E-2</v>
      </c>
      <c r="N287" s="70">
        <v>113241.12206608376</v>
      </c>
      <c r="O287" s="61">
        <v>115.36</v>
      </c>
      <c r="P287" s="85">
        <v>0</v>
      </c>
      <c r="Q287" s="85">
        <v>130.63496000000001</v>
      </c>
      <c r="R287" s="25">
        <v>4.622086614942194E-4</v>
      </c>
      <c r="S287" s="25">
        <v>6.8860021797466137E-4</v>
      </c>
      <c r="T287" s="25">
        <v>2.4374994850971668E-4</v>
      </c>
    </row>
    <row r="288" spans="1:20" x14ac:dyDescent="0.25">
      <c r="A288" s="17" t="s">
        <v>3063</v>
      </c>
      <c r="B288" s="117" t="s">
        <v>1424</v>
      </c>
      <c r="C288" s="117" t="s">
        <v>410</v>
      </c>
      <c r="D288" s="117" t="s">
        <v>251</v>
      </c>
      <c r="E288" s="117" t="s">
        <v>1425</v>
      </c>
      <c r="F288" s="117" t="s">
        <v>221</v>
      </c>
      <c r="G288" s="117" t="s">
        <v>630</v>
      </c>
      <c r="H288" s="117" t="s">
        <v>256</v>
      </c>
      <c r="I288" s="117" t="s">
        <v>1426</v>
      </c>
      <c r="J288" s="118">
        <v>0</v>
      </c>
      <c r="K288" s="118" t="s">
        <v>257</v>
      </c>
      <c r="L288" s="117">
        <v>0.05</v>
      </c>
      <c r="M288" s="117">
        <v>6.0100000000000001E-2</v>
      </c>
      <c r="N288" s="70">
        <v>274212.36946172803</v>
      </c>
      <c r="O288" s="61">
        <v>96.151968999999994</v>
      </c>
      <c r="P288" s="85">
        <v>0</v>
      </c>
      <c r="Q288" s="85">
        <v>263.66059000000001</v>
      </c>
      <c r="R288" s="25">
        <v>9.2849480060179469E-4</v>
      </c>
      <c r="S288" s="25">
        <v>1.3898020847201071E-3</v>
      </c>
      <c r="T288" s="25">
        <v>4.9196061480434887E-4</v>
      </c>
    </row>
    <row r="289" spans="1:20" x14ac:dyDescent="0.25">
      <c r="A289" s="17" t="s">
        <v>1357</v>
      </c>
      <c r="B289" s="117" t="s">
        <v>1358</v>
      </c>
      <c r="C289" s="117" t="s">
        <v>410</v>
      </c>
      <c r="D289" s="117" t="s">
        <v>251</v>
      </c>
      <c r="E289" s="117" t="s">
        <v>1359</v>
      </c>
      <c r="F289" s="117" t="s">
        <v>224</v>
      </c>
      <c r="G289" s="117" t="s">
        <v>625</v>
      </c>
      <c r="H289" s="117" t="s">
        <v>529</v>
      </c>
      <c r="I289" s="117" t="s">
        <v>1360</v>
      </c>
      <c r="J289" s="118">
        <v>6.57</v>
      </c>
      <c r="K289" s="118" t="s">
        <v>257</v>
      </c>
      <c r="L289" s="117">
        <v>2.7999999999999997E-2</v>
      </c>
      <c r="M289" s="117">
        <v>5.9699999999999996E-2</v>
      </c>
      <c r="N289" s="70">
        <v>369933.931895177</v>
      </c>
      <c r="O289" s="61">
        <v>81.790000000000006</v>
      </c>
      <c r="P289" s="85">
        <v>12.728747063999998</v>
      </c>
      <c r="Q289" s="85">
        <v>309.12283000000002</v>
      </c>
      <c r="R289" s="25">
        <v>6.6754535757233336E-4</v>
      </c>
      <c r="S289" s="25">
        <v>1.6294416756352523E-3</v>
      </c>
      <c r="T289" s="25">
        <v>5.7678797387527734E-4</v>
      </c>
    </row>
    <row r="290" spans="1:20" x14ac:dyDescent="0.25">
      <c r="A290" s="17" t="s">
        <v>1336</v>
      </c>
      <c r="B290" s="117" t="s">
        <v>1337</v>
      </c>
      <c r="C290" s="117" t="s">
        <v>410</v>
      </c>
      <c r="D290" s="117" t="s">
        <v>251</v>
      </c>
      <c r="E290" s="117" t="s">
        <v>1338</v>
      </c>
      <c r="F290" s="117" t="s">
        <v>224</v>
      </c>
      <c r="G290" s="117" t="s">
        <v>545</v>
      </c>
      <c r="H290" s="117" t="s">
        <v>256</v>
      </c>
      <c r="I290" s="117" t="s">
        <v>1339</v>
      </c>
      <c r="J290" s="118">
        <v>3.04</v>
      </c>
      <c r="K290" s="118" t="s">
        <v>257</v>
      </c>
      <c r="L290" s="117">
        <v>3.49E-2</v>
      </c>
      <c r="M290" s="117">
        <v>7.17E-2</v>
      </c>
      <c r="N290" s="70">
        <v>616398.11343436153</v>
      </c>
      <c r="O290" s="61">
        <v>90.72</v>
      </c>
      <c r="P290" s="85">
        <v>0</v>
      </c>
      <c r="Q290" s="85">
        <v>559.19637</v>
      </c>
      <c r="R290" s="25">
        <v>6.5192659794494751E-4</v>
      </c>
      <c r="S290" s="25">
        <v>2.9476239918674093E-3</v>
      </c>
      <c r="T290" s="25">
        <v>1.0433967017276268E-3</v>
      </c>
    </row>
    <row r="291" spans="1:20" x14ac:dyDescent="0.25">
      <c r="A291" s="17" t="s">
        <v>3064</v>
      </c>
      <c r="B291" s="117" t="s">
        <v>1443</v>
      </c>
      <c r="C291" s="117" t="s">
        <v>410</v>
      </c>
      <c r="D291" s="117" t="s">
        <v>251</v>
      </c>
      <c r="E291" s="117" t="s">
        <v>1338</v>
      </c>
      <c r="F291" s="117" t="s">
        <v>224</v>
      </c>
      <c r="G291" s="117" t="s">
        <v>545</v>
      </c>
      <c r="H291" s="117" t="s">
        <v>256</v>
      </c>
      <c r="I291" s="117" t="s">
        <v>1444</v>
      </c>
      <c r="J291" s="118">
        <v>0</v>
      </c>
      <c r="K291" s="118" t="s">
        <v>257</v>
      </c>
      <c r="L291" s="117">
        <v>3.49E-2</v>
      </c>
      <c r="M291" s="117">
        <v>7.1099999999999997E-2</v>
      </c>
      <c r="N291" s="70">
        <v>164527.42167703679</v>
      </c>
      <c r="O291" s="61">
        <v>88.403514999999999</v>
      </c>
      <c r="P291" s="85">
        <v>0</v>
      </c>
      <c r="Q291" s="85">
        <v>145.44802999999999</v>
      </c>
      <c r="R291" s="25">
        <v>1.7401059468684797E-4</v>
      </c>
      <c r="S291" s="25">
        <v>7.6668255696625976E-4</v>
      </c>
      <c r="T291" s="25">
        <v>2.7138944906738384E-4</v>
      </c>
    </row>
    <row r="292" spans="1:20" x14ac:dyDescent="0.25">
      <c r="A292" s="17" t="s">
        <v>1386</v>
      </c>
      <c r="B292" s="117" t="s">
        <v>1387</v>
      </c>
      <c r="C292" s="117" t="s">
        <v>410</v>
      </c>
      <c r="D292" s="117" t="s">
        <v>251</v>
      </c>
      <c r="E292" s="117" t="s">
        <v>1388</v>
      </c>
      <c r="F292" s="117" t="s">
        <v>206</v>
      </c>
      <c r="G292" s="117" t="s">
        <v>630</v>
      </c>
      <c r="H292" s="117" t="s">
        <v>256</v>
      </c>
      <c r="I292" s="117" t="s">
        <v>1389</v>
      </c>
      <c r="J292" s="118">
        <v>4.0599999999999996</v>
      </c>
      <c r="K292" s="118" t="s">
        <v>257</v>
      </c>
      <c r="L292" s="117">
        <v>4.7300000000000002E-2</v>
      </c>
      <c r="M292" s="117">
        <v>6.0199999999999997E-2</v>
      </c>
      <c r="N292" s="70">
        <v>229575.06537498091</v>
      </c>
      <c r="O292" s="61">
        <v>96.34</v>
      </c>
      <c r="P292" s="85">
        <v>0</v>
      </c>
      <c r="Q292" s="85">
        <v>221.17261999999999</v>
      </c>
      <c r="R292" s="25">
        <v>5.8132779300604156E-4</v>
      </c>
      <c r="S292" s="25">
        <v>1.1658404024621504E-3</v>
      </c>
      <c r="T292" s="25">
        <v>4.1268290461266363E-4</v>
      </c>
    </row>
    <row r="293" spans="1:20" x14ac:dyDescent="0.25">
      <c r="A293" s="17" t="s">
        <v>1193</v>
      </c>
      <c r="B293" s="117" t="s">
        <v>1194</v>
      </c>
      <c r="C293" s="117" t="s">
        <v>410</v>
      </c>
      <c r="D293" s="117" t="s">
        <v>251</v>
      </c>
      <c r="E293" s="117" t="s">
        <v>1195</v>
      </c>
      <c r="F293" s="117" t="s">
        <v>223</v>
      </c>
      <c r="G293" s="117" t="s">
        <v>668</v>
      </c>
      <c r="H293" s="117" t="s">
        <v>529</v>
      </c>
      <c r="I293" s="117" t="s">
        <v>1196</v>
      </c>
      <c r="J293" s="118">
        <v>2.4</v>
      </c>
      <c r="K293" s="118" t="s">
        <v>257</v>
      </c>
      <c r="L293" s="117">
        <v>1.44E-2</v>
      </c>
      <c r="M293" s="117">
        <v>5.1399999999999994E-2</v>
      </c>
      <c r="N293" s="70">
        <v>361581.02496501227</v>
      </c>
      <c r="O293" s="61">
        <v>91.68</v>
      </c>
      <c r="P293" s="85">
        <v>38.761485878999999</v>
      </c>
      <c r="Q293" s="85">
        <v>337.10921999999999</v>
      </c>
      <c r="R293" s="25">
        <v>8.035133888111384E-4</v>
      </c>
      <c r="S293" s="25">
        <v>1.7769629383533169E-3</v>
      </c>
      <c r="T293" s="25">
        <v>6.2900738835263348E-4</v>
      </c>
    </row>
    <row r="294" spans="1:20" x14ac:dyDescent="0.25">
      <c r="A294" s="17" t="s">
        <v>1237</v>
      </c>
      <c r="B294" s="117" t="s">
        <v>1238</v>
      </c>
      <c r="C294" s="117" t="s">
        <v>410</v>
      </c>
      <c r="D294" s="117" t="s">
        <v>251</v>
      </c>
      <c r="E294" s="117" t="s">
        <v>629</v>
      </c>
      <c r="F294" s="117" t="s">
        <v>225</v>
      </c>
      <c r="G294" s="117" t="s">
        <v>630</v>
      </c>
      <c r="H294" s="117" t="s">
        <v>256</v>
      </c>
      <c r="I294" s="117" t="s">
        <v>1239</v>
      </c>
      <c r="J294" s="118">
        <v>4.68</v>
      </c>
      <c r="K294" s="118" t="s">
        <v>257</v>
      </c>
      <c r="L294" s="117">
        <v>2.4300000000000002E-2</v>
      </c>
      <c r="M294" s="117">
        <v>5.5E-2</v>
      </c>
      <c r="N294" s="70">
        <v>391488.20116404351</v>
      </c>
      <c r="O294" s="61">
        <v>87.67</v>
      </c>
      <c r="P294" s="85">
        <v>0</v>
      </c>
      <c r="Q294" s="85">
        <v>343.21771000000001</v>
      </c>
      <c r="R294" s="25">
        <v>2.6729768653471628E-4</v>
      </c>
      <c r="S294" s="25">
        <v>1.8091618806999603E-3</v>
      </c>
      <c r="T294" s="25">
        <v>6.4040513458359745E-4</v>
      </c>
    </row>
    <row r="295" spans="1:20" x14ac:dyDescent="0.25">
      <c r="A295" s="17" t="s">
        <v>1497</v>
      </c>
      <c r="B295" s="117" t="s">
        <v>1498</v>
      </c>
      <c r="C295" s="117" t="s">
        <v>410</v>
      </c>
      <c r="D295" s="117" t="s">
        <v>251</v>
      </c>
      <c r="E295" s="117" t="s">
        <v>629</v>
      </c>
      <c r="F295" s="117" t="s">
        <v>225</v>
      </c>
      <c r="G295" s="117" t="s">
        <v>630</v>
      </c>
      <c r="H295" s="117" t="s">
        <v>256</v>
      </c>
      <c r="I295" s="117" t="s">
        <v>1499</v>
      </c>
      <c r="J295" s="118">
        <v>0.66</v>
      </c>
      <c r="K295" s="118" t="s">
        <v>257</v>
      </c>
      <c r="L295" s="117">
        <v>6.3999999761581425E-2</v>
      </c>
      <c r="M295" s="117">
        <v>5.8099999999999999E-2</v>
      </c>
      <c r="N295" s="70">
        <v>137163.98107524266</v>
      </c>
      <c r="O295" s="61">
        <v>100.97</v>
      </c>
      <c r="P295" s="85">
        <v>0</v>
      </c>
      <c r="Q295" s="85">
        <v>138.49447000000001</v>
      </c>
      <c r="R295" s="25">
        <v>1.9747247730242081E-4</v>
      </c>
      <c r="S295" s="25">
        <v>7.300290996398299E-4</v>
      </c>
      <c r="T295" s="25">
        <v>2.5841489851859335E-4</v>
      </c>
    </row>
    <row r="296" spans="1:20" x14ac:dyDescent="0.25">
      <c r="A296" s="17" t="s">
        <v>1268</v>
      </c>
      <c r="B296" s="117" t="s">
        <v>1269</v>
      </c>
      <c r="C296" s="117" t="s">
        <v>410</v>
      </c>
      <c r="D296" s="117" t="s">
        <v>251</v>
      </c>
      <c r="E296" s="117" t="s">
        <v>986</v>
      </c>
      <c r="F296" s="117" t="s">
        <v>205</v>
      </c>
      <c r="G296" s="117" t="s">
        <v>574</v>
      </c>
      <c r="H296" s="117" t="s">
        <v>529</v>
      </c>
      <c r="I296" s="117" t="s">
        <v>1270</v>
      </c>
      <c r="J296" s="118">
        <v>3.74</v>
      </c>
      <c r="K296" s="118" t="s">
        <v>257</v>
      </c>
      <c r="L296" s="117">
        <v>3.1600000000000003E-2</v>
      </c>
      <c r="M296" s="117">
        <v>6.83E-2</v>
      </c>
      <c r="N296" s="70">
        <v>455539.35343691794</v>
      </c>
      <c r="O296" s="61">
        <v>86.050000000000011</v>
      </c>
      <c r="P296" s="85">
        <v>0</v>
      </c>
      <c r="Q296" s="85">
        <v>391.99160999999998</v>
      </c>
      <c r="R296" s="25">
        <v>5.8763366177319023E-4</v>
      </c>
      <c r="S296" s="25">
        <v>2.0662578232522014E-3</v>
      </c>
      <c r="T296" s="25">
        <v>7.3141167382560475E-4</v>
      </c>
    </row>
    <row r="297" spans="1:20" x14ac:dyDescent="0.25">
      <c r="A297" s="17" t="s">
        <v>3065</v>
      </c>
      <c r="B297" s="117" t="s">
        <v>1411</v>
      </c>
      <c r="C297" s="117" t="s">
        <v>410</v>
      </c>
      <c r="D297" s="117" t="s">
        <v>251</v>
      </c>
      <c r="E297" s="117" t="s">
        <v>986</v>
      </c>
      <c r="F297" s="117" t="s">
        <v>205</v>
      </c>
      <c r="G297" s="117" t="s">
        <v>1412</v>
      </c>
      <c r="H297" s="117" t="s">
        <v>529</v>
      </c>
      <c r="I297" s="117" t="s">
        <v>1413</v>
      </c>
      <c r="J297" s="118">
        <v>0</v>
      </c>
      <c r="K297" s="118" t="s">
        <v>257</v>
      </c>
      <c r="L297" s="117">
        <v>4.2500000000000003E-2</v>
      </c>
      <c r="M297" s="117">
        <v>6.1200000000000004E-2</v>
      </c>
      <c r="N297" s="70">
        <v>239952.5302160462</v>
      </c>
      <c r="O297" s="61">
        <v>95.776893999999999</v>
      </c>
      <c r="P297" s="85">
        <v>0</v>
      </c>
      <c r="Q297" s="85">
        <v>229.81907999999999</v>
      </c>
      <c r="R297" s="25">
        <v>5.6813085545319507E-4</v>
      </c>
      <c r="S297" s="25">
        <v>1.2114174382013522E-3</v>
      </c>
      <c r="T297" s="25">
        <v>4.2881621364258425E-4</v>
      </c>
    </row>
    <row r="298" spans="1:20" x14ac:dyDescent="0.25">
      <c r="A298" s="17" t="s">
        <v>1260</v>
      </c>
      <c r="B298" s="117" t="s">
        <v>1261</v>
      </c>
      <c r="C298" s="117" t="s">
        <v>410</v>
      </c>
      <c r="D298" s="117" t="s">
        <v>251</v>
      </c>
      <c r="E298" s="117" t="s">
        <v>1262</v>
      </c>
      <c r="F298" s="117" t="s">
        <v>224</v>
      </c>
      <c r="G298" s="117" t="s">
        <v>689</v>
      </c>
      <c r="H298" s="117" t="s">
        <v>529</v>
      </c>
      <c r="I298" s="117" t="s">
        <v>1263</v>
      </c>
      <c r="J298" s="118">
        <v>2.16</v>
      </c>
      <c r="K298" s="118" t="s">
        <v>257</v>
      </c>
      <c r="L298" s="117">
        <v>5.0499999999999996E-2</v>
      </c>
      <c r="M298" s="117">
        <v>5.9200000000000003E-2</v>
      </c>
      <c r="N298" s="70">
        <v>52349.762197228716</v>
      </c>
      <c r="O298" s="61">
        <v>98.22</v>
      </c>
      <c r="P298" s="85">
        <v>5.9252232170000001</v>
      </c>
      <c r="Q298" s="85">
        <v>52.806280000000001</v>
      </c>
      <c r="R298" s="25">
        <v>2.7019232101795467E-4</v>
      </c>
      <c r="S298" s="25">
        <v>2.7835133809840027E-4</v>
      </c>
      <c r="T298" s="25">
        <v>9.8530500801544094E-5</v>
      </c>
    </row>
    <row r="299" spans="1:20" x14ac:dyDescent="0.25">
      <c r="A299" s="17" t="s">
        <v>1399</v>
      </c>
      <c r="B299" s="117" t="s">
        <v>1400</v>
      </c>
      <c r="C299" s="117" t="s">
        <v>410</v>
      </c>
      <c r="D299" s="117" t="s">
        <v>251</v>
      </c>
      <c r="E299" s="117" t="s">
        <v>1262</v>
      </c>
      <c r="F299" s="117" t="s">
        <v>224</v>
      </c>
      <c r="G299" s="117" t="s">
        <v>689</v>
      </c>
      <c r="H299" s="117" t="s">
        <v>529</v>
      </c>
      <c r="I299" s="117" t="s">
        <v>1401</v>
      </c>
      <c r="J299" s="118">
        <v>0</v>
      </c>
      <c r="K299" s="118" t="s">
        <v>257</v>
      </c>
      <c r="L299" s="117">
        <v>3.5000000000000003E-2</v>
      </c>
      <c r="M299" s="117">
        <v>6.59E-2</v>
      </c>
      <c r="N299" s="70">
        <v>127965.76729684217</v>
      </c>
      <c r="O299" s="61">
        <v>96.731955999999997</v>
      </c>
      <c r="P299" s="85">
        <v>0</v>
      </c>
      <c r="Q299" s="85">
        <v>123.78379</v>
      </c>
      <c r="R299" s="25">
        <v>4.4497450204062234E-4</v>
      </c>
      <c r="S299" s="25">
        <v>6.5248647663481275E-4</v>
      </c>
      <c r="T299" s="25">
        <v>2.3096644603280453E-4</v>
      </c>
    </row>
    <row r="300" spans="1:20" x14ac:dyDescent="0.25">
      <c r="A300" s="17" t="s">
        <v>1468</v>
      </c>
      <c r="B300" s="117" t="s">
        <v>1469</v>
      </c>
      <c r="C300" s="117" t="s">
        <v>410</v>
      </c>
      <c r="D300" s="117" t="s">
        <v>251</v>
      </c>
      <c r="E300" s="117" t="s">
        <v>1262</v>
      </c>
      <c r="F300" s="117" t="s">
        <v>224</v>
      </c>
      <c r="G300" s="117" t="s">
        <v>689</v>
      </c>
      <c r="H300" s="117" t="s">
        <v>529</v>
      </c>
      <c r="I300" s="117" t="s">
        <v>1470</v>
      </c>
      <c r="J300" s="118">
        <v>4.13</v>
      </c>
      <c r="K300" s="118" t="s">
        <v>257</v>
      </c>
      <c r="L300" s="117">
        <v>6.3700000000000007E-2</v>
      </c>
      <c r="M300" s="117">
        <v>6.83E-2</v>
      </c>
      <c r="N300" s="70">
        <v>246791.13251555519</v>
      </c>
      <c r="O300" s="61">
        <v>99.36</v>
      </c>
      <c r="P300" s="85">
        <v>0</v>
      </c>
      <c r="Q300" s="85">
        <v>245.21167000000003</v>
      </c>
      <c r="R300" s="25">
        <v>1.25368872307904E-3</v>
      </c>
      <c r="S300" s="25">
        <v>1.2925545306702794E-3</v>
      </c>
      <c r="T300" s="25">
        <v>4.5753703247952644E-4</v>
      </c>
    </row>
    <row r="301" spans="1:20" x14ac:dyDescent="0.25">
      <c r="A301" s="17" t="s">
        <v>1375</v>
      </c>
      <c r="B301" s="117" t="s">
        <v>1376</v>
      </c>
      <c r="C301" s="117" t="s">
        <v>410</v>
      </c>
      <c r="D301" s="117" t="s">
        <v>251</v>
      </c>
      <c r="E301" s="117" t="s">
        <v>1377</v>
      </c>
      <c r="F301" s="117" t="s">
        <v>226</v>
      </c>
      <c r="G301" s="117" t="s">
        <v>574</v>
      </c>
      <c r="H301" s="117" t="s">
        <v>529</v>
      </c>
      <c r="I301" s="117" t="s">
        <v>1378</v>
      </c>
      <c r="J301" s="118">
        <v>3.12</v>
      </c>
      <c r="K301" s="118" t="s">
        <v>257</v>
      </c>
      <c r="L301" s="117">
        <v>4.6600000000000003E-2</v>
      </c>
      <c r="M301" s="117">
        <v>6.6699999999999995E-2</v>
      </c>
      <c r="N301" s="70">
        <v>158805.76670256967</v>
      </c>
      <c r="O301" s="61">
        <v>95.03</v>
      </c>
      <c r="P301" s="85">
        <v>0</v>
      </c>
      <c r="Q301" s="85">
        <v>150.91311999999999</v>
      </c>
      <c r="R301" s="25">
        <v>2.2686538100367097E-4</v>
      </c>
      <c r="S301" s="25">
        <v>7.9549002294053764E-4</v>
      </c>
      <c r="T301" s="25">
        <v>2.8158668421868611E-4</v>
      </c>
    </row>
    <row r="302" spans="1:20" x14ac:dyDescent="0.25">
      <c r="A302" s="17" t="s">
        <v>1143</v>
      </c>
      <c r="B302" s="117" t="s">
        <v>1144</v>
      </c>
      <c r="C302" s="117" t="s">
        <v>410</v>
      </c>
      <c r="D302" s="117" t="s">
        <v>251</v>
      </c>
      <c r="E302" s="117" t="s">
        <v>561</v>
      </c>
      <c r="F302" s="117" t="s">
        <v>226</v>
      </c>
      <c r="G302" s="117" t="s">
        <v>524</v>
      </c>
      <c r="H302" s="117" t="s">
        <v>256</v>
      </c>
      <c r="I302" s="117" t="s">
        <v>1145</v>
      </c>
      <c r="J302" s="118">
        <v>1.08</v>
      </c>
      <c r="K302" s="118" t="s">
        <v>257</v>
      </c>
      <c r="L302" s="117">
        <v>4.2000000000000003E-2</v>
      </c>
      <c r="M302" s="117">
        <v>5.74E-2</v>
      </c>
      <c r="N302" s="70">
        <v>51232.682866352188</v>
      </c>
      <c r="O302" s="61">
        <v>100.05999999999999</v>
      </c>
      <c r="P302" s="85">
        <v>0</v>
      </c>
      <c r="Q302" s="85">
        <v>51.263419999999996</v>
      </c>
      <c r="R302" s="25">
        <v>2.1221883560530022E-4</v>
      </c>
      <c r="S302" s="25">
        <v>2.7021864733702683E-4</v>
      </c>
      <c r="T302" s="25">
        <v>9.5651699862211298E-5</v>
      </c>
    </row>
    <row r="303" spans="1:20" x14ac:dyDescent="0.25">
      <c r="A303" s="17" t="s">
        <v>1427</v>
      </c>
      <c r="B303" s="117" t="s">
        <v>1428</v>
      </c>
      <c r="C303" s="117" t="s">
        <v>410</v>
      </c>
      <c r="D303" s="117" t="s">
        <v>251</v>
      </c>
      <c r="E303" s="117" t="s">
        <v>561</v>
      </c>
      <c r="F303" s="117" t="s">
        <v>226</v>
      </c>
      <c r="G303" s="117" t="s">
        <v>524</v>
      </c>
      <c r="H303" s="117" t="s">
        <v>256</v>
      </c>
      <c r="I303" s="117" t="s">
        <v>1429</v>
      </c>
      <c r="J303" s="118">
        <v>2.5499999999999998</v>
      </c>
      <c r="K303" s="118" t="s">
        <v>257</v>
      </c>
      <c r="L303" s="117">
        <v>4.2999999999999997E-2</v>
      </c>
      <c r="M303" s="117">
        <v>6.1100000000000002E-2</v>
      </c>
      <c r="N303" s="70">
        <v>371555.7594736116</v>
      </c>
      <c r="O303" s="61">
        <v>96.610000000000014</v>
      </c>
      <c r="P303" s="85">
        <v>0</v>
      </c>
      <c r="Q303" s="85">
        <v>358.96002000000004</v>
      </c>
      <c r="R303" s="25">
        <v>3.3469412797475603E-4</v>
      </c>
      <c r="S303" s="25">
        <v>1.8921424097821042E-3</v>
      </c>
      <c r="T303" s="25">
        <v>6.6977849108727761E-4</v>
      </c>
    </row>
    <row r="304" spans="1:20" x14ac:dyDescent="0.25">
      <c r="A304" s="17" t="s">
        <v>1414</v>
      </c>
      <c r="B304" s="117" t="s">
        <v>1415</v>
      </c>
      <c r="C304" s="117" t="s">
        <v>410</v>
      </c>
      <c r="D304" s="117" t="s">
        <v>251</v>
      </c>
      <c r="E304" s="117" t="s">
        <v>1416</v>
      </c>
      <c r="F304" s="117" t="s">
        <v>215</v>
      </c>
      <c r="G304" s="117" t="s">
        <v>1412</v>
      </c>
      <c r="H304" s="117" t="s">
        <v>529</v>
      </c>
      <c r="I304" s="117" t="s">
        <v>449</v>
      </c>
      <c r="J304" s="118">
        <v>3.53</v>
      </c>
      <c r="K304" s="118" t="s">
        <v>257</v>
      </c>
      <c r="L304" s="117">
        <v>6.7599999999999993E-2</v>
      </c>
      <c r="M304" s="117">
        <v>6.4399999999999999E-2</v>
      </c>
      <c r="N304" s="70">
        <v>264428.351465891</v>
      </c>
      <c r="O304" s="61">
        <v>102.47</v>
      </c>
      <c r="P304" s="85">
        <v>0</v>
      </c>
      <c r="Q304" s="85">
        <v>270.95972999999998</v>
      </c>
      <c r="R304" s="25">
        <v>1.5110191512336627E-4</v>
      </c>
      <c r="S304" s="25">
        <v>1.4282771559799563E-3</v>
      </c>
      <c r="T304" s="25">
        <v>5.0557997825166189E-4</v>
      </c>
    </row>
    <row r="305" spans="1:20" x14ac:dyDescent="0.25">
      <c r="A305" s="17" t="s">
        <v>1481</v>
      </c>
      <c r="B305" s="117" t="s">
        <v>1482</v>
      </c>
      <c r="C305" s="117" t="s">
        <v>410</v>
      </c>
      <c r="D305" s="117" t="s">
        <v>251</v>
      </c>
      <c r="E305" s="117" t="s">
        <v>1416</v>
      </c>
      <c r="F305" s="117" t="s">
        <v>215</v>
      </c>
      <c r="G305" s="117" t="s">
        <v>574</v>
      </c>
      <c r="H305" s="117" t="s">
        <v>529</v>
      </c>
      <c r="I305" s="117" t="s">
        <v>1480</v>
      </c>
      <c r="J305" s="118">
        <v>4.6399999999999997</v>
      </c>
      <c r="K305" s="118" t="s">
        <v>257</v>
      </c>
      <c r="L305" s="117">
        <v>6.5199999999999994E-2</v>
      </c>
      <c r="M305" s="117">
        <v>6.7599999999999993E-2</v>
      </c>
      <c r="N305" s="70">
        <v>469451.57651847834</v>
      </c>
      <c r="O305" s="61">
        <v>99.76</v>
      </c>
      <c r="P305" s="85">
        <v>0</v>
      </c>
      <c r="Q305" s="85">
        <v>468.32489000000004</v>
      </c>
      <c r="R305" s="25">
        <v>5.7468080382631014E-4</v>
      </c>
      <c r="S305" s="25">
        <v>2.4686241825079541E-3</v>
      </c>
      <c r="T305" s="25">
        <v>8.7384087554601565E-4</v>
      </c>
    </row>
    <row r="306" spans="1:20" x14ac:dyDescent="0.25">
      <c r="A306" s="17" t="s">
        <v>1312</v>
      </c>
      <c r="B306" s="117" t="s">
        <v>1313</v>
      </c>
      <c r="C306" s="117" t="s">
        <v>410</v>
      </c>
      <c r="D306" s="117" t="s">
        <v>251</v>
      </c>
      <c r="E306" s="117" t="s">
        <v>1314</v>
      </c>
      <c r="F306" s="117" t="s">
        <v>234</v>
      </c>
      <c r="G306" s="117" t="s">
        <v>689</v>
      </c>
      <c r="H306" s="117" t="s">
        <v>529</v>
      </c>
      <c r="I306" s="117" t="s">
        <v>1315</v>
      </c>
      <c r="J306" s="118">
        <v>0.39</v>
      </c>
      <c r="K306" s="118" t="s">
        <v>257</v>
      </c>
      <c r="L306" s="117">
        <v>0.02</v>
      </c>
      <c r="M306" s="117">
        <v>8.5900000000000004E-2</v>
      </c>
      <c r="N306" s="70">
        <v>104453.11096205958</v>
      </c>
      <c r="O306" s="61">
        <v>97.59</v>
      </c>
      <c r="P306" s="85">
        <v>35.339969177</v>
      </c>
      <c r="Q306" s="85">
        <v>103.29716000000001</v>
      </c>
      <c r="R306" s="25">
        <v>7.0623765244684402E-4</v>
      </c>
      <c r="S306" s="25">
        <v>5.4449778904638901E-4</v>
      </c>
      <c r="T306" s="25">
        <v>1.9274072906058198E-4</v>
      </c>
    </row>
    <row r="307" spans="1:20" x14ac:dyDescent="0.25">
      <c r="A307" s="17" t="s">
        <v>1298</v>
      </c>
      <c r="B307" s="117" t="s">
        <v>1299</v>
      </c>
      <c r="C307" s="117" t="s">
        <v>410</v>
      </c>
      <c r="D307" s="117" t="s">
        <v>251</v>
      </c>
      <c r="E307" s="117" t="s">
        <v>1300</v>
      </c>
      <c r="F307" s="117" t="s">
        <v>226</v>
      </c>
      <c r="G307" s="117" t="s">
        <v>574</v>
      </c>
      <c r="H307" s="117" t="s">
        <v>529</v>
      </c>
      <c r="I307" s="117" t="s">
        <v>1301</v>
      </c>
      <c r="J307" s="118">
        <v>3.16</v>
      </c>
      <c r="K307" s="118" t="s">
        <v>257</v>
      </c>
      <c r="L307" s="117">
        <v>2.5000000000000001E-2</v>
      </c>
      <c r="M307" s="117">
        <v>6.6199999999999995E-2</v>
      </c>
      <c r="N307" s="70">
        <v>161110.18729333216</v>
      </c>
      <c r="O307" s="61">
        <v>88.69</v>
      </c>
      <c r="P307" s="85">
        <v>0</v>
      </c>
      <c r="Q307" s="85">
        <v>142.88863000000001</v>
      </c>
      <c r="R307" s="25">
        <v>7.639330118790101E-4</v>
      </c>
      <c r="S307" s="25">
        <v>7.5319150221426741E-4</v>
      </c>
      <c r="T307" s="25">
        <v>2.6661390033053903E-4</v>
      </c>
    </row>
    <row r="308" spans="1:20" x14ac:dyDescent="0.25">
      <c r="A308" s="17" t="s">
        <v>1209</v>
      </c>
      <c r="B308" s="117" t="s">
        <v>1210</v>
      </c>
      <c r="C308" s="117" t="s">
        <v>410</v>
      </c>
      <c r="D308" s="117" t="s">
        <v>251</v>
      </c>
      <c r="E308" s="117" t="s">
        <v>1211</v>
      </c>
      <c r="F308" s="117" t="s">
        <v>203</v>
      </c>
      <c r="G308" s="117" t="s">
        <v>537</v>
      </c>
      <c r="H308" s="117" t="s">
        <v>256</v>
      </c>
      <c r="I308" s="117" t="s">
        <v>1212</v>
      </c>
      <c r="J308" s="118">
        <v>2.5299999999999998</v>
      </c>
      <c r="K308" s="118" t="s">
        <v>257</v>
      </c>
      <c r="L308" s="117">
        <v>2.4E-2</v>
      </c>
      <c r="M308" s="117">
        <v>5.79E-2</v>
      </c>
      <c r="N308" s="70">
        <v>184960.45855900634</v>
      </c>
      <c r="O308" s="61">
        <v>91.98</v>
      </c>
      <c r="P308" s="85">
        <v>0</v>
      </c>
      <c r="Q308" s="85">
        <v>170.12663000000001</v>
      </c>
      <c r="R308" s="25">
        <v>2.2029280576242428E-4</v>
      </c>
      <c r="S308" s="25">
        <v>8.9676786750877827E-4</v>
      </c>
      <c r="T308" s="25">
        <v>3.1743690435264511E-4</v>
      </c>
    </row>
    <row r="309" spans="1:20" x14ac:dyDescent="0.25">
      <c r="A309" s="17" t="s">
        <v>1305</v>
      </c>
      <c r="B309" s="117" t="s">
        <v>1306</v>
      </c>
      <c r="C309" s="117" t="s">
        <v>410</v>
      </c>
      <c r="D309" s="117" t="s">
        <v>251</v>
      </c>
      <c r="E309" s="117" t="s">
        <v>1211</v>
      </c>
      <c r="F309" s="117" t="s">
        <v>203</v>
      </c>
      <c r="G309" s="117" t="s">
        <v>537</v>
      </c>
      <c r="H309" s="117" t="s">
        <v>256</v>
      </c>
      <c r="I309" s="117" t="s">
        <v>1270</v>
      </c>
      <c r="J309" s="118">
        <v>2.48</v>
      </c>
      <c r="K309" s="118" t="s">
        <v>257</v>
      </c>
      <c r="L309" s="117">
        <v>2.1499999999999998E-2</v>
      </c>
      <c r="M309" s="117">
        <v>5.7599999999999998E-2</v>
      </c>
      <c r="N309" s="70">
        <v>179510.50669145046</v>
      </c>
      <c r="O309" s="61">
        <v>91.65</v>
      </c>
      <c r="P309" s="85">
        <v>9.5007819004000016</v>
      </c>
      <c r="Q309" s="85">
        <v>166.19900000000001</v>
      </c>
      <c r="R309" s="25">
        <v>2.0660957185324332E-4</v>
      </c>
      <c r="S309" s="25">
        <v>8.7606462793092088E-4</v>
      </c>
      <c r="T309" s="25">
        <v>3.1010839435604681E-4</v>
      </c>
    </row>
    <row r="310" spans="1:20" x14ac:dyDescent="0.25">
      <c r="A310" s="17" t="s">
        <v>1420</v>
      </c>
      <c r="B310" s="117" t="s">
        <v>1421</v>
      </c>
      <c r="C310" s="117" t="s">
        <v>410</v>
      </c>
      <c r="D310" s="117" t="s">
        <v>251</v>
      </c>
      <c r="E310" s="117" t="s">
        <v>1422</v>
      </c>
      <c r="F310" s="117" t="s">
        <v>226</v>
      </c>
      <c r="G310" s="117" t="s">
        <v>524</v>
      </c>
      <c r="H310" s="117" t="s">
        <v>256</v>
      </c>
      <c r="I310" s="117" t="s">
        <v>1423</v>
      </c>
      <c r="J310" s="118">
        <v>3.67</v>
      </c>
      <c r="K310" s="118" t="s">
        <v>257</v>
      </c>
      <c r="L310" s="117">
        <v>5.3399999999999996E-2</v>
      </c>
      <c r="M310" s="117">
        <v>6.3200000000000006E-2</v>
      </c>
      <c r="N310" s="70">
        <v>174920.07047963628</v>
      </c>
      <c r="O310" s="61">
        <v>98.56</v>
      </c>
      <c r="P310" s="85">
        <v>0</v>
      </c>
      <c r="Q310" s="85">
        <v>172.40122</v>
      </c>
      <c r="R310" s="25">
        <v>4.373001761990907E-4</v>
      </c>
      <c r="S310" s="25">
        <v>9.0875763785664679E-4</v>
      </c>
      <c r="T310" s="25">
        <v>3.2168103008576215E-4</v>
      </c>
    </row>
    <row r="311" spans="1:20" x14ac:dyDescent="0.25">
      <c r="A311" s="17" t="s">
        <v>1186</v>
      </c>
      <c r="B311" s="117" t="s">
        <v>1187</v>
      </c>
      <c r="C311" s="117" t="s">
        <v>410</v>
      </c>
      <c r="D311" s="117" t="s">
        <v>251</v>
      </c>
      <c r="E311" s="117" t="s">
        <v>658</v>
      </c>
      <c r="F311" s="117" t="s">
        <v>204</v>
      </c>
      <c r="G311" s="117" t="s">
        <v>545</v>
      </c>
      <c r="H311" s="117" t="s">
        <v>256</v>
      </c>
      <c r="I311" s="117" t="s">
        <v>462</v>
      </c>
      <c r="J311" s="118">
        <v>1.43</v>
      </c>
      <c r="K311" s="118" t="s">
        <v>257</v>
      </c>
      <c r="L311" s="117">
        <v>2.7000000000000003E-2</v>
      </c>
      <c r="M311" s="117">
        <v>5.7200000000000001E-2</v>
      </c>
      <c r="N311" s="70">
        <v>54353.831892205184</v>
      </c>
      <c r="O311" s="61">
        <v>96.02</v>
      </c>
      <c r="P311" s="85">
        <v>0</v>
      </c>
      <c r="Q311" s="85">
        <v>52.190550000000002</v>
      </c>
      <c r="R311" s="25">
        <v>3.1596285931661166E-4</v>
      </c>
      <c r="S311" s="25">
        <v>2.7510571524052565E-4</v>
      </c>
      <c r="T311" s="25">
        <v>9.738161878867489E-5</v>
      </c>
    </row>
    <row r="312" spans="1:20" x14ac:dyDescent="0.25">
      <c r="A312" s="17" t="s">
        <v>1172</v>
      </c>
      <c r="B312" s="117" t="s">
        <v>1173</v>
      </c>
      <c r="C312" s="117" t="s">
        <v>410</v>
      </c>
      <c r="D312" s="117" t="s">
        <v>251</v>
      </c>
      <c r="E312" s="117" t="s">
        <v>553</v>
      </c>
      <c r="F312" s="117" t="s">
        <v>235</v>
      </c>
      <c r="G312" s="117" t="s">
        <v>545</v>
      </c>
      <c r="H312" s="117" t="s">
        <v>256</v>
      </c>
      <c r="I312" s="117" t="s">
        <v>1174</v>
      </c>
      <c r="J312" s="118">
        <v>3.26</v>
      </c>
      <c r="K312" s="118" t="s">
        <v>257</v>
      </c>
      <c r="L312" s="117">
        <v>5.0900000000000001E-2</v>
      </c>
      <c r="M312" s="117">
        <v>4.9699999999999994E-2</v>
      </c>
      <c r="N312" s="70">
        <v>161046.29180774698</v>
      </c>
      <c r="O312" s="61">
        <v>100.22</v>
      </c>
      <c r="P312" s="85">
        <v>31.203869236000003</v>
      </c>
      <c r="Q312" s="85">
        <v>169.54723999999999</v>
      </c>
      <c r="R312" s="25">
        <v>2.599790545005244E-4</v>
      </c>
      <c r="S312" s="25">
        <v>8.9371379928467997E-4</v>
      </c>
      <c r="T312" s="25">
        <v>3.1635582863855566E-4</v>
      </c>
    </row>
    <row r="313" spans="1:20" x14ac:dyDescent="0.25">
      <c r="A313" s="17" t="s">
        <v>1252</v>
      </c>
      <c r="B313" s="117" t="s">
        <v>1253</v>
      </c>
      <c r="C313" s="117" t="s">
        <v>410</v>
      </c>
      <c r="D313" s="117" t="s">
        <v>251</v>
      </c>
      <c r="E313" s="117" t="s">
        <v>1254</v>
      </c>
      <c r="F313" s="117" t="s">
        <v>208</v>
      </c>
      <c r="G313" s="117" t="s">
        <v>605</v>
      </c>
      <c r="H313" s="117" t="s">
        <v>529</v>
      </c>
      <c r="I313" s="117" t="s">
        <v>1255</v>
      </c>
      <c r="J313" s="118">
        <v>6.7</v>
      </c>
      <c r="K313" s="118" t="s">
        <v>257</v>
      </c>
      <c r="L313" s="117">
        <v>1.9E-2</v>
      </c>
      <c r="M313" s="117">
        <v>5.16E-2</v>
      </c>
      <c r="N313" s="70">
        <v>480106.36686203582</v>
      </c>
      <c r="O313" s="61">
        <v>80.8</v>
      </c>
      <c r="P313" s="85">
        <v>0</v>
      </c>
      <c r="Q313" s="85">
        <v>387.92594000000003</v>
      </c>
      <c r="R313" s="25">
        <v>4.4661057382514962E-4</v>
      </c>
      <c r="S313" s="25">
        <v>2.044826950167286E-3</v>
      </c>
      <c r="T313" s="25">
        <v>7.2382559691971764E-4</v>
      </c>
    </row>
    <row r="314" spans="1:20" x14ac:dyDescent="0.25">
      <c r="A314" s="17" t="s">
        <v>1487</v>
      </c>
      <c r="B314" s="117" t="s">
        <v>1488</v>
      </c>
      <c r="C314" s="117" t="s">
        <v>410</v>
      </c>
      <c r="D314" s="117" t="s">
        <v>251</v>
      </c>
      <c r="E314" s="117" t="s">
        <v>1489</v>
      </c>
      <c r="F314" s="117" t="s">
        <v>225</v>
      </c>
      <c r="G314" s="117" t="s">
        <v>574</v>
      </c>
      <c r="H314" s="117" t="s">
        <v>529</v>
      </c>
      <c r="I314" s="117" t="s">
        <v>1486</v>
      </c>
      <c r="J314" s="118">
        <v>5</v>
      </c>
      <c r="K314" s="118" t="s">
        <v>257</v>
      </c>
      <c r="L314" s="117">
        <v>6.7699999999999996E-2</v>
      </c>
      <c r="M314" s="117">
        <v>6.6900000000000001E-2</v>
      </c>
      <c r="N314" s="70">
        <v>43775.169428664638</v>
      </c>
      <c r="O314" s="61">
        <v>101.88</v>
      </c>
      <c r="P314" s="85">
        <v>0</v>
      </c>
      <c r="Q314" s="85">
        <v>44.598140000000001</v>
      </c>
      <c r="R314" s="25">
        <v>5.8366892571552852E-5</v>
      </c>
      <c r="S314" s="25">
        <v>2.3508476540479257E-4</v>
      </c>
      <c r="T314" s="25">
        <v>8.3215046941715565E-5</v>
      </c>
    </row>
    <row r="315" spans="1:20" x14ac:dyDescent="0.25">
      <c r="A315" s="17" t="s">
        <v>1309</v>
      </c>
      <c r="B315" s="117" t="s">
        <v>1310</v>
      </c>
      <c r="C315" s="117" t="s">
        <v>410</v>
      </c>
      <c r="D315" s="117" t="s">
        <v>251</v>
      </c>
      <c r="E315" s="117" t="s">
        <v>549</v>
      </c>
      <c r="F315" s="117" t="s">
        <v>226</v>
      </c>
      <c r="G315" s="117" t="s">
        <v>689</v>
      </c>
      <c r="H315" s="117" t="s">
        <v>529</v>
      </c>
      <c r="I315" s="117" t="s">
        <v>1311</v>
      </c>
      <c r="J315" s="118">
        <v>4.16</v>
      </c>
      <c r="K315" s="118" t="s">
        <v>257</v>
      </c>
      <c r="L315" s="117">
        <v>2.7999999999999997E-2</v>
      </c>
      <c r="M315" s="117">
        <v>7.0099999999999996E-2</v>
      </c>
      <c r="N315" s="70">
        <v>17532.458856706624</v>
      </c>
      <c r="O315" s="61">
        <v>85.5</v>
      </c>
      <c r="P315" s="85">
        <v>0</v>
      </c>
      <c r="Q315" s="85">
        <v>14.99025</v>
      </c>
      <c r="R315" s="25">
        <v>2.2511018139444253E-5</v>
      </c>
      <c r="S315" s="25">
        <v>7.90162864327793E-5</v>
      </c>
      <c r="T315" s="25">
        <v>2.7970098246654496E-5</v>
      </c>
    </row>
    <row r="316" spans="1:20" x14ac:dyDescent="0.25">
      <c r="A316" s="17" t="s">
        <v>1461</v>
      </c>
      <c r="B316" s="117" t="s">
        <v>1462</v>
      </c>
      <c r="C316" s="117" t="s">
        <v>410</v>
      </c>
      <c r="D316" s="117" t="s">
        <v>251</v>
      </c>
      <c r="E316" s="117" t="s">
        <v>1463</v>
      </c>
      <c r="F316" s="117" t="s">
        <v>223</v>
      </c>
      <c r="G316" s="117" t="s">
        <v>574</v>
      </c>
      <c r="H316" s="117" t="s">
        <v>529</v>
      </c>
      <c r="I316" s="117" t="s">
        <v>1464</v>
      </c>
      <c r="J316" s="118">
        <v>3.11</v>
      </c>
      <c r="K316" s="118" t="s">
        <v>257</v>
      </c>
      <c r="L316" s="117">
        <v>4.0999999999999995E-2</v>
      </c>
      <c r="M316" s="117">
        <v>6.7000000000000004E-2</v>
      </c>
      <c r="N316" s="70">
        <v>60229.787208975438</v>
      </c>
      <c r="O316" s="61">
        <v>94.16</v>
      </c>
      <c r="P316" s="85">
        <v>0</v>
      </c>
      <c r="Q316" s="85">
        <v>56.71237</v>
      </c>
      <c r="R316" s="25">
        <v>1.2185236449082145E-4</v>
      </c>
      <c r="S316" s="25">
        <v>2.9894103648716734E-4</v>
      </c>
      <c r="T316" s="25">
        <v>1.0581881961278972E-4</v>
      </c>
    </row>
    <row r="317" spans="1:20" x14ac:dyDescent="0.25">
      <c r="A317" s="17" t="s">
        <v>1178</v>
      </c>
      <c r="B317" s="117" t="s">
        <v>1179</v>
      </c>
      <c r="C317" s="117" t="s">
        <v>410</v>
      </c>
      <c r="D317" s="117" t="s">
        <v>251</v>
      </c>
      <c r="E317" s="117" t="s">
        <v>1180</v>
      </c>
      <c r="F317" s="117" t="s">
        <v>210</v>
      </c>
      <c r="G317" s="117" t="s">
        <v>630</v>
      </c>
      <c r="H317" s="117" t="s">
        <v>256</v>
      </c>
      <c r="I317" s="117" t="s">
        <v>1181</v>
      </c>
      <c r="J317" s="118">
        <v>1.48</v>
      </c>
      <c r="K317" s="118" t="s">
        <v>257</v>
      </c>
      <c r="L317" s="117">
        <v>3.3500000000000002E-2</v>
      </c>
      <c r="M317" s="117">
        <v>5.3399999999999996E-2</v>
      </c>
      <c r="N317" s="70">
        <v>95161.567139068677</v>
      </c>
      <c r="O317" s="61">
        <v>97.220000000000013</v>
      </c>
      <c r="P317" s="85">
        <v>33.314478608999998</v>
      </c>
      <c r="Q317" s="85">
        <v>94.991860000000003</v>
      </c>
      <c r="R317" s="25">
        <v>6.9241446929639648E-4</v>
      </c>
      <c r="S317" s="25">
        <v>5.0071906863077473E-4</v>
      </c>
      <c r="T317" s="25">
        <v>1.7724398571287666E-4</v>
      </c>
    </row>
    <row r="318" spans="1:20" x14ac:dyDescent="0.25">
      <c r="A318" s="17" t="s">
        <v>1200</v>
      </c>
      <c r="B318" s="117" t="s">
        <v>1201</v>
      </c>
      <c r="C318" s="117" t="s">
        <v>410</v>
      </c>
      <c r="D318" s="117" t="s">
        <v>251</v>
      </c>
      <c r="E318" s="117" t="s">
        <v>1180</v>
      </c>
      <c r="F318" s="117" t="s">
        <v>210</v>
      </c>
      <c r="G318" s="117" t="s">
        <v>630</v>
      </c>
      <c r="H318" s="117" t="s">
        <v>256</v>
      </c>
      <c r="I318" s="117" t="s">
        <v>1202</v>
      </c>
      <c r="J318" s="118">
        <v>3.45</v>
      </c>
      <c r="K318" s="118" t="s">
        <v>257</v>
      </c>
      <c r="L318" s="117">
        <v>2.6200000000000001E-2</v>
      </c>
      <c r="M318" s="117">
        <v>5.5199999999999999E-2</v>
      </c>
      <c r="N318" s="70">
        <v>275452.27070658538</v>
      </c>
      <c r="O318" s="61">
        <v>91.29</v>
      </c>
      <c r="P318" s="85">
        <v>0</v>
      </c>
      <c r="Q318" s="85">
        <v>251.46038000000001</v>
      </c>
      <c r="R318" s="25">
        <v>5.5016367010878281E-4</v>
      </c>
      <c r="S318" s="25">
        <v>1.3254925976935359E-3</v>
      </c>
      <c r="T318" s="25">
        <v>4.6919641325135161E-4</v>
      </c>
    </row>
    <row r="319" spans="1:20" x14ac:dyDescent="0.25">
      <c r="A319" s="17" t="s">
        <v>1319</v>
      </c>
      <c r="B319" s="117" t="s">
        <v>1320</v>
      </c>
      <c r="C319" s="117" t="s">
        <v>410</v>
      </c>
      <c r="D319" s="117" t="s">
        <v>251</v>
      </c>
      <c r="E319" s="117" t="s">
        <v>1180</v>
      </c>
      <c r="F319" s="117" t="s">
        <v>210</v>
      </c>
      <c r="G319" s="117" t="s">
        <v>630</v>
      </c>
      <c r="H319" s="117" t="s">
        <v>256</v>
      </c>
      <c r="I319" s="117" t="s">
        <v>1321</v>
      </c>
      <c r="J319" s="118">
        <v>5.84</v>
      </c>
      <c r="K319" s="118" t="s">
        <v>257</v>
      </c>
      <c r="L319" s="117">
        <v>2.3399999999999997E-2</v>
      </c>
      <c r="M319" s="117">
        <v>5.7300000000000004E-2</v>
      </c>
      <c r="N319" s="70">
        <v>357073.69221199688</v>
      </c>
      <c r="O319" s="61">
        <v>82.62</v>
      </c>
      <c r="P319" s="85">
        <v>0</v>
      </c>
      <c r="Q319" s="85">
        <v>295.01428000000004</v>
      </c>
      <c r="R319" s="25">
        <v>3.38057933455145E-4</v>
      </c>
      <c r="S319" s="25">
        <v>1.5550729874578579E-3</v>
      </c>
      <c r="T319" s="25">
        <v>5.5046302735218156E-4</v>
      </c>
    </row>
    <row r="320" spans="1:20" x14ac:dyDescent="0.25">
      <c r="A320" s="17" t="s">
        <v>1471</v>
      </c>
      <c r="B320" s="117" t="s">
        <v>1472</v>
      </c>
      <c r="C320" s="117" t="s">
        <v>410</v>
      </c>
      <c r="D320" s="117" t="s">
        <v>251</v>
      </c>
      <c r="E320" s="117" t="s">
        <v>1473</v>
      </c>
      <c r="F320" s="117" t="s">
        <v>215</v>
      </c>
      <c r="G320" s="117" t="s">
        <v>677</v>
      </c>
      <c r="H320" s="117" t="s">
        <v>529</v>
      </c>
      <c r="I320" s="117" t="s">
        <v>1474</v>
      </c>
      <c r="J320" s="118">
        <v>3.69</v>
      </c>
      <c r="K320" s="118" t="s">
        <v>257</v>
      </c>
      <c r="L320" s="117">
        <v>4.6900000000000004E-2</v>
      </c>
      <c r="M320" s="117">
        <v>8.4199999999999997E-2</v>
      </c>
      <c r="N320" s="70">
        <v>109684.94778469121</v>
      </c>
      <c r="O320" s="61">
        <v>98</v>
      </c>
      <c r="P320" s="85">
        <v>0</v>
      </c>
      <c r="Q320" s="85">
        <v>107.49124999999999</v>
      </c>
      <c r="R320" s="25">
        <v>8.8611460034163902E-5</v>
      </c>
      <c r="S320" s="25">
        <v>5.666055868993171E-4</v>
      </c>
      <c r="T320" s="25">
        <v>2.0056642305203048E-4</v>
      </c>
    </row>
    <row r="321" spans="1:20" s="119" customFormat="1" x14ac:dyDescent="0.25">
      <c r="A321" s="93" t="s">
        <v>516</v>
      </c>
      <c r="B321" s="131" t="s">
        <v>251</v>
      </c>
      <c r="C321" s="131" t="s">
        <v>251</v>
      </c>
      <c r="D321" s="131" t="s">
        <v>251</v>
      </c>
      <c r="E321" s="131" t="s">
        <v>251</v>
      </c>
      <c r="F321" s="131" t="s">
        <v>251</v>
      </c>
      <c r="G321" s="131" t="s">
        <v>251</v>
      </c>
      <c r="H321" s="131" t="s">
        <v>251</v>
      </c>
      <c r="I321" s="131" t="s">
        <v>251</v>
      </c>
      <c r="J321" s="132" t="s">
        <v>251</v>
      </c>
      <c r="K321" s="132" t="s">
        <v>251</v>
      </c>
      <c r="L321" s="131" t="s">
        <v>251</v>
      </c>
      <c r="M321" s="131" t="s">
        <v>251</v>
      </c>
      <c r="N321" s="135" t="s">
        <v>251</v>
      </c>
      <c r="O321" s="136" t="s">
        <v>251</v>
      </c>
      <c r="P321" s="124" t="s">
        <v>251</v>
      </c>
      <c r="Q321" s="124">
        <v>880.14863009999999</v>
      </c>
      <c r="R321" s="137"/>
      <c r="S321" s="137">
        <v>4.6394207074198172E-3</v>
      </c>
      <c r="T321" s="137">
        <v>1.6422570441156996E-3</v>
      </c>
    </row>
    <row r="322" spans="1:20" x14ac:dyDescent="0.25">
      <c r="A322" s="17" t="s">
        <v>1504</v>
      </c>
      <c r="B322" s="117" t="s">
        <v>1505</v>
      </c>
      <c r="C322" s="117" t="s">
        <v>410</v>
      </c>
      <c r="D322" s="117" t="s">
        <v>251</v>
      </c>
      <c r="E322" s="117" t="s">
        <v>1277</v>
      </c>
      <c r="F322" s="117" t="s">
        <v>215</v>
      </c>
      <c r="G322" s="117" t="s">
        <v>545</v>
      </c>
      <c r="H322" s="117" t="s">
        <v>256</v>
      </c>
      <c r="I322" s="117" t="s">
        <v>1506</v>
      </c>
      <c r="J322" s="118">
        <v>0.98</v>
      </c>
      <c r="K322" s="118" t="s">
        <v>257</v>
      </c>
      <c r="L322" s="117">
        <v>3.49E-2</v>
      </c>
      <c r="M322" s="117">
        <v>7.2800000000000004E-2</v>
      </c>
      <c r="N322" s="70">
        <v>332940.90838780731</v>
      </c>
      <c r="O322" s="61">
        <v>104.41</v>
      </c>
      <c r="P322" s="85">
        <v>0</v>
      </c>
      <c r="Q322" s="85">
        <v>347.62359999999995</v>
      </c>
      <c r="R322" s="25">
        <v>3.9655953063550613E-4</v>
      </c>
      <c r="S322" s="25">
        <v>1.8323861142004901E-3</v>
      </c>
      <c r="T322" s="25">
        <v>6.4862602323882007E-4</v>
      </c>
    </row>
    <row r="323" spans="1:20" x14ac:dyDescent="0.25">
      <c r="A323" s="17" t="s">
        <v>3066</v>
      </c>
      <c r="B323" s="117" t="s">
        <v>1507</v>
      </c>
      <c r="C323" s="117" t="s">
        <v>410</v>
      </c>
      <c r="D323" s="117" t="s">
        <v>251</v>
      </c>
      <c r="E323" s="117" t="s">
        <v>1508</v>
      </c>
      <c r="F323" s="117" t="s">
        <v>224</v>
      </c>
      <c r="G323" s="117" t="s">
        <v>528</v>
      </c>
      <c r="H323" s="117" t="s">
        <v>529</v>
      </c>
      <c r="I323" s="117" t="s">
        <v>1509</v>
      </c>
      <c r="J323" s="118">
        <v>3.55</v>
      </c>
      <c r="K323" s="118" t="s">
        <v>257</v>
      </c>
      <c r="L323" s="117">
        <v>4.2999999999999997E-2</v>
      </c>
      <c r="M323" s="117">
        <v>7.4999999999999997E-2</v>
      </c>
      <c r="N323" s="70">
        <v>292490.96845695353</v>
      </c>
      <c r="O323" s="61">
        <v>89.3</v>
      </c>
      <c r="P323" s="85">
        <v>0</v>
      </c>
      <c r="Q323" s="85">
        <v>261.19443000000001</v>
      </c>
      <c r="R323" s="25">
        <v>2.4736012586152467E-4</v>
      </c>
      <c r="S323" s="25">
        <v>1.3768025146696369E-3</v>
      </c>
      <c r="T323" s="25">
        <v>4.8735904128209475E-4</v>
      </c>
    </row>
    <row r="324" spans="1:20" x14ac:dyDescent="0.25">
      <c r="A324" s="17" t="s">
        <v>1510</v>
      </c>
      <c r="B324" s="117" t="s">
        <v>1511</v>
      </c>
      <c r="C324" s="117" t="s">
        <v>410</v>
      </c>
      <c r="D324" s="117" t="s">
        <v>251</v>
      </c>
      <c r="E324" s="117" t="s">
        <v>1512</v>
      </c>
      <c r="F324" s="117" t="s">
        <v>215</v>
      </c>
      <c r="G324" s="117" t="s">
        <v>533</v>
      </c>
      <c r="H324" s="117" t="s">
        <v>533</v>
      </c>
      <c r="I324" s="117" t="s">
        <v>1513</v>
      </c>
      <c r="J324" s="118">
        <v>2.94</v>
      </c>
      <c r="K324" s="118" t="s">
        <v>257</v>
      </c>
      <c r="L324" s="117">
        <v>5.7000000000000002E-2</v>
      </c>
      <c r="M324" s="117">
        <v>7.0199999999999999E-2</v>
      </c>
      <c r="N324" s="70">
        <v>232981.79758946257</v>
      </c>
      <c r="O324" s="61">
        <v>116.45999999999998</v>
      </c>
      <c r="P324" s="85">
        <v>0</v>
      </c>
      <c r="Q324" s="85">
        <v>271.3306</v>
      </c>
      <c r="R324" s="25">
        <v>7.7660599196487524E-4</v>
      </c>
      <c r="S324" s="25">
        <v>1.4302320780225724E-3</v>
      </c>
      <c r="T324" s="25">
        <v>5.0627197940819612E-4</v>
      </c>
    </row>
    <row r="325" spans="1:20" s="119" customFormat="1" x14ac:dyDescent="0.25">
      <c r="A325" s="93" t="s">
        <v>1514</v>
      </c>
      <c r="B325" s="131" t="s">
        <v>251</v>
      </c>
      <c r="C325" s="131" t="s">
        <v>251</v>
      </c>
      <c r="D325" s="131" t="s">
        <v>251</v>
      </c>
      <c r="E325" s="131" t="s">
        <v>251</v>
      </c>
      <c r="F325" s="131" t="s">
        <v>251</v>
      </c>
      <c r="G325" s="131" t="s">
        <v>251</v>
      </c>
      <c r="H325" s="131" t="s">
        <v>251</v>
      </c>
      <c r="I325" s="131" t="s">
        <v>251</v>
      </c>
      <c r="J325" s="132" t="s">
        <v>251</v>
      </c>
      <c r="K325" s="132" t="s">
        <v>251</v>
      </c>
      <c r="L325" s="131" t="s">
        <v>251</v>
      </c>
      <c r="M325" s="131" t="s">
        <v>251</v>
      </c>
      <c r="N325" s="135" t="s">
        <v>251</v>
      </c>
      <c r="O325" s="136" t="s">
        <v>251</v>
      </c>
      <c r="P325" s="124" t="s">
        <v>251</v>
      </c>
      <c r="Q325" s="124">
        <v>0</v>
      </c>
      <c r="R325" s="137"/>
      <c r="S325" s="137">
        <v>0</v>
      </c>
      <c r="T325" s="137">
        <v>0</v>
      </c>
    </row>
    <row r="326" spans="1:20" s="119" customFormat="1" x14ac:dyDescent="0.25">
      <c r="A326" s="93" t="s">
        <v>498</v>
      </c>
      <c r="B326" s="131" t="s">
        <v>251</v>
      </c>
      <c r="C326" s="131" t="s">
        <v>251</v>
      </c>
      <c r="D326" s="131" t="s">
        <v>251</v>
      </c>
      <c r="E326" s="131" t="s">
        <v>251</v>
      </c>
      <c r="F326" s="131" t="s">
        <v>251</v>
      </c>
      <c r="G326" s="131" t="s">
        <v>251</v>
      </c>
      <c r="H326" s="131" t="s">
        <v>251</v>
      </c>
      <c r="I326" s="131" t="s">
        <v>251</v>
      </c>
      <c r="J326" s="132" t="s">
        <v>251</v>
      </c>
      <c r="K326" s="132" t="s">
        <v>251</v>
      </c>
      <c r="L326" s="131" t="s">
        <v>251</v>
      </c>
      <c r="M326" s="131" t="s">
        <v>251</v>
      </c>
      <c r="N326" s="135" t="s">
        <v>251</v>
      </c>
      <c r="O326" s="136" t="s">
        <v>251</v>
      </c>
      <c r="P326" s="124" t="s">
        <v>251</v>
      </c>
      <c r="Q326" s="124">
        <v>32510.353810199998</v>
      </c>
      <c r="R326" s="137"/>
      <c r="S326" s="137">
        <v>0.17136788437135878</v>
      </c>
      <c r="T326" s="137">
        <v>6.0660615407000705E-2</v>
      </c>
    </row>
    <row r="327" spans="1:20" s="119" customFormat="1" x14ac:dyDescent="0.25">
      <c r="A327" s="93" t="s">
        <v>143</v>
      </c>
      <c r="B327" s="131" t="s">
        <v>251</v>
      </c>
      <c r="C327" s="131" t="s">
        <v>251</v>
      </c>
      <c r="D327" s="131" t="s">
        <v>251</v>
      </c>
      <c r="E327" s="131" t="s">
        <v>251</v>
      </c>
      <c r="F327" s="131" t="s">
        <v>251</v>
      </c>
      <c r="G327" s="131" t="s">
        <v>251</v>
      </c>
      <c r="H327" s="131" t="s">
        <v>251</v>
      </c>
      <c r="I327" s="131" t="s">
        <v>251</v>
      </c>
      <c r="J327" s="132" t="s">
        <v>251</v>
      </c>
      <c r="K327" s="132" t="s">
        <v>251</v>
      </c>
      <c r="L327" s="131" t="s">
        <v>251</v>
      </c>
      <c r="M327" s="131" t="s">
        <v>251</v>
      </c>
      <c r="N327" s="135" t="s">
        <v>251</v>
      </c>
      <c r="O327" s="136" t="s">
        <v>251</v>
      </c>
      <c r="P327" s="124" t="s">
        <v>251</v>
      </c>
      <c r="Q327" s="124">
        <v>8113.9062000999993</v>
      </c>
      <c r="R327" s="137"/>
      <c r="S327" s="137">
        <v>4.2769849495225588E-2</v>
      </c>
      <c r="T327" s="137">
        <v>1.5139624327875521E-2</v>
      </c>
    </row>
    <row r="328" spans="1:20" x14ac:dyDescent="0.25">
      <c r="A328" s="17" t="s">
        <v>1539</v>
      </c>
      <c r="B328" s="117" t="s">
        <v>1540</v>
      </c>
      <c r="C328" s="117" t="s">
        <v>218</v>
      </c>
      <c r="D328" s="117" t="s">
        <v>1517</v>
      </c>
      <c r="E328" s="117" t="s">
        <v>924</v>
      </c>
      <c r="F328" s="117" t="s">
        <v>179</v>
      </c>
      <c r="G328" s="117" t="s">
        <v>1541</v>
      </c>
      <c r="H328" s="117" t="s">
        <v>266</v>
      </c>
      <c r="I328" s="117" t="s">
        <v>1542</v>
      </c>
      <c r="J328" s="118">
        <v>2.7709999999999999</v>
      </c>
      <c r="K328" s="118" t="s">
        <v>125</v>
      </c>
      <c r="L328" s="117">
        <v>3.2599999999999997E-2</v>
      </c>
      <c r="M328" s="117">
        <v>7.4279999999999999E-2</v>
      </c>
      <c r="N328" s="70">
        <v>38389.731724641919</v>
      </c>
      <c r="O328" s="61">
        <v>86.018000000000001</v>
      </c>
      <c r="P328" s="85">
        <v>0</v>
      </c>
      <c r="Q328" s="85">
        <v>126.27642999999999</v>
      </c>
      <c r="R328" s="25">
        <v>3.8389731724641919E-5</v>
      </c>
      <c r="S328" s="25">
        <v>6.6562562749712673E-4</v>
      </c>
      <c r="T328" s="25">
        <v>2.356174282174606E-4</v>
      </c>
    </row>
    <row r="329" spans="1:20" x14ac:dyDescent="0.25">
      <c r="A329" s="17" t="s">
        <v>1532</v>
      </c>
      <c r="B329" s="117" t="s">
        <v>1533</v>
      </c>
      <c r="C329" s="117" t="s">
        <v>218</v>
      </c>
      <c r="D329" s="117" t="s">
        <v>1517</v>
      </c>
      <c r="E329" s="117" t="s">
        <v>743</v>
      </c>
      <c r="F329" s="117" t="s">
        <v>179</v>
      </c>
      <c r="G329" s="117" t="s">
        <v>1534</v>
      </c>
      <c r="H329" s="117" t="s">
        <v>397</v>
      </c>
      <c r="I329" s="117" t="s">
        <v>1535</v>
      </c>
      <c r="J329" s="118">
        <v>3.9249999999999998</v>
      </c>
      <c r="K329" s="118" t="s">
        <v>125</v>
      </c>
      <c r="L329" s="117">
        <v>7.1300000000000002E-2</v>
      </c>
      <c r="M329" s="117">
        <v>7.7399999999999997E-2</v>
      </c>
      <c r="N329" s="70">
        <v>120653.44256316032</v>
      </c>
      <c r="O329" s="61">
        <v>99.435000000000002</v>
      </c>
      <c r="P329" s="85">
        <v>0</v>
      </c>
      <c r="Q329" s="85">
        <v>458.77196999999995</v>
      </c>
      <c r="R329" s="25">
        <v>2.4130688512632065E-4</v>
      </c>
      <c r="S329" s="25">
        <v>2.4182690341288792E-3</v>
      </c>
      <c r="T329" s="25">
        <v>8.56016215454127E-4</v>
      </c>
    </row>
    <row r="330" spans="1:20" x14ac:dyDescent="0.25">
      <c r="A330" s="17" t="s">
        <v>1515</v>
      </c>
      <c r="B330" s="117" t="s">
        <v>1516</v>
      </c>
      <c r="C330" s="117" t="s">
        <v>218</v>
      </c>
      <c r="D330" s="117" t="s">
        <v>1517</v>
      </c>
      <c r="E330" s="117" t="s">
        <v>1235</v>
      </c>
      <c r="F330" s="117" t="s">
        <v>165</v>
      </c>
      <c r="G330" s="117" t="s">
        <v>1518</v>
      </c>
      <c r="H330" s="117" t="s">
        <v>397</v>
      </c>
      <c r="I330" s="117" t="s">
        <v>1519</v>
      </c>
      <c r="J330" s="118">
        <v>9.157</v>
      </c>
      <c r="K330" s="118" t="s">
        <v>125</v>
      </c>
      <c r="L330" s="117">
        <v>6.3799999999999996E-2</v>
      </c>
      <c r="M330" s="117">
        <v>6.6250000000000003E-2</v>
      </c>
      <c r="N330" s="70">
        <v>271470.24576711073</v>
      </c>
      <c r="O330" s="61">
        <v>99.224999999999994</v>
      </c>
      <c r="P330" s="85">
        <v>0</v>
      </c>
      <c r="Q330" s="85">
        <v>1030.05693</v>
      </c>
      <c r="R330" s="25">
        <v>3.916754375517396E-4</v>
      </c>
      <c r="S330" s="25">
        <v>5.4296141440569228E-3</v>
      </c>
      <c r="T330" s="25">
        <v>1.9219688485347017E-3</v>
      </c>
    </row>
    <row r="331" spans="1:20" x14ac:dyDescent="0.25">
      <c r="A331" s="17" t="s">
        <v>1536</v>
      </c>
      <c r="B331" s="117" t="s">
        <v>1537</v>
      </c>
      <c r="C331" s="117" t="s">
        <v>218</v>
      </c>
      <c r="D331" s="117" t="s">
        <v>1517</v>
      </c>
      <c r="E331" s="117" t="s">
        <v>667</v>
      </c>
      <c r="F331" s="117" t="s">
        <v>179</v>
      </c>
      <c r="G331" s="117" t="s">
        <v>1518</v>
      </c>
      <c r="H331" s="117" t="s">
        <v>397</v>
      </c>
      <c r="I331" s="117" t="s">
        <v>1538</v>
      </c>
      <c r="J331" s="118">
        <v>2.3260000000000001</v>
      </c>
      <c r="K331" s="118" t="s">
        <v>125</v>
      </c>
      <c r="L331" s="117">
        <v>3.0800000000000001E-2</v>
      </c>
      <c r="M331" s="117">
        <v>7.4870000000000006E-2</v>
      </c>
      <c r="N331" s="70">
        <v>53235.589407299871</v>
      </c>
      <c r="O331" s="61">
        <v>87.32</v>
      </c>
      <c r="P331" s="85">
        <v>0</v>
      </c>
      <c r="Q331" s="85">
        <v>177.75985</v>
      </c>
      <c r="R331" s="25">
        <v>8.8725982345499787E-5</v>
      </c>
      <c r="S331" s="25">
        <v>9.3700393414705447E-4</v>
      </c>
      <c r="T331" s="25">
        <v>3.316796230089936E-4</v>
      </c>
    </row>
    <row r="332" spans="1:20" x14ac:dyDescent="0.25">
      <c r="A332" s="17" t="s">
        <v>1546</v>
      </c>
      <c r="B332" s="117" t="s">
        <v>1547</v>
      </c>
      <c r="C332" s="117" t="s">
        <v>218</v>
      </c>
      <c r="D332" s="117" t="s">
        <v>1517</v>
      </c>
      <c r="E332" s="117" t="s">
        <v>1548</v>
      </c>
      <c r="F332" s="117" t="s">
        <v>182</v>
      </c>
      <c r="G332" s="117" t="s">
        <v>1549</v>
      </c>
      <c r="H332" s="117" t="s">
        <v>266</v>
      </c>
      <c r="I332" s="117" t="s">
        <v>1550</v>
      </c>
      <c r="J332" s="118">
        <v>2.1960000000000002</v>
      </c>
      <c r="K332" s="118" t="s">
        <v>126</v>
      </c>
      <c r="L332" s="117">
        <v>3.6299999999999999E-2</v>
      </c>
      <c r="M332" s="117">
        <v>0.16005</v>
      </c>
      <c r="N332" s="70">
        <v>158017.62002601539</v>
      </c>
      <c r="O332" s="61">
        <v>38.234000000000002</v>
      </c>
      <c r="P332" s="85">
        <v>0</v>
      </c>
      <c r="Q332" s="85">
        <v>244.87394</v>
      </c>
      <c r="R332" s="25">
        <v>4.5147891436004395E-4</v>
      </c>
      <c r="S332" s="25">
        <v>1.2907742954896158E-3</v>
      </c>
      <c r="T332" s="25">
        <v>4.5690686678643639E-4</v>
      </c>
    </row>
    <row r="333" spans="1:20" x14ac:dyDescent="0.25">
      <c r="A333" s="17" t="s">
        <v>1520</v>
      </c>
      <c r="B333" s="117" t="s">
        <v>1521</v>
      </c>
      <c r="C333" s="117" t="s">
        <v>218</v>
      </c>
      <c r="D333" s="117" t="s">
        <v>1517</v>
      </c>
      <c r="E333" s="117" t="s">
        <v>1522</v>
      </c>
      <c r="F333" s="117" t="s">
        <v>164</v>
      </c>
      <c r="G333" s="117" t="s">
        <v>1523</v>
      </c>
      <c r="H333" s="117" t="s">
        <v>266</v>
      </c>
      <c r="I333" s="117" t="s">
        <v>1524</v>
      </c>
      <c r="J333" s="118">
        <v>3.8679999999999999</v>
      </c>
      <c r="K333" s="118" t="s">
        <v>125</v>
      </c>
      <c r="L333" s="117">
        <v>5.3800000000000001E-2</v>
      </c>
      <c r="M333" s="117">
        <v>8.0489999999999992E-2</v>
      </c>
      <c r="N333" s="70">
        <v>105769.19514877773</v>
      </c>
      <c r="O333" s="61">
        <v>89.753</v>
      </c>
      <c r="P333" s="85">
        <v>10.869900190000001</v>
      </c>
      <c r="Q333" s="85">
        <v>373.88614000000001</v>
      </c>
      <c r="R333" s="25">
        <v>1.6923071223804437E-4</v>
      </c>
      <c r="S333" s="25">
        <v>1.9708206555251726E-3</v>
      </c>
      <c r="T333" s="25">
        <v>6.9762893006203482E-4</v>
      </c>
    </row>
    <row r="334" spans="1:20" x14ac:dyDescent="0.25">
      <c r="A334" s="17" t="s">
        <v>1525</v>
      </c>
      <c r="B334" s="117" t="s">
        <v>1526</v>
      </c>
      <c r="C334" s="117" t="s">
        <v>218</v>
      </c>
      <c r="D334" s="117" t="s">
        <v>1517</v>
      </c>
      <c r="E334" s="117" t="s">
        <v>1522</v>
      </c>
      <c r="F334" s="117" t="s">
        <v>164</v>
      </c>
      <c r="G334" s="117" t="s">
        <v>1523</v>
      </c>
      <c r="H334" s="117" t="s">
        <v>266</v>
      </c>
      <c r="I334" s="117" t="s">
        <v>1524</v>
      </c>
      <c r="J334" s="118">
        <v>5.8150000000000004</v>
      </c>
      <c r="K334" s="118" t="s">
        <v>125</v>
      </c>
      <c r="L334" s="117">
        <v>5.8799999999999998E-2</v>
      </c>
      <c r="M334" s="117">
        <v>8.2029999999999992E-2</v>
      </c>
      <c r="N334" s="70">
        <v>346566.04526789958</v>
      </c>
      <c r="O334" s="61">
        <v>86.787999999999997</v>
      </c>
      <c r="P334" s="85">
        <v>38.929763919999999</v>
      </c>
      <c r="Q334" s="85">
        <v>1189.10384</v>
      </c>
      <c r="R334" s="25">
        <v>5.545056724286393E-4</v>
      </c>
      <c r="S334" s="25">
        <v>6.2679788275550952E-3</v>
      </c>
      <c r="T334" s="25">
        <v>2.2187322579859661E-3</v>
      </c>
    </row>
    <row r="335" spans="1:20" x14ac:dyDescent="0.25">
      <c r="A335" s="17" t="s">
        <v>1543</v>
      </c>
      <c r="B335" s="117" t="s">
        <v>1544</v>
      </c>
      <c r="C335" s="117" t="s">
        <v>218</v>
      </c>
      <c r="D335" s="117" t="s">
        <v>1517</v>
      </c>
      <c r="E335" s="117" t="s">
        <v>1522</v>
      </c>
      <c r="F335" s="117" t="s">
        <v>188</v>
      </c>
      <c r="G335" s="117" t="s">
        <v>1523</v>
      </c>
      <c r="H335" s="117" t="s">
        <v>266</v>
      </c>
      <c r="I335" s="117" t="s">
        <v>1545</v>
      </c>
      <c r="J335" s="118">
        <v>5.1120000000000001</v>
      </c>
      <c r="K335" s="118" t="s">
        <v>125</v>
      </c>
      <c r="L335" s="117">
        <v>8.5000000000000006E-2</v>
      </c>
      <c r="M335" s="117">
        <v>8.4620000000000001E-2</v>
      </c>
      <c r="N335" s="70">
        <v>270181.44763064058</v>
      </c>
      <c r="O335" s="61">
        <v>101.79500000000002</v>
      </c>
      <c r="P335" s="85">
        <v>0</v>
      </c>
      <c r="Q335" s="85">
        <v>1051.7193300000001</v>
      </c>
      <c r="R335" s="25">
        <v>3.6024193017418743E-4</v>
      </c>
      <c r="S335" s="25">
        <v>5.5438005254195722E-3</v>
      </c>
      <c r="T335" s="25">
        <v>1.9623884183389631E-3</v>
      </c>
    </row>
    <row r="336" spans="1:20" x14ac:dyDescent="0.25">
      <c r="A336" s="17" t="s">
        <v>1551</v>
      </c>
      <c r="B336" s="117" t="s">
        <v>1552</v>
      </c>
      <c r="C336" s="117" t="s">
        <v>218</v>
      </c>
      <c r="D336" s="117" t="s">
        <v>1517</v>
      </c>
      <c r="E336" s="117" t="s">
        <v>1553</v>
      </c>
      <c r="F336" s="117" t="s">
        <v>178</v>
      </c>
      <c r="G336" s="117" t="s">
        <v>1554</v>
      </c>
      <c r="H336" s="117" t="s">
        <v>397</v>
      </c>
      <c r="I336" s="117" t="s">
        <v>1555</v>
      </c>
      <c r="J336" s="118">
        <v>5.42</v>
      </c>
      <c r="K336" s="118" t="s">
        <v>126</v>
      </c>
      <c r="L336" s="117">
        <v>4.3799999999999999E-2</v>
      </c>
      <c r="M336" s="117">
        <v>7.1410000000000001E-2</v>
      </c>
      <c r="N336" s="70">
        <v>419599.76775033621</v>
      </c>
      <c r="O336" s="61">
        <v>87.129000000000019</v>
      </c>
      <c r="P336" s="85">
        <v>0</v>
      </c>
      <c r="Q336" s="85">
        <v>1481.78532</v>
      </c>
      <c r="R336" s="25">
        <v>2.7973317850022415E-4</v>
      </c>
      <c r="S336" s="25">
        <v>7.8107552093532482E-3</v>
      </c>
      <c r="T336" s="25">
        <v>2.7648425463785041E-3</v>
      </c>
    </row>
    <row r="337" spans="1:20" x14ac:dyDescent="0.25">
      <c r="A337" s="17" t="s">
        <v>1558</v>
      </c>
      <c r="B337" s="117" t="s">
        <v>1559</v>
      </c>
      <c r="C337" s="117" t="s">
        <v>218</v>
      </c>
      <c r="D337" s="117" t="s">
        <v>1517</v>
      </c>
      <c r="E337" s="117" t="s">
        <v>1553</v>
      </c>
      <c r="F337" s="117" t="s">
        <v>178</v>
      </c>
      <c r="G337" s="117" t="s">
        <v>1554</v>
      </c>
      <c r="H337" s="117" t="s">
        <v>397</v>
      </c>
      <c r="I337" s="117" t="s">
        <v>513</v>
      </c>
      <c r="J337" s="118">
        <v>4.5890000000000004</v>
      </c>
      <c r="K337" s="118" t="s">
        <v>126</v>
      </c>
      <c r="L337" s="117">
        <v>7.3800000000000004E-2</v>
      </c>
      <c r="M337" s="117">
        <v>6.9629999999999997E-2</v>
      </c>
      <c r="N337" s="70">
        <v>123395.56625777759</v>
      </c>
      <c r="O337" s="61">
        <v>101.926</v>
      </c>
      <c r="P337" s="85">
        <v>0</v>
      </c>
      <c r="Q337" s="85">
        <v>509.76715999999999</v>
      </c>
      <c r="R337" s="25">
        <v>1.54244457822222E-4</v>
      </c>
      <c r="S337" s="25">
        <v>2.6870737932045449E-3</v>
      </c>
      <c r="T337" s="25">
        <v>9.5116742870319322E-4</v>
      </c>
    </row>
    <row r="338" spans="1:20" x14ac:dyDescent="0.25">
      <c r="A338" s="17" t="s">
        <v>1556</v>
      </c>
      <c r="B338" s="117" t="s">
        <v>1557</v>
      </c>
      <c r="C338" s="117" t="s">
        <v>218</v>
      </c>
      <c r="D338" s="117" t="s">
        <v>1517</v>
      </c>
      <c r="E338" s="117" t="s">
        <v>1553</v>
      </c>
      <c r="F338" s="117" t="s">
        <v>178</v>
      </c>
      <c r="G338" s="117" t="s">
        <v>1554</v>
      </c>
      <c r="H338" s="117" t="s">
        <v>397</v>
      </c>
      <c r="I338" s="117" t="s">
        <v>513</v>
      </c>
      <c r="J338" s="118">
        <v>5.7270000000000003</v>
      </c>
      <c r="K338" s="118" t="s">
        <v>126</v>
      </c>
      <c r="L338" s="117">
        <v>7.8799999999999995E-2</v>
      </c>
      <c r="M338" s="117">
        <v>7.2239999999999999E-2</v>
      </c>
      <c r="N338" s="70">
        <v>200175.02970706145</v>
      </c>
      <c r="O338" s="61">
        <v>103.83</v>
      </c>
      <c r="P338" s="85">
        <v>0</v>
      </c>
      <c r="Q338" s="85">
        <v>842.40332999999998</v>
      </c>
      <c r="R338" s="25">
        <v>4.0035005941412287E-4</v>
      </c>
      <c r="S338" s="25">
        <v>4.4404584856961755E-3</v>
      </c>
      <c r="T338" s="25">
        <v>1.5718286154939984E-3</v>
      </c>
    </row>
    <row r="339" spans="1:20" x14ac:dyDescent="0.25">
      <c r="A339" s="17" t="s">
        <v>1527</v>
      </c>
      <c r="B339" s="117" t="s">
        <v>1528</v>
      </c>
      <c r="C339" s="117" t="s">
        <v>218</v>
      </c>
      <c r="D339" s="117" t="s">
        <v>1517</v>
      </c>
      <c r="E339" s="117" t="s">
        <v>1529</v>
      </c>
      <c r="F339" s="117" t="s">
        <v>164</v>
      </c>
      <c r="G339" s="117" t="s">
        <v>1530</v>
      </c>
      <c r="H339" s="117" t="s">
        <v>266</v>
      </c>
      <c r="I339" s="117" t="s">
        <v>1531</v>
      </c>
      <c r="J339" s="118">
        <v>2.9910000000000001</v>
      </c>
      <c r="K339" s="118" t="s">
        <v>125</v>
      </c>
      <c r="L339" s="117">
        <v>6.5000000000000002E-2</v>
      </c>
      <c r="M339" s="117">
        <v>9.5250000000000001E-2</v>
      </c>
      <c r="N339" s="70">
        <v>175495.91645550591</v>
      </c>
      <c r="O339" s="61">
        <v>93.504000000000005</v>
      </c>
      <c r="P339" s="85">
        <v>0</v>
      </c>
      <c r="Q339" s="85">
        <v>627.50195999999994</v>
      </c>
      <c r="R339" s="25">
        <v>3.8999092545667982E-4</v>
      </c>
      <c r="S339" s="25">
        <v>3.3076749626250674E-3</v>
      </c>
      <c r="T339" s="25">
        <v>1.1708471487245548E-3</v>
      </c>
    </row>
    <row r="340" spans="1:20" s="119" customFormat="1" x14ac:dyDescent="0.25">
      <c r="A340" s="93" t="s">
        <v>144</v>
      </c>
      <c r="B340" s="131" t="s">
        <v>251</v>
      </c>
      <c r="C340" s="131" t="s">
        <v>251</v>
      </c>
      <c r="D340" s="131" t="s">
        <v>251</v>
      </c>
      <c r="E340" s="131" t="s">
        <v>251</v>
      </c>
      <c r="F340" s="131" t="s">
        <v>251</v>
      </c>
      <c r="G340" s="131" t="s">
        <v>251</v>
      </c>
      <c r="H340" s="131" t="s">
        <v>251</v>
      </c>
      <c r="I340" s="131" t="s">
        <v>251</v>
      </c>
      <c r="J340" s="132" t="s">
        <v>251</v>
      </c>
      <c r="K340" s="132" t="s">
        <v>251</v>
      </c>
      <c r="L340" s="131" t="s">
        <v>251</v>
      </c>
      <c r="M340" s="131" t="s">
        <v>251</v>
      </c>
      <c r="N340" s="135" t="s">
        <v>251</v>
      </c>
      <c r="O340" s="136" t="s">
        <v>251</v>
      </c>
      <c r="P340" s="124" t="s">
        <v>251</v>
      </c>
      <c r="Q340" s="124">
        <v>24396.4476101</v>
      </c>
      <c r="R340" s="137"/>
      <c r="S340" s="137">
        <v>0.12859803487613319</v>
      </c>
      <c r="T340" s="137">
        <v>4.5520991079125182E-2</v>
      </c>
    </row>
    <row r="341" spans="1:20" x14ac:dyDescent="0.25">
      <c r="A341" s="17" t="s">
        <v>1560</v>
      </c>
      <c r="B341" s="117" t="s">
        <v>1561</v>
      </c>
      <c r="C341" s="117" t="s">
        <v>218</v>
      </c>
      <c r="D341" s="117" t="s">
        <v>1517</v>
      </c>
      <c r="E341" s="175" t="s">
        <v>2978</v>
      </c>
      <c r="F341" s="117" t="s">
        <v>181</v>
      </c>
      <c r="G341" s="117" t="s">
        <v>1534</v>
      </c>
      <c r="H341" s="117" t="s">
        <v>397</v>
      </c>
      <c r="I341" s="117" t="s">
        <v>1562</v>
      </c>
      <c r="J341" s="118">
        <v>4.181</v>
      </c>
      <c r="K341" s="118" t="s">
        <v>125</v>
      </c>
      <c r="L341" s="117">
        <v>5.7000000000000002E-2</v>
      </c>
      <c r="M341" s="117">
        <v>7.6230000000000006E-2</v>
      </c>
      <c r="N341" s="70">
        <v>117408.12974310118</v>
      </c>
      <c r="O341" s="61">
        <v>92.093000000000004</v>
      </c>
      <c r="P341" s="85">
        <v>0</v>
      </c>
      <c r="Q341" s="85">
        <v>413.46872999999999</v>
      </c>
      <c r="R341" s="25">
        <v>1.1740812974310118E-4</v>
      </c>
      <c r="S341" s="25">
        <v>2.1794675606262395E-3</v>
      </c>
      <c r="T341" s="25">
        <v>7.7148553226393565E-4</v>
      </c>
    </row>
    <row r="342" spans="1:20" x14ac:dyDescent="0.25">
      <c r="A342" s="17" t="s">
        <v>1563</v>
      </c>
      <c r="B342" s="117" t="s">
        <v>1564</v>
      </c>
      <c r="C342" s="117" t="s">
        <v>218</v>
      </c>
      <c r="D342" s="117" t="s">
        <v>1517</v>
      </c>
      <c r="E342" s="175" t="s">
        <v>2979</v>
      </c>
      <c r="F342" s="117" t="s">
        <v>177</v>
      </c>
      <c r="G342" s="117" t="s">
        <v>1565</v>
      </c>
      <c r="H342" s="117" t="s">
        <v>266</v>
      </c>
      <c r="I342" s="117" t="s">
        <v>1566</v>
      </c>
      <c r="J342" s="118">
        <v>5.1630000000000003</v>
      </c>
      <c r="K342" s="118" t="s">
        <v>125</v>
      </c>
      <c r="L342" s="117">
        <v>4.6300000000000001E-2</v>
      </c>
      <c r="M342" s="117">
        <v>6.5759999999999999E-2</v>
      </c>
      <c r="N342" s="70">
        <v>135625.98600335079</v>
      </c>
      <c r="O342" s="61">
        <v>91.591999999999999</v>
      </c>
      <c r="P342" s="85">
        <v>0</v>
      </c>
      <c r="Q342" s="85">
        <v>475.02704</v>
      </c>
      <c r="R342" s="25">
        <v>3.8750281715243079E-5</v>
      </c>
      <c r="S342" s="25">
        <v>2.5039524127986731E-3</v>
      </c>
      <c r="T342" s="25">
        <v>8.8634632368489355E-4</v>
      </c>
    </row>
    <row r="343" spans="1:20" x14ac:dyDescent="0.25">
      <c r="A343" s="17" t="s">
        <v>1567</v>
      </c>
      <c r="B343" s="117" t="s">
        <v>1568</v>
      </c>
      <c r="C343" s="117" t="s">
        <v>218</v>
      </c>
      <c r="D343" s="117" t="s">
        <v>1517</v>
      </c>
      <c r="E343" s="175" t="s">
        <v>2980</v>
      </c>
      <c r="F343" s="117" t="s">
        <v>179</v>
      </c>
      <c r="G343" s="117" t="s">
        <v>1541</v>
      </c>
      <c r="H343" s="117" t="s">
        <v>266</v>
      </c>
      <c r="I343" s="117" t="s">
        <v>1569</v>
      </c>
      <c r="J343" s="118">
        <v>5.6059999999999999</v>
      </c>
      <c r="K343" s="118" t="s">
        <v>125</v>
      </c>
      <c r="L343" s="117">
        <v>3.6200000000000003E-2</v>
      </c>
      <c r="M343" s="117">
        <v>7.1429999999999993E-2</v>
      </c>
      <c r="N343" s="70">
        <v>88520.216651063587</v>
      </c>
      <c r="O343" s="61">
        <v>82.587000000000018</v>
      </c>
      <c r="P343" s="85">
        <v>0</v>
      </c>
      <c r="Q343" s="85">
        <v>279.55808000000002</v>
      </c>
      <c r="R343" s="25">
        <v>1.1802695553475145E-4</v>
      </c>
      <c r="S343" s="25">
        <v>1.4736005953121416E-3</v>
      </c>
      <c r="T343" s="25">
        <v>5.216235195040842E-4</v>
      </c>
    </row>
    <row r="344" spans="1:20" x14ac:dyDescent="0.25">
      <c r="A344" s="17" t="s">
        <v>1570</v>
      </c>
      <c r="B344" s="117" t="s">
        <v>1571</v>
      </c>
      <c r="C344" s="117" t="s">
        <v>218</v>
      </c>
      <c r="D344" s="117" t="s">
        <v>1517</v>
      </c>
      <c r="E344" s="175" t="s">
        <v>2981</v>
      </c>
      <c r="F344" s="117" t="s">
        <v>166</v>
      </c>
      <c r="G344" s="117" t="s">
        <v>1572</v>
      </c>
      <c r="H344" s="117" t="s">
        <v>266</v>
      </c>
      <c r="I344" s="117" t="s">
        <v>1573</v>
      </c>
      <c r="J344" s="118">
        <v>4.2210000000000001</v>
      </c>
      <c r="K344" s="118" t="s">
        <v>125</v>
      </c>
      <c r="L344" s="117">
        <v>4.4999999999999998E-2</v>
      </c>
      <c r="M344" s="117">
        <v>6.9309999999999997E-2</v>
      </c>
      <c r="N344" s="70">
        <v>82978.912971286161</v>
      </c>
      <c r="O344" s="61">
        <v>90.552000000000007</v>
      </c>
      <c r="P344" s="85">
        <v>0</v>
      </c>
      <c r="Q344" s="85">
        <v>287.33178999999996</v>
      </c>
      <c r="R344" s="25">
        <v>1.3829818828547694E-4</v>
      </c>
      <c r="S344" s="25">
        <v>1.5145772098452788E-3</v>
      </c>
      <c r="T344" s="25">
        <v>5.3612837649052525E-4</v>
      </c>
    </row>
    <row r="345" spans="1:20" x14ac:dyDescent="0.25">
      <c r="A345" s="17" t="s">
        <v>1574</v>
      </c>
      <c r="B345" s="117" t="s">
        <v>1575</v>
      </c>
      <c r="C345" s="117" t="s">
        <v>218</v>
      </c>
      <c r="D345" s="117" t="s">
        <v>1517</v>
      </c>
      <c r="E345" s="175" t="s">
        <v>2982</v>
      </c>
      <c r="F345" s="117" t="s">
        <v>182</v>
      </c>
      <c r="G345" s="117" t="s">
        <v>1523</v>
      </c>
      <c r="H345" s="117" t="s">
        <v>266</v>
      </c>
      <c r="I345" s="117" t="s">
        <v>1263</v>
      </c>
      <c r="J345" s="118">
        <v>5.952</v>
      </c>
      <c r="K345" s="118" t="s">
        <v>125</v>
      </c>
      <c r="L345" s="117">
        <v>4.4999999999999998E-2</v>
      </c>
      <c r="M345" s="117">
        <v>7.6829999999999996E-2</v>
      </c>
      <c r="N345" s="70">
        <v>104389.34774754966</v>
      </c>
      <c r="O345" s="61">
        <v>82.814999999999998</v>
      </c>
      <c r="P345" s="85">
        <v>0</v>
      </c>
      <c r="Q345" s="85">
        <v>330.58494999999999</v>
      </c>
      <c r="R345" s="25">
        <v>9.4899407043226965E-5</v>
      </c>
      <c r="S345" s="25">
        <v>1.7425723453288653E-3</v>
      </c>
      <c r="T345" s="25">
        <v>6.1683384402297251E-4</v>
      </c>
    </row>
    <row r="346" spans="1:20" x14ac:dyDescent="0.25">
      <c r="A346" s="17" t="s">
        <v>1576</v>
      </c>
      <c r="B346" s="117" t="s">
        <v>1577</v>
      </c>
      <c r="C346" s="117" t="s">
        <v>218</v>
      </c>
      <c r="D346" s="117" t="s">
        <v>1517</v>
      </c>
      <c r="E346" s="175" t="s">
        <v>2983</v>
      </c>
      <c r="F346" s="117" t="s">
        <v>186</v>
      </c>
      <c r="G346" s="117" t="s">
        <v>1530</v>
      </c>
      <c r="H346" s="117" t="s">
        <v>266</v>
      </c>
      <c r="I346" s="117" t="s">
        <v>1578</v>
      </c>
      <c r="J346" s="118">
        <v>5.9420000000000002</v>
      </c>
      <c r="K346" s="118" t="s">
        <v>125</v>
      </c>
      <c r="L346" s="117">
        <v>4.2500000000000003E-2</v>
      </c>
      <c r="M346" s="117">
        <v>8.0449999999999994E-2</v>
      </c>
      <c r="N346" s="70">
        <v>136591.72928425955</v>
      </c>
      <c r="O346" s="61">
        <v>80.363</v>
      </c>
      <c r="P346" s="85">
        <v>0</v>
      </c>
      <c r="Q346" s="85">
        <v>419.75746000000004</v>
      </c>
      <c r="R346" s="25">
        <v>4.5530576428086516E-5</v>
      </c>
      <c r="S346" s="25">
        <v>2.2126165802208702E-3</v>
      </c>
      <c r="T346" s="25">
        <v>7.8321958579517662E-4</v>
      </c>
    </row>
    <row r="347" spans="1:20" x14ac:dyDescent="0.25">
      <c r="A347" s="17" t="s">
        <v>1579</v>
      </c>
      <c r="B347" s="117" t="s">
        <v>1580</v>
      </c>
      <c r="C347" s="117" t="s">
        <v>218</v>
      </c>
      <c r="D347" s="117" t="s">
        <v>1517</v>
      </c>
      <c r="E347" s="175" t="s">
        <v>2984</v>
      </c>
      <c r="F347" s="117" t="s">
        <v>165</v>
      </c>
      <c r="G347" s="117" t="s">
        <v>1530</v>
      </c>
      <c r="H347" s="117" t="s">
        <v>266</v>
      </c>
      <c r="I347" s="117" t="s">
        <v>1581</v>
      </c>
      <c r="J347" s="118">
        <v>5.5629999999999997</v>
      </c>
      <c r="K347" s="118" t="s">
        <v>125</v>
      </c>
      <c r="L347" s="117">
        <v>4.3799999999999999E-2</v>
      </c>
      <c r="M347" s="117">
        <v>7.7920000000000003E-2</v>
      </c>
      <c r="N347" s="70">
        <v>97601.016336113375</v>
      </c>
      <c r="O347" s="61">
        <v>83.774000000000001</v>
      </c>
      <c r="P347" s="85">
        <v>0</v>
      </c>
      <c r="Q347" s="85">
        <v>312.66659000000004</v>
      </c>
      <c r="R347" s="25">
        <v>6.1000635210070862E-5</v>
      </c>
      <c r="S347" s="25">
        <v>1.6481214678474587E-3</v>
      </c>
      <c r="T347" s="25">
        <v>5.8340022619679066E-4</v>
      </c>
    </row>
    <row r="348" spans="1:20" x14ac:dyDescent="0.25">
      <c r="A348" s="17" t="s">
        <v>1582</v>
      </c>
      <c r="B348" s="117" t="s">
        <v>1583</v>
      </c>
      <c r="C348" s="117" t="s">
        <v>218</v>
      </c>
      <c r="D348" s="117" t="s">
        <v>1517</v>
      </c>
      <c r="E348" s="175" t="s">
        <v>2985</v>
      </c>
      <c r="F348" s="117" t="s">
        <v>181</v>
      </c>
      <c r="G348" s="117" t="s">
        <v>1584</v>
      </c>
      <c r="H348" s="117" t="s">
        <v>397</v>
      </c>
      <c r="I348" s="117" t="s">
        <v>1585</v>
      </c>
      <c r="J348" s="118">
        <v>2.33</v>
      </c>
      <c r="K348" s="118" t="s">
        <v>125</v>
      </c>
      <c r="L348" s="117">
        <v>4.7E-2</v>
      </c>
      <c r="M348" s="117">
        <v>0.10429000000000001</v>
      </c>
      <c r="N348" s="70">
        <v>90020.400388397567</v>
      </c>
      <c r="O348" s="61">
        <v>74.733000000000004</v>
      </c>
      <c r="P348" s="85">
        <v>0</v>
      </c>
      <c r="Q348" s="85">
        <v>257.25939</v>
      </c>
      <c r="R348" s="25">
        <v>1.2002720051786343E-4</v>
      </c>
      <c r="S348" s="25">
        <v>1.3560602156576494E-3</v>
      </c>
      <c r="T348" s="25">
        <v>4.8001670506992247E-4</v>
      </c>
    </row>
    <row r="349" spans="1:20" x14ac:dyDescent="0.25">
      <c r="A349" s="17" t="s">
        <v>1586</v>
      </c>
      <c r="B349" s="117" t="s">
        <v>1587</v>
      </c>
      <c r="C349" s="117" t="s">
        <v>218</v>
      </c>
      <c r="D349" s="117" t="s">
        <v>1517</v>
      </c>
      <c r="E349" s="175" t="s">
        <v>2986</v>
      </c>
      <c r="F349" s="117" t="s">
        <v>167</v>
      </c>
      <c r="G349" s="117" t="s">
        <v>1523</v>
      </c>
      <c r="H349" s="117" t="s">
        <v>266</v>
      </c>
      <c r="I349" s="117" t="s">
        <v>1588</v>
      </c>
      <c r="J349" s="118">
        <v>4.9539999999999997</v>
      </c>
      <c r="K349" s="118" t="s">
        <v>125</v>
      </c>
      <c r="L349" s="117">
        <v>4.1299999999999996E-2</v>
      </c>
      <c r="M349" s="117">
        <v>7.2939999999999991E-2</v>
      </c>
      <c r="N349" s="70">
        <v>95449.190287874939</v>
      </c>
      <c r="O349" s="61">
        <v>85.394000000000005</v>
      </c>
      <c r="P349" s="85">
        <v>0</v>
      </c>
      <c r="Q349" s="85">
        <v>311.68614000000002</v>
      </c>
      <c r="R349" s="25">
        <v>9.5449190287874935E-5</v>
      </c>
      <c r="S349" s="25">
        <v>1.6429533406959423E-3</v>
      </c>
      <c r="T349" s="25">
        <v>5.8157081822654783E-4</v>
      </c>
    </row>
    <row r="350" spans="1:20" x14ac:dyDescent="0.25">
      <c r="A350" s="17" t="s">
        <v>1589</v>
      </c>
      <c r="B350" s="117" t="s">
        <v>1590</v>
      </c>
      <c r="C350" s="117" t="s">
        <v>218</v>
      </c>
      <c r="D350" s="117" t="s">
        <v>1517</v>
      </c>
      <c r="E350" s="175" t="s">
        <v>2987</v>
      </c>
      <c r="F350" s="117" t="s">
        <v>177</v>
      </c>
      <c r="G350" s="117" t="s">
        <v>1530</v>
      </c>
      <c r="H350" s="117" t="s">
        <v>266</v>
      </c>
      <c r="I350" s="117" t="s">
        <v>1591</v>
      </c>
      <c r="J350" s="118">
        <v>5.7859999999999996</v>
      </c>
      <c r="K350" s="118" t="s">
        <v>125</v>
      </c>
      <c r="L350" s="117">
        <v>5.1299999999999998E-2</v>
      </c>
      <c r="M350" s="117">
        <v>8.906E-2</v>
      </c>
      <c r="N350" s="70">
        <v>95669.529774295865</v>
      </c>
      <c r="O350" s="61">
        <v>82.370999999999995</v>
      </c>
      <c r="P350" s="85">
        <v>0</v>
      </c>
      <c r="Q350" s="85">
        <v>301.34629999999999</v>
      </c>
      <c r="R350" s="25">
        <v>4.7834764887147933E-5</v>
      </c>
      <c r="S350" s="25">
        <v>1.5884501963781951E-3</v>
      </c>
      <c r="T350" s="25">
        <v>5.6227785509019659E-4</v>
      </c>
    </row>
    <row r="351" spans="1:20" x14ac:dyDescent="0.25">
      <c r="A351" s="17" t="s">
        <v>1592</v>
      </c>
      <c r="B351" s="117" t="s">
        <v>1593</v>
      </c>
      <c r="C351" s="117" t="s">
        <v>218</v>
      </c>
      <c r="D351" s="117" t="s">
        <v>1517</v>
      </c>
      <c r="E351" s="175" t="s">
        <v>2988</v>
      </c>
      <c r="F351" s="117" t="s">
        <v>186</v>
      </c>
      <c r="G351" s="117" t="s">
        <v>1541</v>
      </c>
      <c r="H351" s="117" t="s">
        <v>266</v>
      </c>
      <c r="I351" s="117" t="s">
        <v>1594</v>
      </c>
      <c r="J351" s="118">
        <v>15.013999999999999</v>
      </c>
      <c r="K351" s="118" t="s">
        <v>125</v>
      </c>
      <c r="L351" s="117">
        <v>3.5000000000000003E-2</v>
      </c>
      <c r="M351" s="117">
        <v>6.3369999999999996E-2</v>
      </c>
      <c r="N351" s="70">
        <v>146080.391422897</v>
      </c>
      <c r="O351" s="61">
        <v>61.960999999999999</v>
      </c>
      <c r="P351" s="85">
        <v>0</v>
      </c>
      <c r="Q351" s="85">
        <v>346.12121999999999</v>
      </c>
      <c r="R351" s="25">
        <v>1.9487087494346785E-5</v>
      </c>
      <c r="S351" s="25">
        <v>1.8244668007526903E-3</v>
      </c>
      <c r="T351" s="25">
        <v>6.4582275336648258E-4</v>
      </c>
    </row>
    <row r="352" spans="1:20" x14ac:dyDescent="0.25">
      <c r="A352" s="17" t="s">
        <v>1595</v>
      </c>
      <c r="B352" s="117" t="s">
        <v>1596</v>
      </c>
      <c r="C352" s="117" t="s">
        <v>218</v>
      </c>
      <c r="D352" s="117" t="s">
        <v>1517</v>
      </c>
      <c r="E352" s="175" t="s">
        <v>2989</v>
      </c>
      <c r="F352" s="117" t="s">
        <v>186</v>
      </c>
      <c r="G352" s="117" t="s">
        <v>1523</v>
      </c>
      <c r="H352" s="117" t="s">
        <v>266</v>
      </c>
      <c r="I352" s="117" t="s">
        <v>1597</v>
      </c>
      <c r="J352" s="118">
        <v>6.4119999999999999</v>
      </c>
      <c r="K352" s="118" t="s">
        <v>125</v>
      </c>
      <c r="L352" s="117">
        <v>3.8800000000000001E-2</v>
      </c>
      <c r="M352" s="117">
        <v>8.1959999999999991E-2</v>
      </c>
      <c r="N352" s="70">
        <v>91403.38227125234</v>
      </c>
      <c r="O352" s="61">
        <v>76.082999999999998</v>
      </c>
      <c r="P352" s="85">
        <v>0</v>
      </c>
      <c r="Q352" s="85">
        <v>265.93027000000001</v>
      </c>
      <c r="R352" s="25">
        <v>6.0935588180834894E-5</v>
      </c>
      <c r="S352" s="25">
        <v>1.4017659735805833E-3</v>
      </c>
      <c r="T352" s="25">
        <v>4.9619557903699788E-4</v>
      </c>
    </row>
    <row r="353" spans="1:20" x14ac:dyDescent="0.25">
      <c r="A353" s="17" t="s">
        <v>1598</v>
      </c>
      <c r="B353" s="117" t="s">
        <v>1599</v>
      </c>
      <c r="C353" s="117" t="s">
        <v>218</v>
      </c>
      <c r="D353" s="117" t="s">
        <v>1517</v>
      </c>
      <c r="E353" s="175" t="s">
        <v>2990</v>
      </c>
      <c r="F353" s="117" t="s">
        <v>173</v>
      </c>
      <c r="G353" s="117" t="s">
        <v>1572</v>
      </c>
      <c r="H353" s="117" t="s">
        <v>266</v>
      </c>
      <c r="I353" s="117" t="s">
        <v>1600</v>
      </c>
      <c r="J353" s="118">
        <v>6.7629999999999999</v>
      </c>
      <c r="K353" s="118" t="s">
        <v>125</v>
      </c>
      <c r="L353" s="117">
        <v>3.3799999999999997E-2</v>
      </c>
      <c r="M353" s="117">
        <v>7.5170000000000001E-2</v>
      </c>
      <c r="N353" s="70">
        <v>97043.1355087923</v>
      </c>
      <c r="O353" s="61">
        <v>74.320999999999998</v>
      </c>
      <c r="P353" s="85">
        <v>0</v>
      </c>
      <c r="Q353" s="85">
        <v>275.79998999999998</v>
      </c>
      <c r="R353" s="25">
        <v>1.4929713155198817E-4</v>
      </c>
      <c r="S353" s="25">
        <v>1.453791031370235E-3</v>
      </c>
      <c r="T353" s="25">
        <v>5.1461135182710943E-4</v>
      </c>
    </row>
    <row r="354" spans="1:20" x14ac:dyDescent="0.25">
      <c r="A354" s="17" t="s">
        <v>1601</v>
      </c>
      <c r="B354" s="117" t="s">
        <v>1602</v>
      </c>
      <c r="C354" s="117" t="s">
        <v>218</v>
      </c>
      <c r="D354" s="117" t="s">
        <v>1517</v>
      </c>
      <c r="E354" s="175" t="s">
        <v>2991</v>
      </c>
      <c r="F354" s="117" t="s">
        <v>179</v>
      </c>
      <c r="G354" s="117" t="s">
        <v>1603</v>
      </c>
      <c r="H354" s="117" t="s">
        <v>397</v>
      </c>
      <c r="I354" s="117" t="s">
        <v>1604</v>
      </c>
      <c r="J354" s="118">
        <v>6.87</v>
      </c>
      <c r="K354" s="118" t="s">
        <v>125</v>
      </c>
      <c r="L354" s="117">
        <v>3.85E-2</v>
      </c>
      <c r="M354" s="117">
        <v>6.7240000000000008E-2</v>
      </c>
      <c r="N354" s="70">
        <v>150018.37373339871</v>
      </c>
      <c r="O354" s="61">
        <v>81.427999999999997</v>
      </c>
      <c r="P354" s="85">
        <v>0</v>
      </c>
      <c r="Q354" s="85">
        <v>467.12822</v>
      </c>
      <c r="R354" s="25">
        <v>6.0007349493359481E-5</v>
      </c>
      <c r="S354" s="25">
        <v>2.4623163210990037E-3</v>
      </c>
      <c r="T354" s="25">
        <v>8.7160802569569119E-4</v>
      </c>
    </row>
    <row r="355" spans="1:20" x14ac:dyDescent="0.25">
      <c r="A355" s="17" t="s">
        <v>1605</v>
      </c>
      <c r="B355" s="117" t="s">
        <v>1606</v>
      </c>
      <c r="C355" s="117" t="s">
        <v>218</v>
      </c>
      <c r="D355" s="117" t="s">
        <v>1517</v>
      </c>
      <c r="E355" s="175" t="s">
        <v>2992</v>
      </c>
      <c r="F355" s="117" t="s">
        <v>179</v>
      </c>
      <c r="G355" s="117" t="s">
        <v>1607</v>
      </c>
      <c r="H355" s="117" t="s">
        <v>266</v>
      </c>
      <c r="I355" s="117" t="s">
        <v>1608</v>
      </c>
      <c r="J355" s="118">
        <v>6.8</v>
      </c>
      <c r="K355" s="118" t="s">
        <v>125</v>
      </c>
      <c r="L355" s="117">
        <v>3.3500000000000002E-2</v>
      </c>
      <c r="M355" s="117">
        <v>6.9349999999999995E-2</v>
      </c>
      <c r="N355" s="70">
        <v>134078.92152422509</v>
      </c>
      <c r="O355" s="61">
        <v>76.573999999999998</v>
      </c>
      <c r="P355" s="85">
        <v>0</v>
      </c>
      <c r="Q355" s="85">
        <v>392.60853000000003</v>
      </c>
      <c r="R355" s="25">
        <v>1.0726313721938007E-4</v>
      </c>
      <c r="S355" s="25">
        <v>2.0695097188127235E-3</v>
      </c>
      <c r="T355" s="25">
        <v>7.3256277624286455E-4</v>
      </c>
    </row>
    <row r="356" spans="1:20" x14ac:dyDescent="0.25">
      <c r="A356" s="17" t="s">
        <v>1609</v>
      </c>
      <c r="B356" s="117" t="s">
        <v>1610</v>
      </c>
      <c r="C356" s="117" t="s">
        <v>218</v>
      </c>
      <c r="D356" s="117" t="s">
        <v>1517</v>
      </c>
      <c r="E356" s="175" t="s">
        <v>2993</v>
      </c>
      <c r="F356" s="117" t="s">
        <v>185</v>
      </c>
      <c r="G356" s="117" t="s">
        <v>1572</v>
      </c>
      <c r="H356" s="117" t="s">
        <v>266</v>
      </c>
      <c r="I356" s="117" t="s">
        <v>1369</v>
      </c>
      <c r="J356" s="118">
        <v>6.7919999999999998</v>
      </c>
      <c r="K356" s="118" t="s">
        <v>125</v>
      </c>
      <c r="L356" s="117">
        <v>4.1500000000000002E-2</v>
      </c>
      <c r="M356" s="117">
        <v>6.1609999999999998E-2</v>
      </c>
      <c r="N356" s="70">
        <v>140642.2253750613</v>
      </c>
      <c r="O356" s="61">
        <v>88.492999999999995</v>
      </c>
      <c r="P356" s="85">
        <v>0</v>
      </c>
      <c r="Q356" s="85">
        <v>475.92940000000004</v>
      </c>
      <c r="R356" s="25">
        <v>1.1720185447921775E-4</v>
      </c>
      <c r="S356" s="25">
        <v>2.5087089136058968E-3</v>
      </c>
      <c r="T356" s="25">
        <v>8.8803002461408762E-4</v>
      </c>
    </row>
    <row r="357" spans="1:20" x14ac:dyDescent="0.25">
      <c r="A357" s="17" t="s">
        <v>1611</v>
      </c>
      <c r="B357" s="117" t="s">
        <v>1612</v>
      </c>
      <c r="C357" s="117" t="s">
        <v>218</v>
      </c>
      <c r="D357" s="117" t="s">
        <v>1517</v>
      </c>
      <c r="E357" s="175" t="s">
        <v>2994</v>
      </c>
      <c r="F357" s="117" t="s">
        <v>171</v>
      </c>
      <c r="G357" s="117" t="s">
        <v>1541</v>
      </c>
      <c r="H357" s="117" t="s">
        <v>266</v>
      </c>
      <c r="I357" s="117" t="s">
        <v>1613</v>
      </c>
      <c r="J357" s="118">
        <v>7.2889999999999997</v>
      </c>
      <c r="K357" s="118" t="s">
        <v>125</v>
      </c>
      <c r="L357" s="117">
        <v>3.5000000000000003E-2</v>
      </c>
      <c r="M357" s="117">
        <v>6.1120000000000001E-2</v>
      </c>
      <c r="N357" s="70">
        <v>117201.85447921776</v>
      </c>
      <c r="O357" s="61">
        <v>83.427000000000007</v>
      </c>
      <c r="P357" s="85">
        <v>0</v>
      </c>
      <c r="Q357" s="85">
        <v>373.90303999999998</v>
      </c>
      <c r="R357" s="25">
        <v>1.1720185447921776E-4</v>
      </c>
      <c r="S357" s="25">
        <v>1.9709097384451183E-3</v>
      </c>
      <c r="T357" s="25">
        <v>6.9766046353615088E-4</v>
      </c>
    </row>
    <row r="358" spans="1:20" x14ac:dyDescent="0.25">
      <c r="A358" s="17" t="s">
        <v>1614</v>
      </c>
      <c r="B358" s="117" t="s">
        <v>1615</v>
      </c>
      <c r="C358" s="117" t="s">
        <v>218</v>
      </c>
      <c r="D358" s="117" t="s">
        <v>1517</v>
      </c>
      <c r="E358" s="175" t="s">
        <v>2995</v>
      </c>
      <c r="F358" s="117" t="s">
        <v>179</v>
      </c>
      <c r="G358" s="117" t="s">
        <v>1518</v>
      </c>
      <c r="H358" s="117" t="s">
        <v>397</v>
      </c>
      <c r="I358" s="117" t="s">
        <v>1616</v>
      </c>
      <c r="J358" s="118">
        <v>6.7720000000000002</v>
      </c>
      <c r="K358" s="118" t="s">
        <v>125</v>
      </c>
      <c r="L358" s="117">
        <v>3.32E-2</v>
      </c>
      <c r="M358" s="117">
        <v>7.2099999999999997E-2</v>
      </c>
      <c r="N358" s="70">
        <v>135954.1511958926</v>
      </c>
      <c r="O358" s="61">
        <v>74.322000000000003</v>
      </c>
      <c r="P358" s="85">
        <v>0</v>
      </c>
      <c r="Q358" s="85">
        <v>386.39166</v>
      </c>
      <c r="R358" s="25">
        <v>1.3595415119589259E-4</v>
      </c>
      <c r="S358" s="25">
        <v>2.0367394861191155E-3</v>
      </c>
      <c r="T358" s="25">
        <v>7.2096280528262835E-4</v>
      </c>
    </row>
    <row r="359" spans="1:20" x14ac:dyDescent="0.25">
      <c r="A359" s="17" t="s">
        <v>1617</v>
      </c>
      <c r="B359" s="117" t="s">
        <v>1618</v>
      </c>
      <c r="C359" s="117" t="s">
        <v>218</v>
      </c>
      <c r="D359" s="117" t="s">
        <v>1517</v>
      </c>
      <c r="E359" s="175" t="s">
        <v>2996</v>
      </c>
      <c r="F359" s="117" t="s">
        <v>165</v>
      </c>
      <c r="G359" s="117" t="s">
        <v>1518</v>
      </c>
      <c r="H359" s="117" t="s">
        <v>397</v>
      </c>
      <c r="I359" s="117" t="s">
        <v>1619</v>
      </c>
      <c r="J359" s="118">
        <v>3.2770000000000001</v>
      </c>
      <c r="K359" s="118" t="s">
        <v>125</v>
      </c>
      <c r="L359" s="117">
        <v>6.1600000000000002E-2</v>
      </c>
      <c r="M359" s="117">
        <v>6.5879999999999994E-2</v>
      </c>
      <c r="N359" s="70">
        <v>129025.17755908123</v>
      </c>
      <c r="O359" s="61">
        <v>99.93</v>
      </c>
      <c r="P359" s="85">
        <v>0</v>
      </c>
      <c r="Q359" s="85">
        <v>493.04690000000005</v>
      </c>
      <c r="R359" s="25">
        <v>6.451258877954062E-5</v>
      </c>
      <c r="S359" s="25">
        <v>2.5989383149176227E-3</v>
      </c>
      <c r="T359" s="25">
        <v>9.1996932894437627E-4</v>
      </c>
    </row>
    <row r="360" spans="1:20" x14ac:dyDescent="0.25">
      <c r="A360" s="17" t="s">
        <v>1620</v>
      </c>
      <c r="B360" s="117" t="s">
        <v>1621</v>
      </c>
      <c r="C360" s="117" t="s">
        <v>218</v>
      </c>
      <c r="D360" s="117" t="s">
        <v>1517</v>
      </c>
      <c r="E360" s="175" t="s">
        <v>2997</v>
      </c>
      <c r="F360" s="117" t="s">
        <v>180</v>
      </c>
      <c r="G360" s="117" t="s">
        <v>1607</v>
      </c>
      <c r="H360" s="117" t="s">
        <v>266</v>
      </c>
      <c r="I360" s="117" t="s">
        <v>1622</v>
      </c>
      <c r="J360" s="118">
        <v>6.4710000000000001</v>
      </c>
      <c r="K360" s="118" t="s">
        <v>125</v>
      </c>
      <c r="L360" s="117">
        <v>5.2999999999999999E-2</v>
      </c>
      <c r="M360" s="117">
        <v>6.9589999999999999E-2</v>
      </c>
      <c r="N360" s="70">
        <v>140642.2253750613</v>
      </c>
      <c r="O360" s="61">
        <v>91.707999999999998</v>
      </c>
      <c r="P360" s="85">
        <v>0</v>
      </c>
      <c r="Q360" s="85">
        <v>493.22017999999997</v>
      </c>
      <c r="R360" s="25">
        <v>7.0321112687530646E-5</v>
      </c>
      <c r="S360" s="25">
        <v>2.5998517047618928E-3</v>
      </c>
      <c r="T360" s="25">
        <v>9.2029264967779818E-4</v>
      </c>
    </row>
    <row r="361" spans="1:20" x14ac:dyDescent="0.25">
      <c r="A361" s="17" t="s">
        <v>1623</v>
      </c>
      <c r="B361" s="117" t="s">
        <v>1624</v>
      </c>
      <c r="C361" s="117" t="s">
        <v>218</v>
      </c>
      <c r="D361" s="117" t="s">
        <v>1517</v>
      </c>
      <c r="E361" s="175" t="s">
        <v>2998</v>
      </c>
      <c r="F361" s="117" t="s">
        <v>188</v>
      </c>
      <c r="G361" s="117" t="s">
        <v>1518</v>
      </c>
      <c r="H361" s="117" t="s">
        <v>397</v>
      </c>
      <c r="I361" s="117" t="s">
        <v>1625</v>
      </c>
      <c r="J361" s="118">
        <v>6.7640000000000002</v>
      </c>
      <c r="K361" s="118" t="s">
        <v>125</v>
      </c>
      <c r="L361" s="117">
        <v>5.5E-2</v>
      </c>
      <c r="M361" s="117">
        <v>6.5939999999999999E-2</v>
      </c>
      <c r="N361" s="70">
        <v>93780.23588009087</v>
      </c>
      <c r="O361" s="61">
        <v>93.188000000000002</v>
      </c>
      <c r="P361" s="85">
        <v>0</v>
      </c>
      <c r="Q361" s="85">
        <v>334.18672999999995</v>
      </c>
      <c r="R361" s="25">
        <v>1.2504031450678784E-4</v>
      </c>
      <c r="S361" s="25">
        <v>1.7615579713289556E-3</v>
      </c>
      <c r="T361" s="25">
        <v>6.2355435505266415E-4</v>
      </c>
    </row>
    <row r="362" spans="1:20" x14ac:dyDescent="0.25">
      <c r="A362" s="17" t="s">
        <v>1626</v>
      </c>
      <c r="B362" s="117" t="s">
        <v>1627</v>
      </c>
      <c r="C362" s="117" t="s">
        <v>218</v>
      </c>
      <c r="D362" s="117" t="s">
        <v>1517</v>
      </c>
      <c r="E362" s="117" t="s">
        <v>1628</v>
      </c>
      <c r="F362" s="117" t="s">
        <v>179</v>
      </c>
      <c r="G362" s="117" t="s">
        <v>1603</v>
      </c>
      <c r="H362" s="117" t="s">
        <v>397</v>
      </c>
      <c r="I362" s="117" t="s">
        <v>1120</v>
      </c>
      <c r="J362" s="118">
        <v>6.851</v>
      </c>
      <c r="K362" s="118" t="s">
        <v>125</v>
      </c>
      <c r="L362" s="117">
        <v>5.7200000000000001E-2</v>
      </c>
      <c r="M362" s="117">
        <v>6.2939999999999996E-2</v>
      </c>
      <c r="N362" s="70">
        <v>53256.522675356544</v>
      </c>
      <c r="O362" s="61">
        <v>96.552000000000007</v>
      </c>
      <c r="P362" s="85">
        <v>0</v>
      </c>
      <c r="Q362" s="85">
        <v>196.63099</v>
      </c>
      <c r="R362" s="25">
        <v>1.5216149335816155E-5</v>
      </c>
      <c r="S362" s="25">
        <v>1.0364770852654866E-3</v>
      </c>
      <c r="T362" s="25">
        <v>3.6689101973862593E-4</v>
      </c>
    </row>
    <row r="363" spans="1:20" x14ac:dyDescent="0.25">
      <c r="A363" s="17" t="s">
        <v>1626</v>
      </c>
      <c r="B363" s="117" t="s">
        <v>1627</v>
      </c>
      <c r="C363" s="117" t="s">
        <v>218</v>
      </c>
      <c r="D363" s="117" t="s">
        <v>1517</v>
      </c>
      <c r="E363" s="117" t="s">
        <v>1628</v>
      </c>
      <c r="F363" s="117" t="s">
        <v>179</v>
      </c>
      <c r="G363" s="117" t="s">
        <v>1603</v>
      </c>
      <c r="H363" s="117" t="s">
        <v>397</v>
      </c>
      <c r="I363" s="117" t="s">
        <v>1629</v>
      </c>
      <c r="J363" s="118">
        <v>6.851</v>
      </c>
      <c r="K363" s="118" t="s">
        <v>125</v>
      </c>
      <c r="L363" s="117">
        <v>5.7200000000000001E-2</v>
      </c>
      <c r="M363" s="117">
        <v>6.2939999999999996E-2</v>
      </c>
      <c r="N363" s="70">
        <v>121889.92865838646</v>
      </c>
      <c r="O363" s="61">
        <v>96.552000000000007</v>
      </c>
      <c r="P363" s="85">
        <v>0</v>
      </c>
      <c r="Q363" s="85">
        <v>450.03570999999999</v>
      </c>
      <c r="R363" s="25">
        <v>3.4825693902396134E-5</v>
      </c>
      <c r="S363" s="25">
        <v>2.3722186465428663E-3</v>
      </c>
      <c r="T363" s="25">
        <v>8.3971534985760154E-4</v>
      </c>
    </row>
    <row r="364" spans="1:20" x14ac:dyDescent="0.25">
      <c r="A364" s="17" t="s">
        <v>1630</v>
      </c>
      <c r="B364" s="117" t="s">
        <v>1631</v>
      </c>
      <c r="C364" s="117" t="s">
        <v>218</v>
      </c>
      <c r="D364" s="117" t="s">
        <v>1517</v>
      </c>
      <c r="E364" s="175" t="s">
        <v>2999</v>
      </c>
      <c r="F364" s="117" t="s">
        <v>183</v>
      </c>
      <c r="G364" s="117" t="s">
        <v>1518</v>
      </c>
      <c r="H364" s="117" t="s">
        <v>397</v>
      </c>
      <c r="I364" s="117" t="s">
        <v>1632</v>
      </c>
      <c r="J364" s="118">
        <v>6.6230000000000002</v>
      </c>
      <c r="K364" s="118" t="s">
        <v>125</v>
      </c>
      <c r="L364" s="117">
        <v>3.15E-2</v>
      </c>
      <c r="M364" s="117">
        <v>7.1529999999999996E-2</v>
      </c>
      <c r="N364" s="70">
        <v>82627.307407848508</v>
      </c>
      <c r="O364" s="61">
        <v>77.012</v>
      </c>
      <c r="P364" s="85">
        <v>0</v>
      </c>
      <c r="Q364" s="85">
        <v>243.33237</v>
      </c>
      <c r="R364" s="25">
        <v>1.2743910070661909E-4</v>
      </c>
      <c r="S364" s="25">
        <v>1.2826484045487588E-3</v>
      </c>
      <c r="T364" s="25">
        <v>4.5403047284009825E-4</v>
      </c>
    </row>
    <row r="365" spans="1:20" x14ac:dyDescent="0.25">
      <c r="A365" s="17" t="s">
        <v>1633</v>
      </c>
      <c r="B365" s="117" t="s">
        <v>1634</v>
      </c>
      <c r="C365" s="117" t="s">
        <v>218</v>
      </c>
      <c r="D365" s="117" t="s">
        <v>1517</v>
      </c>
      <c r="E365" s="175" t="s">
        <v>2985</v>
      </c>
      <c r="F365" s="117" t="s">
        <v>171</v>
      </c>
      <c r="G365" s="117" t="s">
        <v>1572</v>
      </c>
      <c r="H365" s="117" t="s">
        <v>266</v>
      </c>
      <c r="I365" s="117" t="s">
        <v>994</v>
      </c>
      <c r="J365" s="118">
        <v>5.5410000000000004</v>
      </c>
      <c r="K365" s="118" t="s">
        <v>125</v>
      </c>
      <c r="L365" s="117">
        <v>3.2500000000000001E-2</v>
      </c>
      <c r="M365" s="117">
        <v>6.2080000000000003E-2</v>
      </c>
      <c r="N365" s="70">
        <v>122471.24985660338</v>
      </c>
      <c r="O365" s="61">
        <v>84.971999999999994</v>
      </c>
      <c r="P365" s="85">
        <v>0</v>
      </c>
      <c r="Q365" s="85">
        <v>397.94941999999998</v>
      </c>
      <c r="R365" s="25">
        <v>9.800993122217335E-5</v>
      </c>
      <c r="S365" s="25">
        <v>2.0976625043930813E-3</v>
      </c>
      <c r="T365" s="25">
        <v>7.425282683477042E-4</v>
      </c>
    </row>
    <row r="366" spans="1:20" x14ac:dyDescent="0.25">
      <c r="A366" s="17" t="s">
        <v>1635</v>
      </c>
      <c r="B366" s="117" t="s">
        <v>1636</v>
      </c>
      <c r="C366" s="117" t="s">
        <v>218</v>
      </c>
      <c r="D366" s="117" t="s">
        <v>1517</v>
      </c>
      <c r="E366" s="175" t="s">
        <v>3000</v>
      </c>
      <c r="F366" s="117" t="s">
        <v>169</v>
      </c>
      <c r="G366" s="117" t="s">
        <v>1541</v>
      </c>
      <c r="H366" s="117" t="s">
        <v>266</v>
      </c>
      <c r="I366" s="117" t="s">
        <v>994</v>
      </c>
      <c r="J366" s="118">
        <v>4.9130000000000003</v>
      </c>
      <c r="K366" s="118" t="s">
        <v>125</v>
      </c>
      <c r="L366" s="117">
        <v>5.4000000000000006E-2</v>
      </c>
      <c r="M366" s="117">
        <v>6.3619999999999996E-2</v>
      </c>
      <c r="N366" s="70">
        <v>122077.45162555321</v>
      </c>
      <c r="O366" s="61">
        <v>97.599000000000004</v>
      </c>
      <c r="P366" s="85">
        <v>0</v>
      </c>
      <c r="Q366" s="85">
        <v>455.61572999999999</v>
      </c>
      <c r="R366" s="25">
        <v>1.220774516255532E-4</v>
      </c>
      <c r="S366" s="25">
        <v>2.4016319290845606E-3</v>
      </c>
      <c r="T366" s="25">
        <v>8.5012703129175348E-4</v>
      </c>
    </row>
    <row r="367" spans="1:20" x14ac:dyDescent="0.25">
      <c r="A367" s="17" t="s">
        <v>1637</v>
      </c>
      <c r="B367" s="117" t="s">
        <v>1638</v>
      </c>
      <c r="C367" s="117" t="s">
        <v>218</v>
      </c>
      <c r="D367" s="117" t="s">
        <v>1517</v>
      </c>
      <c r="E367" s="175" t="s">
        <v>3001</v>
      </c>
      <c r="F367" s="117" t="s">
        <v>183</v>
      </c>
      <c r="G367" s="117" t="s">
        <v>1541</v>
      </c>
      <c r="H367" s="117" t="s">
        <v>266</v>
      </c>
      <c r="I367" s="117" t="s">
        <v>1639</v>
      </c>
      <c r="J367" s="118">
        <v>6.5780000000000003</v>
      </c>
      <c r="K367" s="118" t="s">
        <v>125</v>
      </c>
      <c r="L367" s="117">
        <v>6.25E-2</v>
      </c>
      <c r="M367" s="117">
        <v>6.0609999999999997E-2</v>
      </c>
      <c r="N367" s="70">
        <v>150018.37373339871</v>
      </c>
      <c r="O367" s="61">
        <v>103.67700000000002</v>
      </c>
      <c r="P367" s="85">
        <v>0</v>
      </c>
      <c r="Q367" s="85">
        <v>594.76412000000005</v>
      </c>
      <c r="R367" s="25">
        <v>6.6674832770399425E-5</v>
      </c>
      <c r="S367" s="25">
        <v>3.1351079578966273E-3</v>
      </c>
      <c r="T367" s="25">
        <v>1.1097620700111742E-3</v>
      </c>
    </row>
    <row r="368" spans="1:20" x14ac:dyDescent="0.25">
      <c r="A368" s="17" t="s">
        <v>1640</v>
      </c>
      <c r="B368" s="117" t="s">
        <v>1641</v>
      </c>
      <c r="C368" s="117" t="s">
        <v>218</v>
      </c>
      <c r="D368" s="117" t="s">
        <v>1517</v>
      </c>
      <c r="E368" s="175" t="s">
        <v>3002</v>
      </c>
      <c r="F368" s="117" t="s">
        <v>169</v>
      </c>
      <c r="G368" s="117" t="s">
        <v>1642</v>
      </c>
      <c r="H368" s="117" t="s">
        <v>397</v>
      </c>
      <c r="I368" s="117" t="s">
        <v>1407</v>
      </c>
      <c r="J368" s="118">
        <v>5.1050000000000004</v>
      </c>
      <c r="K368" s="118" t="s">
        <v>125</v>
      </c>
      <c r="L368" s="117">
        <v>6.3E-2</v>
      </c>
      <c r="M368" s="117">
        <v>6.8750000000000006E-2</v>
      </c>
      <c r="N368" s="70">
        <v>125452.86503455468</v>
      </c>
      <c r="O368" s="61">
        <v>97.745999999999995</v>
      </c>
      <c r="P368" s="85">
        <v>0</v>
      </c>
      <c r="Q368" s="85">
        <v>468.91859999999997</v>
      </c>
      <c r="R368" s="25">
        <v>1.1404805912232244E-4</v>
      </c>
      <c r="S368" s="25">
        <v>2.4717537340109646E-3</v>
      </c>
      <c r="T368" s="25">
        <v>8.7494867074823165E-4</v>
      </c>
    </row>
    <row r="369" spans="1:20" x14ac:dyDescent="0.25">
      <c r="A369" s="17" t="s">
        <v>1643</v>
      </c>
      <c r="B369" s="117" t="s">
        <v>1644</v>
      </c>
      <c r="C369" s="117" t="s">
        <v>218</v>
      </c>
      <c r="D369" s="117" t="s">
        <v>1517</v>
      </c>
      <c r="E369" s="175" t="s">
        <v>3003</v>
      </c>
      <c r="F369" s="117" t="s">
        <v>175</v>
      </c>
      <c r="G369" s="117" t="s">
        <v>1523</v>
      </c>
      <c r="H369" s="117" t="s">
        <v>266</v>
      </c>
      <c r="I369" s="117" t="s">
        <v>1645</v>
      </c>
      <c r="J369" s="118">
        <v>6.0439999999999996</v>
      </c>
      <c r="K369" s="118" t="s">
        <v>125</v>
      </c>
      <c r="L369" s="117">
        <v>4.2500000000000003E-2</v>
      </c>
      <c r="M369" s="117">
        <v>7.1820000000000009E-2</v>
      </c>
      <c r="N369" s="70">
        <v>105069.11850352913</v>
      </c>
      <c r="O369" s="61">
        <v>85.481999999999999</v>
      </c>
      <c r="P369" s="85">
        <v>0</v>
      </c>
      <c r="Q369" s="85">
        <v>343.45326</v>
      </c>
      <c r="R369" s="25">
        <v>1.052893838946367E-4</v>
      </c>
      <c r="S369" s="25">
        <v>1.8104035068415684E-3</v>
      </c>
      <c r="T369" s="25">
        <v>6.4084464404087793E-4</v>
      </c>
    </row>
    <row r="370" spans="1:20" x14ac:dyDescent="0.25">
      <c r="A370" s="17" t="s">
        <v>1646</v>
      </c>
      <c r="B370" s="117" t="s">
        <v>1647</v>
      </c>
      <c r="C370" s="117" t="s">
        <v>218</v>
      </c>
      <c r="D370" s="117" t="s">
        <v>1517</v>
      </c>
      <c r="E370" s="175" t="s">
        <v>3004</v>
      </c>
      <c r="F370" s="117" t="s">
        <v>183</v>
      </c>
      <c r="G370" s="117" t="s">
        <v>1518</v>
      </c>
      <c r="H370" s="117" t="s">
        <v>397</v>
      </c>
      <c r="I370" s="117" t="s">
        <v>1413</v>
      </c>
      <c r="J370" s="118">
        <v>7.1219999999999999</v>
      </c>
      <c r="K370" s="118" t="s">
        <v>125</v>
      </c>
      <c r="L370" s="117">
        <v>5.7500000000000002E-2</v>
      </c>
      <c r="M370" s="117">
        <v>6.3219999999999998E-2</v>
      </c>
      <c r="N370" s="70">
        <v>101731.209687961</v>
      </c>
      <c r="O370" s="61">
        <v>95.926000000000002</v>
      </c>
      <c r="P370" s="85">
        <v>0</v>
      </c>
      <c r="Q370" s="85">
        <v>373.17147</v>
      </c>
      <c r="R370" s="25">
        <v>1.3564161291728134E-4</v>
      </c>
      <c r="S370" s="25">
        <v>1.9670535022472142E-3</v>
      </c>
      <c r="T370" s="25">
        <v>6.9629543728413337E-4</v>
      </c>
    </row>
    <row r="371" spans="1:20" x14ac:dyDescent="0.25">
      <c r="A371" s="17" t="s">
        <v>1648</v>
      </c>
      <c r="B371" s="117" t="s">
        <v>1649</v>
      </c>
      <c r="C371" s="117" t="s">
        <v>218</v>
      </c>
      <c r="D371" s="117" t="s">
        <v>1517</v>
      </c>
      <c r="E371" s="175" t="s">
        <v>3005</v>
      </c>
      <c r="F371" s="117" t="s">
        <v>180</v>
      </c>
      <c r="G371" s="117" t="s">
        <v>1565</v>
      </c>
      <c r="H371" s="117" t="s">
        <v>266</v>
      </c>
      <c r="I371" s="117" t="s">
        <v>1650</v>
      </c>
      <c r="J371" s="118">
        <v>6.093</v>
      </c>
      <c r="K371" s="118" t="s">
        <v>125</v>
      </c>
      <c r="L371" s="117">
        <v>3.8800000000000001E-2</v>
      </c>
      <c r="M371" s="117">
        <v>6.5269999999999995E-2</v>
      </c>
      <c r="N371" s="70">
        <v>106888.09128504658</v>
      </c>
      <c r="O371" s="61">
        <v>86.070999999999998</v>
      </c>
      <c r="P371" s="85">
        <v>0</v>
      </c>
      <c r="Q371" s="85">
        <v>351.80665999999997</v>
      </c>
      <c r="R371" s="25">
        <v>1.0688809128504659E-4</v>
      </c>
      <c r="S371" s="25">
        <v>1.8544357709524121E-3</v>
      </c>
      <c r="T371" s="25">
        <v>6.5643113650722129E-4</v>
      </c>
    </row>
    <row r="372" spans="1:20" x14ac:dyDescent="0.25">
      <c r="A372" s="17" t="s">
        <v>1651</v>
      </c>
      <c r="B372" s="117" t="s">
        <v>1652</v>
      </c>
      <c r="C372" s="117" t="s">
        <v>218</v>
      </c>
      <c r="D372" s="117" t="s">
        <v>1517</v>
      </c>
      <c r="E372" s="175" t="s">
        <v>3006</v>
      </c>
      <c r="F372" s="117" t="s">
        <v>188</v>
      </c>
      <c r="G372" s="117" t="s">
        <v>1572</v>
      </c>
      <c r="H372" s="117" t="s">
        <v>266</v>
      </c>
      <c r="I372" s="117" t="s">
        <v>1653</v>
      </c>
      <c r="J372" s="118">
        <v>6.8040000000000003</v>
      </c>
      <c r="K372" s="118" t="s">
        <v>125</v>
      </c>
      <c r="L372" s="117">
        <v>4.2800000000000005E-2</v>
      </c>
      <c r="M372" s="117">
        <v>6.6259999999999999E-2</v>
      </c>
      <c r="N372" s="70">
        <v>138766.99570339383</v>
      </c>
      <c r="O372" s="61">
        <v>85.081999999999994</v>
      </c>
      <c r="P372" s="85">
        <v>0</v>
      </c>
      <c r="Q372" s="85">
        <v>451.48336999999998</v>
      </c>
      <c r="R372" s="25">
        <v>2.7818293656119763E-5</v>
      </c>
      <c r="S372" s="25">
        <v>2.379849521092475E-3</v>
      </c>
      <c r="T372" s="25">
        <v>8.4241651844570056E-4</v>
      </c>
    </row>
    <row r="373" spans="1:20" x14ac:dyDescent="0.25">
      <c r="A373" s="17" t="s">
        <v>1654</v>
      </c>
      <c r="B373" s="117" t="s">
        <v>1655</v>
      </c>
      <c r="C373" s="117" t="s">
        <v>218</v>
      </c>
      <c r="D373" s="117" t="s">
        <v>1517</v>
      </c>
      <c r="E373" s="175" t="s">
        <v>3007</v>
      </c>
      <c r="F373" s="117" t="s">
        <v>170</v>
      </c>
      <c r="G373" s="117" t="s">
        <v>1572</v>
      </c>
      <c r="H373" s="117" t="s">
        <v>266</v>
      </c>
      <c r="I373" s="117" t="s">
        <v>1656</v>
      </c>
      <c r="J373" s="118">
        <v>3.9689999999999999</v>
      </c>
      <c r="K373" s="118" t="s">
        <v>125</v>
      </c>
      <c r="L373" s="117">
        <v>5.7500000000000002E-2</v>
      </c>
      <c r="M373" s="117">
        <v>6.3200000000000006E-2</v>
      </c>
      <c r="N373" s="70">
        <v>109700.93579254781</v>
      </c>
      <c r="O373" s="61">
        <v>99.762</v>
      </c>
      <c r="P373" s="85">
        <v>0</v>
      </c>
      <c r="Q373" s="85">
        <v>418.49797999999998</v>
      </c>
      <c r="R373" s="25">
        <v>1.3712616974068475E-4</v>
      </c>
      <c r="S373" s="25">
        <v>2.2059776360780869E-3</v>
      </c>
      <c r="T373" s="25">
        <v>7.8086953964253086E-4</v>
      </c>
    </row>
    <row r="374" spans="1:20" x14ac:dyDescent="0.25">
      <c r="A374" s="17" t="s">
        <v>1657</v>
      </c>
      <c r="B374" s="117" t="s">
        <v>1658</v>
      </c>
      <c r="C374" s="117" t="s">
        <v>218</v>
      </c>
      <c r="D374" s="117" t="s">
        <v>1517</v>
      </c>
      <c r="E374" s="175" t="s">
        <v>3008</v>
      </c>
      <c r="F374" s="117" t="s">
        <v>170</v>
      </c>
      <c r="G374" s="117" t="s">
        <v>1541</v>
      </c>
      <c r="H374" s="117" t="s">
        <v>266</v>
      </c>
      <c r="I374" s="117" t="s">
        <v>1659</v>
      </c>
      <c r="J374" s="118">
        <v>7.2249999999999996</v>
      </c>
      <c r="K374" s="118" t="s">
        <v>125</v>
      </c>
      <c r="L374" s="117">
        <v>5.45E-2</v>
      </c>
      <c r="M374" s="117">
        <v>6.5119999999999997E-2</v>
      </c>
      <c r="N374" s="70">
        <v>126109.1954196383</v>
      </c>
      <c r="O374" s="61">
        <v>94.186999999999998</v>
      </c>
      <c r="P374" s="85">
        <v>0</v>
      </c>
      <c r="Q374" s="85">
        <v>454.20885999999996</v>
      </c>
      <c r="R374" s="25">
        <v>1.261091954196383E-4</v>
      </c>
      <c r="S374" s="25">
        <v>2.3942160659139208E-3</v>
      </c>
      <c r="T374" s="25">
        <v>8.4750197219532269E-4</v>
      </c>
    </row>
    <row r="375" spans="1:20" x14ac:dyDescent="0.25">
      <c r="A375" s="17" t="s">
        <v>1660</v>
      </c>
      <c r="B375" s="117" t="s">
        <v>1661</v>
      </c>
      <c r="C375" s="117" t="s">
        <v>218</v>
      </c>
      <c r="D375" s="117" t="s">
        <v>1517</v>
      </c>
      <c r="E375" s="175" t="s">
        <v>3009</v>
      </c>
      <c r="F375" s="117" t="s">
        <v>170</v>
      </c>
      <c r="G375" s="117" t="s">
        <v>1572</v>
      </c>
      <c r="H375" s="117" t="s">
        <v>266</v>
      </c>
      <c r="I375" s="117" t="s">
        <v>1662</v>
      </c>
      <c r="J375" s="118">
        <v>6.8259999999999996</v>
      </c>
      <c r="K375" s="118" t="s">
        <v>125</v>
      </c>
      <c r="L375" s="117">
        <v>5.4000000000000006E-2</v>
      </c>
      <c r="M375" s="117">
        <v>6.3099999999999989E-2</v>
      </c>
      <c r="N375" s="70">
        <v>85322.950060870528</v>
      </c>
      <c r="O375" s="61">
        <v>94.257999999999996</v>
      </c>
      <c r="P375" s="85">
        <v>0</v>
      </c>
      <c r="Q375" s="85">
        <v>307.54025000000001</v>
      </c>
      <c r="R375" s="25">
        <v>1.1376393341449404E-4</v>
      </c>
      <c r="S375" s="25">
        <v>1.6210996136561133E-3</v>
      </c>
      <c r="T375" s="25">
        <v>5.7383505994234153E-4</v>
      </c>
    </row>
    <row r="376" spans="1:20" x14ac:dyDescent="0.25">
      <c r="A376" s="17" t="s">
        <v>1663</v>
      </c>
      <c r="B376" s="117" t="s">
        <v>1664</v>
      </c>
      <c r="C376" s="117" t="s">
        <v>218</v>
      </c>
      <c r="D376" s="117" t="s">
        <v>1517</v>
      </c>
      <c r="E376" s="175" t="s">
        <v>3010</v>
      </c>
      <c r="F376" s="117" t="s">
        <v>170</v>
      </c>
      <c r="G376" s="117" t="s">
        <v>1642</v>
      </c>
      <c r="H376" s="117" t="s">
        <v>397</v>
      </c>
      <c r="I376" s="117" t="s">
        <v>1665</v>
      </c>
      <c r="J376" s="118">
        <v>6.3959999999999999</v>
      </c>
      <c r="K376" s="118" t="s">
        <v>125</v>
      </c>
      <c r="L376" s="117">
        <v>3.8800000000000001E-2</v>
      </c>
      <c r="M376" s="117">
        <v>6.5919999999999992E-2</v>
      </c>
      <c r="N376" s="70">
        <v>43036.520964768759</v>
      </c>
      <c r="O376" s="61">
        <v>84.722999999999999</v>
      </c>
      <c r="P376" s="85">
        <v>0</v>
      </c>
      <c r="Q376" s="85">
        <v>139.43004000000002</v>
      </c>
      <c r="R376" s="25">
        <v>3.8849724955986999E-5</v>
      </c>
      <c r="S376" s="25">
        <v>7.3496065629151451E-4</v>
      </c>
      <c r="T376" s="25">
        <v>2.6016056552325458E-4</v>
      </c>
    </row>
    <row r="377" spans="1:20" x14ac:dyDescent="0.25">
      <c r="A377" s="17" t="s">
        <v>1666</v>
      </c>
      <c r="B377" s="117" t="s">
        <v>1667</v>
      </c>
      <c r="C377" s="117" t="s">
        <v>218</v>
      </c>
      <c r="D377" s="117" t="s">
        <v>1517</v>
      </c>
      <c r="E377" s="175" t="s">
        <v>3011</v>
      </c>
      <c r="F377" s="117" t="s">
        <v>172</v>
      </c>
      <c r="G377" s="117" t="s">
        <v>1523</v>
      </c>
      <c r="H377" s="117" t="s">
        <v>266</v>
      </c>
      <c r="I377" s="117" t="s">
        <v>1668</v>
      </c>
      <c r="J377" s="118">
        <v>6.141</v>
      </c>
      <c r="K377" s="118" t="s">
        <v>2</v>
      </c>
      <c r="L377" s="117">
        <v>4.4999999999999998E-2</v>
      </c>
      <c r="M377" s="117">
        <v>8.2970000000000002E-2</v>
      </c>
      <c r="N377" s="70">
        <v>92392.565923056944</v>
      </c>
      <c r="O377" s="61">
        <v>79.268000000000001</v>
      </c>
      <c r="P377" s="85">
        <v>0</v>
      </c>
      <c r="Q377" s="85">
        <v>342.59881999999999</v>
      </c>
      <c r="R377" s="25">
        <v>1.3687787544156585E-4</v>
      </c>
      <c r="S377" s="25">
        <v>1.8058996009174095E-3</v>
      </c>
      <c r="T377" s="25">
        <v>6.3925035637083427E-4</v>
      </c>
    </row>
    <row r="378" spans="1:20" x14ac:dyDescent="0.25">
      <c r="A378" s="17" t="s">
        <v>1669</v>
      </c>
      <c r="B378" s="117" t="s">
        <v>1670</v>
      </c>
      <c r="C378" s="117" t="s">
        <v>218</v>
      </c>
      <c r="D378" s="117" t="s">
        <v>1517</v>
      </c>
      <c r="E378" s="175" t="s">
        <v>3012</v>
      </c>
      <c r="F378" s="117" t="s">
        <v>179</v>
      </c>
      <c r="G378" s="117" t="s">
        <v>1671</v>
      </c>
      <c r="H378" s="117" t="s">
        <v>397</v>
      </c>
      <c r="I378" s="117" t="s">
        <v>1672</v>
      </c>
      <c r="J378" s="118">
        <v>1.2110000000000001</v>
      </c>
      <c r="K378" s="118" t="s">
        <v>163</v>
      </c>
      <c r="L378" s="117">
        <v>0.05</v>
      </c>
      <c r="M378" s="117">
        <v>9.6969999999999987E-2</v>
      </c>
      <c r="N378" s="70">
        <v>1284532.3250922265</v>
      </c>
      <c r="O378" s="61">
        <v>97.745000000000005</v>
      </c>
      <c r="P378" s="85">
        <v>0</v>
      </c>
      <c r="Q378" s="85">
        <v>951.71911999999998</v>
      </c>
      <c r="R378" s="25">
        <v>5.2752867560255706E-4</v>
      </c>
      <c r="S378" s="25">
        <v>5.0166815489716748E-3</v>
      </c>
      <c r="T378" s="25">
        <v>1.7757994222657766E-3</v>
      </c>
    </row>
    <row r="379" spans="1:20" x14ac:dyDescent="0.25">
      <c r="A379" s="17" t="s">
        <v>1673</v>
      </c>
      <c r="B379" s="117" t="s">
        <v>1674</v>
      </c>
      <c r="C379" s="117" t="s">
        <v>218</v>
      </c>
      <c r="D379" s="117" t="s">
        <v>1517</v>
      </c>
      <c r="E379" s="175" t="s">
        <v>3013</v>
      </c>
      <c r="F379" s="117" t="s">
        <v>182</v>
      </c>
      <c r="G379" s="117" t="s">
        <v>1607</v>
      </c>
      <c r="H379" s="117" t="s">
        <v>266</v>
      </c>
      <c r="I379" s="117" t="s">
        <v>1632</v>
      </c>
      <c r="J379" s="118">
        <v>4.125</v>
      </c>
      <c r="K379" s="118" t="s">
        <v>126</v>
      </c>
      <c r="L379" s="117">
        <v>1.2999999999999999E-3</v>
      </c>
      <c r="M379" s="117">
        <v>6.6909999999999997E-2</v>
      </c>
      <c r="N379" s="70">
        <v>136891.76603172632</v>
      </c>
      <c r="O379" s="61">
        <v>76.358999999999995</v>
      </c>
      <c r="P379" s="85">
        <v>0</v>
      </c>
      <c r="Q379" s="85">
        <v>423.66722999999996</v>
      </c>
      <c r="R379" s="25">
        <v>1.3689176603172632E-4</v>
      </c>
      <c r="S379" s="25">
        <v>2.2332256765472346E-3</v>
      </c>
      <c r="T379" s="25">
        <v>7.9051477106705794E-4</v>
      </c>
    </row>
    <row r="380" spans="1:20" x14ac:dyDescent="0.25">
      <c r="A380" s="17" t="s">
        <v>1675</v>
      </c>
      <c r="B380" s="117" t="s">
        <v>1676</v>
      </c>
      <c r="C380" s="117" t="s">
        <v>218</v>
      </c>
      <c r="D380" s="117" t="s">
        <v>1517</v>
      </c>
      <c r="E380" s="175" t="s">
        <v>3014</v>
      </c>
      <c r="F380" s="117" t="s">
        <v>182</v>
      </c>
      <c r="G380" s="117" t="s">
        <v>1607</v>
      </c>
      <c r="H380" s="117" t="s">
        <v>266</v>
      </c>
      <c r="I380" s="117" t="s">
        <v>1677</v>
      </c>
      <c r="J380" s="118">
        <v>5.7679999999999998</v>
      </c>
      <c r="K380" s="118" t="s">
        <v>126</v>
      </c>
      <c r="L380" s="117">
        <v>0.05</v>
      </c>
      <c r="M380" s="117">
        <v>5.3249999999999999E-2</v>
      </c>
      <c r="N380" s="70">
        <v>143455.06988256253</v>
      </c>
      <c r="O380" s="61">
        <v>102.69299999999998</v>
      </c>
      <c r="P380" s="85">
        <v>0</v>
      </c>
      <c r="Q380" s="85">
        <v>597.09586000000002</v>
      </c>
      <c r="R380" s="25">
        <v>1.9127342651008338E-4</v>
      </c>
      <c r="S380" s="25">
        <v>3.1473989761069154E-3</v>
      </c>
      <c r="T380" s="25">
        <v>1.1141128311316128E-3</v>
      </c>
    </row>
    <row r="381" spans="1:20" x14ac:dyDescent="0.25">
      <c r="A381" s="17" t="s">
        <v>1678</v>
      </c>
      <c r="B381" s="117" t="s">
        <v>1679</v>
      </c>
      <c r="C381" s="117" t="s">
        <v>218</v>
      </c>
      <c r="D381" s="117" t="s">
        <v>1517</v>
      </c>
      <c r="E381" s="175" t="s">
        <v>3015</v>
      </c>
      <c r="F381" s="117" t="s">
        <v>179</v>
      </c>
      <c r="G381" s="117" t="s">
        <v>1541</v>
      </c>
      <c r="H381" s="117" t="s">
        <v>266</v>
      </c>
      <c r="I381" s="117" t="s">
        <v>1680</v>
      </c>
      <c r="J381" s="118">
        <v>5.1929999999999996</v>
      </c>
      <c r="K381" s="118" t="s">
        <v>126</v>
      </c>
      <c r="L381" s="117">
        <v>5.1299999999999998E-2</v>
      </c>
      <c r="M381" s="117">
        <v>5.9839999999999997E-2</v>
      </c>
      <c r="N381" s="70">
        <v>138766.99570339383</v>
      </c>
      <c r="O381" s="61">
        <v>99.305999999999997</v>
      </c>
      <c r="P381" s="85">
        <v>0</v>
      </c>
      <c r="Q381" s="85">
        <v>558.53319999999997</v>
      </c>
      <c r="R381" s="25">
        <v>9.2511330468929222E-5</v>
      </c>
      <c r="S381" s="25">
        <v>2.9441283042922436E-3</v>
      </c>
      <c r="T381" s="25">
        <v>1.0421593020809076E-3</v>
      </c>
    </row>
    <row r="382" spans="1:20" x14ac:dyDescent="0.25">
      <c r="A382" s="17" t="s">
        <v>1681</v>
      </c>
      <c r="B382" s="117" t="s">
        <v>1682</v>
      </c>
      <c r="C382" s="117" t="s">
        <v>218</v>
      </c>
      <c r="D382" s="117" t="s">
        <v>1517</v>
      </c>
      <c r="E382" s="175" t="s">
        <v>3016</v>
      </c>
      <c r="F382" s="117" t="s">
        <v>164</v>
      </c>
      <c r="G382" s="117" t="s">
        <v>1572</v>
      </c>
      <c r="H382" s="117" t="s">
        <v>266</v>
      </c>
      <c r="I382" s="117" t="s">
        <v>1683</v>
      </c>
      <c r="J382" s="118">
        <v>1.468</v>
      </c>
      <c r="K382" s="118" t="s">
        <v>125</v>
      </c>
      <c r="L382" s="117">
        <v>5.6299999999999996E-2</v>
      </c>
      <c r="M382" s="117">
        <v>0.106</v>
      </c>
      <c r="N382" s="70">
        <v>96143.025266391909</v>
      </c>
      <c r="O382" s="61">
        <v>94.593999999999994</v>
      </c>
      <c r="P382" s="85">
        <v>0</v>
      </c>
      <c r="Q382" s="85">
        <v>347.77571999999998</v>
      </c>
      <c r="R382" s="25">
        <v>1.2819070035518921E-4</v>
      </c>
      <c r="S382" s="25">
        <v>1.8331879659035739E-3</v>
      </c>
      <c r="T382" s="25">
        <v>6.4890986182358562E-4</v>
      </c>
    </row>
    <row r="383" spans="1:20" x14ac:dyDescent="0.25">
      <c r="A383" s="17" t="s">
        <v>1684</v>
      </c>
      <c r="B383" s="117" t="s">
        <v>1685</v>
      </c>
      <c r="C383" s="117" t="s">
        <v>218</v>
      </c>
      <c r="D383" s="117" t="s">
        <v>1517</v>
      </c>
      <c r="E383" s="175" t="s">
        <v>3017</v>
      </c>
      <c r="F383" s="117" t="s">
        <v>164</v>
      </c>
      <c r="G383" s="117" t="s">
        <v>1572</v>
      </c>
      <c r="H383" s="117" t="s">
        <v>266</v>
      </c>
      <c r="I383" s="117" t="s">
        <v>1686</v>
      </c>
      <c r="J383" s="118">
        <v>3.2389999999999999</v>
      </c>
      <c r="K383" s="118" t="s">
        <v>125</v>
      </c>
      <c r="L383" s="117">
        <v>5.5E-2</v>
      </c>
      <c r="M383" s="117">
        <v>9.4549999999999995E-2</v>
      </c>
      <c r="N383" s="70">
        <v>124435.55293767506</v>
      </c>
      <c r="O383" s="61">
        <v>88.156999999999996</v>
      </c>
      <c r="P383" s="85">
        <v>0</v>
      </c>
      <c r="Q383" s="85">
        <v>419.48764</v>
      </c>
      <c r="R383" s="25">
        <v>1.2443555293767505E-4</v>
      </c>
      <c r="S383" s="25">
        <v>2.2111943107853845E-3</v>
      </c>
      <c r="T383" s="25">
        <v>7.8271613242322389E-4</v>
      </c>
    </row>
    <row r="384" spans="1:20" x14ac:dyDescent="0.25">
      <c r="A384" s="17" t="s">
        <v>1687</v>
      </c>
      <c r="B384" s="117" t="s">
        <v>1688</v>
      </c>
      <c r="C384" s="117" t="s">
        <v>218</v>
      </c>
      <c r="D384" s="117" t="s">
        <v>1517</v>
      </c>
      <c r="E384" s="175" t="s">
        <v>3018</v>
      </c>
      <c r="F384" s="117" t="s">
        <v>164</v>
      </c>
      <c r="G384" s="117" t="s">
        <v>1518</v>
      </c>
      <c r="H384" s="117" t="s">
        <v>397</v>
      </c>
      <c r="I384" s="117" t="s">
        <v>1689</v>
      </c>
      <c r="J384" s="118">
        <v>3.3530000000000002</v>
      </c>
      <c r="K384" s="118" t="s">
        <v>125</v>
      </c>
      <c r="L384" s="117">
        <v>5.2499999999999998E-2</v>
      </c>
      <c r="M384" s="117">
        <v>8.8749999999999996E-2</v>
      </c>
      <c r="N384" s="70">
        <v>114712.48709007917</v>
      </c>
      <c r="O384" s="61">
        <v>88.926000000000002</v>
      </c>
      <c r="P384" s="85">
        <v>0</v>
      </c>
      <c r="Q384" s="85">
        <v>390.08328</v>
      </c>
      <c r="R384" s="25">
        <v>1.1471248709007918E-4</v>
      </c>
      <c r="S384" s="25">
        <v>2.0561986748131654E-3</v>
      </c>
      <c r="T384" s="25">
        <v>7.278509475143666E-4</v>
      </c>
    </row>
    <row r="385" spans="1:20" x14ac:dyDescent="0.25">
      <c r="A385" s="17" t="s">
        <v>1690</v>
      </c>
      <c r="B385" s="117" t="s">
        <v>1691</v>
      </c>
      <c r="C385" s="117" t="s">
        <v>218</v>
      </c>
      <c r="D385" s="117" t="s">
        <v>1517</v>
      </c>
      <c r="E385" s="175" t="s">
        <v>3019</v>
      </c>
      <c r="F385" s="117" t="s">
        <v>187</v>
      </c>
      <c r="G385" s="117" t="s">
        <v>1549</v>
      </c>
      <c r="H385" s="117" t="s">
        <v>266</v>
      </c>
      <c r="I385" s="117" t="s">
        <v>1692</v>
      </c>
      <c r="J385" s="118">
        <v>0.69099999999999995</v>
      </c>
      <c r="K385" s="118" t="s">
        <v>125</v>
      </c>
      <c r="L385" s="117">
        <v>7.1300000000000002E-2</v>
      </c>
      <c r="M385" s="117">
        <v>9.2089999999999991E-2</v>
      </c>
      <c r="N385" s="70">
        <v>67419.194770625225</v>
      </c>
      <c r="O385" s="61">
        <v>96.406000000000006</v>
      </c>
      <c r="P385" s="85">
        <v>0</v>
      </c>
      <c r="Q385" s="85">
        <v>248.54526999999999</v>
      </c>
      <c r="R385" s="25">
        <v>1.3045509824037389E-4</v>
      </c>
      <c r="S385" s="25">
        <v>1.3101265319679437E-3</v>
      </c>
      <c r="T385" s="25">
        <v>4.6375715019037492E-4</v>
      </c>
    </row>
    <row r="386" spans="1:20" x14ac:dyDescent="0.25">
      <c r="A386" s="17" t="s">
        <v>1693</v>
      </c>
      <c r="B386" s="117" t="s">
        <v>1694</v>
      </c>
      <c r="C386" s="117" t="s">
        <v>218</v>
      </c>
      <c r="D386" s="117" t="s">
        <v>1517</v>
      </c>
      <c r="E386" s="175" t="s">
        <v>3020</v>
      </c>
      <c r="F386" s="117" t="s">
        <v>166</v>
      </c>
      <c r="G386" s="117" t="s">
        <v>1572</v>
      </c>
      <c r="H386" s="117" t="s">
        <v>266</v>
      </c>
      <c r="I386" s="117" t="s">
        <v>1695</v>
      </c>
      <c r="J386" s="118">
        <v>1.304</v>
      </c>
      <c r="K386" s="118" t="s">
        <v>125</v>
      </c>
      <c r="L386" s="117">
        <v>0.04</v>
      </c>
      <c r="M386" s="117">
        <v>8.3219999999999988E-2</v>
      </c>
      <c r="N386" s="70">
        <v>93761.483583374196</v>
      </c>
      <c r="O386" s="61">
        <v>83.302000000000007</v>
      </c>
      <c r="P386" s="85">
        <v>0</v>
      </c>
      <c r="Q386" s="85">
        <v>298.67424999999997</v>
      </c>
      <c r="R386" s="25">
        <v>1.2501531144449893E-4</v>
      </c>
      <c r="S386" s="25">
        <v>1.5743653433462105E-3</v>
      </c>
      <c r="T386" s="25">
        <v>5.5729211429067862E-4</v>
      </c>
    </row>
    <row r="387" spans="1:20" x14ac:dyDescent="0.25">
      <c r="A387" s="17" t="s">
        <v>1696</v>
      </c>
      <c r="B387" s="117" t="s">
        <v>1697</v>
      </c>
      <c r="C387" s="117" t="s">
        <v>218</v>
      </c>
      <c r="D387" s="117" t="s">
        <v>1517</v>
      </c>
      <c r="E387" s="175" t="s">
        <v>3021</v>
      </c>
      <c r="F387" s="117" t="s">
        <v>182</v>
      </c>
      <c r="G387" s="117" t="s">
        <v>1607</v>
      </c>
      <c r="H387" s="117" t="s">
        <v>266</v>
      </c>
      <c r="I387" s="117" t="s">
        <v>1698</v>
      </c>
      <c r="J387" s="118">
        <v>2.681</v>
      </c>
      <c r="K387" s="118" t="s">
        <v>125</v>
      </c>
      <c r="L387" s="117">
        <v>4.7500000000000001E-2</v>
      </c>
      <c r="M387" s="117">
        <v>8.8759999999999992E-2</v>
      </c>
      <c r="N387" s="70">
        <v>118884.87310953932</v>
      </c>
      <c r="O387" s="61">
        <v>90.367999999999995</v>
      </c>
      <c r="P387" s="85">
        <v>0</v>
      </c>
      <c r="Q387" s="85">
        <v>410.82716999999997</v>
      </c>
      <c r="R387" s="25">
        <v>7.9256582073026214E-5</v>
      </c>
      <c r="S387" s="25">
        <v>2.1655434258326654E-3</v>
      </c>
      <c r="T387" s="25">
        <v>7.6655668232984957E-4</v>
      </c>
    </row>
    <row r="388" spans="1:20" x14ac:dyDescent="0.25">
      <c r="A388" s="17" t="s">
        <v>1699</v>
      </c>
      <c r="B388" s="117" t="s">
        <v>1700</v>
      </c>
      <c r="C388" s="117" t="s">
        <v>218</v>
      </c>
      <c r="D388" s="117" t="s">
        <v>1517</v>
      </c>
      <c r="E388" s="175" t="s">
        <v>3022</v>
      </c>
      <c r="F388" s="117" t="s">
        <v>186</v>
      </c>
      <c r="G388" s="117" t="s">
        <v>1565</v>
      </c>
      <c r="H388" s="117" t="s">
        <v>266</v>
      </c>
      <c r="I388" s="117" t="s">
        <v>1701</v>
      </c>
      <c r="J388" s="118">
        <v>5.9509999999999996</v>
      </c>
      <c r="K388" s="118" t="s">
        <v>125</v>
      </c>
      <c r="L388" s="117">
        <v>4.1299999999999996E-2</v>
      </c>
      <c r="M388" s="117">
        <v>7.7289999999999998E-2</v>
      </c>
      <c r="N388" s="70">
        <v>128195.38842936838</v>
      </c>
      <c r="O388" s="61">
        <v>78.716999999999999</v>
      </c>
      <c r="P388" s="85">
        <v>0</v>
      </c>
      <c r="Q388" s="85">
        <v>385.88582000000002</v>
      </c>
      <c r="R388" s="25">
        <v>1.2819538842936837E-4</v>
      </c>
      <c r="S388" s="25">
        <v>2.034073113088035E-3</v>
      </c>
      <c r="T388" s="25">
        <v>7.2001896548695536E-4</v>
      </c>
    </row>
    <row r="389" spans="1:20" x14ac:dyDescent="0.25">
      <c r="A389" s="17" t="s">
        <v>1702</v>
      </c>
      <c r="B389" s="117" t="s">
        <v>1703</v>
      </c>
      <c r="C389" s="117" t="s">
        <v>218</v>
      </c>
      <c r="D389" s="117" t="s">
        <v>1517</v>
      </c>
      <c r="E389" s="175" t="s">
        <v>3023</v>
      </c>
      <c r="F389" s="117" t="s">
        <v>164</v>
      </c>
      <c r="G389" s="117" t="s">
        <v>1534</v>
      </c>
      <c r="H389" s="117" t="s">
        <v>397</v>
      </c>
      <c r="I389" s="117" t="s">
        <v>1704</v>
      </c>
      <c r="J389" s="118">
        <v>5.3029999999999999</v>
      </c>
      <c r="K389" s="118" t="s">
        <v>125</v>
      </c>
      <c r="L389" s="117">
        <v>4.8799999999999996E-2</v>
      </c>
      <c r="M389" s="117">
        <v>8.1699999999999995E-2</v>
      </c>
      <c r="N389" s="70">
        <v>112279.37659109061</v>
      </c>
      <c r="O389" s="61">
        <v>90.912999999999997</v>
      </c>
      <c r="P389" s="85">
        <v>0</v>
      </c>
      <c r="Q389" s="85">
        <v>390.34073000000001</v>
      </c>
      <c r="R389" s="25">
        <v>4.4911750636436246E-5</v>
      </c>
      <c r="S389" s="25">
        <v>2.0575557397681937E-3</v>
      </c>
      <c r="T389" s="25">
        <v>7.2833131987597513E-4</v>
      </c>
    </row>
    <row r="390" spans="1:20" x14ac:dyDescent="0.25">
      <c r="A390" s="17" t="s">
        <v>1705</v>
      </c>
      <c r="B390" s="117" t="s">
        <v>1706</v>
      </c>
      <c r="C390" s="117" t="s">
        <v>218</v>
      </c>
      <c r="D390" s="117" t="s">
        <v>1517</v>
      </c>
      <c r="E390" s="175" t="s">
        <v>3024</v>
      </c>
      <c r="F390" s="117" t="s">
        <v>182</v>
      </c>
      <c r="G390" s="117" t="s">
        <v>1549</v>
      </c>
      <c r="H390" s="117" t="s">
        <v>266</v>
      </c>
      <c r="I390" s="117" t="s">
        <v>1695</v>
      </c>
      <c r="J390" s="118">
        <v>1.3009999999999999</v>
      </c>
      <c r="K390" s="118" t="s">
        <v>126</v>
      </c>
      <c r="L390" s="117">
        <v>4.8799999999999996E-2</v>
      </c>
      <c r="M390" s="117">
        <v>0.20373000000000002</v>
      </c>
      <c r="N390" s="70">
        <v>98435.493540005409</v>
      </c>
      <c r="O390" s="61">
        <v>39.082000000000001</v>
      </c>
      <c r="P390" s="85">
        <v>0</v>
      </c>
      <c r="Q390" s="85">
        <v>155.92502999999999</v>
      </c>
      <c r="R390" s="25">
        <v>1.7897362461819166E-4</v>
      </c>
      <c r="S390" s="25">
        <v>8.2190869615381362E-4</v>
      </c>
      <c r="T390" s="25">
        <v>2.9093833713330659E-4</v>
      </c>
    </row>
    <row r="391" spans="1:20" x14ac:dyDescent="0.25">
      <c r="A391" s="17" t="s">
        <v>1707</v>
      </c>
      <c r="B391" s="117" t="s">
        <v>1708</v>
      </c>
      <c r="C391" s="117" t="s">
        <v>218</v>
      </c>
      <c r="D391" s="117" t="s">
        <v>1517</v>
      </c>
      <c r="E391" s="175" t="s">
        <v>3025</v>
      </c>
      <c r="F391" s="117" t="s">
        <v>187</v>
      </c>
      <c r="G391" s="117" t="s">
        <v>1642</v>
      </c>
      <c r="H391" s="117" t="s">
        <v>397</v>
      </c>
      <c r="I391" s="117" t="s">
        <v>1709</v>
      </c>
      <c r="J391" s="118">
        <v>4.7770000000000001</v>
      </c>
      <c r="K391" s="118" t="s">
        <v>126</v>
      </c>
      <c r="L391" s="117">
        <v>2.5000000000000001E-2</v>
      </c>
      <c r="M391" s="117">
        <v>6.2920000000000004E-2</v>
      </c>
      <c r="N391" s="70">
        <v>122827.5434942202</v>
      </c>
      <c r="O391" s="61">
        <v>83.072999999999993</v>
      </c>
      <c r="P391" s="85">
        <v>0</v>
      </c>
      <c r="Q391" s="85">
        <v>413.56423999999998</v>
      </c>
      <c r="R391" s="25">
        <v>1.0680655956019147E-4</v>
      </c>
      <c r="S391" s="25">
        <v>2.1799710109033994E-3</v>
      </c>
      <c r="T391" s="25">
        <v>7.7166374303984245E-4</v>
      </c>
    </row>
    <row r="392" spans="1:20" x14ac:dyDescent="0.25">
      <c r="A392" s="17" t="s">
        <v>1710</v>
      </c>
      <c r="B392" s="117" t="s">
        <v>1711</v>
      </c>
      <c r="C392" s="117" t="s">
        <v>218</v>
      </c>
      <c r="D392" s="117" t="s">
        <v>1517</v>
      </c>
      <c r="E392" s="175" t="s">
        <v>3026</v>
      </c>
      <c r="F392" s="117" t="s">
        <v>178</v>
      </c>
      <c r="G392" s="117" t="s">
        <v>1565</v>
      </c>
      <c r="H392" s="117" t="s">
        <v>266</v>
      </c>
      <c r="I392" s="117" t="s">
        <v>1712</v>
      </c>
      <c r="J392" s="118">
        <v>5.7519999999999998</v>
      </c>
      <c r="K392" s="118" t="s">
        <v>126</v>
      </c>
      <c r="L392" s="117">
        <v>5.3800000000000001E-2</v>
      </c>
      <c r="M392" s="117">
        <v>7.4859999999999996E-2</v>
      </c>
      <c r="N392" s="70">
        <v>107825.70612088034</v>
      </c>
      <c r="O392" s="61">
        <v>91.677000000000007</v>
      </c>
      <c r="P392" s="85">
        <v>0</v>
      </c>
      <c r="Q392" s="85">
        <v>400.65449999999998</v>
      </c>
      <c r="R392" s="25">
        <v>1.3478213265110043E-4</v>
      </c>
      <c r="S392" s="25">
        <v>2.111921464457362E-3</v>
      </c>
      <c r="T392" s="25">
        <v>7.4757563936320159E-4</v>
      </c>
    </row>
    <row r="393" spans="1:20" x14ac:dyDescent="0.25">
      <c r="A393" s="17" t="s">
        <v>1713</v>
      </c>
      <c r="B393" s="117" t="s">
        <v>1714</v>
      </c>
      <c r="C393" s="117" t="s">
        <v>218</v>
      </c>
      <c r="D393" s="117" t="s">
        <v>1517</v>
      </c>
      <c r="E393" s="175" t="s">
        <v>3027</v>
      </c>
      <c r="F393" s="117" t="s">
        <v>186</v>
      </c>
      <c r="G393" s="117" t="s">
        <v>1549</v>
      </c>
      <c r="H393" s="117" t="s">
        <v>266</v>
      </c>
      <c r="I393" s="117" t="s">
        <v>1715</v>
      </c>
      <c r="J393" s="118">
        <v>3.94</v>
      </c>
      <c r="K393" s="118" t="s">
        <v>126</v>
      </c>
      <c r="L393" s="117">
        <v>7.1300000000000002E-2</v>
      </c>
      <c r="M393" s="117">
        <v>7.3330000000000006E-2</v>
      </c>
      <c r="N393" s="70">
        <v>95167.90583712481</v>
      </c>
      <c r="O393" s="61">
        <v>108.691</v>
      </c>
      <c r="P393" s="85">
        <v>0</v>
      </c>
      <c r="Q393" s="85">
        <v>419.2484</v>
      </c>
      <c r="R393" s="25">
        <v>1.2689054111616641E-4</v>
      </c>
      <c r="S393" s="25">
        <v>2.2099332339943919E-3</v>
      </c>
      <c r="T393" s="25">
        <v>7.8226973784644707E-4</v>
      </c>
    </row>
    <row r="394" spans="1:20" x14ac:dyDescent="0.25">
      <c r="A394" s="17" t="s">
        <v>1716</v>
      </c>
      <c r="B394" s="117" t="s">
        <v>1717</v>
      </c>
      <c r="C394" s="117" t="s">
        <v>218</v>
      </c>
      <c r="D394" s="117" t="s">
        <v>1517</v>
      </c>
      <c r="E394" s="175" t="s">
        <v>3028</v>
      </c>
      <c r="F394" s="117" t="s">
        <v>179</v>
      </c>
      <c r="G394" s="117" t="s">
        <v>1642</v>
      </c>
      <c r="H394" s="117" t="s">
        <v>397</v>
      </c>
      <c r="I394" s="117" t="s">
        <v>1718</v>
      </c>
      <c r="J394" s="118">
        <v>2.3250000000000002</v>
      </c>
      <c r="K394" s="118" t="s">
        <v>125</v>
      </c>
      <c r="L394" s="117">
        <v>4.3799999999999999E-2</v>
      </c>
      <c r="M394" s="117">
        <v>8.3889999999999992E-2</v>
      </c>
      <c r="N394" s="70">
        <v>93353.621129786523</v>
      </c>
      <c r="O394" s="61">
        <v>86.825000000000003</v>
      </c>
      <c r="P394" s="85">
        <v>0</v>
      </c>
      <c r="Q394" s="85">
        <v>309.95157</v>
      </c>
      <c r="R394" s="25">
        <v>1.2447149483971537E-4</v>
      </c>
      <c r="S394" s="25">
        <v>1.6338101122669497E-3</v>
      </c>
      <c r="T394" s="25">
        <v>5.7833430827403196E-4</v>
      </c>
    </row>
    <row r="395" spans="1:20" x14ac:dyDescent="0.25">
      <c r="A395" s="17" t="s">
        <v>1719</v>
      </c>
      <c r="B395" s="117" t="s">
        <v>1720</v>
      </c>
      <c r="C395" s="117" t="s">
        <v>218</v>
      </c>
      <c r="D395" s="117" t="s">
        <v>1517</v>
      </c>
      <c r="E395" s="175" t="s">
        <v>3029</v>
      </c>
      <c r="F395" s="117" t="s">
        <v>179</v>
      </c>
      <c r="G395" s="117" t="s">
        <v>1549</v>
      </c>
      <c r="H395" s="117" t="s">
        <v>266</v>
      </c>
      <c r="I395" s="117" t="s">
        <v>1332</v>
      </c>
      <c r="J395" s="118">
        <v>5.3129999999999997</v>
      </c>
      <c r="K395" s="118" t="s">
        <v>125</v>
      </c>
      <c r="L395" s="117">
        <v>5.3800000000000001E-2</v>
      </c>
      <c r="M395" s="117">
        <v>0.10105</v>
      </c>
      <c r="N395" s="70">
        <v>122396.24066973668</v>
      </c>
      <c r="O395" s="61">
        <v>73.48</v>
      </c>
      <c r="P395" s="85">
        <v>0</v>
      </c>
      <c r="Q395" s="85">
        <v>343.91816</v>
      </c>
      <c r="R395" s="25">
        <v>8.1597493779824454E-5</v>
      </c>
      <c r="S395" s="25">
        <v>1.8128540778168756E-3</v>
      </c>
      <c r="T395" s="25">
        <v>6.4171209446197634E-4</v>
      </c>
    </row>
    <row r="396" spans="1:20" x14ac:dyDescent="0.25">
      <c r="A396" s="17" t="s">
        <v>1721</v>
      </c>
      <c r="B396" s="117" t="s">
        <v>1722</v>
      </c>
      <c r="C396" s="117" t="s">
        <v>218</v>
      </c>
      <c r="D396" s="117" t="s">
        <v>1517</v>
      </c>
      <c r="E396" s="175" t="s">
        <v>3030</v>
      </c>
      <c r="F396" s="117" t="s">
        <v>179</v>
      </c>
      <c r="G396" s="117" t="s">
        <v>1565</v>
      </c>
      <c r="H396" s="117" t="s">
        <v>266</v>
      </c>
      <c r="I396" s="117" t="s">
        <v>1723</v>
      </c>
      <c r="J396" s="118">
        <v>2.6819999999999999</v>
      </c>
      <c r="K396" s="118" t="s">
        <v>125</v>
      </c>
      <c r="L396" s="117">
        <v>5.7500000000000002E-2</v>
      </c>
      <c r="M396" s="117">
        <v>9.2010000000000008E-2</v>
      </c>
      <c r="N396" s="70">
        <v>133188.18743018305</v>
      </c>
      <c r="O396" s="61">
        <v>90.837999999999994</v>
      </c>
      <c r="P396" s="85">
        <v>0</v>
      </c>
      <c r="Q396" s="85">
        <v>462.64850000000001</v>
      </c>
      <c r="R396" s="25">
        <v>8.8792124953455365E-5</v>
      </c>
      <c r="S396" s="25">
        <v>2.4387029164754221E-3</v>
      </c>
      <c r="T396" s="25">
        <v>8.6324937867396031E-4</v>
      </c>
    </row>
    <row r="397" spans="1:20" x14ac:dyDescent="0.25">
      <c r="A397" s="17" t="s">
        <v>1724</v>
      </c>
      <c r="B397" s="117" t="s">
        <v>1725</v>
      </c>
      <c r="C397" s="117" t="s">
        <v>218</v>
      </c>
      <c r="D397" s="117" t="s">
        <v>1517</v>
      </c>
      <c r="E397" s="175" t="s">
        <v>3031</v>
      </c>
      <c r="F397" s="117" t="s">
        <v>179</v>
      </c>
      <c r="G397" s="117" t="s">
        <v>1565</v>
      </c>
      <c r="H397" s="117" t="s">
        <v>266</v>
      </c>
      <c r="I397" s="117" t="s">
        <v>1726</v>
      </c>
      <c r="J397" s="118">
        <v>4.5449999999999999</v>
      </c>
      <c r="K397" s="118" t="s">
        <v>125</v>
      </c>
      <c r="L397" s="117">
        <v>7.7499999999999999E-2</v>
      </c>
      <c r="M397" s="117">
        <v>9.237999999999999E-2</v>
      </c>
      <c r="N397" s="70">
        <v>134463.34360691695</v>
      </c>
      <c r="O397" s="61">
        <v>96.003</v>
      </c>
      <c r="P397" s="85">
        <v>0</v>
      </c>
      <c r="Q397" s="85">
        <v>493.63574</v>
      </c>
      <c r="R397" s="25">
        <v>6.7231671803458478E-5</v>
      </c>
      <c r="S397" s="25">
        <v>2.6020421957803886E-3</v>
      </c>
      <c r="T397" s="25">
        <v>9.21068037281566E-4</v>
      </c>
    </row>
    <row r="398" spans="1:20" x14ac:dyDescent="0.25">
      <c r="A398" s="17" t="s">
        <v>1727</v>
      </c>
      <c r="B398" s="117" t="s">
        <v>1728</v>
      </c>
      <c r="C398" s="117" t="s">
        <v>218</v>
      </c>
      <c r="D398" s="117" t="s">
        <v>1517</v>
      </c>
      <c r="E398" s="175" t="s">
        <v>3032</v>
      </c>
      <c r="F398" s="117" t="s">
        <v>179</v>
      </c>
      <c r="G398" s="117" t="s">
        <v>1565</v>
      </c>
      <c r="H398" s="117" t="s">
        <v>266</v>
      </c>
      <c r="I398" s="117" t="s">
        <v>1729</v>
      </c>
      <c r="J398" s="118">
        <v>2.0139999999999998</v>
      </c>
      <c r="K398" s="118" t="s">
        <v>126</v>
      </c>
      <c r="L398" s="117">
        <v>4.3799999999999999E-2</v>
      </c>
      <c r="M398" s="117">
        <v>8.7609999999999993E-2</v>
      </c>
      <c r="N398" s="70">
        <v>130328.46218089014</v>
      </c>
      <c r="O398" s="61">
        <v>83.941000000000003</v>
      </c>
      <c r="P398" s="85">
        <v>0</v>
      </c>
      <c r="Q398" s="85">
        <v>443.40515000000005</v>
      </c>
      <c r="R398" s="25">
        <v>8.6885641453926765E-5</v>
      </c>
      <c r="S398" s="25">
        <v>2.3372677799349223E-3</v>
      </c>
      <c r="T398" s="25">
        <v>8.2734348050049695E-4</v>
      </c>
    </row>
    <row r="399" spans="1:20" x14ac:dyDescent="0.25">
      <c r="A399" s="17" t="s">
        <v>1730</v>
      </c>
      <c r="B399" s="117" t="s">
        <v>1731</v>
      </c>
      <c r="C399" s="117" t="s">
        <v>218</v>
      </c>
      <c r="D399" s="117" t="s">
        <v>1517</v>
      </c>
      <c r="E399" s="175" t="s">
        <v>3033</v>
      </c>
      <c r="F399" s="117" t="s">
        <v>179</v>
      </c>
      <c r="G399" s="117" t="s">
        <v>1572</v>
      </c>
      <c r="H399" s="117" t="s">
        <v>266</v>
      </c>
      <c r="I399" s="117" t="s">
        <v>1732</v>
      </c>
      <c r="J399" s="118">
        <v>5.0599999999999996</v>
      </c>
      <c r="K399" s="118" t="s">
        <v>126</v>
      </c>
      <c r="L399" s="117">
        <v>4.8799999999999996E-2</v>
      </c>
      <c r="M399" s="117">
        <v>7.6670000000000002E-2</v>
      </c>
      <c r="N399" s="70">
        <v>124702.77316588769</v>
      </c>
      <c r="O399" s="61">
        <v>83.415999999999997</v>
      </c>
      <c r="P399" s="85">
        <v>0</v>
      </c>
      <c r="Q399" s="85">
        <v>421.61183</v>
      </c>
      <c r="R399" s="25">
        <v>1.2470277316588768E-4</v>
      </c>
      <c r="S399" s="25">
        <v>2.2223912958575245E-3</v>
      </c>
      <c r="T399" s="25">
        <v>7.8667962889556831E-4</v>
      </c>
    </row>
    <row r="400" spans="1:20" x14ac:dyDescent="0.25">
      <c r="A400" s="17" t="s">
        <v>1733</v>
      </c>
      <c r="B400" s="117" t="s">
        <v>1734</v>
      </c>
      <c r="C400" s="117" t="s">
        <v>218</v>
      </c>
      <c r="D400" s="117" t="s">
        <v>1517</v>
      </c>
      <c r="E400" s="175" t="s">
        <v>3034</v>
      </c>
      <c r="F400" s="117" t="s">
        <v>179</v>
      </c>
      <c r="G400" s="117" t="s">
        <v>1541</v>
      </c>
      <c r="H400" s="117" t="s">
        <v>266</v>
      </c>
      <c r="I400" s="117" t="s">
        <v>1735</v>
      </c>
      <c r="J400" s="118">
        <v>4.0490000000000004</v>
      </c>
      <c r="K400" s="118" t="s">
        <v>126</v>
      </c>
      <c r="L400" s="117">
        <v>7.2499999999999995E-2</v>
      </c>
      <c r="M400" s="117">
        <v>7.85E-2</v>
      </c>
      <c r="N400" s="70">
        <v>132203.69185255762</v>
      </c>
      <c r="O400" s="61">
        <v>98.426000000000002</v>
      </c>
      <c r="P400" s="85">
        <v>0</v>
      </c>
      <c r="Q400" s="85">
        <v>527.40074000000004</v>
      </c>
      <c r="R400" s="25">
        <v>1.0576295348204609E-4</v>
      </c>
      <c r="S400" s="25">
        <v>2.7800235444171884E-3</v>
      </c>
      <c r="T400" s="25">
        <v>9.8406967950222875E-4</v>
      </c>
    </row>
    <row r="401" spans="1:20" x14ac:dyDescent="0.25">
      <c r="A401" s="17" t="s">
        <v>1736</v>
      </c>
      <c r="B401" s="117" t="s">
        <v>1737</v>
      </c>
      <c r="C401" s="117" t="s">
        <v>218</v>
      </c>
      <c r="D401" s="117" t="s">
        <v>1517</v>
      </c>
      <c r="E401" s="175" t="s">
        <v>3035</v>
      </c>
      <c r="F401" s="117" t="s">
        <v>179</v>
      </c>
      <c r="G401" s="117" t="s">
        <v>1554</v>
      </c>
      <c r="H401" s="117" t="s">
        <v>397</v>
      </c>
      <c r="I401" s="117" t="s">
        <v>1738</v>
      </c>
      <c r="J401" s="118">
        <v>0.872</v>
      </c>
      <c r="K401" s="118" t="s">
        <v>2</v>
      </c>
      <c r="L401" s="117">
        <v>5.8799999999999998E-2</v>
      </c>
      <c r="M401" s="117">
        <v>0.10108</v>
      </c>
      <c r="N401" s="70">
        <v>104084.62292590371</v>
      </c>
      <c r="O401" s="61">
        <v>93.903000000000006</v>
      </c>
      <c r="P401" s="85">
        <v>0</v>
      </c>
      <c r="Q401" s="85">
        <v>457.21132</v>
      </c>
      <c r="R401" s="25">
        <v>8.3267698340722964E-5</v>
      </c>
      <c r="S401" s="25">
        <v>2.4100425690985216E-3</v>
      </c>
      <c r="T401" s="25">
        <v>8.5310422040210058E-4</v>
      </c>
    </row>
    <row r="402" spans="1:20" x14ac:dyDescent="0.25">
      <c r="A402" s="17" t="s">
        <v>1739</v>
      </c>
      <c r="B402" s="117" t="s">
        <v>1740</v>
      </c>
      <c r="C402" s="117" t="s">
        <v>218</v>
      </c>
      <c r="D402" s="117" t="s">
        <v>1517</v>
      </c>
      <c r="E402" s="175" t="s">
        <v>3036</v>
      </c>
      <c r="F402" s="117" t="s">
        <v>179</v>
      </c>
      <c r="G402" s="117" t="s">
        <v>1554</v>
      </c>
      <c r="H402" s="117" t="s">
        <v>397</v>
      </c>
      <c r="I402" s="117" t="s">
        <v>1741</v>
      </c>
      <c r="J402" s="118">
        <v>3.105</v>
      </c>
      <c r="K402" s="118" t="s">
        <v>2</v>
      </c>
      <c r="L402" s="117">
        <v>5.1299999999999998E-2</v>
      </c>
      <c r="M402" s="117">
        <v>9.6750000000000003E-2</v>
      </c>
      <c r="N402" s="70">
        <v>112884.13816020337</v>
      </c>
      <c r="O402" s="61">
        <v>82.468000000000004</v>
      </c>
      <c r="P402" s="85">
        <v>6.7657778369999999</v>
      </c>
      <c r="Q402" s="85">
        <v>442.24688000000003</v>
      </c>
      <c r="R402" s="25">
        <v>1.1288413816020337E-4</v>
      </c>
      <c r="S402" s="25">
        <v>2.3311623317878605E-3</v>
      </c>
      <c r="T402" s="25">
        <v>8.2518228067419974E-4</v>
      </c>
    </row>
    <row r="403" spans="1:20" s="119" customFormat="1" x14ac:dyDescent="0.25">
      <c r="A403" s="79" t="s">
        <v>242</v>
      </c>
      <c r="B403" s="125"/>
      <c r="C403" s="125"/>
      <c r="D403" s="125"/>
      <c r="E403" s="125"/>
      <c r="F403" s="125"/>
      <c r="G403" s="126"/>
      <c r="H403" s="126"/>
      <c r="I403" s="126"/>
      <c r="J403" s="127"/>
      <c r="K403" s="128"/>
      <c r="L403" s="129"/>
      <c r="M403" s="129"/>
      <c r="N403" s="129"/>
      <c r="O403" s="128"/>
      <c r="P403" s="128"/>
      <c r="Q403" s="128"/>
      <c r="R403" s="138"/>
      <c r="S403" s="138"/>
      <c r="T403" s="138"/>
    </row>
    <row r="404" spans="1:20" s="119" customFormat="1" x14ac:dyDescent="0.25">
      <c r="A404" s="79" t="s">
        <v>243</v>
      </c>
      <c r="B404" s="125"/>
      <c r="C404" s="125"/>
      <c r="D404" s="125"/>
      <c r="E404" s="125"/>
      <c r="F404" s="125"/>
      <c r="G404" s="126"/>
      <c r="H404" s="126"/>
      <c r="I404" s="126"/>
      <c r="J404" s="127"/>
      <c r="K404" s="128"/>
      <c r="L404" s="129"/>
      <c r="M404" s="129"/>
      <c r="N404" s="129"/>
      <c r="O404" s="128"/>
      <c r="P404" s="128"/>
      <c r="Q404" s="128"/>
      <c r="R404" s="138"/>
      <c r="S404" s="138"/>
      <c r="T404" s="138"/>
    </row>
    <row r="405" spans="1:20" s="119" customFormat="1" x14ac:dyDescent="0.25">
      <c r="A405" s="79" t="s">
        <v>244</v>
      </c>
      <c r="B405" s="125"/>
      <c r="C405" s="125"/>
      <c r="D405" s="125"/>
      <c r="E405" s="125"/>
      <c r="F405" s="125"/>
      <c r="G405" s="126"/>
      <c r="H405" s="126"/>
      <c r="I405" s="126"/>
      <c r="J405" s="127"/>
      <c r="K405" s="128"/>
      <c r="L405" s="129"/>
      <c r="M405" s="129"/>
      <c r="N405" s="129"/>
      <c r="O405" s="128"/>
      <c r="P405" s="128"/>
      <c r="Q405" s="128"/>
      <c r="R405" s="138"/>
      <c r="S405" s="138"/>
      <c r="T405" s="138"/>
    </row>
    <row r="406" spans="1:20" s="119" customFormat="1" x14ac:dyDescent="0.25">
      <c r="A406" s="79" t="s">
        <v>245</v>
      </c>
      <c r="B406" s="125"/>
      <c r="C406" s="125"/>
      <c r="D406" s="125"/>
      <c r="E406" s="125"/>
      <c r="F406" s="125"/>
      <c r="G406" s="126"/>
      <c r="H406" s="126"/>
      <c r="I406" s="126"/>
      <c r="J406" s="127"/>
      <c r="K406" s="128"/>
      <c r="L406" s="129"/>
      <c r="M406" s="129"/>
      <c r="N406" s="129"/>
      <c r="O406" s="128"/>
      <c r="P406" s="128"/>
      <c r="Q406" s="128"/>
      <c r="R406" s="138"/>
      <c r="S406" s="138"/>
      <c r="T406" s="138"/>
    </row>
    <row r="407" spans="1:20" s="119" customFormat="1" x14ac:dyDescent="0.25">
      <c r="A407" s="79" t="s">
        <v>246</v>
      </c>
      <c r="B407" s="125"/>
      <c r="C407" s="125"/>
      <c r="D407" s="125"/>
      <c r="E407" s="125"/>
      <c r="F407" s="125"/>
      <c r="G407" s="126"/>
      <c r="H407" s="126"/>
      <c r="I407" s="126"/>
      <c r="J407" s="127"/>
      <c r="K407" s="128"/>
      <c r="L407" s="129"/>
      <c r="M407" s="129"/>
      <c r="N407" s="129"/>
      <c r="O407" s="128"/>
      <c r="P407" s="128"/>
      <c r="Q407" s="128"/>
      <c r="R407" s="138"/>
      <c r="S407" s="138"/>
      <c r="T407" s="138"/>
    </row>
  </sheetData>
  <sortState xmlns:xlrd2="http://schemas.microsoft.com/office/spreadsheetml/2017/richdata2" ref="A328:Z339">
    <sortCondition ref="A328:A339" customList="א,ב,ג,ד,ה,ו,ז,ח,ט,י,כ,ל,מ,נ,ס,ע,פ,צ,ק,ר,ש,ת"/>
  </sortState>
  <mergeCells count="2">
    <mergeCell ref="A6:T6"/>
    <mergeCell ref="A5:T5"/>
  </mergeCells>
  <phoneticPr fontId="3" type="noConversion"/>
  <conditionalFormatting sqref="A11:A402 P11:Q402">
    <cfRule type="expression" dxfId="112" priority="109" stopIfTrue="1">
      <formula>#REF!&gt;0</formula>
    </cfRule>
  </conditionalFormatting>
  <conditionalFormatting sqref="B11:M402">
    <cfRule type="expression" dxfId="111" priority="111" stopIfTrue="1">
      <formula>LEFT(#REF!,3)="TIR"</formula>
    </cfRule>
  </conditionalFormatting>
  <conditionalFormatting sqref="S11:T402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4.44140625" style="9" bestFit="1" customWidth="1"/>
    <col min="7" max="7" width="11.33203125" style="60" customWidth="1"/>
    <col min="8" max="8" width="10.5546875" style="60" customWidth="1"/>
    <col min="9" max="9" width="8.88671875" style="60" bestFit="1" customWidth="1"/>
    <col min="10" max="10" width="16.5546875" style="60" customWidth="1"/>
    <col min="11" max="11" width="10.44140625" style="37" customWidth="1"/>
    <col min="12" max="12" width="22" style="62" customWidth="1"/>
    <col min="13" max="13" width="25.44140625" style="62" customWidth="1"/>
    <col min="14" max="14" width="20.6640625" style="64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62"/>
      <c r="M1" s="62"/>
      <c r="N1" s="63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62"/>
      <c r="M2" s="62"/>
      <c r="N2" s="63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62"/>
      <c r="M3" s="62"/>
      <c r="N3" s="63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62"/>
      <c r="M4" s="62"/>
      <c r="N4" s="63"/>
      <c r="O4" s="14"/>
      <c r="P4" s="14"/>
      <c r="Q4" s="13"/>
      <c r="R4" s="13"/>
      <c r="S4" s="15"/>
    </row>
    <row r="5" spans="1:19" s="7" customFormat="1" ht="13.8" thickBot="1" x14ac:dyDescent="0.3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30"/>
      <c r="N5" s="231"/>
      <c r="O5" s="14"/>
      <c r="P5" s="14"/>
      <c r="Q5" s="13"/>
      <c r="R5" s="13"/>
      <c r="S5" s="15"/>
    </row>
    <row r="6" spans="1:19" s="7" customFormat="1" x14ac:dyDescent="0.25">
      <c r="A6" s="225" t="s">
        <v>21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</row>
    <row r="7" spans="1:19" s="7" customFormat="1" x14ac:dyDescent="0.25">
      <c r="A7" s="87" t="s">
        <v>157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6</v>
      </c>
      <c r="H7" s="205" t="s">
        <v>67</v>
      </c>
      <c r="I7" s="205" t="s">
        <v>68</v>
      </c>
      <c r="J7" s="205" t="s">
        <v>134</v>
      </c>
      <c r="K7" s="205" t="s">
        <v>7</v>
      </c>
      <c r="L7" s="205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30"/>
      <c r="H8" s="2" t="s">
        <v>133</v>
      </c>
      <c r="I8" s="50"/>
      <c r="J8" s="2" t="s">
        <v>135</v>
      </c>
      <c r="K8" s="2" t="s">
        <v>135</v>
      </c>
      <c r="L8" s="50" t="s">
        <v>9</v>
      </c>
      <c r="M8" s="54" t="s">
        <v>9</v>
      </c>
      <c r="N8" s="51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58">
        <v>12</v>
      </c>
      <c r="N9" s="45">
        <v>13</v>
      </c>
    </row>
    <row r="10" spans="1:19" s="119" customFormat="1" ht="12.75" customHeight="1" thickBot="1" x14ac:dyDescent="0.3">
      <c r="A10" s="149" t="s">
        <v>59</v>
      </c>
      <c r="B10" s="71" t="s">
        <v>251</v>
      </c>
      <c r="C10" s="71" t="s">
        <v>251</v>
      </c>
      <c r="D10" s="71" t="s">
        <v>251</v>
      </c>
      <c r="E10" s="71" t="s">
        <v>251</v>
      </c>
      <c r="F10" s="71" t="s">
        <v>251</v>
      </c>
      <c r="G10" s="150" t="s">
        <v>251</v>
      </c>
      <c r="H10" s="151" t="s">
        <v>251</v>
      </c>
      <c r="I10" s="150" t="s">
        <v>251</v>
      </c>
      <c r="J10" s="150" t="s">
        <v>251</v>
      </c>
      <c r="K10" s="107">
        <v>0.46049070000000003</v>
      </c>
      <c r="L10" s="71" t="s">
        <v>251</v>
      </c>
      <c r="M10" s="71">
        <v>1</v>
      </c>
      <c r="N10" s="83">
        <v>8.5922316977173177E-7</v>
      </c>
    </row>
    <row r="11" spans="1:19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2" t="s">
        <v>251</v>
      </c>
      <c r="H11" s="133" t="s">
        <v>251</v>
      </c>
      <c r="I11" s="122" t="s">
        <v>251</v>
      </c>
      <c r="J11" s="122" t="s">
        <v>251</v>
      </c>
      <c r="K11" s="134">
        <v>0.46049050000000002</v>
      </c>
      <c r="L11" s="121" t="s">
        <v>251</v>
      </c>
      <c r="M11" s="121">
        <v>0.9999995656806967</v>
      </c>
      <c r="N11" s="121">
        <v>8.5922279659452329E-7</v>
      </c>
    </row>
    <row r="12" spans="1:19" s="119" customFormat="1" x14ac:dyDescent="0.25">
      <c r="A12" s="93" t="s">
        <v>1742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2" t="s">
        <v>251</v>
      </c>
      <c r="H12" s="135" t="s">
        <v>251</v>
      </c>
      <c r="I12" s="122" t="s">
        <v>251</v>
      </c>
      <c r="J12" s="122" t="s">
        <v>251</v>
      </c>
      <c r="K12" s="152">
        <v>0</v>
      </c>
      <c r="L12" s="137"/>
      <c r="M12" s="121">
        <v>0</v>
      </c>
      <c r="N12" s="121">
        <v>0</v>
      </c>
    </row>
    <row r="13" spans="1:19" s="119" customFormat="1" x14ac:dyDescent="0.25">
      <c r="A13" s="93" t="s">
        <v>1743</v>
      </c>
      <c r="B13" s="131" t="s">
        <v>251</v>
      </c>
      <c r="C13" s="131" t="s">
        <v>251</v>
      </c>
      <c r="D13" s="131" t="s">
        <v>251</v>
      </c>
      <c r="E13" s="131" t="s">
        <v>251</v>
      </c>
      <c r="F13" s="131" t="s">
        <v>251</v>
      </c>
      <c r="G13" s="132" t="s">
        <v>251</v>
      </c>
      <c r="H13" s="135" t="s">
        <v>251</v>
      </c>
      <c r="I13" s="122" t="s">
        <v>251</v>
      </c>
      <c r="J13" s="135" t="s">
        <v>251</v>
      </c>
      <c r="K13" s="152">
        <v>0</v>
      </c>
      <c r="L13" s="137"/>
      <c r="M13" s="121">
        <v>0</v>
      </c>
      <c r="N13" s="121">
        <v>0</v>
      </c>
    </row>
    <row r="14" spans="1:19" s="119" customFormat="1" x14ac:dyDescent="0.25">
      <c r="A14" s="93" t="s">
        <v>1744</v>
      </c>
      <c r="B14" s="131" t="s">
        <v>251</v>
      </c>
      <c r="C14" s="131" t="s">
        <v>251</v>
      </c>
      <c r="D14" s="131" t="s">
        <v>251</v>
      </c>
      <c r="E14" s="131" t="s">
        <v>251</v>
      </c>
      <c r="F14" s="131" t="s">
        <v>251</v>
      </c>
      <c r="G14" s="132" t="s">
        <v>251</v>
      </c>
      <c r="H14" s="135" t="s">
        <v>251</v>
      </c>
      <c r="I14" s="122" t="s">
        <v>251</v>
      </c>
      <c r="J14" s="122" t="s">
        <v>251</v>
      </c>
      <c r="K14" s="152">
        <v>0.46049009999999996</v>
      </c>
      <c r="L14" s="137"/>
      <c r="M14" s="121">
        <v>0.9999986970420901</v>
      </c>
      <c r="N14" s="121">
        <v>8.5922205024010622E-7</v>
      </c>
    </row>
    <row r="15" spans="1:19" x14ac:dyDescent="0.25">
      <c r="A15" s="17" t="s">
        <v>3053</v>
      </c>
      <c r="B15" s="117" t="s">
        <v>1745</v>
      </c>
      <c r="C15" s="117" t="s">
        <v>410</v>
      </c>
      <c r="D15" s="117" t="s">
        <v>251</v>
      </c>
      <c r="E15" s="117" t="s">
        <v>3054</v>
      </c>
      <c r="F15" s="117" t="s">
        <v>228</v>
      </c>
      <c r="G15" s="118" t="s">
        <v>257</v>
      </c>
      <c r="H15" s="70">
        <v>6578.3857858866822</v>
      </c>
      <c r="I15" s="67">
        <v>7.0000000000000009</v>
      </c>
      <c r="J15" s="67">
        <v>0</v>
      </c>
      <c r="K15" s="65">
        <v>0.46049000000000001</v>
      </c>
      <c r="L15" s="25">
        <v>2.6763304762204333E-4</v>
      </c>
      <c r="M15" s="33">
        <v>0.99999847988243851</v>
      </c>
      <c r="N15" s="33">
        <v>8.5922186365150203E-7</v>
      </c>
      <c r="O15" s="15"/>
      <c r="P15" s="15"/>
      <c r="Q15" s="15"/>
      <c r="R15" s="15"/>
    </row>
    <row r="16" spans="1:19" s="119" customFormat="1" x14ac:dyDescent="0.25">
      <c r="A16" s="93" t="s">
        <v>1746</v>
      </c>
      <c r="B16" s="131" t="s">
        <v>251</v>
      </c>
      <c r="C16" s="131" t="s">
        <v>251</v>
      </c>
      <c r="D16" s="131" t="s">
        <v>251</v>
      </c>
      <c r="E16" s="131" t="s">
        <v>251</v>
      </c>
      <c r="F16" s="131" t="s">
        <v>251</v>
      </c>
      <c r="G16" s="132" t="s">
        <v>251</v>
      </c>
      <c r="H16" s="135" t="s">
        <v>251</v>
      </c>
      <c r="I16" s="122" t="s">
        <v>251</v>
      </c>
      <c r="J16" s="122" t="s">
        <v>251</v>
      </c>
      <c r="K16" s="152">
        <v>0</v>
      </c>
      <c r="L16" s="137"/>
      <c r="M16" s="121">
        <v>0</v>
      </c>
      <c r="N16" s="121">
        <v>0</v>
      </c>
    </row>
    <row r="17" spans="1:18" s="119" customFormat="1" x14ac:dyDescent="0.25">
      <c r="A17" s="93" t="s">
        <v>1747</v>
      </c>
      <c r="B17" s="131" t="s">
        <v>251</v>
      </c>
      <c r="C17" s="131" t="s">
        <v>251</v>
      </c>
      <c r="D17" s="131" t="s">
        <v>251</v>
      </c>
      <c r="E17" s="131" t="s">
        <v>251</v>
      </c>
      <c r="F17" s="131" t="s">
        <v>251</v>
      </c>
      <c r="G17" s="132" t="s">
        <v>251</v>
      </c>
      <c r="H17" s="135" t="s">
        <v>251</v>
      </c>
      <c r="I17" s="122" t="s">
        <v>251</v>
      </c>
      <c r="J17" s="122" t="s">
        <v>251</v>
      </c>
      <c r="K17" s="152">
        <v>0</v>
      </c>
      <c r="L17" s="137"/>
      <c r="M17" s="121">
        <v>0</v>
      </c>
      <c r="N17" s="121">
        <v>0</v>
      </c>
    </row>
    <row r="18" spans="1:18" s="119" customFormat="1" x14ac:dyDescent="0.25">
      <c r="A18" s="93" t="s">
        <v>1748</v>
      </c>
      <c r="B18" s="131" t="s">
        <v>251</v>
      </c>
      <c r="C18" s="131" t="s">
        <v>251</v>
      </c>
      <c r="D18" s="131" t="s">
        <v>251</v>
      </c>
      <c r="E18" s="131" t="s">
        <v>251</v>
      </c>
      <c r="F18" s="131" t="s">
        <v>251</v>
      </c>
      <c r="G18" s="132" t="s">
        <v>251</v>
      </c>
      <c r="H18" s="135" t="s">
        <v>251</v>
      </c>
      <c r="I18" s="122" t="s">
        <v>251</v>
      </c>
      <c r="J18" s="122" t="s">
        <v>251</v>
      </c>
      <c r="K18" s="152">
        <v>0</v>
      </c>
      <c r="L18" s="137"/>
      <c r="M18" s="121">
        <v>0</v>
      </c>
      <c r="N18" s="121">
        <v>0</v>
      </c>
    </row>
    <row r="19" spans="1:18" s="119" customFormat="1" x14ac:dyDescent="0.25">
      <c r="A19" s="93" t="s">
        <v>498</v>
      </c>
      <c r="B19" s="131" t="s">
        <v>251</v>
      </c>
      <c r="C19" s="131" t="s">
        <v>251</v>
      </c>
      <c r="D19" s="131" t="s">
        <v>251</v>
      </c>
      <c r="E19" s="131" t="s">
        <v>251</v>
      </c>
      <c r="F19" s="131" t="s">
        <v>251</v>
      </c>
      <c r="G19" s="132" t="s">
        <v>251</v>
      </c>
      <c r="H19" s="135" t="s">
        <v>251</v>
      </c>
      <c r="I19" s="122" t="s">
        <v>251</v>
      </c>
      <c r="J19" s="122" t="s">
        <v>251</v>
      </c>
      <c r="K19" s="152">
        <v>0</v>
      </c>
      <c r="L19" s="137"/>
      <c r="M19" s="121">
        <v>0</v>
      </c>
      <c r="N19" s="121">
        <v>0</v>
      </c>
    </row>
    <row r="20" spans="1:18" s="119" customFormat="1" x14ac:dyDescent="0.25">
      <c r="A20" s="93" t="s">
        <v>143</v>
      </c>
      <c r="B20" s="131" t="s">
        <v>251</v>
      </c>
      <c r="C20" s="131" t="s">
        <v>251</v>
      </c>
      <c r="D20" s="131" t="s">
        <v>251</v>
      </c>
      <c r="E20" s="131" t="s">
        <v>251</v>
      </c>
      <c r="F20" s="131" t="s">
        <v>251</v>
      </c>
      <c r="G20" s="132" t="s">
        <v>251</v>
      </c>
      <c r="H20" s="135" t="s">
        <v>251</v>
      </c>
      <c r="I20" s="122" t="s">
        <v>251</v>
      </c>
      <c r="J20" s="122" t="s">
        <v>251</v>
      </c>
      <c r="K20" s="152">
        <v>0</v>
      </c>
      <c r="L20" s="137"/>
      <c r="M20" s="121">
        <v>0</v>
      </c>
      <c r="N20" s="121">
        <v>0</v>
      </c>
    </row>
    <row r="21" spans="1:18" s="119" customFormat="1" x14ac:dyDescent="0.25">
      <c r="A21" s="93" t="s">
        <v>144</v>
      </c>
      <c r="B21" s="131" t="s">
        <v>251</v>
      </c>
      <c r="C21" s="131" t="s">
        <v>251</v>
      </c>
      <c r="D21" s="131" t="s">
        <v>251</v>
      </c>
      <c r="E21" s="131" t="s">
        <v>251</v>
      </c>
      <c r="F21" s="131" t="s">
        <v>251</v>
      </c>
      <c r="G21" s="132" t="s">
        <v>251</v>
      </c>
      <c r="H21" s="135" t="s">
        <v>251</v>
      </c>
      <c r="I21" s="122" t="s">
        <v>251</v>
      </c>
      <c r="J21" s="122" t="s">
        <v>251</v>
      </c>
      <c r="K21" s="152">
        <v>0</v>
      </c>
      <c r="L21" s="137"/>
      <c r="M21" s="121">
        <v>0</v>
      </c>
      <c r="N21" s="121">
        <v>0</v>
      </c>
    </row>
    <row r="22" spans="1:18" s="119" customFormat="1" x14ac:dyDescent="0.25">
      <c r="A22" s="79" t="s">
        <v>242</v>
      </c>
      <c r="B22" s="125"/>
      <c r="C22" s="125"/>
      <c r="D22" s="125"/>
      <c r="E22" s="125"/>
      <c r="F22" s="125"/>
      <c r="G22" s="126"/>
      <c r="H22" s="126"/>
      <c r="I22" s="126"/>
      <c r="J22" s="126"/>
      <c r="K22" s="127"/>
      <c r="L22" s="128"/>
      <c r="M22" s="128"/>
      <c r="N22" s="129"/>
      <c r="O22" s="148"/>
      <c r="P22" s="148"/>
      <c r="Q22" s="130"/>
      <c r="R22" s="130"/>
    </row>
    <row r="23" spans="1:18" s="119" customFormat="1" x14ac:dyDescent="0.25">
      <c r="A23" s="79" t="s">
        <v>243</v>
      </c>
      <c r="B23" s="125"/>
      <c r="C23" s="125"/>
      <c r="D23" s="125"/>
      <c r="E23" s="125"/>
      <c r="F23" s="125"/>
      <c r="G23" s="126"/>
      <c r="H23" s="126"/>
      <c r="I23" s="126"/>
      <c r="J23" s="126"/>
      <c r="K23" s="127"/>
      <c r="L23" s="128"/>
      <c r="M23" s="128"/>
      <c r="N23" s="129"/>
      <c r="O23" s="148"/>
      <c r="P23" s="148"/>
      <c r="Q23" s="130"/>
      <c r="R23" s="130"/>
    </row>
    <row r="24" spans="1:18" s="119" customFormat="1" x14ac:dyDescent="0.25">
      <c r="A24" s="79" t="s">
        <v>244</v>
      </c>
      <c r="B24" s="125"/>
      <c r="C24" s="125"/>
      <c r="D24" s="125"/>
      <c r="E24" s="125"/>
      <c r="F24" s="125"/>
      <c r="G24" s="126"/>
      <c r="H24" s="126"/>
      <c r="I24" s="126"/>
      <c r="J24" s="126"/>
      <c r="K24" s="127"/>
      <c r="L24" s="128"/>
      <c r="M24" s="128"/>
      <c r="N24" s="129"/>
      <c r="O24" s="148"/>
      <c r="P24" s="148"/>
      <c r="Q24" s="130"/>
      <c r="R24" s="130"/>
    </row>
    <row r="25" spans="1:18" s="119" customFormat="1" x14ac:dyDescent="0.25">
      <c r="A25" s="79" t="s">
        <v>245</v>
      </c>
      <c r="B25" s="125"/>
      <c r="C25" s="125"/>
      <c r="D25" s="125"/>
      <c r="E25" s="125"/>
      <c r="F25" s="125"/>
      <c r="G25" s="126"/>
      <c r="H25" s="126"/>
      <c r="I25" s="126"/>
      <c r="J25" s="126"/>
      <c r="K25" s="127"/>
      <c r="L25" s="128"/>
      <c r="M25" s="128"/>
      <c r="N25" s="129"/>
      <c r="O25" s="148"/>
      <c r="P25" s="148"/>
      <c r="Q25" s="130"/>
      <c r="R25" s="130"/>
    </row>
    <row r="26" spans="1:18" s="119" customFormat="1" x14ac:dyDescent="0.25">
      <c r="A26" s="79" t="s">
        <v>246</v>
      </c>
      <c r="B26" s="125"/>
      <c r="C26" s="125"/>
      <c r="D26" s="125"/>
      <c r="E26" s="125"/>
      <c r="F26" s="125"/>
      <c r="G26" s="126"/>
      <c r="H26" s="126"/>
      <c r="I26" s="126"/>
      <c r="J26" s="126"/>
      <c r="K26" s="127"/>
      <c r="L26" s="128"/>
      <c r="M26" s="128"/>
      <c r="N26" s="129"/>
      <c r="O26" s="148"/>
      <c r="P26" s="148"/>
      <c r="Q26" s="130"/>
      <c r="R26" s="130"/>
    </row>
  </sheetData>
  <mergeCells count="2">
    <mergeCell ref="A6:N6"/>
    <mergeCell ref="A5:N5"/>
  </mergeCells>
  <phoneticPr fontId="3" type="noConversion"/>
  <conditionalFormatting sqref="A10:A21 K10:K21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10:G21 M10:N21">
    <cfRule type="expression" dxfId="107" priority="119" stopIfTrue="1">
      <formula>LEFT(#REF!,3)="TIR"</formula>
    </cfRule>
  </conditionalFormatting>
  <conditionalFormatting sqref="L10:M55556 L1:M4 H10:J21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4"/>
  <sheetViews>
    <sheetView rightToLeft="1" zoomScale="80" zoomScaleNormal="80" workbookViewId="0"/>
  </sheetViews>
  <sheetFormatPr defaultColWidth="9.109375" defaultRowHeight="13.2" x14ac:dyDescent="0.25"/>
  <cols>
    <col min="1" max="1" width="36.5546875" style="10" bestFit="1" customWidth="1"/>
    <col min="2" max="2" width="14.3320312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12" style="9" bestFit="1" customWidth="1"/>
    <col min="7" max="7" width="10.88671875" style="60" bestFit="1" customWidth="1"/>
    <col min="8" max="8" width="8.88671875" style="60" bestFit="1" customWidth="1"/>
    <col min="9" max="9" width="16.5546875" style="60" customWidth="1"/>
    <col min="10" max="10" width="10.44140625" style="60" customWidth="1"/>
    <col min="11" max="11" width="22" style="37" customWidth="1"/>
    <col min="12" max="12" width="25.44140625" style="37" customWidth="1"/>
    <col min="13" max="13" width="20.6640625" style="62" customWidth="1"/>
    <col min="14" max="14" width="10" style="20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37"/>
      <c r="M1" s="62"/>
      <c r="N1" s="14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37"/>
      <c r="M2" s="62"/>
      <c r="N2" s="14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37"/>
      <c r="M3" s="62"/>
      <c r="N3" s="14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37"/>
      <c r="M4" s="62"/>
      <c r="N4" s="14"/>
      <c r="O4" s="14"/>
      <c r="P4" s="14"/>
      <c r="Q4" s="13"/>
      <c r="R4" s="13"/>
      <c r="S4" s="15"/>
    </row>
    <row r="5" spans="1:19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4"/>
      <c r="N5" s="14"/>
      <c r="O5" s="14"/>
      <c r="P5" s="14"/>
      <c r="Q5" s="13"/>
      <c r="R5" s="13"/>
      <c r="S5" s="15"/>
    </row>
    <row r="6" spans="1:19" s="7" customFormat="1" x14ac:dyDescent="0.25">
      <c r="A6" s="225" t="s">
        <v>158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7"/>
      <c r="N6" s="14"/>
    </row>
    <row r="7" spans="1:19" s="7" customFormat="1" x14ac:dyDescent="0.25">
      <c r="A7" s="87" t="s">
        <v>157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134</v>
      </c>
      <c r="J7" s="205" t="s">
        <v>7</v>
      </c>
      <c r="K7" s="205" t="s">
        <v>17</v>
      </c>
      <c r="L7" s="90" t="s">
        <v>75</v>
      </c>
      <c r="M7" s="91" t="s">
        <v>8</v>
      </c>
    </row>
    <row r="8" spans="1:19" s="7" customFormat="1" x14ac:dyDescent="0.25">
      <c r="A8" s="27"/>
      <c r="B8" s="3"/>
      <c r="C8" s="3"/>
      <c r="D8" s="3"/>
      <c r="E8" s="3"/>
      <c r="F8" s="30"/>
      <c r="G8" s="2" t="s">
        <v>133</v>
      </c>
      <c r="H8" s="49"/>
      <c r="I8" s="2" t="s">
        <v>135</v>
      </c>
      <c r="J8" s="2" t="s">
        <v>135</v>
      </c>
      <c r="K8" s="49" t="s">
        <v>9</v>
      </c>
      <c r="L8" s="49" t="s">
        <v>9</v>
      </c>
      <c r="M8" s="55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58">
        <v>11</v>
      </c>
      <c r="M9" s="45">
        <v>12</v>
      </c>
    </row>
    <row r="10" spans="1:19" s="119" customFormat="1" ht="12.75" customHeight="1" thickBot="1" x14ac:dyDescent="0.3">
      <c r="A10" s="149" t="s">
        <v>159</v>
      </c>
      <c r="B10" s="71"/>
      <c r="C10" s="71"/>
      <c r="D10" s="71"/>
      <c r="E10" s="71"/>
      <c r="F10" s="150"/>
      <c r="G10" s="151"/>
      <c r="H10" s="150"/>
      <c r="I10" s="153" t="s">
        <v>251</v>
      </c>
      <c r="J10" s="107">
        <v>9500.4514710000003</v>
      </c>
      <c r="K10" s="71" t="s">
        <v>251</v>
      </c>
      <c r="L10" s="71">
        <v>1</v>
      </c>
      <c r="M10" s="83">
        <v>1.7726759795963592E-2</v>
      </c>
    </row>
    <row r="11" spans="1:19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3" t="s">
        <v>251</v>
      </c>
      <c r="H11" s="122" t="s">
        <v>251</v>
      </c>
      <c r="I11" s="123" t="s">
        <v>251</v>
      </c>
      <c r="J11" s="154">
        <v>5194.6847105999996</v>
      </c>
      <c r="K11" s="121" t="s">
        <v>251</v>
      </c>
      <c r="L11" s="121">
        <v>0.54678293199609562</v>
      </c>
      <c r="M11" s="121">
        <v>9.6926896960274813E-3</v>
      </c>
    </row>
    <row r="12" spans="1:19" s="119" customFormat="1" x14ac:dyDescent="0.25">
      <c r="A12" s="93" t="s">
        <v>1749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5" t="s">
        <v>251</v>
      </c>
      <c r="H12" s="122" t="s">
        <v>251</v>
      </c>
      <c r="I12" s="124" t="s">
        <v>251</v>
      </c>
      <c r="J12" s="124">
        <v>0</v>
      </c>
      <c r="K12" s="137"/>
      <c r="L12" s="121">
        <v>0</v>
      </c>
      <c r="M12" s="121">
        <v>0</v>
      </c>
    </row>
    <row r="13" spans="1:19" s="119" customFormat="1" x14ac:dyDescent="0.25">
      <c r="A13" s="93" t="s">
        <v>1750</v>
      </c>
      <c r="B13" s="131" t="s">
        <v>251</v>
      </c>
      <c r="C13" s="131" t="s">
        <v>251</v>
      </c>
      <c r="D13" s="131" t="s">
        <v>251</v>
      </c>
      <c r="E13" s="131" t="s">
        <v>251</v>
      </c>
      <c r="F13" s="131" t="s">
        <v>251</v>
      </c>
      <c r="G13" s="135" t="s">
        <v>251</v>
      </c>
      <c r="H13" s="122" t="s">
        <v>251</v>
      </c>
      <c r="I13" s="124" t="s">
        <v>251</v>
      </c>
      <c r="J13" s="124">
        <v>0</v>
      </c>
      <c r="K13" s="137"/>
      <c r="L13" s="121">
        <v>0</v>
      </c>
      <c r="M13" s="121">
        <v>0</v>
      </c>
    </row>
    <row r="14" spans="1:19" s="119" customFormat="1" x14ac:dyDescent="0.25">
      <c r="A14" s="93" t="s">
        <v>1751</v>
      </c>
      <c r="B14" s="131" t="s">
        <v>251</v>
      </c>
      <c r="C14" s="131" t="s">
        <v>251</v>
      </c>
      <c r="D14" s="131" t="s">
        <v>251</v>
      </c>
      <c r="E14" s="131" t="s">
        <v>251</v>
      </c>
      <c r="F14" s="131" t="s">
        <v>251</v>
      </c>
      <c r="G14" s="135" t="s">
        <v>251</v>
      </c>
      <c r="H14" s="122" t="s">
        <v>251</v>
      </c>
      <c r="I14" s="124" t="s">
        <v>251</v>
      </c>
      <c r="J14" s="124">
        <v>5194.6847100999994</v>
      </c>
      <c r="K14" s="137"/>
      <c r="L14" s="121">
        <v>0.5467829319434665</v>
      </c>
      <c r="M14" s="121">
        <v>9.6926896950945383E-3</v>
      </c>
    </row>
    <row r="15" spans="1:19" x14ac:dyDescent="0.25">
      <c r="A15" s="17" t="s">
        <v>1766</v>
      </c>
      <c r="B15" s="117" t="s">
        <v>1767</v>
      </c>
      <c r="C15" s="117" t="s">
        <v>410</v>
      </c>
      <c r="D15" s="117" t="s">
        <v>1768</v>
      </c>
      <c r="E15" s="117" t="s">
        <v>1755</v>
      </c>
      <c r="F15" s="117" t="s">
        <v>257</v>
      </c>
      <c r="G15" s="70">
        <v>245244.80183144601</v>
      </c>
      <c r="H15" s="67">
        <v>356.2</v>
      </c>
      <c r="I15" s="85">
        <v>0</v>
      </c>
      <c r="J15" s="85">
        <v>873.56197999999995</v>
      </c>
      <c r="K15" s="25">
        <v>2.4893019090406351E-3</v>
      </c>
      <c r="L15" s="33">
        <v>9.1949522890205387E-2</v>
      </c>
      <c r="M15" s="33">
        <v>1.6299671056281269E-3</v>
      </c>
      <c r="N15" s="15"/>
      <c r="O15" s="15"/>
      <c r="P15" s="15"/>
      <c r="Q15" s="15"/>
      <c r="R15" s="15"/>
    </row>
    <row r="16" spans="1:19" x14ac:dyDescent="0.25">
      <c r="A16" s="17" t="s">
        <v>1769</v>
      </c>
      <c r="B16" s="117" t="s">
        <v>1770</v>
      </c>
      <c r="C16" s="117" t="s">
        <v>410</v>
      </c>
      <c r="D16" s="117" t="s">
        <v>1768</v>
      </c>
      <c r="E16" s="117" t="s">
        <v>1755</v>
      </c>
      <c r="F16" s="117" t="s">
        <v>257</v>
      </c>
      <c r="G16" s="70">
        <v>83305.941975588095</v>
      </c>
      <c r="H16" s="67">
        <v>368.92</v>
      </c>
      <c r="I16" s="85">
        <v>0</v>
      </c>
      <c r="J16" s="85">
        <v>307.33228000000003</v>
      </c>
      <c r="K16" s="25">
        <v>9.8831307614691559E-4</v>
      </c>
      <c r="L16" s="33">
        <v>3.2349228974867944E-2</v>
      </c>
      <c r="M16" s="33">
        <v>5.7344701162210967E-4</v>
      </c>
      <c r="N16" s="15"/>
      <c r="O16" s="15"/>
      <c r="P16" s="15"/>
      <c r="Q16" s="15"/>
      <c r="R16" s="15"/>
    </row>
    <row r="17" spans="1:18" x14ac:dyDescent="0.25">
      <c r="A17" s="17" t="s">
        <v>1782</v>
      </c>
      <c r="B17" s="117" t="s">
        <v>1783</v>
      </c>
      <c r="C17" s="117" t="s">
        <v>410</v>
      </c>
      <c r="D17" s="117" t="s">
        <v>1768</v>
      </c>
      <c r="E17" s="117" t="s">
        <v>1755</v>
      </c>
      <c r="F17" s="117" t="s">
        <v>257</v>
      </c>
      <c r="G17" s="70">
        <v>28359.937182056354</v>
      </c>
      <c r="H17" s="67">
        <v>367.81</v>
      </c>
      <c r="I17" s="85">
        <v>0</v>
      </c>
      <c r="J17" s="85">
        <v>104.31067999999999</v>
      </c>
      <c r="K17" s="25">
        <v>1.6603850975550332E-4</v>
      </c>
      <c r="L17" s="33">
        <v>1.0979549794913107E-2</v>
      </c>
      <c r="M17" s="33">
        <v>1.9463184188224598E-4</v>
      </c>
      <c r="N17" s="15"/>
      <c r="O17" s="15"/>
      <c r="P17" s="15"/>
      <c r="Q17" s="15"/>
      <c r="R17" s="15"/>
    </row>
    <row r="18" spans="1:18" x14ac:dyDescent="0.25">
      <c r="A18" s="17" t="s">
        <v>1773</v>
      </c>
      <c r="B18" s="117" t="s">
        <v>1774</v>
      </c>
      <c r="C18" s="117" t="s">
        <v>410</v>
      </c>
      <c r="D18" s="117" t="s">
        <v>1775</v>
      </c>
      <c r="E18" s="117" t="s">
        <v>1755</v>
      </c>
      <c r="F18" s="117" t="s">
        <v>257</v>
      </c>
      <c r="G18" s="70">
        <v>53308.340671513353</v>
      </c>
      <c r="H18" s="67">
        <v>380.63</v>
      </c>
      <c r="I18" s="85">
        <v>0</v>
      </c>
      <c r="J18" s="85">
        <v>202.90754000000001</v>
      </c>
      <c r="K18" s="25">
        <v>9.9982442363163657E-4</v>
      </c>
      <c r="L18" s="33">
        <v>2.1357673434717551E-2</v>
      </c>
      <c r="M18" s="33">
        <v>3.7860234677787076E-4</v>
      </c>
      <c r="N18" s="15"/>
      <c r="O18" s="15"/>
      <c r="P18" s="15"/>
      <c r="Q18" s="15"/>
      <c r="R18" s="15"/>
    </row>
    <row r="19" spans="1:18" x14ac:dyDescent="0.25">
      <c r="A19" s="17" t="s">
        <v>1776</v>
      </c>
      <c r="B19" s="117" t="s">
        <v>1777</v>
      </c>
      <c r="C19" s="117" t="s">
        <v>410</v>
      </c>
      <c r="D19" s="117" t="s">
        <v>1775</v>
      </c>
      <c r="E19" s="117" t="s">
        <v>1755</v>
      </c>
      <c r="F19" s="117" t="s">
        <v>257</v>
      </c>
      <c r="G19" s="70">
        <v>267841.22556393623</v>
      </c>
      <c r="H19" s="67">
        <v>386.99</v>
      </c>
      <c r="I19" s="85">
        <v>0</v>
      </c>
      <c r="J19" s="85">
        <v>1036.5187599999999</v>
      </c>
      <c r="K19" s="25">
        <v>2.9738900616137396E-3</v>
      </c>
      <c r="L19" s="33">
        <v>0.10910205300916061</v>
      </c>
      <c r="M19" s="33">
        <v>1.9340258869398768E-3</v>
      </c>
      <c r="N19" s="15"/>
      <c r="O19" s="15"/>
      <c r="P19" s="15"/>
      <c r="Q19" s="15"/>
      <c r="R19" s="15"/>
    </row>
    <row r="20" spans="1:18" x14ac:dyDescent="0.25">
      <c r="A20" s="17" t="s">
        <v>1784</v>
      </c>
      <c r="B20" s="117" t="s">
        <v>1785</v>
      </c>
      <c r="C20" s="117" t="s">
        <v>410</v>
      </c>
      <c r="D20" s="117" t="s">
        <v>1775</v>
      </c>
      <c r="E20" s="117" t="s">
        <v>1755</v>
      </c>
      <c r="F20" s="117" t="s">
        <v>257</v>
      </c>
      <c r="G20" s="70">
        <v>10996.43153466988</v>
      </c>
      <c r="H20" s="67">
        <v>427.11000000000007</v>
      </c>
      <c r="I20" s="85">
        <v>0</v>
      </c>
      <c r="J20" s="85">
        <v>46.966860000000004</v>
      </c>
      <c r="K20" s="25">
        <v>8.4840929227788202E-5</v>
      </c>
      <c r="L20" s="33">
        <v>4.9436450618547661E-3</v>
      </c>
      <c r="M20" s="33">
        <v>8.7634808528001015E-5</v>
      </c>
      <c r="N20" s="15"/>
      <c r="O20" s="15"/>
      <c r="P20" s="15"/>
      <c r="Q20" s="15"/>
      <c r="R20" s="15"/>
    </row>
    <row r="21" spans="1:18" x14ac:dyDescent="0.25">
      <c r="A21" s="17" t="s">
        <v>1752</v>
      </c>
      <c r="B21" s="117" t="s">
        <v>1753</v>
      </c>
      <c r="C21" s="117" t="s">
        <v>410</v>
      </c>
      <c r="D21" s="117" t="s">
        <v>1754</v>
      </c>
      <c r="E21" s="117" t="s">
        <v>1755</v>
      </c>
      <c r="F21" s="117" t="s">
        <v>257</v>
      </c>
      <c r="G21" s="70">
        <v>14035.78901164454</v>
      </c>
      <c r="H21" s="67">
        <v>3704.6</v>
      </c>
      <c r="I21" s="85">
        <v>0</v>
      </c>
      <c r="J21" s="85">
        <v>519.96983999999998</v>
      </c>
      <c r="K21" s="25">
        <v>1.1111103292022202E-3</v>
      </c>
      <c r="L21" s="33">
        <v>5.4731066369551051E-2</v>
      </c>
      <c r="M21" s="33">
        <v>9.7020446690997272E-4</v>
      </c>
      <c r="N21" s="15"/>
      <c r="O21" s="15"/>
      <c r="P21" s="15"/>
      <c r="Q21" s="15"/>
      <c r="R21" s="15"/>
    </row>
    <row r="22" spans="1:18" x14ac:dyDescent="0.25">
      <c r="A22" s="17" t="s">
        <v>1778</v>
      </c>
      <c r="B22" s="117" t="s">
        <v>1779</v>
      </c>
      <c r="C22" s="117" t="s">
        <v>410</v>
      </c>
      <c r="D22" s="117" t="s">
        <v>1754</v>
      </c>
      <c r="E22" s="117" t="s">
        <v>1755</v>
      </c>
      <c r="F22" s="117" t="s">
        <v>257</v>
      </c>
      <c r="G22" s="70">
        <v>17630.427477738849</v>
      </c>
      <c r="H22" s="67">
        <v>369.15</v>
      </c>
      <c r="I22" s="85">
        <v>0</v>
      </c>
      <c r="J22" s="85">
        <v>65.082719999999995</v>
      </c>
      <c r="K22" s="25">
        <v>7.682730246328047E-5</v>
      </c>
      <c r="L22" s="33">
        <v>6.8504870740789649E-3</v>
      </c>
      <c r="M22" s="33">
        <v>1.2143693884755126E-4</v>
      </c>
      <c r="N22" s="15"/>
      <c r="O22" s="15"/>
      <c r="P22" s="15"/>
      <c r="Q22" s="15"/>
      <c r="R22" s="15"/>
    </row>
    <row r="23" spans="1:18" x14ac:dyDescent="0.25">
      <c r="A23" s="17" t="s">
        <v>1763</v>
      </c>
      <c r="B23" s="117" t="s">
        <v>1764</v>
      </c>
      <c r="C23" s="117" t="s">
        <v>410</v>
      </c>
      <c r="D23" s="117" t="s">
        <v>1765</v>
      </c>
      <c r="E23" s="117" t="s">
        <v>1755</v>
      </c>
      <c r="F23" s="117" t="s">
        <v>257</v>
      </c>
      <c r="G23" s="70">
        <v>28182.440561101197</v>
      </c>
      <c r="H23" s="67">
        <v>3549.9</v>
      </c>
      <c r="I23" s="85">
        <v>0</v>
      </c>
      <c r="J23" s="85">
        <v>1000.44846</v>
      </c>
      <c r="K23" s="25">
        <v>3.6691247188800997E-3</v>
      </c>
      <c r="L23" s="33">
        <v>0.10530535975620267</v>
      </c>
      <c r="M23" s="33">
        <v>1.8667228176257359E-3</v>
      </c>
      <c r="N23" s="15"/>
      <c r="O23" s="15"/>
      <c r="P23" s="15"/>
      <c r="Q23" s="15"/>
      <c r="R23" s="15"/>
    </row>
    <row r="24" spans="1:18" x14ac:dyDescent="0.25">
      <c r="A24" s="17" t="s">
        <v>1756</v>
      </c>
      <c r="B24" s="117" t="s">
        <v>1757</v>
      </c>
      <c r="C24" s="117" t="s">
        <v>410</v>
      </c>
      <c r="D24" s="117" t="s">
        <v>1758</v>
      </c>
      <c r="E24" s="117" t="s">
        <v>1755</v>
      </c>
      <c r="F24" s="117" t="s">
        <v>257</v>
      </c>
      <c r="G24" s="70">
        <v>8.6032318258425526</v>
      </c>
      <c r="H24" s="67">
        <v>3330.16</v>
      </c>
      <c r="I24" s="85">
        <v>0</v>
      </c>
      <c r="J24" s="85">
        <v>0.28649999999999998</v>
      </c>
      <c r="K24" s="25">
        <v>1.2466231486946098E-6</v>
      </c>
      <c r="L24" s="33">
        <v>3.0156461603381414E-5</v>
      </c>
      <c r="M24" s="33">
        <v>5.3457635113934138E-7</v>
      </c>
      <c r="N24" s="15"/>
      <c r="O24" s="15"/>
      <c r="P24" s="15"/>
      <c r="Q24" s="15"/>
      <c r="R24" s="15"/>
    </row>
    <row r="25" spans="1:18" x14ac:dyDescent="0.25">
      <c r="A25" s="17" t="s">
        <v>1759</v>
      </c>
      <c r="B25" s="117" t="s">
        <v>1760</v>
      </c>
      <c r="C25" s="117" t="s">
        <v>410</v>
      </c>
      <c r="D25" s="117" t="s">
        <v>1758</v>
      </c>
      <c r="E25" s="117" t="s">
        <v>1755</v>
      </c>
      <c r="F25" s="117" t="s">
        <v>257</v>
      </c>
      <c r="G25" s="70">
        <v>17004.38868067717</v>
      </c>
      <c r="H25" s="67">
        <v>3543.66</v>
      </c>
      <c r="I25" s="85">
        <v>0</v>
      </c>
      <c r="J25" s="85">
        <v>602.57772</v>
      </c>
      <c r="K25" s="25">
        <v>3.1750539303702107E-3</v>
      </c>
      <c r="L25" s="33">
        <v>6.3426219463291855E-2</v>
      </c>
      <c r="M25" s="33">
        <v>1.1243413571918456E-3</v>
      </c>
      <c r="N25" s="15"/>
      <c r="O25" s="15"/>
      <c r="P25" s="15"/>
      <c r="Q25" s="15"/>
      <c r="R25" s="15"/>
    </row>
    <row r="26" spans="1:18" x14ac:dyDescent="0.25">
      <c r="A26" s="17" t="s">
        <v>1761</v>
      </c>
      <c r="B26" s="117" t="s">
        <v>1762</v>
      </c>
      <c r="C26" s="117" t="s">
        <v>410</v>
      </c>
      <c r="D26" s="117" t="s">
        <v>1758</v>
      </c>
      <c r="E26" s="117" t="s">
        <v>1755</v>
      </c>
      <c r="F26" s="117" t="s">
        <v>257</v>
      </c>
      <c r="G26" s="70">
        <v>3685.6568267987459</v>
      </c>
      <c r="H26" s="67">
        <v>3694.2</v>
      </c>
      <c r="I26" s="85">
        <v>0</v>
      </c>
      <c r="J26" s="85">
        <v>136.15553</v>
      </c>
      <c r="K26" s="25">
        <v>3.5054687234746995E-4</v>
      </c>
      <c r="L26" s="33">
        <v>1.4331479973937335E-2</v>
      </c>
      <c r="M26" s="33">
        <v>2.5405070301864972E-4</v>
      </c>
      <c r="N26" s="15"/>
      <c r="O26" s="15"/>
      <c r="P26" s="15"/>
      <c r="Q26" s="15"/>
      <c r="R26" s="15"/>
    </row>
    <row r="27" spans="1:18" x14ac:dyDescent="0.25">
      <c r="A27" s="17" t="s">
        <v>1771</v>
      </c>
      <c r="B27" s="117" t="s">
        <v>1772</v>
      </c>
      <c r="C27" s="117" t="s">
        <v>410</v>
      </c>
      <c r="D27" s="117" t="s">
        <v>1758</v>
      </c>
      <c r="E27" s="117" t="s">
        <v>1755</v>
      </c>
      <c r="F27" s="117" t="s">
        <v>257</v>
      </c>
      <c r="G27" s="70">
        <v>56.87018972200147</v>
      </c>
      <c r="H27" s="67">
        <v>3260.9</v>
      </c>
      <c r="I27" s="85">
        <v>0</v>
      </c>
      <c r="J27" s="85">
        <v>1.8544800000000001</v>
      </c>
      <c r="K27" s="25">
        <v>8.5887442551734238E-6</v>
      </c>
      <c r="L27" s="33">
        <v>1.951991445523168E-4</v>
      </c>
      <c r="M27" s="33">
        <v>3.4602483478564956E-6</v>
      </c>
      <c r="N27" s="15"/>
      <c r="O27" s="15"/>
      <c r="P27" s="15"/>
      <c r="Q27" s="15"/>
      <c r="R27" s="15"/>
    </row>
    <row r="28" spans="1:18" x14ac:dyDescent="0.25">
      <c r="A28" s="17" t="s">
        <v>1780</v>
      </c>
      <c r="B28" s="117" t="s">
        <v>1781</v>
      </c>
      <c r="C28" s="117" t="s">
        <v>410</v>
      </c>
      <c r="D28" s="117" t="s">
        <v>1758</v>
      </c>
      <c r="E28" s="117" t="s">
        <v>1755</v>
      </c>
      <c r="F28" s="117" t="s">
        <v>257</v>
      </c>
      <c r="G28" s="70">
        <v>8086.5408186002696</v>
      </c>
      <c r="H28" s="67">
        <v>3669.2</v>
      </c>
      <c r="I28" s="85">
        <v>0</v>
      </c>
      <c r="J28" s="85">
        <v>296.71136000000001</v>
      </c>
      <c r="K28" s="25">
        <v>2.316433575567766E-4</v>
      </c>
      <c r="L28" s="33">
        <v>3.1231290524003769E-2</v>
      </c>
      <c r="M28" s="33">
        <v>5.5362958523696873E-4</v>
      </c>
      <c r="N28" s="15"/>
      <c r="O28" s="15"/>
      <c r="P28" s="15"/>
      <c r="Q28" s="15"/>
      <c r="R28" s="15"/>
    </row>
    <row r="29" spans="1:18" s="119" customFormat="1" x14ac:dyDescent="0.25">
      <c r="A29" s="93" t="s">
        <v>1786</v>
      </c>
      <c r="B29" s="131" t="s">
        <v>251</v>
      </c>
      <c r="C29" s="131" t="s">
        <v>251</v>
      </c>
      <c r="D29" s="131" t="s">
        <v>251</v>
      </c>
      <c r="E29" s="131" t="s">
        <v>251</v>
      </c>
      <c r="F29" s="131" t="s">
        <v>251</v>
      </c>
      <c r="G29" s="135" t="s">
        <v>251</v>
      </c>
      <c r="H29" s="122" t="s">
        <v>251</v>
      </c>
      <c r="I29" s="124" t="s">
        <v>251</v>
      </c>
      <c r="J29" s="124">
        <v>0</v>
      </c>
      <c r="K29" s="137"/>
      <c r="L29" s="121">
        <v>0</v>
      </c>
      <c r="M29" s="121">
        <v>0</v>
      </c>
    </row>
    <row r="30" spans="1:18" s="119" customFormat="1" x14ac:dyDescent="0.25">
      <c r="A30" s="93" t="s">
        <v>1787</v>
      </c>
      <c r="B30" s="131" t="s">
        <v>251</v>
      </c>
      <c r="C30" s="131" t="s">
        <v>251</v>
      </c>
      <c r="D30" s="131" t="s">
        <v>251</v>
      </c>
      <c r="E30" s="131" t="s">
        <v>251</v>
      </c>
      <c r="F30" s="131" t="s">
        <v>251</v>
      </c>
      <c r="G30" s="135" t="s">
        <v>251</v>
      </c>
      <c r="H30" s="122" t="s">
        <v>251</v>
      </c>
      <c r="I30" s="124" t="s">
        <v>251</v>
      </c>
      <c r="J30" s="124">
        <v>0</v>
      </c>
      <c r="K30" s="137"/>
      <c r="L30" s="121">
        <v>0</v>
      </c>
      <c r="M30" s="121">
        <v>0</v>
      </c>
    </row>
    <row r="31" spans="1:18" s="119" customFormat="1" x14ac:dyDescent="0.25">
      <c r="A31" s="93" t="s">
        <v>141</v>
      </c>
      <c r="B31" s="131" t="s">
        <v>251</v>
      </c>
      <c r="C31" s="131" t="s">
        <v>251</v>
      </c>
      <c r="D31" s="131" t="s">
        <v>251</v>
      </c>
      <c r="E31" s="131" t="s">
        <v>251</v>
      </c>
      <c r="F31" s="131" t="s">
        <v>251</v>
      </c>
      <c r="G31" s="135" t="s">
        <v>251</v>
      </c>
      <c r="H31" s="122" t="s">
        <v>251</v>
      </c>
      <c r="I31" s="124" t="s">
        <v>251</v>
      </c>
      <c r="J31" s="124">
        <v>0</v>
      </c>
      <c r="K31" s="137"/>
      <c r="L31" s="121">
        <v>0</v>
      </c>
      <c r="M31" s="121">
        <v>0</v>
      </c>
    </row>
    <row r="32" spans="1:18" s="119" customFormat="1" x14ac:dyDescent="0.25">
      <c r="A32" s="93" t="s">
        <v>498</v>
      </c>
      <c r="B32" s="131" t="s">
        <v>251</v>
      </c>
      <c r="C32" s="131" t="s">
        <v>251</v>
      </c>
      <c r="D32" s="131" t="s">
        <v>251</v>
      </c>
      <c r="E32" s="131" t="s">
        <v>251</v>
      </c>
      <c r="F32" s="131" t="s">
        <v>251</v>
      </c>
      <c r="G32" s="135" t="s">
        <v>251</v>
      </c>
      <c r="H32" s="122" t="s">
        <v>251</v>
      </c>
      <c r="I32" s="124" t="s">
        <v>251</v>
      </c>
      <c r="J32" s="124">
        <v>4305.7667604000007</v>
      </c>
      <c r="K32" s="137"/>
      <c r="L32" s="121">
        <v>0.45321706800390438</v>
      </c>
      <c r="M32" s="121">
        <v>8.0340700999361105E-3</v>
      </c>
    </row>
    <row r="33" spans="1:18" s="119" customFormat="1" x14ac:dyDescent="0.25">
      <c r="A33" s="93" t="s">
        <v>1788</v>
      </c>
      <c r="B33" s="131" t="s">
        <v>251</v>
      </c>
      <c r="C33" s="131" t="s">
        <v>251</v>
      </c>
      <c r="D33" s="131" t="s">
        <v>251</v>
      </c>
      <c r="E33" s="131" t="s">
        <v>251</v>
      </c>
      <c r="F33" s="131" t="s">
        <v>251</v>
      </c>
      <c r="G33" s="135" t="s">
        <v>251</v>
      </c>
      <c r="H33" s="122" t="s">
        <v>251</v>
      </c>
      <c r="I33" s="124" t="s">
        <v>251</v>
      </c>
      <c r="J33" s="124">
        <v>0</v>
      </c>
      <c r="K33" s="137"/>
      <c r="L33" s="121">
        <v>0</v>
      </c>
      <c r="M33" s="121">
        <v>0</v>
      </c>
    </row>
    <row r="34" spans="1:18" s="119" customFormat="1" x14ac:dyDescent="0.25">
      <c r="A34" s="93" t="s">
        <v>1789</v>
      </c>
      <c r="B34" s="131" t="s">
        <v>251</v>
      </c>
      <c r="C34" s="131" t="s">
        <v>251</v>
      </c>
      <c r="D34" s="131" t="s">
        <v>251</v>
      </c>
      <c r="E34" s="131" t="s">
        <v>251</v>
      </c>
      <c r="F34" s="131" t="s">
        <v>251</v>
      </c>
      <c r="G34" s="135" t="s">
        <v>251</v>
      </c>
      <c r="H34" s="122" t="s">
        <v>251</v>
      </c>
      <c r="I34" s="124" t="s">
        <v>251</v>
      </c>
      <c r="J34" s="124">
        <v>4305.7667600999994</v>
      </c>
      <c r="K34" s="137"/>
      <c r="L34" s="121">
        <v>0.4532170679723268</v>
      </c>
      <c r="M34" s="121">
        <v>8.0340700993763413E-3</v>
      </c>
    </row>
    <row r="35" spans="1:18" x14ac:dyDescent="0.25">
      <c r="A35" s="17" t="s">
        <v>1796</v>
      </c>
      <c r="B35" s="117" t="s">
        <v>1797</v>
      </c>
      <c r="C35" s="117" t="s">
        <v>1792</v>
      </c>
      <c r="D35" s="175" t="s">
        <v>3037</v>
      </c>
      <c r="E35" s="117" t="s">
        <v>1793</v>
      </c>
      <c r="F35" s="117" t="s">
        <v>125</v>
      </c>
      <c r="G35" s="70">
        <v>41723.860194601519</v>
      </c>
      <c r="H35" s="67">
        <v>547.75</v>
      </c>
      <c r="I35" s="85">
        <v>0</v>
      </c>
      <c r="J35" s="85">
        <v>873.94631000000004</v>
      </c>
      <c r="K35" s="25">
        <v>1.2681408652396166E-4</v>
      </c>
      <c r="L35" s="33">
        <v>9.1989976757179306E-2</v>
      </c>
      <c r="M35" s="33">
        <v>1.6306842216107914E-3</v>
      </c>
      <c r="N35" s="15"/>
      <c r="O35" s="15"/>
      <c r="P35" s="15"/>
      <c r="Q35" s="15"/>
      <c r="R35" s="15"/>
    </row>
    <row r="36" spans="1:18" x14ac:dyDescent="0.25">
      <c r="A36" s="17" t="s">
        <v>1790</v>
      </c>
      <c r="B36" s="117" t="s">
        <v>1791</v>
      </c>
      <c r="C36" s="117" t="s">
        <v>1792</v>
      </c>
      <c r="D36" s="175" t="s">
        <v>3038</v>
      </c>
      <c r="E36" s="117" t="s">
        <v>1793</v>
      </c>
      <c r="F36" s="117" t="s">
        <v>125</v>
      </c>
      <c r="G36" s="70">
        <v>4364.5970608060688</v>
      </c>
      <c r="H36" s="67">
        <v>9625</v>
      </c>
      <c r="I36" s="85">
        <v>0</v>
      </c>
      <c r="J36" s="85">
        <v>1606.4335900000001</v>
      </c>
      <c r="K36" s="25">
        <v>5.2955984913079788E-5</v>
      </c>
      <c r="L36" s="33">
        <v>0.16909023691175276</v>
      </c>
      <c r="M36" s="33">
        <v>2.9974220135772179E-3</v>
      </c>
      <c r="N36" s="15"/>
      <c r="O36" s="15"/>
      <c r="P36" s="15"/>
      <c r="Q36" s="15"/>
      <c r="R36" s="15"/>
    </row>
    <row r="37" spans="1:18" x14ac:dyDescent="0.25">
      <c r="A37" s="17" t="s">
        <v>1794</v>
      </c>
      <c r="B37" s="117" t="s">
        <v>1795</v>
      </c>
      <c r="C37" s="117" t="s">
        <v>1792</v>
      </c>
      <c r="D37" s="175" t="s">
        <v>3039</v>
      </c>
      <c r="E37" s="117" t="s">
        <v>1793</v>
      </c>
      <c r="F37" s="117" t="s">
        <v>125</v>
      </c>
      <c r="G37" s="70">
        <v>18621.030639658115</v>
      </c>
      <c r="H37" s="67">
        <v>2563.5</v>
      </c>
      <c r="I37" s="85">
        <v>0</v>
      </c>
      <c r="J37" s="85">
        <v>1825.3868600000001</v>
      </c>
      <c r="K37" s="25">
        <v>7.0011172591923844E-5</v>
      </c>
      <c r="L37" s="33">
        <v>0.192136854292869</v>
      </c>
      <c r="M37" s="33">
        <v>3.4059638640017448E-3</v>
      </c>
      <c r="N37" s="15"/>
      <c r="O37" s="15"/>
      <c r="P37" s="15"/>
      <c r="Q37" s="15"/>
      <c r="R37" s="15"/>
    </row>
    <row r="38" spans="1:18" s="119" customFormat="1" x14ac:dyDescent="0.25">
      <c r="A38" s="93" t="s">
        <v>141</v>
      </c>
      <c r="B38" s="131" t="s">
        <v>251</v>
      </c>
      <c r="C38" s="131" t="s">
        <v>251</v>
      </c>
      <c r="D38" s="131" t="s">
        <v>251</v>
      </c>
      <c r="E38" s="131" t="s">
        <v>251</v>
      </c>
      <c r="F38" s="131" t="s">
        <v>251</v>
      </c>
      <c r="G38" s="135" t="s">
        <v>251</v>
      </c>
      <c r="H38" s="122" t="s">
        <v>251</v>
      </c>
      <c r="I38" s="124" t="s">
        <v>251</v>
      </c>
      <c r="J38" s="124">
        <v>0</v>
      </c>
      <c r="K38" s="137"/>
      <c r="L38" s="121">
        <v>0</v>
      </c>
      <c r="M38" s="121">
        <v>0</v>
      </c>
    </row>
    <row r="39" spans="1:18" s="119" customFormat="1" x14ac:dyDescent="0.25">
      <c r="A39" s="93" t="s">
        <v>1787</v>
      </c>
      <c r="B39" s="131" t="s">
        <v>251</v>
      </c>
      <c r="C39" s="131" t="s">
        <v>251</v>
      </c>
      <c r="D39" s="131" t="s">
        <v>251</v>
      </c>
      <c r="E39" s="131" t="s">
        <v>251</v>
      </c>
      <c r="F39" s="131" t="s">
        <v>251</v>
      </c>
      <c r="G39" s="135" t="s">
        <v>251</v>
      </c>
      <c r="H39" s="122" t="s">
        <v>251</v>
      </c>
      <c r="I39" s="124" t="s">
        <v>251</v>
      </c>
      <c r="J39" s="124">
        <v>0</v>
      </c>
      <c r="K39" s="137"/>
      <c r="L39" s="121">
        <v>0</v>
      </c>
      <c r="M39" s="121">
        <v>0</v>
      </c>
    </row>
    <row r="40" spans="1:18" s="119" customFormat="1" x14ac:dyDescent="0.25">
      <c r="A40" s="79" t="s">
        <v>242</v>
      </c>
      <c r="B40" s="125"/>
      <c r="C40" s="125"/>
      <c r="D40" s="125"/>
      <c r="E40" s="125"/>
      <c r="F40" s="125"/>
      <c r="G40" s="126"/>
      <c r="H40" s="126"/>
      <c r="I40" s="126"/>
      <c r="J40" s="126"/>
      <c r="K40" s="127"/>
      <c r="L40" s="127"/>
      <c r="M40" s="128"/>
      <c r="N40" s="148"/>
      <c r="O40" s="148"/>
      <c r="P40" s="148"/>
      <c r="Q40" s="130"/>
      <c r="R40" s="130"/>
    </row>
    <row r="41" spans="1:18" s="119" customFormat="1" x14ac:dyDescent="0.25">
      <c r="A41" s="79" t="s">
        <v>243</v>
      </c>
      <c r="B41" s="125"/>
      <c r="C41" s="125"/>
      <c r="D41" s="125"/>
      <c r="E41" s="125"/>
      <c r="F41" s="125"/>
      <c r="G41" s="126"/>
      <c r="H41" s="126"/>
      <c r="I41" s="126"/>
      <c r="J41" s="126"/>
      <c r="K41" s="127"/>
      <c r="L41" s="127"/>
      <c r="M41" s="128"/>
      <c r="N41" s="148"/>
      <c r="O41" s="148"/>
      <c r="P41" s="148"/>
      <c r="Q41" s="130"/>
      <c r="R41" s="130"/>
    </row>
    <row r="42" spans="1:18" s="119" customFormat="1" x14ac:dyDescent="0.25">
      <c r="A42" s="79" t="s">
        <v>244</v>
      </c>
      <c r="B42" s="125"/>
      <c r="C42" s="125"/>
      <c r="D42" s="125"/>
      <c r="E42" s="125"/>
      <c r="F42" s="125"/>
      <c r="G42" s="126"/>
      <c r="H42" s="126"/>
      <c r="I42" s="126"/>
      <c r="J42" s="126"/>
      <c r="K42" s="127"/>
      <c r="L42" s="127"/>
      <c r="M42" s="128"/>
      <c r="N42" s="148"/>
      <c r="O42" s="148"/>
      <c r="P42" s="148"/>
      <c r="Q42" s="130"/>
      <c r="R42" s="130"/>
    </row>
    <row r="43" spans="1:18" s="119" customFormat="1" x14ac:dyDescent="0.25">
      <c r="A43" s="79" t="s">
        <v>245</v>
      </c>
      <c r="B43" s="125"/>
      <c r="C43" s="125"/>
      <c r="D43" s="125"/>
      <c r="E43" s="125"/>
      <c r="F43" s="125"/>
      <c r="G43" s="126"/>
      <c r="H43" s="126"/>
      <c r="I43" s="126"/>
      <c r="J43" s="126"/>
      <c r="K43" s="127"/>
      <c r="L43" s="127"/>
      <c r="M43" s="128"/>
      <c r="N43" s="148"/>
      <c r="O43" s="148"/>
      <c r="P43" s="148"/>
      <c r="Q43" s="130"/>
      <c r="R43" s="130"/>
    </row>
    <row r="44" spans="1:18" s="119" customFormat="1" x14ac:dyDescent="0.25">
      <c r="A44" s="79" t="s">
        <v>246</v>
      </c>
      <c r="B44" s="125"/>
      <c r="C44" s="125"/>
      <c r="D44" s="125"/>
      <c r="E44" s="125"/>
      <c r="F44" s="125"/>
      <c r="G44" s="126"/>
      <c r="H44" s="126"/>
      <c r="I44" s="126"/>
      <c r="J44" s="126"/>
      <c r="K44" s="127"/>
      <c r="L44" s="127"/>
      <c r="M44" s="128"/>
      <c r="N44" s="148"/>
      <c r="O44" s="148"/>
      <c r="P44" s="148"/>
      <c r="Q44" s="130"/>
      <c r="R44" s="130"/>
    </row>
  </sheetData>
  <mergeCells count="2">
    <mergeCell ref="A6:M6"/>
    <mergeCell ref="A5:M5"/>
  </mergeCells>
  <phoneticPr fontId="3" type="noConversion"/>
  <conditionalFormatting sqref="A10:A39 I10:J39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10:F10 L10:M39">
    <cfRule type="expression" dxfId="103" priority="141" stopIfTrue="1">
      <formula>OR(LEFT(#REF!,3)="TIR",LEFT(#REF!,2)="IR")</formula>
    </cfRule>
  </conditionalFormatting>
  <conditionalFormatting sqref="C10:D10 B11:F39">
    <cfRule type="expression" dxfId="102" priority="147" stopIfTrue="1">
      <formula>LEFT(#REF!,3)="TIR"</formula>
    </cfRule>
  </conditionalFormatting>
  <conditionalFormatting sqref="C10:E10">
    <cfRule type="expression" dxfId="101" priority="16" stopIfTrue="1">
      <formula>LEFT($IC10,3)="TIR"</formula>
    </cfRule>
  </conditionalFormatting>
  <conditionalFormatting sqref="M1:M4 G10:H39 K10:K39 M40:M55574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2"/>
  <sheetViews>
    <sheetView rightToLeft="1" zoomScale="80" workbookViewId="0"/>
  </sheetViews>
  <sheetFormatPr defaultColWidth="9.109375" defaultRowHeight="13.2" x14ac:dyDescent="0.25"/>
  <cols>
    <col min="1" max="1" width="33.88671875" style="10" bestFit="1" customWidth="1"/>
    <col min="2" max="2" width="15.8867187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7.5546875" style="60" customWidth="1"/>
    <col min="7" max="7" width="11.109375" style="60" customWidth="1"/>
    <col min="8" max="8" width="12.6640625" style="60" bestFit="1" customWidth="1"/>
    <col min="9" max="9" width="10.88671875" style="37" bestFit="1" customWidth="1"/>
    <col min="10" max="10" width="10.33203125" style="62" bestFit="1" customWidth="1"/>
    <col min="11" max="11" width="10.44140625" style="64" customWidth="1"/>
    <col min="12" max="12" width="22" style="64" customWidth="1"/>
    <col min="13" max="13" width="25.44140625" style="64" customWidth="1"/>
    <col min="14" max="14" width="20.6640625" style="64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63"/>
      <c r="M1" s="63"/>
      <c r="N1" s="63"/>
      <c r="O1" s="13"/>
      <c r="P1" s="13"/>
      <c r="Q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63"/>
      <c r="M2" s="63"/>
      <c r="N2" s="63"/>
      <c r="O2" s="13"/>
      <c r="P2" s="13"/>
      <c r="Q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63"/>
      <c r="M3" s="63"/>
      <c r="N3" s="63"/>
      <c r="O3" s="13"/>
      <c r="P3" s="13"/>
      <c r="Q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63"/>
      <c r="M4" s="63"/>
      <c r="N4" s="63"/>
      <c r="O4" s="13"/>
      <c r="P4" s="13"/>
      <c r="Q4" s="15"/>
    </row>
    <row r="5" spans="1:19" s="7" customFormat="1" ht="15.75" customHeight="1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3"/>
      <c r="P5" s="13"/>
      <c r="Q5" s="13"/>
      <c r="R5" s="13"/>
      <c r="S5" s="13"/>
    </row>
    <row r="6" spans="1:19" s="7" customFormat="1" x14ac:dyDescent="0.25">
      <c r="A6" s="225" t="s">
        <v>22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  <c r="O6" s="13"/>
      <c r="P6" s="13"/>
      <c r="Q6" s="13"/>
      <c r="R6" s="13"/>
      <c r="S6" s="13"/>
    </row>
    <row r="7" spans="1:19" s="7" customFormat="1" ht="30.75" customHeight="1" x14ac:dyDescent="0.25">
      <c r="A7" s="87" t="s">
        <v>157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6</v>
      </c>
      <c r="I7" s="205" t="s">
        <v>67</v>
      </c>
      <c r="J7" s="205" t="s">
        <v>68</v>
      </c>
      <c r="K7" s="205" t="s">
        <v>7</v>
      </c>
      <c r="L7" s="90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53"/>
      <c r="H8" s="30"/>
      <c r="I8" s="2" t="s">
        <v>133</v>
      </c>
      <c r="J8" s="49"/>
      <c r="K8" s="2" t="s">
        <v>135</v>
      </c>
      <c r="L8" s="56" t="s">
        <v>9</v>
      </c>
      <c r="M8" s="56" t="s">
        <v>9</v>
      </c>
      <c r="N8" s="55" t="s">
        <v>9</v>
      </c>
    </row>
    <row r="9" spans="1:19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3">
        <v>13</v>
      </c>
    </row>
    <row r="10" spans="1:19" s="119" customFormat="1" ht="12.75" customHeight="1" thickBot="1" x14ac:dyDescent="0.3">
      <c r="A10" s="100" t="s">
        <v>54</v>
      </c>
      <c r="B10" s="68"/>
      <c r="C10" s="68"/>
      <c r="D10" s="68"/>
      <c r="E10" s="68"/>
      <c r="F10" s="101"/>
      <c r="G10" s="101"/>
      <c r="H10" s="101"/>
      <c r="I10" s="104"/>
      <c r="J10" s="101"/>
      <c r="K10" s="103">
        <v>20858.924660799999</v>
      </c>
      <c r="L10" s="68"/>
      <c r="M10" s="68">
        <v>1</v>
      </c>
      <c r="N10" s="82">
        <v>3.8920376383458598E-2</v>
      </c>
    </row>
    <row r="11" spans="1:19" s="119" customFormat="1" x14ac:dyDescent="0.25">
      <c r="A11" s="92" t="s">
        <v>137</v>
      </c>
      <c r="B11" s="121" t="s">
        <v>251</v>
      </c>
      <c r="C11" s="121" t="s">
        <v>251</v>
      </c>
      <c r="D11" s="121" t="s">
        <v>251</v>
      </c>
      <c r="E11" s="137" t="s">
        <v>251</v>
      </c>
      <c r="F11" s="122" t="s">
        <v>251</v>
      </c>
      <c r="G11" s="122" t="s">
        <v>251</v>
      </c>
      <c r="H11" s="122" t="s">
        <v>251</v>
      </c>
      <c r="I11" s="133" t="s">
        <v>251</v>
      </c>
      <c r="J11" s="122" t="s">
        <v>251</v>
      </c>
      <c r="K11" s="123">
        <v>0</v>
      </c>
      <c r="L11" s="121" t="s">
        <v>251</v>
      </c>
      <c r="M11" s="121">
        <v>0</v>
      </c>
      <c r="N11" s="121">
        <v>0</v>
      </c>
    </row>
    <row r="12" spans="1:19" s="119" customFormat="1" x14ac:dyDescent="0.25">
      <c r="A12" s="93" t="s">
        <v>58</v>
      </c>
      <c r="B12" s="121" t="s">
        <v>251</v>
      </c>
      <c r="C12" s="121" t="s">
        <v>251</v>
      </c>
      <c r="D12" s="121" t="s">
        <v>251</v>
      </c>
      <c r="E12" s="137" t="s">
        <v>251</v>
      </c>
      <c r="F12" s="122" t="s">
        <v>251</v>
      </c>
      <c r="G12" s="122" t="s">
        <v>251</v>
      </c>
      <c r="H12" s="122" t="s">
        <v>251</v>
      </c>
      <c r="I12" s="135" t="s">
        <v>251</v>
      </c>
      <c r="J12" s="136" t="s">
        <v>251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3" t="s">
        <v>1798</v>
      </c>
      <c r="B13" s="121" t="s">
        <v>251</v>
      </c>
      <c r="C13" s="121" t="s">
        <v>251</v>
      </c>
      <c r="D13" s="121" t="s">
        <v>251</v>
      </c>
      <c r="E13" s="137" t="s">
        <v>251</v>
      </c>
      <c r="F13" s="122" t="s">
        <v>251</v>
      </c>
      <c r="G13" s="122" t="s">
        <v>251</v>
      </c>
      <c r="H13" s="122" t="s">
        <v>251</v>
      </c>
      <c r="I13" s="135" t="s">
        <v>251</v>
      </c>
      <c r="J13" s="136" t="s">
        <v>251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3" t="s">
        <v>59</v>
      </c>
      <c r="B14" s="121" t="s">
        <v>251</v>
      </c>
      <c r="C14" s="121" t="s">
        <v>251</v>
      </c>
      <c r="D14" s="121" t="s">
        <v>251</v>
      </c>
      <c r="E14" s="137" t="s">
        <v>251</v>
      </c>
      <c r="F14" s="122" t="s">
        <v>251</v>
      </c>
      <c r="G14" s="122" t="s">
        <v>251</v>
      </c>
      <c r="H14" s="122" t="s">
        <v>251</v>
      </c>
      <c r="I14" s="135" t="s">
        <v>251</v>
      </c>
      <c r="J14" s="136" t="s">
        <v>251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3" t="s">
        <v>141</v>
      </c>
      <c r="B15" s="121" t="s">
        <v>251</v>
      </c>
      <c r="C15" s="121" t="s">
        <v>251</v>
      </c>
      <c r="D15" s="121" t="s">
        <v>251</v>
      </c>
      <c r="E15" s="137" t="s">
        <v>251</v>
      </c>
      <c r="F15" s="122" t="s">
        <v>251</v>
      </c>
      <c r="G15" s="122" t="s">
        <v>251</v>
      </c>
      <c r="H15" s="122" t="s">
        <v>251</v>
      </c>
      <c r="I15" s="135" t="s">
        <v>251</v>
      </c>
      <c r="J15" s="136" t="s">
        <v>251</v>
      </c>
      <c r="K15" s="124">
        <v>0</v>
      </c>
      <c r="L15" s="137"/>
      <c r="M15" s="137">
        <v>0</v>
      </c>
      <c r="N15" s="121">
        <v>0</v>
      </c>
    </row>
    <row r="16" spans="1:19" s="119" customFormat="1" x14ac:dyDescent="0.25">
      <c r="A16" s="93" t="s">
        <v>498</v>
      </c>
      <c r="B16" s="121" t="s">
        <v>251</v>
      </c>
      <c r="C16" s="121" t="s">
        <v>251</v>
      </c>
      <c r="D16" s="121" t="s">
        <v>251</v>
      </c>
      <c r="E16" s="137" t="s">
        <v>251</v>
      </c>
      <c r="F16" s="122" t="s">
        <v>251</v>
      </c>
      <c r="G16" s="122" t="s">
        <v>251</v>
      </c>
      <c r="H16" s="122" t="s">
        <v>251</v>
      </c>
      <c r="I16" s="135" t="s">
        <v>251</v>
      </c>
      <c r="J16" s="136" t="s">
        <v>251</v>
      </c>
      <c r="K16" s="124">
        <v>20858.9246604</v>
      </c>
      <c r="L16" s="137"/>
      <c r="M16" s="137">
        <v>0.99999999998082356</v>
      </c>
      <c r="N16" s="121">
        <v>0</v>
      </c>
    </row>
    <row r="17" spans="1:16" s="119" customFormat="1" x14ac:dyDescent="0.25">
      <c r="A17" s="93" t="s">
        <v>58</v>
      </c>
      <c r="B17" s="121" t="s">
        <v>251</v>
      </c>
      <c r="C17" s="121" t="s">
        <v>251</v>
      </c>
      <c r="D17" s="121" t="s">
        <v>251</v>
      </c>
      <c r="E17" s="137" t="s">
        <v>251</v>
      </c>
      <c r="F17" s="122" t="s">
        <v>251</v>
      </c>
      <c r="G17" s="122" t="s">
        <v>251</v>
      </c>
      <c r="H17" s="122" t="s">
        <v>251</v>
      </c>
      <c r="I17" s="135" t="s">
        <v>251</v>
      </c>
      <c r="J17" s="136" t="s">
        <v>251</v>
      </c>
      <c r="K17" s="124">
        <v>13581.5240101</v>
      </c>
      <c r="L17" s="137"/>
      <c r="M17" s="137">
        <v>0.65111333546468209</v>
      </c>
      <c r="N17" s="121">
        <v>2.5341576084574571E-2</v>
      </c>
    </row>
    <row r="18" spans="1:16" x14ac:dyDescent="0.25">
      <c r="A18" s="17" t="s">
        <v>1815</v>
      </c>
      <c r="B18" s="33" t="s">
        <v>1816</v>
      </c>
      <c r="C18" s="33" t="s">
        <v>218</v>
      </c>
      <c r="D18" s="217" t="s">
        <v>3040</v>
      </c>
      <c r="E18" s="25" t="s">
        <v>1793</v>
      </c>
      <c r="F18" s="67" t="s">
        <v>533</v>
      </c>
      <c r="G18" s="67" t="s">
        <v>533</v>
      </c>
      <c r="H18" s="67" t="s">
        <v>125</v>
      </c>
      <c r="I18" s="70">
        <v>210.96333806259196</v>
      </c>
      <c r="J18" s="61">
        <v>151187.88400000002</v>
      </c>
      <c r="K18" s="85">
        <v>1219.6686499999998</v>
      </c>
      <c r="L18" s="25">
        <v>1.5872316617276548E-7</v>
      </c>
      <c r="M18" s="25">
        <v>5.8472268817007282E-2</v>
      </c>
      <c r="N18" s="33">
        <v>2.2757627103526927E-3</v>
      </c>
      <c r="O18" s="15"/>
      <c r="P18" s="15"/>
    </row>
    <row r="19" spans="1:16" x14ac:dyDescent="0.25">
      <c r="A19" s="17" t="s">
        <v>1813</v>
      </c>
      <c r="B19" s="33" t="s">
        <v>1814</v>
      </c>
      <c r="C19" s="33" t="s">
        <v>218</v>
      </c>
      <c r="D19" s="217" t="s">
        <v>3041</v>
      </c>
      <c r="E19" s="25" t="s">
        <v>1793</v>
      </c>
      <c r="F19" s="67" t="s">
        <v>1541</v>
      </c>
      <c r="G19" s="67" t="s">
        <v>266</v>
      </c>
      <c r="H19" s="67" t="s">
        <v>125</v>
      </c>
      <c r="I19" s="70">
        <v>300.03674746679746</v>
      </c>
      <c r="J19" s="61">
        <v>161214</v>
      </c>
      <c r="K19" s="85">
        <v>1849.67355</v>
      </c>
      <c r="L19" s="25">
        <v>1.7378886744475781E-4</v>
      </c>
      <c r="M19" s="25">
        <v>8.8675402978758339E-2</v>
      </c>
      <c r="N19" s="33">
        <v>3.4512800598881402E-3</v>
      </c>
      <c r="O19" s="15"/>
      <c r="P19" s="15"/>
    </row>
    <row r="20" spans="1:16" x14ac:dyDescent="0.25">
      <c r="A20" s="17" t="s">
        <v>1803</v>
      </c>
      <c r="B20" s="33" t="s">
        <v>1804</v>
      </c>
      <c r="C20" s="33" t="s">
        <v>218</v>
      </c>
      <c r="D20" s="217" t="s">
        <v>3042</v>
      </c>
      <c r="E20" s="25" t="s">
        <v>1793</v>
      </c>
      <c r="F20" s="67" t="s">
        <v>533</v>
      </c>
      <c r="G20" s="67" t="s">
        <v>533</v>
      </c>
      <c r="H20" s="67" t="s">
        <v>125</v>
      </c>
      <c r="I20" s="70">
        <v>28058.123962324731</v>
      </c>
      <c r="J20" s="61">
        <v>1523</v>
      </c>
      <c r="K20" s="85">
        <v>1634.09167</v>
      </c>
      <c r="L20" s="25">
        <v>1.5854976486489293E-4</v>
      </c>
      <c r="M20" s="25">
        <v>7.8340168372674296E-2</v>
      </c>
      <c r="N20" s="33">
        <v>3.0490288390080029E-3</v>
      </c>
      <c r="O20" s="15"/>
      <c r="P20" s="15"/>
    </row>
    <row r="21" spans="1:16" x14ac:dyDescent="0.25">
      <c r="A21" s="17" t="s">
        <v>1809</v>
      </c>
      <c r="B21" s="33" t="s">
        <v>1810</v>
      </c>
      <c r="C21" s="33" t="s">
        <v>218</v>
      </c>
      <c r="D21" s="217" t="s">
        <v>3043</v>
      </c>
      <c r="E21" s="25" t="s">
        <v>1793</v>
      </c>
      <c r="F21" s="67" t="s">
        <v>533</v>
      </c>
      <c r="G21" s="67" t="s">
        <v>533</v>
      </c>
      <c r="H21" s="67" t="s">
        <v>126</v>
      </c>
      <c r="I21" s="70">
        <v>8663.5610831037757</v>
      </c>
      <c r="J21" s="61">
        <v>2212</v>
      </c>
      <c r="K21" s="85">
        <v>776.72785999999996</v>
      </c>
      <c r="L21" s="25">
        <v>6.4155018663612112E-4</v>
      </c>
      <c r="M21" s="25">
        <v>3.7237195715064744E-2</v>
      </c>
      <c r="N21" s="33">
        <v>1.4492856726948315E-3</v>
      </c>
      <c r="O21" s="15"/>
      <c r="P21" s="15"/>
    </row>
    <row r="22" spans="1:16" x14ac:dyDescent="0.25">
      <c r="A22" s="17" t="s">
        <v>1817</v>
      </c>
      <c r="B22" s="33" t="s">
        <v>1818</v>
      </c>
      <c r="C22" s="33" t="s">
        <v>218</v>
      </c>
      <c r="D22" s="217" t="s">
        <v>3044</v>
      </c>
      <c r="E22" s="25" t="s">
        <v>1793</v>
      </c>
      <c r="F22" s="67" t="s">
        <v>533</v>
      </c>
      <c r="G22" s="67" t="s">
        <v>533</v>
      </c>
      <c r="H22" s="67" t="s">
        <v>126</v>
      </c>
      <c r="I22" s="70">
        <v>2461.2389440635729</v>
      </c>
      <c r="J22" s="61">
        <v>11984</v>
      </c>
      <c r="K22" s="85">
        <v>1195.4816000000001</v>
      </c>
      <c r="L22" s="25">
        <v>3.3191472252392165E-4</v>
      </c>
      <c r="M22" s="25">
        <v>5.7312714794289399E-2</v>
      </c>
      <c r="N22" s="33">
        <v>2.2306324313515593E-3</v>
      </c>
      <c r="O22" s="15"/>
      <c r="P22" s="15"/>
    </row>
    <row r="23" spans="1:16" x14ac:dyDescent="0.25">
      <c r="A23" s="17" t="s">
        <v>1811</v>
      </c>
      <c r="B23" s="33" t="s">
        <v>1812</v>
      </c>
      <c r="C23" s="33" t="s">
        <v>218</v>
      </c>
      <c r="D23" s="217" t="s">
        <v>3045</v>
      </c>
      <c r="E23" s="25" t="s">
        <v>1793</v>
      </c>
      <c r="F23" s="67" t="s">
        <v>533</v>
      </c>
      <c r="G23" s="67" t="s">
        <v>533</v>
      </c>
      <c r="H23" s="67" t="s">
        <v>125</v>
      </c>
      <c r="I23" s="70">
        <v>1701.7709270382418</v>
      </c>
      <c r="J23" s="61">
        <v>16871</v>
      </c>
      <c r="K23" s="85">
        <v>1097.89248</v>
      </c>
      <c r="L23" s="25">
        <v>7.4538661055435269E-5</v>
      </c>
      <c r="M23" s="25">
        <v>5.2634184065262962E-2</v>
      </c>
      <c r="N23" s="33">
        <v>2.0485422544562737E-3</v>
      </c>
      <c r="O23" s="15"/>
      <c r="P23" s="15"/>
    </row>
    <row r="24" spans="1:16" x14ac:dyDescent="0.25">
      <c r="A24" s="17" t="s">
        <v>1799</v>
      </c>
      <c r="B24" s="33" t="s">
        <v>1800</v>
      </c>
      <c r="C24" s="33" t="s">
        <v>218</v>
      </c>
      <c r="D24" s="217" t="s">
        <v>3046</v>
      </c>
      <c r="E24" s="25" t="s">
        <v>1793</v>
      </c>
      <c r="F24" s="67" t="s">
        <v>533</v>
      </c>
      <c r="G24" s="67" t="s">
        <v>533</v>
      </c>
      <c r="H24" s="67" t="s">
        <v>125</v>
      </c>
      <c r="I24" s="70">
        <v>3773.7866847623518</v>
      </c>
      <c r="J24" s="61">
        <v>6275</v>
      </c>
      <c r="K24" s="85">
        <v>905.54276000000004</v>
      </c>
      <c r="L24" s="25">
        <v>5.8612104101700818E-5</v>
      </c>
      <c r="M24" s="25">
        <v>4.341272499544422E-2</v>
      </c>
      <c r="N24" s="33">
        <v>1.6896395966542702E-3</v>
      </c>
      <c r="O24" s="15"/>
      <c r="P24" s="15"/>
    </row>
    <row r="25" spans="1:16" x14ac:dyDescent="0.25">
      <c r="A25" s="17" t="s">
        <v>1821</v>
      </c>
      <c r="B25" s="33" t="s">
        <v>1822</v>
      </c>
      <c r="C25" s="33" t="s">
        <v>218</v>
      </c>
      <c r="D25" s="217" t="s">
        <v>3047</v>
      </c>
      <c r="E25" s="25" t="s">
        <v>1793</v>
      </c>
      <c r="F25" s="67" t="s">
        <v>533</v>
      </c>
      <c r="G25" s="67" t="s">
        <v>533</v>
      </c>
      <c r="H25" s="67" t="s">
        <v>125</v>
      </c>
      <c r="I25" s="70">
        <v>285.9725249292913</v>
      </c>
      <c r="J25" s="61">
        <v>9727</v>
      </c>
      <c r="K25" s="85">
        <v>106.37048</v>
      </c>
      <c r="L25" s="25">
        <v>2.4270316242839467E-4</v>
      </c>
      <c r="M25" s="25">
        <v>5.0995188740434513E-3</v>
      </c>
      <c r="N25" s="33">
        <v>1.9847519395232215E-4</v>
      </c>
      <c r="O25" s="15"/>
      <c r="P25" s="15"/>
    </row>
    <row r="26" spans="1:16" x14ac:dyDescent="0.25">
      <c r="A26" s="17" t="s">
        <v>1805</v>
      </c>
      <c r="B26" s="33" t="s">
        <v>1806</v>
      </c>
      <c r="C26" s="33" t="s">
        <v>218</v>
      </c>
      <c r="D26" s="217" t="s">
        <v>3048</v>
      </c>
      <c r="E26" s="25" t="s">
        <v>1793</v>
      </c>
      <c r="F26" s="67" t="s">
        <v>533</v>
      </c>
      <c r="G26" s="67" t="s">
        <v>533</v>
      </c>
      <c r="H26" s="67" t="s">
        <v>125</v>
      </c>
      <c r="I26" s="70">
        <v>1597.2268728427796</v>
      </c>
      <c r="J26" s="61">
        <v>34912.990000000005</v>
      </c>
      <c r="K26" s="85">
        <v>2132.4140499999999</v>
      </c>
      <c r="L26" s="25">
        <v>1.9141727206726812E-4</v>
      </c>
      <c r="M26" s="25">
        <v>0.10223029636841383</v>
      </c>
      <c r="N26" s="33">
        <v>3.9788416124511873E-3</v>
      </c>
      <c r="O26" s="15"/>
      <c r="P26" s="15"/>
    </row>
    <row r="27" spans="1:16" x14ac:dyDescent="0.25">
      <c r="A27" s="17" t="s">
        <v>1801</v>
      </c>
      <c r="B27" s="33" t="s">
        <v>1802</v>
      </c>
      <c r="C27" s="33" t="s">
        <v>218</v>
      </c>
      <c r="D27" s="217" t="s">
        <v>3049</v>
      </c>
      <c r="E27" s="25" t="s">
        <v>1793</v>
      </c>
      <c r="F27" s="67" t="s">
        <v>533</v>
      </c>
      <c r="G27" s="67" t="s">
        <v>533</v>
      </c>
      <c r="H27" s="67" t="s">
        <v>125</v>
      </c>
      <c r="I27" s="70">
        <v>1706.4590012174103</v>
      </c>
      <c r="J27" s="61">
        <v>13296.8</v>
      </c>
      <c r="K27" s="85">
        <v>867.68257999999992</v>
      </c>
      <c r="L27" s="25">
        <v>1.9820158964832169E-4</v>
      </c>
      <c r="M27" s="25">
        <v>4.1597665944430422E-2</v>
      </c>
      <c r="N27" s="33">
        <v>1.6189968152306097E-3</v>
      </c>
      <c r="O27" s="15"/>
      <c r="P27" s="15"/>
    </row>
    <row r="28" spans="1:16" x14ac:dyDescent="0.25">
      <c r="A28" s="17" t="s">
        <v>1819</v>
      </c>
      <c r="B28" s="33" t="s">
        <v>1820</v>
      </c>
      <c r="C28" s="33" t="s">
        <v>218</v>
      </c>
      <c r="D28" s="217" t="s">
        <v>3050</v>
      </c>
      <c r="E28" s="25" t="s">
        <v>1793</v>
      </c>
      <c r="F28" s="67" t="s">
        <v>533</v>
      </c>
      <c r="G28" s="67" t="s">
        <v>533</v>
      </c>
      <c r="H28" s="67" t="s">
        <v>125</v>
      </c>
      <c r="I28" s="70">
        <v>6868.0286724821599</v>
      </c>
      <c r="J28" s="61">
        <v>4575</v>
      </c>
      <c r="K28" s="85">
        <v>1201.5478799999999</v>
      </c>
      <c r="L28" s="25">
        <v>8.8041731407542068E-5</v>
      </c>
      <c r="M28" s="25">
        <v>5.7603538990581744E-2</v>
      </c>
      <c r="N28" s="33">
        <v>2.2419514185326745E-3</v>
      </c>
      <c r="O28" s="15"/>
      <c r="P28" s="15"/>
    </row>
    <row r="29" spans="1:16" x14ac:dyDescent="0.25">
      <c r="A29" s="17" t="s">
        <v>1807</v>
      </c>
      <c r="B29" s="33" t="s">
        <v>1808</v>
      </c>
      <c r="C29" s="33" t="s">
        <v>218</v>
      </c>
      <c r="D29" s="217" t="s">
        <v>3051</v>
      </c>
      <c r="E29" s="25" t="s">
        <v>1793</v>
      </c>
      <c r="F29" s="67" t="s">
        <v>533</v>
      </c>
      <c r="G29" s="67" t="s">
        <v>533</v>
      </c>
      <c r="H29" s="67" t="s">
        <v>126</v>
      </c>
      <c r="I29" s="70">
        <v>928.23868747540462</v>
      </c>
      <c r="J29" s="61">
        <v>15799.89</v>
      </c>
      <c r="K29" s="85">
        <v>594.43044999999995</v>
      </c>
      <c r="L29" s="25">
        <v>1.2766758181455146E-4</v>
      </c>
      <c r="M29" s="25">
        <v>2.8497655543917279E-2</v>
      </c>
      <c r="N29" s="33">
        <v>1.1091394798154162E-3</v>
      </c>
      <c r="O29" s="15"/>
      <c r="P29" s="15"/>
    </row>
    <row r="30" spans="1:16" s="119" customFormat="1" x14ac:dyDescent="0.25">
      <c r="A30" s="93" t="s">
        <v>1798</v>
      </c>
      <c r="B30" s="121" t="s">
        <v>251</v>
      </c>
      <c r="C30" s="121" t="s">
        <v>251</v>
      </c>
      <c r="D30" s="121" t="s">
        <v>251</v>
      </c>
      <c r="E30" s="137" t="s">
        <v>251</v>
      </c>
      <c r="F30" s="122" t="s">
        <v>251</v>
      </c>
      <c r="G30" s="122" t="s">
        <v>251</v>
      </c>
      <c r="H30" s="122" t="s">
        <v>251</v>
      </c>
      <c r="I30" s="135" t="s">
        <v>251</v>
      </c>
      <c r="J30" s="136" t="s">
        <v>251</v>
      </c>
      <c r="K30" s="124">
        <v>0</v>
      </c>
      <c r="L30" s="137"/>
      <c r="M30" s="137">
        <v>0</v>
      </c>
      <c r="N30" s="121">
        <v>0</v>
      </c>
    </row>
    <row r="31" spans="1:16" s="119" customFormat="1" x14ac:dyDescent="0.25">
      <c r="A31" s="93" t="s">
        <v>59</v>
      </c>
      <c r="B31" s="121" t="s">
        <v>251</v>
      </c>
      <c r="C31" s="121" t="s">
        <v>251</v>
      </c>
      <c r="D31" s="121" t="s">
        <v>251</v>
      </c>
      <c r="E31" s="137" t="s">
        <v>251</v>
      </c>
      <c r="F31" s="122" t="s">
        <v>251</v>
      </c>
      <c r="G31" s="122" t="s">
        <v>251</v>
      </c>
      <c r="H31" s="122" t="s">
        <v>251</v>
      </c>
      <c r="I31" s="135" t="s">
        <v>251</v>
      </c>
      <c r="J31" s="136" t="s">
        <v>251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3" t="s">
        <v>141</v>
      </c>
      <c r="B32" s="121" t="s">
        <v>251</v>
      </c>
      <c r="C32" s="121" t="s">
        <v>251</v>
      </c>
      <c r="D32" s="121" t="s">
        <v>251</v>
      </c>
      <c r="E32" s="137" t="s">
        <v>251</v>
      </c>
      <c r="F32" s="122" t="s">
        <v>251</v>
      </c>
      <c r="G32" s="122" t="s">
        <v>251</v>
      </c>
      <c r="H32" s="122" t="s">
        <v>251</v>
      </c>
      <c r="I32" s="135" t="s">
        <v>251</v>
      </c>
      <c r="J32" s="136" t="s">
        <v>251</v>
      </c>
      <c r="K32" s="124">
        <v>7277.4006501000003</v>
      </c>
      <c r="L32" s="137"/>
      <c r="M32" s="137">
        <v>0.34888666450655331</v>
      </c>
      <c r="N32" s="121">
        <v>0</v>
      </c>
    </row>
    <row r="33" spans="1:16" x14ac:dyDescent="0.25">
      <c r="A33" s="17" t="s">
        <v>1823</v>
      </c>
      <c r="B33" s="33" t="s">
        <v>1824</v>
      </c>
      <c r="C33" s="33" t="s">
        <v>218</v>
      </c>
      <c r="D33" s="33" t="s">
        <v>1628</v>
      </c>
      <c r="E33" s="25" t="s">
        <v>188</v>
      </c>
      <c r="F33" s="67" t="s">
        <v>509</v>
      </c>
      <c r="G33" s="67" t="s">
        <v>266</v>
      </c>
      <c r="H33" s="67" t="s">
        <v>125</v>
      </c>
      <c r="I33" s="70">
        <v>755308.70387346589</v>
      </c>
      <c r="J33" s="61">
        <v>100</v>
      </c>
      <c r="K33" s="85">
        <v>2888.3004799999999</v>
      </c>
      <c r="L33" s="25">
        <v>0</v>
      </c>
      <c r="M33" s="25">
        <v>0.13846833079693502</v>
      </c>
      <c r="N33" s="33">
        <v>5.3892395518059626E-3</v>
      </c>
      <c r="O33" s="15"/>
      <c r="P33" s="15"/>
    </row>
    <row r="34" spans="1:16" x14ac:dyDescent="0.25">
      <c r="A34" s="17" t="s">
        <v>1825</v>
      </c>
      <c r="B34" s="33" t="s">
        <v>1826</v>
      </c>
      <c r="C34" s="33" t="s">
        <v>218</v>
      </c>
      <c r="D34" s="33" t="s">
        <v>1628</v>
      </c>
      <c r="E34" s="25" t="s">
        <v>188</v>
      </c>
      <c r="F34" s="67" t="s">
        <v>509</v>
      </c>
      <c r="G34" s="67" t="s">
        <v>266</v>
      </c>
      <c r="H34" s="67" t="s">
        <v>125</v>
      </c>
      <c r="I34" s="70">
        <v>566481.52797542058</v>
      </c>
      <c r="J34" s="61">
        <v>100</v>
      </c>
      <c r="K34" s="85">
        <v>2166.2253599999999</v>
      </c>
      <c r="L34" s="25">
        <v>0</v>
      </c>
      <c r="M34" s="25">
        <v>0.10385124809770127</v>
      </c>
      <c r="N34" s="33">
        <v>4.0419296638544719E-3</v>
      </c>
      <c r="O34" s="15"/>
      <c r="P34" s="15"/>
    </row>
    <row r="35" spans="1:16" x14ac:dyDescent="0.25">
      <c r="A35" s="17" t="s">
        <v>1827</v>
      </c>
      <c r="B35" s="33" t="s">
        <v>1828</v>
      </c>
      <c r="C35" s="33" t="s">
        <v>218</v>
      </c>
      <c r="D35" s="217" t="s">
        <v>3052</v>
      </c>
      <c r="E35" s="25" t="s">
        <v>188</v>
      </c>
      <c r="F35" s="67" t="s">
        <v>509</v>
      </c>
      <c r="G35" s="67" t="s">
        <v>266</v>
      </c>
      <c r="H35" s="67" t="s">
        <v>125</v>
      </c>
      <c r="I35" s="70">
        <v>566481.51928808133</v>
      </c>
      <c r="J35" s="61">
        <v>100</v>
      </c>
      <c r="K35" s="85">
        <v>2166.22532</v>
      </c>
      <c r="L35" s="25">
        <v>0</v>
      </c>
      <c r="M35" s="25">
        <v>0.10385124618005687</v>
      </c>
      <c r="N35" s="33">
        <v>4.0419295892190309E-3</v>
      </c>
      <c r="O35" s="15"/>
      <c r="P35" s="15"/>
    </row>
    <row r="36" spans="1:16" x14ac:dyDescent="0.25">
      <c r="A36" s="17" t="s">
        <v>1829</v>
      </c>
      <c r="B36" s="33" t="s">
        <v>1830</v>
      </c>
      <c r="C36" s="33" t="s">
        <v>218</v>
      </c>
      <c r="D36" s="217" t="s">
        <v>3052</v>
      </c>
      <c r="E36" s="25" t="s">
        <v>188</v>
      </c>
      <c r="F36" s="67" t="s">
        <v>393</v>
      </c>
      <c r="G36" s="67" t="s">
        <v>266</v>
      </c>
      <c r="H36" s="67" t="s">
        <v>126</v>
      </c>
      <c r="I36" s="70">
        <v>1.143608815266415</v>
      </c>
      <c r="J36" s="61">
        <v>988410</v>
      </c>
      <c r="K36" s="85">
        <v>45.814389999999996</v>
      </c>
      <c r="L36" s="25">
        <v>6.3129548456435648E-7</v>
      </c>
      <c r="M36" s="25">
        <v>2.1963927069595583E-3</v>
      </c>
      <c r="N36" s="33">
        <v>8.5484430840749494E-5</v>
      </c>
      <c r="O36" s="15"/>
      <c r="P36" s="15"/>
    </row>
    <row r="37" spans="1:16" x14ac:dyDescent="0.25">
      <c r="A37" s="17" t="s">
        <v>1831</v>
      </c>
      <c r="B37" s="33" t="s">
        <v>1832</v>
      </c>
      <c r="C37" s="33" t="s">
        <v>218</v>
      </c>
      <c r="D37" s="33" t="s">
        <v>1628</v>
      </c>
      <c r="E37" s="25" t="s">
        <v>188</v>
      </c>
      <c r="F37" s="67" t="s">
        <v>1671</v>
      </c>
      <c r="G37" s="67" t="s">
        <v>397</v>
      </c>
      <c r="H37" s="67" t="s">
        <v>2</v>
      </c>
      <c r="I37" s="70">
        <v>2316.2306683247098</v>
      </c>
      <c r="J37" s="61">
        <v>100</v>
      </c>
      <c r="K37" s="85">
        <v>10.835100000000001</v>
      </c>
      <c r="L37" s="25">
        <v>0</v>
      </c>
      <c r="M37" s="25">
        <v>5.1944672010644497E-4</v>
      </c>
      <c r="N37" s="33">
        <v>2.0217061857695913E-5</v>
      </c>
      <c r="O37" s="15"/>
      <c r="P37" s="15"/>
    </row>
    <row r="38" spans="1:16" s="119" customFormat="1" x14ac:dyDescent="0.25">
      <c r="A38" s="79" t="s">
        <v>242</v>
      </c>
      <c r="B38" s="125"/>
      <c r="C38" s="125"/>
      <c r="D38" s="125"/>
      <c r="E38" s="125"/>
      <c r="F38" s="126"/>
      <c r="G38" s="126"/>
      <c r="H38" s="126"/>
      <c r="I38" s="127"/>
      <c r="J38" s="128"/>
      <c r="K38" s="129"/>
      <c r="L38" s="129"/>
      <c r="M38" s="129"/>
      <c r="N38" s="129"/>
      <c r="O38" s="130"/>
      <c r="P38" s="130"/>
    </row>
    <row r="39" spans="1:16" s="119" customFormat="1" x14ac:dyDescent="0.25">
      <c r="A39" s="79" t="s">
        <v>243</v>
      </c>
      <c r="B39" s="125"/>
      <c r="C39" s="125"/>
      <c r="D39" s="125"/>
      <c r="E39" s="125"/>
      <c r="F39" s="126"/>
      <c r="G39" s="126"/>
      <c r="H39" s="126"/>
      <c r="I39" s="127"/>
      <c r="J39" s="128"/>
      <c r="K39" s="129"/>
      <c r="L39" s="129"/>
      <c r="M39" s="129"/>
      <c r="N39" s="129"/>
      <c r="O39" s="130"/>
      <c r="P39" s="130"/>
    </row>
    <row r="40" spans="1:16" s="119" customFormat="1" x14ac:dyDescent="0.25">
      <c r="A40" s="79" t="s">
        <v>244</v>
      </c>
      <c r="B40" s="125"/>
      <c r="C40" s="125"/>
      <c r="D40" s="125"/>
      <c r="E40" s="125"/>
      <c r="F40" s="126"/>
      <c r="G40" s="126"/>
      <c r="H40" s="126"/>
      <c r="I40" s="127"/>
      <c r="J40" s="128"/>
      <c r="K40" s="129"/>
      <c r="L40" s="129"/>
      <c r="M40" s="129"/>
      <c r="N40" s="129"/>
      <c r="O40" s="130"/>
      <c r="P40" s="130"/>
    </row>
    <row r="41" spans="1:16" s="119" customFormat="1" x14ac:dyDescent="0.25">
      <c r="A41" s="79" t="s">
        <v>245</v>
      </c>
      <c r="B41" s="125"/>
      <c r="C41" s="125"/>
      <c r="D41" s="125"/>
      <c r="E41" s="125"/>
      <c r="F41" s="126"/>
      <c r="G41" s="126"/>
      <c r="H41" s="126"/>
      <c r="I41" s="127"/>
      <c r="J41" s="128"/>
      <c r="K41" s="129"/>
      <c r="L41" s="129"/>
      <c r="M41" s="129"/>
      <c r="N41" s="129"/>
      <c r="O41" s="130"/>
      <c r="P41" s="130"/>
    </row>
    <row r="42" spans="1:16" s="119" customFormat="1" x14ac:dyDescent="0.25">
      <c r="A42" s="79" t="s">
        <v>246</v>
      </c>
      <c r="B42" s="125"/>
      <c r="C42" s="125"/>
      <c r="D42" s="125"/>
      <c r="E42" s="125"/>
      <c r="F42" s="126"/>
      <c r="G42" s="126"/>
      <c r="H42" s="126"/>
      <c r="I42" s="127"/>
      <c r="J42" s="128"/>
      <c r="K42" s="129"/>
      <c r="L42" s="129"/>
      <c r="M42" s="129"/>
      <c r="N42" s="129"/>
      <c r="O42" s="130"/>
      <c r="P42" s="130"/>
    </row>
  </sheetData>
  <mergeCells count="2">
    <mergeCell ref="A6:N6"/>
    <mergeCell ref="A5:N5"/>
  </mergeCells>
  <phoneticPr fontId="3" type="noConversion"/>
  <conditionalFormatting sqref="A10:A37 K10:K37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10:H37 M10:N37">
    <cfRule type="expression" dxfId="97" priority="163" stopIfTrue="1">
      <formula>OR(LEFT(#REF!,3)="TIR",LEFT(#REF!,2)="IR")</formula>
    </cfRule>
  </conditionalFormatting>
  <conditionalFormatting sqref="C10:D37">
    <cfRule type="expression" dxfId="96" priority="9" stopIfTrue="1">
      <formula>LEFT($IB10,3)="TIR"</formula>
    </cfRule>
    <cfRule type="expression" dxfId="95" priority="169" stopIfTrue="1">
      <formula>LEFT(#REF!,3)="TIR"</formula>
    </cfRule>
  </conditionalFormatting>
  <conditionalFormatting sqref="J1:J4 I10:J37 L10:L37 J38:J55572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workbookViewId="0"/>
  </sheetViews>
  <sheetFormatPr defaultColWidth="9.109375" defaultRowHeight="13.2" x14ac:dyDescent="0.25"/>
  <cols>
    <col min="1" max="1" width="22" style="10" customWidth="1"/>
    <col min="2" max="2" width="12.6640625" style="9" bestFit="1" customWidth="1"/>
    <col min="3" max="3" width="11.6640625" style="9" customWidth="1"/>
    <col min="4" max="4" width="11.109375" style="9" customWidth="1"/>
    <col min="5" max="5" width="10.6640625" style="60" customWidth="1"/>
    <col min="6" max="6" width="10.109375" style="60" customWidth="1"/>
    <col min="7" max="7" width="8.5546875" style="60" bestFit="1" customWidth="1"/>
    <col min="8" max="8" width="9.88671875" style="37" customWidth="1"/>
    <col min="9" max="9" width="20.88671875" style="62" customWidth="1"/>
    <col min="10" max="10" width="24" style="62" customWidth="1"/>
    <col min="11" max="11" width="19.664062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30"/>
      <c r="K5" s="231"/>
      <c r="L5" s="14"/>
      <c r="M5" s="14"/>
      <c r="N5" s="13"/>
      <c r="O5" s="13"/>
      <c r="P5" s="15"/>
    </row>
    <row r="6" spans="1:16" s="7" customFormat="1" x14ac:dyDescent="0.25">
      <c r="A6" s="225" t="s">
        <v>23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49" t="s">
        <v>9</v>
      </c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9" customFormat="1" ht="12.75" customHeight="1" thickBot="1" x14ac:dyDescent="0.3">
      <c r="A10" s="149" t="s">
        <v>55</v>
      </c>
      <c r="B10" s="71"/>
      <c r="C10" s="71"/>
      <c r="D10" s="71"/>
      <c r="E10" s="150"/>
      <c r="F10" s="155"/>
      <c r="G10" s="150"/>
      <c r="H10" s="153">
        <v>12.662240199999999</v>
      </c>
      <c r="I10" s="71"/>
      <c r="J10" s="84">
        <v>1</v>
      </c>
      <c r="K10" s="83">
        <v>2.3626297254331186E-5</v>
      </c>
    </row>
    <row r="11" spans="1:16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3" t="s">
        <v>251</v>
      </c>
      <c r="G11" s="122" t="s">
        <v>251</v>
      </c>
      <c r="H11" s="123">
        <v>12.662240099999998</v>
      </c>
      <c r="I11" s="121" t="s">
        <v>251</v>
      </c>
      <c r="J11" s="121">
        <v>0.99999999210250323</v>
      </c>
      <c r="K11" s="121">
        <v>2.3626297067742578E-5</v>
      </c>
    </row>
    <row r="12" spans="1:16" s="119" customFormat="1" x14ac:dyDescent="0.25">
      <c r="A12" s="93" t="s">
        <v>1833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5" t="s">
        <v>251</v>
      </c>
      <c r="G12" s="122" t="s">
        <v>251</v>
      </c>
      <c r="H12" s="124">
        <v>12.662240099999998</v>
      </c>
      <c r="I12" s="137"/>
      <c r="J12" s="121">
        <v>0.99999999210250323</v>
      </c>
      <c r="K12" s="121">
        <v>2.3626297067742578E-5</v>
      </c>
    </row>
    <row r="13" spans="1:16" x14ac:dyDescent="0.25">
      <c r="A13" s="17" t="s">
        <v>1834</v>
      </c>
      <c r="B13" s="117" t="s">
        <v>1835</v>
      </c>
      <c r="C13" s="117" t="s">
        <v>410</v>
      </c>
      <c r="D13" s="117" t="s">
        <v>225</v>
      </c>
      <c r="E13" s="117" t="s">
        <v>257</v>
      </c>
      <c r="F13" s="70">
        <v>4595.9288890034222</v>
      </c>
      <c r="G13" s="67">
        <v>263.39999999999998</v>
      </c>
      <c r="H13" s="85">
        <v>12.10568</v>
      </c>
      <c r="I13" s="25">
        <v>4.2515530888098262E-4</v>
      </c>
      <c r="J13" s="33">
        <v>0.95604567665680518</v>
      </c>
      <c r="K13" s="33">
        <v>2.2587819345411877E-5</v>
      </c>
      <c r="L13" s="15"/>
      <c r="M13" s="15"/>
      <c r="N13" s="15"/>
      <c r="O13" s="15"/>
    </row>
    <row r="14" spans="1:16" x14ac:dyDescent="0.25">
      <c r="A14" s="17" t="s">
        <v>1836</v>
      </c>
      <c r="B14" s="117" t="s">
        <v>1837</v>
      </c>
      <c r="C14" s="117" t="s">
        <v>410</v>
      </c>
      <c r="D14" s="117" t="s">
        <v>225</v>
      </c>
      <c r="E14" s="117" t="s">
        <v>257</v>
      </c>
      <c r="F14" s="70">
        <v>510.13342751605393</v>
      </c>
      <c r="G14" s="67">
        <v>109.1</v>
      </c>
      <c r="H14" s="85">
        <v>0.55655999999999994</v>
      </c>
      <c r="I14" s="25">
        <v>5.2054431379189179E-5</v>
      </c>
      <c r="J14" s="33">
        <v>4.3954307548201454E-2</v>
      </c>
      <c r="K14" s="33">
        <v>1.0384775357421006E-6</v>
      </c>
      <c r="L14" s="15"/>
      <c r="M14" s="15"/>
      <c r="N14" s="15"/>
      <c r="O14" s="15"/>
    </row>
    <row r="15" spans="1:16" s="119" customFormat="1" x14ac:dyDescent="0.25">
      <c r="A15" s="93" t="s">
        <v>498</v>
      </c>
      <c r="B15" s="131" t="s">
        <v>251</v>
      </c>
      <c r="C15" s="131" t="s">
        <v>251</v>
      </c>
      <c r="D15" s="131" t="s">
        <v>251</v>
      </c>
      <c r="E15" s="131" t="s">
        <v>251</v>
      </c>
      <c r="F15" s="135" t="s">
        <v>251</v>
      </c>
      <c r="G15" s="122" t="s">
        <v>251</v>
      </c>
      <c r="H15" s="124">
        <v>0</v>
      </c>
      <c r="I15" s="137"/>
      <c r="J15" s="121">
        <v>0</v>
      </c>
      <c r="K15" s="121">
        <v>0</v>
      </c>
    </row>
    <row r="16" spans="1:16" s="119" customFormat="1" x14ac:dyDescent="0.25">
      <c r="A16" s="93" t="s">
        <v>1838</v>
      </c>
      <c r="B16" s="131" t="s">
        <v>251</v>
      </c>
      <c r="C16" s="131" t="s">
        <v>251</v>
      </c>
      <c r="D16" s="131" t="s">
        <v>251</v>
      </c>
      <c r="E16" s="131" t="s">
        <v>251</v>
      </c>
      <c r="F16" s="135" t="s">
        <v>251</v>
      </c>
      <c r="G16" s="122" t="s">
        <v>251</v>
      </c>
      <c r="H16" s="124">
        <v>0</v>
      </c>
      <c r="I16" s="137"/>
      <c r="J16" s="121">
        <v>0</v>
      </c>
      <c r="K16" s="121">
        <v>0</v>
      </c>
    </row>
    <row r="17" spans="1:15" s="119" customFormat="1" x14ac:dyDescent="0.25">
      <c r="A17" s="79" t="s">
        <v>242</v>
      </c>
      <c r="B17" s="125"/>
      <c r="C17" s="125"/>
      <c r="D17" s="125"/>
      <c r="E17" s="126"/>
      <c r="F17" s="126"/>
      <c r="G17" s="126"/>
      <c r="H17" s="127"/>
      <c r="I17" s="128"/>
      <c r="J17" s="128"/>
      <c r="K17" s="129"/>
      <c r="L17" s="148"/>
      <c r="M17" s="148"/>
      <c r="N17" s="130"/>
      <c r="O17" s="130"/>
    </row>
    <row r="18" spans="1:15" s="119" customFormat="1" x14ac:dyDescent="0.25">
      <c r="A18" s="79" t="s">
        <v>243</v>
      </c>
      <c r="B18" s="125"/>
      <c r="C18" s="125"/>
      <c r="D18" s="125"/>
      <c r="E18" s="126"/>
      <c r="F18" s="126"/>
      <c r="G18" s="126"/>
      <c r="H18" s="127"/>
      <c r="I18" s="128"/>
      <c r="J18" s="128"/>
      <c r="K18" s="129"/>
      <c r="L18" s="148"/>
      <c r="M18" s="148"/>
      <c r="N18" s="130"/>
      <c r="O18" s="130"/>
    </row>
    <row r="19" spans="1:15" s="119" customFormat="1" x14ac:dyDescent="0.25">
      <c r="A19" s="79" t="s">
        <v>244</v>
      </c>
      <c r="B19" s="125"/>
      <c r="C19" s="125"/>
      <c r="D19" s="125"/>
      <c r="E19" s="126"/>
      <c r="F19" s="126"/>
      <c r="G19" s="126"/>
      <c r="H19" s="127"/>
      <c r="I19" s="128"/>
      <c r="J19" s="128"/>
      <c r="K19" s="129"/>
      <c r="L19" s="148"/>
      <c r="M19" s="148"/>
      <c r="N19" s="130"/>
      <c r="O19" s="130"/>
    </row>
    <row r="20" spans="1:15" s="119" customFormat="1" x14ac:dyDescent="0.25">
      <c r="A20" s="79" t="s">
        <v>245</v>
      </c>
      <c r="B20" s="125"/>
      <c r="C20" s="125"/>
      <c r="D20" s="125"/>
      <c r="E20" s="126"/>
      <c r="F20" s="126"/>
      <c r="G20" s="126"/>
      <c r="H20" s="127"/>
      <c r="I20" s="128"/>
      <c r="J20" s="128"/>
      <c r="K20" s="129"/>
      <c r="L20" s="148"/>
      <c r="M20" s="148"/>
      <c r="N20" s="130"/>
      <c r="O20" s="130"/>
    </row>
    <row r="21" spans="1:15" s="119" customFormat="1" x14ac:dyDescent="0.25">
      <c r="A21" s="79" t="s">
        <v>246</v>
      </c>
      <c r="B21" s="125"/>
      <c r="C21" s="125"/>
      <c r="D21" s="125"/>
      <c r="E21" s="126"/>
      <c r="F21" s="126"/>
      <c r="G21" s="126"/>
      <c r="H21" s="127"/>
      <c r="I21" s="128"/>
      <c r="J21" s="128"/>
      <c r="K21" s="129"/>
      <c r="L21" s="148"/>
      <c r="M21" s="148"/>
      <c r="N21" s="130"/>
      <c r="O21" s="130"/>
    </row>
  </sheetData>
  <mergeCells count="2">
    <mergeCell ref="A6:K6"/>
    <mergeCell ref="A5:K5"/>
  </mergeCells>
  <phoneticPr fontId="3" type="noConversion"/>
  <conditionalFormatting sqref="A10:A16 H10:H16">
    <cfRule type="expression" dxfId="93" priority="176" stopIfTrue="1">
      <formula>#REF!&gt;0</formula>
    </cfRule>
  </conditionalFormatting>
  <conditionalFormatting sqref="B11:E16">
    <cfRule type="expression" dxfId="92" priority="179" stopIfTrue="1">
      <formula>LEFT(#REF!,3)="TIR"</formula>
    </cfRule>
  </conditionalFormatting>
  <conditionalFormatting sqref="G11:G16">
    <cfRule type="expression" dxfId="91" priority="178" stopIfTrue="1">
      <formula>LEFT(#REF!,3)="TIR"</formula>
    </cfRule>
  </conditionalFormatting>
  <conditionalFormatting sqref="J11:K16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workbookViewId="0"/>
  </sheetViews>
  <sheetFormatPr defaultColWidth="9.109375" defaultRowHeight="13.2" x14ac:dyDescent="0.25"/>
  <cols>
    <col min="1" max="1" width="21.6640625" style="10" customWidth="1"/>
    <col min="2" max="2" width="12.6640625" style="9" bestFit="1" customWidth="1"/>
    <col min="3" max="3" width="11.5546875" style="9" customWidth="1"/>
    <col min="4" max="4" width="11.109375" style="9" customWidth="1"/>
    <col min="5" max="5" width="11" style="9" customWidth="1"/>
    <col min="6" max="6" width="10.109375" style="60" customWidth="1"/>
    <col min="7" max="7" width="8.6640625" style="60" bestFit="1" customWidth="1"/>
    <col min="8" max="8" width="9.5546875" style="60" customWidth="1"/>
    <col min="9" max="9" width="21.109375" style="37" customWidth="1"/>
    <col min="10" max="10" width="24" style="62" customWidth="1"/>
    <col min="11" max="11" width="19.554687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29"/>
      <c r="K5" s="231"/>
      <c r="L5" s="14"/>
      <c r="M5" s="14"/>
      <c r="N5" s="13"/>
      <c r="O5" s="13"/>
      <c r="P5" s="15"/>
    </row>
    <row r="6" spans="1:16" s="7" customFormat="1" x14ac:dyDescent="0.25">
      <c r="A6" s="225" t="s">
        <v>24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56"/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9" customFormat="1" ht="12.75" customHeight="1" thickBot="1" x14ac:dyDescent="0.3">
      <c r="A10" s="149" t="s">
        <v>56</v>
      </c>
      <c r="B10" s="71"/>
      <c r="C10" s="71"/>
      <c r="D10" s="71"/>
      <c r="E10" s="150"/>
      <c r="F10" s="151"/>
      <c r="G10" s="155"/>
      <c r="H10" s="107">
        <v>9.0000000000000007E-7</v>
      </c>
      <c r="I10" s="71"/>
      <c r="J10" s="71">
        <v>1</v>
      </c>
      <c r="K10" s="83">
        <v>0</v>
      </c>
    </row>
    <row r="11" spans="1:16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3" t="s">
        <v>251</v>
      </c>
      <c r="G11" s="122" t="s">
        <v>251</v>
      </c>
      <c r="H11" s="123">
        <v>0</v>
      </c>
      <c r="I11" s="121" t="s">
        <v>251</v>
      </c>
      <c r="J11" s="121">
        <v>0</v>
      </c>
      <c r="K11" s="121">
        <v>0</v>
      </c>
    </row>
    <row r="12" spans="1:16" s="119" customFormat="1" x14ac:dyDescent="0.25">
      <c r="A12" s="93" t="s">
        <v>1839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5" t="s">
        <v>251</v>
      </c>
      <c r="G12" s="122" t="s">
        <v>251</v>
      </c>
      <c r="H12" s="124">
        <v>0</v>
      </c>
      <c r="I12" s="137"/>
      <c r="J12" s="121">
        <v>0</v>
      </c>
      <c r="K12" s="137">
        <v>0</v>
      </c>
    </row>
    <row r="13" spans="1:16" s="119" customFormat="1" x14ac:dyDescent="0.25">
      <c r="A13" s="93" t="s">
        <v>1840</v>
      </c>
      <c r="B13" s="131" t="s">
        <v>251</v>
      </c>
      <c r="C13" s="131" t="s">
        <v>251</v>
      </c>
      <c r="D13" s="131" t="s">
        <v>251</v>
      </c>
      <c r="E13" s="131" t="s">
        <v>251</v>
      </c>
      <c r="F13" s="135" t="s">
        <v>251</v>
      </c>
      <c r="G13" s="122" t="s">
        <v>251</v>
      </c>
      <c r="H13" s="124">
        <v>0</v>
      </c>
      <c r="I13" s="137"/>
      <c r="J13" s="121">
        <v>0</v>
      </c>
      <c r="K13" s="137">
        <v>0</v>
      </c>
    </row>
    <row r="14" spans="1:16" s="119" customFormat="1" x14ac:dyDescent="0.25">
      <c r="A14" s="93" t="s">
        <v>1841</v>
      </c>
      <c r="B14" s="131" t="s">
        <v>251</v>
      </c>
      <c r="C14" s="131" t="s">
        <v>251</v>
      </c>
      <c r="D14" s="131" t="s">
        <v>251</v>
      </c>
      <c r="E14" s="131" t="s">
        <v>251</v>
      </c>
      <c r="F14" s="135" t="s">
        <v>251</v>
      </c>
      <c r="G14" s="122" t="s">
        <v>251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3" t="s">
        <v>141</v>
      </c>
      <c r="B15" s="131" t="s">
        <v>251</v>
      </c>
      <c r="C15" s="131" t="s">
        <v>251</v>
      </c>
      <c r="D15" s="131" t="s">
        <v>251</v>
      </c>
      <c r="E15" s="131" t="s">
        <v>251</v>
      </c>
      <c r="F15" s="135" t="s">
        <v>251</v>
      </c>
      <c r="G15" s="122" t="s">
        <v>251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3" t="s">
        <v>498</v>
      </c>
      <c r="B16" s="131" t="s">
        <v>251</v>
      </c>
      <c r="C16" s="131" t="s">
        <v>251</v>
      </c>
      <c r="D16" s="131" t="s">
        <v>251</v>
      </c>
      <c r="E16" s="131" t="s">
        <v>251</v>
      </c>
      <c r="F16" s="135" t="s">
        <v>251</v>
      </c>
      <c r="G16" s="122" t="s">
        <v>251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3" t="s">
        <v>1839</v>
      </c>
      <c r="B17" s="131" t="s">
        <v>251</v>
      </c>
      <c r="C17" s="131" t="s">
        <v>251</v>
      </c>
      <c r="D17" s="131" t="s">
        <v>251</v>
      </c>
      <c r="E17" s="131" t="s">
        <v>251</v>
      </c>
      <c r="F17" s="135" t="s">
        <v>251</v>
      </c>
      <c r="G17" s="122" t="s">
        <v>251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3" t="s">
        <v>1842</v>
      </c>
      <c r="B18" s="131" t="s">
        <v>251</v>
      </c>
      <c r="C18" s="131" t="s">
        <v>251</v>
      </c>
      <c r="D18" s="131" t="s">
        <v>251</v>
      </c>
      <c r="E18" s="131" t="s">
        <v>251</v>
      </c>
      <c r="F18" s="135" t="s">
        <v>251</v>
      </c>
      <c r="G18" s="122" t="s">
        <v>251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3" t="s">
        <v>1841</v>
      </c>
      <c r="B19" s="131" t="s">
        <v>251</v>
      </c>
      <c r="C19" s="131" t="s">
        <v>251</v>
      </c>
      <c r="D19" s="131" t="s">
        <v>251</v>
      </c>
      <c r="E19" s="131" t="s">
        <v>251</v>
      </c>
      <c r="F19" s="135" t="s">
        <v>251</v>
      </c>
      <c r="G19" s="122" t="s">
        <v>251</v>
      </c>
      <c r="H19" s="124">
        <v>0</v>
      </c>
      <c r="I19" s="137"/>
      <c r="J19" s="121">
        <v>0</v>
      </c>
      <c r="K19" s="137">
        <v>0</v>
      </c>
    </row>
    <row r="20" spans="1:15" s="119" customFormat="1" x14ac:dyDescent="0.25">
      <c r="A20" s="93" t="s">
        <v>1843</v>
      </c>
      <c r="B20" s="131" t="s">
        <v>251</v>
      </c>
      <c r="C20" s="131" t="s">
        <v>251</v>
      </c>
      <c r="D20" s="131" t="s">
        <v>251</v>
      </c>
      <c r="E20" s="131" t="s">
        <v>251</v>
      </c>
      <c r="F20" s="135" t="s">
        <v>251</v>
      </c>
      <c r="G20" s="122" t="s">
        <v>251</v>
      </c>
      <c r="H20" s="124">
        <v>0</v>
      </c>
      <c r="I20" s="137"/>
      <c r="J20" s="121">
        <v>0</v>
      </c>
      <c r="K20" s="137">
        <v>0</v>
      </c>
    </row>
    <row r="21" spans="1:15" s="119" customFormat="1" x14ac:dyDescent="0.25">
      <c r="A21" s="93" t="s">
        <v>141</v>
      </c>
      <c r="B21" s="131" t="s">
        <v>251</v>
      </c>
      <c r="C21" s="131" t="s">
        <v>251</v>
      </c>
      <c r="D21" s="131" t="s">
        <v>251</v>
      </c>
      <c r="E21" s="131" t="s">
        <v>251</v>
      </c>
      <c r="F21" s="135" t="s">
        <v>251</v>
      </c>
      <c r="G21" s="122" t="s">
        <v>251</v>
      </c>
      <c r="H21" s="124">
        <v>0</v>
      </c>
      <c r="I21" s="137"/>
      <c r="J21" s="121">
        <v>0</v>
      </c>
      <c r="K21" s="137">
        <v>0</v>
      </c>
    </row>
    <row r="22" spans="1:15" s="119" customFormat="1" x14ac:dyDescent="0.25">
      <c r="A22" s="79" t="s">
        <v>242</v>
      </c>
      <c r="B22" s="125"/>
      <c r="C22" s="125"/>
      <c r="D22" s="125"/>
      <c r="E22" s="125"/>
      <c r="F22" s="126"/>
      <c r="G22" s="126"/>
      <c r="H22" s="126"/>
      <c r="I22" s="127"/>
      <c r="J22" s="128"/>
      <c r="K22" s="129"/>
      <c r="L22" s="148"/>
      <c r="M22" s="148"/>
      <c r="N22" s="130"/>
      <c r="O22" s="130"/>
    </row>
    <row r="23" spans="1:15" s="119" customFormat="1" x14ac:dyDescent="0.25">
      <c r="A23" s="79" t="s">
        <v>243</v>
      </c>
      <c r="B23" s="125"/>
      <c r="C23" s="125"/>
      <c r="D23" s="125"/>
      <c r="E23" s="125"/>
      <c r="F23" s="126"/>
      <c r="G23" s="126"/>
      <c r="H23" s="126"/>
      <c r="I23" s="127"/>
      <c r="J23" s="128"/>
      <c r="K23" s="129"/>
      <c r="L23" s="148"/>
      <c r="M23" s="148"/>
      <c r="N23" s="130"/>
      <c r="O23" s="130"/>
    </row>
    <row r="24" spans="1:15" s="119" customFormat="1" x14ac:dyDescent="0.25">
      <c r="A24" s="79" t="s">
        <v>244</v>
      </c>
      <c r="B24" s="125"/>
      <c r="C24" s="125"/>
      <c r="D24" s="125"/>
      <c r="E24" s="125"/>
      <c r="F24" s="126"/>
      <c r="G24" s="126"/>
      <c r="H24" s="126"/>
      <c r="I24" s="127"/>
      <c r="J24" s="128"/>
      <c r="K24" s="129"/>
      <c r="L24" s="148"/>
      <c r="M24" s="148"/>
      <c r="N24" s="130"/>
      <c r="O24" s="130"/>
    </row>
    <row r="25" spans="1:15" s="119" customFormat="1" x14ac:dyDescent="0.25">
      <c r="A25" s="79" t="s">
        <v>245</v>
      </c>
      <c r="B25" s="125"/>
      <c r="C25" s="125"/>
      <c r="D25" s="125"/>
      <c r="E25" s="125"/>
      <c r="F25" s="126"/>
      <c r="G25" s="126"/>
      <c r="H25" s="126"/>
      <c r="I25" s="127"/>
      <c r="J25" s="128"/>
      <c r="K25" s="129"/>
      <c r="L25" s="148"/>
      <c r="M25" s="148"/>
      <c r="N25" s="130"/>
      <c r="O25" s="130"/>
    </row>
    <row r="26" spans="1:15" s="119" customFormat="1" x14ac:dyDescent="0.25">
      <c r="A26" s="79" t="s">
        <v>246</v>
      </c>
      <c r="B26" s="125"/>
      <c r="C26" s="125"/>
      <c r="D26" s="125"/>
      <c r="E26" s="125"/>
      <c r="F26" s="126"/>
      <c r="G26" s="126"/>
      <c r="H26" s="126"/>
      <c r="I26" s="127"/>
      <c r="J26" s="128"/>
      <c r="K26" s="129"/>
      <c r="L26" s="148"/>
      <c r="M26" s="148"/>
      <c r="N26" s="130"/>
      <c r="O26" s="130"/>
    </row>
  </sheetData>
  <mergeCells count="2">
    <mergeCell ref="A6:K6"/>
    <mergeCell ref="A5:K5"/>
  </mergeCells>
  <phoneticPr fontId="3" type="noConversion"/>
  <conditionalFormatting sqref="A10:A21 I10:I21">
    <cfRule type="expression" dxfId="89" priority="196" stopIfTrue="1">
      <formula>LEFT(#REF!,3)="TIR"</formula>
    </cfRule>
  </conditionalFormatting>
  <conditionalFormatting sqref="B10:F21 J10:K21">
    <cfRule type="expression" dxfId="88" priority="193" stopIfTrue="1">
      <formula>LEFT(#REF!,3)="TIR"</formula>
    </cfRule>
  </conditionalFormatting>
  <conditionalFormatting sqref="I10:I21 A10:A21">
    <cfRule type="expression" dxfId="87" priority="195" stopIfTrue="1">
      <formula>#REF!&gt;0</formula>
    </cfRule>
  </conditionalFormatting>
  <conditionalFormatting sqref="J1:J4 F10:I21 I22:I55556">
    <cfRule type="expression" dxfId="86" priority="190" stopIfTrue="1">
      <formula>LEFT(#REF!,3)="TIR"</formula>
    </cfRule>
  </conditionalFormatting>
  <conditionalFormatting sqref="J11:K21 H11:H21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22.33203125" style="10" customWidth="1"/>
    <col min="2" max="2" width="12.109375" style="9" bestFit="1" customWidth="1"/>
    <col min="3" max="3" width="11.6640625" style="10" customWidth="1"/>
    <col min="4" max="4" width="11" style="10" customWidth="1"/>
    <col min="5" max="5" width="10.88671875" style="60" bestFit="1" customWidth="1"/>
    <col min="6" max="6" width="10.109375" style="11" customWidth="1"/>
    <col min="7" max="7" width="6.5546875" style="11" bestFit="1" customWidth="1"/>
    <col min="8" max="8" width="10" style="12" customWidth="1"/>
    <col min="9" max="9" width="24.33203125" style="12" customWidth="1"/>
    <col min="10" max="10" width="19.6640625" style="13" customWidth="1"/>
    <col min="11" max="11" width="10" style="20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10"/>
      <c r="D1" s="10"/>
      <c r="E1" s="60"/>
      <c r="F1" s="11"/>
      <c r="G1" s="11"/>
      <c r="H1" s="12"/>
      <c r="I1" s="12"/>
      <c r="J1" s="13"/>
      <c r="K1" s="14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10"/>
      <c r="D2" s="10"/>
      <c r="E2" s="60"/>
      <c r="F2" s="11"/>
      <c r="G2" s="11"/>
      <c r="H2" s="12"/>
      <c r="I2" s="12"/>
      <c r="J2" s="13"/>
      <c r="K2" s="14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10"/>
      <c r="D3" s="10"/>
      <c r="E3" s="60"/>
      <c r="F3" s="11"/>
      <c r="G3" s="11"/>
      <c r="H3" s="12"/>
      <c r="I3" s="12"/>
      <c r="J3" s="13"/>
      <c r="K3" s="14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10"/>
      <c r="D4" s="10"/>
      <c r="E4" s="60"/>
      <c r="F4" s="11"/>
      <c r="G4" s="11"/>
      <c r="H4" s="12"/>
      <c r="I4" s="12"/>
      <c r="J4" s="13"/>
      <c r="K4" s="14"/>
      <c r="L4" s="14"/>
      <c r="M4" s="14"/>
      <c r="N4" s="13"/>
      <c r="O4" s="13"/>
      <c r="P4" s="15"/>
    </row>
    <row r="5" spans="1:16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4"/>
      <c r="K5" s="12"/>
      <c r="L5" s="12"/>
      <c r="M5" s="14"/>
      <c r="N5" s="13"/>
      <c r="O5" s="13"/>
      <c r="P5" s="15"/>
    </row>
    <row r="6" spans="1:16" s="7" customFormat="1" x14ac:dyDescent="0.25">
      <c r="A6" s="225" t="s">
        <v>25</v>
      </c>
      <c r="B6" s="226"/>
      <c r="C6" s="226"/>
      <c r="D6" s="226"/>
      <c r="E6" s="226"/>
      <c r="F6" s="226"/>
      <c r="G6" s="226"/>
      <c r="H6" s="226"/>
      <c r="I6" s="226"/>
      <c r="J6" s="227"/>
      <c r="K6" s="12"/>
      <c r="L6" s="12"/>
    </row>
    <row r="7" spans="1:16" s="7" customFormat="1" x14ac:dyDescent="0.25">
      <c r="A7" s="87" t="s">
        <v>157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90" t="s">
        <v>75</v>
      </c>
      <c r="J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58">
        <v>8</v>
      </c>
      <c r="J9" s="45">
        <v>9</v>
      </c>
    </row>
    <row r="10" spans="1:16" s="119" customFormat="1" ht="12.75" customHeight="1" thickBot="1" x14ac:dyDescent="0.3">
      <c r="A10" s="149" t="s">
        <v>62</v>
      </c>
      <c r="B10" s="71"/>
      <c r="C10" s="71"/>
      <c r="D10" s="71"/>
      <c r="E10" s="150"/>
      <c r="F10" s="151"/>
      <c r="G10" s="150"/>
      <c r="H10" s="153">
        <v>-188.56502979999999</v>
      </c>
      <c r="I10" s="71">
        <v>1</v>
      </c>
      <c r="J10" s="83">
        <v>-3.5184085718312452E-4</v>
      </c>
    </row>
    <row r="11" spans="1:16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3" t="s">
        <v>251</v>
      </c>
      <c r="G11" s="122" t="s">
        <v>251</v>
      </c>
      <c r="H11" s="123">
        <v>0</v>
      </c>
      <c r="I11" s="121">
        <v>0</v>
      </c>
      <c r="J11" s="121">
        <v>0</v>
      </c>
    </row>
    <row r="12" spans="1:16" s="119" customFormat="1" x14ac:dyDescent="0.25">
      <c r="A12" s="93" t="s">
        <v>498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5" t="s">
        <v>251</v>
      </c>
      <c r="G12" s="136" t="s">
        <v>251</v>
      </c>
      <c r="H12" s="124">
        <v>-188.56502989999998</v>
      </c>
      <c r="I12" s="121">
        <v>1.0000000005303211</v>
      </c>
      <c r="J12" s="121">
        <v>-3.5184085736971311E-4</v>
      </c>
    </row>
    <row r="13" spans="1:16" x14ac:dyDescent="0.25">
      <c r="A13" s="17" t="s">
        <v>1844</v>
      </c>
      <c r="B13" s="117" t="s">
        <v>1845</v>
      </c>
      <c r="C13" s="117" t="s">
        <v>1846</v>
      </c>
      <c r="D13" s="117" t="s">
        <v>188</v>
      </c>
      <c r="E13" s="117" t="s">
        <v>125</v>
      </c>
      <c r="F13" s="70">
        <v>25.815016599613681</v>
      </c>
      <c r="G13" s="61">
        <v>111.5625</v>
      </c>
      <c r="H13" s="85">
        <v>-188.56503000000001</v>
      </c>
      <c r="I13" s="33">
        <v>1.000000001060642</v>
      </c>
      <c r="J13" s="33">
        <v>-3.5184085755630176E-4</v>
      </c>
      <c r="K13" s="15"/>
      <c r="L13" s="15"/>
      <c r="M13" s="15"/>
      <c r="N13" s="15"/>
      <c r="O13" s="15"/>
    </row>
    <row r="14" spans="1:16" s="119" customFormat="1" x14ac:dyDescent="0.25">
      <c r="A14" s="79" t="s">
        <v>242</v>
      </c>
      <c r="B14" s="125"/>
      <c r="C14" s="79"/>
      <c r="D14" s="79"/>
      <c r="E14" s="126"/>
      <c r="F14" s="146"/>
      <c r="G14" s="146"/>
      <c r="H14" s="147"/>
      <c r="I14" s="147"/>
      <c r="J14" s="130"/>
      <c r="K14" s="148"/>
      <c r="L14" s="148"/>
      <c r="M14" s="148"/>
      <c r="N14" s="130"/>
      <c r="O14" s="130"/>
    </row>
    <row r="15" spans="1:16" s="119" customFormat="1" x14ac:dyDescent="0.25">
      <c r="A15" s="79" t="s">
        <v>243</v>
      </c>
      <c r="B15" s="125"/>
      <c r="C15" s="79"/>
      <c r="D15" s="79"/>
      <c r="E15" s="126"/>
      <c r="F15" s="146"/>
      <c r="G15" s="146"/>
      <c r="H15" s="147"/>
      <c r="I15" s="147"/>
      <c r="J15" s="130"/>
      <c r="K15" s="148"/>
      <c r="L15" s="148"/>
      <c r="M15" s="148"/>
      <c r="N15" s="130"/>
      <c r="O15" s="130"/>
    </row>
    <row r="16" spans="1:16" s="119" customFormat="1" x14ac:dyDescent="0.25">
      <c r="A16" s="79" t="s">
        <v>244</v>
      </c>
      <c r="B16" s="125"/>
      <c r="C16" s="79"/>
      <c r="D16" s="79"/>
      <c r="E16" s="126"/>
      <c r="F16" s="146"/>
      <c r="G16" s="146"/>
      <c r="H16" s="147"/>
      <c r="I16" s="147"/>
      <c r="J16" s="130"/>
      <c r="K16" s="148"/>
      <c r="L16" s="148"/>
      <c r="M16" s="148"/>
      <c r="N16" s="130"/>
      <c r="O16" s="130"/>
    </row>
    <row r="17" spans="1:15" s="119" customFormat="1" x14ac:dyDescent="0.25">
      <c r="A17" s="79" t="s">
        <v>245</v>
      </c>
      <c r="B17" s="125"/>
      <c r="C17" s="79"/>
      <c r="D17" s="79"/>
      <c r="E17" s="126"/>
      <c r="F17" s="146"/>
      <c r="G17" s="146"/>
      <c r="H17" s="147"/>
      <c r="I17" s="147"/>
      <c r="J17" s="130"/>
      <c r="K17" s="148"/>
      <c r="L17" s="148"/>
      <c r="M17" s="148"/>
      <c r="N17" s="130"/>
      <c r="O17" s="130"/>
    </row>
    <row r="18" spans="1:15" s="119" customFormat="1" x14ac:dyDescent="0.25">
      <c r="A18" s="79" t="s">
        <v>246</v>
      </c>
      <c r="B18" s="125"/>
      <c r="C18" s="79"/>
      <c r="D18" s="79"/>
      <c r="E18" s="126"/>
      <c r="F18" s="146"/>
      <c r="G18" s="146"/>
      <c r="H18" s="147"/>
      <c r="I18" s="147"/>
      <c r="J18" s="130"/>
      <c r="K18" s="148"/>
      <c r="L18" s="148"/>
      <c r="M18" s="148"/>
      <c r="N18" s="130"/>
      <c r="O18" s="130"/>
    </row>
  </sheetData>
  <mergeCells count="2">
    <mergeCell ref="A6:J6"/>
    <mergeCell ref="A5:J5"/>
  </mergeCells>
  <phoneticPr fontId="3" type="noConversion"/>
  <conditionalFormatting sqref="B10:E13 I10:J13">
    <cfRule type="expression" dxfId="84" priority="219" stopIfTrue="1">
      <formula>LEFT(#REF!,3)="TIR"</formula>
    </cfRule>
  </conditionalFormatting>
  <conditionalFormatting sqref="H10:I10 A10:A13 I11:I13">
    <cfRule type="expression" dxfId="83" priority="222" stopIfTrue="1">
      <formula>LEFT(#REF!,3)="TIR"</formula>
    </cfRule>
  </conditionalFormatting>
  <conditionalFormatting sqref="H10:I10 I11:I13 A10:A13">
    <cfRule type="expression" dxfId="82" priority="221" stopIfTrue="1">
      <formula>#REF!&gt;0</formula>
    </cfRule>
  </conditionalFormatting>
  <conditionalFormatting sqref="H11:I13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4 F10:G13 J14:J55548">
    <cfRule type="expression" dxfId="79" priority="216" stopIfTrue="1">
      <formula>LEFT(#REF!,3)="TIR"</formula>
    </cfRule>
  </conditionalFormatting>
  <conditionalFormatting sqref="J11:J13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x14ac:dyDescent="0.25">
      <c r="A6" s="225" t="s">
        <v>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7"/>
    </row>
    <row r="7" spans="1:16" s="7" customFormat="1" ht="31.5" customHeight="1" x14ac:dyDescent="0.25">
      <c r="A7" s="87" t="s">
        <v>157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53"/>
      <c r="F8" s="53" t="s">
        <v>40</v>
      </c>
      <c r="G8" s="53" t="s">
        <v>16</v>
      </c>
      <c r="H8" s="30"/>
      <c r="I8" s="49" t="s">
        <v>9</v>
      </c>
      <c r="J8" s="49" t="s">
        <v>9</v>
      </c>
      <c r="K8" s="2" t="s">
        <v>133</v>
      </c>
      <c r="L8" s="49"/>
      <c r="M8" s="2" t="s">
        <v>135</v>
      </c>
      <c r="N8" s="56" t="s">
        <v>9</v>
      </c>
      <c r="O8" s="56" t="s">
        <v>9</v>
      </c>
      <c r="P8" s="55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3">
        <v>15</v>
      </c>
    </row>
    <row r="10" spans="1:16" s="119" customFormat="1" ht="12.75" customHeight="1" thickBot="1" x14ac:dyDescent="0.3">
      <c r="A10" s="100" t="s">
        <v>57</v>
      </c>
      <c r="B10" s="68"/>
      <c r="C10" s="68"/>
      <c r="D10" s="101"/>
      <c r="E10" s="101"/>
      <c r="F10" s="101"/>
      <c r="G10" s="101"/>
      <c r="H10" s="101"/>
      <c r="I10" s="68"/>
      <c r="J10" s="68"/>
      <c r="K10" s="102"/>
      <c r="L10" s="101"/>
      <c r="M10" s="105">
        <v>1.2000000000000002E-6</v>
      </c>
      <c r="N10" s="68"/>
      <c r="O10" s="68">
        <v>1</v>
      </c>
      <c r="P10" s="82">
        <v>0</v>
      </c>
    </row>
    <row r="11" spans="1:16" s="119" customFormat="1" x14ac:dyDescent="0.25">
      <c r="A11" s="92" t="s">
        <v>137</v>
      </c>
      <c r="B11" s="131" t="s">
        <v>251</v>
      </c>
      <c r="C11" s="131" t="s">
        <v>251</v>
      </c>
      <c r="D11" s="131" t="s">
        <v>251</v>
      </c>
      <c r="E11" s="131" t="s">
        <v>251</v>
      </c>
      <c r="F11" s="131" t="s">
        <v>251</v>
      </c>
      <c r="G11" s="132" t="s">
        <v>251</v>
      </c>
      <c r="H11" s="132" t="s">
        <v>251</v>
      </c>
      <c r="I11" s="131" t="s">
        <v>251</v>
      </c>
      <c r="J11" s="131" t="s">
        <v>251</v>
      </c>
      <c r="K11" s="133" t="s">
        <v>251</v>
      </c>
      <c r="L11" s="122" t="s">
        <v>251</v>
      </c>
      <c r="M11" s="123">
        <v>0</v>
      </c>
      <c r="N11" s="121" t="s">
        <v>251</v>
      </c>
      <c r="O11" s="121">
        <v>0</v>
      </c>
      <c r="P11" s="121">
        <v>0</v>
      </c>
    </row>
    <row r="12" spans="1:16" s="119" customFormat="1" x14ac:dyDescent="0.25">
      <c r="A12" s="93" t="s">
        <v>1847</v>
      </c>
      <c r="B12" s="131" t="s">
        <v>251</v>
      </c>
      <c r="C12" s="131" t="s">
        <v>251</v>
      </c>
      <c r="D12" s="131" t="s">
        <v>251</v>
      </c>
      <c r="E12" s="131" t="s">
        <v>251</v>
      </c>
      <c r="F12" s="131" t="s">
        <v>251</v>
      </c>
      <c r="G12" s="132" t="s">
        <v>251</v>
      </c>
      <c r="H12" s="132" t="s">
        <v>251</v>
      </c>
      <c r="I12" s="131" t="s">
        <v>251</v>
      </c>
      <c r="J12" s="131" t="s">
        <v>251</v>
      </c>
      <c r="K12" s="135" t="s">
        <v>251</v>
      </c>
      <c r="L12" s="136" t="s">
        <v>251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3" t="s">
        <v>1848</v>
      </c>
      <c r="B13" s="131" t="s">
        <v>251</v>
      </c>
      <c r="C13" s="131" t="s">
        <v>251</v>
      </c>
      <c r="D13" s="131" t="s">
        <v>251</v>
      </c>
      <c r="E13" s="131" t="s">
        <v>251</v>
      </c>
      <c r="F13" s="131" t="s">
        <v>251</v>
      </c>
      <c r="G13" s="132" t="s">
        <v>251</v>
      </c>
      <c r="H13" s="132" t="s">
        <v>251</v>
      </c>
      <c r="I13" s="131" t="s">
        <v>251</v>
      </c>
      <c r="J13" s="131" t="s">
        <v>251</v>
      </c>
      <c r="K13" s="135" t="s">
        <v>251</v>
      </c>
      <c r="L13" s="136" t="s">
        <v>251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3" t="s">
        <v>1849</v>
      </c>
      <c r="B14" s="131" t="s">
        <v>251</v>
      </c>
      <c r="C14" s="131" t="s">
        <v>251</v>
      </c>
      <c r="D14" s="131" t="s">
        <v>251</v>
      </c>
      <c r="E14" s="131" t="s">
        <v>251</v>
      </c>
      <c r="F14" s="131" t="s">
        <v>251</v>
      </c>
      <c r="G14" s="132" t="s">
        <v>251</v>
      </c>
      <c r="H14" s="132" t="s">
        <v>251</v>
      </c>
      <c r="I14" s="131" t="s">
        <v>251</v>
      </c>
      <c r="J14" s="131" t="s">
        <v>251</v>
      </c>
      <c r="K14" s="135" t="s">
        <v>251</v>
      </c>
      <c r="L14" s="136" t="s">
        <v>251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3" t="s">
        <v>1850</v>
      </c>
      <c r="B15" s="131" t="s">
        <v>251</v>
      </c>
      <c r="C15" s="131" t="s">
        <v>251</v>
      </c>
      <c r="D15" s="131" t="s">
        <v>251</v>
      </c>
      <c r="E15" s="131" t="s">
        <v>251</v>
      </c>
      <c r="F15" s="131" t="s">
        <v>251</v>
      </c>
      <c r="G15" s="132" t="s">
        <v>251</v>
      </c>
      <c r="H15" s="132" t="s">
        <v>251</v>
      </c>
      <c r="I15" s="131" t="s">
        <v>251</v>
      </c>
      <c r="J15" s="131" t="s">
        <v>251</v>
      </c>
      <c r="K15" s="135" t="s">
        <v>251</v>
      </c>
      <c r="L15" s="136" t="s">
        <v>251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3" t="s">
        <v>1851</v>
      </c>
      <c r="B16" s="131" t="s">
        <v>251</v>
      </c>
      <c r="C16" s="131" t="s">
        <v>251</v>
      </c>
      <c r="D16" s="131" t="s">
        <v>251</v>
      </c>
      <c r="E16" s="131" t="s">
        <v>251</v>
      </c>
      <c r="F16" s="131" t="s">
        <v>251</v>
      </c>
      <c r="G16" s="132" t="s">
        <v>251</v>
      </c>
      <c r="H16" s="132" t="s">
        <v>251</v>
      </c>
      <c r="I16" s="131" t="s">
        <v>251</v>
      </c>
      <c r="J16" s="131" t="s">
        <v>251</v>
      </c>
      <c r="K16" s="135" t="s">
        <v>251</v>
      </c>
      <c r="L16" s="136" t="s">
        <v>251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3" t="s">
        <v>1852</v>
      </c>
      <c r="B17" s="131" t="s">
        <v>251</v>
      </c>
      <c r="C17" s="131" t="s">
        <v>251</v>
      </c>
      <c r="D17" s="131" t="s">
        <v>251</v>
      </c>
      <c r="E17" s="131" t="s">
        <v>251</v>
      </c>
      <c r="F17" s="131" t="s">
        <v>251</v>
      </c>
      <c r="G17" s="132" t="s">
        <v>251</v>
      </c>
      <c r="H17" s="132" t="s">
        <v>251</v>
      </c>
      <c r="I17" s="131" t="s">
        <v>251</v>
      </c>
      <c r="J17" s="131" t="s">
        <v>251</v>
      </c>
      <c r="K17" s="135" t="s">
        <v>251</v>
      </c>
      <c r="L17" s="136" t="s">
        <v>251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3" t="s">
        <v>1853</v>
      </c>
      <c r="B18" s="131" t="s">
        <v>251</v>
      </c>
      <c r="C18" s="131" t="s">
        <v>251</v>
      </c>
      <c r="D18" s="131" t="s">
        <v>251</v>
      </c>
      <c r="E18" s="131" t="s">
        <v>251</v>
      </c>
      <c r="F18" s="131" t="s">
        <v>251</v>
      </c>
      <c r="G18" s="132" t="s">
        <v>251</v>
      </c>
      <c r="H18" s="132" t="s">
        <v>251</v>
      </c>
      <c r="I18" s="131" t="s">
        <v>251</v>
      </c>
      <c r="J18" s="131" t="s">
        <v>251</v>
      </c>
      <c r="K18" s="135" t="s">
        <v>251</v>
      </c>
      <c r="L18" s="136" t="s">
        <v>251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3" t="s">
        <v>498</v>
      </c>
      <c r="B19" s="131" t="s">
        <v>251</v>
      </c>
      <c r="C19" s="131" t="s">
        <v>251</v>
      </c>
      <c r="D19" s="131" t="s">
        <v>251</v>
      </c>
      <c r="E19" s="131" t="s">
        <v>251</v>
      </c>
      <c r="F19" s="131" t="s">
        <v>251</v>
      </c>
      <c r="G19" s="132" t="s">
        <v>251</v>
      </c>
      <c r="H19" s="132" t="s">
        <v>251</v>
      </c>
      <c r="I19" s="131" t="s">
        <v>251</v>
      </c>
      <c r="J19" s="131" t="s">
        <v>251</v>
      </c>
      <c r="K19" s="135" t="s">
        <v>251</v>
      </c>
      <c r="L19" s="136" t="s">
        <v>251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3" t="s">
        <v>1854</v>
      </c>
      <c r="B20" s="131" t="s">
        <v>251</v>
      </c>
      <c r="C20" s="131" t="s">
        <v>251</v>
      </c>
      <c r="D20" s="131" t="s">
        <v>251</v>
      </c>
      <c r="E20" s="131" t="s">
        <v>251</v>
      </c>
      <c r="F20" s="131" t="s">
        <v>251</v>
      </c>
      <c r="G20" s="132" t="s">
        <v>251</v>
      </c>
      <c r="H20" s="132" t="s">
        <v>251</v>
      </c>
      <c r="I20" s="131" t="s">
        <v>251</v>
      </c>
      <c r="J20" s="131" t="s">
        <v>251</v>
      </c>
      <c r="K20" s="135" t="s">
        <v>251</v>
      </c>
      <c r="L20" s="136" t="s">
        <v>251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3" t="s">
        <v>1855</v>
      </c>
      <c r="B21" s="131" t="s">
        <v>251</v>
      </c>
      <c r="C21" s="131" t="s">
        <v>251</v>
      </c>
      <c r="D21" s="131" t="s">
        <v>251</v>
      </c>
      <c r="E21" s="131" t="s">
        <v>251</v>
      </c>
      <c r="F21" s="131" t="s">
        <v>251</v>
      </c>
      <c r="G21" s="132" t="s">
        <v>251</v>
      </c>
      <c r="H21" s="132" t="s">
        <v>251</v>
      </c>
      <c r="I21" s="131" t="s">
        <v>251</v>
      </c>
      <c r="J21" s="131" t="s">
        <v>251</v>
      </c>
      <c r="K21" s="135" t="s">
        <v>251</v>
      </c>
      <c r="L21" s="136" t="s">
        <v>251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3" t="s">
        <v>1856</v>
      </c>
      <c r="B22" s="131" t="s">
        <v>251</v>
      </c>
      <c r="C22" s="131" t="s">
        <v>251</v>
      </c>
      <c r="D22" s="131" t="s">
        <v>251</v>
      </c>
      <c r="E22" s="131" t="s">
        <v>251</v>
      </c>
      <c r="F22" s="131" t="s">
        <v>251</v>
      </c>
      <c r="G22" s="132" t="s">
        <v>251</v>
      </c>
      <c r="H22" s="132" t="s">
        <v>251</v>
      </c>
      <c r="I22" s="131" t="s">
        <v>251</v>
      </c>
      <c r="J22" s="131" t="s">
        <v>251</v>
      </c>
      <c r="K22" s="135" t="s">
        <v>251</v>
      </c>
      <c r="L22" s="136" t="s">
        <v>251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3" t="s">
        <v>1850</v>
      </c>
      <c r="B23" s="131" t="s">
        <v>251</v>
      </c>
      <c r="C23" s="131" t="s">
        <v>251</v>
      </c>
      <c r="D23" s="131" t="s">
        <v>251</v>
      </c>
      <c r="E23" s="131" t="s">
        <v>251</v>
      </c>
      <c r="F23" s="131" t="s">
        <v>251</v>
      </c>
      <c r="G23" s="132" t="s">
        <v>251</v>
      </c>
      <c r="H23" s="132" t="s">
        <v>251</v>
      </c>
      <c r="I23" s="131" t="s">
        <v>251</v>
      </c>
      <c r="J23" s="131" t="s">
        <v>251</v>
      </c>
      <c r="K23" s="135" t="s">
        <v>251</v>
      </c>
      <c r="L23" s="136" t="s">
        <v>251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3" t="s">
        <v>1851</v>
      </c>
      <c r="B24" s="131" t="s">
        <v>251</v>
      </c>
      <c r="C24" s="131" t="s">
        <v>251</v>
      </c>
      <c r="D24" s="131" t="s">
        <v>251</v>
      </c>
      <c r="E24" s="131" t="s">
        <v>251</v>
      </c>
      <c r="F24" s="131" t="s">
        <v>251</v>
      </c>
      <c r="G24" s="132" t="s">
        <v>251</v>
      </c>
      <c r="H24" s="132" t="s">
        <v>251</v>
      </c>
      <c r="I24" s="131" t="s">
        <v>251</v>
      </c>
      <c r="J24" s="131" t="s">
        <v>251</v>
      </c>
      <c r="K24" s="135" t="s">
        <v>251</v>
      </c>
      <c r="L24" s="136" t="s">
        <v>251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3" t="s">
        <v>1852</v>
      </c>
      <c r="B25" s="131" t="s">
        <v>251</v>
      </c>
      <c r="C25" s="131" t="s">
        <v>251</v>
      </c>
      <c r="D25" s="131" t="s">
        <v>251</v>
      </c>
      <c r="E25" s="131" t="s">
        <v>251</v>
      </c>
      <c r="F25" s="131" t="s">
        <v>251</v>
      </c>
      <c r="G25" s="132" t="s">
        <v>251</v>
      </c>
      <c r="H25" s="132" t="s">
        <v>251</v>
      </c>
      <c r="I25" s="131" t="s">
        <v>251</v>
      </c>
      <c r="J25" s="131" t="s">
        <v>251</v>
      </c>
      <c r="K25" s="135" t="s">
        <v>251</v>
      </c>
      <c r="L25" s="136" t="s">
        <v>251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3" t="s">
        <v>1853</v>
      </c>
      <c r="B26" s="131" t="s">
        <v>251</v>
      </c>
      <c r="C26" s="131" t="s">
        <v>251</v>
      </c>
      <c r="D26" s="131" t="s">
        <v>251</v>
      </c>
      <c r="E26" s="131" t="s">
        <v>251</v>
      </c>
      <c r="F26" s="131" t="s">
        <v>251</v>
      </c>
      <c r="G26" s="132" t="s">
        <v>251</v>
      </c>
      <c r="H26" s="132" t="s">
        <v>251</v>
      </c>
      <c r="I26" s="131" t="s">
        <v>251</v>
      </c>
      <c r="J26" s="131" t="s">
        <v>251</v>
      </c>
      <c r="K26" s="135" t="s">
        <v>251</v>
      </c>
      <c r="L26" s="136" t="s">
        <v>251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9" t="s">
        <v>242</v>
      </c>
      <c r="B27" s="125"/>
      <c r="C27" s="79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9" t="s">
        <v>243</v>
      </c>
      <c r="B28" s="125"/>
      <c r="C28" s="79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9" t="s">
        <v>244</v>
      </c>
      <c r="B29" s="125"/>
      <c r="C29" s="79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9" t="s">
        <v>245</v>
      </c>
      <c r="B30" s="125"/>
      <c r="C30" s="79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9" t="s">
        <v>246</v>
      </c>
      <c r="B31" s="125"/>
      <c r="C31" s="79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6:P6"/>
    <mergeCell ref="A5:P5"/>
  </mergeCells>
  <phoneticPr fontId="3" type="noConversion"/>
  <conditionalFormatting sqref="A11:A26 M11:M26">
    <cfRule type="expression" dxfId="77" priority="235" stopIfTrue="1">
      <formula>#REF!&gt;0</formula>
    </cfRule>
  </conditionalFormatting>
  <conditionalFormatting sqref="B11:J26">
    <cfRule type="expression" dxfId="76" priority="237" stopIfTrue="1">
      <formula>LEFT(#REF!,3)="TIR"</formula>
    </cfRule>
  </conditionalFormatting>
  <conditionalFormatting sqref="O11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workbookViewId="0"/>
  </sheetViews>
  <sheetFormatPr defaultColWidth="9.109375" defaultRowHeight="13.2" x14ac:dyDescent="0.25"/>
  <cols>
    <col min="1" max="1" width="43" style="10" bestFit="1" customWidth="1"/>
    <col min="2" max="2" width="13.5546875" style="9" bestFit="1" customWidth="1"/>
    <col min="3" max="3" width="7.5546875" style="10" customWidth="1"/>
    <col min="4" max="4" width="11.109375" style="11" customWidth="1"/>
    <col min="5" max="5" width="14.109375" style="11" customWidth="1"/>
    <col min="6" max="6" width="7.88671875" style="11" customWidth="1"/>
    <col min="7" max="7" width="11.33203125" style="12" customWidth="1"/>
    <col min="8" max="8" width="12.5546875" style="13" customWidth="1"/>
    <col min="9" max="9" width="14.109375" style="20" customWidth="1"/>
    <col min="10" max="10" width="10.5546875" style="20" customWidth="1"/>
    <col min="11" max="11" width="7" style="20" customWidth="1"/>
    <col min="12" max="12" width="10.44140625" style="13" customWidth="1"/>
    <col min="13" max="13" width="22" style="13" customWidth="1"/>
    <col min="14" max="14" width="25.44140625" style="13" customWidth="1"/>
    <col min="15" max="15" width="20.6640625" style="15" customWidth="1"/>
    <col min="16" max="16" width="15.44140625" style="15" customWidth="1"/>
    <col min="17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3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3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3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3"/>
      <c r="M4" s="13"/>
      <c r="N4" s="13"/>
      <c r="O4" s="15"/>
    </row>
    <row r="5" spans="1:15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4"/>
    </row>
    <row r="6" spans="1:15" s="7" customFormat="1" x14ac:dyDescent="0.25">
      <c r="A6" s="225" t="s">
        <v>12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7"/>
    </row>
    <row r="7" spans="1:15" s="7" customFormat="1" ht="31.5" customHeight="1" x14ac:dyDescent="0.25">
      <c r="A7" s="87" t="s">
        <v>157</v>
      </c>
      <c r="B7" s="204" t="s">
        <v>69</v>
      </c>
      <c r="C7" s="204" t="s">
        <v>70</v>
      </c>
      <c r="D7" s="204" t="s">
        <v>5</v>
      </c>
      <c r="E7" s="204" t="s">
        <v>13</v>
      </c>
      <c r="F7" s="204" t="s">
        <v>14</v>
      </c>
      <c r="G7" s="204" t="s">
        <v>6</v>
      </c>
      <c r="H7" s="205" t="s">
        <v>66</v>
      </c>
      <c r="I7" s="205" t="s">
        <v>71</v>
      </c>
      <c r="J7" s="205" t="s">
        <v>67</v>
      </c>
      <c r="K7" s="205" t="s">
        <v>68</v>
      </c>
      <c r="L7" s="205" t="s">
        <v>29</v>
      </c>
      <c r="M7" s="90" t="s">
        <v>17</v>
      </c>
      <c r="N7" s="90" t="s">
        <v>75</v>
      </c>
      <c r="O7" s="91" t="s">
        <v>8</v>
      </c>
    </row>
    <row r="8" spans="1:15" s="7" customFormat="1" x14ac:dyDescent="0.25">
      <c r="A8" s="27"/>
      <c r="B8" s="3"/>
      <c r="C8" s="3"/>
      <c r="D8" s="28"/>
      <c r="E8" s="29" t="s">
        <v>15</v>
      </c>
      <c r="F8" s="29" t="s">
        <v>16</v>
      </c>
      <c r="G8" s="30"/>
      <c r="H8" s="2" t="s">
        <v>9</v>
      </c>
      <c r="I8" s="2" t="s">
        <v>9</v>
      </c>
      <c r="J8" s="2" t="s">
        <v>133</v>
      </c>
      <c r="K8" s="2"/>
      <c r="L8" s="2" t="s">
        <v>135</v>
      </c>
      <c r="M8" s="31" t="s">
        <v>9</v>
      </c>
      <c r="N8" s="31" t="s">
        <v>9</v>
      </c>
      <c r="O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3">
        <v>14</v>
      </c>
    </row>
    <row r="10" spans="1:15" s="119" customFormat="1" ht="12.75" customHeight="1" thickBot="1" x14ac:dyDescent="0.3">
      <c r="A10" s="73" t="s">
        <v>52</v>
      </c>
      <c r="B10" s="120" t="s">
        <v>251</v>
      </c>
      <c r="C10" s="120"/>
      <c r="D10" s="120"/>
      <c r="E10" s="120" t="s">
        <v>251</v>
      </c>
      <c r="F10" s="120" t="s">
        <v>251</v>
      </c>
      <c r="G10" s="120" t="s">
        <v>251</v>
      </c>
      <c r="H10" s="120" t="s">
        <v>251</v>
      </c>
      <c r="I10" s="120" t="s">
        <v>251</v>
      </c>
      <c r="J10" s="156" t="s">
        <v>251</v>
      </c>
      <c r="K10" s="120" t="s">
        <v>251</v>
      </c>
      <c r="L10" s="81">
        <v>6.9999999999999997E-7</v>
      </c>
      <c r="M10" s="120" t="s">
        <v>251</v>
      </c>
      <c r="N10" s="106">
        <v>1</v>
      </c>
      <c r="O10" s="59">
        <v>0</v>
      </c>
    </row>
    <row r="11" spans="1:15" s="119" customFormat="1" x14ac:dyDescent="0.25">
      <c r="A11" s="92" t="s">
        <v>137</v>
      </c>
      <c r="B11" s="121" t="s">
        <v>251</v>
      </c>
      <c r="C11" s="143" t="s">
        <v>251</v>
      </c>
      <c r="D11" s="143" t="s">
        <v>251</v>
      </c>
      <c r="E11" s="143" t="s">
        <v>251</v>
      </c>
      <c r="F11" s="143" t="s">
        <v>251</v>
      </c>
      <c r="G11" s="143" t="s">
        <v>251</v>
      </c>
      <c r="H11" s="157" t="s">
        <v>251</v>
      </c>
      <c r="I11" s="157" t="s">
        <v>251</v>
      </c>
      <c r="J11" s="142" t="s">
        <v>251</v>
      </c>
      <c r="K11" s="143" t="s">
        <v>251</v>
      </c>
      <c r="L11" s="123">
        <v>0</v>
      </c>
      <c r="M11" s="157" t="s">
        <v>251</v>
      </c>
      <c r="N11" s="121">
        <v>0</v>
      </c>
      <c r="O11" s="121">
        <v>0</v>
      </c>
    </row>
    <row r="12" spans="1:15" s="119" customFormat="1" x14ac:dyDescent="0.25">
      <c r="A12" s="93" t="s">
        <v>1857</v>
      </c>
      <c r="B12" s="121" t="s">
        <v>251</v>
      </c>
      <c r="C12" s="145" t="s">
        <v>251</v>
      </c>
      <c r="D12" s="145" t="s">
        <v>251</v>
      </c>
      <c r="E12" s="145" t="s">
        <v>251</v>
      </c>
      <c r="F12" s="145" t="s">
        <v>251</v>
      </c>
      <c r="G12" s="145" t="s">
        <v>251</v>
      </c>
      <c r="H12" s="158" t="s">
        <v>251</v>
      </c>
      <c r="I12" s="158" t="s">
        <v>251</v>
      </c>
      <c r="J12" s="144" t="s">
        <v>251</v>
      </c>
      <c r="K12" s="145" t="s">
        <v>251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3" t="s">
        <v>1858</v>
      </c>
      <c r="B13" s="121" t="s">
        <v>251</v>
      </c>
      <c r="C13" s="145" t="s">
        <v>251</v>
      </c>
      <c r="D13" s="145" t="s">
        <v>251</v>
      </c>
      <c r="E13" s="145" t="s">
        <v>251</v>
      </c>
      <c r="F13" s="145" t="s">
        <v>251</v>
      </c>
      <c r="G13" s="145" t="s">
        <v>251</v>
      </c>
      <c r="H13" s="158" t="s">
        <v>251</v>
      </c>
      <c r="I13" s="158" t="s">
        <v>251</v>
      </c>
      <c r="J13" s="144" t="s">
        <v>251</v>
      </c>
      <c r="K13" s="145" t="s">
        <v>251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3" t="s">
        <v>1859</v>
      </c>
      <c r="B14" s="121" t="s">
        <v>251</v>
      </c>
      <c r="C14" s="145" t="s">
        <v>251</v>
      </c>
      <c r="D14" s="145" t="s">
        <v>251</v>
      </c>
      <c r="E14" s="145" t="s">
        <v>251</v>
      </c>
      <c r="F14" s="145" t="s">
        <v>251</v>
      </c>
      <c r="G14" s="145" t="s">
        <v>251</v>
      </c>
      <c r="H14" s="158" t="s">
        <v>251</v>
      </c>
      <c r="I14" s="158" t="s">
        <v>251</v>
      </c>
      <c r="J14" s="144" t="s">
        <v>251</v>
      </c>
      <c r="K14" s="145" t="s">
        <v>251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3" t="s">
        <v>1860</v>
      </c>
      <c r="B15" s="121" t="s">
        <v>251</v>
      </c>
      <c r="C15" s="145" t="s">
        <v>251</v>
      </c>
      <c r="D15" s="145" t="s">
        <v>251</v>
      </c>
      <c r="E15" s="145" t="s">
        <v>251</v>
      </c>
      <c r="F15" s="145" t="s">
        <v>251</v>
      </c>
      <c r="G15" s="145" t="s">
        <v>251</v>
      </c>
      <c r="H15" s="158" t="s">
        <v>251</v>
      </c>
      <c r="I15" s="158" t="s">
        <v>251</v>
      </c>
      <c r="J15" s="144" t="s">
        <v>251</v>
      </c>
      <c r="K15" s="145" t="s">
        <v>251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3" t="s">
        <v>218</v>
      </c>
      <c r="B16" s="121" t="s">
        <v>251</v>
      </c>
      <c r="C16" s="145" t="s">
        <v>251</v>
      </c>
      <c r="D16" s="145" t="s">
        <v>251</v>
      </c>
      <c r="E16" s="145" t="s">
        <v>251</v>
      </c>
      <c r="F16" s="145" t="s">
        <v>251</v>
      </c>
      <c r="G16" s="145" t="s">
        <v>251</v>
      </c>
      <c r="H16" s="158" t="s">
        <v>251</v>
      </c>
      <c r="I16" s="158" t="s">
        <v>251</v>
      </c>
      <c r="J16" s="144" t="s">
        <v>251</v>
      </c>
      <c r="K16" s="145" t="s">
        <v>251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3" t="s">
        <v>498</v>
      </c>
      <c r="B17" s="121" t="s">
        <v>251</v>
      </c>
      <c r="C17" s="145" t="s">
        <v>251</v>
      </c>
      <c r="D17" s="145" t="s">
        <v>251</v>
      </c>
      <c r="E17" s="145" t="s">
        <v>251</v>
      </c>
      <c r="F17" s="145" t="s">
        <v>251</v>
      </c>
      <c r="G17" s="145" t="s">
        <v>251</v>
      </c>
      <c r="H17" s="158" t="s">
        <v>251</v>
      </c>
      <c r="I17" s="158" t="s">
        <v>251</v>
      </c>
      <c r="J17" s="144" t="s">
        <v>251</v>
      </c>
      <c r="K17" s="145" t="s">
        <v>251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3" t="s">
        <v>1861</v>
      </c>
      <c r="B18" s="121" t="s">
        <v>251</v>
      </c>
      <c r="C18" s="145" t="s">
        <v>251</v>
      </c>
      <c r="D18" s="145" t="s">
        <v>251</v>
      </c>
      <c r="E18" s="145" t="s">
        <v>251</v>
      </c>
      <c r="F18" s="145" t="s">
        <v>251</v>
      </c>
      <c r="G18" s="145" t="s">
        <v>251</v>
      </c>
      <c r="H18" s="158" t="s">
        <v>251</v>
      </c>
      <c r="I18" s="158" t="s">
        <v>251</v>
      </c>
      <c r="J18" s="144" t="s">
        <v>251</v>
      </c>
      <c r="K18" s="145" t="s">
        <v>251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93" t="s">
        <v>1862</v>
      </c>
      <c r="B19" s="121" t="s">
        <v>251</v>
      </c>
      <c r="C19" s="145" t="s">
        <v>251</v>
      </c>
      <c r="D19" s="145" t="s">
        <v>251</v>
      </c>
      <c r="E19" s="145" t="s">
        <v>251</v>
      </c>
      <c r="F19" s="145" t="s">
        <v>251</v>
      </c>
      <c r="G19" s="145" t="s">
        <v>251</v>
      </c>
      <c r="H19" s="158" t="s">
        <v>251</v>
      </c>
      <c r="I19" s="158" t="s">
        <v>251</v>
      </c>
      <c r="J19" s="144" t="s">
        <v>251</v>
      </c>
      <c r="K19" s="145" t="s">
        <v>251</v>
      </c>
      <c r="L19" s="124">
        <v>0</v>
      </c>
      <c r="M19" s="158"/>
      <c r="N19" s="137">
        <v>0</v>
      </c>
      <c r="O19" s="137">
        <v>0</v>
      </c>
    </row>
    <row r="20" spans="1:15" s="119" customFormat="1" x14ac:dyDescent="0.25">
      <c r="A20" s="79" t="s">
        <v>242</v>
      </c>
      <c r="B20" s="125"/>
      <c r="C20" s="79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9" t="s">
        <v>243</v>
      </c>
      <c r="B21" s="125"/>
      <c r="C21" s="79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9" t="s">
        <v>244</v>
      </c>
      <c r="B22" s="125"/>
      <c r="C22" s="79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9" t="s">
        <v>245</v>
      </c>
      <c r="B23" s="125"/>
      <c r="C23" s="79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  <row r="24" spans="1:15" s="119" customFormat="1" x14ac:dyDescent="0.25">
      <c r="A24" s="79" t="s">
        <v>246</v>
      </c>
      <c r="B24" s="125"/>
      <c r="C24" s="79"/>
      <c r="D24" s="146"/>
      <c r="E24" s="146"/>
      <c r="F24" s="146"/>
      <c r="G24" s="147"/>
      <c r="H24" s="130"/>
      <c r="I24" s="148"/>
      <c r="J24" s="148"/>
      <c r="K24" s="148"/>
      <c r="L24" s="130"/>
      <c r="M24" s="130"/>
      <c r="N24" s="130"/>
    </row>
  </sheetData>
  <mergeCells count="2">
    <mergeCell ref="A6:O6"/>
    <mergeCell ref="A5:O5"/>
  </mergeCells>
  <phoneticPr fontId="3" type="noConversion"/>
  <conditionalFormatting sqref="A11:A19 L11:L19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4 F11:F19 H11:K19 M11:N19 H20:H55554">
    <cfRule type="expression" dxfId="72" priority="249" stopIfTrue="1">
      <formula>LEFT(#REF!,3)="TIR"</formula>
    </cfRule>
  </conditionalFormatting>
  <conditionalFormatting sqref="H7">
    <cfRule type="expression" dxfId="71" priority="254" stopIfTrue="1">
      <formula>LEFT(#REF!,3)="TIR"</formula>
    </cfRule>
  </conditionalFormatting>
  <conditionalFormatting sqref="N11:O19 B11:E19 G11:G19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7.5546875" style="11" customWidth="1"/>
    <col min="7" max="7" width="11.109375" style="11" customWidth="1"/>
    <col min="8" max="8" width="14.109375" style="11" customWidth="1"/>
    <col min="9" max="9" width="7.88671875" style="12" customWidth="1"/>
    <col min="10" max="10" width="11.33203125" style="13" customWidth="1"/>
    <col min="11" max="11" width="12.5546875" style="20" customWidth="1"/>
    <col min="12" max="12" width="14.109375" style="20" customWidth="1"/>
    <col min="13" max="13" width="10.5546875" style="20" customWidth="1"/>
    <col min="14" max="14" width="7" style="13" customWidth="1"/>
    <col min="15" max="15" width="10.44140625" style="13" customWidth="1"/>
    <col min="16" max="16" width="22" style="15" customWidth="1"/>
    <col min="17" max="17" width="25.44140625" style="15" customWidth="1"/>
    <col min="18" max="18" width="20.6640625" style="15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11"/>
      <c r="G1" s="11"/>
      <c r="H1" s="11"/>
      <c r="I1" s="12"/>
      <c r="J1" s="13"/>
      <c r="K1" s="14"/>
      <c r="L1" s="14"/>
      <c r="M1" s="14"/>
      <c r="N1" s="13"/>
      <c r="O1" s="13"/>
      <c r="P1" s="15"/>
      <c r="Q1" s="15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11"/>
      <c r="G2" s="11"/>
      <c r="H2" s="11"/>
      <c r="I2" s="12"/>
      <c r="J2" s="13"/>
      <c r="K2" s="14"/>
      <c r="L2" s="14"/>
      <c r="M2" s="14"/>
      <c r="N2" s="13"/>
      <c r="O2" s="13"/>
      <c r="P2" s="15"/>
      <c r="Q2" s="15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11"/>
      <c r="G3" s="11"/>
      <c r="H3" s="11"/>
      <c r="I3" s="12"/>
      <c r="J3" s="13"/>
      <c r="K3" s="14"/>
      <c r="L3" s="14"/>
      <c r="M3" s="14"/>
      <c r="N3" s="13"/>
      <c r="O3" s="13"/>
      <c r="P3" s="15"/>
      <c r="Q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11"/>
      <c r="G4" s="11"/>
      <c r="H4" s="11"/>
      <c r="I4" s="12"/>
      <c r="J4" s="13"/>
      <c r="K4" s="14"/>
      <c r="L4" s="14"/>
      <c r="M4" s="14"/>
      <c r="N4" s="13"/>
      <c r="O4" s="13"/>
      <c r="P4" s="15"/>
      <c r="Q4" s="15"/>
    </row>
    <row r="5" spans="1:18" s="7" customFormat="1" ht="13.8" thickBot="1" x14ac:dyDescent="0.3">
      <c r="A5" s="232" t="s">
        <v>28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4"/>
    </row>
    <row r="6" spans="1:18" s="7" customFormat="1" x14ac:dyDescent="0.25">
      <c r="A6" s="225" t="s">
        <v>18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/>
    </row>
    <row r="7" spans="1:18" s="7" customFormat="1" ht="30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40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9" customFormat="1" ht="12.75" customHeight="1" thickBot="1" x14ac:dyDescent="0.3">
      <c r="A10" s="100" t="s">
        <v>61</v>
      </c>
      <c r="B10" s="68" t="s">
        <v>251</v>
      </c>
      <c r="C10" s="68" t="s">
        <v>251</v>
      </c>
      <c r="D10" s="68" t="s">
        <v>251</v>
      </c>
      <c r="E10" s="68" t="s">
        <v>251</v>
      </c>
      <c r="F10" s="101"/>
      <c r="G10" s="139" t="s">
        <v>251</v>
      </c>
      <c r="H10" s="139" t="s">
        <v>251</v>
      </c>
      <c r="I10" s="139" t="s">
        <v>251</v>
      </c>
      <c r="J10" s="139" t="s">
        <v>251</v>
      </c>
      <c r="K10" s="140" t="s">
        <v>251</v>
      </c>
      <c r="L10" s="140" t="s">
        <v>251</v>
      </c>
      <c r="M10" s="102" t="s">
        <v>251</v>
      </c>
      <c r="N10" s="139" t="s">
        <v>251</v>
      </c>
      <c r="O10" s="103">
        <v>6.0000000000000008E-7</v>
      </c>
      <c r="P10" s="120" t="s">
        <v>251</v>
      </c>
      <c r="Q10" s="106">
        <v>1</v>
      </c>
      <c r="R10" s="59">
        <v>0</v>
      </c>
    </row>
    <row r="11" spans="1:18" s="119" customFormat="1" x14ac:dyDescent="0.25">
      <c r="A11" s="92" t="s">
        <v>137</v>
      </c>
      <c r="B11" s="121" t="s">
        <v>251</v>
      </c>
      <c r="C11" s="121" t="s">
        <v>251</v>
      </c>
      <c r="D11" s="121" t="s">
        <v>251</v>
      </c>
      <c r="E11" s="121" t="s">
        <v>251</v>
      </c>
      <c r="F11" s="122" t="s">
        <v>251</v>
      </c>
      <c r="G11" s="143" t="s">
        <v>251</v>
      </c>
      <c r="H11" s="143" t="s">
        <v>251</v>
      </c>
      <c r="I11" s="143" t="s">
        <v>251</v>
      </c>
      <c r="J11" s="143" t="s">
        <v>251</v>
      </c>
      <c r="K11" s="157" t="s">
        <v>251</v>
      </c>
      <c r="L11" s="157" t="s">
        <v>251</v>
      </c>
      <c r="M11" s="133" t="s">
        <v>251</v>
      </c>
      <c r="N11" s="143" t="s">
        <v>251</v>
      </c>
      <c r="O11" s="123">
        <v>0</v>
      </c>
      <c r="P11" s="157" t="s">
        <v>251</v>
      </c>
      <c r="Q11" s="121">
        <v>0</v>
      </c>
      <c r="R11" s="121">
        <v>0</v>
      </c>
    </row>
    <row r="12" spans="1:18" s="119" customFormat="1" x14ac:dyDescent="0.25">
      <c r="A12" s="93" t="s">
        <v>1863</v>
      </c>
      <c r="B12" s="121" t="s">
        <v>251</v>
      </c>
      <c r="C12" s="137" t="s">
        <v>251</v>
      </c>
      <c r="D12" s="137" t="s">
        <v>251</v>
      </c>
      <c r="E12" s="137" t="s">
        <v>251</v>
      </c>
      <c r="F12" s="136" t="s">
        <v>251</v>
      </c>
      <c r="G12" s="145" t="s">
        <v>251</v>
      </c>
      <c r="H12" s="145" t="s">
        <v>251</v>
      </c>
      <c r="I12" s="145" t="s">
        <v>251</v>
      </c>
      <c r="J12" s="145" t="s">
        <v>251</v>
      </c>
      <c r="K12" s="158" t="s">
        <v>251</v>
      </c>
      <c r="L12" s="158" t="s">
        <v>251</v>
      </c>
      <c r="M12" s="135" t="s">
        <v>251</v>
      </c>
      <c r="N12" s="145" t="s">
        <v>251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3" t="s">
        <v>1864</v>
      </c>
      <c r="B13" s="121" t="s">
        <v>251</v>
      </c>
      <c r="C13" s="137" t="s">
        <v>251</v>
      </c>
      <c r="D13" s="137" t="s">
        <v>251</v>
      </c>
      <c r="E13" s="137" t="s">
        <v>251</v>
      </c>
      <c r="F13" s="136" t="s">
        <v>251</v>
      </c>
      <c r="G13" s="145" t="s">
        <v>251</v>
      </c>
      <c r="H13" s="145" t="s">
        <v>251</v>
      </c>
      <c r="I13" s="145" t="s">
        <v>251</v>
      </c>
      <c r="J13" s="145" t="s">
        <v>251</v>
      </c>
      <c r="K13" s="158" t="s">
        <v>251</v>
      </c>
      <c r="L13" s="158" t="s">
        <v>251</v>
      </c>
      <c r="M13" s="135" t="s">
        <v>251</v>
      </c>
      <c r="N13" s="145" t="s">
        <v>251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3" t="s">
        <v>516</v>
      </c>
      <c r="B14" s="121" t="s">
        <v>251</v>
      </c>
      <c r="C14" s="137" t="s">
        <v>251</v>
      </c>
      <c r="D14" s="137" t="s">
        <v>251</v>
      </c>
      <c r="E14" s="137" t="s">
        <v>251</v>
      </c>
      <c r="F14" s="136" t="s">
        <v>251</v>
      </c>
      <c r="G14" s="145" t="s">
        <v>251</v>
      </c>
      <c r="H14" s="145" t="s">
        <v>251</v>
      </c>
      <c r="I14" s="145" t="s">
        <v>251</v>
      </c>
      <c r="J14" s="145" t="s">
        <v>251</v>
      </c>
      <c r="K14" s="158" t="s">
        <v>251</v>
      </c>
      <c r="L14" s="158" t="s">
        <v>251</v>
      </c>
      <c r="M14" s="135" t="s">
        <v>251</v>
      </c>
      <c r="N14" s="136" t="s">
        <v>251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3" t="s">
        <v>141</v>
      </c>
      <c r="B15" s="121" t="s">
        <v>251</v>
      </c>
      <c r="C15" s="137" t="s">
        <v>251</v>
      </c>
      <c r="D15" s="137" t="s">
        <v>251</v>
      </c>
      <c r="E15" s="137" t="s">
        <v>251</v>
      </c>
      <c r="F15" s="136" t="s">
        <v>251</v>
      </c>
      <c r="G15" s="145" t="s">
        <v>251</v>
      </c>
      <c r="H15" s="145" t="s">
        <v>251</v>
      </c>
      <c r="I15" s="145" t="s">
        <v>251</v>
      </c>
      <c r="J15" s="145" t="s">
        <v>251</v>
      </c>
      <c r="K15" s="158" t="s">
        <v>251</v>
      </c>
      <c r="L15" s="158" t="s">
        <v>251</v>
      </c>
      <c r="M15" s="135" t="s">
        <v>251</v>
      </c>
      <c r="N15" s="145" t="s">
        <v>251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3" t="s">
        <v>498</v>
      </c>
      <c r="B16" s="121" t="s">
        <v>251</v>
      </c>
      <c r="C16" s="137" t="s">
        <v>251</v>
      </c>
      <c r="D16" s="137" t="s">
        <v>251</v>
      </c>
      <c r="E16" s="137" t="s">
        <v>251</v>
      </c>
      <c r="F16" s="136" t="s">
        <v>251</v>
      </c>
      <c r="G16" s="145" t="s">
        <v>251</v>
      </c>
      <c r="H16" s="145" t="s">
        <v>251</v>
      </c>
      <c r="I16" s="145" t="s">
        <v>251</v>
      </c>
      <c r="J16" s="145" t="s">
        <v>251</v>
      </c>
      <c r="K16" s="158" t="s">
        <v>251</v>
      </c>
      <c r="L16" s="158" t="s">
        <v>251</v>
      </c>
      <c r="M16" s="135" t="s">
        <v>251</v>
      </c>
      <c r="N16" s="145" t="s">
        <v>251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3" t="s">
        <v>1865</v>
      </c>
      <c r="B17" s="121" t="s">
        <v>251</v>
      </c>
      <c r="C17" s="137" t="s">
        <v>251</v>
      </c>
      <c r="D17" s="137" t="s">
        <v>251</v>
      </c>
      <c r="E17" s="137" t="s">
        <v>251</v>
      </c>
      <c r="F17" s="136" t="s">
        <v>251</v>
      </c>
      <c r="G17" s="145" t="s">
        <v>251</v>
      </c>
      <c r="H17" s="145" t="s">
        <v>251</v>
      </c>
      <c r="I17" s="145" t="s">
        <v>251</v>
      </c>
      <c r="J17" s="145" t="s">
        <v>251</v>
      </c>
      <c r="K17" s="158" t="s">
        <v>251</v>
      </c>
      <c r="L17" s="158" t="s">
        <v>251</v>
      </c>
      <c r="M17" s="135" t="s">
        <v>251</v>
      </c>
      <c r="N17" s="145" t="s">
        <v>251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93" t="s">
        <v>1866</v>
      </c>
      <c r="B18" s="121" t="s">
        <v>251</v>
      </c>
      <c r="C18" s="137" t="s">
        <v>251</v>
      </c>
      <c r="D18" s="137" t="s">
        <v>251</v>
      </c>
      <c r="E18" s="137" t="s">
        <v>251</v>
      </c>
      <c r="F18" s="136" t="s">
        <v>251</v>
      </c>
      <c r="G18" s="145" t="s">
        <v>251</v>
      </c>
      <c r="H18" s="145" t="s">
        <v>251</v>
      </c>
      <c r="I18" s="145" t="s">
        <v>251</v>
      </c>
      <c r="J18" s="145" t="s">
        <v>251</v>
      </c>
      <c r="K18" s="158" t="s">
        <v>251</v>
      </c>
      <c r="L18" s="158" t="s">
        <v>251</v>
      </c>
      <c r="M18" s="135" t="s">
        <v>251</v>
      </c>
      <c r="N18" s="145" t="s">
        <v>251</v>
      </c>
      <c r="O18" s="124">
        <v>0</v>
      </c>
      <c r="P18" s="158"/>
      <c r="Q18" s="137">
        <v>0</v>
      </c>
      <c r="R18" s="137">
        <v>0</v>
      </c>
    </row>
    <row r="19" spans="1:18" s="119" customFormat="1" x14ac:dyDescent="0.25">
      <c r="A19" s="79" t="s">
        <v>242</v>
      </c>
      <c r="B19" s="125"/>
      <c r="C19" s="125"/>
      <c r="D19" s="125"/>
      <c r="E19" s="79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9" t="s">
        <v>243</v>
      </c>
      <c r="B20" s="125"/>
      <c r="C20" s="125"/>
      <c r="D20" s="125"/>
      <c r="E20" s="79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9" t="s">
        <v>244</v>
      </c>
      <c r="B21" s="125"/>
      <c r="C21" s="125"/>
      <c r="D21" s="125"/>
      <c r="E21" s="79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9" t="s">
        <v>245</v>
      </c>
      <c r="B22" s="125"/>
      <c r="C22" s="125"/>
      <c r="D22" s="125"/>
      <c r="E22" s="79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  <row r="23" spans="1:18" s="119" customFormat="1" x14ac:dyDescent="0.25">
      <c r="A23" s="79" t="s">
        <v>246</v>
      </c>
      <c r="B23" s="125"/>
      <c r="C23" s="125"/>
      <c r="D23" s="125"/>
      <c r="E23" s="79"/>
      <c r="F23" s="146"/>
      <c r="G23" s="146"/>
      <c r="H23" s="146"/>
      <c r="I23" s="147"/>
      <c r="J23" s="130"/>
      <c r="K23" s="148"/>
      <c r="L23" s="148"/>
      <c r="M23" s="148"/>
      <c r="N23" s="130"/>
      <c r="O23" s="130"/>
    </row>
  </sheetData>
  <mergeCells count="2">
    <mergeCell ref="A6:R6"/>
    <mergeCell ref="A5:R5"/>
  </mergeCells>
  <phoneticPr fontId="3" type="noConversion"/>
  <conditionalFormatting sqref="A10:A18 O11:O18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10:H18 J10:J18">
    <cfRule type="expression" dxfId="67" priority="279" stopIfTrue="1">
      <formula>LEFT(#REF!,3)="TIR"</formula>
    </cfRule>
  </conditionalFormatting>
  <conditionalFormatting sqref="J1:J4 I10:I18 K10:N18 P11:Q18 J19:J55553">
    <cfRule type="expression" dxfId="66" priority="273" stopIfTrue="1">
      <formula>LEFT(#REF!,3)="TIR"</formula>
    </cfRule>
  </conditionalFormatting>
  <conditionalFormatting sqref="K7">
    <cfRule type="expression" dxfId="65" priority="278" stopIfTrue="1">
      <formula>LEFT(#REF!,3)="TIR"</formula>
    </cfRule>
  </conditionalFormatting>
  <conditionalFormatting sqref="Q11:R18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2"/>
  <sheetViews>
    <sheetView rightToLeft="1" zoomScale="80" workbookViewId="0"/>
  </sheetViews>
  <sheetFormatPr defaultColWidth="9.109375" defaultRowHeight="13.2" x14ac:dyDescent="0.25"/>
  <cols>
    <col min="1" max="1" width="37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6.5546875" style="10" bestFit="1" customWidth="1"/>
    <col min="6" max="6" width="7.5546875" style="60" customWidth="1"/>
    <col min="7" max="7" width="11.109375" style="60" customWidth="1"/>
    <col min="8" max="8" width="14.109375" style="60" customWidth="1"/>
    <col min="9" max="9" width="7.88671875" style="37" customWidth="1"/>
    <col min="10" max="10" width="12" style="62" bestFit="1" customWidth="1"/>
    <col min="11" max="11" width="12.5546875" style="64" customWidth="1"/>
    <col min="12" max="12" width="14.109375" style="64" customWidth="1"/>
    <col min="13" max="13" width="12.44140625" style="64" bestFit="1" customWidth="1"/>
    <col min="14" max="14" width="8.88671875" style="62" bestFit="1" customWidth="1"/>
    <col min="15" max="15" width="11.33203125" style="62" bestFit="1" customWidth="1"/>
    <col min="16" max="16" width="22" style="66" customWidth="1"/>
    <col min="17" max="17" width="25.44140625" style="66" customWidth="1"/>
    <col min="18" max="18" width="20.6640625" style="66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3"/>
      <c r="L1" s="63"/>
      <c r="M1" s="63"/>
      <c r="N1" s="62"/>
      <c r="O1" s="62"/>
      <c r="P1" s="66"/>
      <c r="Q1" s="66"/>
      <c r="R1" s="44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3"/>
      <c r="L2" s="63"/>
      <c r="M2" s="63"/>
      <c r="N2" s="62"/>
      <c r="O2" s="62"/>
      <c r="P2" s="66"/>
      <c r="Q2" s="66"/>
      <c r="R2" s="44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3"/>
      <c r="L3" s="63"/>
      <c r="M3" s="63"/>
      <c r="N3" s="62"/>
      <c r="O3" s="62"/>
      <c r="P3" s="66"/>
      <c r="Q3" s="66"/>
      <c r="R3" s="44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3"/>
      <c r="L4" s="63"/>
      <c r="M4" s="63"/>
      <c r="N4" s="62"/>
      <c r="O4" s="62"/>
      <c r="P4" s="66"/>
      <c r="Q4" s="66"/>
      <c r="R4" s="44"/>
    </row>
    <row r="5" spans="1:18" s="7" customFormat="1" ht="13.8" thickBot="1" x14ac:dyDescent="0.3">
      <c r="A5" s="232" t="s">
        <v>28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4"/>
    </row>
    <row r="6" spans="1:18" s="7" customFormat="1" x14ac:dyDescent="0.25">
      <c r="A6" s="225" t="s">
        <v>20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/>
    </row>
    <row r="7" spans="1:18" s="7" customFormat="1" ht="30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15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9" customFormat="1" ht="12.75" customHeight="1" thickBot="1" x14ac:dyDescent="0.3">
      <c r="A10" s="100" t="s">
        <v>58</v>
      </c>
      <c r="B10" s="68"/>
      <c r="C10" s="68"/>
      <c r="D10" s="68"/>
      <c r="E10" s="68"/>
      <c r="F10" s="101"/>
      <c r="G10" s="101"/>
      <c r="H10" s="101"/>
      <c r="I10" s="101"/>
      <c r="J10" s="101"/>
      <c r="K10" s="68"/>
      <c r="L10" s="68"/>
      <c r="M10" s="102"/>
      <c r="N10" s="101"/>
      <c r="O10" s="105">
        <v>21866.1604806</v>
      </c>
      <c r="P10" s="68"/>
      <c r="Q10" s="68">
        <v>1</v>
      </c>
      <c r="R10" s="82">
        <v>4.0799763640999707E-2</v>
      </c>
    </row>
    <row r="11" spans="1:18" s="119" customFormat="1" x14ac:dyDescent="0.25">
      <c r="A11" s="92" t="s">
        <v>137</v>
      </c>
      <c r="B11" s="121" t="s">
        <v>251</v>
      </c>
      <c r="C11" s="121" t="s">
        <v>251</v>
      </c>
      <c r="D11" s="121" t="s">
        <v>251</v>
      </c>
      <c r="E11" s="121" t="s">
        <v>251</v>
      </c>
      <c r="F11" s="122" t="s">
        <v>251</v>
      </c>
      <c r="G11" s="122" t="s">
        <v>251</v>
      </c>
      <c r="H11" s="122" t="s">
        <v>251</v>
      </c>
      <c r="I11" s="133" t="s">
        <v>251</v>
      </c>
      <c r="J11" s="122" t="s">
        <v>251</v>
      </c>
      <c r="K11" s="121" t="s">
        <v>251</v>
      </c>
      <c r="L11" s="121" t="s">
        <v>251</v>
      </c>
      <c r="M11" s="133" t="s">
        <v>251</v>
      </c>
      <c r="N11" s="122" t="s">
        <v>251</v>
      </c>
      <c r="O11" s="134">
        <v>21866.160480399998</v>
      </c>
      <c r="P11" s="121" t="s">
        <v>251</v>
      </c>
      <c r="Q11" s="121">
        <v>0.99999999999085343</v>
      </c>
      <c r="R11" s="121">
        <v>4.0799763640626527E-2</v>
      </c>
    </row>
    <row r="12" spans="1:18" s="119" customFormat="1" x14ac:dyDescent="0.25">
      <c r="A12" s="93" t="s">
        <v>1863</v>
      </c>
      <c r="B12" s="137" t="s">
        <v>251</v>
      </c>
      <c r="C12" s="137" t="s">
        <v>251</v>
      </c>
      <c r="D12" s="137" t="s">
        <v>251</v>
      </c>
      <c r="E12" s="137" t="s">
        <v>251</v>
      </c>
      <c r="F12" s="122" t="s">
        <v>251</v>
      </c>
      <c r="G12" s="136" t="s">
        <v>251</v>
      </c>
      <c r="H12" s="136" t="s">
        <v>251</v>
      </c>
      <c r="I12" s="133" t="s">
        <v>251</v>
      </c>
      <c r="J12" s="136" t="s">
        <v>251</v>
      </c>
      <c r="K12" s="137" t="s">
        <v>251</v>
      </c>
      <c r="L12" s="137" t="s">
        <v>251</v>
      </c>
      <c r="M12" s="135" t="s">
        <v>251</v>
      </c>
      <c r="N12" s="122" t="s">
        <v>251</v>
      </c>
      <c r="O12" s="124">
        <v>19839.724990099996</v>
      </c>
      <c r="P12" s="137"/>
      <c r="Q12" s="121">
        <v>0.90732549995240874</v>
      </c>
      <c r="R12" s="121">
        <v>3.7018665943510165E-2</v>
      </c>
    </row>
    <row r="13" spans="1:18" x14ac:dyDescent="0.25">
      <c r="A13" s="17" t="s">
        <v>1876</v>
      </c>
      <c r="B13" s="25" t="s">
        <v>1877</v>
      </c>
      <c r="C13" s="25" t="s">
        <v>251</v>
      </c>
      <c r="D13" s="25" t="s">
        <v>753</v>
      </c>
      <c r="E13" s="25" t="s">
        <v>204</v>
      </c>
      <c r="F13" s="67" t="s">
        <v>255</v>
      </c>
      <c r="G13" s="61" t="s">
        <v>256</v>
      </c>
      <c r="H13" s="61" t="s">
        <v>1878</v>
      </c>
      <c r="I13" s="99">
        <v>5.7257999999999996</v>
      </c>
      <c r="J13" s="61" t="s">
        <v>257</v>
      </c>
      <c r="K13" s="25">
        <v>4.9000000000000002E-2</v>
      </c>
      <c r="L13" s="25">
        <v>2.7900000000000001E-2</v>
      </c>
      <c r="M13" s="70">
        <v>3968131.3363136644</v>
      </c>
      <c r="N13" s="67">
        <v>156.19</v>
      </c>
      <c r="O13" s="85">
        <v>6197.8243300000004</v>
      </c>
      <c r="P13" s="25">
        <v>2.4545116941745216E-3</v>
      </c>
      <c r="Q13" s="33">
        <v>0.28344364962924362</v>
      </c>
      <c r="R13" s="33">
        <v>1.1564433910415476E-2</v>
      </c>
    </row>
    <row r="14" spans="1:18" x14ac:dyDescent="0.25">
      <c r="A14" s="17" t="s">
        <v>1886</v>
      </c>
      <c r="B14" s="25" t="s">
        <v>1887</v>
      </c>
      <c r="C14" s="25" t="s">
        <v>251</v>
      </c>
      <c r="D14" s="25" t="s">
        <v>753</v>
      </c>
      <c r="E14" s="25" t="s">
        <v>204</v>
      </c>
      <c r="F14" s="67" t="s">
        <v>255</v>
      </c>
      <c r="G14" s="61" t="s">
        <v>256</v>
      </c>
      <c r="H14" s="61" t="s">
        <v>1888</v>
      </c>
      <c r="I14" s="99">
        <v>10.0426</v>
      </c>
      <c r="J14" s="61" t="s">
        <v>257</v>
      </c>
      <c r="K14" s="25">
        <v>4.0999999999999995E-2</v>
      </c>
      <c r="L14" s="25">
        <v>2.8399999999999998E-2</v>
      </c>
      <c r="M14" s="70">
        <v>5095150.8486284157</v>
      </c>
      <c r="N14" s="67">
        <v>131.04</v>
      </c>
      <c r="O14" s="85">
        <v>6676.6856600000001</v>
      </c>
      <c r="P14" s="25">
        <v>1.4031268871490094E-3</v>
      </c>
      <c r="Q14" s="33">
        <v>0.30534330276793042</v>
      </c>
      <c r="R14" s="33">
        <v>1.2457934582293773E-2</v>
      </c>
    </row>
    <row r="15" spans="1:18" x14ac:dyDescent="0.25">
      <c r="A15" s="17" t="s">
        <v>1896</v>
      </c>
      <c r="B15" s="25" t="s">
        <v>1897</v>
      </c>
      <c r="C15" s="25" t="s">
        <v>251</v>
      </c>
      <c r="D15" s="25" t="s">
        <v>1898</v>
      </c>
      <c r="E15" s="25" t="s">
        <v>204</v>
      </c>
      <c r="F15" s="67" t="s">
        <v>668</v>
      </c>
      <c r="G15" s="61" t="s">
        <v>529</v>
      </c>
      <c r="H15" s="61" t="s">
        <v>1899</v>
      </c>
      <c r="I15" s="99">
        <v>4.5557999999999996</v>
      </c>
      <c r="J15" s="61" t="s">
        <v>257</v>
      </c>
      <c r="K15" s="25">
        <v>1.55E-2</v>
      </c>
      <c r="L15" s="25">
        <v>2.9600000000000001E-2</v>
      </c>
      <c r="M15" s="70">
        <v>198495.73356046565</v>
      </c>
      <c r="N15" s="67">
        <v>99.32</v>
      </c>
      <c r="O15" s="85">
        <v>197.14596</v>
      </c>
      <c r="P15" s="25">
        <v>3.3082622260077608E-4</v>
      </c>
      <c r="Q15" s="33">
        <v>9.016030051316553E-3</v>
      </c>
      <c r="R15" s="33">
        <v>3.6785189507386581E-4</v>
      </c>
    </row>
    <row r="16" spans="1:18" x14ac:dyDescent="0.25">
      <c r="A16" s="17" t="s">
        <v>1900</v>
      </c>
      <c r="B16" s="25" t="s">
        <v>1901</v>
      </c>
      <c r="C16" s="25" t="s">
        <v>251</v>
      </c>
      <c r="D16" s="25" t="s">
        <v>1898</v>
      </c>
      <c r="E16" s="25" t="s">
        <v>204</v>
      </c>
      <c r="F16" s="67" t="s">
        <v>668</v>
      </c>
      <c r="G16" s="61" t="s">
        <v>529</v>
      </c>
      <c r="H16" s="61" t="s">
        <v>1899</v>
      </c>
      <c r="I16" s="99">
        <v>7.1204999999999989</v>
      </c>
      <c r="J16" s="61" t="s">
        <v>257</v>
      </c>
      <c r="K16" s="25">
        <v>1.7500000000000002E-2</v>
      </c>
      <c r="L16" s="25">
        <v>2.9500000000000002E-2</v>
      </c>
      <c r="M16" s="70">
        <v>171517.31621599058</v>
      </c>
      <c r="N16" s="67">
        <v>97.29</v>
      </c>
      <c r="O16" s="85">
        <v>166.86920000000001</v>
      </c>
      <c r="P16" s="25">
        <v>4.2879329053997642E-4</v>
      </c>
      <c r="Q16" s="33">
        <v>7.6313900717983382E-3</v>
      </c>
      <c r="R16" s="33">
        <v>3.1135891118164399E-4</v>
      </c>
    </row>
    <row r="17" spans="1:18" x14ac:dyDescent="0.25">
      <c r="A17" s="17" t="s">
        <v>1892</v>
      </c>
      <c r="B17" s="25" t="s">
        <v>1893</v>
      </c>
      <c r="C17" s="25" t="s">
        <v>251</v>
      </c>
      <c r="D17" s="25" t="s">
        <v>1894</v>
      </c>
      <c r="E17" s="25" t="s">
        <v>225</v>
      </c>
      <c r="F17" s="67" t="s">
        <v>668</v>
      </c>
      <c r="G17" s="61" t="s">
        <v>529</v>
      </c>
      <c r="H17" s="61" t="s">
        <v>1895</v>
      </c>
      <c r="I17" s="99">
        <v>7.8703000000000003</v>
      </c>
      <c r="J17" s="61" t="s">
        <v>257</v>
      </c>
      <c r="K17" s="25">
        <v>8.3000000000000001E-3</v>
      </c>
      <c r="L17" s="25">
        <v>2.7400000000000001E-2</v>
      </c>
      <c r="M17" s="70">
        <v>48466.090614259709</v>
      </c>
      <c r="N17" s="67">
        <v>96.009999999999991</v>
      </c>
      <c r="O17" s="85">
        <v>46.532290000000003</v>
      </c>
      <c r="P17" s="25">
        <v>1.4243421581173687E-4</v>
      </c>
      <c r="Q17" s="33">
        <v>2.1280503287847072E-3</v>
      </c>
      <c r="R17" s="33">
        <v>8.6823950430567776E-5</v>
      </c>
    </row>
    <row r="18" spans="1:18" x14ac:dyDescent="0.25">
      <c r="A18" s="17" t="s">
        <v>1879</v>
      </c>
      <c r="B18" s="25" t="s">
        <v>1880</v>
      </c>
      <c r="C18" s="25" t="s">
        <v>251</v>
      </c>
      <c r="D18" s="25" t="s">
        <v>704</v>
      </c>
      <c r="E18" s="25" t="s">
        <v>204</v>
      </c>
      <c r="F18" s="67" t="s">
        <v>605</v>
      </c>
      <c r="G18" s="61" t="s">
        <v>529</v>
      </c>
      <c r="H18" s="61" t="s">
        <v>1881</v>
      </c>
      <c r="I18" s="99">
        <v>1.6707000000000001</v>
      </c>
      <c r="J18" s="61" t="s">
        <v>257</v>
      </c>
      <c r="K18" s="25">
        <v>5.5999999999999994E-2</v>
      </c>
      <c r="L18" s="25">
        <v>2.7699999999999999E-2</v>
      </c>
      <c r="M18" s="70">
        <v>1068363.408996525</v>
      </c>
      <c r="N18" s="67">
        <v>142.81</v>
      </c>
      <c r="O18" s="85">
        <v>1525.7297699999999</v>
      </c>
      <c r="P18" s="25">
        <v>2.4786947370947715E-3</v>
      </c>
      <c r="Q18" s="33">
        <v>6.9775842510332406E-2</v>
      </c>
      <c r="R18" s="33">
        <v>2.8468378822731817E-3</v>
      </c>
    </row>
    <row r="19" spans="1:18" x14ac:dyDescent="0.25">
      <c r="A19" s="17" t="s">
        <v>1889</v>
      </c>
      <c r="B19" s="25" t="s">
        <v>1890</v>
      </c>
      <c r="C19" s="25" t="s">
        <v>251</v>
      </c>
      <c r="D19" s="25" t="s">
        <v>704</v>
      </c>
      <c r="E19" s="25" t="s">
        <v>204</v>
      </c>
      <c r="F19" s="67" t="s">
        <v>605</v>
      </c>
      <c r="G19" s="61" t="s">
        <v>529</v>
      </c>
      <c r="H19" s="61" t="s">
        <v>1891</v>
      </c>
      <c r="I19" s="99">
        <v>4.4307999999999996</v>
      </c>
      <c r="J19" s="61" t="s">
        <v>257</v>
      </c>
      <c r="K19" s="25">
        <v>4.9299999999999997E-2</v>
      </c>
      <c r="L19" s="25">
        <v>2.53E-2</v>
      </c>
      <c r="M19" s="70">
        <v>1628702.144300648</v>
      </c>
      <c r="N19" s="67">
        <v>128.32</v>
      </c>
      <c r="O19" s="85">
        <v>2089.9505800000002</v>
      </c>
      <c r="P19" s="25">
        <v>2.362128009998818E-3</v>
      </c>
      <c r="Q19" s="33">
        <v>9.5579220771485562E-2</v>
      </c>
      <c r="R19" s="33">
        <v>3.8996096164675407E-3</v>
      </c>
    </row>
    <row r="20" spans="1:18" x14ac:dyDescent="0.25">
      <c r="A20" s="17" t="s">
        <v>1872</v>
      </c>
      <c r="B20" s="25" t="s">
        <v>1873</v>
      </c>
      <c r="C20" s="25" t="s">
        <v>251</v>
      </c>
      <c r="D20" s="25" t="s">
        <v>1874</v>
      </c>
      <c r="E20" s="25" t="s">
        <v>202</v>
      </c>
      <c r="F20" s="67" t="s">
        <v>545</v>
      </c>
      <c r="G20" s="61" t="s">
        <v>256</v>
      </c>
      <c r="H20" s="61" t="s">
        <v>1875</v>
      </c>
      <c r="I20" s="99">
        <v>1.0203</v>
      </c>
      <c r="J20" s="61" t="s">
        <v>257</v>
      </c>
      <c r="K20" s="25">
        <v>7.7499999999999999E-2</v>
      </c>
      <c r="L20" s="25">
        <v>3.1699999999999999E-2</v>
      </c>
      <c r="M20" s="70">
        <v>1485.9988259722395</v>
      </c>
      <c r="N20" s="67">
        <v>146.07</v>
      </c>
      <c r="O20" s="85">
        <v>2.1705999999999999</v>
      </c>
      <c r="P20" s="25">
        <v>9.8267196546308657E-6</v>
      </c>
      <c r="Q20" s="33">
        <v>9.926754182225042E-5</v>
      </c>
      <c r="R20" s="33">
        <v>4.0500922435708709E-6</v>
      </c>
    </row>
    <row r="21" spans="1:18" x14ac:dyDescent="0.25">
      <c r="A21" s="17" t="s">
        <v>1867</v>
      </c>
      <c r="B21" s="25" t="s">
        <v>1868</v>
      </c>
      <c r="C21" s="25" t="s">
        <v>251</v>
      </c>
      <c r="D21" s="25" t="s">
        <v>1148</v>
      </c>
      <c r="E21" s="25" t="s">
        <v>201</v>
      </c>
      <c r="F21" s="67" t="s">
        <v>528</v>
      </c>
      <c r="G21" s="61" t="s">
        <v>529</v>
      </c>
      <c r="H21" s="61" t="s">
        <v>1869</v>
      </c>
      <c r="I21" s="99">
        <v>3.7343999999999999</v>
      </c>
      <c r="J21" s="61" t="s">
        <v>257</v>
      </c>
      <c r="K21" s="25">
        <v>3.3000000000000002E-2</v>
      </c>
      <c r="L21" s="25">
        <v>1.83E-2</v>
      </c>
      <c r="M21" s="70">
        <v>1194472.8599445501</v>
      </c>
      <c r="N21" s="67">
        <v>120.17000000000002</v>
      </c>
      <c r="O21" s="85">
        <v>1457.08456</v>
      </c>
      <c r="P21" s="25">
        <v>5.8841027583475371E-3</v>
      </c>
      <c r="Q21" s="33">
        <v>6.6636507186195237E-2</v>
      </c>
      <c r="R21" s="33">
        <v>2.7187537430585439E-3</v>
      </c>
    </row>
    <row r="22" spans="1:18" x14ac:dyDescent="0.25">
      <c r="A22" s="17" t="s">
        <v>1882</v>
      </c>
      <c r="B22" s="25" t="s">
        <v>1883</v>
      </c>
      <c r="C22" s="25" t="s">
        <v>251</v>
      </c>
      <c r="D22" s="25" t="s">
        <v>1884</v>
      </c>
      <c r="E22" s="25" t="s">
        <v>218</v>
      </c>
      <c r="F22" s="67" t="s">
        <v>689</v>
      </c>
      <c r="G22" s="61" t="s">
        <v>529</v>
      </c>
      <c r="H22" s="61" t="s">
        <v>1885</v>
      </c>
      <c r="I22" s="99">
        <v>0.94439999999999991</v>
      </c>
      <c r="J22" s="61" t="s">
        <v>257</v>
      </c>
      <c r="K22" s="25">
        <v>7.1500000000000008E-2</v>
      </c>
      <c r="L22" s="25">
        <v>2.5899999999999999E-2</v>
      </c>
      <c r="M22" s="70">
        <v>1199631.3999999999</v>
      </c>
      <c r="N22" s="67">
        <v>123.27</v>
      </c>
      <c r="O22" s="85">
        <v>1478.7856200000001</v>
      </c>
      <c r="P22" s="25">
        <v>0</v>
      </c>
      <c r="Q22" s="33">
        <v>6.7628956684553834E-2</v>
      </c>
      <c r="R22" s="33">
        <v>2.7592454480172036E-3</v>
      </c>
    </row>
    <row r="23" spans="1:18" x14ac:dyDescent="0.25">
      <c r="A23" s="17" t="s">
        <v>1870</v>
      </c>
      <c r="B23" s="25" t="s">
        <v>1871</v>
      </c>
      <c r="C23" s="25" t="s">
        <v>251</v>
      </c>
      <c r="D23" s="25" t="s">
        <v>1350</v>
      </c>
      <c r="E23" s="25" t="s">
        <v>200</v>
      </c>
      <c r="F23" s="67" t="s">
        <v>533</v>
      </c>
      <c r="G23" s="61" t="s">
        <v>533</v>
      </c>
      <c r="H23" s="61" t="s">
        <v>1356</v>
      </c>
      <c r="I23" s="99">
        <v>3.2574999999999998</v>
      </c>
      <c r="J23" s="61" t="s">
        <v>257</v>
      </c>
      <c r="K23" s="25">
        <v>0.01</v>
      </c>
      <c r="L23" s="25">
        <v>4.7800000000000002E-2</v>
      </c>
      <c r="M23" s="70">
        <v>1048.0826080808574</v>
      </c>
      <c r="N23" s="67">
        <v>90.3</v>
      </c>
      <c r="O23" s="85">
        <v>0.94641999999999993</v>
      </c>
      <c r="P23" s="25">
        <v>2.0625051324009316E-5</v>
      </c>
      <c r="Q23" s="33">
        <v>4.328240437271457E-5</v>
      </c>
      <c r="R23" s="33">
        <v>1.7659118682209267E-6</v>
      </c>
    </row>
    <row r="24" spans="1:18" s="119" customFormat="1" x14ac:dyDescent="0.25">
      <c r="A24" s="93" t="s">
        <v>1864</v>
      </c>
      <c r="B24" s="137" t="s">
        <v>251</v>
      </c>
      <c r="C24" s="137" t="s">
        <v>251</v>
      </c>
      <c r="D24" s="137" t="s">
        <v>251</v>
      </c>
      <c r="E24" s="137" t="s">
        <v>251</v>
      </c>
      <c r="F24" s="122" t="s">
        <v>251</v>
      </c>
      <c r="G24" s="136" t="s">
        <v>251</v>
      </c>
      <c r="H24" s="136" t="s">
        <v>251</v>
      </c>
      <c r="I24" s="133" t="s">
        <v>251</v>
      </c>
      <c r="J24" s="136" t="s">
        <v>251</v>
      </c>
      <c r="K24" s="137" t="s">
        <v>251</v>
      </c>
      <c r="L24" s="137" t="s">
        <v>251</v>
      </c>
      <c r="M24" s="135" t="s">
        <v>251</v>
      </c>
      <c r="N24" s="122" t="s">
        <v>251</v>
      </c>
      <c r="O24" s="124">
        <v>1992.4371100999999</v>
      </c>
      <c r="P24" s="137"/>
      <c r="Q24" s="121">
        <v>9.1119660073277223E-2</v>
      </c>
      <c r="R24" s="121">
        <v>3.7176605940379484E-3</v>
      </c>
    </row>
    <row r="25" spans="1:18" x14ac:dyDescent="0.25">
      <c r="A25" s="17" t="s">
        <v>1906</v>
      </c>
      <c r="B25" s="25" t="s">
        <v>1907</v>
      </c>
      <c r="C25" s="25" t="s">
        <v>251</v>
      </c>
      <c r="D25" s="25" t="s">
        <v>1908</v>
      </c>
      <c r="E25" s="25" t="s">
        <v>195</v>
      </c>
      <c r="F25" s="67" t="s">
        <v>668</v>
      </c>
      <c r="G25" s="61" t="s">
        <v>529</v>
      </c>
      <c r="H25" s="61" t="s">
        <v>1909</v>
      </c>
      <c r="I25" s="99">
        <v>5.0962000000000005</v>
      </c>
      <c r="J25" s="61" t="s">
        <v>257</v>
      </c>
      <c r="K25" s="25">
        <v>3.7400000000000003E-2</v>
      </c>
      <c r="L25" s="25">
        <v>5.3899999999999997E-2</v>
      </c>
      <c r="M25" s="70">
        <v>906428.07743611222</v>
      </c>
      <c r="N25" s="67">
        <v>92.43</v>
      </c>
      <c r="O25" s="85">
        <v>837.81146999999999</v>
      </c>
      <c r="P25" s="25">
        <v>1.4567386818142658E-3</v>
      </c>
      <c r="Q25" s="33">
        <v>3.8315435887490146E-2</v>
      </c>
      <c r="R25" s="33">
        <v>1.5632607280114759E-3</v>
      </c>
    </row>
    <row r="26" spans="1:18" x14ac:dyDescent="0.25">
      <c r="A26" s="17" t="s">
        <v>1910</v>
      </c>
      <c r="B26" s="25" t="s">
        <v>1911</v>
      </c>
      <c r="C26" s="25" t="s">
        <v>251</v>
      </c>
      <c r="D26" s="25" t="s">
        <v>1908</v>
      </c>
      <c r="E26" s="25" t="s">
        <v>195</v>
      </c>
      <c r="F26" s="67" t="s">
        <v>668</v>
      </c>
      <c r="G26" s="61" t="s">
        <v>529</v>
      </c>
      <c r="H26" s="61" t="s">
        <v>1909</v>
      </c>
      <c r="I26" s="99">
        <v>1.4134</v>
      </c>
      <c r="J26" s="61" t="s">
        <v>257</v>
      </c>
      <c r="K26" s="25">
        <v>2.5000000000000001E-2</v>
      </c>
      <c r="L26" s="25">
        <v>5.1900000000000002E-2</v>
      </c>
      <c r="M26" s="70">
        <v>296603.82974814536</v>
      </c>
      <c r="N26" s="67">
        <v>96.5</v>
      </c>
      <c r="O26" s="85">
        <v>286.22269</v>
      </c>
      <c r="P26" s="25">
        <v>7.2688903196314381E-4</v>
      </c>
      <c r="Q26" s="33">
        <v>1.3089755298098232E-2</v>
      </c>
      <c r="R26" s="33">
        <v>5.3405892228093144E-4</v>
      </c>
    </row>
    <row r="27" spans="1:18" x14ac:dyDescent="0.25">
      <c r="A27" s="17" t="s">
        <v>1912</v>
      </c>
      <c r="B27" s="25" t="s">
        <v>1913</v>
      </c>
      <c r="C27" s="25" t="s">
        <v>251</v>
      </c>
      <c r="D27" s="25" t="s">
        <v>1914</v>
      </c>
      <c r="E27" s="25" t="s">
        <v>223</v>
      </c>
      <c r="F27" s="67" t="s">
        <v>625</v>
      </c>
      <c r="G27" s="61" t="s">
        <v>529</v>
      </c>
      <c r="H27" s="61" t="s">
        <v>1915</v>
      </c>
      <c r="I27" s="99">
        <v>2.4695</v>
      </c>
      <c r="J27" s="61" t="s">
        <v>257</v>
      </c>
      <c r="K27" s="25">
        <v>3.1E-2</v>
      </c>
      <c r="L27" s="25">
        <v>5.5599999999999997E-2</v>
      </c>
      <c r="M27" s="70">
        <v>19812.45156860775</v>
      </c>
      <c r="N27" s="67">
        <v>94.4</v>
      </c>
      <c r="O27" s="85">
        <v>18.702950000000001</v>
      </c>
      <c r="P27" s="25">
        <v>2.4351207689446141E-5</v>
      </c>
      <c r="Q27" s="33">
        <v>8.5533763536554811E-4</v>
      </c>
      <c r="R27" s="33">
        <v>3.4897573356165959E-5</v>
      </c>
    </row>
    <row r="28" spans="1:18" x14ac:dyDescent="0.25">
      <c r="A28" s="17" t="s">
        <v>1916</v>
      </c>
      <c r="B28" s="25" t="s">
        <v>1917</v>
      </c>
      <c r="C28" s="25" t="s">
        <v>251</v>
      </c>
      <c r="D28" s="25" t="s">
        <v>1918</v>
      </c>
      <c r="E28" s="25" t="s">
        <v>198</v>
      </c>
      <c r="F28" s="67" t="s">
        <v>537</v>
      </c>
      <c r="G28" s="61" t="s">
        <v>256</v>
      </c>
      <c r="H28" s="61" t="s">
        <v>1259</v>
      </c>
      <c r="I28" s="99">
        <v>3.6775000000000002</v>
      </c>
      <c r="J28" s="61" t="s">
        <v>257</v>
      </c>
      <c r="K28" s="25">
        <v>3.3500000000000002E-2</v>
      </c>
      <c r="L28" s="25">
        <v>6.8400000000000002E-2</v>
      </c>
      <c r="M28" s="70">
        <v>40044.970108486268</v>
      </c>
      <c r="N28" s="67">
        <v>89.2</v>
      </c>
      <c r="O28" s="85">
        <v>35.720109999999998</v>
      </c>
      <c r="P28" s="25">
        <v>5.0056212635607835E-5</v>
      </c>
      <c r="Q28" s="33">
        <v>1.6335794311804965E-3</v>
      </c>
      <c r="R28" s="33">
        <v>6.6649654680962997E-5</v>
      </c>
    </row>
    <row r="29" spans="1:18" x14ac:dyDescent="0.25">
      <c r="A29" s="17" t="s">
        <v>1919</v>
      </c>
      <c r="B29" s="25" t="s">
        <v>1920</v>
      </c>
      <c r="C29" s="25" t="s">
        <v>251</v>
      </c>
      <c r="D29" s="25" t="s">
        <v>1921</v>
      </c>
      <c r="E29" s="25" t="s">
        <v>200</v>
      </c>
      <c r="F29" s="67" t="s">
        <v>677</v>
      </c>
      <c r="G29" s="61" t="s">
        <v>529</v>
      </c>
      <c r="H29" s="61" t="s">
        <v>1922</v>
      </c>
      <c r="I29" s="99">
        <v>2.8948999999999998</v>
      </c>
      <c r="J29" s="61" t="s">
        <v>257</v>
      </c>
      <c r="K29" s="25">
        <v>7.049999952316284E-2</v>
      </c>
      <c r="L29" s="25">
        <v>6.8099999999999994E-2</v>
      </c>
      <c r="M29" s="70">
        <v>32998.505289359149</v>
      </c>
      <c r="N29" s="67">
        <v>100.13000000000001</v>
      </c>
      <c r="O29" s="85">
        <v>33.041400000000003</v>
      </c>
      <c r="P29" s="25">
        <v>6.85886676813936E-5</v>
      </c>
      <c r="Q29" s="33">
        <v>1.511074613639411E-3</v>
      </c>
      <c r="R29" s="33">
        <v>6.1651487080402931E-5</v>
      </c>
    </row>
    <row r="30" spans="1:18" x14ac:dyDescent="0.25">
      <c r="A30" s="17" t="s">
        <v>1923</v>
      </c>
      <c r="B30" s="25" t="s">
        <v>1924</v>
      </c>
      <c r="C30" s="25" t="s">
        <v>251</v>
      </c>
      <c r="D30" s="25" t="s">
        <v>1921</v>
      </c>
      <c r="E30" s="25" t="s">
        <v>200</v>
      </c>
      <c r="F30" s="67" t="s">
        <v>677</v>
      </c>
      <c r="G30" s="61" t="s">
        <v>529</v>
      </c>
      <c r="H30" s="61" t="s">
        <v>1925</v>
      </c>
      <c r="I30" s="99">
        <v>0.252</v>
      </c>
      <c r="J30" s="61" t="s">
        <v>257</v>
      </c>
      <c r="K30" s="25">
        <v>5.1799999999999999E-2</v>
      </c>
      <c r="L30" s="25">
        <v>8.0600000000000005E-2</v>
      </c>
      <c r="M30" s="70">
        <v>15535.550141497193</v>
      </c>
      <c r="N30" s="67">
        <v>91.84</v>
      </c>
      <c r="O30" s="85">
        <v>14.267850000000001</v>
      </c>
      <c r="P30" s="25">
        <v>1.1182286145179006E-4</v>
      </c>
      <c r="Q30" s="33">
        <v>6.525082449961282E-4</v>
      </c>
      <c r="R30" s="33">
        <v>2.6622182169645563E-5</v>
      </c>
    </row>
    <row r="31" spans="1:18" x14ac:dyDescent="0.25">
      <c r="A31" s="17" t="s">
        <v>1902</v>
      </c>
      <c r="B31" s="25" t="s">
        <v>1903</v>
      </c>
      <c r="C31" s="25" t="s">
        <v>251</v>
      </c>
      <c r="D31" s="25" t="s">
        <v>1904</v>
      </c>
      <c r="E31" s="25" t="s">
        <v>228</v>
      </c>
      <c r="F31" s="67" t="s">
        <v>689</v>
      </c>
      <c r="G31" s="61" t="s">
        <v>529</v>
      </c>
      <c r="H31" s="61" t="s">
        <v>1905</v>
      </c>
      <c r="I31" s="99">
        <v>2.9405999999999994</v>
      </c>
      <c r="J31" s="61" t="s">
        <v>257</v>
      </c>
      <c r="K31" s="25">
        <v>4.5999999999999999E-2</v>
      </c>
      <c r="L31" s="25">
        <v>7.0599999999999996E-2</v>
      </c>
      <c r="M31" s="70">
        <v>810948.42675735627</v>
      </c>
      <c r="N31" s="67">
        <v>94.54</v>
      </c>
      <c r="O31" s="85">
        <v>766.67064000000005</v>
      </c>
      <c r="P31" s="25">
        <v>1.8419495276988903E-3</v>
      </c>
      <c r="Q31" s="33">
        <v>3.5061968957933981E-2</v>
      </c>
      <c r="R31" s="33">
        <v>1.4305200462717755E-3</v>
      </c>
    </row>
    <row r="32" spans="1:18" s="119" customFormat="1" x14ac:dyDescent="0.25">
      <c r="A32" s="93" t="s">
        <v>516</v>
      </c>
      <c r="B32" s="137" t="s">
        <v>251</v>
      </c>
      <c r="C32" s="137" t="s">
        <v>251</v>
      </c>
      <c r="D32" s="137" t="s">
        <v>251</v>
      </c>
      <c r="E32" s="137" t="s">
        <v>251</v>
      </c>
      <c r="F32" s="122" t="s">
        <v>251</v>
      </c>
      <c r="G32" s="136" t="s">
        <v>251</v>
      </c>
      <c r="H32" s="136" t="s">
        <v>251</v>
      </c>
      <c r="I32" s="133" t="s">
        <v>251</v>
      </c>
      <c r="J32" s="136" t="s">
        <v>251</v>
      </c>
      <c r="K32" s="137" t="s">
        <v>251</v>
      </c>
      <c r="L32" s="137" t="s">
        <v>251</v>
      </c>
      <c r="M32" s="135" t="s">
        <v>251</v>
      </c>
      <c r="N32" s="122" t="s">
        <v>251</v>
      </c>
      <c r="O32" s="124">
        <v>33.998380099999991</v>
      </c>
      <c r="P32" s="137"/>
      <c r="Q32" s="121">
        <v>1.5548399605940829E-3</v>
      </c>
      <c r="R32" s="121">
        <v>6.343710289181987E-5</v>
      </c>
    </row>
    <row r="33" spans="1:18" x14ac:dyDescent="0.25">
      <c r="A33" s="17" t="s">
        <v>1926</v>
      </c>
      <c r="B33" s="25" t="s">
        <v>1927</v>
      </c>
      <c r="C33" s="25" t="s">
        <v>251</v>
      </c>
      <c r="D33" s="25" t="s">
        <v>1928</v>
      </c>
      <c r="E33" s="25" t="s">
        <v>228</v>
      </c>
      <c r="F33" s="67" t="s">
        <v>545</v>
      </c>
      <c r="G33" s="61" t="s">
        <v>256</v>
      </c>
      <c r="H33" s="61" t="s">
        <v>1929</v>
      </c>
      <c r="I33" s="99">
        <v>1.9323000000000001</v>
      </c>
      <c r="J33" s="61" t="s">
        <v>125</v>
      </c>
      <c r="K33" s="25">
        <v>7.9699999999999993E-2</v>
      </c>
      <c r="L33" s="25">
        <v>6.1500000000000006E-2</v>
      </c>
      <c r="M33" s="70">
        <v>8422.5003058082566</v>
      </c>
      <c r="N33" s="67">
        <v>105.56</v>
      </c>
      <c r="O33" s="85">
        <v>33.998379999999997</v>
      </c>
      <c r="P33" s="25">
        <v>1.8566203941423109E-4</v>
      </c>
      <c r="Q33" s="33">
        <v>1.5548399560208063E-3</v>
      </c>
      <c r="R33" s="33">
        <v>6.3437102705231278E-5</v>
      </c>
    </row>
    <row r="34" spans="1:18" s="119" customFormat="1" x14ac:dyDescent="0.25">
      <c r="A34" s="93" t="s">
        <v>141</v>
      </c>
      <c r="B34" s="137" t="s">
        <v>251</v>
      </c>
      <c r="C34" s="137" t="s">
        <v>251</v>
      </c>
      <c r="D34" s="137" t="s">
        <v>251</v>
      </c>
      <c r="E34" s="137" t="s">
        <v>251</v>
      </c>
      <c r="F34" s="122" t="s">
        <v>251</v>
      </c>
      <c r="G34" s="136" t="s">
        <v>251</v>
      </c>
      <c r="H34" s="136" t="s">
        <v>251</v>
      </c>
      <c r="I34" s="133" t="s">
        <v>251</v>
      </c>
      <c r="J34" s="136" t="s">
        <v>251</v>
      </c>
      <c r="K34" s="137" t="s">
        <v>251</v>
      </c>
      <c r="L34" s="137" t="s">
        <v>251</v>
      </c>
      <c r="M34" s="135" t="s">
        <v>251</v>
      </c>
      <c r="N34" s="122" t="s">
        <v>251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3" t="s">
        <v>498</v>
      </c>
      <c r="B35" s="137" t="s">
        <v>251</v>
      </c>
      <c r="C35" s="137" t="s">
        <v>251</v>
      </c>
      <c r="D35" s="137" t="s">
        <v>251</v>
      </c>
      <c r="E35" s="137" t="s">
        <v>251</v>
      </c>
      <c r="F35" s="122" t="s">
        <v>251</v>
      </c>
      <c r="G35" s="136" t="s">
        <v>251</v>
      </c>
      <c r="H35" s="136" t="s">
        <v>251</v>
      </c>
      <c r="I35" s="133" t="s">
        <v>251</v>
      </c>
      <c r="J35" s="136" t="s">
        <v>251</v>
      </c>
      <c r="K35" s="137" t="s">
        <v>251</v>
      </c>
      <c r="L35" s="137" t="s">
        <v>251</v>
      </c>
      <c r="M35" s="135" t="s">
        <v>251</v>
      </c>
      <c r="N35" s="122" t="s">
        <v>251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93" t="s">
        <v>1930</v>
      </c>
      <c r="B36" s="137" t="s">
        <v>251</v>
      </c>
      <c r="C36" s="137" t="s">
        <v>251</v>
      </c>
      <c r="D36" s="137" t="s">
        <v>251</v>
      </c>
      <c r="E36" s="137" t="s">
        <v>251</v>
      </c>
      <c r="F36" s="122" t="s">
        <v>251</v>
      </c>
      <c r="G36" s="136" t="s">
        <v>251</v>
      </c>
      <c r="H36" s="136" t="s">
        <v>251</v>
      </c>
      <c r="I36" s="133" t="s">
        <v>251</v>
      </c>
      <c r="J36" s="136" t="s">
        <v>251</v>
      </c>
      <c r="K36" s="137" t="s">
        <v>251</v>
      </c>
      <c r="L36" s="137" t="s">
        <v>251</v>
      </c>
      <c r="M36" s="135" t="s">
        <v>251</v>
      </c>
      <c r="N36" s="122" t="s">
        <v>251</v>
      </c>
      <c r="O36" s="124">
        <v>0</v>
      </c>
      <c r="P36" s="137"/>
      <c r="Q36" s="121">
        <v>0</v>
      </c>
      <c r="R36" s="121">
        <v>0</v>
      </c>
    </row>
    <row r="37" spans="1:18" s="119" customFormat="1" x14ac:dyDescent="0.25">
      <c r="A37" s="93" t="s">
        <v>1931</v>
      </c>
      <c r="B37" s="137" t="s">
        <v>251</v>
      </c>
      <c r="C37" s="137" t="s">
        <v>251</v>
      </c>
      <c r="D37" s="137" t="s">
        <v>251</v>
      </c>
      <c r="E37" s="137" t="s">
        <v>251</v>
      </c>
      <c r="F37" s="122" t="s">
        <v>251</v>
      </c>
      <c r="G37" s="136" t="s">
        <v>251</v>
      </c>
      <c r="H37" s="136" t="s">
        <v>251</v>
      </c>
      <c r="I37" s="133" t="s">
        <v>251</v>
      </c>
      <c r="J37" s="136" t="s">
        <v>251</v>
      </c>
      <c r="K37" s="137" t="s">
        <v>251</v>
      </c>
      <c r="L37" s="137" t="s">
        <v>251</v>
      </c>
      <c r="M37" s="135" t="s">
        <v>251</v>
      </c>
      <c r="N37" s="122" t="s">
        <v>251</v>
      </c>
      <c r="O37" s="124">
        <v>0</v>
      </c>
      <c r="P37" s="137"/>
      <c r="Q37" s="121">
        <v>0</v>
      </c>
      <c r="R37" s="121">
        <v>0</v>
      </c>
    </row>
    <row r="38" spans="1:18" s="119" customFormat="1" x14ac:dyDescent="0.25">
      <c r="A38" s="79" t="s">
        <v>242</v>
      </c>
      <c r="B38" s="125"/>
      <c r="C38" s="125"/>
      <c r="D38" s="125"/>
      <c r="E38" s="79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9" t="s">
        <v>243</v>
      </c>
      <c r="B39" s="125"/>
      <c r="C39" s="125"/>
      <c r="D39" s="125"/>
      <c r="E39" s="79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9" t="s">
        <v>244</v>
      </c>
      <c r="B40" s="125"/>
      <c r="C40" s="125"/>
      <c r="D40" s="125"/>
      <c r="E40" s="79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  <row r="41" spans="1:18" s="119" customFormat="1" x14ac:dyDescent="0.25">
      <c r="A41" s="79" t="s">
        <v>245</v>
      </c>
      <c r="B41" s="125"/>
      <c r="C41" s="125"/>
      <c r="D41" s="125"/>
      <c r="E41" s="79"/>
      <c r="F41" s="126"/>
      <c r="G41" s="126"/>
      <c r="H41" s="126"/>
      <c r="I41" s="127"/>
      <c r="J41" s="128"/>
      <c r="K41" s="129"/>
      <c r="L41" s="129"/>
      <c r="M41" s="129"/>
      <c r="N41" s="128"/>
      <c r="O41" s="128"/>
      <c r="P41" s="138"/>
      <c r="Q41" s="138"/>
      <c r="R41" s="138"/>
    </row>
    <row r="42" spans="1:18" s="119" customFormat="1" x14ac:dyDescent="0.25">
      <c r="A42" s="79" t="s">
        <v>246</v>
      </c>
      <c r="B42" s="125"/>
      <c r="C42" s="125"/>
      <c r="D42" s="125"/>
      <c r="E42" s="79"/>
      <c r="F42" s="126"/>
      <c r="G42" s="126"/>
      <c r="H42" s="126"/>
      <c r="I42" s="127"/>
      <c r="J42" s="128"/>
      <c r="K42" s="129"/>
      <c r="L42" s="129"/>
      <c r="M42" s="129"/>
      <c r="N42" s="128"/>
      <c r="O42" s="128"/>
      <c r="P42" s="138"/>
      <c r="Q42" s="138"/>
      <c r="R42" s="138"/>
    </row>
  </sheetData>
  <sortState xmlns:xlrd2="http://schemas.microsoft.com/office/spreadsheetml/2017/richdata2" ref="A25:Z31">
    <sortCondition ref="A25:A31" customList="א,ב,ג,ד,ה,ו,ז,ח,ט,י,כ,ל,מ,נ,ס,ע,פ,צ,ק,ר,ש,ת"/>
  </sortState>
  <mergeCells count="2">
    <mergeCell ref="A6:R6"/>
    <mergeCell ref="A5:R5"/>
  </mergeCells>
  <phoneticPr fontId="3" type="noConversion"/>
  <conditionalFormatting sqref="A10:A37 O10:O37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10:H37 J10:J37 Q10:R37">
    <cfRule type="expression" dxfId="61" priority="297" stopIfTrue="1">
      <formula>OR(LEFT(#REF!,3)="TIR",LEFT(#REF!,2)="IR")</formula>
    </cfRule>
  </conditionalFormatting>
  <conditionalFormatting sqref="K7">
    <cfRule type="expression" dxfId="60" priority="305" stopIfTrue="1">
      <formula>LEFT(#REF!,3)="TIR"</formula>
    </cfRule>
  </conditionalFormatting>
  <conditionalFormatting sqref="P10:Q37 J1:J4 I10:I37 K10:N37 J38:J55572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34.10937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12" style="60" bestFit="1" customWidth="1"/>
    <col min="7" max="7" width="10.5546875" style="60" customWidth="1"/>
    <col min="8" max="8" width="8.88671875" style="60" bestFit="1" customWidth="1"/>
    <col min="9" max="9" width="10.44140625" style="37" customWidth="1"/>
    <col min="10" max="10" width="22" style="62" customWidth="1"/>
    <col min="11" max="11" width="25.44140625" style="62" customWidth="1"/>
    <col min="12" max="12" width="20.6640625" style="64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2"/>
      <c r="L1" s="63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2"/>
      <c r="L2" s="63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2"/>
      <c r="L3" s="63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2"/>
      <c r="L4" s="63"/>
      <c r="M4" s="14"/>
      <c r="N4" s="14"/>
      <c r="O4" s="13"/>
      <c r="P4" s="13"/>
      <c r="Q4" s="15"/>
    </row>
    <row r="5" spans="1:17" s="7" customFormat="1" ht="13.8" thickBot="1" x14ac:dyDescent="0.3">
      <c r="A5" s="228" t="s">
        <v>28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  <c r="L5" s="231"/>
      <c r="M5" s="14"/>
      <c r="N5" s="14"/>
      <c r="O5" s="13"/>
      <c r="P5" s="13"/>
      <c r="Q5" s="15"/>
    </row>
    <row r="6" spans="1:17" s="7" customFormat="1" x14ac:dyDescent="0.25">
      <c r="A6" s="225" t="s">
        <v>21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7"/>
    </row>
    <row r="7" spans="1:17" s="7" customFormat="1" ht="33.75" customHeight="1" x14ac:dyDescent="0.25">
      <c r="A7" s="87" t="s">
        <v>157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7</v>
      </c>
      <c r="J7" s="205" t="s">
        <v>17</v>
      </c>
      <c r="K7" s="90" t="s">
        <v>75</v>
      </c>
      <c r="L7" s="91" t="s">
        <v>8</v>
      </c>
    </row>
    <row r="8" spans="1:17" s="7" customFormat="1" x14ac:dyDescent="0.25">
      <c r="A8" s="27"/>
      <c r="B8" s="3"/>
      <c r="C8" s="3"/>
      <c r="D8" s="3"/>
      <c r="E8" s="3"/>
      <c r="F8" s="30"/>
      <c r="G8" s="2" t="s">
        <v>133</v>
      </c>
      <c r="H8" s="2"/>
      <c r="I8" s="2" t="s">
        <v>135</v>
      </c>
      <c r="J8" s="2" t="s">
        <v>9</v>
      </c>
      <c r="K8" s="31" t="s">
        <v>9</v>
      </c>
      <c r="L8" s="6" t="s">
        <v>9</v>
      </c>
    </row>
    <row r="9" spans="1:17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58">
        <v>10</v>
      </c>
      <c r="L9" s="45">
        <v>11</v>
      </c>
    </row>
    <row r="10" spans="1:17" s="119" customFormat="1" ht="12.75" customHeight="1" thickBot="1" x14ac:dyDescent="0.3">
      <c r="A10" s="100" t="s">
        <v>59</v>
      </c>
      <c r="B10" s="68"/>
      <c r="C10" s="68"/>
      <c r="D10" s="68"/>
      <c r="E10" s="68"/>
      <c r="F10" s="101"/>
      <c r="G10" s="102"/>
      <c r="H10" s="101"/>
      <c r="I10" s="105">
        <v>334.69816029999998</v>
      </c>
      <c r="J10" s="68"/>
      <c r="K10" s="68">
        <v>1</v>
      </c>
      <c r="L10" s="59">
        <v>6.2450862571107981E-4</v>
      </c>
    </row>
    <row r="11" spans="1:17" s="119" customFormat="1" x14ac:dyDescent="0.25">
      <c r="A11" s="92" t="s">
        <v>137</v>
      </c>
      <c r="B11" s="121" t="s">
        <v>251</v>
      </c>
      <c r="C11" s="121" t="s">
        <v>251</v>
      </c>
      <c r="D11" s="121" t="s">
        <v>251</v>
      </c>
      <c r="E11" s="121" t="s">
        <v>251</v>
      </c>
      <c r="F11" s="122" t="s">
        <v>251</v>
      </c>
      <c r="G11" s="133" t="s">
        <v>251</v>
      </c>
      <c r="H11" s="122" t="s">
        <v>251</v>
      </c>
      <c r="I11" s="134">
        <v>0</v>
      </c>
      <c r="J11" s="121" t="s">
        <v>251</v>
      </c>
      <c r="K11" s="121">
        <v>0</v>
      </c>
      <c r="L11" s="121">
        <v>0</v>
      </c>
    </row>
    <row r="12" spans="1:17" s="119" customFormat="1" x14ac:dyDescent="0.25">
      <c r="A12" s="93" t="s">
        <v>498</v>
      </c>
      <c r="B12" s="137" t="s">
        <v>251</v>
      </c>
      <c r="C12" s="137" t="s">
        <v>251</v>
      </c>
      <c r="D12" s="137" t="s">
        <v>251</v>
      </c>
      <c r="E12" s="137" t="s">
        <v>251</v>
      </c>
      <c r="F12" s="136" t="s">
        <v>251</v>
      </c>
      <c r="G12" s="135" t="s">
        <v>251</v>
      </c>
      <c r="H12" s="122" t="s">
        <v>251</v>
      </c>
      <c r="I12" s="123">
        <v>334.69816019999996</v>
      </c>
      <c r="J12" s="121"/>
      <c r="K12" s="121">
        <v>0.99999999970122333</v>
      </c>
      <c r="L12" s="121">
        <v>6.2450862552449122E-4</v>
      </c>
    </row>
    <row r="13" spans="1:17" s="119" customFormat="1" x14ac:dyDescent="0.25">
      <c r="A13" s="93" t="s">
        <v>143</v>
      </c>
      <c r="B13" s="137" t="s">
        <v>251</v>
      </c>
      <c r="C13" s="137" t="s">
        <v>251</v>
      </c>
      <c r="D13" s="137" t="s">
        <v>251</v>
      </c>
      <c r="E13" s="137" t="s">
        <v>251</v>
      </c>
      <c r="F13" s="136" t="s">
        <v>251</v>
      </c>
      <c r="G13" s="135" t="s">
        <v>251</v>
      </c>
      <c r="H13" s="122" t="s">
        <v>251</v>
      </c>
      <c r="I13" s="123">
        <v>0</v>
      </c>
      <c r="J13" s="121"/>
      <c r="K13" s="121">
        <v>0</v>
      </c>
      <c r="L13" s="121">
        <v>0</v>
      </c>
    </row>
    <row r="14" spans="1:17" s="119" customFormat="1" x14ac:dyDescent="0.25">
      <c r="A14" s="93" t="s">
        <v>144</v>
      </c>
      <c r="B14" s="137" t="s">
        <v>251</v>
      </c>
      <c r="C14" s="137" t="s">
        <v>251</v>
      </c>
      <c r="D14" s="137" t="s">
        <v>251</v>
      </c>
      <c r="E14" s="137" t="s">
        <v>251</v>
      </c>
      <c r="F14" s="136" t="s">
        <v>251</v>
      </c>
      <c r="G14" s="135" t="s">
        <v>251</v>
      </c>
      <c r="H14" s="122" t="s">
        <v>251</v>
      </c>
      <c r="I14" s="123">
        <v>334.6981601</v>
      </c>
      <c r="J14" s="121"/>
      <c r="K14" s="121">
        <v>0.99999999940244666</v>
      </c>
      <c r="L14" s="121">
        <v>6.2450862533790263E-4</v>
      </c>
    </row>
    <row r="15" spans="1:17" x14ac:dyDescent="0.25">
      <c r="A15" s="17" t="s">
        <v>1932</v>
      </c>
      <c r="B15" s="25" t="s">
        <v>1933</v>
      </c>
      <c r="C15" s="25" t="s">
        <v>251</v>
      </c>
      <c r="D15" s="218">
        <v>20205805959</v>
      </c>
      <c r="E15" s="25" t="s">
        <v>188</v>
      </c>
      <c r="F15" s="61" t="s">
        <v>125</v>
      </c>
      <c r="G15" s="70">
        <v>87525.67</v>
      </c>
      <c r="H15" s="67">
        <v>100</v>
      </c>
      <c r="I15" s="86">
        <v>334.69815999999997</v>
      </c>
      <c r="J15" s="33">
        <v>0</v>
      </c>
      <c r="K15" s="33">
        <v>0.99999999910366999</v>
      </c>
      <c r="L15" s="33">
        <v>6.2450862515131403E-4</v>
      </c>
      <c r="M15" s="15"/>
      <c r="N15" s="15"/>
      <c r="O15" s="15"/>
      <c r="P15" s="15"/>
    </row>
    <row r="16" spans="1:17" s="119" customFormat="1" x14ac:dyDescent="0.25">
      <c r="A16" s="79" t="s">
        <v>242</v>
      </c>
      <c r="B16" s="125"/>
      <c r="C16" s="125"/>
      <c r="D16" s="125"/>
      <c r="E16" s="79"/>
      <c r="F16" s="126"/>
      <c r="G16" s="126"/>
      <c r="H16" s="126"/>
      <c r="I16" s="127"/>
      <c r="J16" s="128"/>
      <c r="K16" s="128"/>
      <c r="L16" s="129"/>
      <c r="M16" s="148"/>
      <c r="N16" s="148"/>
      <c r="O16" s="130"/>
      <c r="P16" s="130"/>
    </row>
    <row r="17" spans="1:16" s="119" customFormat="1" x14ac:dyDescent="0.25">
      <c r="A17" s="79" t="s">
        <v>243</v>
      </c>
      <c r="B17" s="125"/>
      <c r="C17" s="125"/>
      <c r="D17" s="125"/>
      <c r="E17" s="79"/>
      <c r="F17" s="126"/>
      <c r="G17" s="126"/>
      <c r="H17" s="126"/>
      <c r="I17" s="127"/>
      <c r="J17" s="128"/>
      <c r="K17" s="128"/>
      <c r="L17" s="129"/>
      <c r="M17" s="148"/>
      <c r="N17" s="148"/>
      <c r="O17" s="130"/>
      <c r="P17" s="130"/>
    </row>
    <row r="18" spans="1:16" s="119" customFormat="1" x14ac:dyDescent="0.25">
      <c r="A18" s="79" t="s">
        <v>244</v>
      </c>
      <c r="B18" s="125"/>
      <c r="C18" s="125"/>
      <c r="D18" s="125"/>
      <c r="E18" s="79"/>
      <c r="F18" s="126"/>
      <c r="G18" s="126"/>
      <c r="H18" s="126"/>
      <c r="I18" s="127"/>
      <c r="J18" s="128"/>
      <c r="K18" s="128"/>
      <c r="L18" s="129"/>
      <c r="M18" s="148"/>
      <c r="N18" s="148"/>
      <c r="O18" s="130"/>
      <c r="P18" s="130"/>
    </row>
    <row r="19" spans="1:16" s="119" customFormat="1" x14ac:dyDescent="0.25">
      <c r="A19" s="79" t="s">
        <v>245</v>
      </c>
      <c r="B19" s="125"/>
      <c r="C19" s="125"/>
      <c r="D19" s="125"/>
      <c r="E19" s="79"/>
      <c r="F19" s="126"/>
      <c r="G19" s="126"/>
      <c r="H19" s="126"/>
      <c r="I19" s="127"/>
      <c r="J19" s="128"/>
      <c r="K19" s="128"/>
      <c r="L19" s="129"/>
      <c r="M19" s="148"/>
      <c r="N19" s="148"/>
      <c r="O19" s="130"/>
      <c r="P19" s="130"/>
    </row>
    <row r="20" spans="1:16" s="119" customFormat="1" x14ac:dyDescent="0.25">
      <c r="A20" s="79" t="s">
        <v>246</v>
      </c>
      <c r="B20" s="125"/>
      <c r="C20" s="125"/>
      <c r="D20" s="125"/>
      <c r="E20" s="79"/>
      <c r="F20" s="126"/>
      <c r="G20" s="126"/>
      <c r="H20" s="126"/>
      <c r="I20" s="127"/>
      <c r="J20" s="128"/>
      <c r="K20" s="128"/>
      <c r="L20" s="129"/>
      <c r="M20" s="148"/>
      <c r="N20" s="148"/>
      <c r="O20" s="130"/>
      <c r="P20" s="130"/>
    </row>
  </sheetData>
  <mergeCells count="2">
    <mergeCell ref="A6:L6"/>
    <mergeCell ref="A5:L5"/>
  </mergeCells>
  <phoneticPr fontId="3" type="noConversion"/>
  <conditionalFormatting sqref="A10:A15 I10:I15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10:F15 K10:K15 L11:L15">
    <cfRule type="expression" dxfId="56" priority="322" stopIfTrue="1">
      <formula>OR(LEFT(#REF!,3)="TIR",LEFT(#REF!,2)="IR")</formula>
    </cfRule>
  </conditionalFormatting>
  <conditionalFormatting sqref="C10:D15">
    <cfRule type="expression" dxfId="55" priority="329" stopIfTrue="1">
      <formula>LEFT(#REF!,3)="TIR"</formula>
    </cfRule>
  </conditionalFormatting>
  <conditionalFormatting sqref="J1:K4 G10:H15 J10:J55550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2"/>
  <sheetViews>
    <sheetView rightToLeft="1" zoomScale="80" zoomScaleNormal="80" workbookViewId="0"/>
  </sheetViews>
  <sheetFormatPr defaultColWidth="9.109375" defaultRowHeight="13.2" x14ac:dyDescent="0.25"/>
  <cols>
    <col min="1" max="1" width="42.6640625" style="10" bestFit="1" customWidth="1"/>
    <col min="2" max="2" width="15.33203125" style="9" bestFit="1" customWidth="1"/>
    <col min="3" max="3" width="12" style="60" bestFit="1" customWidth="1"/>
    <col min="4" max="4" width="14.109375" style="60" customWidth="1"/>
    <col min="5" max="5" width="12.44140625" style="60" bestFit="1" customWidth="1"/>
    <col min="6" max="6" width="10.33203125" style="37" bestFit="1" customWidth="1"/>
    <col min="7" max="7" width="11.33203125" style="62" bestFit="1" customWidth="1"/>
    <col min="8" max="8" width="22" style="64" customWidth="1"/>
    <col min="9" max="9" width="25.44140625" style="64" customWidth="1"/>
    <col min="10" max="10" width="20.6640625" style="64" customWidth="1"/>
    <col min="11" max="11" width="7.33203125" style="20" customWidth="1"/>
    <col min="12" max="13" width="10.5546875" style="13" customWidth="1"/>
    <col min="14" max="14" width="11.44140625" style="15" customWidth="1"/>
    <col min="15" max="15" width="15.44140625" style="15" customWidth="1"/>
    <col min="16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60"/>
      <c r="D1" s="60"/>
      <c r="E1" s="60"/>
      <c r="F1" s="37"/>
      <c r="G1" s="62"/>
      <c r="H1" s="63"/>
      <c r="I1" s="63"/>
      <c r="J1" s="63"/>
      <c r="K1" s="14"/>
      <c r="L1" s="13"/>
      <c r="M1" s="13"/>
      <c r="N1" s="15"/>
    </row>
    <row r="2" spans="1:17" s="7" customFormat="1" x14ac:dyDescent="0.25">
      <c r="A2" s="10" t="s">
        <v>238</v>
      </c>
      <c r="B2" s="9" t="s">
        <v>150</v>
      </c>
      <c r="C2" s="60"/>
      <c r="D2" s="60"/>
      <c r="E2" s="60"/>
      <c r="F2" s="37"/>
      <c r="G2" s="62"/>
      <c r="H2" s="63"/>
      <c r="I2" s="63"/>
      <c r="J2" s="63"/>
      <c r="K2" s="14"/>
      <c r="L2" s="13"/>
      <c r="M2" s="13"/>
      <c r="N2" s="15"/>
    </row>
    <row r="3" spans="1:17" s="7" customFormat="1" x14ac:dyDescent="0.25">
      <c r="A3" s="10" t="s">
        <v>239</v>
      </c>
      <c r="B3" s="9" t="s">
        <v>240</v>
      </c>
      <c r="C3" s="60"/>
      <c r="D3" s="60"/>
      <c r="E3" s="60"/>
      <c r="F3" s="37"/>
      <c r="G3" s="62"/>
      <c r="H3" s="63"/>
      <c r="I3" s="63"/>
      <c r="J3" s="63"/>
      <c r="K3" s="14"/>
      <c r="L3" s="13"/>
      <c r="M3" s="13"/>
      <c r="N3" s="15"/>
    </row>
    <row r="4" spans="1:17" s="7" customFormat="1" ht="13.8" thickBot="1" x14ac:dyDescent="0.3">
      <c r="A4" s="10" t="s">
        <v>241</v>
      </c>
      <c r="B4" s="9" t="s">
        <v>249</v>
      </c>
      <c r="C4" s="60"/>
      <c r="D4" s="60"/>
      <c r="E4" s="60"/>
      <c r="F4" s="37"/>
      <c r="G4" s="62"/>
      <c r="H4" s="63"/>
      <c r="I4" s="63"/>
      <c r="J4" s="63"/>
      <c r="K4" s="14"/>
      <c r="L4" s="13"/>
      <c r="M4" s="13"/>
      <c r="N4" s="15"/>
    </row>
    <row r="5" spans="1:17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4"/>
      <c r="K5" s="14"/>
      <c r="L5" s="13"/>
      <c r="M5" s="13"/>
      <c r="N5" s="13"/>
      <c r="O5" s="13"/>
      <c r="P5" s="13"/>
      <c r="Q5" s="13"/>
    </row>
    <row r="6" spans="1:17" s="7" customFormat="1" x14ac:dyDescent="0.25">
      <c r="A6" s="225" t="s">
        <v>30</v>
      </c>
      <c r="B6" s="226"/>
      <c r="C6" s="226"/>
      <c r="D6" s="226"/>
      <c r="E6" s="226"/>
      <c r="F6" s="226"/>
      <c r="G6" s="226"/>
      <c r="H6" s="226"/>
      <c r="I6" s="226"/>
      <c r="J6" s="227"/>
      <c r="K6" s="14"/>
      <c r="L6" s="13"/>
      <c r="M6" s="13"/>
      <c r="N6" s="13"/>
      <c r="O6" s="13"/>
      <c r="P6" s="13"/>
      <c r="Q6" s="13"/>
    </row>
    <row r="7" spans="1:17" s="7" customFormat="1" x14ac:dyDescent="0.25">
      <c r="A7" s="87" t="s">
        <v>157</v>
      </c>
      <c r="B7" s="204" t="s">
        <v>69</v>
      </c>
      <c r="C7" s="204" t="s">
        <v>6</v>
      </c>
      <c r="D7" s="204" t="s">
        <v>13</v>
      </c>
      <c r="E7" s="205" t="s">
        <v>67</v>
      </c>
      <c r="F7" s="205" t="s">
        <v>68</v>
      </c>
      <c r="G7" s="205" t="s">
        <v>29</v>
      </c>
      <c r="H7" s="90" t="s">
        <v>17</v>
      </c>
      <c r="I7" s="90" t="s">
        <v>75</v>
      </c>
      <c r="J7" s="91" t="s">
        <v>8</v>
      </c>
      <c r="K7" s="14"/>
    </row>
    <row r="8" spans="1:17" s="7" customFormat="1" x14ac:dyDescent="0.25">
      <c r="A8" s="27"/>
      <c r="B8" s="3"/>
      <c r="C8" s="30"/>
      <c r="D8" s="29" t="s">
        <v>15</v>
      </c>
      <c r="E8" s="2" t="s">
        <v>133</v>
      </c>
      <c r="F8" s="2"/>
      <c r="G8" s="2" t="s">
        <v>135</v>
      </c>
      <c r="H8" s="31" t="s">
        <v>9</v>
      </c>
      <c r="I8" s="31" t="s">
        <v>9</v>
      </c>
      <c r="J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7" s="119" customFormat="1" ht="12.75" customHeight="1" thickBot="1" x14ac:dyDescent="0.3">
      <c r="A10" s="100" t="s">
        <v>60</v>
      </c>
      <c r="B10" s="68" t="s">
        <v>251</v>
      </c>
      <c r="C10" s="101" t="s">
        <v>251</v>
      </c>
      <c r="D10" s="101" t="s">
        <v>251</v>
      </c>
      <c r="E10" s="102" t="s">
        <v>251</v>
      </c>
      <c r="F10" s="101" t="s">
        <v>251</v>
      </c>
      <c r="G10" s="105">
        <v>32326.396650799994</v>
      </c>
      <c r="H10" s="68" t="s">
        <v>251</v>
      </c>
      <c r="I10" s="68">
        <v>1</v>
      </c>
      <c r="J10" s="82">
        <v>6.0317372310881988E-2</v>
      </c>
    </row>
    <row r="11" spans="1:17" s="119" customFormat="1" x14ac:dyDescent="0.25">
      <c r="A11" s="92" t="s">
        <v>1934</v>
      </c>
      <c r="B11" s="121" t="s">
        <v>251</v>
      </c>
      <c r="C11" s="122" t="s">
        <v>251</v>
      </c>
      <c r="D11" s="122" t="s">
        <v>251</v>
      </c>
      <c r="E11" s="133" t="s">
        <v>251</v>
      </c>
      <c r="F11" s="122" t="s">
        <v>251</v>
      </c>
      <c r="G11" s="134">
        <v>5432.4016003999986</v>
      </c>
      <c r="H11" s="121" t="s">
        <v>251</v>
      </c>
      <c r="I11" s="121">
        <v>0.16804847317449348</v>
      </c>
      <c r="J11" s="121">
        <v>1.0136242322741186E-2</v>
      </c>
    </row>
    <row r="12" spans="1:17" s="119" customFormat="1" x14ac:dyDescent="0.25">
      <c r="A12" s="93" t="s">
        <v>1935</v>
      </c>
      <c r="B12" s="137" t="s">
        <v>251</v>
      </c>
      <c r="C12" s="136" t="s">
        <v>251</v>
      </c>
      <c r="D12" s="136" t="s">
        <v>251</v>
      </c>
      <c r="E12" s="135" t="s">
        <v>251</v>
      </c>
      <c r="F12" s="122" t="s">
        <v>251</v>
      </c>
      <c r="G12" s="124">
        <v>0</v>
      </c>
      <c r="H12" s="121"/>
      <c r="I12" s="137">
        <v>0</v>
      </c>
      <c r="J12" s="137">
        <v>0</v>
      </c>
    </row>
    <row r="13" spans="1:17" s="119" customFormat="1" x14ac:dyDescent="0.25">
      <c r="A13" s="93" t="s">
        <v>1936</v>
      </c>
      <c r="B13" s="137" t="s">
        <v>251</v>
      </c>
      <c r="C13" s="136" t="s">
        <v>251</v>
      </c>
      <c r="D13" s="136" t="s">
        <v>251</v>
      </c>
      <c r="E13" s="135" t="s">
        <v>251</v>
      </c>
      <c r="F13" s="122" t="s">
        <v>251</v>
      </c>
      <c r="G13" s="124">
        <v>984.06346009999993</v>
      </c>
      <c r="H13" s="121"/>
      <c r="I13" s="137">
        <v>3.0441483185712472E-2</v>
      </c>
      <c r="J13" s="137">
        <v>1.8361502750080729E-3</v>
      </c>
    </row>
    <row r="14" spans="1:17" x14ac:dyDescent="0.25">
      <c r="A14" s="17" t="s">
        <v>1937</v>
      </c>
      <c r="B14" s="25" t="s">
        <v>1938</v>
      </c>
      <c r="C14" s="61" t="s">
        <v>257</v>
      </c>
      <c r="D14" s="61" t="s">
        <v>427</v>
      </c>
      <c r="E14" s="70">
        <v>565.21</v>
      </c>
      <c r="F14" s="67">
        <v>174105.8124</v>
      </c>
      <c r="G14" s="85">
        <v>984.06345999999996</v>
      </c>
      <c r="H14" s="33">
        <v>0</v>
      </c>
      <c r="I14" s="25">
        <v>3.0441483182619026E-2</v>
      </c>
      <c r="J14" s="25">
        <v>1.8361502748214843E-3</v>
      </c>
      <c r="K14" s="15"/>
      <c r="L14" s="15"/>
      <c r="M14" s="15"/>
    </row>
    <row r="15" spans="1:17" s="119" customFormat="1" x14ac:dyDescent="0.25">
      <c r="A15" s="93" t="s">
        <v>1939</v>
      </c>
      <c r="B15" s="137" t="s">
        <v>251</v>
      </c>
      <c r="C15" s="136" t="s">
        <v>251</v>
      </c>
      <c r="D15" s="136" t="s">
        <v>251</v>
      </c>
      <c r="E15" s="135" t="s">
        <v>251</v>
      </c>
      <c r="F15" s="122" t="s">
        <v>251</v>
      </c>
      <c r="G15" s="124">
        <v>0</v>
      </c>
      <c r="H15" s="121"/>
      <c r="I15" s="137">
        <v>0</v>
      </c>
      <c r="J15" s="137">
        <v>0</v>
      </c>
    </row>
    <row r="16" spans="1:17" s="119" customFormat="1" x14ac:dyDescent="0.25">
      <c r="A16" s="93" t="s">
        <v>1940</v>
      </c>
      <c r="B16" s="137" t="s">
        <v>251</v>
      </c>
      <c r="C16" s="136" t="s">
        <v>251</v>
      </c>
      <c r="D16" s="136" t="s">
        <v>251</v>
      </c>
      <c r="E16" s="135" t="s">
        <v>251</v>
      </c>
      <c r="F16" s="122" t="s">
        <v>251</v>
      </c>
      <c r="G16" s="124">
        <v>4448.3381401000006</v>
      </c>
      <c r="H16" s="121"/>
      <c r="I16" s="137">
        <v>0.13760698998259416</v>
      </c>
      <c r="J16" s="137">
        <v>8.3000920473599409E-3</v>
      </c>
    </row>
    <row r="17" spans="1:13" x14ac:dyDescent="0.25">
      <c r="A17" s="17" t="s">
        <v>1941</v>
      </c>
      <c r="B17" s="25" t="s">
        <v>1942</v>
      </c>
      <c r="C17" s="61" t="s">
        <v>257</v>
      </c>
      <c r="D17" s="61" t="s">
        <v>1943</v>
      </c>
      <c r="E17" s="70">
        <v>1003294.43</v>
      </c>
      <c r="F17" s="67">
        <v>118.2914</v>
      </c>
      <c r="G17" s="85">
        <v>1186.8110200000001</v>
      </c>
      <c r="H17" s="33">
        <v>1.6064586666666666E-3</v>
      </c>
      <c r="I17" s="25">
        <v>3.6713371824899317E-2</v>
      </c>
      <c r="J17" s="25">
        <v>2.2144541171502967E-3</v>
      </c>
      <c r="K17" s="15"/>
      <c r="L17" s="15"/>
      <c r="M17" s="15"/>
    </row>
    <row r="18" spans="1:13" x14ac:dyDescent="0.25">
      <c r="A18" s="17" t="s">
        <v>1946</v>
      </c>
      <c r="B18" s="25" t="s">
        <v>1947</v>
      </c>
      <c r="C18" s="61" t="s">
        <v>257</v>
      </c>
      <c r="D18" s="61" t="s">
        <v>1948</v>
      </c>
      <c r="E18" s="70">
        <v>2048909.19</v>
      </c>
      <c r="F18" s="67">
        <v>109.64370000000001</v>
      </c>
      <c r="G18" s="85">
        <v>2246.5005099999998</v>
      </c>
      <c r="H18" s="33">
        <v>3.7914267441860466E-3</v>
      </c>
      <c r="I18" s="25">
        <v>6.9494306286822252E-2</v>
      </c>
      <c r="J18" s="25">
        <v>4.1917139457887248E-3</v>
      </c>
      <c r="K18" s="15"/>
      <c r="L18" s="15"/>
      <c r="M18" s="15"/>
    </row>
    <row r="19" spans="1:13" x14ac:dyDescent="0.25">
      <c r="A19" s="17" t="s">
        <v>1944</v>
      </c>
      <c r="B19" s="25" t="s">
        <v>1945</v>
      </c>
      <c r="C19" s="61" t="s">
        <v>257</v>
      </c>
      <c r="D19" s="61" t="s">
        <v>477</v>
      </c>
      <c r="E19" s="70">
        <v>1471972.93</v>
      </c>
      <c r="F19" s="67">
        <v>64.217199999999991</v>
      </c>
      <c r="G19" s="85">
        <v>945.26102000000003</v>
      </c>
      <c r="H19" s="33">
        <v>1.9001206666666667E-3</v>
      </c>
      <c r="I19" s="25">
        <v>2.924115020337744E-2</v>
      </c>
      <c r="J19" s="25">
        <v>1.7637493436155395E-3</v>
      </c>
      <c r="K19" s="15"/>
      <c r="L19" s="15"/>
      <c r="M19" s="15"/>
    </row>
    <row r="20" spans="1:13" x14ac:dyDescent="0.25">
      <c r="A20" s="17" t="s">
        <v>1949</v>
      </c>
      <c r="B20" s="25" t="s">
        <v>1950</v>
      </c>
      <c r="C20" s="61" t="s">
        <v>257</v>
      </c>
      <c r="D20" s="61" t="s">
        <v>1951</v>
      </c>
      <c r="E20" s="70">
        <v>69765.59</v>
      </c>
      <c r="F20" s="67">
        <v>100</v>
      </c>
      <c r="G20" s="85">
        <v>69.765590000000003</v>
      </c>
      <c r="H20" s="33">
        <v>1.3405972727272726E-3</v>
      </c>
      <c r="I20" s="25">
        <v>2.1581616644016982E-3</v>
      </c>
      <c r="J20" s="25">
        <v>1.3017464061878997E-4</v>
      </c>
      <c r="K20" s="15"/>
      <c r="L20" s="15"/>
      <c r="M20" s="15"/>
    </row>
    <row r="21" spans="1:13" s="119" customFormat="1" x14ac:dyDescent="0.25">
      <c r="A21" s="93" t="s">
        <v>1952</v>
      </c>
      <c r="B21" s="137" t="s">
        <v>251</v>
      </c>
      <c r="C21" s="136" t="s">
        <v>251</v>
      </c>
      <c r="D21" s="136" t="s">
        <v>251</v>
      </c>
      <c r="E21" s="135" t="s">
        <v>251</v>
      </c>
      <c r="F21" s="122" t="s">
        <v>251</v>
      </c>
      <c r="G21" s="124">
        <v>26893.995050399997</v>
      </c>
      <c r="H21" s="121"/>
      <c r="I21" s="137">
        <v>0.83195152682550655</v>
      </c>
      <c r="J21" s="137">
        <v>5.0181129988140803E-2</v>
      </c>
    </row>
    <row r="22" spans="1:13" s="119" customFormat="1" x14ac:dyDescent="0.25">
      <c r="A22" s="93" t="s">
        <v>1935</v>
      </c>
      <c r="B22" s="137" t="s">
        <v>251</v>
      </c>
      <c r="C22" s="136" t="s">
        <v>251</v>
      </c>
      <c r="D22" s="136" t="s">
        <v>251</v>
      </c>
      <c r="E22" s="135" t="s">
        <v>251</v>
      </c>
      <c r="F22" s="122" t="s">
        <v>251</v>
      </c>
      <c r="G22" s="124">
        <v>0</v>
      </c>
      <c r="H22" s="121"/>
      <c r="I22" s="137">
        <v>0</v>
      </c>
      <c r="J22" s="137">
        <v>0</v>
      </c>
    </row>
    <row r="23" spans="1:13" s="119" customFormat="1" x14ac:dyDescent="0.25">
      <c r="A23" s="93" t="s">
        <v>1936</v>
      </c>
      <c r="B23" s="137" t="s">
        <v>251</v>
      </c>
      <c r="C23" s="136" t="s">
        <v>251</v>
      </c>
      <c r="D23" s="136" t="s">
        <v>251</v>
      </c>
      <c r="E23" s="135" t="s">
        <v>251</v>
      </c>
      <c r="F23" s="122" t="s">
        <v>251</v>
      </c>
      <c r="G23" s="124">
        <v>3267.8443100999998</v>
      </c>
      <c r="H23" s="121"/>
      <c r="I23" s="137">
        <v>0.10108903709251273</v>
      </c>
      <c r="J23" s="137">
        <v>6.0974250868576487E-3</v>
      </c>
    </row>
    <row r="24" spans="1:13" x14ac:dyDescent="0.25">
      <c r="A24" s="17" t="s">
        <v>1958</v>
      </c>
      <c r="B24" s="25" t="s">
        <v>1959</v>
      </c>
      <c r="C24" s="61" t="s">
        <v>125</v>
      </c>
      <c r="D24" s="61" t="s">
        <v>1077</v>
      </c>
      <c r="E24" s="70">
        <v>47.57</v>
      </c>
      <c r="F24" s="67">
        <v>100000</v>
      </c>
      <c r="G24" s="85">
        <v>181.90768</v>
      </c>
      <c r="H24" s="33">
        <v>0</v>
      </c>
      <c r="I24" s="25">
        <v>5.6272179657084745E-3</v>
      </c>
      <c r="J24" s="25">
        <v>3.3941900111212199E-4</v>
      </c>
      <c r="K24" s="15"/>
      <c r="L24" s="15"/>
      <c r="M24" s="15"/>
    </row>
    <row r="25" spans="1:13" x14ac:dyDescent="0.25">
      <c r="A25" s="17" t="s">
        <v>1956</v>
      </c>
      <c r="B25" s="25" t="s">
        <v>1957</v>
      </c>
      <c r="C25" s="61" t="s">
        <v>125</v>
      </c>
      <c r="D25" s="61" t="s">
        <v>1444</v>
      </c>
      <c r="E25" s="70">
        <v>65879.58</v>
      </c>
      <c r="F25" s="67">
        <v>112387.43999999999</v>
      </c>
      <c r="G25" s="85">
        <v>283.13038</v>
      </c>
      <c r="H25" s="33">
        <v>0</v>
      </c>
      <c r="I25" s="25">
        <v>8.758488706875199E-3</v>
      </c>
      <c r="J25" s="25">
        <v>5.2828902421324668E-4</v>
      </c>
      <c r="K25" s="15"/>
      <c r="L25" s="15"/>
      <c r="M25" s="15"/>
    </row>
    <row r="26" spans="1:13" x14ac:dyDescent="0.25">
      <c r="A26" s="17" t="s">
        <v>1953</v>
      </c>
      <c r="B26" s="25" t="s">
        <v>1954</v>
      </c>
      <c r="C26" s="61" t="s">
        <v>125</v>
      </c>
      <c r="D26" s="61" t="s">
        <v>1955</v>
      </c>
      <c r="E26" s="70">
        <v>674972.08</v>
      </c>
      <c r="F26" s="67">
        <v>108.589888</v>
      </c>
      <c r="G26" s="85">
        <v>2802.8062500000001</v>
      </c>
      <c r="H26" s="33">
        <v>0</v>
      </c>
      <c r="I26" s="25">
        <v>8.6703330416835617E-2</v>
      </c>
      <c r="J26" s="25">
        <v>5.2297170613456925E-3</v>
      </c>
      <c r="K26" s="15"/>
      <c r="L26" s="15"/>
      <c r="M26" s="15"/>
    </row>
    <row r="27" spans="1:13" s="119" customFormat="1" x14ac:dyDescent="0.25">
      <c r="A27" s="93" t="s">
        <v>1939</v>
      </c>
      <c r="B27" s="137" t="s">
        <v>251</v>
      </c>
      <c r="C27" s="136" t="s">
        <v>251</v>
      </c>
      <c r="D27" s="136" t="s">
        <v>251</v>
      </c>
      <c r="E27" s="135" t="s">
        <v>251</v>
      </c>
      <c r="F27" s="122" t="s">
        <v>251</v>
      </c>
      <c r="G27" s="124">
        <v>8382.7470200999996</v>
      </c>
      <c r="H27" s="121"/>
      <c r="I27" s="137">
        <v>0.25931584985029715</v>
      </c>
      <c r="J27" s="137">
        <v>1.5641250661533143E-2</v>
      </c>
    </row>
    <row r="28" spans="1:13" x14ac:dyDescent="0.25">
      <c r="A28" s="17" t="s">
        <v>1960</v>
      </c>
      <c r="B28" s="25" t="s">
        <v>1961</v>
      </c>
      <c r="C28" s="61" t="s">
        <v>125</v>
      </c>
      <c r="D28" s="61" t="s">
        <v>766</v>
      </c>
      <c r="E28" s="70">
        <v>205268.28</v>
      </c>
      <c r="F28" s="67">
        <v>239.33689999999999</v>
      </c>
      <c r="G28" s="85">
        <v>1878.6651899999999</v>
      </c>
      <c r="H28" s="33">
        <v>2.07302E-5</v>
      </c>
      <c r="I28" s="25">
        <v>5.8115515016843297E-2</v>
      </c>
      <c r="J28" s="25">
        <v>3.5053751563095901E-3</v>
      </c>
      <c r="K28" s="15"/>
      <c r="L28" s="15"/>
      <c r="M28" s="15"/>
    </row>
    <row r="29" spans="1:13" x14ac:dyDescent="0.25">
      <c r="A29" s="17" t="s">
        <v>1962</v>
      </c>
      <c r="B29" s="25" t="s">
        <v>1963</v>
      </c>
      <c r="C29" s="61" t="s">
        <v>125</v>
      </c>
      <c r="D29" s="61" t="s">
        <v>874</v>
      </c>
      <c r="E29" s="70">
        <v>465783.71</v>
      </c>
      <c r="F29" s="67">
        <v>133.0401</v>
      </c>
      <c r="G29" s="85">
        <v>2369.6529300000002</v>
      </c>
      <c r="H29" s="33">
        <v>2.721730903994394E-3</v>
      </c>
      <c r="I29" s="25">
        <v>7.3303961329118858E-2</v>
      </c>
      <c r="J29" s="25">
        <v>4.4215023273509579E-3</v>
      </c>
      <c r="K29" s="15"/>
      <c r="L29" s="15"/>
      <c r="M29" s="15"/>
    </row>
    <row r="30" spans="1:13" x14ac:dyDescent="0.25">
      <c r="A30" s="17" t="s">
        <v>1970</v>
      </c>
      <c r="B30" s="25" t="s">
        <v>1971</v>
      </c>
      <c r="C30" s="61" t="s">
        <v>125</v>
      </c>
      <c r="D30" s="61" t="s">
        <v>1972</v>
      </c>
      <c r="E30" s="70">
        <v>196973.14</v>
      </c>
      <c r="F30" s="67">
        <v>109.94370000000001</v>
      </c>
      <c r="G30" s="85">
        <v>828.12446999999997</v>
      </c>
      <c r="H30" s="33">
        <v>1.3229183673469389E-3</v>
      </c>
      <c r="I30" s="25">
        <v>2.561759292090806E-2</v>
      </c>
      <c r="J30" s="25">
        <v>1.5451858899190262E-3</v>
      </c>
      <c r="K30" s="15"/>
      <c r="L30" s="15"/>
      <c r="M30" s="15"/>
    </row>
    <row r="31" spans="1:13" x14ac:dyDescent="0.25">
      <c r="A31" s="17" t="s">
        <v>1964</v>
      </c>
      <c r="B31" s="25" t="s">
        <v>1965</v>
      </c>
      <c r="C31" s="61" t="s">
        <v>125</v>
      </c>
      <c r="D31" s="61" t="s">
        <v>1966</v>
      </c>
      <c r="E31" s="70">
        <v>483189.68</v>
      </c>
      <c r="F31" s="67">
        <v>110.61669999999999</v>
      </c>
      <c r="G31" s="85">
        <v>2043.8839399999999</v>
      </c>
      <c r="H31" s="33">
        <v>4.8036850000000001E-4</v>
      </c>
      <c r="I31" s="25">
        <v>6.3226469750980396E-2</v>
      </c>
      <c r="J31" s="25">
        <v>3.8136545158726025E-3</v>
      </c>
      <c r="K31" s="15"/>
      <c r="L31" s="15"/>
      <c r="M31" s="15"/>
    </row>
    <row r="32" spans="1:13" x14ac:dyDescent="0.25">
      <c r="A32" s="17" t="s">
        <v>1967</v>
      </c>
      <c r="B32" s="25" t="s">
        <v>1968</v>
      </c>
      <c r="C32" s="61" t="s">
        <v>125</v>
      </c>
      <c r="D32" s="61" t="s">
        <v>1969</v>
      </c>
      <c r="E32" s="70">
        <v>322004.77</v>
      </c>
      <c r="F32" s="67">
        <v>102.5236</v>
      </c>
      <c r="G32" s="85">
        <v>1262.42049</v>
      </c>
      <c r="H32" s="33">
        <v>1.1722917721976988E-3</v>
      </c>
      <c r="I32" s="25">
        <v>3.9052310829353086E-2</v>
      </c>
      <c r="J32" s="25">
        <v>2.3555327718943787E-3</v>
      </c>
      <c r="K32" s="15"/>
      <c r="L32" s="15"/>
      <c r="M32" s="15"/>
    </row>
    <row r="33" spans="1:13" s="119" customFormat="1" x14ac:dyDescent="0.25">
      <c r="A33" s="93" t="s">
        <v>1940</v>
      </c>
      <c r="B33" s="137" t="s">
        <v>251</v>
      </c>
      <c r="C33" s="136" t="s">
        <v>251</v>
      </c>
      <c r="D33" s="136" t="s">
        <v>251</v>
      </c>
      <c r="E33" s="135" t="s">
        <v>251</v>
      </c>
      <c r="F33" s="122" t="s">
        <v>251</v>
      </c>
      <c r="G33" s="124">
        <v>15243.403720100001</v>
      </c>
      <c r="H33" s="121"/>
      <c r="I33" s="137">
        <v>0.47154663987960338</v>
      </c>
      <c r="J33" s="137">
        <v>2.8442454239563427E-2</v>
      </c>
    </row>
    <row r="34" spans="1:13" x14ac:dyDescent="0.25">
      <c r="A34" s="17" t="s">
        <v>1973</v>
      </c>
      <c r="B34" s="25" t="s">
        <v>1974</v>
      </c>
      <c r="C34" s="61" t="s">
        <v>125</v>
      </c>
      <c r="D34" s="61" t="s">
        <v>1975</v>
      </c>
      <c r="E34" s="70">
        <v>160658</v>
      </c>
      <c r="F34" s="67">
        <v>133.73600000000002</v>
      </c>
      <c r="G34" s="85">
        <v>821.61539000000005</v>
      </c>
      <c r="H34" s="33">
        <v>2.7590580985915495E-4</v>
      </c>
      <c r="I34" s="25">
        <v>2.5416237970329651E-2</v>
      </c>
      <c r="J34" s="25">
        <v>1.533040688398349E-3</v>
      </c>
      <c r="K34" s="15"/>
      <c r="L34" s="15"/>
      <c r="M34" s="15"/>
    </row>
    <row r="35" spans="1:13" x14ac:dyDescent="0.25">
      <c r="A35" s="17" t="s">
        <v>1976</v>
      </c>
      <c r="B35" s="25" t="s">
        <v>1977</v>
      </c>
      <c r="C35" s="61" t="s">
        <v>125</v>
      </c>
      <c r="D35" s="61" t="s">
        <v>1978</v>
      </c>
      <c r="E35" s="70">
        <v>199342.56</v>
      </c>
      <c r="F35" s="67">
        <v>129.6421</v>
      </c>
      <c r="G35" s="85">
        <v>988.24355000000003</v>
      </c>
      <c r="H35" s="33">
        <v>2.1414196614196615E-4</v>
      </c>
      <c r="I35" s="25">
        <v>3.057079205812268E-2</v>
      </c>
      <c r="J35" s="25">
        <v>1.8439498464083398E-3</v>
      </c>
      <c r="K35" s="15"/>
      <c r="L35" s="15"/>
      <c r="M35" s="15"/>
    </row>
    <row r="36" spans="1:13" x14ac:dyDescent="0.25">
      <c r="A36" s="17" t="s">
        <v>1979</v>
      </c>
      <c r="B36" s="25" t="s">
        <v>1980</v>
      </c>
      <c r="C36" s="61" t="s">
        <v>125</v>
      </c>
      <c r="D36" s="61" t="s">
        <v>1981</v>
      </c>
      <c r="E36" s="70">
        <v>8418.17</v>
      </c>
      <c r="F36" s="67">
        <v>1989.4567999999999</v>
      </c>
      <c r="G36" s="85">
        <v>640.42827999999997</v>
      </c>
      <c r="H36" s="33">
        <v>6.309986208388638E-3</v>
      </c>
      <c r="I36" s="25">
        <v>1.9811310456841501E-2</v>
      </c>
      <c r="J36" s="25">
        <v>1.1949661887917782E-3</v>
      </c>
      <c r="K36" s="15"/>
      <c r="L36" s="15"/>
      <c r="M36" s="15"/>
    </row>
    <row r="37" spans="1:13" x14ac:dyDescent="0.25">
      <c r="A37" s="17" t="s">
        <v>1982</v>
      </c>
      <c r="B37" s="25" t="s">
        <v>1983</v>
      </c>
      <c r="C37" s="61" t="s">
        <v>125</v>
      </c>
      <c r="D37" s="61" t="s">
        <v>1984</v>
      </c>
      <c r="E37" s="70">
        <v>582755.49</v>
      </c>
      <c r="F37" s="67">
        <v>130.37049999999999</v>
      </c>
      <c r="G37" s="85">
        <v>2905.2505200000001</v>
      </c>
      <c r="H37" s="33">
        <v>1.2661549302197632E-3</v>
      </c>
      <c r="I37" s="25">
        <v>8.9872389780507836E-2</v>
      </c>
      <c r="J37" s="25">
        <v>5.4208663948595963E-3</v>
      </c>
      <c r="K37" s="15"/>
      <c r="L37" s="15"/>
      <c r="M37" s="15"/>
    </row>
    <row r="38" spans="1:13" x14ac:dyDescent="0.25">
      <c r="A38" s="17" t="s">
        <v>1985</v>
      </c>
      <c r="B38" s="25" t="s">
        <v>1986</v>
      </c>
      <c r="C38" s="61" t="s">
        <v>125</v>
      </c>
      <c r="D38" s="61" t="s">
        <v>1729</v>
      </c>
      <c r="E38" s="70">
        <v>742227.26</v>
      </c>
      <c r="F38" s="67">
        <v>110.95269999999999</v>
      </c>
      <c r="G38" s="85">
        <v>3149.1450099999997</v>
      </c>
      <c r="H38" s="33">
        <v>0</v>
      </c>
      <c r="I38" s="25">
        <v>9.7417136961414685E-2</v>
      </c>
      <c r="J38" s="25">
        <v>5.8759457195618316E-3</v>
      </c>
      <c r="K38" s="15"/>
      <c r="L38" s="15"/>
      <c r="M38" s="15"/>
    </row>
    <row r="39" spans="1:13" x14ac:dyDescent="0.25">
      <c r="A39" s="17" t="s">
        <v>1987</v>
      </c>
      <c r="B39" s="25" t="s">
        <v>1988</v>
      </c>
      <c r="C39" s="61" t="s">
        <v>125</v>
      </c>
      <c r="D39" s="61" t="s">
        <v>1989</v>
      </c>
      <c r="E39" s="70">
        <v>105115.65</v>
      </c>
      <c r="F39" s="67">
        <v>109.3507</v>
      </c>
      <c r="G39" s="85">
        <v>439.54852</v>
      </c>
      <c r="H39" s="33">
        <v>2.33544375E-3</v>
      </c>
      <c r="I39" s="25">
        <v>1.359720122066628E-2</v>
      </c>
      <c r="J39" s="25">
        <v>8.2014744841290698E-4</v>
      </c>
      <c r="K39" s="15"/>
      <c r="L39" s="15"/>
      <c r="M39" s="15"/>
    </row>
    <row r="40" spans="1:13" x14ac:dyDescent="0.25">
      <c r="A40" s="17" t="s">
        <v>1990</v>
      </c>
      <c r="B40" s="25" t="s">
        <v>1991</v>
      </c>
      <c r="C40" s="61" t="s">
        <v>126</v>
      </c>
      <c r="D40" s="61" t="s">
        <v>1120</v>
      </c>
      <c r="E40" s="70">
        <v>330273.71999999997</v>
      </c>
      <c r="F40" s="67">
        <v>108.8663</v>
      </c>
      <c r="G40" s="85">
        <v>1457.3195800000001</v>
      </c>
      <c r="H40" s="33">
        <v>5.4260109890109888E-4</v>
      </c>
      <c r="I40" s="25">
        <v>4.5081411199102368E-2</v>
      </c>
      <c r="J40" s="25">
        <v>2.7191922635962222E-3</v>
      </c>
      <c r="K40" s="15"/>
      <c r="L40" s="15"/>
      <c r="M40" s="15"/>
    </row>
    <row r="41" spans="1:13" x14ac:dyDescent="0.25">
      <c r="A41" s="17" t="s">
        <v>1992</v>
      </c>
      <c r="B41" s="25" t="s">
        <v>1993</v>
      </c>
      <c r="C41" s="61" t="s">
        <v>125</v>
      </c>
      <c r="D41" s="61" t="s">
        <v>1994</v>
      </c>
      <c r="E41" s="70">
        <v>133949.93</v>
      </c>
      <c r="F41" s="67">
        <v>110.2897</v>
      </c>
      <c r="G41" s="85">
        <v>564.93090000000007</v>
      </c>
      <c r="H41" s="33">
        <v>1.9411155555555556E-4</v>
      </c>
      <c r="I41" s="25">
        <v>1.7475838897312405E-2</v>
      </c>
      <c r="J41" s="25">
        <v>1.0540966812141858E-3</v>
      </c>
      <c r="K41" s="15"/>
      <c r="L41" s="15"/>
      <c r="M41" s="15"/>
    </row>
    <row r="42" spans="1:13" x14ac:dyDescent="0.25">
      <c r="A42" s="17" t="s">
        <v>1995</v>
      </c>
      <c r="B42" s="25" t="s">
        <v>1996</v>
      </c>
      <c r="C42" s="61" t="s">
        <v>125</v>
      </c>
      <c r="D42" s="61" t="s">
        <v>1997</v>
      </c>
      <c r="E42" s="70">
        <v>190288.3</v>
      </c>
      <c r="F42" s="67">
        <v>100</v>
      </c>
      <c r="G42" s="85">
        <v>727.66244999999992</v>
      </c>
      <c r="H42" s="33">
        <v>3.8262334000000001E-4</v>
      </c>
      <c r="I42" s="25">
        <v>2.2509853413618625E-2</v>
      </c>
      <c r="J42" s="25">
        <v>1.3577352090126124E-3</v>
      </c>
      <c r="K42" s="15"/>
      <c r="L42" s="15"/>
      <c r="M42" s="15"/>
    </row>
    <row r="43" spans="1:13" x14ac:dyDescent="0.25">
      <c r="A43" s="17" t="s">
        <v>1998</v>
      </c>
      <c r="B43" s="25" t="s">
        <v>1999</v>
      </c>
      <c r="C43" s="61" t="s">
        <v>125</v>
      </c>
      <c r="D43" s="61" t="s">
        <v>2000</v>
      </c>
      <c r="E43" s="70">
        <v>366335.21</v>
      </c>
      <c r="F43" s="67">
        <v>100</v>
      </c>
      <c r="G43" s="85">
        <v>1400.8658400000002</v>
      </c>
      <c r="H43" s="33">
        <v>0</v>
      </c>
      <c r="I43" s="25">
        <v>4.3335044580829651E-2</v>
      </c>
      <c r="J43" s="25">
        <v>2.613856018090571E-3</v>
      </c>
      <c r="K43" s="15"/>
      <c r="L43" s="15"/>
      <c r="M43" s="15"/>
    </row>
    <row r="44" spans="1:13" x14ac:dyDescent="0.25">
      <c r="A44" s="17" t="s">
        <v>2001</v>
      </c>
      <c r="B44" s="25" t="s">
        <v>2002</v>
      </c>
      <c r="C44" s="61" t="s">
        <v>125</v>
      </c>
      <c r="D44" s="61" t="s">
        <v>1542</v>
      </c>
      <c r="E44" s="70">
        <v>200718</v>
      </c>
      <c r="F44" s="67">
        <v>100</v>
      </c>
      <c r="G44" s="85">
        <v>767.54562999999996</v>
      </c>
      <c r="H44" s="33">
        <v>0</v>
      </c>
      <c r="I44" s="25">
        <v>2.3743618513726469E-2</v>
      </c>
      <c r="J44" s="25">
        <v>1.4321526778999895E-3</v>
      </c>
      <c r="K44" s="15"/>
      <c r="L44" s="15"/>
      <c r="M44" s="15"/>
    </row>
    <row r="45" spans="1:13" x14ac:dyDescent="0.25">
      <c r="A45" s="17" t="s">
        <v>2003</v>
      </c>
      <c r="B45" s="25" t="s">
        <v>2004</v>
      </c>
      <c r="C45" s="61" t="s">
        <v>125</v>
      </c>
      <c r="D45" s="61" t="s">
        <v>2005</v>
      </c>
      <c r="E45" s="70">
        <v>282415.26</v>
      </c>
      <c r="F45" s="67">
        <v>104.54470000000001</v>
      </c>
      <c r="G45" s="85">
        <v>1129.0367099999999</v>
      </c>
      <c r="H45" s="33">
        <v>1.9790625E-4</v>
      </c>
      <c r="I45" s="25">
        <v>3.4926154071430023E-2</v>
      </c>
      <c r="J45" s="25">
        <v>2.1066538385136708E-3</v>
      </c>
      <c r="K45" s="15"/>
      <c r="L45" s="15"/>
      <c r="M45" s="15"/>
    </row>
    <row r="46" spans="1:13" x14ac:dyDescent="0.25">
      <c r="A46" s="17" t="s">
        <v>2006</v>
      </c>
      <c r="B46" s="25" t="s">
        <v>2007</v>
      </c>
      <c r="C46" s="61" t="s">
        <v>125</v>
      </c>
      <c r="D46" s="61" t="s">
        <v>1444</v>
      </c>
      <c r="E46" s="70">
        <v>84297.42</v>
      </c>
      <c r="F46" s="67">
        <v>96.474400000000003</v>
      </c>
      <c r="G46" s="85">
        <v>310.98864000000003</v>
      </c>
      <c r="H46" s="33">
        <v>1.0555E-2</v>
      </c>
      <c r="I46" s="25">
        <v>9.6202692604250972E-3</v>
      </c>
      <c r="J46" s="25">
        <v>5.8026936271199391E-4</v>
      </c>
      <c r="K46" s="15"/>
      <c r="L46" s="15"/>
      <c r="M46" s="15"/>
    </row>
    <row r="47" spans="1:13" x14ac:dyDescent="0.25">
      <c r="A47" s="17" t="s">
        <v>2008</v>
      </c>
      <c r="B47" s="25" t="s">
        <v>2009</v>
      </c>
      <c r="C47" s="61" t="s">
        <v>126</v>
      </c>
      <c r="D47" s="61" t="s">
        <v>2010</v>
      </c>
      <c r="E47" s="70">
        <v>1032.3499999999999</v>
      </c>
      <c r="F47" s="67">
        <v>-1414.298</v>
      </c>
      <c r="G47" s="85">
        <v>-59.177300000000002</v>
      </c>
      <c r="H47" s="33">
        <v>2.5130952380952379E-5</v>
      </c>
      <c r="I47" s="25">
        <v>-1.8306185078173728E-3</v>
      </c>
      <c r="J47" s="25">
        <v>-1.1041809809521169E-4</v>
      </c>
      <c r="K47" s="15"/>
      <c r="L47" s="15"/>
      <c r="M47" s="15"/>
    </row>
    <row r="48" spans="1:13" s="119" customFormat="1" x14ac:dyDescent="0.25">
      <c r="A48" s="79" t="s">
        <v>242</v>
      </c>
      <c r="B48" s="125"/>
      <c r="C48" s="126"/>
      <c r="D48" s="126"/>
      <c r="E48" s="126"/>
      <c r="F48" s="127"/>
      <c r="G48" s="128"/>
      <c r="H48" s="129"/>
      <c r="I48" s="129"/>
      <c r="J48" s="129"/>
      <c r="K48" s="148"/>
      <c r="L48" s="130"/>
      <c r="M48" s="130"/>
    </row>
    <row r="49" spans="1:13" s="119" customFormat="1" x14ac:dyDescent="0.25">
      <c r="A49" s="79" t="s">
        <v>243</v>
      </c>
      <c r="B49" s="125"/>
      <c r="C49" s="126"/>
      <c r="D49" s="126"/>
      <c r="E49" s="126"/>
      <c r="F49" s="127"/>
      <c r="G49" s="128"/>
      <c r="H49" s="129"/>
      <c r="I49" s="129"/>
      <c r="J49" s="129"/>
      <c r="K49" s="148"/>
      <c r="L49" s="130"/>
      <c r="M49" s="130"/>
    </row>
    <row r="50" spans="1:13" s="119" customFormat="1" x14ac:dyDescent="0.25">
      <c r="A50" s="79" t="s">
        <v>244</v>
      </c>
      <c r="B50" s="125"/>
      <c r="C50" s="126"/>
      <c r="D50" s="126"/>
      <c r="E50" s="126"/>
      <c r="F50" s="127"/>
      <c r="G50" s="128"/>
      <c r="H50" s="129"/>
      <c r="I50" s="129"/>
      <c r="J50" s="129"/>
      <c r="K50" s="148"/>
      <c r="L50" s="130"/>
      <c r="M50" s="130"/>
    </row>
    <row r="51" spans="1:13" s="119" customFormat="1" x14ac:dyDescent="0.25">
      <c r="A51" s="79" t="s">
        <v>245</v>
      </c>
      <c r="B51" s="125"/>
      <c r="C51" s="126"/>
      <c r="D51" s="126"/>
      <c r="E51" s="126"/>
      <c r="F51" s="127"/>
      <c r="G51" s="128"/>
      <c r="H51" s="129"/>
      <c r="I51" s="129"/>
      <c r="J51" s="129"/>
      <c r="K51" s="148"/>
      <c r="L51" s="130"/>
      <c r="M51" s="130"/>
    </row>
    <row r="52" spans="1:13" s="119" customFormat="1" x14ac:dyDescent="0.25">
      <c r="A52" s="79" t="s">
        <v>246</v>
      </c>
      <c r="B52" s="125"/>
      <c r="C52" s="126"/>
      <c r="D52" s="126"/>
      <c r="E52" s="126"/>
      <c r="F52" s="127"/>
      <c r="G52" s="128"/>
      <c r="H52" s="129"/>
      <c r="I52" s="129"/>
      <c r="J52" s="129"/>
      <c r="K52" s="148"/>
      <c r="L52" s="130"/>
      <c r="M52" s="130"/>
    </row>
  </sheetData>
  <mergeCells count="2">
    <mergeCell ref="A6:J6"/>
    <mergeCell ref="A5:J5"/>
  </mergeCells>
  <phoneticPr fontId="3" type="noConversion"/>
  <conditionalFormatting sqref="A11:A47 G11:G47">
    <cfRule type="expression" dxfId="53" priority="337" stopIfTrue="1">
      <formula>#REF!&gt;0</formula>
    </cfRule>
  </conditionalFormatting>
  <conditionalFormatting sqref="B11:D47 I11:J47">
    <cfRule type="expression" dxfId="52" priority="335" stopIfTrue="1">
      <formula>OR(LEFT(#REF!,3)="TIR",LEFT(#REF!,2)="IR")</formula>
    </cfRule>
  </conditionalFormatting>
  <conditionalFormatting sqref="F12:F47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8"/>
  <sheetViews>
    <sheetView rightToLeft="1" zoomScale="80" workbookViewId="0"/>
  </sheetViews>
  <sheetFormatPr defaultColWidth="9.109375" defaultRowHeight="13.2" x14ac:dyDescent="0.25"/>
  <cols>
    <col min="1" max="1" width="28.88671875" style="10" bestFit="1" customWidth="1"/>
    <col min="2" max="2" width="13.5546875" style="9" bestFit="1" customWidth="1"/>
    <col min="3" max="3" width="11.5546875" style="10" customWidth="1"/>
    <col min="4" max="4" width="11.33203125" style="11" customWidth="1"/>
    <col min="5" max="5" width="14.109375" style="11" customWidth="1"/>
    <col min="6" max="6" width="10.5546875" style="11" customWidth="1"/>
    <col min="7" max="7" width="7.109375" style="12" bestFit="1" customWidth="1"/>
    <col min="8" max="8" width="10.44140625" style="13" customWidth="1"/>
    <col min="9" max="9" width="22" style="20" customWidth="1"/>
    <col min="10" max="10" width="25.44140625" style="20" customWidth="1"/>
    <col min="11" max="11" width="20.6640625" style="20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4"/>
      <c r="M4" s="13"/>
      <c r="N4" s="13"/>
      <c r="O4" s="15"/>
    </row>
    <row r="5" spans="1:18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5" t="s">
        <v>31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  <c r="L6" s="14"/>
      <c r="M6" s="13"/>
      <c r="N6" s="13"/>
      <c r="O6" s="13"/>
      <c r="P6" s="13"/>
      <c r="Q6" s="13"/>
      <c r="R6" s="13"/>
    </row>
    <row r="7" spans="1:18" s="7" customForma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3">
        <v>7</v>
      </c>
      <c r="I9" s="3">
        <v>8</v>
      </c>
      <c r="J9" s="3">
        <v>9</v>
      </c>
      <c r="K9" s="45">
        <v>10</v>
      </c>
    </row>
    <row r="10" spans="1:18" s="119" customFormat="1" ht="12.75" customHeight="1" thickBot="1" x14ac:dyDescent="0.3">
      <c r="A10" s="100" t="s">
        <v>55</v>
      </c>
      <c r="B10" s="68" t="s">
        <v>251</v>
      </c>
      <c r="C10" s="68" t="s">
        <v>251</v>
      </c>
      <c r="D10" s="139" t="s">
        <v>251</v>
      </c>
      <c r="E10" s="139" t="s">
        <v>251</v>
      </c>
      <c r="F10" s="141" t="s">
        <v>251</v>
      </c>
      <c r="G10" s="139" t="s">
        <v>251</v>
      </c>
      <c r="H10" s="153">
        <v>92.625910199999993</v>
      </c>
      <c r="I10" s="71"/>
      <c r="J10" s="84">
        <v>1</v>
      </c>
      <c r="K10" s="83">
        <v>1.7282939300410576E-4</v>
      </c>
    </row>
    <row r="11" spans="1:18" s="119" customFormat="1" x14ac:dyDescent="0.25">
      <c r="A11" s="92" t="s">
        <v>2011</v>
      </c>
      <c r="B11" s="121" t="s">
        <v>251</v>
      </c>
      <c r="C11" s="121" t="s">
        <v>251</v>
      </c>
      <c r="D11" s="143" t="s">
        <v>251</v>
      </c>
      <c r="E11" s="143" t="s">
        <v>251</v>
      </c>
      <c r="F11" s="142" t="s">
        <v>251</v>
      </c>
      <c r="G11" s="143" t="s">
        <v>251</v>
      </c>
      <c r="H11" s="123">
        <v>92.625910100000013</v>
      </c>
      <c r="I11" s="121" t="s">
        <v>251</v>
      </c>
      <c r="J11" s="121">
        <v>0.9999999989203886</v>
      </c>
      <c r="K11" s="121">
        <v>1.728293928175172E-4</v>
      </c>
    </row>
    <row r="12" spans="1:18" x14ac:dyDescent="0.25">
      <c r="A12" s="17" t="s">
        <v>2012</v>
      </c>
      <c r="B12" s="25" t="s">
        <v>2013</v>
      </c>
      <c r="C12" s="25" t="s">
        <v>226</v>
      </c>
      <c r="D12" s="26" t="s">
        <v>257</v>
      </c>
      <c r="E12" s="26" t="s">
        <v>1060</v>
      </c>
      <c r="F12" s="110">
        <v>35830.69</v>
      </c>
      <c r="G12" s="26">
        <v>258.51</v>
      </c>
      <c r="H12" s="85">
        <v>92.625910000000005</v>
      </c>
      <c r="I12" s="25">
        <v>5.2322853387850475E-3</v>
      </c>
      <c r="J12" s="33">
        <v>0.99999999784077698</v>
      </c>
      <c r="K12" s="33">
        <v>1.7282939263092858E-4</v>
      </c>
      <c r="L12" s="15"/>
      <c r="M12" s="15"/>
      <c r="N12" s="15"/>
    </row>
    <row r="13" spans="1:18" s="119" customFormat="1" x14ac:dyDescent="0.25">
      <c r="A13" s="93" t="s">
        <v>2014</v>
      </c>
      <c r="B13" s="137" t="s">
        <v>251</v>
      </c>
      <c r="C13" s="137" t="s">
        <v>251</v>
      </c>
      <c r="D13" s="145" t="s">
        <v>251</v>
      </c>
      <c r="E13" s="145" t="s">
        <v>251</v>
      </c>
      <c r="F13" s="144" t="s">
        <v>251</v>
      </c>
      <c r="G13" s="145" t="s">
        <v>251</v>
      </c>
      <c r="H13" s="124">
        <v>0</v>
      </c>
      <c r="I13" s="137"/>
      <c r="J13" s="121">
        <v>0</v>
      </c>
      <c r="K13" s="121">
        <v>0</v>
      </c>
    </row>
    <row r="14" spans="1:18" s="119" customFormat="1" x14ac:dyDescent="0.25">
      <c r="A14" s="79" t="s">
        <v>242</v>
      </c>
      <c r="B14" s="125"/>
      <c r="C14" s="79"/>
      <c r="D14" s="146"/>
      <c r="E14" s="146"/>
      <c r="F14" s="146"/>
      <c r="G14" s="147"/>
      <c r="H14" s="130"/>
      <c r="I14" s="148"/>
      <c r="J14" s="148"/>
      <c r="K14" s="148"/>
      <c r="L14" s="148"/>
      <c r="M14" s="130"/>
      <c r="N14" s="130"/>
    </row>
    <row r="15" spans="1:18" s="119" customFormat="1" x14ac:dyDescent="0.25">
      <c r="A15" s="79" t="s">
        <v>243</v>
      </c>
      <c r="B15" s="125"/>
      <c r="C15" s="79"/>
      <c r="D15" s="146"/>
      <c r="E15" s="146"/>
      <c r="F15" s="146"/>
      <c r="G15" s="147"/>
      <c r="H15" s="130"/>
      <c r="I15" s="148"/>
      <c r="J15" s="148"/>
      <c r="K15" s="148"/>
      <c r="L15" s="148"/>
      <c r="M15" s="130"/>
      <c r="N15" s="130"/>
    </row>
    <row r="16" spans="1:18" s="119" customFormat="1" x14ac:dyDescent="0.25">
      <c r="A16" s="79" t="s">
        <v>244</v>
      </c>
      <c r="B16" s="125"/>
      <c r="C16" s="79"/>
      <c r="D16" s="146"/>
      <c r="E16" s="146"/>
      <c r="F16" s="146"/>
      <c r="G16" s="147"/>
      <c r="H16" s="130"/>
      <c r="I16" s="148"/>
      <c r="J16" s="148"/>
      <c r="K16" s="148"/>
      <c r="L16" s="148"/>
      <c r="M16" s="130"/>
      <c r="N16" s="130"/>
    </row>
    <row r="17" spans="1:14" s="119" customFormat="1" x14ac:dyDescent="0.25">
      <c r="A17" s="79" t="s">
        <v>245</v>
      </c>
      <c r="B17" s="125"/>
      <c r="C17" s="79"/>
      <c r="D17" s="146"/>
      <c r="E17" s="146"/>
      <c r="F17" s="146"/>
      <c r="G17" s="147"/>
      <c r="H17" s="130"/>
      <c r="I17" s="148"/>
      <c r="J17" s="148"/>
      <c r="K17" s="148"/>
      <c r="L17" s="148"/>
      <c r="M17" s="130"/>
      <c r="N17" s="130"/>
    </row>
    <row r="18" spans="1:14" s="119" customFormat="1" x14ac:dyDescent="0.25">
      <c r="A18" s="79" t="s">
        <v>246</v>
      </c>
      <c r="B18" s="125"/>
      <c r="C18" s="79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</sheetData>
  <mergeCells count="2">
    <mergeCell ref="A6:K6"/>
    <mergeCell ref="A5:K5"/>
  </mergeCells>
  <phoneticPr fontId="3" type="noConversion"/>
  <conditionalFormatting sqref="A10:A13 H10:H13">
    <cfRule type="expression" dxfId="50" priority="343" stopIfTrue="1">
      <formula>#REF!&gt;0</formula>
    </cfRule>
  </conditionalFormatting>
  <conditionalFormatting sqref="J10:K13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10" customWidth="1"/>
    <col min="2" max="2" width="13.5546875" style="9" bestFit="1" customWidth="1"/>
    <col min="3" max="3" width="11.5546875" style="9" customWidth="1"/>
    <col min="4" max="4" width="11.33203125" style="60" customWidth="1"/>
    <col min="5" max="5" width="14.109375" style="60" customWidth="1"/>
    <col min="6" max="6" width="10.5546875" style="60" customWidth="1"/>
    <col min="7" max="7" width="7" style="37" customWidth="1"/>
    <col min="8" max="8" width="10.44140625" style="62" customWidth="1"/>
    <col min="9" max="9" width="22" style="64" customWidth="1"/>
    <col min="10" max="10" width="25.44140625" style="64" customWidth="1"/>
    <col min="11" max="11" width="20.6640625" style="64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60"/>
      <c r="E1" s="60"/>
      <c r="F1" s="60"/>
      <c r="G1" s="37"/>
      <c r="H1" s="62"/>
      <c r="I1" s="63"/>
      <c r="J1" s="63"/>
      <c r="K1" s="63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9"/>
      <c r="D2" s="60"/>
      <c r="E2" s="60"/>
      <c r="F2" s="60"/>
      <c r="G2" s="37"/>
      <c r="H2" s="62"/>
      <c r="I2" s="63"/>
      <c r="J2" s="63"/>
      <c r="K2" s="63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9"/>
      <c r="D3" s="60"/>
      <c r="E3" s="60"/>
      <c r="F3" s="60"/>
      <c r="G3" s="37"/>
      <c r="H3" s="62"/>
      <c r="I3" s="63"/>
      <c r="J3" s="63"/>
      <c r="K3" s="63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60"/>
      <c r="E4" s="60"/>
      <c r="F4" s="60"/>
      <c r="G4" s="37"/>
      <c r="H4" s="62"/>
      <c r="I4" s="63"/>
      <c r="J4" s="63"/>
      <c r="K4" s="63"/>
      <c r="L4" s="14"/>
      <c r="M4" s="13"/>
      <c r="N4" s="13"/>
      <c r="O4" s="15"/>
    </row>
    <row r="5" spans="1:18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5" t="s">
        <v>32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  <c r="L6" s="14"/>
      <c r="M6" s="13"/>
      <c r="N6" s="13"/>
      <c r="O6" s="13"/>
      <c r="P6" s="13"/>
      <c r="Q6" s="13"/>
      <c r="R6" s="13"/>
    </row>
    <row r="7" spans="1:18" s="7" customFormat="1" ht="32.25" customHeigh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3">
        <v>10</v>
      </c>
    </row>
    <row r="10" spans="1:18" s="119" customFormat="1" ht="12.75" customHeight="1" thickBot="1" x14ac:dyDescent="0.3">
      <c r="A10" s="100" t="s">
        <v>56</v>
      </c>
      <c r="B10" s="68" t="s">
        <v>251</v>
      </c>
      <c r="C10" s="68" t="s">
        <v>251</v>
      </c>
      <c r="D10" s="101" t="s">
        <v>251</v>
      </c>
      <c r="E10" s="101" t="s">
        <v>251</v>
      </c>
      <c r="F10" s="102" t="s">
        <v>251</v>
      </c>
      <c r="G10" s="101" t="s">
        <v>251</v>
      </c>
      <c r="H10" s="108">
        <v>9.9999999999999995E-7</v>
      </c>
      <c r="I10" s="68" t="s">
        <v>251</v>
      </c>
      <c r="J10" s="68">
        <v>1</v>
      </c>
      <c r="K10" s="82">
        <v>0</v>
      </c>
    </row>
    <row r="11" spans="1:18" s="119" customFormat="1" x14ac:dyDescent="0.25">
      <c r="A11" s="92" t="s">
        <v>2015</v>
      </c>
      <c r="B11" s="121" t="s">
        <v>251</v>
      </c>
      <c r="C11" s="121" t="s">
        <v>251</v>
      </c>
      <c r="D11" s="122" t="s">
        <v>251</v>
      </c>
      <c r="E11" s="122" t="s">
        <v>251</v>
      </c>
      <c r="F11" s="133" t="s">
        <v>251</v>
      </c>
      <c r="G11" s="122" t="s">
        <v>251</v>
      </c>
      <c r="H11" s="123">
        <v>0</v>
      </c>
      <c r="I11" s="121" t="s">
        <v>251</v>
      </c>
      <c r="J11" s="121">
        <v>0</v>
      </c>
      <c r="K11" s="121">
        <v>0</v>
      </c>
    </row>
    <row r="12" spans="1:18" s="119" customFormat="1" x14ac:dyDescent="0.25">
      <c r="A12" s="93" t="s">
        <v>1839</v>
      </c>
      <c r="B12" s="137" t="s">
        <v>251</v>
      </c>
      <c r="C12" s="137" t="s">
        <v>251</v>
      </c>
      <c r="D12" s="136" t="s">
        <v>251</v>
      </c>
      <c r="E12" s="136" t="s">
        <v>251</v>
      </c>
      <c r="F12" s="135" t="s">
        <v>251</v>
      </c>
      <c r="G12" s="136" t="s">
        <v>251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3" t="s">
        <v>2016</v>
      </c>
      <c r="B13" s="137" t="s">
        <v>251</v>
      </c>
      <c r="C13" s="137" t="s">
        <v>251</v>
      </c>
      <c r="D13" s="136" t="s">
        <v>251</v>
      </c>
      <c r="E13" s="136" t="s">
        <v>251</v>
      </c>
      <c r="F13" s="135" t="s">
        <v>251</v>
      </c>
      <c r="G13" s="136" t="s">
        <v>251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3" t="s">
        <v>2017</v>
      </c>
      <c r="B14" s="137" t="s">
        <v>251</v>
      </c>
      <c r="C14" s="137" t="s">
        <v>251</v>
      </c>
      <c r="D14" s="136" t="s">
        <v>251</v>
      </c>
      <c r="E14" s="136" t="s">
        <v>251</v>
      </c>
      <c r="F14" s="135" t="s">
        <v>251</v>
      </c>
      <c r="G14" s="136" t="s">
        <v>251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3" t="s">
        <v>1841</v>
      </c>
      <c r="B15" s="137" t="s">
        <v>251</v>
      </c>
      <c r="C15" s="137" t="s">
        <v>251</v>
      </c>
      <c r="D15" s="136" t="s">
        <v>251</v>
      </c>
      <c r="E15" s="136" t="s">
        <v>251</v>
      </c>
      <c r="F15" s="135" t="s">
        <v>251</v>
      </c>
      <c r="G15" s="136" t="s">
        <v>251</v>
      </c>
      <c r="H15" s="124">
        <v>0</v>
      </c>
      <c r="I15" s="137"/>
      <c r="J15" s="137">
        <v>0</v>
      </c>
      <c r="K15" s="137">
        <v>0</v>
      </c>
    </row>
    <row r="16" spans="1:18" s="119" customFormat="1" x14ac:dyDescent="0.25">
      <c r="A16" s="93" t="s">
        <v>141</v>
      </c>
      <c r="B16" s="137" t="s">
        <v>251</v>
      </c>
      <c r="C16" s="137" t="s">
        <v>251</v>
      </c>
      <c r="D16" s="136" t="s">
        <v>251</v>
      </c>
      <c r="E16" s="136" t="s">
        <v>251</v>
      </c>
      <c r="F16" s="135" t="s">
        <v>251</v>
      </c>
      <c r="G16" s="136" t="s">
        <v>251</v>
      </c>
      <c r="H16" s="124">
        <v>0</v>
      </c>
      <c r="I16" s="137"/>
      <c r="J16" s="137">
        <v>0</v>
      </c>
      <c r="K16" s="137">
        <v>0</v>
      </c>
    </row>
    <row r="17" spans="1:14" s="119" customFormat="1" x14ac:dyDescent="0.25">
      <c r="A17" s="93" t="s">
        <v>2018</v>
      </c>
      <c r="B17" s="137" t="s">
        <v>251</v>
      </c>
      <c r="C17" s="137" t="s">
        <v>251</v>
      </c>
      <c r="D17" s="136" t="s">
        <v>251</v>
      </c>
      <c r="E17" s="136" t="s">
        <v>251</v>
      </c>
      <c r="F17" s="135" t="s">
        <v>251</v>
      </c>
      <c r="G17" s="136" t="s">
        <v>251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3" t="s">
        <v>1839</v>
      </c>
      <c r="B18" s="137" t="s">
        <v>251</v>
      </c>
      <c r="C18" s="137" t="s">
        <v>251</v>
      </c>
      <c r="D18" s="136" t="s">
        <v>251</v>
      </c>
      <c r="E18" s="136" t="s">
        <v>251</v>
      </c>
      <c r="F18" s="135" t="s">
        <v>251</v>
      </c>
      <c r="G18" s="136" t="s">
        <v>251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3" t="s">
        <v>1842</v>
      </c>
      <c r="B19" s="137" t="s">
        <v>251</v>
      </c>
      <c r="C19" s="137" t="s">
        <v>251</v>
      </c>
      <c r="D19" s="136" t="s">
        <v>251</v>
      </c>
      <c r="E19" s="136" t="s">
        <v>251</v>
      </c>
      <c r="F19" s="135" t="s">
        <v>251</v>
      </c>
      <c r="G19" s="136" t="s">
        <v>251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3" t="s">
        <v>1841</v>
      </c>
      <c r="B20" s="137" t="s">
        <v>251</v>
      </c>
      <c r="C20" s="137" t="s">
        <v>251</v>
      </c>
      <c r="D20" s="136" t="s">
        <v>251</v>
      </c>
      <c r="E20" s="136" t="s">
        <v>251</v>
      </c>
      <c r="F20" s="135" t="s">
        <v>251</v>
      </c>
      <c r="G20" s="136" t="s">
        <v>251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3" t="s">
        <v>1843</v>
      </c>
      <c r="B21" s="137" t="s">
        <v>251</v>
      </c>
      <c r="C21" s="137" t="s">
        <v>251</v>
      </c>
      <c r="D21" s="136" t="s">
        <v>251</v>
      </c>
      <c r="E21" s="136" t="s">
        <v>251</v>
      </c>
      <c r="F21" s="135" t="s">
        <v>251</v>
      </c>
      <c r="G21" s="136" t="s">
        <v>251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3" t="s">
        <v>141</v>
      </c>
      <c r="B22" s="137" t="s">
        <v>251</v>
      </c>
      <c r="C22" s="137" t="s">
        <v>251</v>
      </c>
      <c r="D22" s="136" t="s">
        <v>251</v>
      </c>
      <c r="E22" s="136" t="s">
        <v>251</v>
      </c>
      <c r="F22" s="135" t="s">
        <v>251</v>
      </c>
      <c r="G22" s="136" t="s">
        <v>251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9" t="s">
        <v>242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9" t="s">
        <v>243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9" t="s">
        <v>244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9" t="s">
        <v>245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9" t="s">
        <v>246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6:K6"/>
    <mergeCell ref="A5:K5"/>
  </mergeCells>
  <phoneticPr fontId="3" type="noConversion"/>
  <conditionalFormatting sqref="A11:A22 H11:H22">
    <cfRule type="expression" dxfId="48" priority="351" stopIfTrue="1">
      <formula>#REF!&gt;0</formula>
    </cfRule>
  </conditionalFormatting>
  <conditionalFormatting sqref="B11:E22 J11:K22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88"/>
  <sheetViews>
    <sheetView rightToLeft="1" zoomScale="85" workbookViewId="0"/>
  </sheetViews>
  <sheetFormatPr defaultColWidth="9.109375" defaultRowHeight="13.2" x14ac:dyDescent="0.25"/>
  <cols>
    <col min="1" max="1" width="42.5546875" style="10" bestFit="1" customWidth="1"/>
    <col min="2" max="2" width="12.6640625" style="9" bestFit="1" customWidth="1"/>
    <col min="3" max="3" width="11.109375" style="10" customWidth="1"/>
    <col min="4" max="4" width="11.88671875" style="60" bestFit="1" customWidth="1"/>
    <col min="5" max="5" width="13.44140625" style="60" customWidth="1"/>
    <col min="6" max="6" width="13.5546875" style="60" bestFit="1" customWidth="1"/>
    <col min="7" max="7" width="6.6640625" style="37" bestFit="1" customWidth="1"/>
    <col min="8" max="8" width="9.88671875" style="62" bestFit="1" customWidth="1"/>
    <col min="9" max="9" width="24" style="62" customWidth="1"/>
    <col min="10" max="10" width="19.6640625" style="64" customWidth="1"/>
    <col min="11" max="11" width="11.44140625" style="20" bestFit="1" customWidth="1"/>
    <col min="12" max="12" width="7.33203125" style="20" customWidth="1"/>
    <col min="13" max="14" width="10.5546875" style="13" customWidth="1"/>
    <col min="15" max="15" width="11.44140625" style="15" customWidth="1"/>
    <col min="16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60"/>
      <c r="E1" s="60"/>
      <c r="F1" s="60"/>
      <c r="G1" s="37"/>
      <c r="H1" s="62"/>
      <c r="I1" s="62"/>
      <c r="J1" s="63"/>
      <c r="K1" s="14"/>
      <c r="L1" s="14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60"/>
      <c r="E2" s="60"/>
      <c r="F2" s="60"/>
      <c r="G2" s="37"/>
      <c r="H2" s="62"/>
      <c r="I2" s="62"/>
      <c r="J2" s="63"/>
      <c r="K2" s="14"/>
      <c r="L2" s="14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60"/>
      <c r="E3" s="60"/>
      <c r="F3" s="60"/>
      <c r="G3" s="37"/>
      <c r="H3" s="62"/>
      <c r="I3" s="62"/>
      <c r="J3" s="63"/>
      <c r="K3" s="14"/>
      <c r="L3" s="14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60"/>
      <c r="E4" s="60"/>
      <c r="F4" s="60"/>
      <c r="G4" s="37"/>
      <c r="H4" s="62"/>
      <c r="I4" s="62"/>
      <c r="J4" s="63"/>
      <c r="K4" s="14"/>
      <c r="L4" s="14"/>
      <c r="M4" s="13"/>
      <c r="N4" s="13"/>
      <c r="O4" s="15"/>
    </row>
    <row r="5" spans="1:15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4"/>
      <c r="K5" s="14"/>
      <c r="L5" s="14"/>
      <c r="M5" s="13"/>
      <c r="N5" s="13"/>
      <c r="O5" s="13"/>
    </row>
    <row r="6" spans="1:15" s="7" customFormat="1" x14ac:dyDescent="0.25">
      <c r="A6" s="225" t="s">
        <v>33</v>
      </c>
      <c r="B6" s="226"/>
      <c r="C6" s="226"/>
      <c r="D6" s="226"/>
      <c r="E6" s="226"/>
      <c r="F6" s="226"/>
      <c r="G6" s="226"/>
      <c r="H6" s="226"/>
      <c r="I6" s="226"/>
      <c r="J6" s="227"/>
      <c r="K6" s="14"/>
      <c r="L6" s="14"/>
      <c r="M6" s="13"/>
      <c r="N6" s="13"/>
      <c r="O6" s="13"/>
    </row>
    <row r="7" spans="1:15" s="7" customFormat="1" x14ac:dyDescent="0.25">
      <c r="A7" s="87" t="s">
        <v>157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90" t="s">
        <v>75</v>
      </c>
      <c r="J7" s="91" t="s">
        <v>8</v>
      </c>
      <c r="K7" s="14"/>
    </row>
    <row r="8" spans="1:15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5" s="119" customFormat="1" ht="12.75" customHeight="1" thickBot="1" x14ac:dyDescent="0.3">
      <c r="A10" s="100" t="s">
        <v>62</v>
      </c>
      <c r="B10" s="68"/>
      <c r="C10" s="68"/>
      <c r="D10" s="101"/>
      <c r="E10" s="101"/>
      <c r="F10" s="102"/>
      <c r="G10" s="101"/>
      <c r="H10" s="103">
        <v>-2878.0141791000024</v>
      </c>
      <c r="I10" s="68">
        <v>1</v>
      </c>
      <c r="J10" s="82">
        <v>-5.3700464865290279E-3</v>
      </c>
    </row>
    <row r="11" spans="1:15" s="119" customFormat="1" x14ac:dyDescent="0.25">
      <c r="A11" s="92" t="s">
        <v>2019</v>
      </c>
      <c r="B11" s="121" t="s">
        <v>251</v>
      </c>
      <c r="C11" s="121" t="s">
        <v>251</v>
      </c>
      <c r="D11" s="122" t="s">
        <v>251</v>
      </c>
      <c r="E11" s="122" t="s">
        <v>251</v>
      </c>
      <c r="F11" s="133" t="s">
        <v>251</v>
      </c>
      <c r="G11" s="122" t="s">
        <v>251</v>
      </c>
      <c r="H11" s="123">
        <v>-945.01271949999955</v>
      </c>
      <c r="I11" s="121">
        <v>0.32835582477759684</v>
      </c>
      <c r="J11" s="121">
        <v>-1.7632860431782747E-3</v>
      </c>
    </row>
    <row r="12" spans="1:15" s="119" customFormat="1" x14ac:dyDescent="0.25">
      <c r="A12" s="93" t="s">
        <v>1839</v>
      </c>
      <c r="B12" s="137" t="s">
        <v>251</v>
      </c>
      <c r="C12" s="137" t="s">
        <v>251</v>
      </c>
      <c r="D12" s="136" t="s">
        <v>251</v>
      </c>
      <c r="E12" s="136" t="s">
        <v>251</v>
      </c>
      <c r="F12" s="135" t="s">
        <v>251</v>
      </c>
      <c r="G12" s="136" t="s">
        <v>251</v>
      </c>
      <c r="H12" s="124">
        <v>0</v>
      </c>
      <c r="I12" s="137">
        <v>0</v>
      </c>
      <c r="J12" s="137">
        <v>0</v>
      </c>
    </row>
    <row r="13" spans="1:15" s="119" customFormat="1" x14ac:dyDescent="0.25">
      <c r="A13" s="93" t="s">
        <v>1841</v>
      </c>
      <c r="B13" s="137" t="s">
        <v>251</v>
      </c>
      <c r="C13" s="137" t="s">
        <v>251</v>
      </c>
      <c r="D13" s="136" t="s">
        <v>251</v>
      </c>
      <c r="E13" s="136" t="s">
        <v>251</v>
      </c>
      <c r="F13" s="135" t="s">
        <v>251</v>
      </c>
      <c r="G13" s="136" t="s">
        <v>251</v>
      </c>
      <c r="H13" s="124">
        <v>-5.7997198999999089</v>
      </c>
      <c r="I13" s="137">
        <v>2.0151811419544734E-3</v>
      </c>
      <c r="J13" s="137">
        <v>-1.0821616411072172E-5</v>
      </c>
    </row>
    <row r="14" spans="1:15" x14ac:dyDescent="0.25">
      <c r="A14" s="17" t="s">
        <v>2022</v>
      </c>
      <c r="B14" s="25" t="s">
        <v>2023</v>
      </c>
      <c r="C14" s="25" t="s">
        <v>200</v>
      </c>
      <c r="D14" s="61" t="s">
        <v>257</v>
      </c>
      <c r="E14" s="61" t="s">
        <v>1077</v>
      </c>
      <c r="F14" s="70">
        <v>-748261.35071343998</v>
      </c>
      <c r="G14" s="61">
        <v>100.025942</v>
      </c>
      <c r="H14" s="85">
        <v>-748.45546999999999</v>
      </c>
      <c r="I14" s="25">
        <v>0.26005968818195785</v>
      </c>
      <c r="J14" s="25">
        <v>-1.3965326148093571E-3</v>
      </c>
      <c r="K14" s="15"/>
      <c r="L14" s="15"/>
      <c r="M14" s="15"/>
      <c r="N14" s="15"/>
    </row>
    <row r="15" spans="1:15" x14ac:dyDescent="0.25">
      <c r="A15" s="17" t="s">
        <v>2026</v>
      </c>
      <c r="B15" s="25" t="s">
        <v>2027</v>
      </c>
      <c r="C15" s="25" t="s">
        <v>200</v>
      </c>
      <c r="D15" s="61" t="s">
        <v>257</v>
      </c>
      <c r="E15" s="61" t="s">
        <v>1077</v>
      </c>
      <c r="F15" s="70">
        <v>748261.35071343998</v>
      </c>
      <c r="G15" s="61">
        <v>99.532719999999998</v>
      </c>
      <c r="H15" s="85">
        <v>744.76487999999995</v>
      </c>
      <c r="I15" s="25">
        <v>-0.25877734912094807</v>
      </c>
      <c r="J15" s="25">
        <v>1.3896463944402424E-3</v>
      </c>
      <c r="K15" s="15"/>
      <c r="L15" s="15"/>
      <c r="M15" s="15"/>
      <c r="N15" s="15"/>
    </row>
    <row r="16" spans="1:15" x14ac:dyDescent="0.25">
      <c r="A16" s="17" t="s">
        <v>2020</v>
      </c>
      <c r="B16" s="25" t="s">
        <v>2021</v>
      </c>
      <c r="C16" s="25" t="s">
        <v>200</v>
      </c>
      <c r="D16" s="61" t="s">
        <v>257</v>
      </c>
      <c r="E16" s="61" t="s">
        <v>1077</v>
      </c>
      <c r="F16" s="70">
        <v>-374130.67535671999</v>
      </c>
      <c r="G16" s="61">
        <v>100.025942</v>
      </c>
      <c r="H16" s="85">
        <v>-374.22773999999998</v>
      </c>
      <c r="I16" s="25">
        <v>0.13002984582828794</v>
      </c>
      <c r="J16" s="25">
        <v>-6.9826631673410879E-4</v>
      </c>
      <c r="K16" s="15"/>
      <c r="L16" s="15"/>
      <c r="M16" s="15"/>
      <c r="N16" s="15"/>
    </row>
    <row r="17" spans="1:14" x14ac:dyDescent="0.25">
      <c r="A17" s="17" t="s">
        <v>2024</v>
      </c>
      <c r="B17" s="25" t="s">
        <v>2025</v>
      </c>
      <c r="C17" s="25" t="s">
        <v>200</v>
      </c>
      <c r="D17" s="61" t="s">
        <v>257</v>
      </c>
      <c r="E17" s="61" t="s">
        <v>1077</v>
      </c>
      <c r="F17" s="70">
        <v>374130.67535671999</v>
      </c>
      <c r="G17" s="61">
        <v>99.462203000000002</v>
      </c>
      <c r="H17" s="85">
        <v>372.11860999999999</v>
      </c>
      <c r="I17" s="25">
        <v>-0.12929700371259706</v>
      </c>
      <c r="J17" s="25">
        <v>6.9433092050556245E-4</v>
      </c>
      <c r="K17" s="15"/>
      <c r="L17" s="15"/>
      <c r="M17" s="15"/>
      <c r="N17" s="15"/>
    </row>
    <row r="18" spans="1:14" s="119" customFormat="1" x14ac:dyDescent="0.25">
      <c r="A18" s="93" t="s">
        <v>2028</v>
      </c>
      <c r="B18" s="137" t="s">
        <v>251</v>
      </c>
      <c r="C18" s="137" t="s">
        <v>251</v>
      </c>
      <c r="D18" s="136" t="s">
        <v>251</v>
      </c>
      <c r="E18" s="136" t="s">
        <v>251</v>
      </c>
      <c r="F18" s="135" t="s">
        <v>251</v>
      </c>
      <c r="G18" s="136" t="s">
        <v>251</v>
      </c>
      <c r="H18" s="124">
        <v>0</v>
      </c>
      <c r="I18" s="137">
        <v>0</v>
      </c>
      <c r="J18" s="137">
        <v>0</v>
      </c>
    </row>
    <row r="19" spans="1:14" s="119" customFormat="1" x14ac:dyDescent="0.25">
      <c r="A19" s="93" t="s">
        <v>2017</v>
      </c>
      <c r="B19" s="137" t="s">
        <v>251</v>
      </c>
      <c r="C19" s="137" t="s">
        <v>251</v>
      </c>
      <c r="D19" s="136" t="s">
        <v>251</v>
      </c>
      <c r="E19" s="136" t="s">
        <v>251</v>
      </c>
      <c r="F19" s="135" t="s">
        <v>251</v>
      </c>
      <c r="G19" s="136" t="s">
        <v>251</v>
      </c>
      <c r="H19" s="124">
        <v>154.13252010000031</v>
      </c>
      <c r="I19" s="137">
        <v>-5.3555163563579054E-2</v>
      </c>
      <c r="J19" s="137">
        <v>2.8759371793008506E-4</v>
      </c>
    </row>
    <row r="20" spans="1:14" x14ac:dyDescent="0.25">
      <c r="A20" s="17" t="s">
        <v>2029</v>
      </c>
      <c r="B20" s="25" t="s">
        <v>2030</v>
      </c>
      <c r="C20" s="25" t="s">
        <v>200</v>
      </c>
      <c r="D20" s="61" t="s">
        <v>125</v>
      </c>
      <c r="E20" s="61" t="s">
        <v>2031</v>
      </c>
      <c r="F20" s="70">
        <v>30100.508791187305</v>
      </c>
      <c r="G20" s="61">
        <v>0.99779300000000004</v>
      </c>
      <c r="H20" s="85">
        <v>114.85038</v>
      </c>
      <c r="I20" s="25">
        <v>-3.9906120280448175E-2</v>
      </c>
      <c r="J20" s="25">
        <v>2.1429772100302547E-4</v>
      </c>
      <c r="K20" s="15"/>
      <c r="L20" s="15"/>
      <c r="M20" s="15"/>
      <c r="N20" s="15"/>
    </row>
    <row r="21" spans="1:14" x14ac:dyDescent="0.25">
      <c r="A21" s="17" t="s">
        <v>2032</v>
      </c>
      <c r="B21" s="25" t="s">
        <v>2033</v>
      </c>
      <c r="C21" s="25" t="s">
        <v>200</v>
      </c>
      <c r="D21" s="61" t="s">
        <v>126</v>
      </c>
      <c r="E21" s="61" t="s">
        <v>2031</v>
      </c>
      <c r="F21" s="70">
        <v>-27195.978307903242</v>
      </c>
      <c r="G21" s="61">
        <v>0.99839999999999995</v>
      </c>
      <c r="H21" s="85">
        <v>-110.05169000000001</v>
      </c>
      <c r="I21" s="25">
        <v>3.8238758793889889E-2</v>
      </c>
      <c r="J21" s="25">
        <v>-2.0534391231035937E-4</v>
      </c>
      <c r="K21" s="15"/>
      <c r="L21" s="15"/>
      <c r="M21" s="15"/>
      <c r="N21" s="15"/>
    </row>
    <row r="22" spans="1:14" x14ac:dyDescent="0.25">
      <c r="A22" s="17" t="s">
        <v>2029</v>
      </c>
      <c r="B22" s="25" t="s">
        <v>2034</v>
      </c>
      <c r="C22" s="25" t="s">
        <v>200</v>
      </c>
      <c r="D22" s="61" t="s">
        <v>125</v>
      </c>
      <c r="E22" s="61" t="s">
        <v>2031</v>
      </c>
      <c r="F22" s="70">
        <v>938720.08885910397</v>
      </c>
      <c r="G22" s="61">
        <v>0.99779300000000004</v>
      </c>
      <c r="H22" s="85">
        <v>3581.7455499999996</v>
      </c>
      <c r="I22" s="25">
        <v>-1.2445197720047596</v>
      </c>
      <c r="J22" s="25">
        <v>6.6831290290700644E-3</v>
      </c>
      <c r="K22" s="15"/>
      <c r="L22" s="15"/>
      <c r="M22" s="15"/>
      <c r="N22" s="15"/>
    </row>
    <row r="23" spans="1:14" x14ac:dyDescent="0.25">
      <c r="A23" s="17" t="s">
        <v>2032</v>
      </c>
      <c r="B23" s="25" t="s">
        <v>2035</v>
      </c>
      <c r="C23" s="25" t="s">
        <v>200</v>
      </c>
      <c r="D23" s="61" t="s">
        <v>126</v>
      </c>
      <c r="E23" s="61" t="s">
        <v>2031</v>
      </c>
      <c r="F23" s="70">
        <v>-848138.85874512466</v>
      </c>
      <c r="G23" s="61">
        <v>0.99839999999999995</v>
      </c>
      <c r="H23" s="85">
        <v>-3432.0927000000001</v>
      </c>
      <c r="I23" s="25">
        <v>1.1925211226976187</v>
      </c>
      <c r="J23" s="25">
        <v>-6.403893865053998E-3</v>
      </c>
      <c r="K23" s="15"/>
      <c r="L23" s="15"/>
      <c r="M23" s="15"/>
      <c r="N23" s="15"/>
    </row>
    <row r="24" spans="1:14" x14ac:dyDescent="0.25">
      <c r="A24" s="17" t="s">
        <v>2032</v>
      </c>
      <c r="B24" s="25" t="s">
        <v>2036</v>
      </c>
      <c r="C24" s="25" t="s">
        <v>200</v>
      </c>
      <c r="D24" s="61" t="s">
        <v>126</v>
      </c>
      <c r="E24" s="61" t="s">
        <v>455</v>
      </c>
      <c r="F24" s="70">
        <v>27195.978307903242</v>
      </c>
      <c r="G24" s="61">
        <v>0.99839999999999995</v>
      </c>
      <c r="H24" s="85">
        <v>110.05169000000001</v>
      </c>
      <c r="I24" s="25">
        <v>-3.8238758793889889E-2</v>
      </c>
      <c r="J24" s="25">
        <v>2.0534391231035937E-4</v>
      </c>
      <c r="K24" s="15"/>
      <c r="L24" s="15"/>
      <c r="M24" s="15"/>
      <c r="N24" s="15"/>
    </row>
    <row r="25" spans="1:14" x14ac:dyDescent="0.25">
      <c r="A25" s="17" t="s">
        <v>2029</v>
      </c>
      <c r="B25" s="25" t="s">
        <v>2037</v>
      </c>
      <c r="C25" s="25" t="s">
        <v>200</v>
      </c>
      <c r="D25" s="61" t="s">
        <v>125</v>
      </c>
      <c r="E25" s="61" t="s">
        <v>455</v>
      </c>
      <c r="F25" s="70">
        <v>-28996.080112103355</v>
      </c>
      <c r="G25" s="61">
        <v>0.99779300000000004</v>
      </c>
      <c r="H25" s="85">
        <v>-110.63637</v>
      </c>
      <c r="I25" s="25">
        <v>3.8441912761735468E-2</v>
      </c>
      <c r="J25" s="25">
        <v>-2.0643485856161291E-4</v>
      </c>
      <c r="K25" s="15"/>
      <c r="L25" s="15"/>
      <c r="M25" s="15"/>
      <c r="N25" s="15"/>
    </row>
    <row r="26" spans="1:14" x14ac:dyDescent="0.25">
      <c r="A26" s="17" t="s">
        <v>2038</v>
      </c>
      <c r="B26" s="25" t="s">
        <v>2039</v>
      </c>
      <c r="C26" s="25" t="s">
        <v>200</v>
      </c>
      <c r="D26" s="61" t="s">
        <v>125</v>
      </c>
      <c r="E26" s="61" t="s">
        <v>455</v>
      </c>
      <c r="F26" s="70">
        <v>29208.480702688081</v>
      </c>
      <c r="G26" s="61">
        <v>0.97537300000000005</v>
      </c>
      <c r="H26" s="85">
        <v>108.94261999999999</v>
      </c>
      <c r="I26" s="25">
        <v>-3.7853399330391058E-2</v>
      </c>
      <c r="J26" s="25">
        <v>2.0327451407734672E-4</v>
      </c>
      <c r="K26" s="15"/>
      <c r="L26" s="15"/>
      <c r="M26" s="15"/>
      <c r="N26" s="15"/>
    </row>
    <row r="27" spans="1:14" x14ac:dyDescent="0.25">
      <c r="A27" s="17" t="s">
        <v>2040</v>
      </c>
      <c r="B27" s="25" t="s">
        <v>2041</v>
      </c>
      <c r="C27" s="25" t="s">
        <v>200</v>
      </c>
      <c r="D27" s="61" t="s">
        <v>126</v>
      </c>
      <c r="E27" s="61" t="s">
        <v>455</v>
      </c>
      <c r="F27" s="70">
        <v>-27195.978307903242</v>
      </c>
      <c r="G27" s="61">
        <v>0.98312500000000003</v>
      </c>
      <c r="H27" s="85">
        <v>-108.36798</v>
      </c>
      <c r="I27" s="25">
        <v>3.7653733879062498E-2</v>
      </c>
      <c r="J27" s="25">
        <v>-2.0220230132195858E-4</v>
      </c>
      <c r="K27" s="15"/>
      <c r="L27" s="15"/>
      <c r="M27" s="15"/>
      <c r="N27" s="15"/>
    </row>
    <row r="28" spans="1:14" x14ac:dyDescent="0.25">
      <c r="A28" s="17" t="s">
        <v>2032</v>
      </c>
      <c r="B28" s="25" t="s">
        <v>2042</v>
      </c>
      <c r="C28" s="25" t="s">
        <v>200</v>
      </c>
      <c r="D28" s="61" t="s">
        <v>126</v>
      </c>
      <c r="E28" s="61" t="s">
        <v>455</v>
      </c>
      <c r="F28" s="70">
        <v>848138.85874512466</v>
      </c>
      <c r="G28" s="61">
        <v>0.99839999999999995</v>
      </c>
      <c r="H28" s="85">
        <v>3432.0943299999999</v>
      </c>
      <c r="I28" s="25">
        <v>-1.19252168906036</v>
      </c>
      <c r="J28" s="25">
        <v>6.4038969064482473E-3</v>
      </c>
      <c r="K28" s="15"/>
      <c r="L28" s="15"/>
      <c r="M28" s="15"/>
      <c r="N28" s="15"/>
    </row>
    <row r="29" spans="1:14" x14ac:dyDescent="0.25">
      <c r="A29" s="17" t="s">
        <v>2029</v>
      </c>
      <c r="B29" s="25" t="s">
        <v>2043</v>
      </c>
      <c r="C29" s="25" t="s">
        <v>200</v>
      </c>
      <c r="D29" s="61" t="s">
        <v>125</v>
      </c>
      <c r="E29" s="61" t="s">
        <v>455</v>
      </c>
      <c r="F29" s="70">
        <v>-904277.16980546445</v>
      </c>
      <c r="G29" s="61">
        <v>0.99779300000000004</v>
      </c>
      <c r="H29" s="85">
        <v>-3450.3266699999999</v>
      </c>
      <c r="I29" s="25">
        <v>1.1988567308167217</v>
      </c>
      <c r="J29" s="25">
        <v>-6.4379163751740126E-3</v>
      </c>
      <c r="K29" s="15"/>
      <c r="L29" s="15"/>
      <c r="M29" s="15"/>
      <c r="N29" s="15"/>
    </row>
    <row r="30" spans="1:14" x14ac:dyDescent="0.25">
      <c r="A30" s="17" t="s">
        <v>2038</v>
      </c>
      <c r="B30" s="25" t="s">
        <v>2044</v>
      </c>
      <c r="C30" s="25" t="s">
        <v>200</v>
      </c>
      <c r="D30" s="61" t="s">
        <v>125</v>
      </c>
      <c r="E30" s="61" t="s">
        <v>455</v>
      </c>
      <c r="F30" s="70">
        <v>910901.13429226389</v>
      </c>
      <c r="G30" s="61">
        <v>0.97537499999999999</v>
      </c>
      <c r="H30" s="85">
        <v>3397.5117400000004</v>
      </c>
      <c r="I30" s="25">
        <v>-1.1805055599352372</v>
      </c>
      <c r="J30" s="25">
        <v>6.3393697344582027E-3</v>
      </c>
      <c r="K30" s="15"/>
      <c r="L30" s="15"/>
      <c r="M30" s="15"/>
      <c r="N30" s="15"/>
    </row>
    <row r="31" spans="1:14" x14ac:dyDescent="0.25">
      <c r="A31" s="17" t="s">
        <v>2040</v>
      </c>
      <c r="B31" s="25" t="s">
        <v>2045</v>
      </c>
      <c r="C31" s="25" t="s">
        <v>200</v>
      </c>
      <c r="D31" s="61" t="s">
        <v>126</v>
      </c>
      <c r="E31" s="61" t="s">
        <v>455</v>
      </c>
      <c r="F31" s="70">
        <v>-848138.85874512466</v>
      </c>
      <c r="G31" s="61">
        <v>0.98312600000000006</v>
      </c>
      <c r="H31" s="85">
        <v>-3379.5883799999997</v>
      </c>
      <c r="I31" s="25">
        <v>1.1742778769272246</v>
      </c>
      <c r="J31" s="25">
        <v>-6.305926787201808E-3</v>
      </c>
      <c r="K31" s="15"/>
      <c r="L31" s="15"/>
      <c r="M31" s="15"/>
      <c r="N31" s="15"/>
    </row>
    <row r="32" spans="1:14" s="119" customFormat="1" x14ac:dyDescent="0.25">
      <c r="A32" s="93" t="s">
        <v>2016</v>
      </c>
      <c r="B32" s="137" t="s">
        <v>251</v>
      </c>
      <c r="C32" s="137" t="s">
        <v>251</v>
      </c>
      <c r="D32" s="136" t="s">
        <v>251</v>
      </c>
      <c r="E32" s="136" t="s">
        <v>251</v>
      </c>
      <c r="F32" s="135" t="s">
        <v>251</v>
      </c>
      <c r="G32" s="136" t="s">
        <v>251</v>
      </c>
      <c r="H32" s="124">
        <v>-1093.3455198999993</v>
      </c>
      <c r="I32" s="137">
        <v>0.37989580726871353</v>
      </c>
      <c r="J32" s="137">
        <v>-2.0400581450704639E-3</v>
      </c>
    </row>
    <row r="33" spans="1:14" x14ac:dyDescent="0.25">
      <c r="A33" s="17" t="s">
        <v>2050</v>
      </c>
      <c r="B33" s="25" t="s">
        <v>2054</v>
      </c>
      <c r="C33" s="25" t="s">
        <v>200</v>
      </c>
      <c r="D33" s="61" t="s">
        <v>257</v>
      </c>
      <c r="E33" s="61" t="s">
        <v>1653</v>
      </c>
      <c r="F33" s="70">
        <v>62986.559644763875</v>
      </c>
      <c r="G33" s="61">
        <v>0.97453299999999998</v>
      </c>
      <c r="H33" s="85">
        <v>61.382489999999997</v>
      </c>
      <c r="I33" s="25">
        <v>-2.1328070739107762E-2</v>
      </c>
      <c r="J33" s="25">
        <v>1.1453273133698818E-4</v>
      </c>
      <c r="K33" s="15"/>
      <c r="L33" s="15"/>
      <c r="M33" s="15"/>
      <c r="N33" s="15"/>
    </row>
    <row r="34" spans="1:14" x14ac:dyDescent="0.25">
      <c r="A34" s="17" t="s">
        <v>2052</v>
      </c>
      <c r="B34" s="25" t="s">
        <v>2055</v>
      </c>
      <c r="C34" s="25" t="s">
        <v>200</v>
      </c>
      <c r="D34" s="61" t="s">
        <v>125</v>
      </c>
      <c r="E34" s="61" t="s">
        <v>1653</v>
      </c>
      <c r="F34" s="70">
        <v>-17575.846093357111</v>
      </c>
      <c r="G34" s="61">
        <v>0.96176300000000003</v>
      </c>
      <c r="H34" s="85">
        <v>-64.640140000000002</v>
      </c>
      <c r="I34" s="25">
        <v>2.2459979686484357E-2</v>
      </c>
      <c r="J34" s="25">
        <v>-1.2061113500291865E-4</v>
      </c>
      <c r="K34" s="15"/>
      <c r="L34" s="15"/>
      <c r="M34" s="15"/>
      <c r="N34" s="15"/>
    </row>
    <row r="35" spans="1:14" x14ac:dyDescent="0.25">
      <c r="A35" s="17" t="s">
        <v>2050</v>
      </c>
      <c r="B35" s="25" t="s">
        <v>2056</v>
      </c>
      <c r="C35" s="25" t="s">
        <v>200</v>
      </c>
      <c r="D35" s="61" t="s">
        <v>257</v>
      </c>
      <c r="E35" s="61" t="s">
        <v>1653</v>
      </c>
      <c r="F35" s="70">
        <v>630162.88759966241</v>
      </c>
      <c r="G35" s="61">
        <v>0.97453299999999998</v>
      </c>
      <c r="H35" s="85">
        <v>614.11463000000003</v>
      </c>
      <c r="I35" s="25">
        <v>-0.21338137749969069</v>
      </c>
      <c r="J35" s="25">
        <v>1.1458679165329382E-3</v>
      </c>
      <c r="K35" s="15"/>
      <c r="L35" s="15"/>
      <c r="M35" s="15"/>
      <c r="N35" s="15"/>
    </row>
    <row r="36" spans="1:14" x14ac:dyDescent="0.25">
      <c r="A36" s="17" t="s">
        <v>2052</v>
      </c>
      <c r="B36" s="25" t="s">
        <v>2057</v>
      </c>
      <c r="C36" s="25" t="s">
        <v>200</v>
      </c>
      <c r="D36" s="61" t="s">
        <v>125</v>
      </c>
      <c r="E36" s="61" t="s">
        <v>1653</v>
      </c>
      <c r="F36" s="70">
        <v>-175841.41741765841</v>
      </c>
      <c r="G36" s="61">
        <v>0.96176300000000003</v>
      </c>
      <c r="H36" s="85">
        <v>-646.70653000000004</v>
      </c>
      <c r="I36" s="25">
        <v>0.22470581788524571</v>
      </c>
      <c r="J36" s="25">
        <v>-1.2066806878372953E-3</v>
      </c>
      <c r="K36" s="15"/>
      <c r="L36" s="15"/>
      <c r="M36" s="15"/>
      <c r="N36" s="15"/>
    </row>
    <row r="37" spans="1:14" x14ac:dyDescent="0.25">
      <c r="A37" s="17" t="s">
        <v>2058</v>
      </c>
      <c r="B37" s="25" t="s">
        <v>2062</v>
      </c>
      <c r="C37" s="25" t="s">
        <v>200</v>
      </c>
      <c r="D37" s="61" t="s">
        <v>257</v>
      </c>
      <c r="E37" s="61" t="s">
        <v>2063</v>
      </c>
      <c r="F37" s="70">
        <v>7826604.2152843829</v>
      </c>
      <c r="G37" s="61">
        <v>0.97206899999999996</v>
      </c>
      <c r="H37" s="85">
        <v>7608.0033300000005</v>
      </c>
      <c r="I37" s="25">
        <v>-2.6434905655604295</v>
      </c>
      <c r="J37" s="25">
        <v>1.4195667223760417E-2</v>
      </c>
      <c r="K37" s="15"/>
      <c r="L37" s="15"/>
      <c r="M37" s="15"/>
      <c r="N37" s="15"/>
    </row>
    <row r="38" spans="1:14" x14ac:dyDescent="0.25">
      <c r="A38" s="17" t="s">
        <v>2060</v>
      </c>
      <c r="B38" s="25" t="s">
        <v>2064</v>
      </c>
      <c r="C38" s="25" t="s">
        <v>200</v>
      </c>
      <c r="D38" s="61" t="s">
        <v>125</v>
      </c>
      <c r="E38" s="61" t="s">
        <v>2063</v>
      </c>
      <c r="F38" s="70">
        <v>-2169957.917068976</v>
      </c>
      <c r="G38" s="61">
        <v>0.95802900000000002</v>
      </c>
      <c r="H38" s="85">
        <v>-7949.6512499999999</v>
      </c>
      <c r="I38" s="25">
        <v>2.7622001683417605</v>
      </c>
      <c r="J38" s="25">
        <v>-1.4833143309093558E-2</v>
      </c>
      <c r="K38" s="15"/>
      <c r="L38" s="15"/>
      <c r="M38" s="15"/>
      <c r="N38" s="15"/>
    </row>
    <row r="39" spans="1:14" x14ac:dyDescent="0.25">
      <c r="A39" s="17" t="s">
        <v>2072</v>
      </c>
      <c r="B39" s="25" t="s">
        <v>2073</v>
      </c>
      <c r="C39" s="25" t="s">
        <v>200</v>
      </c>
      <c r="D39" s="61" t="s">
        <v>257</v>
      </c>
      <c r="E39" s="61" t="s">
        <v>2074</v>
      </c>
      <c r="F39" s="70">
        <v>3707700</v>
      </c>
      <c r="G39" s="61">
        <v>0.992367</v>
      </c>
      <c r="H39" s="85">
        <v>3679.4005200000001</v>
      </c>
      <c r="I39" s="25">
        <v>-1.2784511440977693</v>
      </c>
      <c r="J39" s="25">
        <v>6.8653420745612408E-3</v>
      </c>
      <c r="K39" s="15"/>
      <c r="L39" s="15"/>
      <c r="M39" s="15"/>
      <c r="N39" s="15"/>
    </row>
    <row r="40" spans="1:14" x14ac:dyDescent="0.25">
      <c r="A40" s="17" t="s">
        <v>2075</v>
      </c>
      <c r="B40" s="25" t="s">
        <v>2076</v>
      </c>
      <c r="C40" s="25" t="s">
        <v>200</v>
      </c>
      <c r="D40" s="61" t="s">
        <v>125</v>
      </c>
      <c r="E40" s="61" t="s">
        <v>2074</v>
      </c>
      <c r="F40" s="70">
        <v>-1000000</v>
      </c>
      <c r="G40" s="61">
        <v>0.98855700000000002</v>
      </c>
      <c r="H40" s="85">
        <v>-3780.2455499999996</v>
      </c>
      <c r="I40" s="25">
        <v>1.3134909401947905</v>
      </c>
      <c r="J40" s="25">
        <v>-7.0535074084807428E-3</v>
      </c>
      <c r="K40" s="15"/>
      <c r="L40" s="15"/>
      <c r="M40" s="15"/>
      <c r="N40" s="15"/>
    </row>
    <row r="41" spans="1:14" x14ac:dyDescent="0.25">
      <c r="A41" s="17" t="s">
        <v>2050</v>
      </c>
      <c r="B41" s="25" t="s">
        <v>2115</v>
      </c>
      <c r="C41" s="25" t="s">
        <v>200</v>
      </c>
      <c r="D41" s="61" t="s">
        <v>257</v>
      </c>
      <c r="E41" s="61" t="s">
        <v>2116</v>
      </c>
      <c r="F41" s="70">
        <v>13530.980431945989</v>
      </c>
      <c r="G41" s="61">
        <v>0.97453000000000001</v>
      </c>
      <c r="H41" s="85">
        <v>13.186360000000001</v>
      </c>
      <c r="I41" s="25">
        <v>-4.581756440172776E-3</v>
      </c>
      <c r="J41" s="25">
        <v>2.460424507368156E-5</v>
      </c>
      <c r="K41" s="15"/>
      <c r="L41" s="15"/>
      <c r="M41" s="15"/>
      <c r="N41" s="15"/>
    </row>
    <row r="42" spans="1:14" x14ac:dyDescent="0.25">
      <c r="A42" s="17" t="s">
        <v>2052</v>
      </c>
      <c r="B42" s="25" t="s">
        <v>2117</v>
      </c>
      <c r="C42" s="25" t="s">
        <v>200</v>
      </c>
      <c r="D42" s="61" t="s">
        <v>125</v>
      </c>
      <c r="E42" s="61" t="s">
        <v>2116</v>
      </c>
      <c r="F42" s="70">
        <v>-3750.2717380273962</v>
      </c>
      <c r="G42" s="61">
        <v>0.96176099999999998</v>
      </c>
      <c r="H42" s="85">
        <v>-13.79265</v>
      </c>
      <c r="I42" s="25">
        <v>4.7924190576132484E-3</v>
      </c>
      <c r="J42" s="25">
        <v>-2.5735513122310778E-5</v>
      </c>
      <c r="K42" s="15"/>
      <c r="L42" s="15"/>
      <c r="M42" s="15"/>
      <c r="N42" s="15"/>
    </row>
    <row r="43" spans="1:14" x14ac:dyDescent="0.25">
      <c r="A43" s="17" t="s">
        <v>2050</v>
      </c>
      <c r="B43" s="25" t="s">
        <v>2118</v>
      </c>
      <c r="C43" s="25" t="s">
        <v>200</v>
      </c>
      <c r="D43" s="61" t="s">
        <v>257</v>
      </c>
      <c r="E43" s="61" t="s">
        <v>2116</v>
      </c>
      <c r="F43" s="70">
        <v>1349863.4766870458</v>
      </c>
      <c r="G43" s="61">
        <v>0.97453000000000001</v>
      </c>
      <c r="H43" s="85">
        <v>1315.48361</v>
      </c>
      <c r="I43" s="25">
        <v>-0.45708030889944101</v>
      </c>
      <c r="J43" s="25">
        <v>2.4545425068670454E-3</v>
      </c>
      <c r="K43" s="15"/>
      <c r="L43" s="15"/>
      <c r="M43" s="15"/>
      <c r="N43" s="15"/>
    </row>
    <row r="44" spans="1:14" x14ac:dyDescent="0.25">
      <c r="A44" s="17" t="s">
        <v>2052</v>
      </c>
      <c r="B44" s="25" t="s">
        <v>2119</v>
      </c>
      <c r="C44" s="25" t="s">
        <v>200</v>
      </c>
      <c r="D44" s="61" t="s">
        <v>125</v>
      </c>
      <c r="E44" s="61" t="s">
        <v>2116</v>
      </c>
      <c r="F44" s="70">
        <v>-374130.67535671999</v>
      </c>
      <c r="G44" s="61">
        <v>0.96176099999999998</v>
      </c>
      <c r="H44" s="85">
        <v>-1375.96813</v>
      </c>
      <c r="I44" s="25">
        <v>0.47809636936197636</v>
      </c>
      <c r="J44" s="25">
        <v>-2.5673997285145652E-3</v>
      </c>
      <c r="K44" s="15"/>
      <c r="L44" s="15"/>
      <c r="M44" s="15"/>
      <c r="N44" s="15"/>
    </row>
    <row r="45" spans="1:14" x14ac:dyDescent="0.25">
      <c r="A45" s="17" t="s">
        <v>2046</v>
      </c>
      <c r="B45" s="25" t="s">
        <v>2149</v>
      </c>
      <c r="C45" s="25" t="s">
        <v>200</v>
      </c>
      <c r="D45" s="61" t="s">
        <v>257</v>
      </c>
      <c r="E45" s="61" t="s">
        <v>2150</v>
      </c>
      <c r="F45" s="70">
        <v>56822.966973178634</v>
      </c>
      <c r="G45" s="61">
        <v>0.99354699999999996</v>
      </c>
      <c r="H45" s="85">
        <v>56.456300000000006</v>
      </c>
      <c r="I45" s="25">
        <v>-1.9616407872477797E-2</v>
      </c>
      <c r="J45" s="25">
        <v>1.0534102217391974E-4</v>
      </c>
      <c r="K45" s="19"/>
      <c r="L45" s="19"/>
    </row>
    <row r="46" spans="1:14" x14ac:dyDescent="0.25">
      <c r="A46" s="17" t="s">
        <v>2048</v>
      </c>
      <c r="B46" s="25" t="s">
        <v>2151</v>
      </c>
      <c r="C46" s="25" t="s">
        <v>200</v>
      </c>
      <c r="D46" s="61" t="s">
        <v>125</v>
      </c>
      <c r="E46" s="61" t="s">
        <v>2150</v>
      </c>
      <c r="F46" s="70">
        <v>-14965.227014268799</v>
      </c>
      <c r="G46" s="61">
        <v>0.99060800000000004</v>
      </c>
      <c r="H46" s="85">
        <v>-56.689579999999999</v>
      </c>
      <c r="I46" s="25">
        <v>1.9697463762227772E-2</v>
      </c>
      <c r="J46" s="25">
        <v>-1.0577629606988408E-4</v>
      </c>
      <c r="K46" s="19"/>
      <c r="L46" s="19"/>
    </row>
    <row r="47" spans="1:14" x14ac:dyDescent="0.25">
      <c r="A47" s="17" t="s">
        <v>2046</v>
      </c>
      <c r="B47" s="25" t="s">
        <v>2047</v>
      </c>
      <c r="C47" s="25" t="s">
        <v>200</v>
      </c>
      <c r="D47" s="61" t="s">
        <v>257</v>
      </c>
      <c r="E47" s="61" t="s">
        <v>1419</v>
      </c>
      <c r="F47" s="70">
        <v>812826</v>
      </c>
      <c r="G47" s="61">
        <v>0.99354699999999996</v>
      </c>
      <c r="H47" s="85">
        <v>807.58124999999995</v>
      </c>
      <c r="I47" s="25">
        <v>-0.28060363839226904</v>
      </c>
      <c r="J47" s="25">
        <v>1.5068545824556659E-3</v>
      </c>
      <c r="K47" s="15"/>
      <c r="L47" s="15"/>
      <c r="M47" s="15"/>
      <c r="N47" s="15"/>
    </row>
    <row r="48" spans="1:14" x14ac:dyDescent="0.25">
      <c r="A48" s="17" t="s">
        <v>2048</v>
      </c>
      <c r="B48" s="25" t="s">
        <v>2049</v>
      </c>
      <c r="C48" s="25" t="s">
        <v>200</v>
      </c>
      <c r="D48" s="61" t="s">
        <v>125</v>
      </c>
      <c r="E48" s="61" t="s">
        <v>1419</v>
      </c>
      <c r="F48" s="70">
        <v>-225000</v>
      </c>
      <c r="G48" s="61">
        <v>0.99060800000000004</v>
      </c>
      <c r="H48" s="85">
        <v>-852.31992000000002</v>
      </c>
      <c r="I48" s="25">
        <v>0.29614861740067355</v>
      </c>
      <c r="J48" s="25">
        <v>-1.5903318423629159E-3</v>
      </c>
      <c r="K48" s="15"/>
      <c r="L48" s="15"/>
      <c r="M48" s="15"/>
      <c r="N48" s="15"/>
    </row>
    <row r="49" spans="1:14" x14ac:dyDescent="0.25">
      <c r="A49" s="17" t="s">
        <v>2050</v>
      </c>
      <c r="B49" s="25" t="s">
        <v>2051</v>
      </c>
      <c r="C49" s="25" t="s">
        <v>200</v>
      </c>
      <c r="D49" s="61" t="s">
        <v>257</v>
      </c>
      <c r="E49" s="61" t="s">
        <v>1653</v>
      </c>
      <c r="F49" s="70">
        <v>736161.49555173342</v>
      </c>
      <c r="G49" s="61">
        <v>0.97453299999999998</v>
      </c>
      <c r="H49" s="85">
        <v>717.41379000000006</v>
      </c>
      <c r="I49" s="25">
        <v>-0.24927389003494974</v>
      </c>
      <c r="J49" s="25">
        <v>1.3386123773656048E-3</v>
      </c>
      <c r="K49" s="15"/>
      <c r="L49" s="15"/>
      <c r="M49" s="15"/>
      <c r="N49" s="15"/>
    </row>
    <row r="50" spans="1:14" x14ac:dyDescent="0.25">
      <c r="A50" s="17" t="s">
        <v>2052</v>
      </c>
      <c r="B50" s="25" t="s">
        <v>2053</v>
      </c>
      <c r="C50" s="25" t="s">
        <v>200</v>
      </c>
      <c r="D50" s="61" t="s">
        <v>125</v>
      </c>
      <c r="E50" s="61" t="s">
        <v>1653</v>
      </c>
      <c r="F50" s="70">
        <v>-206207.70183521946</v>
      </c>
      <c r="G50" s="61">
        <v>0.96176300000000003</v>
      </c>
      <c r="H50" s="85">
        <v>-758.38711999999998</v>
      </c>
      <c r="I50" s="25">
        <v>0.26351055721245925</v>
      </c>
      <c r="J50" s="25">
        <v>-1.4150639419220727E-3</v>
      </c>
      <c r="K50" s="15"/>
      <c r="L50" s="15"/>
      <c r="M50" s="15"/>
      <c r="N50" s="15"/>
    </row>
    <row r="51" spans="1:14" x14ac:dyDescent="0.25">
      <c r="A51" s="17" t="s">
        <v>2058</v>
      </c>
      <c r="B51" s="25" t="s">
        <v>2059</v>
      </c>
      <c r="C51" s="25" t="s">
        <v>200</v>
      </c>
      <c r="D51" s="61" t="s">
        <v>257</v>
      </c>
      <c r="E51" s="61" t="s">
        <v>1656</v>
      </c>
      <c r="F51" s="70">
        <v>5466917.1674845787</v>
      </c>
      <c r="G51" s="61">
        <v>0.97206899999999996</v>
      </c>
      <c r="H51" s="85">
        <v>5314.2235000000001</v>
      </c>
      <c r="I51" s="25">
        <v>-1.8464896867401246</v>
      </c>
      <c r="J51" s="25">
        <v>9.915735454690891E-3</v>
      </c>
      <c r="K51" s="15"/>
      <c r="L51" s="15"/>
      <c r="M51" s="15"/>
      <c r="N51" s="15"/>
    </row>
    <row r="52" spans="1:14" x14ac:dyDescent="0.25">
      <c r="A52" s="17" t="s">
        <v>2060</v>
      </c>
      <c r="B52" s="25" t="s">
        <v>2061</v>
      </c>
      <c r="C52" s="25" t="s">
        <v>200</v>
      </c>
      <c r="D52" s="61" t="s">
        <v>125</v>
      </c>
      <c r="E52" s="61" t="s">
        <v>1656</v>
      </c>
      <c r="F52" s="70">
        <v>-1518588.1020790497</v>
      </c>
      <c r="G52" s="61">
        <v>0.95802900000000002</v>
      </c>
      <c r="H52" s="85">
        <v>-5563.3548000000001</v>
      </c>
      <c r="I52" s="25">
        <v>1.9330532977915154</v>
      </c>
      <c r="J52" s="25">
        <v>-1.0380586070078676E-2</v>
      </c>
      <c r="K52" s="15"/>
      <c r="L52" s="15"/>
      <c r="M52" s="15"/>
      <c r="N52" s="15"/>
    </row>
    <row r="53" spans="1:14" x14ac:dyDescent="0.25">
      <c r="A53" s="17" t="s">
        <v>2058</v>
      </c>
      <c r="B53" s="25" t="s">
        <v>2065</v>
      </c>
      <c r="C53" s="25" t="s">
        <v>200</v>
      </c>
      <c r="D53" s="61" t="s">
        <v>257</v>
      </c>
      <c r="E53" s="61" t="s">
        <v>2063</v>
      </c>
      <c r="F53" s="70">
        <v>1845626.9580298301</v>
      </c>
      <c r="G53" s="61">
        <v>0.97206899999999996</v>
      </c>
      <c r="H53" s="85">
        <v>1794.0776899999998</v>
      </c>
      <c r="I53" s="25">
        <v>-0.62337347155149692</v>
      </c>
      <c r="J53" s="25">
        <v>3.3475445207005183E-3</v>
      </c>
      <c r="K53" s="15"/>
      <c r="L53" s="15"/>
      <c r="M53" s="15"/>
      <c r="N53" s="15"/>
    </row>
    <row r="54" spans="1:14" x14ac:dyDescent="0.25">
      <c r="A54" s="17" t="s">
        <v>2060</v>
      </c>
      <c r="B54" s="25" t="s">
        <v>2066</v>
      </c>
      <c r="C54" s="25" t="s">
        <v>200</v>
      </c>
      <c r="D54" s="61" t="s">
        <v>125</v>
      </c>
      <c r="E54" s="61" t="s">
        <v>2063</v>
      </c>
      <c r="F54" s="70">
        <v>-515135.3572708022</v>
      </c>
      <c r="G54" s="61">
        <v>0.95802900000000002</v>
      </c>
      <c r="H54" s="85">
        <v>-1887.2008500000002</v>
      </c>
      <c r="I54" s="25">
        <v>0.65573021276432897</v>
      </c>
      <c r="J54" s="25">
        <v>-3.5213017251660163E-3</v>
      </c>
      <c r="K54" s="15"/>
      <c r="L54" s="15"/>
      <c r="M54" s="15"/>
      <c r="N54" s="15"/>
    </row>
    <row r="55" spans="1:14" x14ac:dyDescent="0.25">
      <c r="A55" s="17" t="s">
        <v>2058</v>
      </c>
      <c r="B55" s="25" t="s">
        <v>2067</v>
      </c>
      <c r="C55" s="25" t="s">
        <v>200</v>
      </c>
      <c r="D55" s="61" t="s">
        <v>257</v>
      </c>
      <c r="E55" s="61" t="s">
        <v>2063</v>
      </c>
      <c r="F55" s="70">
        <v>1581713.7527283065</v>
      </c>
      <c r="G55" s="61">
        <v>0.97206899999999996</v>
      </c>
      <c r="H55" s="85">
        <v>1537.5357099999999</v>
      </c>
      <c r="I55" s="25">
        <v>-0.53423493225485441</v>
      </c>
      <c r="J55" s="25">
        <v>2.8688664209362532E-3</v>
      </c>
      <c r="K55" s="15"/>
      <c r="L55" s="15"/>
      <c r="M55" s="15"/>
      <c r="N55" s="15"/>
    </row>
    <row r="56" spans="1:14" x14ac:dyDescent="0.25">
      <c r="A56" s="17" t="s">
        <v>2060</v>
      </c>
      <c r="B56" s="25" t="s">
        <v>2068</v>
      </c>
      <c r="C56" s="25" t="s">
        <v>200</v>
      </c>
      <c r="D56" s="61" t="s">
        <v>125</v>
      </c>
      <c r="E56" s="61" t="s">
        <v>2063</v>
      </c>
      <c r="F56" s="70">
        <v>-441474.19692092959</v>
      </c>
      <c r="G56" s="61">
        <v>0.95802900000000002</v>
      </c>
      <c r="H56" s="85">
        <v>-1617.34284</v>
      </c>
      <c r="I56" s="25">
        <v>0.56196486165532622</v>
      </c>
      <c r="J56" s="25">
        <v>-3.0177774308849555E-3</v>
      </c>
      <c r="K56" s="15"/>
      <c r="L56" s="15"/>
      <c r="M56" s="15"/>
      <c r="N56" s="15"/>
    </row>
    <row r="57" spans="1:14" x14ac:dyDescent="0.25">
      <c r="A57" s="17" t="s">
        <v>2046</v>
      </c>
      <c r="B57" s="25" t="s">
        <v>2080</v>
      </c>
      <c r="C57" s="25" t="s">
        <v>200</v>
      </c>
      <c r="D57" s="61" t="s">
        <v>257</v>
      </c>
      <c r="E57" s="61" t="s">
        <v>2078</v>
      </c>
      <c r="F57" s="70">
        <v>10785000</v>
      </c>
      <c r="G57" s="61">
        <v>0.99354699999999996</v>
      </c>
      <c r="H57" s="85">
        <v>10715.406429999999</v>
      </c>
      <c r="I57" s="25">
        <v>-3.7231944539449304</v>
      </c>
      <c r="J57" s="25">
        <v>1.9993727296071333E-2</v>
      </c>
      <c r="K57" s="15"/>
      <c r="L57" s="15"/>
      <c r="M57" s="15"/>
      <c r="N57" s="15"/>
    </row>
    <row r="58" spans="1:14" x14ac:dyDescent="0.25">
      <c r="A58" s="17" t="s">
        <v>2048</v>
      </c>
      <c r="B58" s="25" t="s">
        <v>2081</v>
      </c>
      <c r="C58" s="25" t="s">
        <v>200</v>
      </c>
      <c r="D58" s="61" t="s">
        <v>125</v>
      </c>
      <c r="E58" s="61" t="s">
        <v>2078</v>
      </c>
      <c r="F58" s="70">
        <v>-3000000</v>
      </c>
      <c r="G58" s="61">
        <v>0.99060800000000004</v>
      </c>
      <c r="H58" s="85">
        <v>-11364.260980000001</v>
      </c>
      <c r="I58" s="25">
        <v>3.9486466267354436</v>
      </c>
      <c r="J58" s="25">
        <v>-2.1204415944445363E-2</v>
      </c>
      <c r="K58" s="15"/>
      <c r="L58" s="15"/>
      <c r="M58" s="15"/>
      <c r="N58" s="15"/>
    </row>
    <row r="59" spans="1:14" x14ac:dyDescent="0.25">
      <c r="A59" s="17" t="s">
        <v>2052</v>
      </c>
      <c r="B59" s="25" t="s">
        <v>2085</v>
      </c>
      <c r="C59" s="25" t="s">
        <v>200</v>
      </c>
      <c r="D59" s="61" t="s">
        <v>125</v>
      </c>
      <c r="E59" s="61" t="s">
        <v>2086</v>
      </c>
      <c r="F59" s="70">
        <v>104200.70039545665</v>
      </c>
      <c r="G59" s="61">
        <v>0.96175999999999995</v>
      </c>
      <c r="H59" s="85">
        <v>383.22644000000003</v>
      </c>
      <c r="I59" s="25">
        <v>-0.13315655036829618</v>
      </c>
      <c r="J59" s="25">
        <v>7.1505686546359428E-4</v>
      </c>
      <c r="K59" s="15"/>
      <c r="L59" s="15"/>
      <c r="M59" s="15"/>
      <c r="N59" s="15"/>
    </row>
    <row r="60" spans="1:14" x14ac:dyDescent="0.25">
      <c r="A60" s="17" t="s">
        <v>2050</v>
      </c>
      <c r="B60" s="25" t="s">
        <v>2087</v>
      </c>
      <c r="C60" s="25" t="s">
        <v>200</v>
      </c>
      <c r="D60" s="61" t="s">
        <v>257</v>
      </c>
      <c r="E60" s="61" t="s">
        <v>2086</v>
      </c>
      <c r="F60" s="70">
        <v>-371058.6941082211</v>
      </c>
      <c r="G60" s="61">
        <v>0.97453000000000001</v>
      </c>
      <c r="H60" s="85">
        <v>-361.60808000000003</v>
      </c>
      <c r="I60" s="25">
        <v>0.12564499599271614</v>
      </c>
      <c r="J60" s="25">
        <v>-6.7471946928063904E-4</v>
      </c>
      <c r="K60" s="15"/>
      <c r="L60" s="15"/>
      <c r="M60" s="15"/>
      <c r="N60" s="15"/>
    </row>
    <row r="61" spans="1:14" x14ac:dyDescent="0.25">
      <c r="A61" s="17" t="s">
        <v>2052</v>
      </c>
      <c r="B61" s="25" t="s">
        <v>2088</v>
      </c>
      <c r="C61" s="25" t="s">
        <v>200</v>
      </c>
      <c r="D61" s="61" t="s">
        <v>125</v>
      </c>
      <c r="E61" s="61" t="s">
        <v>1444</v>
      </c>
      <c r="F61" s="70">
        <v>112239.20260701601</v>
      </c>
      <c r="G61" s="61">
        <v>0.96175999999999995</v>
      </c>
      <c r="H61" s="85">
        <v>412.79021999999998</v>
      </c>
      <c r="I61" s="25">
        <v>-0.14342883471445775</v>
      </c>
      <c r="J61" s="25">
        <v>7.7021950992532629E-4</v>
      </c>
      <c r="K61" s="15"/>
      <c r="L61" s="15"/>
      <c r="M61" s="15"/>
      <c r="N61" s="15"/>
    </row>
    <row r="62" spans="1:14" x14ac:dyDescent="0.25">
      <c r="A62" s="17" t="s">
        <v>2050</v>
      </c>
      <c r="B62" s="25" t="s">
        <v>2089</v>
      </c>
      <c r="C62" s="25" t="s">
        <v>200</v>
      </c>
      <c r="D62" s="61" t="s">
        <v>257</v>
      </c>
      <c r="E62" s="61" t="s">
        <v>1444</v>
      </c>
      <c r="F62" s="70">
        <v>-404061.12938525761</v>
      </c>
      <c r="G62" s="61">
        <v>0.97453000000000001</v>
      </c>
      <c r="H62" s="85">
        <v>-393.76996999999994</v>
      </c>
      <c r="I62" s="25">
        <v>0.13682002432772505</v>
      </c>
      <c r="J62" s="25">
        <v>-7.3472989092791591E-4</v>
      </c>
      <c r="K62" s="15"/>
      <c r="L62" s="15"/>
      <c r="M62" s="15"/>
      <c r="N62" s="15"/>
    </row>
    <row r="63" spans="1:14" x14ac:dyDescent="0.25">
      <c r="A63" s="17" t="s">
        <v>2060</v>
      </c>
      <c r="B63" s="25" t="s">
        <v>2093</v>
      </c>
      <c r="C63" s="25" t="s">
        <v>200</v>
      </c>
      <c r="D63" s="61" t="s">
        <v>125</v>
      </c>
      <c r="E63" s="61" t="s">
        <v>1451</v>
      </c>
      <c r="F63" s="70">
        <v>202030.5646926288</v>
      </c>
      <c r="G63" s="61">
        <v>0.95802799999999999</v>
      </c>
      <c r="H63" s="85">
        <v>740.13933999999995</v>
      </c>
      <c r="I63" s="25">
        <v>-0.25717015064583615</v>
      </c>
      <c r="J63" s="25">
        <v>1.3810156639158129E-3</v>
      </c>
      <c r="K63" s="15"/>
      <c r="L63" s="15"/>
      <c r="M63" s="15"/>
      <c r="N63" s="15"/>
    </row>
    <row r="64" spans="1:14" x14ac:dyDescent="0.25">
      <c r="A64" s="17" t="s">
        <v>2058</v>
      </c>
      <c r="B64" s="25" t="s">
        <v>2094</v>
      </c>
      <c r="C64" s="25" t="s">
        <v>200</v>
      </c>
      <c r="D64" s="61" t="s">
        <v>257</v>
      </c>
      <c r="E64" s="61" t="s">
        <v>1451</v>
      </c>
      <c r="F64" s="70">
        <v>-735391.25548116886</v>
      </c>
      <c r="G64" s="61">
        <v>0.97206899999999996</v>
      </c>
      <c r="H64" s="85">
        <v>-714.85109999999997</v>
      </c>
      <c r="I64" s="25">
        <v>0.24838345314321716</v>
      </c>
      <c r="J64" s="25">
        <v>-1.3338306898636805E-3</v>
      </c>
      <c r="K64" s="15"/>
      <c r="L64" s="15"/>
      <c r="M64" s="15"/>
      <c r="N64" s="15"/>
    </row>
    <row r="65" spans="1:14" x14ac:dyDescent="0.25">
      <c r="A65" s="17" t="s">
        <v>2050</v>
      </c>
      <c r="B65" s="25" t="s">
        <v>2125</v>
      </c>
      <c r="C65" s="25" t="s">
        <v>200</v>
      </c>
      <c r="D65" s="61" t="s">
        <v>257</v>
      </c>
      <c r="E65" s="61" t="s">
        <v>2126</v>
      </c>
      <c r="F65" s="70">
        <v>40473.745732551055</v>
      </c>
      <c r="G65" s="61">
        <v>0.97453000000000001</v>
      </c>
      <c r="H65" s="85">
        <v>39.442910000000005</v>
      </c>
      <c r="I65" s="25">
        <v>-1.3704904682691449E-2</v>
      </c>
      <c r="J65" s="25">
        <v>7.3595975239502425E-5</v>
      </c>
      <c r="K65" s="15"/>
      <c r="L65" s="15"/>
      <c r="M65" s="15"/>
      <c r="N65" s="15"/>
    </row>
    <row r="66" spans="1:14" x14ac:dyDescent="0.25">
      <c r="A66" s="17" t="s">
        <v>2052</v>
      </c>
      <c r="B66" s="25" t="s">
        <v>2127</v>
      </c>
      <c r="C66" s="25" t="s">
        <v>200</v>
      </c>
      <c r="D66" s="61" t="s">
        <v>125</v>
      </c>
      <c r="E66" s="61" t="s">
        <v>2126</v>
      </c>
      <c r="F66" s="70">
        <v>-10968.494778469119</v>
      </c>
      <c r="G66" s="61">
        <v>0.96176099999999998</v>
      </c>
      <c r="H66" s="85">
        <v>-40.339649999999999</v>
      </c>
      <c r="I66" s="25">
        <v>1.4016487581244234E-2</v>
      </c>
      <c r="J66" s="25">
        <v>-7.5269189889138336E-5</v>
      </c>
      <c r="K66" s="15"/>
      <c r="L66" s="15"/>
      <c r="M66" s="15"/>
      <c r="N66" s="15"/>
    </row>
    <row r="67" spans="1:14" x14ac:dyDescent="0.25">
      <c r="A67" s="17" t="s">
        <v>2048</v>
      </c>
      <c r="B67" s="25" t="s">
        <v>2143</v>
      </c>
      <c r="C67" s="25" t="s">
        <v>200</v>
      </c>
      <c r="D67" s="61" t="s">
        <v>125</v>
      </c>
      <c r="E67" s="61" t="s">
        <v>1480</v>
      </c>
      <c r="F67" s="70">
        <v>8000</v>
      </c>
      <c r="G67" s="61">
        <v>0.99060899999999996</v>
      </c>
      <c r="H67" s="85">
        <v>30.30471</v>
      </c>
      <c r="I67" s="25">
        <v>-1.0529729220957742E-2</v>
      </c>
      <c r="J67" s="25">
        <v>5.654513540710615E-5</v>
      </c>
      <c r="K67" s="19"/>
      <c r="L67" s="19"/>
    </row>
    <row r="68" spans="1:14" x14ac:dyDescent="0.25">
      <c r="A68" s="17" t="s">
        <v>2046</v>
      </c>
      <c r="B68" s="25" t="s">
        <v>2144</v>
      </c>
      <c r="C68" s="25" t="s">
        <v>200</v>
      </c>
      <c r="D68" s="61" t="s">
        <v>257</v>
      </c>
      <c r="E68" s="61" t="s">
        <v>1480</v>
      </c>
      <c r="F68" s="70">
        <v>-30693.599999999999</v>
      </c>
      <c r="G68" s="61">
        <v>0.99354699999999996</v>
      </c>
      <c r="H68" s="85">
        <v>-30.495560000000001</v>
      </c>
      <c r="I68" s="25">
        <v>1.0596042306343471E-2</v>
      </c>
      <c r="J68" s="25">
        <v>-5.690123975829269E-5</v>
      </c>
      <c r="K68" s="19"/>
      <c r="L68" s="19"/>
    </row>
    <row r="69" spans="1:14" x14ac:dyDescent="0.25">
      <c r="A69" s="17" t="s">
        <v>2075</v>
      </c>
      <c r="B69" s="25" t="s">
        <v>2157</v>
      </c>
      <c r="C69" s="25" t="s">
        <v>200</v>
      </c>
      <c r="D69" s="61" t="s">
        <v>125</v>
      </c>
      <c r="E69" s="61" t="s">
        <v>2155</v>
      </c>
      <c r="F69" s="70">
        <v>1000000</v>
      </c>
      <c r="G69" s="61">
        <v>0.98855800000000005</v>
      </c>
      <c r="H69" s="85">
        <v>3780.2473999999997</v>
      </c>
      <c r="I69" s="25">
        <v>-1.3134915829991287</v>
      </c>
      <c r="J69" s="25">
        <v>7.053510860369921E-3</v>
      </c>
      <c r="K69" s="19"/>
      <c r="L69" s="19"/>
    </row>
    <row r="70" spans="1:14" x14ac:dyDescent="0.25">
      <c r="A70" s="17" t="s">
        <v>2072</v>
      </c>
      <c r="B70" s="25" t="s">
        <v>2158</v>
      </c>
      <c r="C70" s="25" t="s">
        <v>200</v>
      </c>
      <c r="D70" s="61" t="s">
        <v>257</v>
      </c>
      <c r="E70" s="61" t="s">
        <v>2155</v>
      </c>
      <c r="F70" s="70">
        <v>-3808000</v>
      </c>
      <c r="G70" s="61">
        <v>0.992367</v>
      </c>
      <c r="H70" s="85">
        <v>-3778.9368199999999</v>
      </c>
      <c r="I70" s="25">
        <v>1.3130362065074084</v>
      </c>
      <c r="J70" s="25">
        <v>-7.0510654674405104E-3</v>
      </c>
      <c r="K70" s="19"/>
      <c r="L70" s="19"/>
    </row>
    <row r="71" spans="1:14" x14ac:dyDescent="0.25">
      <c r="A71" s="17" t="s">
        <v>2159</v>
      </c>
      <c r="B71" s="25" t="s">
        <v>2160</v>
      </c>
      <c r="C71" s="25" t="s">
        <v>200</v>
      </c>
      <c r="D71" s="61" t="s">
        <v>257</v>
      </c>
      <c r="E71" s="61" t="s">
        <v>2155</v>
      </c>
      <c r="F71" s="70">
        <v>3751200</v>
      </c>
      <c r="G71" s="61">
        <v>0.967364</v>
      </c>
      <c r="H71" s="85">
        <v>3628.7769800000001</v>
      </c>
      <c r="I71" s="25">
        <v>-1.2608613975400123</v>
      </c>
      <c r="J71" s="25">
        <v>6.7708843178598222E-3</v>
      </c>
      <c r="K71" s="19"/>
      <c r="L71" s="19"/>
    </row>
    <row r="72" spans="1:14" x14ac:dyDescent="0.25">
      <c r="A72" s="17" t="s">
        <v>2161</v>
      </c>
      <c r="B72" s="25" t="s">
        <v>2162</v>
      </c>
      <c r="C72" s="25" t="s">
        <v>200</v>
      </c>
      <c r="D72" s="61" t="s">
        <v>125</v>
      </c>
      <c r="E72" s="61" t="s">
        <v>2155</v>
      </c>
      <c r="F72" s="70">
        <v>-1000000</v>
      </c>
      <c r="G72" s="61">
        <v>0.95081400000000005</v>
      </c>
      <c r="H72" s="85">
        <v>-3635.9133500000003</v>
      </c>
      <c r="I72" s="25">
        <v>1.2633410135376764</v>
      </c>
      <c r="J72" s="25">
        <v>-6.7841999710360184E-3</v>
      </c>
      <c r="K72" s="19"/>
      <c r="L72" s="19"/>
    </row>
    <row r="73" spans="1:14" x14ac:dyDescent="0.25">
      <c r="A73" s="17" t="s">
        <v>2046</v>
      </c>
      <c r="B73" s="25" t="s">
        <v>2163</v>
      </c>
      <c r="C73" s="25" t="s">
        <v>200</v>
      </c>
      <c r="D73" s="61" t="s">
        <v>257</v>
      </c>
      <c r="E73" s="61" t="s">
        <v>1138</v>
      </c>
      <c r="F73" s="70">
        <v>186474.21121129638</v>
      </c>
      <c r="G73" s="61">
        <v>0.99354699999999996</v>
      </c>
      <c r="H73" s="85">
        <v>185.27092999999999</v>
      </c>
      <c r="I73" s="25">
        <v>-6.4374571656188637E-2</v>
      </c>
      <c r="J73" s="25">
        <v>3.4569444234412684E-4</v>
      </c>
      <c r="K73" s="19"/>
      <c r="L73" s="19"/>
    </row>
    <row r="74" spans="1:14" x14ac:dyDescent="0.25">
      <c r="A74" s="17" t="s">
        <v>2048</v>
      </c>
      <c r="B74" s="25" t="s">
        <v>2164</v>
      </c>
      <c r="C74" s="25" t="s">
        <v>200</v>
      </c>
      <c r="D74" s="61" t="s">
        <v>125</v>
      </c>
      <c r="E74" s="61" t="s">
        <v>1138</v>
      </c>
      <c r="F74" s="70">
        <v>-48636.9877963736</v>
      </c>
      <c r="G74" s="61">
        <v>0.99060800000000004</v>
      </c>
      <c r="H74" s="85">
        <v>-184.24114</v>
      </c>
      <c r="I74" s="25">
        <v>6.4016758964549281E-2</v>
      </c>
      <c r="J74" s="25">
        <v>-3.4377297155655347E-4</v>
      </c>
      <c r="K74" s="19"/>
      <c r="L74" s="19"/>
    </row>
    <row r="75" spans="1:14" x14ac:dyDescent="0.25">
      <c r="A75" s="17" t="s">
        <v>2052</v>
      </c>
      <c r="B75" s="25" t="s">
        <v>2069</v>
      </c>
      <c r="C75" s="25" t="s">
        <v>200</v>
      </c>
      <c r="D75" s="61" t="s">
        <v>125</v>
      </c>
      <c r="E75" s="61" t="s">
        <v>2070</v>
      </c>
      <c r="F75" s="70">
        <v>7310.891611717705</v>
      </c>
      <c r="G75" s="61">
        <v>0.96176099999999998</v>
      </c>
      <c r="H75" s="85">
        <v>26.887820000000001</v>
      </c>
      <c r="I75" s="25">
        <v>-9.3424904558351476E-3</v>
      </c>
      <c r="J75" s="25">
        <v>5.0169608047788511E-5</v>
      </c>
      <c r="K75" s="15"/>
      <c r="L75" s="15"/>
      <c r="M75" s="15"/>
      <c r="N75" s="15"/>
    </row>
    <row r="76" spans="1:14" x14ac:dyDescent="0.25">
      <c r="A76" s="17" t="s">
        <v>2050</v>
      </c>
      <c r="B76" s="25" t="s">
        <v>2071</v>
      </c>
      <c r="C76" s="25" t="s">
        <v>200</v>
      </c>
      <c r="D76" s="61" t="s">
        <v>257</v>
      </c>
      <c r="E76" s="61" t="s">
        <v>2070</v>
      </c>
      <c r="F76" s="70">
        <v>-26648.199923296394</v>
      </c>
      <c r="G76" s="61">
        <v>0.97453100000000004</v>
      </c>
      <c r="H76" s="85">
        <v>-25.96951</v>
      </c>
      <c r="I76" s="25">
        <v>9.0234128061596457E-3</v>
      </c>
      <c r="J76" s="25">
        <v>-4.8456146236218635E-5</v>
      </c>
      <c r="K76" s="15"/>
      <c r="L76" s="15"/>
      <c r="M76" s="15"/>
      <c r="N76" s="15"/>
    </row>
    <row r="77" spans="1:14" x14ac:dyDescent="0.25">
      <c r="A77" s="17" t="s">
        <v>2048</v>
      </c>
      <c r="B77" s="25" t="s">
        <v>2077</v>
      </c>
      <c r="C77" s="25" t="s">
        <v>200</v>
      </c>
      <c r="D77" s="61" t="s">
        <v>125</v>
      </c>
      <c r="E77" s="61" t="s">
        <v>2078</v>
      </c>
      <c r="F77" s="70">
        <v>3000000</v>
      </c>
      <c r="G77" s="61">
        <v>0.99060800000000004</v>
      </c>
      <c r="H77" s="85">
        <v>11364.260980000001</v>
      </c>
      <c r="I77" s="25">
        <v>-3.9486466267354436</v>
      </c>
      <c r="J77" s="25">
        <v>2.1204415944445363E-2</v>
      </c>
      <c r="K77" s="15"/>
      <c r="L77" s="15"/>
      <c r="M77" s="15"/>
      <c r="N77" s="15"/>
    </row>
    <row r="78" spans="1:14" x14ac:dyDescent="0.25">
      <c r="A78" s="17" t="s">
        <v>2046</v>
      </c>
      <c r="B78" s="25" t="s">
        <v>2079</v>
      </c>
      <c r="C78" s="25" t="s">
        <v>200</v>
      </c>
      <c r="D78" s="61" t="s">
        <v>257</v>
      </c>
      <c r="E78" s="61" t="s">
        <v>2078</v>
      </c>
      <c r="F78" s="70">
        <v>-10743000</v>
      </c>
      <c r="G78" s="61">
        <v>0.99354699999999996</v>
      </c>
      <c r="H78" s="85">
        <v>-10673.677449999999</v>
      </c>
      <c r="I78" s="25">
        <v>3.7086952272548626</v>
      </c>
      <c r="J78" s="25">
        <v>-1.9915865774726947E-2</v>
      </c>
      <c r="K78" s="15"/>
      <c r="L78" s="15"/>
      <c r="M78" s="15"/>
      <c r="N78" s="15"/>
    </row>
    <row r="79" spans="1:14" x14ac:dyDescent="0.25">
      <c r="A79" s="17" t="s">
        <v>2048</v>
      </c>
      <c r="B79" s="25" t="s">
        <v>2082</v>
      </c>
      <c r="C79" s="25" t="s">
        <v>200</v>
      </c>
      <c r="D79" s="61" t="s">
        <v>125</v>
      </c>
      <c r="E79" s="61" t="s">
        <v>2083</v>
      </c>
      <c r="F79" s="70">
        <v>122000</v>
      </c>
      <c r="G79" s="61">
        <v>0.99060800000000004</v>
      </c>
      <c r="H79" s="85">
        <v>462.14661000000001</v>
      </c>
      <c r="I79" s="25">
        <v>-0.16057829504666307</v>
      </c>
      <c r="J79" s="25">
        <v>8.6231290912815455E-4</v>
      </c>
      <c r="K79" s="15"/>
      <c r="L79" s="15"/>
      <c r="M79" s="15"/>
      <c r="N79" s="15"/>
    </row>
    <row r="80" spans="1:14" x14ac:dyDescent="0.25">
      <c r="A80" s="17" t="s">
        <v>2046</v>
      </c>
      <c r="B80" s="25" t="s">
        <v>2084</v>
      </c>
      <c r="C80" s="25" t="s">
        <v>200</v>
      </c>
      <c r="D80" s="61" t="s">
        <v>257</v>
      </c>
      <c r="E80" s="61" t="s">
        <v>2083</v>
      </c>
      <c r="F80" s="70">
        <v>-437980</v>
      </c>
      <c r="G80" s="61">
        <v>0.99354699999999996</v>
      </c>
      <c r="H80" s="85">
        <v>-435.15378999999996</v>
      </c>
      <c r="I80" s="25">
        <v>0.15119932110135714</v>
      </c>
      <c r="J80" s="25">
        <v>-8.1194738304591696E-4</v>
      </c>
      <c r="K80" s="15"/>
      <c r="L80" s="15"/>
      <c r="M80" s="15"/>
      <c r="N80" s="15"/>
    </row>
    <row r="81" spans="1:14" x14ac:dyDescent="0.25">
      <c r="A81" s="17" t="s">
        <v>2050</v>
      </c>
      <c r="B81" s="25" t="s">
        <v>2090</v>
      </c>
      <c r="C81" s="25" t="s">
        <v>200</v>
      </c>
      <c r="D81" s="61" t="s">
        <v>257</v>
      </c>
      <c r="E81" s="61" t="s">
        <v>2091</v>
      </c>
      <c r="F81" s="70">
        <v>39760.793571950562</v>
      </c>
      <c r="G81" s="61">
        <v>0.97453000000000001</v>
      </c>
      <c r="H81" s="85">
        <v>38.748089999999998</v>
      </c>
      <c r="I81" s="25">
        <v>-1.3463481271700023E-2</v>
      </c>
      <c r="J81" s="25">
        <v>7.2299520299542078E-5</v>
      </c>
      <c r="K81" s="15"/>
      <c r="L81" s="15"/>
      <c r="M81" s="15"/>
      <c r="N81" s="15"/>
    </row>
    <row r="82" spans="1:14" x14ac:dyDescent="0.25">
      <c r="A82" s="17" t="s">
        <v>2052</v>
      </c>
      <c r="B82" s="25" t="s">
        <v>2092</v>
      </c>
      <c r="C82" s="25" t="s">
        <v>200</v>
      </c>
      <c r="D82" s="61" t="s">
        <v>125</v>
      </c>
      <c r="E82" s="61" t="s">
        <v>2091</v>
      </c>
      <c r="F82" s="70">
        <v>-10968.494778469119</v>
      </c>
      <c r="G82" s="61">
        <v>0.96175999999999995</v>
      </c>
      <c r="H82" s="85">
        <v>-40.339599999999997</v>
      </c>
      <c r="I82" s="25">
        <v>1.4016470208154009E-2</v>
      </c>
      <c r="J82" s="25">
        <v>-7.5269096594836216E-5</v>
      </c>
      <c r="K82" s="15"/>
      <c r="L82" s="15"/>
      <c r="M82" s="15"/>
      <c r="N82" s="15"/>
    </row>
    <row r="83" spans="1:14" x14ac:dyDescent="0.25">
      <c r="A83" s="17" t="s">
        <v>2050</v>
      </c>
      <c r="B83" s="25" t="s">
        <v>2095</v>
      </c>
      <c r="C83" s="25" t="s">
        <v>200</v>
      </c>
      <c r="D83" s="61" t="s">
        <v>257</v>
      </c>
      <c r="E83" s="61" t="s">
        <v>1951</v>
      </c>
      <c r="F83" s="70">
        <v>109126.43538804809</v>
      </c>
      <c r="G83" s="61">
        <v>0.97453000000000001</v>
      </c>
      <c r="H83" s="85">
        <v>106.34699999999999</v>
      </c>
      <c r="I83" s="25">
        <v>-3.6951520521436861E-2</v>
      </c>
      <c r="J83" s="25">
        <v>1.9843138294804727E-4</v>
      </c>
      <c r="K83" s="15"/>
      <c r="L83" s="15"/>
      <c r="M83" s="15"/>
      <c r="N83" s="15"/>
    </row>
    <row r="84" spans="1:14" x14ac:dyDescent="0.25">
      <c r="A84" s="17" t="s">
        <v>2052</v>
      </c>
      <c r="B84" s="25" t="s">
        <v>2096</v>
      </c>
      <c r="C84" s="25" t="s">
        <v>200</v>
      </c>
      <c r="D84" s="61" t="s">
        <v>125</v>
      </c>
      <c r="E84" s="61" t="s">
        <v>1951</v>
      </c>
      <c r="F84" s="70">
        <v>-29930.454028537599</v>
      </c>
      <c r="G84" s="61">
        <v>0.96175999999999995</v>
      </c>
      <c r="H84" s="85">
        <v>-110.07733</v>
      </c>
      <c r="I84" s="25">
        <v>3.8247667714556857E-2</v>
      </c>
      <c r="J84" s="25">
        <v>-2.0539175362848573E-4</v>
      </c>
      <c r="K84" s="15"/>
      <c r="L84" s="15"/>
      <c r="M84" s="15"/>
      <c r="N84" s="15"/>
    </row>
    <row r="85" spans="1:14" x14ac:dyDescent="0.25">
      <c r="A85" s="17" t="s">
        <v>2050</v>
      </c>
      <c r="B85" s="25" t="s">
        <v>2097</v>
      </c>
      <c r="C85" s="25" t="s">
        <v>200</v>
      </c>
      <c r="D85" s="61" t="s">
        <v>257</v>
      </c>
      <c r="E85" s="61" t="s">
        <v>489</v>
      </c>
      <c r="F85" s="70">
        <v>697157.52811949723</v>
      </c>
      <c r="G85" s="61">
        <v>0.97453000000000001</v>
      </c>
      <c r="H85" s="85">
        <v>679.40104000000008</v>
      </c>
      <c r="I85" s="25">
        <v>-0.2360659113265588</v>
      </c>
      <c r="J85" s="25">
        <v>1.26768491770846E-3</v>
      </c>
      <c r="K85" s="15"/>
      <c r="L85" s="15"/>
      <c r="M85" s="15"/>
      <c r="N85" s="15"/>
    </row>
    <row r="86" spans="1:14" x14ac:dyDescent="0.25">
      <c r="A86" s="17" t="s">
        <v>2052</v>
      </c>
      <c r="B86" s="25" t="s">
        <v>2098</v>
      </c>
      <c r="C86" s="25" t="s">
        <v>200</v>
      </c>
      <c r="D86" s="61" t="s">
        <v>125</v>
      </c>
      <c r="E86" s="61" t="s">
        <v>489</v>
      </c>
      <c r="F86" s="70">
        <v>-191948.6586232096</v>
      </c>
      <c r="G86" s="61">
        <v>0.96175999999999995</v>
      </c>
      <c r="H86" s="85">
        <v>-705.94306999999992</v>
      </c>
      <c r="I86" s="25">
        <v>0.24528825296502146</v>
      </c>
      <c r="J86" s="25">
        <v>-1.3172093210216567E-3</v>
      </c>
      <c r="K86" s="15"/>
      <c r="L86" s="15"/>
      <c r="M86" s="15"/>
      <c r="N86" s="15"/>
    </row>
    <row r="87" spans="1:14" x14ac:dyDescent="0.25">
      <c r="A87" s="17" t="s">
        <v>2050</v>
      </c>
      <c r="B87" s="25" t="s">
        <v>2099</v>
      </c>
      <c r="C87" s="25" t="s">
        <v>200</v>
      </c>
      <c r="D87" s="61" t="s">
        <v>257</v>
      </c>
      <c r="E87" s="61" t="s">
        <v>489</v>
      </c>
      <c r="F87" s="70">
        <v>95302.306933617292</v>
      </c>
      <c r="G87" s="61">
        <v>0.97453000000000001</v>
      </c>
      <c r="H87" s="85">
        <v>92.874970000000005</v>
      </c>
      <c r="I87" s="25">
        <v>-3.2270504667577207E-2</v>
      </c>
      <c r="J87" s="25">
        <v>1.7329411020864155E-4</v>
      </c>
      <c r="K87" s="15"/>
      <c r="L87" s="15"/>
      <c r="M87" s="15"/>
      <c r="N87" s="15"/>
    </row>
    <row r="88" spans="1:14" x14ac:dyDescent="0.25">
      <c r="A88" s="17" t="s">
        <v>2052</v>
      </c>
      <c r="B88" s="25" t="s">
        <v>2100</v>
      </c>
      <c r="C88" s="25" t="s">
        <v>200</v>
      </c>
      <c r="D88" s="61" t="s">
        <v>125</v>
      </c>
      <c r="E88" s="61" t="s">
        <v>489</v>
      </c>
      <c r="F88" s="70">
        <v>-26189.147274970401</v>
      </c>
      <c r="G88" s="61">
        <v>0.96175999999999995</v>
      </c>
      <c r="H88" s="85">
        <v>-96.317669999999993</v>
      </c>
      <c r="I88" s="25">
        <v>3.3466711421873525E-2</v>
      </c>
      <c r="J88" s="25">
        <v>-1.7971779608671277E-4</v>
      </c>
      <c r="K88" s="15"/>
      <c r="L88" s="15"/>
      <c r="M88" s="15"/>
      <c r="N88" s="15"/>
    </row>
    <row r="89" spans="1:14" x14ac:dyDescent="0.25">
      <c r="A89" s="17" t="s">
        <v>2052</v>
      </c>
      <c r="B89" s="25" t="s">
        <v>2104</v>
      </c>
      <c r="C89" s="25" t="s">
        <v>200</v>
      </c>
      <c r="D89" s="61" t="s">
        <v>125</v>
      </c>
      <c r="E89" s="61" t="s">
        <v>2105</v>
      </c>
      <c r="F89" s="70">
        <v>9911.4962318379312</v>
      </c>
      <c r="G89" s="61">
        <v>0.96175999999999995</v>
      </c>
      <c r="H89" s="85">
        <v>36.452210000000001</v>
      </c>
      <c r="I89" s="25">
        <v>-1.2665750664021798E-2</v>
      </c>
      <c r="J89" s="25">
        <v>6.8015669852582939E-5</v>
      </c>
      <c r="K89" s="15"/>
      <c r="L89" s="15"/>
      <c r="M89" s="15"/>
      <c r="N89" s="15"/>
    </row>
    <row r="90" spans="1:14" x14ac:dyDescent="0.25">
      <c r="A90" s="17" t="s">
        <v>2050</v>
      </c>
      <c r="B90" s="25" t="s">
        <v>2106</v>
      </c>
      <c r="C90" s="25" t="s">
        <v>200</v>
      </c>
      <c r="D90" s="61" t="s">
        <v>257</v>
      </c>
      <c r="E90" s="61" t="s">
        <v>2105</v>
      </c>
      <c r="F90" s="70">
        <v>-35146.165637668622</v>
      </c>
      <c r="G90" s="61">
        <v>0.97453000000000001</v>
      </c>
      <c r="H90" s="85">
        <v>-34.250999999999998</v>
      </c>
      <c r="I90" s="25">
        <v>1.1900914265374049E-2</v>
      </c>
      <c r="J90" s="25">
        <v>-6.3908462837255093E-5</v>
      </c>
      <c r="K90" s="15"/>
      <c r="L90" s="15"/>
      <c r="M90" s="15"/>
      <c r="N90" s="15"/>
    </row>
    <row r="91" spans="1:14" x14ac:dyDescent="0.25">
      <c r="A91" s="17" t="s">
        <v>2050</v>
      </c>
      <c r="B91" s="25" t="s">
        <v>2112</v>
      </c>
      <c r="C91" s="25" t="s">
        <v>200</v>
      </c>
      <c r="D91" s="61" t="s">
        <v>257</v>
      </c>
      <c r="E91" s="61" t="s">
        <v>2113</v>
      </c>
      <c r="F91" s="70">
        <v>108886.99175581979</v>
      </c>
      <c r="G91" s="61">
        <v>0.97453000000000001</v>
      </c>
      <c r="H91" s="85">
        <v>106.11366000000001</v>
      </c>
      <c r="I91" s="25">
        <v>-3.6870443783978621E-2</v>
      </c>
      <c r="J91" s="25">
        <v>1.979959970989204E-4</v>
      </c>
      <c r="K91" s="15"/>
      <c r="L91" s="15"/>
      <c r="M91" s="15"/>
      <c r="N91" s="15"/>
    </row>
    <row r="92" spans="1:14" x14ac:dyDescent="0.25">
      <c r="A92" s="17" t="s">
        <v>2052</v>
      </c>
      <c r="B92" s="25" t="s">
        <v>2114</v>
      </c>
      <c r="C92" s="25" t="s">
        <v>200</v>
      </c>
      <c r="D92" s="61" t="s">
        <v>125</v>
      </c>
      <c r="E92" s="61" t="s">
        <v>2113</v>
      </c>
      <c r="F92" s="70">
        <v>-29930.454028537599</v>
      </c>
      <c r="G92" s="61">
        <v>0.96175999999999995</v>
      </c>
      <c r="H92" s="85">
        <v>-110.07733</v>
      </c>
      <c r="I92" s="25">
        <v>3.8247667714556857E-2</v>
      </c>
      <c r="J92" s="25">
        <v>-2.0539175362848573E-4</v>
      </c>
      <c r="K92" s="15"/>
      <c r="L92" s="15"/>
      <c r="M92" s="15"/>
      <c r="N92" s="15"/>
    </row>
    <row r="93" spans="1:14" x14ac:dyDescent="0.25">
      <c r="A93" s="17" t="s">
        <v>2050</v>
      </c>
      <c r="B93" s="25" t="s">
        <v>2123</v>
      </c>
      <c r="C93" s="25" t="s">
        <v>200</v>
      </c>
      <c r="D93" s="61" t="s">
        <v>257</v>
      </c>
      <c r="E93" s="61" t="s">
        <v>1464</v>
      </c>
      <c r="F93" s="70">
        <v>96297.494530066164</v>
      </c>
      <c r="G93" s="61">
        <v>0.97453100000000004</v>
      </c>
      <c r="H93" s="85">
        <v>93.844929999999991</v>
      </c>
      <c r="I93" s="25">
        <v>-3.2607528719454291E-2</v>
      </c>
      <c r="J93" s="25">
        <v>1.7510394503429986E-4</v>
      </c>
      <c r="K93" s="15"/>
      <c r="L93" s="15"/>
      <c r="M93" s="15"/>
      <c r="N93" s="15"/>
    </row>
    <row r="94" spans="1:14" x14ac:dyDescent="0.25">
      <c r="A94" s="17" t="s">
        <v>2052</v>
      </c>
      <c r="B94" s="25" t="s">
        <v>2124</v>
      </c>
      <c r="C94" s="25" t="s">
        <v>200</v>
      </c>
      <c r="D94" s="61" t="s">
        <v>125</v>
      </c>
      <c r="E94" s="61" t="s">
        <v>1464</v>
      </c>
      <c r="F94" s="70">
        <v>-26189.147274970401</v>
      </c>
      <c r="G94" s="61">
        <v>0.96176099999999998</v>
      </c>
      <c r="H94" s="85">
        <v>-96.317820000000012</v>
      </c>
      <c r="I94" s="25">
        <v>3.3466763541144202E-2</v>
      </c>
      <c r="J94" s="25">
        <v>-1.7971807596961918E-4</v>
      </c>
      <c r="K94" s="15"/>
      <c r="L94" s="15"/>
      <c r="M94" s="15"/>
      <c r="N94" s="15"/>
    </row>
    <row r="95" spans="1:14" x14ac:dyDescent="0.25">
      <c r="A95" s="17" t="s">
        <v>2046</v>
      </c>
      <c r="B95" s="25" t="s">
        <v>2128</v>
      </c>
      <c r="C95" s="25" t="s">
        <v>200</v>
      </c>
      <c r="D95" s="61" t="s">
        <v>257</v>
      </c>
      <c r="E95" s="61" t="s">
        <v>2126</v>
      </c>
      <c r="F95" s="70">
        <v>44686.167864606636</v>
      </c>
      <c r="G95" s="61">
        <v>0.99354699999999996</v>
      </c>
      <c r="H95" s="85">
        <v>44.397849999999998</v>
      </c>
      <c r="I95" s="25">
        <v>-1.5426557076200323E-2</v>
      </c>
      <c r="J95" s="25">
        <v>8.2841328626289038E-5</v>
      </c>
      <c r="K95" s="15"/>
      <c r="L95" s="15"/>
      <c r="M95" s="15"/>
      <c r="N95" s="15"/>
    </row>
    <row r="96" spans="1:14" x14ac:dyDescent="0.25">
      <c r="A96" s="17" t="s">
        <v>2048</v>
      </c>
      <c r="B96" s="25" t="s">
        <v>2129</v>
      </c>
      <c r="C96" s="25" t="s">
        <v>200</v>
      </c>
      <c r="D96" s="61" t="s">
        <v>125</v>
      </c>
      <c r="E96" s="61" t="s">
        <v>2126</v>
      </c>
      <c r="F96" s="70">
        <v>-11972.181611415041</v>
      </c>
      <c r="G96" s="61">
        <v>0.99060899999999996</v>
      </c>
      <c r="H96" s="85">
        <v>-45.351699999999994</v>
      </c>
      <c r="I96" s="25">
        <v>1.5757983518407178E-2</v>
      </c>
      <c r="J96" s="25">
        <v>-8.4621104027804778E-5</v>
      </c>
      <c r="K96" s="15"/>
      <c r="L96" s="15"/>
      <c r="M96" s="15"/>
      <c r="N96" s="15"/>
    </row>
    <row r="97" spans="1:14" x14ac:dyDescent="0.25">
      <c r="A97" s="17" t="s">
        <v>2046</v>
      </c>
      <c r="B97" s="25" t="s">
        <v>2130</v>
      </c>
      <c r="C97" s="25" t="s">
        <v>200</v>
      </c>
      <c r="D97" s="61" t="s">
        <v>257</v>
      </c>
      <c r="E97" s="61" t="s">
        <v>1470</v>
      </c>
      <c r="F97" s="70">
        <v>30815.986080108993</v>
      </c>
      <c r="G97" s="61">
        <v>0.99354699999999996</v>
      </c>
      <c r="H97" s="85">
        <v>30.617159999999998</v>
      </c>
      <c r="I97" s="25">
        <v>-1.0638293661768699E-2</v>
      </c>
      <c r="J97" s="25">
        <v>5.7128131501045017E-5</v>
      </c>
      <c r="K97" s="15"/>
      <c r="L97" s="15"/>
      <c r="M97" s="15"/>
      <c r="N97" s="15"/>
    </row>
    <row r="98" spans="1:14" x14ac:dyDescent="0.25">
      <c r="A98" s="17" t="s">
        <v>2048</v>
      </c>
      <c r="B98" s="25" t="s">
        <v>2131</v>
      </c>
      <c r="C98" s="25" t="s">
        <v>200</v>
      </c>
      <c r="D98" s="61" t="s">
        <v>125</v>
      </c>
      <c r="E98" s="61" t="s">
        <v>1470</v>
      </c>
      <c r="F98" s="70">
        <v>-8226.37108385184</v>
      </c>
      <c r="G98" s="61">
        <v>0.99060899999999996</v>
      </c>
      <c r="H98" s="85">
        <v>-31.162230000000001</v>
      </c>
      <c r="I98" s="25">
        <v>1.0827684667538674E-2</v>
      </c>
      <c r="J98" s="25">
        <v>-5.8145170006160279E-5</v>
      </c>
      <c r="K98" s="15"/>
      <c r="L98" s="15"/>
      <c r="M98" s="15"/>
      <c r="N98" s="15"/>
    </row>
    <row r="99" spans="1:14" x14ac:dyDescent="0.25">
      <c r="A99" s="17" t="s">
        <v>2046</v>
      </c>
      <c r="B99" s="25" t="s">
        <v>2134</v>
      </c>
      <c r="C99" s="25" t="s">
        <v>200</v>
      </c>
      <c r="D99" s="61" t="s">
        <v>257</v>
      </c>
      <c r="E99" s="61" t="s">
        <v>2135</v>
      </c>
      <c r="F99" s="70">
        <v>20631.738678300415</v>
      </c>
      <c r="G99" s="61">
        <v>0.99354699999999996</v>
      </c>
      <c r="H99" s="85">
        <v>20.498619999999999</v>
      </c>
      <c r="I99" s="25">
        <v>-7.1224874946273619E-3</v>
      </c>
      <c r="J99" s="25">
        <v>3.8248088945870597E-5</v>
      </c>
      <c r="K99" s="19"/>
      <c r="L99" s="19"/>
    </row>
    <row r="100" spans="1:14" x14ac:dyDescent="0.25">
      <c r="A100" s="17" t="s">
        <v>2048</v>
      </c>
      <c r="B100" s="25" t="s">
        <v>2136</v>
      </c>
      <c r="C100" s="25" t="s">
        <v>200</v>
      </c>
      <c r="D100" s="61" t="s">
        <v>125</v>
      </c>
      <c r="E100" s="61" t="s">
        <v>2135</v>
      </c>
      <c r="F100" s="70">
        <v>-5484.2473892345597</v>
      </c>
      <c r="G100" s="61">
        <v>0.99060899999999996</v>
      </c>
      <c r="H100" s="85">
        <v>-20.774819999999998</v>
      </c>
      <c r="I100" s="25">
        <v>7.2184564450257834E-3</v>
      </c>
      <c r="J100" s="25">
        <v>-3.8763446670773517E-5</v>
      </c>
      <c r="K100" s="19"/>
      <c r="L100" s="19"/>
    </row>
    <row r="101" spans="1:14" x14ac:dyDescent="0.25">
      <c r="A101" s="17" t="s">
        <v>2046</v>
      </c>
      <c r="B101" s="25" t="s">
        <v>2137</v>
      </c>
      <c r="C101" s="25" t="s">
        <v>200</v>
      </c>
      <c r="D101" s="61" t="s">
        <v>257</v>
      </c>
      <c r="E101" s="61" t="s">
        <v>2135</v>
      </c>
      <c r="F101" s="70">
        <v>140448.6555289127</v>
      </c>
      <c r="G101" s="61">
        <v>0.99354699999999996</v>
      </c>
      <c r="H101" s="85">
        <v>139.54235999999997</v>
      </c>
      <c r="I101" s="25">
        <v>-4.8485640207525646E-2</v>
      </c>
      <c r="J101" s="25">
        <v>2.6037014184353361E-4</v>
      </c>
      <c r="K101" s="19"/>
      <c r="L101" s="19"/>
    </row>
    <row r="102" spans="1:14" x14ac:dyDescent="0.25">
      <c r="A102" s="17" t="s">
        <v>2048</v>
      </c>
      <c r="B102" s="25" t="s">
        <v>2138</v>
      </c>
      <c r="C102" s="25" t="s">
        <v>200</v>
      </c>
      <c r="D102" s="61" t="s">
        <v>125</v>
      </c>
      <c r="E102" s="61" t="s">
        <v>2135</v>
      </c>
      <c r="F102" s="70">
        <v>-37413.067535672002</v>
      </c>
      <c r="G102" s="61">
        <v>0.99060800000000004</v>
      </c>
      <c r="H102" s="85">
        <v>-141.72395</v>
      </c>
      <c r="I102" s="25">
        <v>4.9243659405569434E-2</v>
      </c>
      <c r="J102" s="25">
        <v>-2.6444074017471022E-4</v>
      </c>
      <c r="K102" s="19"/>
      <c r="L102" s="19"/>
    </row>
    <row r="103" spans="1:14" x14ac:dyDescent="0.25">
      <c r="A103" s="17" t="s">
        <v>2052</v>
      </c>
      <c r="B103" s="25" t="s">
        <v>2139</v>
      </c>
      <c r="C103" s="25" t="s">
        <v>200</v>
      </c>
      <c r="D103" s="61" t="s">
        <v>125</v>
      </c>
      <c r="E103" s="61" t="s">
        <v>1474</v>
      </c>
      <c r="F103" s="70">
        <v>1428.9305766957</v>
      </c>
      <c r="G103" s="61">
        <v>0.96176099999999998</v>
      </c>
      <c r="H103" s="85">
        <v>5.2552899999999996</v>
      </c>
      <c r="I103" s="25">
        <v>-1.8260125464855796E-3</v>
      </c>
      <c r="J103" s="25">
        <v>9.8057722596128085E-6</v>
      </c>
      <c r="K103" s="19"/>
      <c r="L103" s="19"/>
    </row>
    <row r="104" spans="1:14" x14ac:dyDescent="0.25">
      <c r="A104" s="17" t="s">
        <v>2050</v>
      </c>
      <c r="B104" s="25" t="s">
        <v>2140</v>
      </c>
      <c r="C104" s="25" t="s">
        <v>200</v>
      </c>
      <c r="D104" s="61" t="s">
        <v>257</v>
      </c>
      <c r="E104" s="61" t="s">
        <v>1474</v>
      </c>
      <c r="F104" s="70">
        <v>-5299.9035089643512</v>
      </c>
      <c r="G104" s="61">
        <v>0.97453100000000004</v>
      </c>
      <c r="H104" s="85">
        <v>-5.1649200000000004</v>
      </c>
      <c r="I104" s="25">
        <v>1.7946124232143801E-3</v>
      </c>
      <c r="J104" s="25">
        <v>-9.6371521379637271E-6</v>
      </c>
      <c r="K104" s="19"/>
      <c r="L104" s="19"/>
    </row>
    <row r="105" spans="1:14" x14ac:dyDescent="0.25">
      <c r="A105" s="17" t="s">
        <v>2046</v>
      </c>
      <c r="B105" s="25" t="s">
        <v>2141</v>
      </c>
      <c r="C105" s="25" t="s">
        <v>200</v>
      </c>
      <c r="D105" s="61" t="s">
        <v>257</v>
      </c>
      <c r="E105" s="61" t="s">
        <v>1477</v>
      </c>
      <c r="F105" s="70">
        <v>20790.781852588218</v>
      </c>
      <c r="G105" s="61">
        <v>0.99354699999999996</v>
      </c>
      <c r="H105" s="85">
        <v>20.65662</v>
      </c>
      <c r="I105" s="25">
        <v>-7.1773864597357998E-3</v>
      </c>
      <c r="J105" s="25">
        <v>3.8542898940565247E-5</v>
      </c>
      <c r="K105" s="19"/>
      <c r="L105" s="19"/>
    </row>
    <row r="106" spans="1:14" x14ac:dyDescent="0.25">
      <c r="A106" s="17" t="s">
        <v>2048</v>
      </c>
      <c r="B106" s="25" t="s">
        <v>2142</v>
      </c>
      <c r="C106" s="25" t="s">
        <v>200</v>
      </c>
      <c r="D106" s="61" t="s">
        <v>125</v>
      </c>
      <c r="E106" s="61" t="s">
        <v>1477</v>
      </c>
      <c r="F106" s="70">
        <v>-5484.2473892345597</v>
      </c>
      <c r="G106" s="61">
        <v>0.99060800000000004</v>
      </c>
      <c r="H106" s="85">
        <v>-20.774810000000002</v>
      </c>
      <c r="I106" s="25">
        <v>7.2184529704077387E-3</v>
      </c>
      <c r="J106" s="25">
        <v>-3.8763428011913097E-5</v>
      </c>
      <c r="K106" s="19"/>
      <c r="L106" s="19"/>
    </row>
    <row r="107" spans="1:14" x14ac:dyDescent="0.25">
      <c r="A107" s="17" t="s">
        <v>2046</v>
      </c>
      <c r="B107" s="25" t="s">
        <v>2145</v>
      </c>
      <c r="C107" s="25" t="s">
        <v>200</v>
      </c>
      <c r="D107" s="61" t="s">
        <v>257</v>
      </c>
      <c r="E107" s="61" t="s">
        <v>1486</v>
      </c>
      <c r="F107" s="70">
        <v>5186.602966235112</v>
      </c>
      <c r="G107" s="61">
        <v>0.99354699999999996</v>
      </c>
      <c r="H107" s="85">
        <v>5.1531400000000005</v>
      </c>
      <c r="I107" s="25">
        <v>-1.7905193231575612E-3</v>
      </c>
      <c r="J107" s="25">
        <v>9.6151720003845944E-6</v>
      </c>
      <c r="K107" s="19"/>
      <c r="L107" s="19"/>
    </row>
    <row r="108" spans="1:14" x14ac:dyDescent="0.25">
      <c r="A108" s="17" t="s">
        <v>2048</v>
      </c>
      <c r="B108" s="25" t="s">
        <v>2146</v>
      </c>
      <c r="C108" s="25" t="s">
        <v>200</v>
      </c>
      <c r="D108" s="61" t="s">
        <v>125</v>
      </c>
      <c r="E108" s="61" t="s">
        <v>1486</v>
      </c>
      <c r="F108" s="70">
        <v>-1365.2547952501561</v>
      </c>
      <c r="G108" s="61">
        <v>0.99060899999999996</v>
      </c>
      <c r="H108" s="85">
        <v>-5.17171</v>
      </c>
      <c r="I108" s="25">
        <v>1.796971688866825E-3</v>
      </c>
      <c r="J108" s="25">
        <v>-9.6498215041914265E-6</v>
      </c>
      <c r="K108" s="19"/>
      <c r="L108" s="19"/>
    </row>
    <row r="109" spans="1:14" x14ac:dyDescent="0.25">
      <c r="A109" s="17" t="s">
        <v>2048</v>
      </c>
      <c r="B109" s="25" t="s">
        <v>2147</v>
      </c>
      <c r="C109" s="25" t="s">
        <v>200</v>
      </c>
      <c r="D109" s="61" t="s">
        <v>125</v>
      </c>
      <c r="E109" s="61" t="s">
        <v>1080</v>
      </c>
      <c r="F109" s="70">
        <v>1428.9305766957</v>
      </c>
      <c r="G109" s="61">
        <v>0.99060800000000004</v>
      </c>
      <c r="H109" s="85">
        <v>5.4129100000000001</v>
      </c>
      <c r="I109" s="25">
        <v>-1.8807794761083135E-3</v>
      </c>
      <c r="J109" s="25">
        <v>1.0099873217611354E-5</v>
      </c>
      <c r="K109" s="19"/>
      <c r="L109" s="19"/>
    </row>
    <row r="110" spans="1:14" x14ac:dyDescent="0.25">
      <c r="A110" s="17" t="s">
        <v>2046</v>
      </c>
      <c r="B110" s="25" t="s">
        <v>2148</v>
      </c>
      <c r="C110" s="25" t="s">
        <v>200</v>
      </c>
      <c r="D110" s="61" t="s">
        <v>257</v>
      </c>
      <c r="E110" s="61" t="s">
        <v>1080</v>
      </c>
      <c r="F110" s="70">
        <v>-5431.3651220203556</v>
      </c>
      <c r="G110" s="61">
        <v>0.99354699999999996</v>
      </c>
      <c r="H110" s="85">
        <v>-5.3963199999999993</v>
      </c>
      <c r="I110" s="25">
        <v>1.8750150847719274E-3</v>
      </c>
      <c r="J110" s="25">
        <v>-1.0068918168168414E-5</v>
      </c>
      <c r="K110" s="19"/>
      <c r="L110" s="19"/>
    </row>
    <row r="111" spans="1:14" x14ac:dyDescent="0.25">
      <c r="A111" s="17" t="s">
        <v>2046</v>
      </c>
      <c r="B111" s="25" t="s">
        <v>2152</v>
      </c>
      <c r="C111" s="25" t="s">
        <v>200</v>
      </c>
      <c r="D111" s="61" t="s">
        <v>257</v>
      </c>
      <c r="E111" s="61" t="s">
        <v>455</v>
      </c>
      <c r="F111" s="70">
        <v>56822.966973178634</v>
      </c>
      <c r="G111" s="61">
        <v>0.99354699999999996</v>
      </c>
      <c r="H111" s="85">
        <v>56.456300000000006</v>
      </c>
      <c r="I111" s="25">
        <v>-1.9616407872477797E-2</v>
      </c>
      <c r="J111" s="25">
        <v>1.0534102217391974E-4</v>
      </c>
      <c r="K111" s="19"/>
      <c r="L111" s="19"/>
    </row>
    <row r="112" spans="1:14" x14ac:dyDescent="0.25">
      <c r="A112" s="17" t="s">
        <v>2048</v>
      </c>
      <c r="B112" s="25" t="s">
        <v>2153</v>
      </c>
      <c r="C112" s="25" t="s">
        <v>200</v>
      </c>
      <c r="D112" s="61" t="s">
        <v>125</v>
      </c>
      <c r="E112" s="61" t="s">
        <v>455</v>
      </c>
      <c r="F112" s="70">
        <v>-14965.227014268799</v>
      </c>
      <c r="G112" s="61">
        <v>0.99060800000000004</v>
      </c>
      <c r="H112" s="85">
        <v>-56.689579999999999</v>
      </c>
      <c r="I112" s="25">
        <v>1.9697463762227772E-2</v>
      </c>
      <c r="J112" s="25">
        <v>-1.0577629606988408E-4</v>
      </c>
      <c r="K112" s="19"/>
      <c r="L112" s="19"/>
    </row>
    <row r="113" spans="1:14" x14ac:dyDescent="0.25">
      <c r="A113" s="17" t="s">
        <v>2046</v>
      </c>
      <c r="B113" s="25" t="s">
        <v>2154</v>
      </c>
      <c r="C113" s="25" t="s">
        <v>200</v>
      </c>
      <c r="D113" s="61" t="s">
        <v>257</v>
      </c>
      <c r="E113" s="61" t="s">
        <v>2155</v>
      </c>
      <c r="F113" s="70">
        <v>34192.550682201356</v>
      </c>
      <c r="G113" s="61">
        <v>0.99354699999999996</v>
      </c>
      <c r="H113" s="85">
        <v>33.97193</v>
      </c>
      <c r="I113" s="25">
        <v>-1.180394809959676E-2</v>
      </c>
      <c r="J113" s="25">
        <v>6.3387750019410573E-5</v>
      </c>
      <c r="K113" s="19"/>
      <c r="L113" s="19"/>
    </row>
    <row r="114" spans="1:14" x14ac:dyDescent="0.25">
      <c r="A114" s="17" t="s">
        <v>2048</v>
      </c>
      <c r="B114" s="25" t="s">
        <v>2156</v>
      </c>
      <c r="C114" s="25" t="s">
        <v>200</v>
      </c>
      <c r="D114" s="61" t="s">
        <v>125</v>
      </c>
      <c r="E114" s="61" t="s">
        <v>2155</v>
      </c>
      <c r="F114" s="70">
        <v>-8979.13620856128</v>
      </c>
      <c r="G114" s="61">
        <v>0.99060800000000004</v>
      </c>
      <c r="H114" s="85">
        <v>-34.013760000000005</v>
      </c>
      <c r="I114" s="25">
        <v>1.1818482426878317E-2</v>
      </c>
      <c r="J114" s="25">
        <v>-6.346580003256296E-5</v>
      </c>
      <c r="K114" s="19"/>
      <c r="L114" s="19"/>
    </row>
    <row r="115" spans="1:14" x14ac:dyDescent="0.25">
      <c r="A115" s="17" t="s">
        <v>2050</v>
      </c>
      <c r="B115" s="25" t="s">
        <v>2101</v>
      </c>
      <c r="C115" s="25" t="s">
        <v>200</v>
      </c>
      <c r="D115" s="61" t="s">
        <v>257</v>
      </c>
      <c r="E115" s="61" t="s">
        <v>2102</v>
      </c>
      <c r="F115" s="70">
        <v>107959.14768093513</v>
      </c>
      <c r="G115" s="61">
        <v>0.97453100000000004</v>
      </c>
      <c r="H115" s="85">
        <v>105.20958</v>
      </c>
      <c r="I115" s="25">
        <v>-3.655631051578092E-2</v>
      </c>
      <c r="J115" s="25">
        <v>1.9630908684573347E-4</v>
      </c>
      <c r="K115" s="15"/>
      <c r="L115" s="15"/>
      <c r="M115" s="15"/>
      <c r="N115" s="15"/>
    </row>
    <row r="116" spans="1:14" x14ac:dyDescent="0.25">
      <c r="A116" s="17" t="s">
        <v>2052</v>
      </c>
      <c r="B116" s="25" t="s">
        <v>2103</v>
      </c>
      <c r="C116" s="25" t="s">
        <v>200</v>
      </c>
      <c r="D116" s="61" t="s">
        <v>125</v>
      </c>
      <c r="E116" s="61" t="s">
        <v>2102</v>
      </c>
      <c r="F116" s="70">
        <v>-29930.454028537599</v>
      </c>
      <c r="G116" s="61">
        <v>0.96176099999999998</v>
      </c>
      <c r="H116" s="85">
        <v>-110.07750999999999</v>
      </c>
      <c r="I116" s="25">
        <v>3.8247730257681661E-2</v>
      </c>
      <c r="J116" s="25">
        <v>-2.0539208948797333E-4</v>
      </c>
      <c r="K116" s="15"/>
      <c r="L116" s="15"/>
      <c r="M116" s="15"/>
      <c r="N116" s="15"/>
    </row>
    <row r="117" spans="1:14" x14ac:dyDescent="0.25">
      <c r="A117" s="17" t="s">
        <v>2050</v>
      </c>
      <c r="B117" s="25" t="s">
        <v>2107</v>
      </c>
      <c r="C117" s="25" t="s">
        <v>200</v>
      </c>
      <c r="D117" s="61" t="s">
        <v>257</v>
      </c>
      <c r="E117" s="61" t="s">
        <v>2105</v>
      </c>
      <c r="F117" s="70">
        <v>1327714.940705928</v>
      </c>
      <c r="G117" s="61">
        <v>0.97453000000000001</v>
      </c>
      <c r="H117" s="85">
        <v>1293.8982599999999</v>
      </c>
      <c r="I117" s="25">
        <v>-0.44958022423802696</v>
      </c>
      <c r="J117" s="25">
        <v>2.4142667035823486E-3</v>
      </c>
      <c r="K117" s="15"/>
      <c r="L117" s="15"/>
      <c r="M117" s="15"/>
      <c r="N117" s="15"/>
    </row>
    <row r="118" spans="1:14" x14ac:dyDescent="0.25">
      <c r="A118" s="17" t="s">
        <v>2052</v>
      </c>
      <c r="B118" s="25" t="s">
        <v>2108</v>
      </c>
      <c r="C118" s="25" t="s">
        <v>200</v>
      </c>
      <c r="D118" s="61" t="s">
        <v>125</v>
      </c>
      <c r="E118" s="61" t="s">
        <v>2105</v>
      </c>
      <c r="F118" s="70">
        <v>-374130.67535671999</v>
      </c>
      <c r="G118" s="61">
        <v>0.96175999999999995</v>
      </c>
      <c r="H118" s="85">
        <v>-1375.96668</v>
      </c>
      <c r="I118" s="25">
        <v>0.47809586554235989</v>
      </c>
      <c r="J118" s="25">
        <v>-2.5673970229798042E-3</v>
      </c>
      <c r="K118" s="15"/>
      <c r="L118" s="15"/>
      <c r="M118" s="15"/>
      <c r="N118" s="15"/>
    </row>
    <row r="119" spans="1:14" x14ac:dyDescent="0.25">
      <c r="A119" s="17" t="s">
        <v>2050</v>
      </c>
      <c r="B119" s="25" t="s">
        <v>2109</v>
      </c>
      <c r="C119" s="25" t="s">
        <v>200</v>
      </c>
      <c r="D119" s="61" t="s">
        <v>257</v>
      </c>
      <c r="E119" s="61" t="s">
        <v>2110</v>
      </c>
      <c r="F119" s="70">
        <v>1114864.5168819828</v>
      </c>
      <c r="G119" s="61">
        <v>0.97453100000000004</v>
      </c>
      <c r="H119" s="85">
        <v>1086.47046</v>
      </c>
      <c r="I119" s="25">
        <v>-0.3775069865499257</v>
      </c>
      <c r="J119" s="25">
        <v>2.027230066762589E-3</v>
      </c>
      <c r="K119" s="15"/>
      <c r="L119" s="15"/>
      <c r="M119" s="15"/>
      <c r="N119" s="15"/>
    </row>
    <row r="120" spans="1:14" x14ac:dyDescent="0.25">
      <c r="A120" s="17" t="s">
        <v>2052</v>
      </c>
      <c r="B120" s="25" t="s">
        <v>2111</v>
      </c>
      <c r="C120" s="25" t="s">
        <v>200</v>
      </c>
      <c r="D120" s="61" t="s">
        <v>125</v>
      </c>
      <c r="E120" s="61" t="s">
        <v>2110</v>
      </c>
      <c r="F120" s="70">
        <v>-306787.15379251039</v>
      </c>
      <c r="G120" s="61">
        <v>0.96176099999999998</v>
      </c>
      <c r="H120" s="85">
        <v>-1128.2944499999999</v>
      </c>
      <c r="I120" s="25">
        <v>0.39203922558603738</v>
      </c>
      <c r="J120" s="25">
        <v>-2.1052688659398606E-3</v>
      </c>
      <c r="K120" s="15"/>
      <c r="L120" s="15"/>
      <c r="M120" s="15"/>
      <c r="N120" s="15"/>
    </row>
    <row r="121" spans="1:14" x14ac:dyDescent="0.25">
      <c r="A121" s="17" t="s">
        <v>2050</v>
      </c>
      <c r="B121" s="25" t="s">
        <v>2120</v>
      </c>
      <c r="C121" s="25" t="s">
        <v>200</v>
      </c>
      <c r="D121" s="61" t="s">
        <v>257</v>
      </c>
      <c r="E121" s="61" t="s">
        <v>2121</v>
      </c>
      <c r="F121" s="70">
        <v>54772.730872223809</v>
      </c>
      <c r="G121" s="61">
        <v>0.97453100000000004</v>
      </c>
      <c r="H121" s="85">
        <v>53.377739999999996</v>
      </c>
      <c r="I121" s="25">
        <v>-1.8546725859666199E-2</v>
      </c>
      <c r="J121" s="25">
        <v>9.9596780039317521E-5</v>
      </c>
      <c r="K121" s="15"/>
      <c r="L121" s="15"/>
      <c r="M121" s="15"/>
      <c r="N121" s="15"/>
    </row>
    <row r="122" spans="1:14" x14ac:dyDescent="0.25">
      <c r="A122" s="17" t="s">
        <v>2052</v>
      </c>
      <c r="B122" s="25" t="s">
        <v>2122</v>
      </c>
      <c r="C122" s="25" t="s">
        <v>200</v>
      </c>
      <c r="D122" s="61" t="s">
        <v>125</v>
      </c>
      <c r="E122" s="61" t="s">
        <v>2121</v>
      </c>
      <c r="F122" s="70">
        <v>-14965.227014268799</v>
      </c>
      <c r="G122" s="61">
        <v>0.96176099999999998</v>
      </c>
      <c r="H122" s="85">
        <v>-55.03875</v>
      </c>
      <c r="I122" s="25">
        <v>1.9123863391531808E-2</v>
      </c>
      <c r="J122" s="25">
        <v>-1.0269603541455647E-4</v>
      </c>
      <c r="K122" s="15"/>
      <c r="L122" s="15"/>
      <c r="M122" s="15"/>
      <c r="N122" s="15"/>
    </row>
    <row r="123" spans="1:14" x14ac:dyDescent="0.25">
      <c r="A123" s="17" t="s">
        <v>2046</v>
      </c>
      <c r="B123" s="25" t="s">
        <v>2132</v>
      </c>
      <c r="C123" s="25" t="s">
        <v>200</v>
      </c>
      <c r="D123" s="61" t="s">
        <v>257</v>
      </c>
      <c r="E123" s="61" t="s">
        <v>1066</v>
      </c>
      <c r="F123" s="70">
        <v>141271.74301469748</v>
      </c>
      <c r="G123" s="61">
        <v>0.99354699999999996</v>
      </c>
      <c r="H123" s="85">
        <v>140.36013</v>
      </c>
      <c r="I123" s="25">
        <v>-4.8769784047378355E-2</v>
      </c>
      <c r="J123" s="25">
        <v>2.6189600747240352E-4</v>
      </c>
      <c r="K123" s="15"/>
      <c r="L123" s="15"/>
      <c r="M123" s="15"/>
      <c r="N123" s="15"/>
    </row>
    <row r="124" spans="1:14" x14ac:dyDescent="0.25">
      <c r="A124" s="17" t="s">
        <v>2048</v>
      </c>
      <c r="B124" s="25" t="s">
        <v>2133</v>
      </c>
      <c r="C124" s="25" t="s">
        <v>200</v>
      </c>
      <c r="D124" s="61" t="s">
        <v>125</v>
      </c>
      <c r="E124" s="61" t="s">
        <v>1066</v>
      </c>
      <c r="F124" s="70">
        <v>-37413.067535672002</v>
      </c>
      <c r="G124" s="61">
        <v>0.99060800000000004</v>
      </c>
      <c r="H124" s="85">
        <v>-141.72395</v>
      </c>
      <c r="I124" s="25">
        <v>4.9243659405569434E-2</v>
      </c>
      <c r="J124" s="25">
        <v>-2.6444074017471022E-4</v>
      </c>
      <c r="K124" s="15"/>
      <c r="L124" s="15"/>
      <c r="M124" s="15"/>
      <c r="N124" s="15"/>
    </row>
    <row r="125" spans="1:14" s="119" customFormat="1" x14ac:dyDescent="0.25">
      <c r="A125" s="93" t="s">
        <v>2165</v>
      </c>
      <c r="B125" s="137" t="s">
        <v>251</v>
      </c>
      <c r="C125" s="137" t="s">
        <v>251</v>
      </c>
      <c r="D125" s="136" t="s">
        <v>251</v>
      </c>
      <c r="E125" s="136" t="s">
        <v>251</v>
      </c>
      <c r="F125" s="135" t="s">
        <v>251</v>
      </c>
      <c r="G125" s="136" t="s">
        <v>251</v>
      </c>
      <c r="H125" s="124">
        <v>-1933.0014596000028</v>
      </c>
      <c r="I125" s="137">
        <v>0.67164417522240316</v>
      </c>
      <c r="J125" s="137">
        <v>-3.6067604433507525E-3</v>
      </c>
      <c r="K125" s="159"/>
      <c r="L125" s="159"/>
      <c r="M125" s="130"/>
      <c r="N125" s="130"/>
    </row>
    <row r="126" spans="1:14" s="119" customFormat="1" x14ac:dyDescent="0.25">
      <c r="A126" s="93" t="s">
        <v>1839</v>
      </c>
      <c r="B126" s="137" t="s">
        <v>251</v>
      </c>
      <c r="C126" s="137" t="s">
        <v>251</v>
      </c>
      <c r="D126" s="136" t="s">
        <v>251</v>
      </c>
      <c r="E126" s="136" t="s">
        <v>251</v>
      </c>
      <c r="F126" s="135" t="s">
        <v>251</v>
      </c>
      <c r="G126" s="136" t="s">
        <v>251</v>
      </c>
      <c r="H126" s="124">
        <v>0</v>
      </c>
      <c r="I126" s="137">
        <v>0</v>
      </c>
      <c r="J126" s="137">
        <v>0</v>
      </c>
      <c r="K126" s="159"/>
      <c r="L126" s="159"/>
      <c r="M126" s="130"/>
      <c r="N126" s="130"/>
    </row>
    <row r="127" spans="1:14" s="119" customFormat="1" x14ac:dyDescent="0.25">
      <c r="A127" s="93" t="s">
        <v>1842</v>
      </c>
      <c r="B127" s="137" t="s">
        <v>251</v>
      </c>
      <c r="C127" s="137" t="s">
        <v>251</v>
      </c>
      <c r="D127" s="136" t="s">
        <v>251</v>
      </c>
      <c r="E127" s="136" t="s">
        <v>251</v>
      </c>
      <c r="F127" s="135" t="s">
        <v>251</v>
      </c>
      <c r="G127" s="136" t="s">
        <v>251</v>
      </c>
      <c r="H127" s="124">
        <v>-1720.6718798999989</v>
      </c>
      <c r="I127" s="137">
        <v>0.59786775631455669</v>
      </c>
      <c r="J127" s="137">
        <v>-3.2105776442059777E-3</v>
      </c>
      <c r="K127" s="159"/>
      <c r="L127" s="159"/>
      <c r="M127" s="130"/>
      <c r="N127" s="130"/>
    </row>
    <row r="128" spans="1:14" x14ac:dyDescent="0.25">
      <c r="A128" s="17" t="s">
        <v>2029</v>
      </c>
      <c r="B128" s="25" t="s">
        <v>2173</v>
      </c>
      <c r="C128" s="25" t="s">
        <v>200</v>
      </c>
      <c r="D128" s="61" t="s">
        <v>125</v>
      </c>
      <c r="E128" s="61" t="s">
        <v>2031</v>
      </c>
      <c r="F128" s="70">
        <v>106272.96000000001</v>
      </c>
      <c r="G128" s="61">
        <v>0.99779300000000004</v>
      </c>
      <c r="H128" s="85">
        <v>405.49115999999998</v>
      </c>
      <c r="I128" s="25">
        <v>-0.14089269015582234</v>
      </c>
      <c r="J128" s="25">
        <v>7.5660029574889658E-4</v>
      </c>
      <c r="K128" s="19"/>
      <c r="L128" s="19"/>
    </row>
    <row r="129" spans="1:12" x14ac:dyDescent="0.25">
      <c r="A129" s="17" t="s">
        <v>2032</v>
      </c>
      <c r="B129" s="25" t="s">
        <v>2174</v>
      </c>
      <c r="C129" s="25" t="s">
        <v>200</v>
      </c>
      <c r="D129" s="61" t="s">
        <v>126</v>
      </c>
      <c r="E129" s="61" t="s">
        <v>2031</v>
      </c>
      <c r="F129" s="70">
        <v>-96000</v>
      </c>
      <c r="G129" s="61">
        <v>0.99839999999999995</v>
      </c>
      <c r="H129" s="85">
        <v>-388.47517999999997</v>
      </c>
      <c r="I129" s="25">
        <v>0.13498028703996237</v>
      </c>
      <c r="J129" s="25">
        <v>-7.2485041616962955E-4</v>
      </c>
      <c r="K129" s="19"/>
      <c r="L129" s="19"/>
    </row>
    <row r="130" spans="1:12" x14ac:dyDescent="0.25">
      <c r="A130" s="17" t="s">
        <v>2029</v>
      </c>
      <c r="B130" s="25" t="s">
        <v>2175</v>
      </c>
      <c r="C130" s="25" t="s">
        <v>200</v>
      </c>
      <c r="D130" s="61" t="s">
        <v>125</v>
      </c>
      <c r="E130" s="61" t="s">
        <v>2031</v>
      </c>
      <c r="F130" s="70">
        <v>939343.84447176126</v>
      </c>
      <c r="G130" s="61">
        <v>0.99779300000000004</v>
      </c>
      <c r="H130" s="85">
        <v>3584.1255299999998</v>
      </c>
      <c r="I130" s="25">
        <v>-1.2453467241501948</v>
      </c>
      <c r="J130" s="25">
        <v>6.6875698005331875E-3</v>
      </c>
      <c r="K130" s="19"/>
      <c r="L130" s="19"/>
    </row>
    <row r="131" spans="1:12" x14ac:dyDescent="0.25">
      <c r="A131" s="17" t="s">
        <v>2032</v>
      </c>
      <c r="B131" s="25" t="s">
        <v>2176</v>
      </c>
      <c r="C131" s="25" t="s">
        <v>200</v>
      </c>
      <c r="D131" s="61" t="s">
        <v>126</v>
      </c>
      <c r="E131" s="61" t="s">
        <v>2031</v>
      </c>
      <c r="F131" s="70">
        <v>-848541.42642953654</v>
      </c>
      <c r="G131" s="61">
        <v>0.99839999999999995</v>
      </c>
      <c r="H131" s="85">
        <v>-3433.7217400000004</v>
      </c>
      <c r="I131" s="25">
        <v>1.193087151875595</v>
      </c>
      <c r="J131" s="25">
        <v>-6.4069334680524632E-3</v>
      </c>
      <c r="K131" s="19"/>
      <c r="L131" s="19"/>
    </row>
    <row r="132" spans="1:12" x14ac:dyDescent="0.25">
      <c r="A132" s="17" t="s">
        <v>2029</v>
      </c>
      <c r="B132" s="25" t="s">
        <v>2177</v>
      </c>
      <c r="C132" s="25" t="s">
        <v>200</v>
      </c>
      <c r="D132" s="61" t="s">
        <v>125</v>
      </c>
      <c r="E132" s="61" t="s">
        <v>2178</v>
      </c>
      <c r="F132" s="70">
        <v>55900.596512407697</v>
      </c>
      <c r="G132" s="61">
        <v>0.99779300000000004</v>
      </c>
      <c r="H132" s="85">
        <v>213.29223999999999</v>
      </c>
      <c r="I132" s="25">
        <v>-7.4110906592788101E-2</v>
      </c>
      <c r="J132" s="25">
        <v>3.9797901356208268E-4</v>
      </c>
      <c r="K132" s="19"/>
      <c r="L132" s="19"/>
    </row>
    <row r="133" spans="1:12" x14ac:dyDescent="0.25">
      <c r="A133" s="17" t="s">
        <v>2032</v>
      </c>
      <c r="B133" s="25" t="s">
        <v>2179</v>
      </c>
      <c r="C133" s="25" t="s">
        <v>200</v>
      </c>
      <c r="D133" s="61" t="s">
        <v>126</v>
      </c>
      <c r="E133" s="61" t="s">
        <v>2178</v>
      </c>
      <c r="F133" s="70">
        <v>-51568.815970855809</v>
      </c>
      <c r="G133" s="61">
        <v>0.99839999999999995</v>
      </c>
      <c r="H133" s="85">
        <v>-208.67922000000002</v>
      </c>
      <c r="I133" s="25">
        <v>7.2508058339468329E-2</v>
      </c>
      <c r="J133" s="25">
        <v>-3.8937164393090362E-4</v>
      </c>
      <c r="K133" s="19"/>
      <c r="L133" s="19"/>
    </row>
    <row r="134" spans="1:12" x14ac:dyDescent="0.25">
      <c r="A134" s="17" t="s">
        <v>2029</v>
      </c>
      <c r="B134" s="25" t="s">
        <v>2180</v>
      </c>
      <c r="C134" s="25" t="s">
        <v>200</v>
      </c>
      <c r="D134" s="61" t="s">
        <v>125</v>
      </c>
      <c r="E134" s="61" t="s">
        <v>486</v>
      </c>
      <c r="F134" s="70">
        <v>35606.907886363981</v>
      </c>
      <c r="G134" s="61">
        <v>0.99779300000000004</v>
      </c>
      <c r="H134" s="85">
        <v>135.8604</v>
      </c>
      <c r="I134" s="25">
        <v>-4.7206299741888544E-2</v>
      </c>
      <c r="J134" s="25">
        <v>2.5350002407096471E-4</v>
      </c>
      <c r="K134" s="19"/>
      <c r="L134" s="19"/>
    </row>
    <row r="135" spans="1:12" x14ac:dyDescent="0.25">
      <c r="A135" s="17" t="s">
        <v>2032</v>
      </c>
      <c r="B135" s="25" t="s">
        <v>2181</v>
      </c>
      <c r="C135" s="25" t="s">
        <v>200</v>
      </c>
      <c r="D135" s="61" t="s">
        <v>126</v>
      </c>
      <c r="E135" s="61" t="s">
        <v>486</v>
      </c>
      <c r="F135" s="70">
        <v>-32816.519254180967</v>
      </c>
      <c r="G135" s="61">
        <v>0.99839999999999995</v>
      </c>
      <c r="H135" s="85">
        <v>-132.79587000000001</v>
      </c>
      <c r="I135" s="25">
        <v>4.6141492618193856E-2</v>
      </c>
      <c r="J135" s="25">
        <v>-2.4778196031753695E-4</v>
      </c>
      <c r="K135" s="19"/>
      <c r="L135" s="19"/>
    </row>
    <row r="136" spans="1:12" x14ac:dyDescent="0.25">
      <c r="A136" s="17" t="s">
        <v>2029</v>
      </c>
      <c r="B136" s="25" t="s">
        <v>2182</v>
      </c>
      <c r="C136" s="25" t="s">
        <v>200</v>
      </c>
      <c r="D136" s="61" t="s">
        <v>125</v>
      </c>
      <c r="E136" s="61" t="s">
        <v>2183</v>
      </c>
      <c r="F136" s="70">
        <v>36157.184657366444</v>
      </c>
      <c r="G136" s="61">
        <v>0.99779300000000004</v>
      </c>
      <c r="H136" s="85">
        <v>137.96001000000001</v>
      </c>
      <c r="I136" s="25">
        <v>-4.7935834021200739E-2</v>
      </c>
      <c r="J136" s="25">
        <v>2.5741765706438767E-4</v>
      </c>
      <c r="K136" s="19"/>
      <c r="L136" s="19"/>
    </row>
    <row r="137" spans="1:12" x14ac:dyDescent="0.25">
      <c r="A137" s="17" t="s">
        <v>2032</v>
      </c>
      <c r="B137" s="25" t="s">
        <v>2184</v>
      </c>
      <c r="C137" s="25" t="s">
        <v>200</v>
      </c>
      <c r="D137" s="61" t="s">
        <v>126</v>
      </c>
      <c r="E137" s="61" t="s">
        <v>2183</v>
      </c>
      <c r="F137" s="70">
        <v>-33285.326672097843</v>
      </c>
      <c r="G137" s="61">
        <v>0.99839999999999995</v>
      </c>
      <c r="H137" s="85">
        <v>-134.69295000000002</v>
      </c>
      <c r="I137" s="25">
        <v>4.6800655458243953E-2</v>
      </c>
      <c r="J137" s="25">
        <v>-2.5132169541079849E-4</v>
      </c>
      <c r="K137" s="19"/>
      <c r="L137" s="19"/>
    </row>
    <row r="138" spans="1:12" x14ac:dyDescent="0.25">
      <c r="A138" s="17" t="s">
        <v>2029</v>
      </c>
      <c r="B138" s="25" t="s">
        <v>2185</v>
      </c>
      <c r="C138" s="25" t="s">
        <v>200</v>
      </c>
      <c r="D138" s="61" t="s">
        <v>125</v>
      </c>
      <c r="E138" s="61" t="s">
        <v>2186</v>
      </c>
      <c r="F138" s="70">
        <v>122675.46236784797</v>
      </c>
      <c r="G138" s="61">
        <v>0.99779300000000004</v>
      </c>
      <c r="H138" s="85">
        <v>468.07594</v>
      </c>
      <c r="I138" s="25">
        <v>-0.16263851074784291</v>
      </c>
      <c r="J138" s="25">
        <v>8.7337636321576729E-4</v>
      </c>
      <c r="K138" s="19"/>
      <c r="L138" s="19"/>
    </row>
    <row r="139" spans="1:12" x14ac:dyDescent="0.25">
      <c r="A139" s="17" t="s">
        <v>2032</v>
      </c>
      <c r="B139" s="25" t="s">
        <v>2187</v>
      </c>
      <c r="C139" s="25" t="s">
        <v>200</v>
      </c>
      <c r="D139" s="61" t="s">
        <v>126</v>
      </c>
      <c r="E139" s="61" t="s">
        <v>2186</v>
      </c>
      <c r="F139" s="70">
        <v>-112513.78030004904</v>
      </c>
      <c r="G139" s="61">
        <v>0.99839999999999995</v>
      </c>
      <c r="H139" s="85">
        <v>-455.30011999999999</v>
      </c>
      <c r="I139" s="25">
        <v>0.15819940127688289</v>
      </c>
      <c r="J139" s="25">
        <v>-8.4953813899792075E-4</v>
      </c>
      <c r="K139" s="19"/>
      <c r="L139" s="19"/>
    </row>
    <row r="140" spans="1:12" x14ac:dyDescent="0.25">
      <c r="A140" s="17" t="s">
        <v>2188</v>
      </c>
      <c r="B140" s="25" t="s">
        <v>2189</v>
      </c>
      <c r="C140" s="25" t="s">
        <v>200</v>
      </c>
      <c r="D140" s="61" t="s">
        <v>125</v>
      </c>
      <c r="E140" s="61" t="s">
        <v>2083</v>
      </c>
      <c r="F140" s="70">
        <v>103639.5</v>
      </c>
      <c r="G140" s="61">
        <v>0.99779300000000004</v>
      </c>
      <c r="H140" s="85">
        <v>395.44303000000002</v>
      </c>
      <c r="I140" s="25">
        <v>-0.13740134877433471</v>
      </c>
      <c r="J140" s="25">
        <v>7.3785163022996563E-4</v>
      </c>
      <c r="K140" s="19"/>
      <c r="L140" s="19"/>
    </row>
    <row r="141" spans="1:12" x14ac:dyDescent="0.25">
      <c r="A141" s="17" t="s">
        <v>2190</v>
      </c>
      <c r="B141" s="25" t="s">
        <v>2191</v>
      </c>
      <c r="C141" s="25" t="s">
        <v>200</v>
      </c>
      <c r="D141" s="61" t="s">
        <v>2</v>
      </c>
      <c r="E141" s="61" t="s">
        <v>2083</v>
      </c>
      <c r="F141" s="70">
        <v>-81000</v>
      </c>
      <c r="G141" s="61">
        <v>0.99788399999999999</v>
      </c>
      <c r="H141" s="85">
        <v>-378.10813000000002</v>
      </c>
      <c r="I141" s="25">
        <v>0.13137813313978877</v>
      </c>
      <c r="J141" s="25">
        <v>-7.0550668227406554E-4</v>
      </c>
      <c r="K141" s="19"/>
      <c r="L141" s="19"/>
    </row>
    <row r="142" spans="1:12" x14ac:dyDescent="0.25">
      <c r="A142" s="17" t="s">
        <v>2032</v>
      </c>
      <c r="B142" s="25" t="s">
        <v>2192</v>
      </c>
      <c r="C142" s="25" t="s">
        <v>200</v>
      </c>
      <c r="D142" s="61" t="s">
        <v>126</v>
      </c>
      <c r="E142" s="61" t="s">
        <v>1451</v>
      </c>
      <c r="F142" s="70">
        <v>78290.838792117458</v>
      </c>
      <c r="G142" s="61">
        <v>0.99839999999999995</v>
      </c>
      <c r="H142" s="85">
        <v>316.81299999999999</v>
      </c>
      <c r="I142" s="25">
        <v>-0.11008041666392072</v>
      </c>
      <c r="J142" s="25">
        <v>5.9113695474173882E-4</v>
      </c>
      <c r="K142" s="19"/>
      <c r="L142" s="19"/>
    </row>
    <row r="143" spans="1:12" x14ac:dyDescent="0.25">
      <c r="A143" s="17" t="s">
        <v>2029</v>
      </c>
      <c r="B143" s="25" t="s">
        <v>2193</v>
      </c>
      <c r="C143" s="25" t="s">
        <v>200</v>
      </c>
      <c r="D143" s="61" t="s">
        <v>125</v>
      </c>
      <c r="E143" s="61" t="s">
        <v>1451</v>
      </c>
      <c r="F143" s="70">
        <v>-85779.357522583494</v>
      </c>
      <c r="G143" s="61">
        <v>0.99779300000000004</v>
      </c>
      <c r="H143" s="85">
        <v>-327.29653000000002</v>
      </c>
      <c r="I143" s="25">
        <v>0.1137230429150806</v>
      </c>
      <c r="J143" s="25">
        <v>-6.1069802704351837E-4</v>
      </c>
      <c r="K143" s="19"/>
      <c r="L143" s="19"/>
    </row>
    <row r="144" spans="1:12" x14ac:dyDescent="0.25">
      <c r="A144" s="17" t="s">
        <v>2032</v>
      </c>
      <c r="B144" s="25" t="s">
        <v>2194</v>
      </c>
      <c r="C144" s="25" t="s">
        <v>200</v>
      </c>
      <c r="D144" s="61" t="s">
        <v>126</v>
      </c>
      <c r="E144" s="61" t="s">
        <v>2105</v>
      </c>
      <c r="F144" s="70">
        <v>79697.261045868072</v>
      </c>
      <c r="G144" s="61">
        <v>0.99839999999999995</v>
      </c>
      <c r="H144" s="85">
        <v>322.50425000000001</v>
      </c>
      <c r="I144" s="25">
        <v>-0.11205790865868906</v>
      </c>
      <c r="J144" s="25">
        <v>6.0175617868038381E-4</v>
      </c>
      <c r="K144" s="19"/>
      <c r="L144" s="19"/>
    </row>
    <row r="145" spans="1:12" x14ac:dyDescent="0.25">
      <c r="A145" s="17" t="s">
        <v>2029</v>
      </c>
      <c r="B145" s="25" t="s">
        <v>2195</v>
      </c>
      <c r="C145" s="25" t="s">
        <v>200</v>
      </c>
      <c r="D145" s="61" t="s">
        <v>125</v>
      </c>
      <c r="E145" s="61" t="s">
        <v>2105</v>
      </c>
      <c r="F145" s="70">
        <v>-88757.245681562359</v>
      </c>
      <c r="G145" s="61">
        <v>0.99779300000000004</v>
      </c>
      <c r="H145" s="85">
        <v>-338.65884999999997</v>
      </c>
      <c r="I145" s="25">
        <v>0.11767101512540276</v>
      </c>
      <c r="J145" s="25">
        <v>-6.3189882134047316E-4</v>
      </c>
      <c r="K145" s="19"/>
      <c r="L145" s="19"/>
    </row>
    <row r="146" spans="1:12" x14ac:dyDescent="0.25">
      <c r="A146" s="17" t="s">
        <v>2032</v>
      </c>
      <c r="B146" s="25" t="s">
        <v>2196</v>
      </c>
      <c r="C146" s="25" t="s">
        <v>200</v>
      </c>
      <c r="D146" s="61" t="s">
        <v>126</v>
      </c>
      <c r="E146" s="61" t="s">
        <v>1922</v>
      </c>
      <c r="F146" s="70">
        <v>46880.741791687098</v>
      </c>
      <c r="G146" s="61">
        <v>0.99839999999999995</v>
      </c>
      <c r="H146" s="85">
        <v>189.70838000000001</v>
      </c>
      <c r="I146" s="25">
        <v>-6.5916416040495196E-2</v>
      </c>
      <c r="J146" s="25">
        <v>3.5397421836284686E-4</v>
      </c>
      <c r="K146" s="19"/>
      <c r="L146" s="19"/>
    </row>
    <row r="147" spans="1:12" x14ac:dyDescent="0.25">
      <c r="A147" s="17" t="s">
        <v>2029</v>
      </c>
      <c r="B147" s="25" t="s">
        <v>2197</v>
      </c>
      <c r="C147" s="25" t="s">
        <v>200</v>
      </c>
      <c r="D147" s="61" t="s">
        <v>125</v>
      </c>
      <c r="E147" s="61" t="s">
        <v>1922</v>
      </c>
      <c r="F147" s="70">
        <v>-51601.163682692073</v>
      </c>
      <c r="G147" s="61">
        <v>0.99779300000000004</v>
      </c>
      <c r="H147" s="85">
        <v>-196.88748999999999</v>
      </c>
      <c r="I147" s="25">
        <v>6.841088255568277E-2</v>
      </c>
      <c r="J147" s="25">
        <v>-3.6736961950849413E-4</v>
      </c>
      <c r="K147" s="19"/>
      <c r="L147" s="19"/>
    </row>
    <row r="148" spans="1:12" x14ac:dyDescent="0.25">
      <c r="A148" s="17" t="s">
        <v>2198</v>
      </c>
      <c r="B148" s="25" t="s">
        <v>2199</v>
      </c>
      <c r="C148" s="25" t="s">
        <v>200</v>
      </c>
      <c r="D148" s="61" t="s">
        <v>125</v>
      </c>
      <c r="E148" s="61" t="s">
        <v>1074</v>
      </c>
      <c r="F148" s="70">
        <v>63831.106876485755</v>
      </c>
      <c r="G148" s="61">
        <v>0.97838400000000003</v>
      </c>
      <c r="H148" s="85">
        <v>238.81408999999999</v>
      </c>
      <c r="I148" s="25">
        <v>-8.2978774647552545E-2</v>
      </c>
      <c r="J148" s="25">
        <v>4.455998772525734E-4</v>
      </c>
      <c r="K148" s="19"/>
      <c r="L148" s="19"/>
    </row>
    <row r="149" spans="1:12" x14ac:dyDescent="0.25">
      <c r="A149" s="17" t="s">
        <v>2200</v>
      </c>
      <c r="B149" s="25" t="s">
        <v>2201</v>
      </c>
      <c r="C149" s="25" t="s">
        <v>200</v>
      </c>
      <c r="D149" s="61" t="s">
        <v>2</v>
      </c>
      <c r="E149" s="61" t="s">
        <v>1074</v>
      </c>
      <c r="F149" s="70">
        <v>-51568.815970855809</v>
      </c>
      <c r="G149" s="61">
        <v>0.97932300000000005</v>
      </c>
      <c r="H149" s="85">
        <v>-236.24590000000001</v>
      </c>
      <c r="I149" s="25">
        <v>8.2086426715895333E-2</v>
      </c>
      <c r="J149" s="25">
        <v>-4.4080792737741622E-4</v>
      </c>
      <c r="K149" s="19"/>
      <c r="L149" s="19"/>
    </row>
    <row r="150" spans="1:12" x14ac:dyDescent="0.25">
      <c r="A150" s="17" t="s">
        <v>2032</v>
      </c>
      <c r="B150" s="25" t="s">
        <v>2202</v>
      </c>
      <c r="C150" s="25" t="s">
        <v>200</v>
      </c>
      <c r="D150" s="61" t="s">
        <v>126</v>
      </c>
      <c r="E150" s="61" t="s">
        <v>1665</v>
      </c>
      <c r="F150" s="70">
        <v>30238.07845563818</v>
      </c>
      <c r="G150" s="61">
        <v>0.99839999999999995</v>
      </c>
      <c r="H150" s="85">
        <v>122.36196000000001</v>
      </c>
      <c r="I150" s="25">
        <v>-4.2516107421772469E-2</v>
      </c>
      <c r="J150" s="25">
        <v>2.2831347328117996E-4</v>
      </c>
      <c r="K150" s="19"/>
      <c r="L150" s="19"/>
    </row>
    <row r="151" spans="1:12" x14ac:dyDescent="0.25">
      <c r="A151" s="17" t="s">
        <v>2029</v>
      </c>
      <c r="B151" s="25" t="s">
        <v>2203</v>
      </c>
      <c r="C151" s="25" t="s">
        <v>200</v>
      </c>
      <c r="D151" s="61" t="s">
        <v>125</v>
      </c>
      <c r="E151" s="61" t="s">
        <v>1665</v>
      </c>
      <c r="F151" s="70">
        <v>-32354.743947532854</v>
      </c>
      <c r="G151" s="61">
        <v>0.99779300000000004</v>
      </c>
      <c r="H151" s="85">
        <v>-123.45156</v>
      </c>
      <c r="I151" s="25">
        <v>4.2894701803938E-2</v>
      </c>
      <c r="J151" s="25">
        <v>-2.3034654271294756E-4</v>
      </c>
      <c r="K151" s="19"/>
      <c r="L151" s="19"/>
    </row>
    <row r="152" spans="1:12" x14ac:dyDescent="0.25">
      <c r="A152" s="17" t="s">
        <v>2200</v>
      </c>
      <c r="B152" s="25" t="s">
        <v>2204</v>
      </c>
      <c r="C152" s="25" t="s">
        <v>200</v>
      </c>
      <c r="D152" s="61" t="s">
        <v>2</v>
      </c>
      <c r="E152" s="61" t="s">
        <v>1665</v>
      </c>
      <c r="F152" s="70">
        <v>9376.1483583374193</v>
      </c>
      <c r="G152" s="61">
        <v>0.97932300000000005</v>
      </c>
      <c r="H152" s="85">
        <v>42.953789999999998</v>
      </c>
      <c r="I152" s="25">
        <v>-1.492480138281747E-2</v>
      </c>
      <c r="J152" s="25">
        <v>8.0146877227942523E-5</v>
      </c>
      <c r="K152" s="19"/>
      <c r="L152" s="19"/>
    </row>
    <row r="153" spans="1:12" x14ac:dyDescent="0.25">
      <c r="A153" s="17" t="s">
        <v>2198</v>
      </c>
      <c r="B153" s="25" t="s">
        <v>2205</v>
      </c>
      <c r="C153" s="25" t="s">
        <v>200</v>
      </c>
      <c r="D153" s="61" t="s">
        <v>125</v>
      </c>
      <c r="E153" s="61" t="s">
        <v>1665</v>
      </c>
      <c r="F153" s="70">
        <v>-11612.031576608353</v>
      </c>
      <c r="G153" s="61">
        <v>0.97838400000000003</v>
      </c>
      <c r="H153" s="85">
        <v>-43.444580000000002</v>
      </c>
      <c r="I153" s="25">
        <v>1.5095332161840067E-2</v>
      </c>
      <c r="J153" s="25">
        <v>-8.1062635438677877E-5</v>
      </c>
      <c r="K153" s="19"/>
      <c r="L153" s="19"/>
    </row>
    <row r="154" spans="1:12" x14ac:dyDescent="0.25">
      <c r="A154" s="17" t="s">
        <v>2190</v>
      </c>
      <c r="B154" s="25" t="s">
        <v>2206</v>
      </c>
      <c r="C154" s="25" t="s">
        <v>200</v>
      </c>
      <c r="D154" s="61" t="s">
        <v>2</v>
      </c>
      <c r="E154" s="61" t="s">
        <v>2150</v>
      </c>
      <c r="F154" s="70">
        <v>81000</v>
      </c>
      <c r="G154" s="61">
        <v>0.99788399999999999</v>
      </c>
      <c r="H154" s="85">
        <v>378.10815000000002</v>
      </c>
      <c r="I154" s="25">
        <v>-0.13137814008902488</v>
      </c>
      <c r="J154" s="25">
        <v>7.0550671959178639E-4</v>
      </c>
      <c r="K154" s="19"/>
      <c r="L154" s="19"/>
    </row>
    <row r="155" spans="1:12" x14ac:dyDescent="0.25">
      <c r="A155" s="17" t="s">
        <v>2188</v>
      </c>
      <c r="B155" s="25" t="s">
        <v>2207</v>
      </c>
      <c r="C155" s="25" t="s">
        <v>200</v>
      </c>
      <c r="D155" s="61" t="s">
        <v>125</v>
      </c>
      <c r="E155" s="61" t="s">
        <v>2150</v>
      </c>
      <c r="F155" s="70">
        <v>-100156.5</v>
      </c>
      <c r="G155" s="61">
        <v>0.99779300000000004</v>
      </c>
      <c r="H155" s="85">
        <v>-382.15345000000002</v>
      </c>
      <c r="I155" s="25">
        <v>0.13278372732670313</v>
      </c>
      <c r="J155" s="25">
        <v>-7.1305478839899048E-4</v>
      </c>
      <c r="K155" s="19"/>
      <c r="L155" s="19"/>
    </row>
    <row r="156" spans="1:12" x14ac:dyDescent="0.25">
      <c r="A156" s="17" t="s">
        <v>2198</v>
      </c>
      <c r="B156" s="25" t="s">
        <v>2208</v>
      </c>
      <c r="C156" s="25" t="s">
        <v>200</v>
      </c>
      <c r="D156" s="61" t="s">
        <v>125</v>
      </c>
      <c r="E156" s="61" t="s">
        <v>2150</v>
      </c>
      <c r="F156" s="70">
        <v>100227.78</v>
      </c>
      <c r="G156" s="61">
        <v>0.97838400000000003</v>
      </c>
      <c r="H156" s="85">
        <v>374.98635999999999</v>
      </c>
      <c r="I156" s="25">
        <v>-0.13029343730240545</v>
      </c>
      <c r="J156" s="25">
        <v>6.9968181520357236E-4</v>
      </c>
      <c r="K156" s="19"/>
      <c r="L156" s="19"/>
    </row>
    <row r="157" spans="1:12" x14ac:dyDescent="0.25">
      <c r="A157" s="17" t="s">
        <v>2200</v>
      </c>
      <c r="B157" s="25" t="s">
        <v>2209</v>
      </c>
      <c r="C157" s="25" t="s">
        <v>200</v>
      </c>
      <c r="D157" s="61" t="s">
        <v>2</v>
      </c>
      <c r="E157" s="61" t="s">
        <v>2150</v>
      </c>
      <c r="F157" s="70">
        <v>-81000</v>
      </c>
      <c r="G157" s="61">
        <v>0.97932300000000005</v>
      </c>
      <c r="H157" s="85">
        <v>-371.07527000000005</v>
      </c>
      <c r="I157" s="25">
        <v>0.12893448291350698</v>
      </c>
      <c r="J157" s="25">
        <v>-6.9238416696211502E-4</v>
      </c>
      <c r="K157" s="19"/>
      <c r="L157" s="19"/>
    </row>
    <row r="158" spans="1:12" x14ac:dyDescent="0.25">
      <c r="A158" s="17" t="s">
        <v>2032</v>
      </c>
      <c r="B158" s="25" t="s">
        <v>2210</v>
      </c>
      <c r="C158" s="25" t="s">
        <v>200</v>
      </c>
      <c r="D158" s="61" t="s">
        <v>126</v>
      </c>
      <c r="E158" s="61" t="s">
        <v>455</v>
      </c>
      <c r="F158" s="70">
        <v>843618.94854140934</v>
      </c>
      <c r="G158" s="61">
        <v>0.99839999999999995</v>
      </c>
      <c r="H158" s="85">
        <v>3413.8039800000001</v>
      </c>
      <c r="I158" s="25">
        <v>-1.1861664910447201</v>
      </c>
      <c r="J158" s="25">
        <v>6.3697691976731634E-3</v>
      </c>
      <c r="K158" s="19"/>
      <c r="L158" s="19"/>
    </row>
    <row r="159" spans="1:12" x14ac:dyDescent="0.25">
      <c r="A159" s="17" t="s">
        <v>2029</v>
      </c>
      <c r="B159" s="25" t="s">
        <v>2211</v>
      </c>
      <c r="C159" s="25" t="s">
        <v>200</v>
      </c>
      <c r="D159" s="61" t="s">
        <v>125</v>
      </c>
      <c r="E159" s="61" t="s">
        <v>455</v>
      </c>
      <c r="F159" s="70">
        <v>-899458.08674536529</v>
      </c>
      <c r="G159" s="61">
        <v>0.99779300000000004</v>
      </c>
      <c r="H159" s="85">
        <v>-3431.9391600000004</v>
      </c>
      <c r="I159" s="25">
        <v>1.1924677734121583</v>
      </c>
      <c r="J159" s="25">
        <v>-6.4036073769110531E-3</v>
      </c>
      <c r="K159" s="19"/>
      <c r="L159" s="19"/>
    </row>
    <row r="160" spans="1:12" x14ac:dyDescent="0.25">
      <c r="A160" s="17" t="s">
        <v>2038</v>
      </c>
      <c r="B160" s="25" t="s">
        <v>2212</v>
      </c>
      <c r="C160" s="25" t="s">
        <v>200</v>
      </c>
      <c r="D160" s="61" t="s">
        <v>125</v>
      </c>
      <c r="E160" s="61" t="s">
        <v>455</v>
      </c>
      <c r="F160" s="70">
        <v>906046.75073347369</v>
      </c>
      <c r="G160" s="61">
        <v>0.97537499999999999</v>
      </c>
      <c r="H160" s="85">
        <v>3379.4056800000003</v>
      </c>
      <c r="I160" s="25">
        <v>-1.1742143956555455</v>
      </c>
      <c r="J160" s="25">
        <v>6.3055858898218679E-3</v>
      </c>
      <c r="K160" s="19"/>
      <c r="L160" s="19"/>
    </row>
    <row r="161" spans="1:14" x14ac:dyDescent="0.25">
      <c r="A161" s="17" t="s">
        <v>2040</v>
      </c>
      <c r="B161" s="25" t="s">
        <v>2213</v>
      </c>
      <c r="C161" s="25" t="s">
        <v>200</v>
      </c>
      <c r="D161" s="61" t="s">
        <v>126</v>
      </c>
      <c r="E161" s="61" t="s">
        <v>455</v>
      </c>
      <c r="F161" s="70">
        <v>-843618.94854140934</v>
      </c>
      <c r="G161" s="61">
        <v>0.98312600000000006</v>
      </c>
      <c r="H161" s="85">
        <v>-3361.5778399999999</v>
      </c>
      <c r="I161" s="25">
        <v>1.1680199021990973</v>
      </c>
      <c r="J161" s="25">
        <v>-6.2723211720002404E-3</v>
      </c>
      <c r="K161" s="19"/>
      <c r="L161" s="19"/>
    </row>
    <row r="162" spans="1:14" x14ac:dyDescent="0.25">
      <c r="A162" s="17" t="s">
        <v>2032</v>
      </c>
      <c r="B162" s="25" t="s">
        <v>2214</v>
      </c>
      <c r="C162" s="25" t="s">
        <v>200</v>
      </c>
      <c r="D162" s="61" t="s">
        <v>126</v>
      </c>
      <c r="E162" s="61" t="s">
        <v>455</v>
      </c>
      <c r="F162" s="70">
        <v>96000</v>
      </c>
      <c r="G162" s="61">
        <v>0.99839999999999995</v>
      </c>
      <c r="H162" s="85">
        <v>388.47535999999997</v>
      </c>
      <c r="I162" s="25">
        <v>-0.13498034958308719</v>
      </c>
      <c r="J162" s="25">
        <v>7.2485075202911712E-4</v>
      </c>
      <c r="K162" s="19"/>
      <c r="L162" s="19"/>
    </row>
    <row r="163" spans="1:14" x14ac:dyDescent="0.25">
      <c r="A163" s="17" t="s">
        <v>2029</v>
      </c>
      <c r="B163" s="25" t="s">
        <v>2215</v>
      </c>
      <c r="C163" s="25" t="s">
        <v>200</v>
      </c>
      <c r="D163" s="61" t="s">
        <v>125</v>
      </c>
      <c r="E163" s="61" t="s">
        <v>455</v>
      </c>
      <c r="F163" s="70">
        <v>-102354.24000000001</v>
      </c>
      <c r="G163" s="61">
        <v>0.99779300000000004</v>
      </c>
      <c r="H163" s="85">
        <v>-390.53906000000001</v>
      </c>
      <c r="I163" s="25">
        <v>0.13569740650900036</v>
      </c>
      <c r="J163" s="25">
        <v>-7.287013810547586E-4</v>
      </c>
      <c r="K163" s="19"/>
      <c r="L163" s="19"/>
    </row>
    <row r="164" spans="1:14" x14ac:dyDescent="0.25">
      <c r="A164" s="17" t="s">
        <v>2038</v>
      </c>
      <c r="B164" s="25" t="s">
        <v>2216</v>
      </c>
      <c r="C164" s="25" t="s">
        <v>200</v>
      </c>
      <c r="D164" s="61" t="s">
        <v>125</v>
      </c>
      <c r="E164" s="61" t="s">
        <v>455</v>
      </c>
      <c r="F164" s="70">
        <v>103104</v>
      </c>
      <c r="G164" s="61">
        <v>0.97537499999999999</v>
      </c>
      <c r="H164" s="85">
        <v>384.56099</v>
      </c>
      <c r="I164" s="25">
        <v>-0.13362025551946999</v>
      </c>
      <c r="J164" s="25">
        <v>7.1754698368144078E-4</v>
      </c>
      <c r="K164" s="19"/>
      <c r="L164" s="19"/>
    </row>
    <row r="165" spans="1:14" x14ac:dyDescent="0.25">
      <c r="A165" s="17" t="s">
        <v>2040</v>
      </c>
      <c r="B165" s="25" t="s">
        <v>2217</v>
      </c>
      <c r="C165" s="25" t="s">
        <v>200</v>
      </c>
      <c r="D165" s="61" t="s">
        <v>126</v>
      </c>
      <c r="E165" s="61" t="s">
        <v>455</v>
      </c>
      <c r="F165" s="70">
        <v>-96000</v>
      </c>
      <c r="G165" s="61">
        <v>0.98312600000000006</v>
      </c>
      <c r="H165" s="85">
        <v>-382.53234999999995</v>
      </c>
      <c r="I165" s="25">
        <v>0.13291538060442201</v>
      </c>
      <c r="J165" s="25">
        <v>-7.1376177262044477E-4</v>
      </c>
      <c r="K165" s="19"/>
      <c r="L165" s="19"/>
    </row>
    <row r="166" spans="1:14" x14ac:dyDescent="0.25">
      <c r="A166" s="17" t="s">
        <v>2200</v>
      </c>
      <c r="B166" s="25" t="s">
        <v>2218</v>
      </c>
      <c r="C166" s="25" t="s">
        <v>200</v>
      </c>
      <c r="D166" s="61" t="s">
        <v>2</v>
      </c>
      <c r="E166" s="61" t="s">
        <v>1077</v>
      </c>
      <c r="F166" s="70">
        <v>60944.96432919323</v>
      </c>
      <c r="G166" s="61">
        <v>0.979321</v>
      </c>
      <c r="H166" s="85">
        <v>279.19918999999999</v>
      </c>
      <c r="I166" s="25">
        <v>-9.7011054367810559E-2</v>
      </c>
      <c r="J166" s="25">
        <v>5.2095387166233758E-4</v>
      </c>
      <c r="K166" s="19"/>
      <c r="L166" s="19"/>
    </row>
    <row r="167" spans="1:14" x14ac:dyDescent="0.25">
      <c r="A167" s="17" t="s">
        <v>2198</v>
      </c>
      <c r="B167" s="25" t="s">
        <v>2219</v>
      </c>
      <c r="C167" s="25" t="s">
        <v>200</v>
      </c>
      <c r="D167" s="61" t="s">
        <v>125</v>
      </c>
      <c r="E167" s="61" t="s">
        <v>1077</v>
      </c>
      <c r="F167" s="70">
        <v>-74102.37267822276</v>
      </c>
      <c r="G167" s="61">
        <v>0.97838199999999997</v>
      </c>
      <c r="H167" s="85">
        <v>-277.24178000000001</v>
      </c>
      <c r="I167" s="25">
        <v>9.6330929157095971E-2</v>
      </c>
      <c r="J167" s="25">
        <v>-5.1730156766413983E-4</v>
      </c>
      <c r="K167" s="19"/>
      <c r="L167" s="19"/>
    </row>
    <row r="168" spans="1:14" x14ac:dyDescent="0.25">
      <c r="A168" s="17" t="s">
        <v>2046</v>
      </c>
      <c r="B168" s="25" t="s">
        <v>2166</v>
      </c>
      <c r="C168" s="25" t="s">
        <v>200</v>
      </c>
      <c r="D168" s="61" t="s">
        <v>257</v>
      </c>
      <c r="E168" s="61" t="s">
        <v>2167</v>
      </c>
      <c r="F168" s="70">
        <v>5029500</v>
      </c>
      <c r="G168" s="61">
        <v>0.99354699999999996</v>
      </c>
      <c r="H168" s="85">
        <v>4997.0492300000005</v>
      </c>
      <c r="I168" s="25">
        <v>-1.7362837425500983</v>
      </c>
      <c r="J168" s="25">
        <v>9.3239244112986244E-3</v>
      </c>
      <c r="K168" s="19"/>
      <c r="L168" s="19"/>
    </row>
    <row r="169" spans="1:14" x14ac:dyDescent="0.25">
      <c r="A169" s="17" t="s">
        <v>2048</v>
      </c>
      <c r="B169" s="25" t="s">
        <v>2168</v>
      </c>
      <c r="C169" s="25" t="s">
        <v>200</v>
      </c>
      <c r="D169" s="61" t="s">
        <v>125</v>
      </c>
      <c r="E169" s="61" t="s">
        <v>2167</v>
      </c>
      <c r="F169" s="70">
        <v>-1500000</v>
      </c>
      <c r="G169" s="61">
        <v>0.99060899999999996</v>
      </c>
      <c r="H169" s="85">
        <v>-5682.1350700000003</v>
      </c>
      <c r="I169" s="25">
        <v>1.9743249047427864</v>
      </c>
      <c r="J169" s="25">
        <v>-1.0602216517980757E-2</v>
      </c>
      <c r="K169" s="19"/>
      <c r="L169" s="19"/>
    </row>
    <row r="170" spans="1:14" x14ac:dyDescent="0.25">
      <c r="A170" s="17" t="s">
        <v>2169</v>
      </c>
      <c r="B170" s="25" t="s">
        <v>2170</v>
      </c>
      <c r="C170" s="25" t="s">
        <v>200</v>
      </c>
      <c r="D170" s="61" t="s">
        <v>257</v>
      </c>
      <c r="E170" s="61" t="s">
        <v>2074</v>
      </c>
      <c r="F170" s="70">
        <v>45276300</v>
      </c>
      <c r="G170" s="61">
        <v>0.98297400000000001</v>
      </c>
      <c r="H170" s="85">
        <v>44505.437890000001</v>
      </c>
      <c r="I170" s="25">
        <v>-15.463939758600326</v>
      </c>
      <c r="J170" s="25">
        <v>8.3042075368568211E-2</v>
      </c>
      <c r="K170" s="19"/>
      <c r="L170" s="19"/>
    </row>
    <row r="171" spans="1:14" x14ac:dyDescent="0.25">
      <c r="A171" s="17" t="s">
        <v>2171</v>
      </c>
      <c r="B171" s="25" t="s">
        <v>2172</v>
      </c>
      <c r="C171" s="25" t="s">
        <v>200</v>
      </c>
      <c r="D171" s="61" t="s">
        <v>125</v>
      </c>
      <c r="E171" s="61" t="s">
        <v>2074</v>
      </c>
      <c r="F171" s="70">
        <v>-12270000</v>
      </c>
      <c r="G171" s="61">
        <v>0.97437499999999999</v>
      </c>
      <c r="H171" s="85">
        <v>-45718.150390000003</v>
      </c>
      <c r="I171" s="25">
        <v>15.885311032170366</v>
      </c>
      <c r="J171" s="25">
        <v>-8.5304858695727265E-2</v>
      </c>
      <c r="K171" s="19"/>
      <c r="L171" s="19"/>
    </row>
    <row r="172" spans="1:14" s="119" customFormat="1" x14ac:dyDescent="0.25">
      <c r="A172" s="93" t="s">
        <v>1841</v>
      </c>
      <c r="B172" s="137" t="s">
        <v>251</v>
      </c>
      <c r="C172" s="137" t="s">
        <v>251</v>
      </c>
      <c r="D172" s="136" t="s">
        <v>251</v>
      </c>
      <c r="E172" s="136" t="s">
        <v>251</v>
      </c>
      <c r="F172" s="135" t="s">
        <v>251</v>
      </c>
      <c r="G172" s="136" t="s">
        <v>251</v>
      </c>
      <c r="H172" s="124">
        <v>-212.32957990000025</v>
      </c>
      <c r="I172" s="137">
        <v>7.3776418977337652E-2</v>
      </c>
      <c r="J172" s="137">
        <v>-3.9618279951794552E-4</v>
      </c>
      <c r="K172" s="159"/>
      <c r="L172" s="159"/>
      <c r="M172" s="130"/>
      <c r="N172" s="130"/>
    </row>
    <row r="173" spans="1:14" x14ac:dyDescent="0.25">
      <c r="A173" s="17" t="s">
        <v>2220</v>
      </c>
      <c r="B173" s="25" t="s">
        <v>2221</v>
      </c>
      <c r="C173" s="25" t="s">
        <v>200</v>
      </c>
      <c r="D173" s="61" t="s">
        <v>125</v>
      </c>
      <c r="E173" s="61" t="s">
        <v>2222</v>
      </c>
      <c r="F173" s="70">
        <v>1012.6240227004414</v>
      </c>
      <c r="G173" s="61">
        <v>285.87189999999998</v>
      </c>
      <c r="H173" s="85">
        <v>1106.9743999999998</v>
      </c>
      <c r="I173" s="25">
        <v>-0.3846313225413529</v>
      </c>
      <c r="J173" s="25">
        <v>2.065488082222205E-3</v>
      </c>
      <c r="K173" s="19"/>
      <c r="L173" s="19"/>
    </row>
    <row r="174" spans="1:14" x14ac:dyDescent="0.25">
      <c r="A174" s="17" t="s">
        <v>2223</v>
      </c>
      <c r="B174" s="25" t="s">
        <v>2224</v>
      </c>
      <c r="C174" s="25" t="s">
        <v>200</v>
      </c>
      <c r="D174" s="61" t="s">
        <v>125</v>
      </c>
      <c r="E174" s="61" t="s">
        <v>2222</v>
      </c>
      <c r="F174" s="70">
        <v>-1012.6240227004414</v>
      </c>
      <c r="G174" s="61">
        <v>294.93432899999999</v>
      </c>
      <c r="H174" s="85">
        <v>-1142.0666100000001</v>
      </c>
      <c r="I174" s="25">
        <v>0.39682452515127681</v>
      </c>
      <c r="J174" s="25">
        <v>-2.1309661470571635E-3</v>
      </c>
      <c r="K174" s="19"/>
      <c r="L174" s="19"/>
    </row>
    <row r="175" spans="1:14" x14ac:dyDescent="0.25">
      <c r="A175" s="17" t="s">
        <v>2225</v>
      </c>
      <c r="B175" s="25" t="s">
        <v>2226</v>
      </c>
      <c r="C175" s="25" t="s">
        <v>200</v>
      </c>
      <c r="D175" s="61" t="s">
        <v>125</v>
      </c>
      <c r="E175" s="61" t="s">
        <v>1656</v>
      </c>
      <c r="F175" s="70">
        <v>3562.9363761682198</v>
      </c>
      <c r="G175" s="61">
        <v>84.980999999999995</v>
      </c>
      <c r="H175" s="85">
        <v>1157.83797</v>
      </c>
      <c r="I175" s="25">
        <v>-0.40230447035604011</v>
      </c>
      <c r="J175" s="25">
        <v>2.1603937075503747E-3</v>
      </c>
      <c r="K175" s="19"/>
      <c r="L175" s="19"/>
    </row>
    <row r="176" spans="1:14" x14ac:dyDescent="0.25">
      <c r="A176" s="17" t="s">
        <v>2227</v>
      </c>
      <c r="B176" s="25" t="s">
        <v>2228</v>
      </c>
      <c r="C176" s="25" t="s">
        <v>200</v>
      </c>
      <c r="D176" s="61" t="s">
        <v>125</v>
      </c>
      <c r="E176" s="61" t="s">
        <v>1656</v>
      </c>
      <c r="F176" s="70">
        <v>-3562.9363761682198</v>
      </c>
      <c r="G176" s="61">
        <v>87.227005000000005</v>
      </c>
      <c r="H176" s="85">
        <v>-1188.4390600000002</v>
      </c>
      <c r="I176" s="25">
        <v>0.41293718030661081</v>
      </c>
      <c r="J176" s="25">
        <v>-2.217491854262719E-3</v>
      </c>
      <c r="K176" s="19"/>
      <c r="L176" s="19"/>
    </row>
    <row r="177" spans="1:14" x14ac:dyDescent="0.25">
      <c r="A177" s="17" t="s">
        <v>2225</v>
      </c>
      <c r="B177" s="25" t="s">
        <v>2229</v>
      </c>
      <c r="C177" s="25" t="s">
        <v>200</v>
      </c>
      <c r="D177" s="61" t="s">
        <v>125</v>
      </c>
      <c r="E177" s="61" t="s">
        <v>2063</v>
      </c>
      <c r="F177" s="70">
        <v>3281.6519254180971</v>
      </c>
      <c r="G177" s="61">
        <v>84.980999999999995</v>
      </c>
      <c r="H177" s="85">
        <v>1066.4297099999999</v>
      </c>
      <c r="I177" s="25">
        <v>-0.37054359139171733</v>
      </c>
      <c r="J177" s="25">
        <v>1.9898363110589391E-3</v>
      </c>
      <c r="K177" s="19"/>
      <c r="L177" s="19"/>
    </row>
    <row r="178" spans="1:14" x14ac:dyDescent="0.25">
      <c r="A178" s="17" t="s">
        <v>2227</v>
      </c>
      <c r="B178" s="25" t="s">
        <v>2230</v>
      </c>
      <c r="C178" s="25" t="s">
        <v>200</v>
      </c>
      <c r="D178" s="61" t="s">
        <v>125</v>
      </c>
      <c r="E178" s="61" t="s">
        <v>2063</v>
      </c>
      <c r="F178" s="70">
        <v>-3281.6519254180971</v>
      </c>
      <c r="G178" s="61">
        <v>86.731295000000003</v>
      </c>
      <c r="H178" s="85">
        <v>-1088.3942299999999</v>
      </c>
      <c r="I178" s="25">
        <v>0.37817542314553748</v>
      </c>
      <c r="J178" s="25">
        <v>-2.0308196023543215E-3</v>
      </c>
      <c r="K178" s="19"/>
      <c r="L178" s="19"/>
    </row>
    <row r="179" spans="1:14" x14ac:dyDescent="0.25">
      <c r="A179" s="17" t="s">
        <v>2231</v>
      </c>
      <c r="B179" s="25" t="s">
        <v>2232</v>
      </c>
      <c r="C179" s="25" t="s">
        <v>200</v>
      </c>
      <c r="D179" s="61" t="s">
        <v>125</v>
      </c>
      <c r="E179" s="61" t="s">
        <v>2063</v>
      </c>
      <c r="F179" s="70">
        <v>918.86253911706717</v>
      </c>
      <c r="G179" s="61">
        <v>285.87189999999998</v>
      </c>
      <c r="H179" s="85">
        <v>1004.47677</v>
      </c>
      <c r="I179" s="25">
        <v>-0.34901731106624179</v>
      </c>
      <c r="J179" s="25">
        <v>1.8742391850290804E-3</v>
      </c>
      <c r="K179" s="19"/>
      <c r="L179" s="19"/>
    </row>
    <row r="180" spans="1:14" x14ac:dyDescent="0.25">
      <c r="A180" s="17" t="s">
        <v>2233</v>
      </c>
      <c r="B180" s="25" t="s">
        <v>2234</v>
      </c>
      <c r="C180" s="25" t="s">
        <v>200</v>
      </c>
      <c r="D180" s="61" t="s">
        <v>125</v>
      </c>
      <c r="E180" s="61" t="s">
        <v>2063</v>
      </c>
      <c r="F180" s="70">
        <v>-918.86253911706717</v>
      </c>
      <c r="G180" s="61">
        <v>295.535214</v>
      </c>
      <c r="H180" s="85">
        <v>-1038.4310500000001</v>
      </c>
      <c r="I180" s="25">
        <v>0.36081512646498948</v>
      </c>
      <c r="J180" s="25">
        <v>-1.9375940021598432E-3</v>
      </c>
      <c r="K180" s="19"/>
      <c r="L180" s="19"/>
    </row>
    <row r="181" spans="1:14" x14ac:dyDescent="0.25">
      <c r="A181" s="17" t="s">
        <v>2235</v>
      </c>
      <c r="B181" s="25" t="s">
        <v>2236</v>
      </c>
      <c r="C181" s="25" t="s">
        <v>200</v>
      </c>
      <c r="D181" s="61" t="s">
        <v>125</v>
      </c>
      <c r="E181" s="61" t="s">
        <v>2113</v>
      </c>
      <c r="F181" s="70">
        <v>4781.8356627520843</v>
      </c>
      <c r="G181" s="61">
        <v>88.0886</v>
      </c>
      <c r="H181" s="85">
        <v>1610.7652</v>
      </c>
      <c r="I181" s="25">
        <v>-0.55967938299168152</v>
      </c>
      <c r="J181" s="25">
        <v>3.005504304217213E-3</v>
      </c>
      <c r="K181" s="19"/>
      <c r="L181" s="19"/>
    </row>
    <row r="182" spans="1:14" x14ac:dyDescent="0.25">
      <c r="A182" s="17" t="s">
        <v>2237</v>
      </c>
      <c r="B182" s="25" t="s">
        <v>2238</v>
      </c>
      <c r="C182" s="25" t="s">
        <v>200</v>
      </c>
      <c r="D182" s="61" t="s">
        <v>125</v>
      </c>
      <c r="E182" s="61" t="s">
        <v>2113</v>
      </c>
      <c r="F182" s="70">
        <v>-4781.8356627520843</v>
      </c>
      <c r="G182" s="61">
        <v>93.049705000000003</v>
      </c>
      <c r="H182" s="85">
        <v>-1701.4826799999998</v>
      </c>
      <c r="I182" s="25">
        <v>0.591200242290703</v>
      </c>
      <c r="J182" s="25">
        <v>-3.1747727839482988E-3</v>
      </c>
      <c r="K182" s="19"/>
      <c r="L182" s="19"/>
    </row>
    <row r="183" spans="1:14" s="119" customFormat="1" x14ac:dyDescent="0.25">
      <c r="A183" s="93" t="s">
        <v>141</v>
      </c>
      <c r="B183" s="137" t="s">
        <v>251</v>
      </c>
      <c r="C183" s="137" t="s">
        <v>251</v>
      </c>
      <c r="D183" s="136" t="s">
        <v>251</v>
      </c>
      <c r="E183" s="136" t="s">
        <v>251</v>
      </c>
      <c r="F183" s="135" t="s">
        <v>251</v>
      </c>
      <c r="G183" s="136" t="s">
        <v>251</v>
      </c>
      <c r="H183" s="124">
        <v>0</v>
      </c>
      <c r="I183" s="137">
        <v>0</v>
      </c>
      <c r="J183" s="137">
        <v>0</v>
      </c>
      <c r="K183" s="159"/>
      <c r="L183" s="159"/>
      <c r="M183" s="130"/>
      <c r="N183" s="130"/>
    </row>
    <row r="184" spans="1:14" s="119" customFormat="1" x14ac:dyDescent="0.25">
      <c r="A184" s="79" t="s">
        <v>242</v>
      </c>
      <c r="B184" s="125"/>
      <c r="C184" s="79"/>
      <c r="D184" s="126"/>
      <c r="E184" s="126"/>
      <c r="F184" s="126"/>
      <c r="G184" s="127"/>
      <c r="H184" s="128"/>
      <c r="I184" s="128"/>
      <c r="J184" s="129"/>
      <c r="K184" s="148"/>
      <c r="L184" s="148"/>
      <c r="M184" s="130"/>
      <c r="N184" s="130"/>
    </row>
    <row r="185" spans="1:14" s="119" customFormat="1" x14ac:dyDescent="0.25">
      <c r="A185" s="79" t="s">
        <v>243</v>
      </c>
      <c r="B185" s="125"/>
      <c r="C185" s="79"/>
      <c r="D185" s="126"/>
      <c r="E185" s="126"/>
      <c r="F185" s="126"/>
      <c r="G185" s="127"/>
      <c r="H185" s="128"/>
      <c r="I185" s="128"/>
      <c r="J185" s="129"/>
      <c r="K185" s="148"/>
      <c r="L185" s="148"/>
      <c r="M185" s="130"/>
      <c r="N185" s="130"/>
    </row>
    <row r="186" spans="1:14" s="119" customFormat="1" x14ac:dyDescent="0.25">
      <c r="A186" s="79" t="s">
        <v>244</v>
      </c>
      <c r="B186" s="125"/>
      <c r="C186" s="79"/>
      <c r="D186" s="126"/>
      <c r="E186" s="126"/>
      <c r="F186" s="126"/>
      <c r="G186" s="127"/>
      <c r="H186" s="128"/>
      <c r="I186" s="128"/>
      <c r="J186" s="129"/>
      <c r="K186" s="148"/>
      <c r="L186" s="148"/>
      <c r="M186" s="130"/>
      <c r="N186" s="130"/>
    </row>
    <row r="187" spans="1:14" s="119" customFormat="1" x14ac:dyDescent="0.25">
      <c r="A187" s="79" t="s">
        <v>245</v>
      </c>
      <c r="B187" s="125"/>
      <c r="C187" s="79"/>
      <c r="D187" s="126"/>
      <c r="E187" s="126"/>
      <c r="F187" s="126"/>
      <c r="G187" s="127"/>
      <c r="H187" s="128"/>
      <c r="I187" s="128"/>
      <c r="J187" s="129"/>
      <c r="K187" s="148"/>
      <c r="L187" s="148"/>
      <c r="M187" s="130"/>
      <c r="N187" s="130"/>
    </row>
    <row r="188" spans="1:14" s="119" customFormat="1" x14ac:dyDescent="0.25">
      <c r="A188" s="79" t="s">
        <v>246</v>
      </c>
      <c r="B188" s="125"/>
      <c r="C188" s="79"/>
      <c r="D188" s="126"/>
      <c r="E188" s="126"/>
      <c r="F188" s="126"/>
      <c r="G188" s="127"/>
      <c r="H188" s="128"/>
      <c r="I188" s="128"/>
      <c r="J188" s="129"/>
      <c r="K188" s="148"/>
      <c r="L188" s="148"/>
      <c r="M188" s="130"/>
      <c r="N188" s="130"/>
    </row>
  </sheetData>
  <mergeCells count="2">
    <mergeCell ref="A6:J6"/>
    <mergeCell ref="A5:J5"/>
  </mergeCells>
  <phoneticPr fontId="3" type="noConversion"/>
  <conditionalFormatting sqref="B11:E183 I11:J183">
    <cfRule type="expression" dxfId="46" priority="355" stopIfTrue="1">
      <formula>OR(LEFT(#REF!,3)="TIR",LEFT(#REF!,2)="IR")</formula>
    </cfRule>
  </conditionalFormatting>
  <conditionalFormatting sqref="H11:I183 A11:A183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7" width="14.66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x14ac:dyDescent="0.25">
      <c r="A6" s="225" t="s">
        <v>34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7"/>
    </row>
    <row r="7" spans="1:16" s="7" customFormat="1" ht="31.5" customHeight="1" x14ac:dyDescent="0.25">
      <c r="A7" s="87" t="s">
        <v>157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28"/>
      <c r="F8" s="29" t="s">
        <v>15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31" t="s">
        <v>9</v>
      </c>
      <c r="O8" s="56" t="s">
        <v>9</v>
      </c>
      <c r="P8" s="6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57">
        <v>14</v>
      </c>
      <c r="P9" s="23">
        <v>15</v>
      </c>
    </row>
    <row r="10" spans="1:16" s="119" customFormat="1" ht="12.75" customHeight="1" thickBot="1" x14ac:dyDescent="0.3">
      <c r="A10" s="100" t="s">
        <v>57</v>
      </c>
      <c r="B10" s="68" t="s">
        <v>251</v>
      </c>
      <c r="C10" s="68" t="s">
        <v>251</v>
      </c>
      <c r="D10" s="101"/>
      <c r="E10" s="101" t="s">
        <v>251</v>
      </c>
      <c r="F10" s="101" t="s">
        <v>251</v>
      </c>
      <c r="G10" s="101" t="s">
        <v>251</v>
      </c>
      <c r="H10" s="101" t="s">
        <v>251</v>
      </c>
      <c r="I10" s="68" t="s">
        <v>251</v>
      </c>
      <c r="J10" s="68" t="s">
        <v>251</v>
      </c>
      <c r="K10" s="102" t="s">
        <v>251</v>
      </c>
      <c r="L10" s="101" t="s">
        <v>251</v>
      </c>
      <c r="M10" s="103">
        <v>1.2000000000000002E-6</v>
      </c>
      <c r="N10" s="68" t="s">
        <v>251</v>
      </c>
      <c r="O10" s="68">
        <v>0</v>
      </c>
      <c r="P10" s="82">
        <v>0</v>
      </c>
    </row>
    <row r="11" spans="1:16" s="119" customFormat="1" x14ac:dyDescent="0.25">
      <c r="A11" s="92" t="s">
        <v>137</v>
      </c>
      <c r="B11" s="121" t="s">
        <v>251</v>
      </c>
      <c r="C11" s="121" t="s">
        <v>251</v>
      </c>
      <c r="D11" s="122" t="s">
        <v>251</v>
      </c>
      <c r="E11" s="122" t="s">
        <v>251</v>
      </c>
      <c r="F11" s="122" t="s">
        <v>251</v>
      </c>
      <c r="G11" s="122" t="s">
        <v>251</v>
      </c>
      <c r="H11" s="122" t="s">
        <v>251</v>
      </c>
      <c r="I11" s="121" t="s">
        <v>251</v>
      </c>
      <c r="J11" s="121" t="s">
        <v>251</v>
      </c>
      <c r="K11" s="133" t="s">
        <v>251</v>
      </c>
      <c r="L11" s="122" t="s">
        <v>251</v>
      </c>
      <c r="M11" s="123">
        <v>0</v>
      </c>
      <c r="N11" s="121" t="s">
        <v>251</v>
      </c>
      <c r="O11" s="121">
        <v>0</v>
      </c>
      <c r="P11" s="121">
        <v>0</v>
      </c>
    </row>
    <row r="12" spans="1:16" s="119" customFormat="1" x14ac:dyDescent="0.25">
      <c r="A12" s="93" t="s">
        <v>1847</v>
      </c>
      <c r="B12" s="137" t="s">
        <v>251</v>
      </c>
      <c r="C12" s="137" t="s">
        <v>251</v>
      </c>
      <c r="D12" s="136" t="s">
        <v>251</v>
      </c>
      <c r="E12" s="136" t="s">
        <v>251</v>
      </c>
      <c r="F12" s="136" t="s">
        <v>251</v>
      </c>
      <c r="G12" s="136" t="s">
        <v>251</v>
      </c>
      <c r="H12" s="136" t="s">
        <v>251</v>
      </c>
      <c r="I12" s="137" t="s">
        <v>251</v>
      </c>
      <c r="J12" s="137" t="s">
        <v>251</v>
      </c>
      <c r="K12" s="135" t="s">
        <v>251</v>
      </c>
      <c r="L12" s="122" t="s">
        <v>251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3" t="s">
        <v>1848</v>
      </c>
      <c r="B13" s="137" t="s">
        <v>251</v>
      </c>
      <c r="C13" s="137" t="s">
        <v>251</v>
      </c>
      <c r="D13" s="136" t="s">
        <v>251</v>
      </c>
      <c r="E13" s="136" t="s">
        <v>251</v>
      </c>
      <c r="F13" s="136" t="s">
        <v>251</v>
      </c>
      <c r="G13" s="136" t="s">
        <v>251</v>
      </c>
      <c r="H13" s="136" t="s">
        <v>251</v>
      </c>
      <c r="I13" s="137" t="s">
        <v>251</v>
      </c>
      <c r="J13" s="137" t="s">
        <v>251</v>
      </c>
      <c r="K13" s="135" t="s">
        <v>251</v>
      </c>
      <c r="L13" s="122" t="s">
        <v>251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3" t="s">
        <v>1849</v>
      </c>
      <c r="B14" s="137" t="s">
        <v>251</v>
      </c>
      <c r="C14" s="137" t="s">
        <v>251</v>
      </c>
      <c r="D14" s="136" t="s">
        <v>251</v>
      </c>
      <c r="E14" s="136" t="s">
        <v>251</v>
      </c>
      <c r="F14" s="136" t="s">
        <v>251</v>
      </c>
      <c r="G14" s="136" t="s">
        <v>251</v>
      </c>
      <c r="H14" s="136" t="s">
        <v>251</v>
      </c>
      <c r="I14" s="137" t="s">
        <v>251</v>
      </c>
      <c r="J14" s="137" t="s">
        <v>251</v>
      </c>
      <c r="K14" s="135" t="s">
        <v>251</v>
      </c>
      <c r="L14" s="122" t="s">
        <v>251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3" t="s">
        <v>1850</v>
      </c>
      <c r="B15" s="137" t="s">
        <v>251</v>
      </c>
      <c r="C15" s="137" t="s">
        <v>251</v>
      </c>
      <c r="D15" s="136" t="s">
        <v>251</v>
      </c>
      <c r="E15" s="136" t="s">
        <v>251</v>
      </c>
      <c r="F15" s="136" t="s">
        <v>251</v>
      </c>
      <c r="G15" s="136" t="s">
        <v>251</v>
      </c>
      <c r="H15" s="136" t="s">
        <v>251</v>
      </c>
      <c r="I15" s="137" t="s">
        <v>251</v>
      </c>
      <c r="J15" s="137" t="s">
        <v>251</v>
      </c>
      <c r="K15" s="135" t="s">
        <v>251</v>
      </c>
      <c r="L15" s="122" t="s">
        <v>251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3" t="s">
        <v>1851</v>
      </c>
      <c r="B16" s="137" t="s">
        <v>251</v>
      </c>
      <c r="C16" s="137" t="s">
        <v>251</v>
      </c>
      <c r="D16" s="136" t="s">
        <v>251</v>
      </c>
      <c r="E16" s="136" t="s">
        <v>251</v>
      </c>
      <c r="F16" s="136" t="s">
        <v>251</v>
      </c>
      <c r="G16" s="136" t="s">
        <v>251</v>
      </c>
      <c r="H16" s="136" t="s">
        <v>251</v>
      </c>
      <c r="I16" s="137" t="s">
        <v>251</v>
      </c>
      <c r="J16" s="137" t="s">
        <v>251</v>
      </c>
      <c r="K16" s="135" t="s">
        <v>251</v>
      </c>
      <c r="L16" s="122" t="s">
        <v>251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3" t="s">
        <v>1852</v>
      </c>
      <c r="B17" s="137" t="s">
        <v>251</v>
      </c>
      <c r="C17" s="137" t="s">
        <v>251</v>
      </c>
      <c r="D17" s="136" t="s">
        <v>251</v>
      </c>
      <c r="E17" s="136" t="s">
        <v>251</v>
      </c>
      <c r="F17" s="136" t="s">
        <v>251</v>
      </c>
      <c r="G17" s="136" t="s">
        <v>251</v>
      </c>
      <c r="H17" s="136" t="s">
        <v>251</v>
      </c>
      <c r="I17" s="137" t="s">
        <v>251</v>
      </c>
      <c r="J17" s="137" t="s">
        <v>251</v>
      </c>
      <c r="K17" s="135" t="s">
        <v>251</v>
      </c>
      <c r="L17" s="122" t="s">
        <v>251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3" t="s">
        <v>1853</v>
      </c>
      <c r="B18" s="137" t="s">
        <v>251</v>
      </c>
      <c r="C18" s="137" t="s">
        <v>251</v>
      </c>
      <c r="D18" s="136" t="s">
        <v>251</v>
      </c>
      <c r="E18" s="136" t="s">
        <v>251</v>
      </c>
      <c r="F18" s="136" t="s">
        <v>251</v>
      </c>
      <c r="G18" s="136" t="s">
        <v>251</v>
      </c>
      <c r="H18" s="136" t="s">
        <v>251</v>
      </c>
      <c r="I18" s="137" t="s">
        <v>251</v>
      </c>
      <c r="J18" s="137" t="s">
        <v>251</v>
      </c>
      <c r="K18" s="135" t="s">
        <v>251</v>
      </c>
      <c r="L18" s="122" t="s">
        <v>251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3" t="s">
        <v>498</v>
      </c>
      <c r="B19" s="137" t="s">
        <v>251</v>
      </c>
      <c r="C19" s="137" t="s">
        <v>251</v>
      </c>
      <c r="D19" s="136" t="s">
        <v>251</v>
      </c>
      <c r="E19" s="136" t="s">
        <v>251</v>
      </c>
      <c r="F19" s="136" t="s">
        <v>251</v>
      </c>
      <c r="G19" s="136" t="s">
        <v>251</v>
      </c>
      <c r="H19" s="136" t="s">
        <v>251</v>
      </c>
      <c r="I19" s="137" t="s">
        <v>251</v>
      </c>
      <c r="J19" s="137" t="s">
        <v>251</v>
      </c>
      <c r="K19" s="135" t="s">
        <v>251</v>
      </c>
      <c r="L19" s="122" t="s">
        <v>251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3" t="s">
        <v>1847</v>
      </c>
      <c r="B20" s="137" t="s">
        <v>251</v>
      </c>
      <c r="C20" s="137" t="s">
        <v>251</v>
      </c>
      <c r="D20" s="136" t="s">
        <v>251</v>
      </c>
      <c r="E20" s="136" t="s">
        <v>251</v>
      </c>
      <c r="F20" s="136" t="s">
        <v>251</v>
      </c>
      <c r="G20" s="136" t="s">
        <v>251</v>
      </c>
      <c r="H20" s="136" t="s">
        <v>251</v>
      </c>
      <c r="I20" s="137" t="s">
        <v>251</v>
      </c>
      <c r="J20" s="137" t="s">
        <v>251</v>
      </c>
      <c r="K20" s="135" t="s">
        <v>251</v>
      </c>
      <c r="L20" s="122" t="s">
        <v>251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3" t="s">
        <v>1848</v>
      </c>
      <c r="B21" s="137" t="s">
        <v>251</v>
      </c>
      <c r="C21" s="137" t="s">
        <v>251</v>
      </c>
      <c r="D21" s="136" t="s">
        <v>251</v>
      </c>
      <c r="E21" s="136" t="s">
        <v>251</v>
      </c>
      <c r="F21" s="136" t="s">
        <v>251</v>
      </c>
      <c r="G21" s="136" t="s">
        <v>251</v>
      </c>
      <c r="H21" s="136" t="s">
        <v>251</v>
      </c>
      <c r="I21" s="137" t="s">
        <v>251</v>
      </c>
      <c r="J21" s="137" t="s">
        <v>251</v>
      </c>
      <c r="K21" s="135" t="s">
        <v>251</v>
      </c>
      <c r="L21" s="122" t="s">
        <v>251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3" t="s">
        <v>1849</v>
      </c>
      <c r="B22" s="137" t="s">
        <v>251</v>
      </c>
      <c r="C22" s="137" t="s">
        <v>251</v>
      </c>
      <c r="D22" s="136" t="s">
        <v>251</v>
      </c>
      <c r="E22" s="136" t="s">
        <v>251</v>
      </c>
      <c r="F22" s="136" t="s">
        <v>251</v>
      </c>
      <c r="G22" s="136" t="s">
        <v>251</v>
      </c>
      <c r="H22" s="136" t="s">
        <v>251</v>
      </c>
      <c r="I22" s="137" t="s">
        <v>251</v>
      </c>
      <c r="J22" s="137" t="s">
        <v>251</v>
      </c>
      <c r="K22" s="135" t="s">
        <v>251</v>
      </c>
      <c r="L22" s="122" t="s">
        <v>251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3" t="s">
        <v>1850</v>
      </c>
      <c r="B23" s="137" t="s">
        <v>251</v>
      </c>
      <c r="C23" s="137" t="s">
        <v>251</v>
      </c>
      <c r="D23" s="136" t="s">
        <v>251</v>
      </c>
      <c r="E23" s="136" t="s">
        <v>251</v>
      </c>
      <c r="F23" s="136" t="s">
        <v>251</v>
      </c>
      <c r="G23" s="136" t="s">
        <v>251</v>
      </c>
      <c r="H23" s="136" t="s">
        <v>251</v>
      </c>
      <c r="I23" s="137" t="s">
        <v>251</v>
      </c>
      <c r="J23" s="137" t="s">
        <v>251</v>
      </c>
      <c r="K23" s="135" t="s">
        <v>251</v>
      </c>
      <c r="L23" s="122" t="s">
        <v>251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3" t="s">
        <v>1851</v>
      </c>
      <c r="B24" s="137" t="s">
        <v>251</v>
      </c>
      <c r="C24" s="137" t="s">
        <v>251</v>
      </c>
      <c r="D24" s="136" t="s">
        <v>251</v>
      </c>
      <c r="E24" s="136" t="s">
        <v>251</v>
      </c>
      <c r="F24" s="136" t="s">
        <v>251</v>
      </c>
      <c r="G24" s="136" t="s">
        <v>251</v>
      </c>
      <c r="H24" s="136" t="s">
        <v>251</v>
      </c>
      <c r="I24" s="137" t="s">
        <v>251</v>
      </c>
      <c r="J24" s="137" t="s">
        <v>251</v>
      </c>
      <c r="K24" s="135" t="s">
        <v>251</v>
      </c>
      <c r="L24" s="122" t="s">
        <v>251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3" t="s">
        <v>1852</v>
      </c>
      <c r="B25" s="137" t="s">
        <v>251</v>
      </c>
      <c r="C25" s="137" t="s">
        <v>251</v>
      </c>
      <c r="D25" s="136" t="s">
        <v>251</v>
      </c>
      <c r="E25" s="136" t="s">
        <v>251</v>
      </c>
      <c r="F25" s="136" t="s">
        <v>251</v>
      </c>
      <c r="G25" s="136" t="s">
        <v>251</v>
      </c>
      <c r="H25" s="136" t="s">
        <v>251</v>
      </c>
      <c r="I25" s="137" t="s">
        <v>251</v>
      </c>
      <c r="J25" s="137" t="s">
        <v>251</v>
      </c>
      <c r="K25" s="135" t="s">
        <v>251</v>
      </c>
      <c r="L25" s="122" t="s">
        <v>251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3" t="s">
        <v>1853</v>
      </c>
      <c r="B26" s="137" t="s">
        <v>251</v>
      </c>
      <c r="C26" s="137" t="s">
        <v>251</v>
      </c>
      <c r="D26" s="136" t="s">
        <v>251</v>
      </c>
      <c r="E26" s="136" t="s">
        <v>251</v>
      </c>
      <c r="F26" s="136" t="s">
        <v>251</v>
      </c>
      <c r="G26" s="136" t="s">
        <v>251</v>
      </c>
      <c r="H26" s="136" t="s">
        <v>251</v>
      </c>
      <c r="I26" s="137" t="s">
        <v>251</v>
      </c>
      <c r="J26" s="137" t="s">
        <v>251</v>
      </c>
      <c r="K26" s="135" t="s">
        <v>251</v>
      </c>
      <c r="L26" s="122" t="s">
        <v>251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9" t="s">
        <v>242</v>
      </c>
      <c r="B27" s="125"/>
      <c r="C27" s="79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9" t="s">
        <v>243</v>
      </c>
      <c r="B28" s="125"/>
      <c r="C28" s="79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9" t="s">
        <v>244</v>
      </c>
      <c r="B29" s="125"/>
      <c r="C29" s="79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9" t="s">
        <v>245</v>
      </c>
      <c r="B30" s="125"/>
      <c r="C30" s="79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9" t="s">
        <v>246</v>
      </c>
      <c r="B31" s="125"/>
      <c r="C31" s="79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6:P6"/>
    <mergeCell ref="A5:P5"/>
  </mergeCells>
  <phoneticPr fontId="3" type="noConversion"/>
  <conditionalFormatting sqref="A11:A26 M11:M26">
    <cfRule type="expression" dxfId="44" priority="365" stopIfTrue="1">
      <formula>#REF!&gt;0</formula>
    </cfRule>
  </conditionalFormatting>
  <conditionalFormatting sqref="B11:F26 H11:H26 O11:P26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87"/>
  <sheetViews>
    <sheetView rightToLeft="1" tabSelected="1" topLeftCell="A356" zoomScale="80" zoomScaleNormal="80" workbookViewId="0">
      <selection activeCell="C384" sqref="C384"/>
    </sheetView>
  </sheetViews>
  <sheetFormatPr defaultColWidth="9.109375" defaultRowHeight="13.2" x14ac:dyDescent="0.25"/>
  <cols>
    <col min="1" max="1" width="46.6640625" style="10" bestFit="1" customWidth="1"/>
    <col min="2" max="2" width="13.5546875" style="10" bestFit="1" customWidth="1"/>
    <col min="3" max="3" width="11.109375" style="9" customWidth="1"/>
    <col min="4" max="4" width="13.33203125" style="9" customWidth="1"/>
    <col min="5" max="5" width="7.5546875" style="9" customWidth="1"/>
    <col min="6" max="6" width="14.109375" style="60" customWidth="1"/>
    <col min="7" max="7" width="11.109375" style="60" customWidth="1"/>
    <col min="8" max="8" width="7.88671875" style="60" customWidth="1"/>
    <col min="9" max="9" width="16.5546875" style="60" bestFit="1" customWidth="1"/>
    <col min="10" max="10" width="12" style="60" bestFit="1" customWidth="1"/>
    <col min="11" max="11" width="18.33203125" style="37" customWidth="1"/>
    <col min="12" max="12" width="14.109375" style="62" customWidth="1"/>
    <col min="13" max="13" width="13" style="64" bestFit="1" customWidth="1"/>
    <col min="14" max="14" width="9.33203125" style="64" bestFit="1" customWidth="1"/>
    <col min="15" max="15" width="10.44140625" style="64" customWidth="1"/>
    <col min="16" max="16" width="25.44140625" style="64" customWidth="1"/>
    <col min="17" max="17" width="20.6640625" style="62" customWidth="1"/>
    <col min="18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9"/>
      <c r="E1" s="44"/>
      <c r="F1" s="60"/>
      <c r="G1" s="60"/>
      <c r="H1" s="60"/>
      <c r="I1" s="60"/>
      <c r="J1" s="60"/>
      <c r="K1" s="37"/>
      <c r="L1" s="62"/>
      <c r="M1" s="63"/>
      <c r="N1" s="63"/>
      <c r="O1" s="63"/>
      <c r="P1" s="63"/>
      <c r="Q1" s="62"/>
      <c r="R1" s="13"/>
      <c r="S1" s="15"/>
    </row>
    <row r="2" spans="1:20" s="7" customFormat="1" x14ac:dyDescent="0.25">
      <c r="A2" s="10" t="s">
        <v>238</v>
      </c>
      <c r="B2" s="10" t="s">
        <v>150</v>
      </c>
      <c r="C2" s="9"/>
      <c r="D2" s="9"/>
      <c r="E2" s="44"/>
      <c r="F2" s="60"/>
      <c r="G2" s="60"/>
      <c r="H2" s="60"/>
      <c r="I2" s="60"/>
      <c r="J2" s="60"/>
      <c r="K2" s="37"/>
      <c r="L2" s="62"/>
      <c r="M2" s="63"/>
      <c r="N2" s="63"/>
      <c r="O2" s="63"/>
      <c r="P2" s="63"/>
      <c r="Q2" s="62"/>
      <c r="R2" s="13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44"/>
      <c r="F3" s="60"/>
      <c r="G3" s="60"/>
      <c r="H3" s="60"/>
      <c r="I3" s="60"/>
      <c r="J3" s="60"/>
      <c r="K3" s="37"/>
      <c r="L3" s="62"/>
      <c r="M3" s="63"/>
      <c r="N3" s="63"/>
      <c r="O3" s="63"/>
      <c r="P3" s="63"/>
      <c r="Q3" s="62"/>
      <c r="R3" s="13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44"/>
      <c r="F4" s="60"/>
      <c r="G4" s="60"/>
      <c r="H4" s="60"/>
      <c r="I4" s="60"/>
      <c r="J4" s="60"/>
      <c r="K4" s="37"/>
      <c r="L4" s="62"/>
      <c r="M4" s="63"/>
      <c r="N4" s="63"/>
      <c r="O4" s="63"/>
      <c r="P4" s="63"/>
      <c r="Q4" s="62"/>
      <c r="R4" s="13"/>
      <c r="S4" s="15"/>
    </row>
    <row r="5" spans="1:20" s="7" customFormat="1" x14ac:dyDescent="0.25">
      <c r="A5" s="222" t="s">
        <v>35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  <c r="R5" s="13"/>
      <c r="S5" s="13"/>
      <c r="T5" s="13"/>
    </row>
    <row r="6" spans="1:20" s="7" customFormat="1" ht="33.75" customHeight="1" x14ac:dyDescent="0.25">
      <c r="A6" s="87" t="s">
        <v>157</v>
      </c>
      <c r="B6" s="204" t="s">
        <v>80</v>
      </c>
      <c r="C6" s="204" t="s">
        <v>69</v>
      </c>
      <c r="D6" s="204" t="s">
        <v>74</v>
      </c>
      <c r="E6" s="204" t="s">
        <v>70</v>
      </c>
      <c r="F6" s="204" t="s">
        <v>13</v>
      </c>
      <c r="G6" s="204" t="s">
        <v>5</v>
      </c>
      <c r="H6" s="204" t="s">
        <v>14</v>
      </c>
      <c r="I6" s="204" t="s">
        <v>160</v>
      </c>
      <c r="J6" s="204" t="s">
        <v>6</v>
      </c>
      <c r="K6" s="205" t="s">
        <v>36</v>
      </c>
      <c r="L6" s="205" t="s">
        <v>71</v>
      </c>
      <c r="M6" s="205" t="s">
        <v>67</v>
      </c>
      <c r="N6" s="205" t="s">
        <v>68</v>
      </c>
      <c r="O6" s="205" t="s">
        <v>29</v>
      </c>
      <c r="P6" s="90" t="s">
        <v>75</v>
      </c>
      <c r="Q6" s="91" t="s">
        <v>8</v>
      </c>
    </row>
    <row r="7" spans="1:20" s="7" customFormat="1" x14ac:dyDescent="0.25">
      <c r="A7" s="27"/>
      <c r="B7" s="3"/>
      <c r="C7" s="3"/>
      <c r="D7" s="3"/>
      <c r="E7" s="3"/>
      <c r="F7" s="28" t="s">
        <v>40</v>
      </c>
      <c r="G7" s="28"/>
      <c r="H7" s="29" t="s">
        <v>16</v>
      </c>
      <c r="I7" s="29"/>
      <c r="J7" s="30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1" t="s">
        <v>9</v>
      </c>
      <c r="Q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22">
        <v>12</v>
      </c>
      <c r="N8" s="22">
        <v>13</v>
      </c>
      <c r="O8" s="22">
        <v>14</v>
      </c>
      <c r="P8" s="57">
        <v>15</v>
      </c>
      <c r="Q8" s="36">
        <v>16</v>
      </c>
    </row>
    <row r="9" spans="1:20" s="119" customFormat="1" ht="12.75" customHeight="1" thickBot="1" x14ac:dyDescent="0.3">
      <c r="A9" s="100" t="s">
        <v>121</v>
      </c>
      <c r="B9" s="68" t="s">
        <v>251</v>
      </c>
      <c r="C9" s="68" t="s">
        <v>251</v>
      </c>
      <c r="D9" s="68"/>
      <c r="E9" s="101" t="s">
        <v>251</v>
      </c>
      <c r="F9" s="101"/>
      <c r="G9" s="101" t="s">
        <v>251</v>
      </c>
      <c r="H9" s="102" t="s">
        <v>251</v>
      </c>
      <c r="I9" s="102"/>
      <c r="J9" s="101" t="s">
        <v>251</v>
      </c>
      <c r="K9" s="68" t="s">
        <v>251</v>
      </c>
      <c r="L9" s="68" t="s">
        <v>251</v>
      </c>
      <c r="M9" s="111" t="s">
        <v>251</v>
      </c>
      <c r="N9" s="101" t="s">
        <v>251</v>
      </c>
      <c r="O9" s="103">
        <v>56670.611461299944</v>
      </c>
      <c r="P9" s="68">
        <v>1</v>
      </c>
      <c r="Q9" s="82">
        <v>0.10574090293827947</v>
      </c>
    </row>
    <row r="10" spans="1:20" s="119" customFormat="1" x14ac:dyDescent="0.25">
      <c r="A10" s="92" t="s">
        <v>137</v>
      </c>
      <c r="B10" s="131" t="s">
        <v>251</v>
      </c>
      <c r="C10" s="131" t="s">
        <v>251</v>
      </c>
      <c r="D10" s="131"/>
      <c r="E10" s="131" t="s">
        <v>251</v>
      </c>
      <c r="F10" s="131" t="s">
        <v>251</v>
      </c>
      <c r="G10" s="131" t="s">
        <v>251</v>
      </c>
      <c r="H10" s="132" t="s">
        <v>251</v>
      </c>
      <c r="I10" s="131" t="s">
        <v>251</v>
      </c>
      <c r="J10" s="132" t="s">
        <v>251</v>
      </c>
      <c r="K10" s="131" t="s">
        <v>251</v>
      </c>
      <c r="L10" s="131" t="s">
        <v>251</v>
      </c>
      <c r="M10" s="160" t="s">
        <v>251</v>
      </c>
      <c r="N10" s="122" t="s">
        <v>251</v>
      </c>
      <c r="O10" s="123">
        <v>56523.266610899955</v>
      </c>
      <c r="P10" s="121">
        <v>0.99739997775565548</v>
      </c>
      <c r="Q10" s="121">
        <v>0.10546597423850286</v>
      </c>
    </row>
    <row r="11" spans="1:20" s="119" customFormat="1" x14ac:dyDescent="0.25">
      <c r="A11" s="93" t="s">
        <v>2239</v>
      </c>
      <c r="B11" s="131" t="s">
        <v>251</v>
      </c>
      <c r="C11" s="131" t="s">
        <v>251</v>
      </c>
      <c r="D11" s="131"/>
      <c r="E11" s="131" t="s">
        <v>251</v>
      </c>
      <c r="F11" s="131" t="s">
        <v>251</v>
      </c>
      <c r="G11" s="131" t="s">
        <v>251</v>
      </c>
      <c r="H11" s="132" t="s">
        <v>251</v>
      </c>
      <c r="I11" s="131" t="s">
        <v>251</v>
      </c>
      <c r="J11" s="132" t="s">
        <v>251</v>
      </c>
      <c r="K11" s="131" t="s">
        <v>251</v>
      </c>
      <c r="L11" s="131" t="s">
        <v>251</v>
      </c>
      <c r="M11" s="161" t="s">
        <v>251</v>
      </c>
      <c r="N11" s="136" t="s">
        <v>251</v>
      </c>
      <c r="O11" s="124">
        <v>9649.552050100001</v>
      </c>
      <c r="P11" s="137">
        <v>0.17027435916567846</v>
      </c>
      <c r="Q11" s="137">
        <v>1.8004964485415741E-2</v>
      </c>
    </row>
    <row r="12" spans="1:20" s="119" customFormat="1" x14ac:dyDescent="0.25">
      <c r="A12" s="176" t="s">
        <v>2910</v>
      </c>
      <c r="B12" s="117" t="s">
        <v>2977</v>
      </c>
      <c r="C12" s="175">
        <v>58905</v>
      </c>
      <c r="D12" s="175"/>
      <c r="E12" s="117" t="s">
        <v>533</v>
      </c>
      <c r="F12" s="131"/>
      <c r="G12" s="131" t="s">
        <v>533</v>
      </c>
      <c r="H12" s="118">
        <v>4.8</v>
      </c>
      <c r="I12" s="117" t="s">
        <v>218</v>
      </c>
      <c r="J12" s="118" t="s">
        <v>257</v>
      </c>
      <c r="K12" s="117">
        <v>5.7500000000000002E-2</v>
      </c>
      <c r="L12" s="117">
        <v>5.7500000000000002E-2</v>
      </c>
      <c r="M12" s="112">
        <v>879021.98503447999</v>
      </c>
      <c r="N12" s="61">
        <v>114.893702</v>
      </c>
      <c r="O12" s="112">
        <v>1009.9409000000001</v>
      </c>
      <c r="P12" s="25">
        <v>1.7821245861969977E-2</v>
      </c>
      <c r="Q12" s="25">
        <v>1.8844346289297821E-3</v>
      </c>
    </row>
    <row r="13" spans="1:20" x14ac:dyDescent="0.25">
      <c r="A13" s="17" t="s">
        <v>2911</v>
      </c>
      <c r="B13" s="117" t="s">
        <v>2977</v>
      </c>
      <c r="C13" s="117" t="s">
        <v>2240</v>
      </c>
      <c r="D13" s="117"/>
      <c r="E13" s="117" t="s">
        <v>533</v>
      </c>
      <c r="F13" s="117" t="s">
        <v>251</v>
      </c>
      <c r="G13" s="117" t="s">
        <v>533</v>
      </c>
      <c r="H13" s="118">
        <v>2.48</v>
      </c>
      <c r="I13" s="117" t="s">
        <v>218</v>
      </c>
      <c r="J13" s="118" t="s">
        <v>257</v>
      </c>
      <c r="K13" s="117">
        <v>5.8500000000000003E-2</v>
      </c>
      <c r="L13" s="117">
        <v>5.8500000000000003E-2</v>
      </c>
      <c r="M13" s="112">
        <v>8398677.9100000001</v>
      </c>
      <c r="N13" s="61">
        <v>114.893702</v>
      </c>
      <c r="O13" s="112" t="e">
        <f>#REF!</f>
        <v>#REF!</v>
      </c>
      <c r="P13" s="25">
        <v>0.15245311330370848</v>
      </c>
      <c r="Q13" s="25">
        <v>1.612052985648596E-2</v>
      </c>
      <c r="R13" s="15"/>
    </row>
    <row r="14" spans="1:20" s="119" customFormat="1" x14ac:dyDescent="0.25">
      <c r="A14" s="93" t="s">
        <v>2241</v>
      </c>
      <c r="B14" s="131" t="s">
        <v>251</v>
      </c>
      <c r="C14" s="131" t="s">
        <v>251</v>
      </c>
      <c r="D14" s="131"/>
      <c r="E14" s="131" t="s">
        <v>251</v>
      </c>
      <c r="F14" s="131" t="s">
        <v>251</v>
      </c>
      <c r="G14" s="131" t="s">
        <v>251</v>
      </c>
      <c r="H14" s="132" t="s">
        <v>251</v>
      </c>
      <c r="I14" s="131" t="s">
        <v>251</v>
      </c>
      <c r="J14" s="132" t="s">
        <v>251</v>
      </c>
      <c r="K14" s="131" t="s">
        <v>251</v>
      </c>
      <c r="L14" s="131" t="s">
        <v>251</v>
      </c>
      <c r="M14" s="161" t="s">
        <v>251</v>
      </c>
      <c r="N14" s="136" t="s">
        <v>251</v>
      </c>
      <c r="O14" s="124">
        <v>3944.1446801000002</v>
      </c>
      <c r="P14" s="137">
        <v>6.9597708201779948E-2</v>
      </c>
      <c r="Q14" s="137">
        <v>7.3593245076911109E-3</v>
      </c>
      <c r="R14" s="15"/>
    </row>
    <row r="15" spans="1:20" x14ac:dyDescent="0.25">
      <c r="A15" s="17" t="s">
        <v>2912</v>
      </c>
      <c r="B15" s="216" t="s">
        <v>2977</v>
      </c>
      <c r="C15" s="117" t="s">
        <v>2242</v>
      </c>
      <c r="D15" s="117"/>
      <c r="E15" s="117" t="s">
        <v>533</v>
      </c>
      <c r="F15" s="117" t="s">
        <v>2243</v>
      </c>
      <c r="G15" s="117" t="s">
        <v>533</v>
      </c>
      <c r="H15" s="118">
        <v>5.75</v>
      </c>
      <c r="I15" s="117" t="s">
        <v>218</v>
      </c>
      <c r="J15" s="118" t="s">
        <v>257</v>
      </c>
      <c r="K15" s="117">
        <v>5.2999999999999999E-2</v>
      </c>
      <c r="L15" s="117">
        <v>5.79E-2</v>
      </c>
      <c r="M15" s="112">
        <v>3257.2477239827995</v>
      </c>
      <c r="N15" s="61">
        <v>98.51</v>
      </c>
      <c r="O15" s="85">
        <v>3.20871</v>
      </c>
      <c r="P15" s="25">
        <v>5.6620352547125963E-5</v>
      </c>
      <c r="Q15" s="25">
        <v>5.9870872030168103E-6</v>
      </c>
      <c r="R15" s="15"/>
    </row>
    <row r="16" spans="1:20" x14ac:dyDescent="0.25">
      <c r="A16" s="17" t="s">
        <v>2912</v>
      </c>
      <c r="B16" s="216" t="s">
        <v>2977</v>
      </c>
      <c r="C16" s="117" t="s">
        <v>2244</v>
      </c>
      <c r="D16" s="117"/>
      <c r="E16" s="117" t="s">
        <v>533</v>
      </c>
      <c r="F16" s="117" t="s">
        <v>2243</v>
      </c>
      <c r="G16" s="117" t="s">
        <v>533</v>
      </c>
      <c r="H16" s="118">
        <v>7.02</v>
      </c>
      <c r="I16" s="117" t="s">
        <v>218</v>
      </c>
      <c r="J16" s="118" t="s">
        <v>257</v>
      </c>
      <c r="K16" s="117">
        <v>0.05</v>
      </c>
      <c r="L16" s="117">
        <v>5.8400000000000001E-2</v>
      </c>
      <c r="M16" s="112">
        <v>2515.7037982481434</v>
      </c>
      <c r="N16" s="61">
        <v>112.11</v>
      </c>
      <c r="O16" s="85">
        <v>2.82036</v>
      </c>
      <c r="P16" s="25">
        <v>4.9767594301078062E-5</v>
      </c>
      <c r="Q16" s="25">
        <v>5.2624703584619653E-6</v>
      </c>
      <c r="R16" s="15"/>
    </row>
    <row r="17" spans="1:18" x14ac:dyDescent="0.25">
      <c r="A17" s="17" t="s">
        <v>2912</v>
      </c>
      <c r="B17" s="216" t="s">
        <v>2977</v>
      </c>
      <c r="C17" s="117" t="s">
        <v>2245</v>
      </c>
      <c r="D17" s="117"/>
      <c r="E17" s="117" t="s">
        <v>533</v>
      </c>
      <c r="F17" s="117" t="s">
        <v>2243</v>
      </c>
      <c r="G17" s="117" t="s">
        <v>533</v>
      </c>
      <c r="H17" s="118">
        <v>6.5</v>
      </c>
      <c r="I17" s="117" t="s">
        <v>218</v>
      </c>
      <c r="J17" s="118" t="s">
        <v>257</v>
      </c>
      <c r="K17" s="117">
        <v>3.5000000000000003E-2</v>
      </c>
      <c r="L17" s="117">
        <v>7.6399999999999996E-2</v>
      </c>
      <c r="M17" s="112">
        <v>1179.4549762309182</v>
      </c>
      <c r="N17" s="61">
        <v>98.63</v>
      </c>
      <c r="O17" s="85">
        <v>1.1633</v>
      </c>
      <c r="P17" s="25">
        <v>2.0527394534897711E-5</v>
      </c>
      <c r="Q17" s="25">
        <v>2.170585233090387E-6</v>
      </c>
      <c r="R17" s="15"/>
    </row>
    <row r="18" spans="1:18" x14ac:dyDescent="0.25">
      <c r="A18" s="17" t="s">
        <v>2912</v>
      </c>
      <c r="B18" s="216" t="s">
        <v>2977</v>
      </c>
      <c r="C18" s="117" t="s">
        <v>2246</v>
      </c>
      <c r="D18" s="117"/>
      <c r="E18" s="117" t="s">
        <v>533</v>
      </c>
      <c r="F18" s="117" t="s">
        <v>2243</v>
      </c>
      <c r="G18" s="117" t="s">
        <v>533</v>
      </c>
      <c r="H18" s="118">
        <v>6.85</v>
      </c>
      <c r="I18" s="117" t="s">
        <v>218</v>
      </c>
      <c r="J18" s="118" t="s">
        <v>257</v>
      </c>
      <c r="K18" s="117">
        <v>8.6979999542236328E-2</v>
      </c>
      <c r="L18" s="117">
        <v>7.3800000000000004E-2</v>
      </c>
      <c r="M18" s="112">
        <v>6442.1352237678802</v>
      </c>
      <c r="N18" s="61">
        <v>107.06</v>
      </c>
      <c r="O18" s="85">
        <v>6.8969499999999995</v>
      </c>
      <c r="P18" s="25">
        <v>1.2170241015856852E-4</v>
      </c>
      <c r="Q18" s="25">
        <v>1.286892273993187E-5</v>
      </c>
      <c r="R18" s="15"/>
    </row>
    <row r="19" spans="1:18" x14ac:dyDescent="0.25">
      <c r="A19" s="17" t="s">
        <v>2912</v>
      </c>
      <c r="B19" s="216" t="s">
        <v>2977</v>
      </c>
      <c r="C19" s="117" t="s">
        <v>2247</v>
      </c>
      <c r="D19" s="117"/>
      <c r="E19" s="117" t="s">
        <v>533</v>
      </c>
      <c r="F19" s="117" t="s">
        <v>2248</v>
      </c>
      <c r="G19" s="117" t="s">
        <v>533</v>
      </c>
      <c r="H19" s="118">
        <v>6.82</v>
      </c>
      <c r="I19" s="117" t="s">
        <v>218</v>
      </c>
      <c r="J19" s="118" t="s">
        <v>257</v>
      </c>
      <c r="K19" s="117">
        <v>4.87E-2</v>
      </c>
      <c r="L19" s="117">
        <v>6.0299999999999999E-2</v>
      </c>
      <c r="M19" s="112">
        <v>7401.9938836939236</v>
      </c>
      <c r="N19" s="61">
        <v>93.36</v>
      </c>
      <c r="O19" s="85">
        <v>6.9104999999999999</v>
      </c>
      <c r="P19" s="25">
        <v>1.2194151116084469E-4</v>
      </c>
      <c r="Q19" s="25">
        <v>1.2894205495806E-5</v>
      </c>
      <c r="R19" s="15"/>
    </row>
    <row r="20" spans="1:18" x14ac:dyDescent="0.25">
      <c r="A20" s="17" t="s">
        <v>2912</v>
      </c>
      <c r="B20" s="216" t="s">
        <v>2977</v>
      </c>
      <c r="C20" s="117" t="s">
        <v>2249</v>
      </c>
      <c r="D20" s="117"/>
      <c r="E20" s="117" t="s">
        <v>533</v>
      </c>
      <c r="F20" s="117" t="s">
        <v>2248</v>
      </c>
      <c r="G20" s="117" t="s">
        <v>533</v>
      </c>
      <c r="H20" s="118">
        <v>7.45</v>
      </c>
      <c r="I20" s="117" t="s">
        <v>218</v>
      </c>
      <c r="J20" s="118" t="s">
        <v>257</v>
      </c>
      <c r="K20" s="117">
        <v>4.9299999999999997E-2</v>
      </c>
      <c r="L20" s="117">
        <v>6.2100000000000002E-2</v>
      </c>
      <c r="M20" s="112">
        <v>6009.4992362514367</v>
      </c>
      <c r="N20" s="61">
        <v>112.14</v>
      </c>
      <c r="O20" s="85">
        <v>6.7390499999999998</v>
      </c>
      <c r="P20" s="25">
        <v>1.1891613353425808E-4</v>
      </c>
      <c r="Q20" s="25">
        <v>1.2574299333841461E-5</v>
      </c>
      <c r="R20" s="15"/>
    </row>
    <row r="21" spans="1:18" x14ac:dyDescent="0.25">
      <c r="A21" s="17" t="s">
        <v>2912</v>
      </c>
      <c r="B21" s="216" t="s">
        <v>2977</v>
      </c>
      <c r="C21" s="117" t="s">
        <v>2250</v>
      </c>
      <c r="D21" s="117"/>
      <c r="E21" s="117" t="s">
        <v>533</v>
      </c>
      <c r="F21" s="117" t="s">
        <v>2248</v>
      </c>
      <c r="G21" s="117" t="s">
        <v>533</v>
      </c>
      <c r="H21" s="118">
        <v>6.68</v>
      </c>
      <c r="I21" s="117" t="s">
        <v>218</v>
      </c>
      <c r="J21" s="118" t="s">
        <v>257</v>
      </c>
      <c r="K21" s="117">
        <v>3.7000000000000005E-2</v>
      </c>
      <c r="L21" s="117">
        <v>8.14E-2</v>
      </c>
      <c r="M21" s="112">
        <v>274.42902369920216</v>
      </c>
      <c r="N21" s="61">
        <v>98.53</v>
      </c>
      <c r="O21" s="85">
        <v>0.27038999999999996</v>
      </c>
      <c r="P21" s="25">
        <v>4.7712560889632869E-6</v>
      </c>
      <c r="Q21" s="25">
        <v>5.0451692699674177E-7</v>
      </c>
      <c r="R21" s="15"/>
    </row>
    <row r="22" spans="1:18" x14ac:dyDescent="0.25">
      <c r="A22" s="17" t="s">
        <v>2912</v>
      </c>
      <c r="B22" s="216" t="s">
        <v>2977</v>
      </c>
      <c r="C22" s="117" t="s">
        <v>2251</v>
      </c>
      <c r="D22" s="117"/>
      <c r="E22" s="117" t="s">
        <v>533</v>
      </c>
      <c r="F22" s="117" t="s">
        <v>2248</v>
      </c>
      <c r="G22" s="117" t="s">
        <v>533</v>
      </c>
      <c r="H22" s="118">
        <v>7.24</v>
      </c>
      <c r="I22" s="117" t="s">
        <v>218</v>
      </c>
      <c r="J22" s="118" t="s">
        <v>257</v>
      </c>
      <c r="K22" s="117">
        <v>8.0199999809265135E-2</v>
      </c>
      <c r="L22" s="117">
        <v>7.5800000000000006E-2</v>
      </c>
      <c r="M22" s="112">
        <v>9464.3044229969491</v>
      </c>
      <c r="N22" s="61">
        <v>101.49</v>
      </c>
      <c r="O22" s="85">
        <v>9.605319999999999</v>
      </c>
      <c r="P22" s="25">
        <v>1.6949384791020689E-4</v>
      </c>
      <c r="Q22" s="25">
        <v>1.7922432520508686E-5</v>
      </c>
      <c r="R22" s="15"/>
    </row>
    <row r="23" spans="1:18" x14ac:dyDescent="0.25">
      <c r="A23" s="17" t="s">
        <v>2912</v>
      </c>
      <c r="B23" s="216" t="s">
        <v>2977</v>
      </c>
      <c r="C23" s="117" t="s">
        <v>2252</v>
      </c>
      <c r="D23" s="117"/>
      <c r="E23" s="117" t="s">
        <v>533</v>
      </c>
      <c r="F23" s="117" t="s">
        <v>2253</v>
      </c>
      <c r="G23" s="117" t="s">
        <v>533</v>
      </c>
      <c r="H23" s="118">
        <v>0</v>
      </c>
      <c r="I23" s="117" t="s">
        <v>218</v>
      </c>
      <c r="J23" s="118" t="s">
        <v>257</v>
      </c>
      <c r="K23" s="117">
        <v>9.0768001079559332E-2</v>
      </c>
      <c r="L23" s="117">
        <v>0</v>
      </c>
      <c r="M23" s="112">
        <v>-2.2522803749878001E-2</v>
      </c>
      <c r="N23" s="61">
        <v>8313.0400000000009</v>
      </c>
      <c r="O23" s="85">
        <v>-1.8700000000000001E-3</v>
      </c>
      <c r="P23" s="25">
        <v>-3.2997702897153547E-8</v>
      </c>
      <c r="Q23" s="25">
        <v>-3.4892068992340961E-9</v>
      </c>
      <c r="R23" s="15"/>
    </row>
    <row r="24" spans="1:18" x14ac:dyDescent="0.25">
      <c r="A24" s="17" t="s">
        <v>2912</v>
      </c>
      <c r="B24" s="216" t="s">
        <v>2977</v>
      </c>
      <c r="C24" s="117" t="s">
        <v>2254</v>
      </c>
      <c r="D24" s="117"/>
      <c r="E24" s="117" t="s">
        <v>533</v>
      </c>
      <c r="F24" s="117" t="s">
        <v>2253</v>
      </c>
      <c r="G24" s="117" t="s">
        <v>533</v>
      </c>
      <c r="H24" s="118">
        <v>0</v>
      </c>
      <c r="I24" s="117" t="s">
        <v>218</v>
      </c>
      <c r="J24" s="118" t="s">
        <v>257</v>
      </c>
      <c r="K24" s="117">
        <v>9.0768001079559332E-2</v>
      </c>
      <c r="L24" s="117">
        <v>0</v>
      </c>
      <c r="M24" s="112">
        <v>-2.2491367277189998E-2</v>
      </c>
      <c r="N24" s="61">
        <v>12217.32</v>
      </c>
      <c r="O24" s="85">
        <v>-2.7499999999999998E-3</v>
      </c>
      <c r="P24" s="25">
        <v>-4.8526033672284625E-8</v>
      </c>
      <c r="Q24" s="25">
        <v>-5.1311866165207288E-9</v>
      </c>
      <c r="R24" s="15"/>
    </row>
    <row r="25" spans="1:18" x14ac:dyDescent="0.25">
      <c r="A25" s="17" t="s">
        <v>2912</v>
      </c>
      <c r="B25" s="216" t="s">
        <v>2977</v>
      </c>
      <c r="C25" s="117" t="s">
        <v>2255</v>
      </c>
      <c r="D25" s="117"/>
      <c r="E25" s="117" t="s">
        <v>533</v>
      </c>
      <c r="F25" s="117" t="s">
        <v>2253</v>
      </c>
      <c r="G25" s="117" t="s">
        <v>533</v>
      </c>
      <c r="H25" s="118">
        <v>0</v>
      </c>
      <c r="I25" s="117" t="s">
        <v>218</v>
      </c>
      <c r="J25" s="118" t="s">
        <v>257</v>
      </c>
      <c r="K25" s="117">
        <v>9.0768001079559332E-2</v>
      </c>
      <c r="L25" s="117">
        <v>0</v>
      </c>
      <c r="M25" s="112">
        <v>-2.2571387389485002E-2</v>
      </c>
      <c r="N25" s="61">
        <v>10735.32</v>
      </c>
      <c r="O25" s="85">
        <v>-2.4199999999999998E-3</v>
      </c>
      <c r="P25" s="25">
        <v>-4.2702909631610468E-8</v>
      </c>
      <c r="Q25" s="25">
        <v>-4.5154442225382418E-9</v>
      </c>
      <c r="R25" s="15"/>
    </row>
    <row r="26" spans="1:18" x14ac:dyDescent="0.25">
      <c r="A26" s="17" t="s">
        <v>2912</v>
      </c>
      <c r="B26" s="216" t="s">
        <v>2977</v>
      </c>
      <c r="C26" s="117" t="s">
        <v>2256</v>
      </c>
      <c r="D26" s="117"/>
      <c r="E26" s="117" t="s">
        <v>533</v>
      </c>
      <c r="F26" s="117" t="s">
        <v>2257</v>
      </c>
      <c r="G26" s="117" t="s">
        <v>533</v>
      </c>
      <c r="H26" s="118">
        <v>7.4</v>
      </c>
      <c r="I26" s="117" t="s">
        <v>218</v>
      </c>
      <c r="J26" s="118" t="s">
        <v>257</v>
      </c>
      <c r="K26" s="117">
        <v>4.5199999999999997E-2</v>
      </c>
      <c r="L26" s="117">
        <v>6.5500000000000003E-2</v>
      </c>
      <c r="M26" s="112">
        <v>185928.01888204369</v>
      </c>
      <c r="N26" s="61">
        <v>85.93</v>
      </c>
      <c r="O26" s="85">
        <v>159.76794000000001</v>
      </c>
      <c r="P26" s="25">
        <v>2.8192379767969272E-3</v>
      </c>
      <c r="Q26" s="25">
        <v>2.9810876926439524E-4</v>
      </c>
      <c r="R26" s="15"/>
    </row>
    <row r="27" spans="1:18" x14ac:dyDescent="0.25">
      <c r="A27" s="17" t="s">
        <v>2912</v>
      </c>
      <c r="B27" s="216" t="s">
        <v>2977</v>
      </c>
      <c r="C27" s="117" t="s">
        <v>2258</v>
      </c>
      <c r="D27" s="117"/>
      <c r="E27" s="117" t="s">
        <v>533</v>
      </c>
      <c r="F27" s="117" t="s">
        <v>2257</v>
      </c>
      <c r="G27" s="117" t="s">
        <v>533</v>
      </c>
      <c r="H27" s="118">
        <v>7.3</v>
      </c>
      <c r="I27" s="117" t="s">
        <v>218</v>
      </c>
      <c r="J27" s="118" t="s">
        <v>257</v>
      </c>
      <c r="K27" s="117">
        <v>3.0499999999999999E-2</v>
      </c>
      <c r="L27" s="117">
        <v>5.6399999999999999E-2</v>
      </c>
      <c r="M27" s="112">
        <v>14973.726337569218</v>
      </c>
      <c r="N27" s="61">
        <v>99.85</v>
      </c>
      <c r="O27" s="85">
        <v>14.95126</v>
      </c>
      <c r="P27" s="25">
        <v>2.6382739861930261E-4</v>
      </c>
      <c r="Q27" s="25">
        <v>2.7897347349862442E-5</v>
      </c>
      <c r="R27" s="15"/>
    </row>
    <row r="28" spans="1:18" x14ac:dyDescent="0.25">
      <c r="A28" s="17" t="s">
        <v>2912</v>
      </c>
      <c r="B28" s="216" t="s">
        <v>2977</v>
      </c>
      <c r="C28" s="117" t="s">
        <v>2259</v>
      </c>
      <c r="D28" s="117"/>
      <c r="E28" s="117" t="s">
        <v>533</v>
      </c>
      <c r="F28" s="117" t="s">
        <v>2257</v>
      </c>
      <c r="G28" s="117" t="s">
        <v>533</v>
      </c>
      <c r="H28" s="118">
        <v>8.5399999999999991</v>
      </c>
      <c r="I28" s="117" t="s">
        <v>218</v>
      </c>
      <c r="J28" s="118" t="s">
        <v>257</v>
      </c>
      <c r="K28" s="117">
        <v>4.41E-2</v>
      </c>
      <c r="L28" s="117">
        <v>5.2400000000000002E-2</v>
      </c>
      <c r="M28" s="112">
        <v>103003.8605930648</v>
      </c>
      <c r="N28" s="61">
        <v>117.51</v>
      </c>
      <c r="O28" s="85">
        <v>121.03982999999999</v>
      </c>
      <c r="P28" s="25">
        <v>2.1358483150064026E-3</v>
      </c>
      <c r="Q28" s="25">
        <v>2.2584652936797971E-4</v>
      </c>
      <c r="R28" s="15"/>
    </row>
    <row r="29" spans="1:18" x14ac:dyDescent="0.25">
      <c r="A29" s="17" t="s">
        <v>2912</v>
      </c>
      <c r="B29" s="216" t="s">
        <v>2977</v>
      </c>
      <c r="C29" s="117" t="s">
        <v>2260</v>
      </c>
      <c r="D29" s="117"/>
      <c r="E29" s="117" t="s">
        <v>533</v>
      </c>
      <c r="F29" s="117" t="s">
        <v>2257</v>
      </c>
      <c r="G29" s="117" t="s">
        <v>533</v>
      </c>
      <c r="H29" s="118">
        <v>8.1199999999999992</v>
      </c>
      <c r="I29" s="117" t="s">
        <v>218</v>
      </c>
      <c r="J29" s="118" t="s">
        <v>257</v>
      </c>
      <c r="K29" s="117">
        <v>7.9233000278472895E-2</v>
      </c>
      <c r="L29" s="117">
        <v>6.8600000000000008E-2</v>
      </c>
      <c r="M29" s="112">
        <v>186881.7531267216</v>
      </c>
      <c r="N29" s="61">
        <v>105.81</v>
      </c>
      <c r="O29" s="85">
        <v>197.73957999999999</v>
      </c>
      <c r="P29" s="25">
        <v>3.4892790972448798E-3</v>
      </c>
      <c r="Q29" s="25">
        <v>3.689595223463382E-4</v>
      </c>
      <c r="R29" s="15"/>
    </row>
    <row r="30" spans="1:18" x14ac:dyDescent="0.25">
      <c r="A30" s="17" t="s">
        <v>2913</v>
      </c>
      <c r="B30" s="216" t="s">
        <v>2977</v>
      </c>
      <c r="C30" s="117" t="s">
        <v>2261</v>
      </c>
      <c r="D30" s="117"/>
      <c r="E30" s="117" t="s">
        <v>533</v>
      </c>
      <c r="F30" s="117" t="s">
        <v>2262</v>
      </c>
      <c r="G30" s="117" t="s">
        <v>533</v>
      </c>
      <c r="H30" s="118">
        <v>9.9</v>
      </c>
      <c r="I30" s="117" t="s">
        <v>218</v>
      </c>
      <c r="J30" s="118" t="s">
        <v>257</v>
      </c>
      <c r="K30" s="117">
        <v>4.4199999999999996E-2</v>
      </c>
      <c r="L30" s="117">
        <v>4.8399999999999999E-2</v>
      </c>
      <c r="M30" s="112">
        <v>880488.25119808328</v>
      </c>
      <c r="N30" s="61">
        <v>94.97</v>
      </c>
      <c r="O30" s="85">
        <v>836.19968999999992</v>
      </c>
      <c r="P30" s="25">
        <v>1.475543793225235E-2</v>
      </c>
      <c r="Q30" s="25">
        <v>1.5602533302061026E-3</v>
      </c>
      <c r="R30" s="15"/>
    </row>
    <row r="31" spans="1:18" x14ac:dyDescent="0.25">
      <c r="A31" s="17" t="s">
        <v>2913</v>
      </c>
      <c r="B31" s="216" t="s">
        <v>2977</v>
      </c>
      <c r="C31" s="117" t="s">
        <v>2263</v>
      </c>
      <c r="D31" s="117"/>
      <c r="E31" s="117" t="s">
        <v>533</v>
      </c>
      <c r="F31" s="117" t="s">
        <v>2262</v>
      </c>
      <c r="G31" s="117" t="s">
        <v>533</v>
      </c>
      <c r="H31" s="118">
        <v>8.9600000000000009</v>
      </c>
      <c r="I31" s="117" t="s">
        <v>218</v>
      </c>
      <c r="J31" s="118" t="s">
        <v>257</v>
      </c>
      <c r="K31" s="117">
        <v>9.3560159206390381E-2</v>
      </c>
      <c r="L31" s="117">
        <v>6.0700000000000004E-2</v>
      </c>
      <c r="M31" s="112">
        <v>830737.8845599239</v>
      </c>
      <c r="N31" s="61">
        <v>95.4</v>
      </c>
      <c r="O31" s="85">
        <v>792.52393000000006</v>
      </c>
      <c r="P31" s="25">
        <v>1.3984742877553217E-2</v>
      </c>
      <c r="Q31" s="25">
        <v>1.4787593392321496E-3</v>
      </c>
      <c r="R31" s="15"/>
    </row>
    <row r="32" spans="1:18" x14ac:dyDescent="0.25">
      <c r="A32" s="17" t="s">
        <v>2913</v>
      </c>
      <c r="B32" s="216" t="s">
        <v>2977</v>
      </c>
      <c r="C32" s="117" t="s">
        <v>2264</v>
      </c>
      <c r="D32" s="117"/>
      <c r="E32" s="117" t="s">
        <v>533</v>
      </c>
      <c r="F32" s="117" t="s">
        <v>2262</v>
      </c>
      <c r="G32" s="117" t="s">
        <v>533</v>
      </c>
      <c r="H32" s="118">
        <v>9.31</v>
      </c>
      <c r="I32" s="117" t="s">
        <v>218</v>
      </c>
      <c r="J32" s="118" t="s">
        <v>257</v>
      </c>
      <c r="K32" s="117">
        <v>3.1099999999999999E-2</v>
      </c>
      <c r="L32" s="117">
        <v>5.74E-2</v>
      </c>
      <c r="M32" s="112">
        <v>262583.04924459261</v>
      </c>
      <c r="N32" s="61">
        <v>112.13</v>
      </c>
      <c r="O32" s="85">
        <v>294.43437</v>
      </c>
      <c r="P32" s="25">
        <v>5.1955389646901494E-3</v>
      </c>
      <c r="Q32" s="25">
        <v>5.4938098137734996E-4</v>
      </c>
      <c r="R32" s="15"/>
    </row>
    <row r="33" spans="1:18" x14ac:dyDescent="0.25">
      <c r="A33" s="17" t="s">
        <v>2912</v>
      </c>
      <c r="B33" s="216" t="s">
        <v>2977</v>
      </c>
      <c r="C33" s="117" t="s">
        <v>2265</v>
      </c>
      <c r="D33" s="117"/>
      <c r="E33" s="117" t="s">
        <v>533</v>
      </c>
      <c r="F33" s="117" t="s">
        <v>2222</v>
      </c>
      <c r="G33" s="117" t="s">
        <v>533</v>
      </c>
      <c r="H33" s="118">
        <v>7.63</v>
      </c>
      <c r="I33" s="117" t="s">
        <v>218</v>
      </c>
      <c r="J33" s="118" t="s">
        <v>257</v>
      </c>
      <c r="K33" s="117">
        <v>4.4299999999999999E-2</v>
      </c>
      <c r="L33" s="117">
        <v>7.0499999999999993E-2</v>
      </c>
      <c r="M33" s="112">
        <v>12458.624193965392</v>
      </c>
      <c r="N33" s="61">
        <v>81.349999999999994</v>
      </c>
      <c r="O33" s="85">
        <v>10.13509</v>
      </c>
      <c r="P33" s="25">
        <v>1.7884207949514006E-4</v>
      </c>
      <c r="Q33" s="25">
        <v>1.8910922969175666E-5</v>
      </c>
      <c r="R33" s="15"/>
    </row>
    <row r="34" spans="1:18" x14ac:dyDescent="0.25">
      <c r="A34" s="17" t="s">
        <v>2912</v>
      </c>
      <c r="B34" s="216" t="s">
        <v>2977</v>
      </c>
      <c r="C34" s="117" t="s">
        <v>2266</v>
      </c>
      <c r="D34" s="117"/>
      <c r="E34" s="117" t="s">
        <v>533</v>
      </c>
      <c r="F34" s="117" t="s">
        <v>2222</v>
      </c>
      <c r="G34" s="117" t="s">
        <v>533</v>
      </c>
      <c r="H34" s="118">
        <v>7.66</v>
      </c>
      <c r="I34" s="117" t="s">
        <v>218</v>
      </c>
      <c r="J34" s="118" t="s">
        <v>257</v>
      </c>
      <c r="K34" s="117">
        <v>4.4299999999999999E-2</v>
      </c>
      <c r="L34" s="117">
        <v>6.93E-2</v>
      </c>
      <c r="M34" s="112">
        <v>30904.983365371121</v>
      </c>
      <c r="N34" s="61">
        <v>103.41</v>
      </c>
      <c r="O34" s="85">
        <v>31.958839999999999</v>
      </c>
      <c r="P34" s="25">
        <v>5.6394027126078431E-4</v>
      </c>
      <c r="Q34" s="25">
        <v>5.9631553486373581E-5</v>
      </c>
      <c r="R34" s="15"/>
    </row>
    <row r="35" spans="1:18" x14ac:dyDescent="0.25">
      <c r="A35" s="17" t="s">
        <v>2912</v>
      </c>
      <c r="B35" s="216" t="s">
        <v>2977</v>
      </c>
      <c r="C35" s="117" t="s">
        <v>2267</v>
      </c>
      <c r="D35" s="117"/>
      <c r="E35" s="117" t="s">
        <v>533</v>
      </c>
      <c r="F35" s="117" t="s">
        <v>2222</v>
      </c>
      <c r="G35" s="117" t="s">
        <v>533</v>
      </c>
      <c r="H35" s="118">
        <v>8.0399999999999991</v>
      </c>
      <c r="I35" s="117" t="s">
        <v>218</v>
      </c>
      <c r="J35" s="118" t="s">
        <v>257</v>
      </c>
      <c r="K35" s="117">
        <v>4.4299999999999999E-2</v>
      </c>
      <c r="L35" s="117">
        <v>5.9900000000000002E-2</v>
      </c>
      <c r="M35" s="112">
        <v>3764.2249250283803</v>
      </c>
      <c r="N35" s="61">
        <v>106.55</v>
      </c>
      <c r="O35" s="85">
        <v>4.0107800000000005</v>
      </c>
      <c r="P35" s="25">
        <v>7.0773543757136643E-5</v>
      </c>
      <c r="Q35" s="25">
        <v>7.4836584210214594E-6</v>
      </c>
      <c r="R35" s="15"/>
    </row>
    <row r="36" spans="1:18" x14ac:dyDescent="0.25">
      <c r="A36" s="17" t="s">
        <v>2912</v>
      </c>
      <c r="B36" s="216" t="s">
        <v>2977</v>
      </c>
      <c r="C36" s="117" t="s">
        <v>2268</v>
      </c>
      <c r="D36" s="117"/>
      <c r="E36" s="117" t="s">
        <v>533</v>
      </c>
      <c r="F36" s="117" t="s">
        <v>2222</v>
      </c>
      <c r="G36" s="117" t="s">
        <v>533</v>
      </c>
      <c r="H36" s="118">
        <v>7.93</v>
      </c>
      <c r="I36" s="117" t="s">
        <v>218</v>
      </c>
      <c r="J36" s="118" t="s">
        <v>257</v>
      </c>
      <c r="K36" s="117">
        <v>0.10679181098937988</v>
      </c>
      <c r="L36" s="117">
        <v>6.8400000000000002E-2</v>
      </c>
      <c r="M36" s="112">
        <v>20878.19501309696</v>
      </c>
      <c r="N36" s="61">
        <v>107.83</v>
      </c>
      <c r="O36" s="85">
        <v>22.51296</v>
      </c>
      <c r="P36" s="25">
        <v>3.9725987455374432E-4</v>
      </c>
      <c r="Q36" s="25">
        <v>4.2006617836460551E-5</v>
      </c>
      <c r="R36" s="15"/>
    </row>
    <row r="37" spans="1:18" x14ac:dyDescent="0.25">
      <c r="A37" s="17" t="s">
        <v>2912</v>
      </c>
      <c r="B37" s="216" t="s">
        <v>2977</v>
      </c>
      <c r="C37" s="117" t="s">
        <v>2269</v>
      </c>
      <c r="D37" s="117"/>
      <c r="E37" s="117" t="s">
        <v>533</v>
      </c>
      <c r="F37" s="117" t="s">
        <v>2270</v>
      </c>
      <c r="G37" s="117" t="s">
        <v>533</v>
      </c>
      <c r="H37" s="118">
        <v>0</v>
      </c>
      <c r="I37" s="117" t="s">
        <v>218</v>
      </c>
      <c r="J37" s="118" t="s">
        <v>257</v>
      </c>
      <c r="K37" s="117">
        <v>0</v>
      </c>
      <c r="L37" s="117">
        <v>0</v>
      </c>
      <c r="M37" s="112">
        <v>-2.8381419114329998E-2</v>
      </c>
      <c r="N37" s="61">
        <v>5899.2</v>
      </c>
      <c r="O37" s="85">
        <v>-1.6699999999999998E-3</v>
      </c>
      <c r="P37" s="25">
        <v>-2.946853681189648E-8</v>
      </c>
      <c r="Q37" s="25">
        <v>-3.1160296907598606E-9</v>
      </c>
      <c r="R37" s="15"/>
    </row>
    <row r="38" spans="1:18" x14ac:dyDescent="0.25">
      <c r="A38" s="17" t="s">
        <v>2912</v>
      </c>
      <c r="B38" s="216" t="s">
        <v>2977</v>
      </c>
      <c r="C38" s="117" t="s">
        <v>2271</v>
      </c>
      <c r="D38" s="117"/>
      <c r="E38" s="117" t="s">
        <v>533</v>
      </c>
      <c r="F38" s="117" t="s">
        <v>2270</v>
      </c>
      <c r="G38" s="117" t="s">
        <v>533</v>
      </c>
      <c r="H38" s="118">
        <v>0</v>
      </c>
      <c r="I38" s="117" t="s">
        <v>218</v>
      </c>
      <c r="J38" s="118" t="s">
        <v>257</v>
      </c>
      <c r="K38" s="117">
        <v>0</v>
      </c>
      <c r="L38" s="117">
        <v>0</v>
      </c>
      <c r="M38" s="112">
        <v>-2.8381419114329998E-2</v>
      </c>
      <c r="N38" s="61">
        <v>3104.2</v>
      </c>
      <c r="O38" s="85">
        <v>-8.8000000000000003E-4</v>
      </c>
      <c r="P38" s="25">
        <v>-1.5528330775131081E-8</v>
      </c>
      <c r="Q38" s="25">
        <v>-1.6419797172866335E-9</v>
      </c>
      <c r="R38" s="15"/>
    </row>
    <row r="39" spans="1:18" x14ac:dyDescent="0.25">
      <c r="A39" s="17" t="s">
        <v>2912</v>
      </c>
      <c r="B39" s="216" t="s">
        <v>2977</v>
      </c>
      <c r="C39" s="117" t="s">
        <v>2272</v>
      </c>
      <c r="D39" s="117"/>
      <c r="E39" s="117" t="s">
        <v>533</v>
      </c>
      <c r="F39" s="117" t="s">
        <v>2270</v>
      </c>
      <c r="G39" s="117" t="s">
        <v>533</v>
      </c>
      <c r="H39" s="118">
        <v>0</v>
      </c>
      <c r="I39" s="117" t="s">
        <v>218</v>
      </c>
      <c r="J39" s="118" t="s">
        <v>257</v>
      </c>
      <c r="K39" s="117">
        <v>0</v>
      </c>
      <c r="L39" s="117">
        <v>0</v>
      </c>
      <c r="M39" s="112">
        <v>-2.8381419114329998E-2</v>
      </c>
      <c r="N39" s="61">
        <v>5411.48</v>
      </c>
      <c r="O39" s="85">
        <v>-1.5400000000000001E-3</v>
      </c>
      <c r="P39" s="25">
        <v>-2.7174578856479391E-8</v>
      </c>
      <c r="Q39" s="25">
        <v>-2.8734645052516087E-9</v>
      </c>
      <c r="R39" s="15"/>
    </row>
    <row r="40" spans="1:18" x14ac:dyDescent="0.25">
      <c r="A40" s="17" t="s">
        <v>2912</v>
      </c>
      <c r="B40" s="216" t="s">
        <v>2977</v>
      </c>
      <c r="C40" s="117" t="s">
        <v>2273</v>
      </c>
      <c r="D40" s="117"/>
      <c r="E40" s="117" t="s">
        <v>533</v>
      </c>
      <c r="F40" s="117" t="s">
        <v>2270</v>
      </c>
      <c r="G40" s="117" t="s">
        <v>533</v>
      </c>
      <c r="H40" s="118">
        <v>0</v>
      </c>
      <c r="I40" s="117" t="s">
        <v>218</v>
      </c>
      <c r="J40" s="118" t="s">
        <v>257</v>
      </c>
      <c r="K40" s="117">
        <v>0</v>
      </c>
      <c r="L40" s="117">
        <v>0</v>
      </c>
      <c r="M40" s="112">
        <v>-2.8381419114329998E-2</v>
      </c>
      <c r="N40" s="61">
        <v>5389.84</v>
      </c>
      <c r="O40" s="85">
        <v>-1.5300000000000001E-3</v>
      </c>
      <c r="P40" s="25">
        <v>-2.6998120552216539E-8</v>
      </c>
      <c r="Q40" s="25">
        <v>-2.8548056448278967E-9</v>
      </c>
      <c r="R40" s="15"/>
    </row>
    <row r="41" spans="1:18" x14ac:dyDescent="0.25">
      <c r="A41" s="17" t="s">
        <v>2912</v>
      </c>
      <c r="B41" s="216" t="s">
        <v>2977</v>
      </c>
      <c r="C41" s="117" t="s">
        <v>2274</v>
      </c>
      <c r="D41" s="117"/>
      <c r="E41" s="117" t="s">
        <v>533</v>
      </c>
      <c r="F41" s="117" t="s">
        <v>2270</v>
      </c>
      <c r="G41" s="117" t="s">
        <v>533</v>
      </c>
      <c r="H41" s="118">
        <v>0</v>
      </c>
      <c r="I41" s="117" t="s">
        <v>218</v>
      </c>
      <c r="J41" s="118" t="s">
        <v>257</v>
      </c>
      <c r="K41" s="117">
        <v>0</v>
      </c>
      <c r="L41" s="117">
        <v>0</v>
      </c>
      <c r="M41" s="112">
        <v>-2.8381419114329998E-2</v>
      </c>
      <c r="N41" s="61">
        <v>2644.12</v>
      </c>
      <c r="O41" s="85">
        <v>-7.5000000000000002E-4</v>
      </c>
      <c r="P41" s="25">
        <v>-1.323437281971399E-8</v>
      </c>
      <c r="Q41" s="25">
        <v>-1.3994145317783808E-9</v>
      </c>
      <c r="R41" s="15"/>
    </row>
    <row r="42" spans="1:18" x14ac:dyDescent="0.25">
      <c r="A42" s="17" t="s">
        <v>2912</v>
      </c>
      <c r="B42" s="216" t="s">
        <v>2977</v>
      </c>
      <c r="C42" s="117" t="s">
        <v>2275</v>
      </c>
      <c r="D42" s="117"/>
      <c r="E42" s="117" t="s">
        <v>533</v>
      </c>
      <c r="F42" s="117" t="s">
        <v>2270</v>
      </c>
      <c r="G42" s="117" t="s">
        <v>533</v>
      </c>
      <c r="H42" s="118">
        <v>0</v>
      </c>
      <c r="I42" s="117" t="s">
        <v>218</v>
      </c>
      <c r="J42" s="118" t="s">
        <v>257</v>
      </c>
      <c r="K42" s="117">
        <v>0</v>
      </c>
      <c r="L42" s="117">
        <v>0</v>
      </c>
      <c r="M42" s="112">
        <v>-2.8381419114329998E-2</v>
      </c>
      <c r="N42" s="61">
        <v>2948.56</v>
      </c>
      <c r="O42" s="85">
        <v>-8.3999999999999993E-4</v>
      </c>
      <c r="P42" s="25">
        <v>-1.4822497558079668E-8</v>
      </c>
      <c r="Q42" s="25">
        <v>-1.5673442755917863E-9</v>
      </c>
      <c r="R42" s="15"/>
    </row>
    <row r="43" spans="1:18" x14ac:dyDescent="0.25">
      <c r="A43" s="17" t="s">
        <v>2912</v>
      </c>
      <c r="B43" s="216" t="s">
        <v>2977</v>
      </c>
      <c r="C43" s="117" t="s">
        <v>2276</v>
      </c>
      <c r="D43" s="117"/>
      <c r="E43" s="117" t="s">
        <v>533</v>
      </c>
      <c r="F43" s="117" t="s">
        <v>2243</v>
      </c>
      <c r="G43" s="117" t="s">
        <v>533</v>
      </c>
      <c r="H43" s="118">
        <v>7.65</v>
      </c>
      <c r="I43" s="117" t="s">
        <v>218</v>
      </c>
      <c r="J43" s="118" t="s">
        <v>257</v>
      </c>
      <c r="K43" s="117">
        <v>5.2999999999999999E-2</v>
      </c>
      <c r="L43" s="117">
        <v>2.41E-2</v>
      </c>
      <c r="M43" s="112">
        <v>6665.9358110620378</v>
      </c>
      <c r="N43" s="61">
        <v>133.44999999999999</v>
      </c>
      <c r="O43" s="85">
        <v>8.8956900000000001</v>
      </c>
      <c r="P43" s="25">
        <v>1.5697183726480206E-4</v>
      </c>
      <c r="Q43" s="25">
        <v>1.6598343808260832E-5</v>
      </c>
      <c r="R43" s="15"/>
    </row>
    <row r="44" spans="1:18" x14ac:dyDescent="0.25">
      <c r="A44" s="17" t="s">
        <v>2912</v>
      </c>
      <c r="B44" s="216" t="s">
        <v>2977</v>
      </c>
      <c r="C44" s="117" t="s">
        <v>2277</v>
      </c>
      <c r="D44" s="117"/>
      <c r="E44" s="117" t="s">
        <v>533</v>
      </c>
      <c r="F44" s="117" t="s">
        <v>2243</v>
      </c>
      <c r="G44" s="117" t="s">
        <v>533</v>
      </c>
      <c r="H44" s="118">
        <v>8.1199999999999992</v>
      </c>
      <c r="I44" s="117" t="s">
        <v>218</v>
      </c>
      <c r="J44" s="118" t="s">
        <v>257</v>
      </c>
      <c r="K44" s="117">
        <v>5.2999999999999999E-2</v>
      </c>
      <c r="L44" s="117">
        <v>3.04E-2</v>
      </c>
      <c r="M44" s="112">
        <v>4357.5691764686526</v>
      </c>
      <c r="N44" s="61">
        <v>135.52000000000001</v>
      </c>
      <c r="O44" s="85">
        <v>5.9053800000000001</v>
      </c>
      <c r="P44" s="25">
        <v>1.0420533408277679E-4</v>
      </c>
      <c r="Q44" s="25">
        <v>1.1018766116897886E-5</v>
      </c>
      <c r="R44" s="15"/>
    </row>
    <row r="45" spans="1:18" x14ac:dyDescent="0.25">
      <c r="A45" s="17" t="s">
        <v>2912</v>
      </c>
      <c r="B45" s="216" t="s">
        <v>2977</v>
      </c>
      <c r="C45" s="117" t="s">
        <v>2278</v>
      </c>
      <c r="D45" s="117"/>
      <c r="E45" s="117" t="s">
        <v>533</v>
      </c>
      <c r="F45" s="117" t="s">
        <v>2248</v>
      </c>
      <c r="G45" s="117" t="s">
        <v>533</v>
      </c>
      <c r="H45" s="118">
        <v>7.85</v>
      </c>
      <c r="I45" s="117" t="s">
        <v>218</v>
      </c>
      <c r="J45" s="118" t="s">
        <v>257</v>
      </c>
      <c r="K45" s="117">
        <v>4.7199999999999999E-2</v>
      </c>
      <c r="L45" s="117">
        <v>3.8900000000000004E-2</v>
      </c>
      <c r="M45" s="112">
        <v>846.60024778592731</v>
      </c>
      <c r="N45" s="61">
        <v>128.55000000000001</v>
      </c>
      <c r="O45" s="85">
        <v>1.0883</v>
      </c>
      <c r="P45" s="25">
        <v>1.9203957252926312E-5</v>
      </c>
      <c r="Q45" s="25">
        <v>2.030643779912549E-6</v>
      </c>
      <c r="R45" s="15"/>
    </row>
    <row r="46" spans="1:18" x14ac:dyDescent="0.25">
      <c r="A46" s="17" t="s">
        <v>2912</v>
      </c>
      <c r="B46" s="216" t="s">
        <v>2977</v>
      </c>
      <c r="C46" s="117" t="s">
        <v>2279</v>
      </c>
      <c r="D46" s="117"/>
      <c r="E46" s="117" t="s">
        <v>533</v>
      </c>
      <c r="F46" s="117" t="s">
        <v>2248</v>
      </c>
      <c r="G46" s="117" t="s">
        <v>533</v>
      </c>
      <c r="H46" s="118">
        <v>7.87</v>
      </c>
      <c r="I46" s="117" t="s">
        <v>218</v>
      </c>
      <c r="J46" s="118" t="s">
        <v>257</v>
      </c>
      <c r="K46" s="117">
        <v>4.6500000000000007E-2</v>
      </c>
      <c r="L46" s="117">
        <v>2.75E-2</v>
      </c>
      <c r="M46" s="112">
        <v>3866.7350185378705</v>
      </c>
      <c r="N46" s="61">
        <v>128</v>
      </c>
      <c r="O46" s="85">
        <v>4.9494199999999999</v>
      </c>
      <c r="P46" s="25">
        <v>8.7336626028465089E-5</v>
      </c>
      <c r="Q46" s="25">
        <v>9.2350536958327369E-6</v>
      </c>
      <c r="R46" s="15"/>
    </row>
    <row r="47" spans="1:18" x14ac:dyDescent="0.25">
      <c r="A47" s="17" t="s">
        <v>2912</v>
      </c>
      <c r="B47" s="216" t="s">
        <v>2977</v>
      </c>
      <c r="C47" s="117" t="s">
        <v>2280</v>
      </c>
      <c r="D47" s="117"/>
      <c r="E47" s="117" t="s">
        <v>533</v>
      </c>
      <c r="F47" s="117" t="s">
        <v>2248</v>
      </c>
      <c r="G47" s="117" t="s">
        <v>533</v>
      </c>
      <c r="H47" s="118">
        <v>7.85</v>
      </c>
      <c r="I47" s="117" t="s">
        <v>218</v>
      </c>
      <c r="J47" s="118" t="s">
        <v>257</v>
      </c>
      <c r="K47" s="117">
        <v>4.5700000000000005E-2</v>
      </c>
      <c r="L47" s="117">
        <v>3.8900000000000004E-2</v>
      </c>
      <c r="M47" s="112">
        <v>1805.9689617115553</v>
      </c>
      <c r="N47" s="61">
        <v>128.55000000000001</v>
      </c>
      <c r="O47" s="85">
        <v>2.3215700000000004</v>
      </c>
      <c r="P47" s="25">
        <v>4.096603054275121E-5</v>
      </c>
      <c r="Q47" s="25">
        <v>4.3317850593876479E-6</v>
      </c>
      <c r="R47" s="15"/>
    </row>
    <row r="48" spans="1:18" x14ac:dyDescent="0.25">
      <c r="A48" s="17" t="s">
        <v>2912</v>
      </c>
      <c r="B48" s="216" t="s">
        <v>2977</v>
      </c>
      <c r="C48" s="117" t="s">
        <v>2281</v>
      </c>
      <c r="D48" s="117"/>
      <c r="E48" s="117" t="s">
        <v>533</v>
      </c>
      <c r="F48" s="117" t="s">
        <v>2257</v>
      </c>
      <c r="G48" s="117" t="s">
        <v>533</v>
      </c>
      <c r="H48" s="118">
        <v>8.85</v>
      </c>
      <c r="I48" s="117" t="s">
        <v>218</v>
      </c>
      <c r="J48" s="118" t="s">
        <v>257</v>
      </c>
      <c r="K48" s="117">
        <v>4.4400000000000002E-2</v>
      </c>
      <c r="L48" s="117">
        <v>2.6800000000000001E-2</v>
      </c>
      <c r="M48" s="112">
        <v>53576.302554173009</v>
      </c>
      <c r="N48" s="61">
        <v>122.21</v>
      </c>
      <c r="O48" s="85">
        <v>65.4756</v>
      </c>
      <c r="P48" s="25">
        <v>1.1553713346592869E-3</v>
      </c>
      <c r="Q48" s="25">
        <v>1.2217000815587805E-4</v>
      </c>
      <c r="R48" s="15"/>
    </row>
    <row r="49" spans="1:18" x14ac:dyDescent="0.25">
      <c r="A49" s="17" t="s">
        <v>2912</v>
      </c>
      <c r="B49" s="216" t="s">
        <v>2977</v>
      </c>
      <c r="C49" s="117" t="s">
        <v>2282</v>
      </c>
      <c r="D49" s="117"/>
      <c r="E49" s="117" t="s">
        <v>533</v>
      </c>
      <c r="F49" s="117" t="s">
        <v>2257</v>
      </c>
      <c r="G49" s="117" t="s">
        <v>533</v>
      </c>
      <c r="H49" s="118">
        <v>9.7100000000000009</v>
      </c>
      <c r="I49" s="117" t="s">
        <v>218</v>
      </c>
      <c r="J49" s="118" t="s">
        <v>257</v>
      </c>
      <c r="K49" s="117">
        <v>4.2099999999999999E-2</v>
      </c>
      <c r="L49" s="117">
        <v>2.4199999999999999E-2</v>
      </c>
      <c r="M49" s="112">
        <v>66173.193877520462</v>
      </c>
      <c r="N49" s="61">
        <v>142.77000000000001</v>
      </c>
      <c r="O49" s="85">
        <v>94.475470000000001</v>
      </c>
      <c r="P49" s="25">
        <v>1.6670981230636059E-3</v>
      </c>
      <c r="Q49" s="25">
        <v>1.7628046081945661E-4</v>
      </c>
      <c r="R49" s="15"/>
    </row>
    <row r="50" spans="1:18" x14ac:dyDescent="0.25">
      <c r="A50" s="17" t="s">
        <v>2912</v>
      </c>
      <c r="B50" s="216" t="s">
        <v>2977</v>
      </c>
      <c r="C50" s="117" t="s">
        <v>2283</v>
      </c>
      <c r="D50" s="117"/>
      <c r="E50" s="117" t="s">
        <v>533</v>
      </c>
      <c r="F50" s="117" t="s">
        <v>2257</v>
      </c>
      <c r="G50" s="117" t="s">
        <v>533</v>
      </c>
      <c r="H50" s="118">
        <v>9.7100000000000009</v>
      </c>
      <c r="I50" s="117" t="s">
        <v>218</v>
      </c>
      <c r="J50" s="118" t="s">
        <v>257</v>
      </c>
      <c r="K50" s="117">
        <v>4.2599999999999999E-2</v>
      </c>
      <c r="L50" s="117">
        <v>2.4199999999999999E-2</v>
      </c>
      <c r="M50" s="112">
        <v>1939.3616738627622</v>
      </c>
      <c r="N50" s="61">
        <v>142.77000000000001</v>
      </c>
      <c r="O50" s="85">
        <v>2.7688200000000003</v>
      </c>
      <c r="P50" s="25">
        <v>4.885812820090732E-5</v>
      </c>
      <c r="Q50" s="25">
        <v>5.1663025918381549E-6</v>
      </c>
      <c r="R50" s="15"/>
    </row>
    <row r="51" spans="1:18" x14ac:dyDescent="0.25">
      <c r="A51" s="17" t="s">
        <v>2913</v>
      </c>
      <c r="B51" s="216" t="s">
        <v>2977</v>
      </c>
      <c r="C51" s="117" t="s">
        <v>2284</v>
      </c>
      <c r="D51" s="117"/>
      <c r="E51" s="117" t="s">
        <v>533</v>
      </c>
      <c r="F51" s="117" t="s">
        <v>2262</v>
      </c>
      <c r="G51" s="117" t="s">
        <v>533</v>
      </c>
      <c r="H51" s="118">
        <v>11.03</v>
      </c>
      <c r="I51" s="117" t="s">
        <v>218</v>
      </c>
      <c r="J51" s="118" t="s">
        <v>257</v>
      </c>
      <c r="K51" s="117">
        <v>3.1099999999999999E-2</v>
      </c>
      <c r="L51" s="117">
        <v>2.5699999999999997E-2</v>
      </c>
      <c r="M51" s="112">
        <v>340687.18673049699</v>
      </c>
      <c r="N51" s="61">
        <v>123.84</v>
      </c>
      <c r="O51" s="85">
        <v>421.90701000000001</v>
      </c>
      <c r="P51" s="25">
        <v>7.4448995541210646E-3</v>
      </c>
      <c r="Q51" s="25">
        <v>7.8723040113755545E-4</v>
      </c>
      <c r="R51" s="15"/>
    </row>
    <row r="52" spans="1:18" x14ac:dyDescent="0.25">
      <c r="A52" s="17" t="s">
        <v>2913</v>
      </c>
      <c r="B52" s="216" t="s">
        <v>2977</v>
      </c>
      <c r="C52" s="117" t="s">
        <v>2285</v>
      </c>
      <c r="D52" s="117"/>
      <c r="E52" s="117" t="s">
        <v>533</v>
      </c>
      <c r="F52" s="117" t="s">
        <v>2262</v>
      </c>
      <c r="G52" s="117" t="s">
        <v>533</v>
      </c>
      <c r="H52" s="118">
        <v>10.78</v>
      </c>
      <c r="I52" s="117" t="s">
        <v>218</v>
      </c>
      <c r="J52" s="118" t="s">
        <v>257</v>
      </c>
      <c r="K52" s="117">
        <v>3.1699999999999999E-2</v>
      </c>
      <c r="L52" s="117">
        <v>2.9900000000000003E-2</v>
      </c>
      <c r="M52" s="112">
        <v>590214.97979253333</v>
      </c>
      <c r="N52" s="61">
        <v>130.88</v>
      </c>
      <c r="O52" s="85">
        <v>772.47337000000005</v>
      </c>
      <c r="P52" s="25">
        <v>1.3630934095841157E-2</v>
      </c>
      <c r="Q52" s="25">
        <v>1.4413472791864239E-3</v>
      </c>
      <c r="R52" s="15"/>
    </row>
    <row r="53" spans="1:18" x14ac:dyDescent="0.25">
      <c r="A53" s="17" t="s">
        <v>2912</v>
      </c>
      <c r="B53" s="216" t="s">
        <v>2977</v>
      </c>
      <c r="C53" s="117" t="s">
        <v>2286</v>
      </c>
      <c r="D53" s="117"/>
      <c r="E53" s="117" t="s">
        <v>533</v>
      </c>
      <c r="F53" s="117" t="s">
        <v>2222</v>
      </c>
      <c r="G53" s="117" t="s">
        <v>533</v>
      </c>
      <c r="H53" s="118">
        <v>9.02</v>
      </c>
      <c r="I53" s="117" t="s">
        <v>218</v>
      </c>
      <c r="J53" s="118" t="s">
        <v>257</v>
      </c>
      <c r="K53" s="117">
        <v>4.4400000000000002E-2</v>
      </c>
      <c r="L53" s="117">
        <v>2.8300000000000002E-2</v>
      </c>
      <c r="M53" s="112">
        <v>24408.161159406987</v>
      </c>
      <c r="N53" s="61">
        <v>111.19</v>
      </c>
      <c r="O53" s="85">
        <v>27.139430000000001</v>
      </c>
      <c r="P53" s="25">
        <v>4.7889777964604059E-4</v>
      </c>
      <c r="Q53" s="25">
        <v>5.0639083634909519E-5</v>
      </c>
      <c r="R53" s="15"/>
    </row>
    <row r="54" spans="1:18" x14ac:dyDescent="0.25">
      <c r="A54" s="17" t="s">
        <v>2912</v>
      </c>
      <c r="B54" s="216" t="s">
        <v>2977</v>
      </c>
      <c r="C54" s="117" t="s">
        <v>2287</v>
      </c>
      <c r="D54" s="117"/>
      <c r="E54" s="117" t="s">
        <v>533</v>
      </c>
      <c r="F54" s="117" t="s">
        <v>2222</v>
      </c>
      <c r="G54" s="117" t="s">
        <v>533</v>
      </c>
      <c r="H54" s="118">
        <v>9.4700000000000006</v>
      </c>
      <c r="I54" s="117" t="s">
        <v>218</v>
      </c>
      <c r="J54" s="118" t="s">
        <v>257</v>
      </c>
      <c r="K54" s="117">
        <v>4.4299999999999999E-2</v>
      </c>
      <c r="L54" s="117">
        <v>1.01E-2</v>
      </c>
      <c r="M54" s="112">
        <v>6320.7244254600992</v>
      </c>
      <c r="N54" s="61">
        <v>138.41</v>
      </c>
      <c r="O54" s="85">
        <v>8.7485099999999996</v>
      </c>
      <c r="P54" s="25">
        <v>1.5437472394266139E-4</v>
      </c>
      <c r="Q54" s="25">
        <v>1.6323722700544641E-5</v>
      </c>
      <c r="R54" s="15"/>
    </row>
    <row r="55" spans="1:18" x14ac:dyDescent="0.25">
      <c r="A55" s="17" t="s">
        <v>2912</v>
      </c>
      <c r="B55" s="216" t="s">
        <v>2977</v>
      </c>
      <c r="C55" s="117" t="s">
        <v>2288</v>
      </c>
      <c r="D55" s="117"/>
      <c r="E55" s="117" t="s">
        <v>533</v>
      </c>
      <c r="F55" s="117" t="s">
        <v>2222</v>
      </c>
      <c r="G55" s="117" t="s">
        <v>533</v>
      </c>
      <c r="H55" s="118">
        <v>9.14</v>
      </c>
      <c r="I55" s="117" t="s">
        <v>218</v>
      </c>
      <c r="J55" s="118" t="s">
        <v>257</v>
      </c>
      <c r="K55" s="117">
        <v>4.4299999999999999E-2</v>
      </c>
      <c r="L55" s="117">
        <v>2.3300000000000001E-2</v>
      </c>
      <c r="M55" s="112">
        <v>3660.8219928266535</v>
      </c>
      <c r="N55" s="61">
        <v>130.87</v>
      </c>
      <c r="O55" s="85">
        <v>4.7909199999999998</v>
      </c>
      <c r="P55" s="25">
        <v>8.4539761905898857E-5</v>
      </c>
      <c r="Q55" s="25">
        <v>8.9393107581169053E-6</v>
      </c>
      <c r="R55" s="15"/>
    </row>
    <row r="56" spans="1:18" x14ac:dyDescent="0.25">
      <c r="A56" s="17" t="s">
        <v>2912</v>
      </c>
      <c r="B56" s="216" t="s">
        <v>2977</v>
      </c>
      <c r="C56" s="117" t="s">
        <v>2289</v>
      </c>
      <c r="D56" s="117"/>
      <c r="E56" s="117" t="s">
        <v>533</v>
      </c>
      <c r="F56" s="117" t="s">
        <v>2222</v>
      </c>
      <c r="G56" s="117" t="s">
        <v>533</v>
      </c>
      <c r="H56" s="118">
        <v>9.14</v>
      </c>
      <c r="I56" s="117" t="s">
        <v>218</v>
      </c>
      <c r="J56" s="118" t="s">
        <v>257</v>
      </c>
      <c r="K56" s="117">
        <v>4.4299999999999999E-2</v>
      </c>
      <c r="L56" s="117">
        <v>2.3300000000000001E-2</v>
      </c>
      <c r="M56" s="112">
        <v>252.61234314096566</v>
      </c>
      <c r="N56" s="61">
        <v>130.87</v>
      </c>
      <c r="O56" s="85">
        <v>0.33058999999999999</v>
      </c>
      <c r="P56" s="25">
        <v>5.8335350806256629E-6</v>
      </c>
      <c r="Q56" s="25">
        <v>6.1684326674748646E-7</v>
      </c>
      <c r="R56" s="15"/>
    </row>
    <row r="57" spans="1:18" s="119" customFormat="1" x14ac:dyDescent="0.25">
      <c r="A57" s="93" t="s">
        <v>2290</v>
      </c>
      <c r="B57" s="216" t="s">
        <v>2977</v>
      </c>
      <c r="C57" s="131" t="s">
        <v>251</v>
      </c>
      <c r="D57" s="131"/>
      <c r="E57" s="131" t="s">
        <v>251</v>
      </c>
      <c r="F57" s="131" t="s">
        <v>251</v>
      </c>
      <c r="G57" s="131" t="s">
        <v>251</v>
      </c>
      <c r="H57" s="132" t="s">
        <v>251</v>
      </c>
      <c r="I57" s="131" t="s">
        <v>251</v>
      </c>
      <c r="J57" s="132" t="s">
        <v>251</v>
      </c>
      <c r="K57" s="131" t="s">
        <v>251</v>
      </c>
      <c r="L57" s="131" t="s">
        <v>251</v>
      </c>
      <c r="M57" s="161" t="s">
        <v>251</v>
      </c>
      <c r="N57" s="136" t="s">
        <v>251</v>
      </c>
      <c r="O57" s="124">
        <v>42929.569880099974</v>
      </c>
      <c r="P57" s="137">
        <v>0.75752791037760991</v>
      </c>
      <c r="Q57" s="137">
        <v>8.0101685244276508E-2</v>
      </c>
      <c r="R57" s="15"/>
    </row>
    <row r="58" spans="1:18" x14ac:dyDescent="0.25">
      <c r="A58" s="17" t="s">
        <v>2914</v>
      </c>
      <c r="B58" s="216" t="s">
        <v>2977</v>
      </c>
      <c r="C58" s="117" t="s">
        <v>2315</v>
      </c>
      <c r="D58" s="117"/>
      <c r="E58" s="117" t="s">
        <v>668</v>
      </c>
      <c r="F58" s="117" t="s">
        <v>2316</v>
      </c>
      <c r="G58" s="117" t="s">
        <v>529</v>
      </c>
      <c r="H58" s="118">
        <v>7.9</v>
      </c>
      <c r="I58" s="117" t="s">
        <v>221</v>
      </c>
      <c r="J58" s="118" t="s">
        <v>257</v>
      </c>
      <c r="K58" s="117">
        <v>3.0800000000000001E-2</v>
      </c>
      <c r="L58" s="117">
        <v>5.45E-2</v>
      </c>
      <c r="M58" s="112">
        <v>13818.034303066357</v>
      </c>
      <c r="N58" s="61">
        <v>83.84</v>
      </c>
      <c r="O58" s="85">
        <v>11.585040000000001</v>
      </c>
      <c r="P58" s="25">
        <v>2.044276513217325E-4</v>
      </c>
      <c r="Q58" s="25">
        <v>2.161636443631175E-5</v>
      </c>
      <c r="R58" s="15"/>
    </row>
    <row r="59" spans="1:18" x14ac:dyDescent="0.25">
      <c r="A59" s="17" t="s">
        <v>2914</v>
      </c>
      <c r="B59" s="216" t="s">
        <v>2977</v>
      </c>
      <c r="C59" s="117" t="s">
        <v>2323</v>
      </c>
      <c r="D59" s="117"/>
      <c r="E59" s="117" t="s">
        <v>668</v>
      </c>
      <c r="F59" s="117" t="s">
        <v>2324</v>
      </c>
      <c r="G59" s="117" t="s">
        <v>529</v>
      </c>
      <c r="H59" s="118">
        <v>7.63</v>
      </c>
      <c r="I59" s="117" t="s">
        <v>221</v>
      </c>
      <c r="J59" s="118" t="s">
        <v>257</v>
      </c>
      <c r="K59" s="117">
        <v>3.1300000000000001E-2</v>
      </c>
      <c r="L59" s="117">
        <v>6.4100000000000004E-2</v>
      </c>
      <c r="M59" s="112">
        <v>11311.423144452512</v>
      </c>
      <c r="N59" s="61">
        <v>78.489999999999995</v>
      </c>
      <c r="O59" s="85">
        <v>8.8783399999999997</v>
      </c>
      <c r="P59" s="25">
        <v>1.5666568210690601E-4</v>
      </c>
      <c r="Q59" s="25">
        <v>1.656597068542569E-5</v>
      </c>
      <c r="R59" s="15"/>
    </row>
    <row r="60" spans="1:18" x14ac:dyDescent="0.25">
      <c r="A60" s="17" t="s">
        <v>2914</v>
      </c>
      <c r="B60" s="216" t="s">
        <v>2977</v>
      </c>
      <c r="C60" s="117" t="s">
        <v>2329</v>
      </c>
      <c r="D60" s="117"/>
      <c r="E60" s="117" t="s">
        <v>668</v>
      </c>
      <c r="F60" s="117" t="s">
        <v>2330</v>
      </c>
      <c r="G60" s="117" t="s">
        <v>529</v>
      </c>
      <c r="H60" s="118">
        <v>7.67</v>
      </c>
      <c r="I60" s="117" t="s">
        <v>221</v>
      </c>
      <c r="J60" s="118" t="s">
        <v>257</v>
      </c>
      <c r="K60" s="117">
        <v>3.1899999999999998E-2</v>
      </c>
      <c r="L60" s="117">
        <v>6.2699999999999992E-2</v>
      </c>
      <c r="M60" s="112">
        <v>11185.989317851936</v>
      </c>
      <c r="N60" s="61">
        <v>79.680000000000007</v>
      </c>
      <c r="O60" s="85">
        <v>8.9130000000000003</v>
      </c>
      <c r="P60" s="25">
        <v>1.5727728658948103E-4</v>
      </c>
      <c r="Q60" s="25">
        <v>1.6630642295654276E-5</v>
      </c>
      <c r="R60" s="15"/>
    </row>
    <row r="61" spans="1:18" x14ac:dyDescent="0.25">
      <c r="A61" s="17" t="s">
        <v>2914</v>
      </c>
      <c r="B61" s="216" t="s">
        <v>2977</v>
      </c>
      <c r="C61" s="117" t="s">
        <v>2366</v>
      </c>
      <c r="D61" s="117"/>
      <c r="E61" s="117" t="s">
        <v>668</v>
      </c>
      <c r="F61" s="117" t="s">
        <v>2367</v>
      </c>
      <c r="G61" s="117" t="s">
        <v>529</v>
      </c>
      <c r="H61" s="118">
        <v>7.84</v>
      </c>
      <c r="I61" s="117" t="s">
        <v>221</v>
      </c>
      <c r="J61" s="118" t="s">
        <v>257</v>
      </c>
      <c r="K61" s="117">
        <v>3.2400000000000005E-2</v>
      </c>
      <c r="L61" s="117">
        <v>5.67E-2</v>
      </c>
      <c r="M61" s="112">
        <v>11015.406260564043</v>
      </c>
      <c r="N61" s="61">
        <v>83.59</v>
      </c>
      <c r="O61" s="85">
        <v>9.2077800000000014</v>
      </c>
      <c r="P61" s="25">
        <v>1.6247892448254144E-4</v>
      </c>
      <c r="Q61" s="25">
        <v>1.7180668183224454E-5</v>
      </c>
      <c r="R61" s="15"/>
    </row>
    <row r="62" spans="1:18" x14ac:dyDescent="0.25">
      <c r="A62" s="17" t="s">
        <v>2914</v>
      </c>
      <c r="B62" s="216" t="s">
        <v>2977</v>
      </c>
      <c r="C62" s="117" t="s">
        <v>2392</v>
      </c>
      <c r="D62" s="117"/>
      <c r="E62" s="117" t="s">
        <v>668</v>
      </c>
      <c r="F62" s="117" t="s">
        <v>2393</v>
      </c>
      <c r="G62" s="117" t="s">
        <v>529</v>
      </c>
      <c r="H62" s="118">
        <v>8.16</v>
      </c>
      <c r="I62" s="117" t="s">
        <v>221</v>
      </c>
      <c r="J62" s="118" t="s">
        <v>257</v>
      </c>
      <c r="K62" s="117">
        <v>3.3000000000000002E-2</v>
      </c>
      <c r="L62" s="117">
        <v>4.5199999999999997E-2</v>
      </c>
      <c r="M62" s="112">
        <v>10842.62550804919</v>
      </c>
      <c r="N62" s="61">
        <v>91.69</v>
      </c>
      <c r="O62" s="85">
        <v>9.9416000000000011</v>
      </c>
      <c r="P62" s="25">
        <v>1.7542778776595812E-4</v>
      </c>
      <c r="Q62" s="25">
        <v>1.8549892678837267E-5</v>
      </c>
      <c r="R62" s="15"/>
    </row>
    <row r="63" spans="1:18" x14ac:dyDescent="0.25">
      <c r="A63" s="17" t="s">
        <v>2915</v>
      </c>
      <c r="B63" s="216" t="s">
        <v>2977</v>
      </c>
      <c r="C63" s="117" t="s">
        <v>2305</v>
      </c>
      <c r="D63" s="117"/>
      <c r="E63" s="117" t="s">
        <v>255</v>
      </c>
      <c r="F63" s="117" t="s">
        <v>2306</v>
      </c>
      <c r="G63" s="117" t="s">
        <v>256</v>
      </c>
      <c r="H63" s="118">
        <v>5.89</v>
      </c>
      <c r="I63" s="117" t="s">
        <v>222</v>
      </c>
      <c r="J63" s="118" t="s">
        <v>257</v>
      </c>
      <c r="K63" s="117">
        <v>3.0899999999999997E-2</v>
      </c>
      <c r="L63" s="117">
        <v>5.1699999999999996E-2</v>
      </c>
      <c r="M63" s="112">
        <v>4094548.22</v>
      </c>
      <c r="N63" s="61">
        <v>88.87</v>
      </c>
      <c r="O63" s="85">
        <v>3638.8249999999998</v>
      </c>
      <c r="P63" s="25">
        <v>6.4210088900927678E-2</v>
      </c>
      <c r="Q63" s="25">
        <v>6.789632778131288E-3</v>
      </c>
      <c r="R63" s="15"/>
    </row>
    <row r="64" spans="1:18" x14ac:dyDescent="0.25">
      <c r="A64" s="17" t="s">
        <v>2916</v>
      </c>
      <c r="B64" s="117" t="s">
        <v>2291</v>
      </c>
      <c r="C64" s="117" t="s">
        <v>2698</v>
      </c>
      <c r="D64" s="117"/>
      <c r="E64" s="117" t="s">
        <v>605</v>
      </c>
      <c r="F64" s="117" t="s">
        <v>2699</v>
      </c>
      <c r="G64" s="117" t="s">
        <v>529</v>
      </c>
      <c r="H64" s="118">
        <v>1.92</v>
      </c>
      <c r="I64" s="117" t="s">
        <v>218</v>
      </c>
      <c r="J64" s="118" t="s">
        <v>125</v>
      </c>
      <c r="K64" s="117">
        <v>9.849999999999999E-2</v>
      </c>
      <c r="L64" s="117">
        <v>6.2E-2</v>
      </c>
      <c r="M64" s="112">
        <v>114286.32</v>
      </c>
      <c r="N64" s="61">
        <v>109.67</v>
      </c>
      <c r="O64" s="85">
        <v>479.29177000000004</v>
      </c>
      <c r="P64" s="25">
        <v>8.4575012981341451E-3</v>
      </c>
      <c r="Q64" s="25">
        <v>8.9430382386637523E-4</v>
      </c>
      <c r="R64" s="15"/>
    </row>
    <row r="65" spans="1:18" x14ac:dyDescent="0.25">
      <c r="A65" s="17" t="s">
        <v>2916</v>
      </c>
      <c r="B65" s="117" t="s">
        <v>2291</v>
      </c>
      <c r="C65" s="117" t="s">
        <v>2553</v>
      </c>
      <c r="D65" s="117"/>
      <c r="E65" s="117" t="s">
        <v>605</v>
      </c>
      <c r="F65" s="117" t="s">
        <v>2552</v>
      </c>
      <c r="G65" s="117" t="s">
        <v>529</v>
      </c>
      <c r="H65" s="118">
        <v>1.92</v>
      </c>
      <c r="I65" s="117" t="s">
        <v>218</v>
      </c>
      <c r="J65" s="118" t="s">
        <v>257</v>
      </c>
      <c r="K65" s="117">
        <v>3.85E-2</v>
      </c>
      <c r="L65" s="117">
        <v>2.3900000000000001E-2</v>
      </c>
      <c r="M65" s="112">
        <v>1957.14</v>
      </c>
      <c r="N65" s="61">
        <v>153.08000000000001</v>
      </c>
      <c r="O65" s="85">
        <v>2.9959799999999999</v>
      </c>
      <c r="P65" s="25">
        <v>5.2866555040542287E-5</v>
      </c>
      <c r="Q65" s="25">
        <v>5.5901572652231904E-6</v>
      </c>
      <c r="R65" s="15"/>
    </row>
    <row r="66" spans="1:18" x14ac:dyDescent="0.25">
      <c r="A66" s="17" t="s">
        <v>2916</v>
      </c>
      <c r="B66" s="117" t="s">
        <v>2291</v>
      </c>
      <c r="C66" s="117" t="s">
        <v>2573</v>
      </c>
      <c r="D66" s="117"/>
      <c r="E66" s="117" t="s">
        <v>605</v>
      </c>
      <c r="F66" s="117" t="s">
        <v>2572</v>
      </c>
      <c r="G66" s="117" t="s">
        <v>529</v>
      </c>
      <c r="H66" s="118">
        <v>1.91</v>
      </c>
      <c r="I66" s="117" t="s">
        <v>218</v>
      </c>
      <c r="J66" s="118" t="s">
        <v>257</v>
      </c>
      <c r="K66" s="117">
        <v>5.1699999999999996E-2</v>
      </c>
      <c r="L66" s="117">
        <v>2.3900000000000001E-2</v>
      </c>
      <c r="M66" s="112">
        <v>1957.15</v>
      </c>
      <c r="N66" s="61">
        <v>157.34</v>
      </c>
      <c r="O66" s="85">
        <v>3.0793699999999999</v>
      </c>
      <c r="P66" s="25">
        <v>5.4338040839790223E-5</v>
      </c>
      <c r="Q66" s="25">
        <v>5.7457535022965227E-6</v>
      </c>
      <c r="R66" s="15"/>
    </row>
    <row r="67" spans="1:18" x14ac:dyDescent="0.25">
      <c r="A67" s="17" t="s">
        <v>2916</v>
      </c>
      <c r="B67" s="117" t="s">
        <v>2291</v>
      </c>
      <c r="C67" s="117" t="s">
        <v>2556</v>
      </c>
      <c r="D67" s="117"/>
      <c r="E67" s="117" t="s">
        <v>605</v>
      </c>
      <c r="F67" s="117" t="s">
        <v>2552</v>
      </c>
      <c r="G67" s="117" t="s">
        <v>529</v>
      </c>
      <c r="H67" s="118">
        <v>1.92</v>
      </c>
      <c r="I67" s="117" t="s">
        <v>218</v>
      </c>
      <c r="J67" s="118" t="s">
        <v>257</v>
      </c>
      <c r="K67" s="117">
        <v>3.85E-2</v>
      </c>
      <c r="L67" s="117">
        <v>2.3900000000000001E-2</v>
      </c>
      <c r="M67" s="112">
        <v>29446.97</v>
      </c>
      <c r="N67" s="61">
        <v>152.94</v>
      </c>
      <c r="O67" s="85">
        <v>45.036190000000005</v>
      </c>
      <c r="P67" s="25">
        <v>7.9470097178596666E-4</v>
      </c>
      <c r="Q67" s="25">
        <v>8.4032398322576269E-5</v>
      </c>
      <c r="R67" s="15"/>
    </row>
    <row r="68" spans="1:18" x14ac:dyDescent="0.25">
      <c r="A68" s="17" t="s">
        <v>2916</v>
      </c>
      <c r="B68" s="117" t="s">
        <v>2291</v>
      </c>
      <c r="C68" s="117" t="s">
        <v>2576</v>
      </c>
      <c r="D68" s="117"/>
      <c r="E68" s="117" t="s">
        <v>605</v>
      </c>
      <c r="F68" s="117" t="s">
        <v>2572</v>
      </c>
      <c r="G68" s="117" t="s">
        <v>529</v>
      </c>
      <c r="H68" s="118">
        <v>1.91</v>
      </c>
      <c r="I68" s="117" t="s">
        <v>218</v>
      </c>
      <c r="J68" s="118" t="s">
        <v>257</v>
      </c>
      <c r="K68" s="117">
        <v>5.1699999999999996E-2</v>
      </c>
      <c r="L68" s="117">
        <v>2.3900000000000001E-2</v>
      </c>
      <c r="M68" s="112">
        <v>29447.16</v>
      </c>
      <c r="N68" s="61">
        <v>157.19</v>
      </c>
      <c r="O68" s="85">
        <v>46.287990000000001</v>
      </c>
      <c r="P68" s="25">
        <v>8.167900223135905E-4</v>
      </c>
      <c r="Q68" s="25">
        <v>8.6368114470416487E-5</v>
      </c>
      <c r="R68" s="15"/>
    </row>
    <row r="69" spans="1:18" x14ac:dyDescent="0.25">
      <c r="A69" s="17" t="s">
        <v>2916</v>
      </c>
      <c r="B69" s="117" t="s">
        <v>2291</v>
      </c>
      <c r="C69" s="117" t="s">
        <v>2555</v>
      </c>
      <c r="D69" s="117"/>
      <c r="E69" s="117" t="s">
        <v>605</v>
      </c>
      <c r="F69" s="117" t="s">
        <v>2552</v>
      </c>
      <c r="G69" s="117" t="s">
        <v>529</v>
      </c>
      <c r="H69" s="118">
        <v>1.92</v>
      </c>
      <c r="I69" s="117" t="s">
        <v>218</v>
      </c>
      <c r="J69" s="118" t="s">
        <v>257</v>
      </c>
      <c r="K69" s="117">
        <v>3.85E-2</v>
      </c>
      <c r="L69" s="117">
        <v>2.3900000000000001E-2</v>
      </c>
      <c r="M69" s="112">
        <v>25233.26</v>
      </c>
      <c r="N69" s="61">
        <v>152.94</v>
      </c>
      <c r="O69" s="85">
        <v>38.591740000000001</v>
      </c>
      <c r="P69" s="25">
        <v>6.8098329989529211E-4</v>
      </c>
      <c r="Q69" s="25">
        <v>7.200778901681734E-5</v>
      </c>
      <c r="R69" s="15"/>
    </row>
    <row r="70" spans="1:18" x14ac:dyDescent="0.25">
      <c r="A70" s="17" t="s">
        <v>2916</v>
      </c>
      <c r="B70" s="117" t="s">
        <v>2291</v>
      </c>
      <c r="C70" s="117" t="s">
        <v>2575</v>
      </c>
      <c r="D70" s="117"/>
      <c r="E70" s="117" t="s">
        <v>605</v>
      </c>
      <c r="F70" s="117" t="s">
        <v>2572</v>
      </c>
      <c r="G70" s="117" t="s">
        <v>529</v>
      </c>
      <c r="H70" s="118">
        <v>1.91</v>
      </c>
      <c r="I70" s="117" t="s">
        <v>218</v>
      </c>
      <c r="J70" s="118" t="s">
        <v>257</v>
      </c>
      <c r="K70" s="117">
        <v>5.1699999999999996E-2</v>
      </c>
      <c r="L70" s="117">
        <v>2.3900000000000001E-2</v>
      </c>
      <c r="M70" s="112">
        <v>25233.45</v>
      </c>
      <c r="N70" s="61">
        <v>157.19</v>
      </c>
      <c r="O70" s="85">
        <v>39.664459999999998</v>
      </c>
      <c r="P70" s="25">
        <v>6.9991233511017693E-4</v>
      </c>
      <c r="Q70" s="25">
        <v>7.400936229218974E-5</v>
      </c>
      <c r="R70" s="15"/>
    </row>
    <row r="71" spans="1:18" x14ac:dyDescent="0.25">
      <c r="A71" s="17" t="s">
        <v>2916</v>
      </c>
      <c r="B71" s="117" t="s">
        <v>2291</v>
      </c>
      <c r="C71" s="117" t="s">
        <v>2570</v>
      </c>
      <c r="D71" s="117"/>
      <c r="E71" s="117" t="s">
        <v>605</v>
      </c>
      <c r="F71" s="117" t="s">
        <v>2552</v>
      </c>
      <c r="G71" s="117" t="s">
        <v>529</v>
      </c>
      <c r="H71" s="118">
        <v>1.92</v>
      </c>
      <c r="I71" s="117" t="s">
        <v>218</v>
      </c>
      <c r="J71" s="118" t="s">
        <v>257</v>
      </c>
      <c r="K71" s="117">
        <v>3.85E-2</v>
      </c>
      <c r="L71" s="117">
        <v>2.4E-2</v>
      </c>
      <c r="M71" s="112">
        <v>16638.189999999999</v>
      </c>
      <c r="N71" s="61">
        <v>144.61000000000001</v>
      </c>
      <c r="O71" s="85">
        <v>24.060479999999998</v>
      </c>
      <c r="P71" s="25">
        <v>4.2456715005502937E-4</v>
      </c>
      <c r="Q71" s="25">
        <v>4.4894113804750787E-5</v>
      </c>
      <c r="R71" s="15"/>
    </row>
    <row r="72" spans="1:18" x14ac:dyDescent="0.25">
      <c r="A72" s="17" t="s">
        <v>2916</v>
      </c>
      <c r="B72" s="117" t="s">
        <v>2291</v>
      </c>
      <c r="C72" s="117" t="s">
        <v>2590</v>
      </c>
      <c r="D72" s="117"/>
      <c r="E72" s="117" t="s">
        <v>605</v>
      </c>
      <c r="F72" s="117" t="s">
        <v>2572</v>
      </c>
      <c r="G72" s="117" t="s">
        <v>529</v>
      </c>
      <c r="H72" s="118">
        <v>1.91</v>
      </c>
      <c r="I72" s="117" t="s">
        <v>218</v>
      </c>
      <c r="J72" s="118" t="s">
        <v>257</v>
      </c>
      <c r="K72" s="117">
        <v>5.1699999999999996E-2</v>
      </c>
      <c r="L72" s="117">
        <v>2.4E-2</v>
      </c>
      <c r="M72" s="112">
        <v>16638.330000000002</v>
      </c>
      <c r="N72" s="61">
        <v>148.63</v>
      </c>
      <c r="O72" s="85">
        <v>24.72954</v>
      </c>
      <c r="P72" s="25">
        <v>4.3637326936003985E-4</v>
      </c>
      <c r="Q72" s="25">
        <v>4.6142503520259653E-5</v>
      </c>
      <c r="R72" s="15"/>
    </row>
    <row r="73" spans="1:18" x14ac:dyDescent="0.25">
      <c r="A73" s="17" t="s">
        <v>2916</v>
      </c>
      <c r="B73" s="117" t="s">
        <v>2291</v>
      </c>
      <c r="C73" s="117" t="s">
        <v>2559</v>
      </c>
      <c r="D73" s="117"/>
      <c r="E73" s="117" t="s">
        <v>605</v>
      </c>
      <c r="F73" s="117" t="s">
        <v>2552</v>
      </c>
      <c r="G73" s="117" t="s">
        <v>529</v>
      </c>
      <c r="H73" s="118">
        <v>1.92</v>
      </c>
      <c r="I73" s="117" t="s">
        <v>218</v>
      </c>
      <c r="J73" s="118" t="s">
        <v>257</v>
      </c>
      <c r="K73" s="117">
        <v>3.85E-2</v>
      </c>
      <c r="L73" s="117">
        <v>2.3900000000000001E-2</v>
      </c>
      <c r="M73" s="112">
        <v>7121.31</v>
      </c>
      <c r="N73" s="61">
        <v>151.85</v>
      </c>
      <c r="O73" s="85">
        <v>10.813700000000001</v>
      </c>
      <c r="P73" s="25">
        <v>1.9081671648072155E-4</v>
      </c>
      <c r="Q73" s="25">
        <v>2.0177131896389169E-5</v>
      </c>
      <c r="R73" s="15"/>
    </row>
    <row r="74" spans="1:18" x14ac:dyDescent="0.25">
      <c r="A74" s="17" t="s">
        <v>2916</v>
      </c>
      <c r="B74" s="117" t="s">
        <v>2291</v>
      </c>
      <c r="C74" s="117" t="s">
        <v>2579</v>
      </c>
      <c r="D74" s="117"/>
      <c r="E74" s="117" t="s">
        <v>605</v>
      </c>
      <c r="F74" s="117" t="s">
        <v>2572</v>
      </c>
      <c r="G74" s="117" t="s">
        <v>529</v>
      </c>
      <c r="H74" s="118">
        <v>1.91</v>
      </c>
      <c r="I74" s="117" t="s">
        <v>218</v>
      </c>
      <c r="J74" s="118" t="s">
        <v>257</v>
      </c>
      <c r="K74" s="117">
        <v>5.1699999999999996E-2</v>
      </c>
      <c r="L74" s="117">
        <v>2.4E-2</v>
      </c>
      <c r="M74" s="112">
        <v>7121.35</v>
      </c>
      <c r="N74" s="61">
        <v>156.07</v>
      </c>
      <c r="O74" s="85">
        <v>11.11429</v>
      </c>
      <c r="P74" s="25">
        <v>1.9612087664855866E-4</v>
      </c>
      <c r="Q74" s="25">
        <v>2.073799858186552E-5</v>
      </c>
      <c r="R74" s="15"/>
    </row>
    <row r="75" spans="1:18" x14ac:dyDescent="0.25">
      <c r="A75" s="17" t="s">
        <v>2916</v>
      </c>
      <c r="B75" s="117" t="s">
        <v>2291</v>
      </c>
      <c r="C75" s="117" t="s">
        <v>2551</v>
      </c>
      <c r="D75" s="117"/>
      <c r="E75" s="117" t="s">
        <v>605</v>
      </c>
      <c r="F75" s="117" t="s">
        <v>2552</v>
      </c>
      <c r="G75" s="117" t="s">
        <v>529</v>
      </c>
      <c r="H75" s="118">
        <v>1.92</v>
      </c>
      <c r="I75" s="117" t="s">
        <v>218</v>
      </c>
      <c r="J75" s="118" t="s">
        <v>257</v>
      </c>
      <c r="K75" s="117">
        <v>3.85E-2</v>
      </c>
      <c r="L75" s="117">
        <v>2.4E-2</v>
      </c>
      <c r="M75" s="112">
        <v>50834.44</v>
      </c>
      <c r="N75" s="61">
        <v>153.80000000000001</v>
      </c>
      <c r="O75" s="85">
        <v>78.183360000000008</v>
      </c>
      <c r="P75" s="25">
        <v>1.3796103127172185E-3</v>
      </c>
      <c r="Q75" s="25">
        <v>1.458812401696808E-4</v>
      </c>
      <c r="R75" s="15"/>
    </row>
    <row r="76" spans="1:18" x14ac:dyDescent="0.25">
      <c r="A76" s="17" t="s">
        <v>2916</v>
      </c>
      <c r="B76" s="117" t="s">
        <v>2291</v>
      </c>
      <c r="C76" s="117" t="s">
        <v>2571</v>
      </c>
      <c r="D76" s="117"/>
      <c r="E76" s="117" t="s">
        <v>605</v>
      </c>
      <c r="F76" s="117" t="s">
        <v>2572</v>
      </c>
      <c r="G76" s="117" t="s">
        <v>529</v>
      </c>
      <c r="H76" s="118">
        <v>1.91</v>
      </c>
      <c r="I76" s="117" t="s">
        <v>218</v>
      </c>
      <c r="J76" s="118" t="s">
        <v>257</v>
      </c>
      <c r="K76" s="117">
        <v>5.1699999999999996E-2</v>
      </c>
      <c r="L76" s="117">
        <v>2.3900000000000001E-2</v>
      </c>
      <c r="M76" s="112">
        <v>50859.69</v>
      </c>
      <c r="N76" s="61">
        <v>158.08000000000001</v>
      </c>
      <c r="O76" s="85">
        <v>80.398990000000012</v>
      </c>
      <c r="P76" s="25">
        <v>1.4187069439846091E-3</v>
      </c>
      <c r="Q76" s="25">
        <v>1.5001535326173964E-4</v>
      </c>
      <c r="R76" s="15"/>
    </row>
    <row r="77" spans="1:18" x14ac:dyDescent="0.25">
      <c r="A77" s="17" t="s">
        <v>2916</v>
      </c>
      <c r="B77" s="117" t="s">
        <v>2291</v>
      </c>
      <c r="C77" s="117" t="s">
        <v>2558</v>
      </c>
      <c r="D77" s="117"/>
      <c r="E77" s="117" t="s">
        <v>605</v>
      </c>
      <c r="F77" s="117" t="s">
        <v>2552</v>
      </c>
      <c r="G77" s="117" t="s">
        <v>529</v>
      </c>
      <c r="H77" s="118">
        <v>1.92</v>
      </c>
      <c r="I77" s="117" t="s">
        <v>218</v>
      </c>
      <c r="J77" s="118" t="s">
        <v>257</v>
      </c>
      <c r="K77" s="117">
        <v>3.85E-2</v>
      </c>
      <c r="L77" s="117">
        <v>2.3900000000000001E-2</v>
      </c>
      <c r="M77" s="112">
        <v>28039.29</v>
      </c>
      <c r="N77" s="61">
        <v>154.13999999999999</v>
      </c>
      <c r="O77" s="85">
        <v>43.219760000000001</v>
      </c>
      <c r="P77" s="25">
        <v>7.6264855602474924E-4</v>
      </c>
      <c r="Q77" s="25">
        <v>8.0643146938631991E-5</v>
      </c>
      <c r="R77" s="15"/>
    </row>
    <row r="78" spans="1:18" x14ac:dyDescent="0.25">
      <c r="A78" s="17" t="s">
        <v>2916</v>
      </c>
      <c r="B78" s="117" t="s">
        <v>2291</v>
      </c>
      <c r="C78" s="117" t="s">
        <v>2578</v>
      </c>
      <c r="D78" s="117"/>
      <c r="E78" s="117" t="s">
        <v>605</v>
      </c>
      <c r="F78" s="117" t="s">
        <v>2572</v>
      </c>
      <c r="G78" s="117" t="s">
        <v>529</v>
      </c>
      <c r="H78" s="118">
        <v>1.91</v>
      </c>
      <c r="I78" s="117" t="s">
        <v>218</v>
      </c>
      <c r="J78" s="118" t="s">
        <v>257</v>
      </c>
      <c r="K78" s="117">
        <v>5.1699999999999996E-2</v>
      </c>
      <c r="L78" s="117">
        <v>2.3900000000000001E-2</v>
      </c>
      <c r="M78" s="112">
        <v>28039.52</v>
      </c>
      <c r="N78" s="61">
        <v>158.43</v>
      </c>
      <c r="O78" s="85">
        <v>44.423010000000005</v>
      </c>
      <c r="P78" s="25">
        <v>7.8388090148517702E-4</v>
      </c>
      <c r="Q78" s="25">
        <v>8.2888274319115109E-5</v>
      </c>
      <c r="R78" s="15"/>
    </row>
    <row r="79" spans="1:18" x14ac:dyDescent="0.25">
      <c r="A79" s="17" t="s">
        <v>2916</v>
      </c>
      <c r="B79" s="117" t="s">
        <v>2291</v>
      </c>
      <c r="C79" s="117" t="s">
        <v>2554</v>
      </c>
      <c r="D79" s="117"/>
      <c r="E79" s="117" t="s">
        <v>605</v>
      </c>
      <c r="F79" s="117" t="s">
        <v>2552</v>
      </c>
      <c r="G79" s="117" t="s">
        <v>529</v>
      </c>
      <c r="H79" s="118">
        <v>1.92</v>
      </c>
      <c r="I79" s="117" t="s">
        <v>218</v>
      </c>
      <c r="J79" s="118" t="s">
        <v>257</v>
      </c>
      <c r="K79" s="117">
        <v>3.85E-2</v>
      </c>
      <c r="L79" s="117">
        <v>2.3900000000000001E-2</v>
      </c>
      <c r="M79" s="112">
        <v>22018.880000000001</v>
      </c>
      <c r="N79" s="61">
        <v>154.53</v>
      </c>
      <c r="O79" s="85">
        <v>34.025769999999994</v>
      </c>
      <c r="P79" s="25">
        <v>6.0041296754378612E-4</v>
      </c>
      <c r="Q79" s="25">
        <v>6.3488209323931817E-5</v>
      </c>
      <c r="R79" s="15"/>
    </row>
    <row r="80" spans="1:18" x14ac:dyDescent="0.25">
      <c r="A80" s="17" t="s">
        <v>2916</v>
      </c>
      <c r="B80" s="117" t="s">
        <v>2291</v>
      </c>
      <c r="C80" s="117" t="s">
        <v>2574</v>
      </c>
      <c r="D80" s="117"/>
      <c r="E80" s="117" t="s">
        <v>605</v>
      </c>
      <c r="F80" s="117" t="s">
        <v>2572</v>
      </c>
      <c r="G80" s="117" t="s">
        <v>529</v>
      </c>
      <c r="H80" s="118">
        <v>1.91</v>
      </c>
      <c r="I80" s="117" t="s">
        <v>218</v>
      </c>
      <c r="J80" s="118" t="s">
        <v>257</v>
      </c>
      <c r="K80" s="117">
        <v>5.1699999999999996E-2</v>
      </c>
      <c r="L80" s="117">
        <v>2.3900000000000001E-2</v>
      </c>
      <c r="M80" s="112">
        <v>22019.05</v>
      </c>
      <c r="N80" s="61">
        <v>158.83000000000001</v>
      </c>
      <c r="O80" s="85">
        <v>34.972850000000001</v>
      </c>
      <c r="P80" s="25">
        <v>6.1712498062391251E-4</v>
      </c>
      <c r="Q80" s="25">
        <v>6.5255352676940723E-5</v>
      </c>
      <c r="R80" s="15"/>
    </row>
    <row r="81" spans="1:18" x14ac:dyDescent="0.25">
      <c r="A81" s="17" t="s">
        <v>2916</v>
      </c>
      <c r="B81" s="117" t="s">
        <v>2291</v>
      </c>
      <c r="C81" s="117" t="s">
        <v>2563</v>
      </c>
      <c r="D81" s="117"/>
      <c r="E81" s="117" t="s">
        <v>605</v>
      </c>
      <c r="F81" s="117" t="s">
        <v>2552</v>
      </c>
      <c r="G81" s="117" t="s">
        <v>529</v>
      </c>
      <c r="H81" s="118">
        <v>1.92</v>
      </c>
      <c r="I81" s="117" t="s">
        <v>218</v>
      </c>
      <c r="J81" s="118" t="s">
        <v>257</v>
      </c>
      <c r="K81" s="117">
        <v>3.85E-2</v>
      </c>
      <c r="L81" s="117">
        <v>2.4E-2</v>
      </c>
      <c r="M81" s="112">
        <v>35366.43</v>
      </c>
      <c r="N81" s="61">
        <v>143.87</v>
      </c>
      <c r="O81" s="85">
        <v>50.881680000000003</v>
      </c>
      <c r="P81" s="25">
        <v>8.9784949708451313E-4</v>
      </c>
      <c r="Q81" s="25">
        <v>9.4939416524396537E-5</v>
      </c>
      <c r="R81" s="15"/>
    </row>
    <row r="82" spans="1:18" x14ac:dyDescent="0.25">
      <c r="A82" s="17" t="s">
        <v>2916</v>
      </c>
      <c r="B82" s="117" t="s">
        <v>2291</v>
      </c>
      <c r="C82" s="117" t="s">
        <v>2583</v>
      </c>
      <c r="D82" s="117"/>
      <c r="E82" s="117" t="s">
        <v>605</v>
      </c>
      <c r="F82" s="117" t="s">
        <v>2572</v>
      </c>
      <c r="G82" s="117" t="s">
        <v>529</v>
      </c>
      <c r="H82" s="118">
        <v>1.91</v>
      </c>
      <c r="I82" s="117" t="s">
        <v>218</v>
      </c>
      <c r="J82" s="118" t="s">
        <v>257</v>
      </c>
      <c r="K82" s="117">
        <v>5.1699999999999996E-2</v>
      </c>
      <c r="L82" s="117">
        <v>2.4E-2</v>
      </c>
      <c r="M82" s="112">
        <v>35366.699999999997</v>
      </c>
      <c r="N82" s="61">
        <v>147.87</v>
      </c>
      <c r="O82" s="85">
        <v>52.296730000000004</v>
      </c>
      <c r="P82" s="25">
        <v>9.2281922942922829E-4</v>
      </c>
      <c r="Q82" s="25">
        <v>9.7579738568653876E-5</v>
      </c>
      <c r="R82" s="15"/>
    </row>
    <row r="83" spans="1:18" x14ac:dyDescent="0.25">
      <c r="A83" s="17" t="s">
        <v>2916</v>
      </c>
      <c r="B83" s="117" t="s">
        <v>2291</v>
      </c>
      <c r="C83" s="117" t="s">
        <v>2567</v>
      </c>
      <c r="D83" s="117"/>
      <c r="E83" s="117" t="s">
        <v>605</v>
      </c>
      <c r="F83" s="117" t="s">
        <v>2552</v>
      </c>
      <c r="G83" s="117" t="s">
        <v>529</v>
      </c>
      <c r="H83" s="118">
        <v>1.92</v>
      </c>
      <c r="I83" s="117" t="s">
        <v>218</v>
      </c>
      <c r="J83" s="118" t="s">
        <v>257</v>
      </c>
      <c r="K83" s="117">
        <v>3.85E-2</v>
      </c>
      <c r="L83" s="117">
        <v>2.3900000000000001E-2</v>
      </c>
      <c r="M83" s="112">
        <v>38703.919999999998</v>
      </c>
      <c r="N83" s="61">
        <v>141.62</v>
      </c>
      <c r="O83" s="85">
        <v>54.812489999999997</v>
      </c>
      <c r="P83" s="25">
        <v>9.6721190378245973E-4</v>
      </c>
      <c r="Q83" s="25">
        <v>1.0227386003860956E-4</v>
      </c>
      <c r="R83" s="15"/>
    </row>
    <row r="84" spans="1:18" x14ac:dyDescent="0.25">
      <c r="A84" s="17" t="s">
        <v>2916</v>
      </c>
      <c r="B84" s="117" t="s">
        <v>2291</v>
      </c>
      <c r="C84" s="117" t="s">
        <v>2587</v>
      </c>
      <c r="D84" s="117"/>
      <c r="E84" s="117" t="s">
        <v>605</v>
      </c>
      <c r="F84" s="117" t="s">
        <v>2572</v>
      </c>
      <c r="G84" s="117" t="s">
        <v>529</v>
      </c>
      <c r="H84" s="118">
        <v>1.91</v>
      </c>
      <c r="I84" s="117" t="s">
        <v>218</v>
      </c>
      <c r="J84" s="118" t="s">
        <v>257</v>
      </c>
      <c r="K84" s="117">
        <v>5.1699999999999996E-2</v>
      </c>
      <c r="L84" s="117">
        <v>2.3900000000000001E-2</v>
      </c>
      <c r="M84" s="112">
        <v>38704.25</v>
      </c>
      <c r="N84" s="61">
        <v>145.56</v>
      </c>
      <c r="O84" s="85">
        <v>56.337900000000005</v>
      </c>
      <c r="P84" s="25">
        <v>9.9412902997301957E-4</v>
      </c>
      <c r="Q84" s="25">
        <v>1.0512010126650299E-4</v>
      </c>
      <c r="R84" s="15"/>
    </row>
    <row r="85" spans="1:18" x14ac:dyDescent="0.25">
      <c r="A85" s="17" t="s">
        <v>2916</v>
      </c>
      <c r="B85" s="117" t="s">
        <v>2291</v>
      </c>
      <c r="C85" s="117" t="s">
        <v>2560</v>
      </c>
      <c r="D85" s="117"/>
      <c r="E85" s="117" t="s">
        <v>605</v>
      </c>
      <c r="F85" s="117" t="s">
        <v>2552</v>
      </c>
      <c r="G85" s="117" t="s">
        <v>529</v>
      </c>
      <c r="H85" s="118">
        <v>1.92</v>
      </c>
      <c r="I85" s="117" t="s">
        <v>218</v>
      </c>
      <c r="J85" s="118" t="s">
        <v>257</v>
      </c>
      <c r="K85" s="117">
        <v>3.85E-2</v>
      </c>
      <c r="L85" s="117">
        <v>2.3900000000000001E-2</v>
      </c>
      <c r="M85" s="112">
        <v>92294.2</v>
      </c>
      <c r="N85" s="61">
        <v>150.36000000000001</v>
      </c>
      <c r="O85" s="85">
        <v>138.77355</v>
      </c>
      <c r="P85" s="25">
        <v>2.4487745309536269E-3</v>
      </c>
      <c r="Q85" s="25">
        <v>2.5893562999529829E-4</v>
      </c>
      <c r="R85" s="15"/>
    </row>
    <row r="86" spans="1:18" x14ac:dyDescent="0.25">
      <c r="A86" s="17" t="s">
        <v>2916</v>
      </c>
      <c r="B86" s="117" t="s">
        <v>2291</v>
      </c>
      <c r="C86" s="117" t="s">
        <v>2580</v>
      </c>
      <c r="D86" s="117"/>
      <c r="E86" s="117" t="s">
        <v>605</v>
      </c>
      <c r="F86" s="117" t="s">
        <v>2572</v>
      </c>
      <c r="G86" s="117" t="s">
        <v>529</v>
      </c>
      <c r="H86" s="118">
        <v>1.91</v>
      </c>
      <c r="I86" s="117" t="s">
        <v>218</v>
      </c>
      <c r="J86" s="118" t="s">
        <v>257</v>
      </c>
      <c r="K86" s="117">
        <v>5.1699999999999996E-2</v>
      </c>
      <c r="L86" s="117">
        <v>2.4E-2</v>
      </c>
      <c r="M86" s="112">
        <v>92289.63</v>
      </c>
      <c r="N86" s="61">
        <v>154.54</v>
      </c>
      <c r="O86" s="85">
        <v>142.62439000000001</v>
      </c>
      <c r="P86" s="25">
        <v>2.5167258005923837E-3</v>
      </c>
      <c r="Q86" s="25">
        <v>2.6612085860270289E-4</v>
      </c>
      <c r="R86" s="15"/>
    </row>
    <row r="87" spans="1:18" x14ac:dyDescent="0.25">
      <c r="A87" s="17" t="s">
        <v>2916</v>
      </c>
      <c r="B87" s="117" t="s">
        <v>2291</v>
      </c>
      <c r="C87" s="117" t="s">
        <v>2564</v>
      </c>
      <c r="D87" s="117"/>
      <c r="E87" s="117" t="s">
        <v>605</v>
      </c>
      <c r="F87" s="117" t="s">
        <v>2552</v>
      </c>
      <c r="G87" s="117" t="s">
        <v>529</v>
      </c>
      <c r="H87" s="118">
        <v>1.92</v>
      </c>
      <c r="I87" s="117" t="s">
        <v>218</v>
      </c>
      <c r="J87" s="118" t="s">
        <v>257</v>
      </c>
      <c r="K87" s="117">
        <v>3.85E-2</v>
      </c>
      <c r="L87" s="117">
        <v>2.4E-2</v>
      </c>
      <c r="M87" s="112">
        <v>43999.97</v>
      </c>
      <c r="N87" s="61">
        <v>141.61000000000001</v>
      </c>
      <c r="O87" s="85">
        <v>62.308349999999997</v>
      </c>
      <c r="P87" s="25">
        <v>1.0994825782416348E-3</v>
      </c>
      <c r="Q87" s="25">
        <v>1.1626028058817795E-4</v>
      </c>
      <c r="R87" s="15"/>
    </row>
    <row r="88" spans="1:18" x14ac:dyDescent="0.25">
      <c r="A88" s="17" t="s">
        <v>2916</v>
      </c>
      <c r="B88" s="117" t="s">
        <v>2291</v>
      </c>
      <c r="C88" s="117" t="s">
        <v>2584</v>
      </c>
      <c r="D88" s="117"/>
      <c r="E88" s="117" t="s">
        <v>605</v>
      </c>
      <c r="F88" s="117" t="s">
        <v>2572</v>
      </c>
      <c r="G88" s="117" t="s">
        <v>529</v>
      </c>
      <c r="H88" s="118">
        <v>1.91</v>
      </c>
      <c r="I88" s="117" t="s">
        <v>218</v>
      </c>
      <c r="J88" s="118" t="s">
        <v>257</v>
      </c>
      <c r="K88" s="117">
        <v>5.1699999999999996E-2</v>
      </c>
      <c r="L88" s="117">
        <v>2.4E-2</v>
      </c>
      <c r="M88" s="112">
        <v>44000.32</v>
      </c>
      <c r="N88" s="61">
        <v>145.55000000000001</v>
      </c>
      <c r="O88" s="85">
        <v>64.042460000000005</v>
      </c>
      <c r="P88" s="25">
        <v>1.1300823892421606E-3</v>
      </c>
      <c r="Q88" s="25">
        <v>1.1949593223311425E-4</v>
      </c>
      <c r="R88" s="15"/>
    </row>
    <row r="89" spans="1:18" x14ac:dyDescent="0.25">
      <c r="A89" s="17" t="s">
        <v>2916</v>
      </c>
      <c r="B89" s="117" t="s">
        <v>2291</v>
      </c>
      <c r="C89" s="117" t="s">
        <v>2568</v>
      </c>
      <c r="D89" s="117"/>
      <c r="E89" s="117" t="s">
        <v>605</v>
      </c>
      <c r="F89" s="117" t="s">
        <v>2552</v>
      </c>
      <c r="G89" s="117" t="s">
        <v>529</v>
      </c>
      <c r="H89" s="118">
        <v>1.92</v>
      </c>
      <c r="I89" s="117" t="s">
        <v>218</v>
      </c>
      <c r="J89" s="118" t="s">
        <v>257</v>
      </c>
      <c r="K89" s="117">
        <v>3.85E-2</v>
      </c>
      <c r="L89" s="117">
        <v>2.4E-2</v>
      </c>
      <c r="M89" s="112">
        <v>27455.13</v>
      </c>
      <c r="N89" s="61">
        <v>143.16999999999999</v>
      </c>
      <c r="O89" s="85">
        <v>39.307499999999997</v>
      </c>
      <c r="P89" s="25">
        <v>6.936134794812102E-4</v>
      </c>
      <c r="Q89" s="25">
        <v>7.3343315610504927E-5</v>
      </c>
      <c r="R89" s="15"/>
    </row>
    <row r="90" spans="1:18" x14ac:dyDescent="0.25">
      <c r="A90" s="17" t="s">
        <v>2916</v>
      </c>
      <c r="B90" s="117" t="s">
        <v>2291</v>
      </c>
      <c r="C90" s="117" t="s">
        <v>2588</v>
      </c>
      <c r="D90" s="117"/>
      <c r="E90" s="117" t="s">
        <v>605</v>
      </c>
      <c r="F90" s="117" t="s">
        <v>2572</v>
      </c>
      <c r="G90" s="117" t="s">
        <v>529</v>
      </c>
      <c r="H90" s="118">
        <v>1.91</v>
      </c>
      <c r="I90" s="117" t="s">
        <v>218</v>
      </c>
      <c r="J90" s="118" t="s">
        <v>257</v>
      </c>
      <c r="K90" s="117">
        <v>5.1699999999999996E-2</v>
      </c>
      <c r="L90" s="117">
        <v>2.4E-2</v>
      </c>
      <c r="M90" s="112">
        <v>27455.360000000001</v>
      </c>
      <c r="N90" s="61">
        <v>147.15</v>
      </c>
      <c r="O90" s="85">
        <v>40.400559999999999</v>
      </c>
      <c r="P90" s="25">
        <v>7.1290143088696559E-4</v>
      </c>
      <c r="Q90" s="25">
        <v>7.5382841007979164E-5</v>
      </c>
      <c r="R90" s="15"/>
    </row>
    <row r="91" spans="1:18" x14ac:dyDescent="0.25">
      <c r="A91" s="17" t="s">
        <v>2916</v>
      </c>
      <c r="B91" s="117" t="s">
        <v>2291</v>
      </c>
      <c r="C91" s="117" t="s">
        <v>2562</v>
      </c>
      <c r="D91" s="117"/>
      <c r="E91" s="117" t="s">
        <v>605</v>
      </c>
      <c r="F91" s="117" t="s">
        <v>2552</v>
      </c>
      <c r="G91" s="117" t="s">
        <v>529</v>
      </c>
      <c r="H91" s="118">
        <v>1.92</v>
      </c>
      <c r="I91" s="117" t="s">
        <v>218</v>
      </c>
      <c r="J91" s="118" t="s">
        <v>257</v>
      </c>
      <c r="K91" s="117">
        <v>3.85E-2</v>
      </c>
      <c r="L91" s="117">
        <v>2.4E-2</v>
      </c>
      <c r="M91" s="112">
        <v>45449.9</v>
      </c>
      <c r="N91" s="61">
        <v>148.18</v>
      </c>
      <c r="O91" s="85">
        <v>67.347660000000005</v>
      </c>
      <c r="P91" s="25">
        <v>1.1884053879671187E-3</v>
      </c>
      <c r="Q91" s="25">
        <v>1.2566305878035944E-4</v>
      </c>
      <c r="R91" s="15"/>
    </row>
    <row r="92" spans="1:18" x14ac:dyDescent="0.25">
      <c r="A92" s="17" t="s">
        <v>2916</v>
      </c>
      <c r="B92" s="117" t="s">
        <v>2291</v>
      </c>
      <c r="C92" s="117" t="s">
        <v>2582</v>
      </c>
      <c r="D92" s="117"/>
      <c r="E92" s="117" t="s">
        <v>605</v>
      </c>
      <c r="F92" s="117" t="s">
        <v>2572</v>
      </c>
      <c r="G92" s="117" t="s">
        <v>529</v>
      </c>
      <c r="H92" s="118">
        <v>1.91</v>
      </c>
      <c r="I92" s="117" t="s">
        <v>218</v>
      </c>
      <c r="J92" s="118" t="s">
        <v>257</v>
      </c>
      <c r="K92" s="117">
        <v>5.1699999999999996E-2</v>
      </c>
      <c r="L92" s="117">
        <v>2.4E-2</v>
      </c>
      <c r="M92" s="112">
        <v>45450.27</v>
      </c>
      <c r="N92" s="61">
        <v>152.30000000000001</v>
      </c>
      <c r="O92" s="85">
        <v>69.220759999999999</v>
      </c>
      <c r="P92" s="25">
        <v>1.2214577929385937E-3</v>
      </c>
      <c r="Q92" s="25">
        <v>1.2915804992632489E-4</v>
      </c>
      <c r="R92" s="15"/>
    </row>
    <row r="93" spans="1:18" x14ac:dyDescent="0.25">
      <c r="A93" s="17" t="s">
        <v>2916</v>
      </c>
      <c r="B93" s="117" t="s">
        <v>2291</v>
      </c>
      <c r="C93" s="117" t="s">
        <v>2566</v>
      </c>
      <c r="D93" s="117"/>
      <c r="E93" s="117" t="s">
        <v>605</v>
      </c>
      <c r="F93" s="117" t="s">
        <v>2552</v>
      </c>
      <c r="G93" s="117" t="s">
        <v>529</v>
      </c>
      <c r="H93" s="118">
        <v>1.92</v>
      </c>
      <c r="I93" s="117" t="s">
        <v>218</v>
      </c>
      <c r="J93" s="118" t="s">
        <v>257</v>
      </c>
      <c r="K93" s="117">
        <v>3.85E-2</v>
      </c>
      <c r="L93" s="117">
        <v>2.4E-2</v>
      </c>
      <c r="M93" s="112">
        <v>37332.01</v>
      </c>
      <c r="N93" s="61">
        <v>140.91999999999999</v>
      </c>
      <c r="O93" s="85">
        <v>52.608260000000001</v>
      </c>
      <c r="P93" s="25">
        <v>9.2831643498192894E-4</v>
      </c>
      <c r="Q93" s="25">
        <v>9.8161018047433757E-5</v>
      </c>
      <c r="R93" s="15"/>
    </row>
    <row r="94" spans="1:18" x14ac:dyDescent="0.25">
      <c r="A94" s="17" t="s">
        <v>2916</v>
      </c>
      <c r="B94" s="117" t="s">
        <v>2291</v>
      </c>
      <c r="C94" s="117" t="s">
        <v>2586</v>
      </c>
      <c r="D94" s="117"/>
      <c r="E94" s="117" t="s">
        <v>605</v>
      </c>
      <c r="F94" s="117" t="s">
        <v>2572</v>
      </c>
      <c r="G94" s="117" t="s">
        <v>529</v>
      </c>
      <c r="H94" s="118">
        <v>1.91</v>
      </c>
      <c r="I94" s="117" t="s">
        <v>218</v>
      </c>
      <c r="J94" s="118" t="s">
        <v>257</v>
      </c>
      <c r="K94" s="117">
        <v>5.1699999999999996E-2</v>
      </c>
      <c r="L94" s="117">
        <v>2.4E-2</v>
      </c>
      <c r="M94" s="112">
        <v>37332.28</v>
      </c>
      <c r="N94" s="61">
        <v>144.84</v>
      </c>
      <c r="O94" s="85">
        <v>54.072069999999997</v>
      </c>
      <c r="P94" s="25">
        <v>9.5414657801822953E-4</v>
      </c>
      <c r="Q94" s="25">
        <v>1.0089232069511709E-4</v>
      </c>
      <c r="R94" s="15"/>
    </row>
    <row r="95" spans="1:18" x14ac:dyDescent="0.25">
      <c r="A95" s="17" t="s">
        <v>2916</v>
      </c>
      <c r="B95" s="117" t="s">
        <v>2291</v>
      </c>
      <c r="C95" s="117" t="s">
        <v>2557</v>
      </c>
      <c r="D95" s="117"/>
      <c r="E95" s="117" t="s">
        <v>605</v>
      </c>
      <c r="F95" s="117" t="s">
        <v>2552</v>
      </c>
      <c r="G95" s="117" t="s">
        <v>529</v>
      </c>
      <c r="H95" s="118">
        <v>1.92</v>
      </c>
      <c r="I95" s="117" t="s">
        <v>218</v>
      </c>
      <c r="J95" s="118" t="s">
        <v>257</v>
      </c>
      <c r="K95" s="117">
        <v>3.85E-2</v>
      </c>
      <c r="L95" s="117">
        <v>2.3900000000000001E-2</v>
      </c>
      <c r="M95" s="112">
        <v>29887.15</v>
      </c>
      <c r="N95" s="61">
        <v>152.94</v>
      </c>
      <c r="O95" s="85">
        <v>45.709400000000002</v>
      </c>
      <c r="P95" s="25">
        <v>8.0658032128724615E-4</v>
      </c>
      <c r="Q95" s="25">
        <v>8.5288531465160957E-5</v>
      </c>
      <c r="R95" s="15"/>
    </row>
    <row r="96" spans="1:18" x14ac:dyDescent="0.25">
      <c r="A96" s="17" t="s">
        <v>2916</v>
      </c>
      <c r="B96" s="117" t="s">
        <v>2291</v>
      </c>
      <c r="C96" s="117" t="s">
        <v>2577</v>
      </c>
      <c r="D96" s="117"/>
      <c r="E96" s="117" t="s">
        <v>605</v>
      </c>
      <c r="F96" s="117" t="s">
        <v>2572</v>
      </c>
      <c r="G96" s="117" t="s">
        <v>529</v>
      </c>
      <c r="H96" s="118">
        <v>1.91</v>
      </c>
      <c r="I96" s="117" t="s">
        <v>218</v>
      </c>
      <c r="J96" s="118" t="s">
        <v>257</v>
      </c>
      <c r="K96" s="117">
        <v>5.1699999999999996E-2</v>
      </c>
      <c r="L96" s="117">
        <v>2.3900000000000001E-2</v>
      </c>
      <c r="M96" s="112">
        <v>29853.74</v>
      </c>
      <c r="N96" s="61">
        <v>157.19</v>
      </c>
      <c r="O96" s="85">
        <v>46.92709</v>
      </c>
      <c r="P96" s="25">
        <v>8.2806747253902943E-4</v>
      </c>
      <c r="Q96" s="25">
        <v>8.7560602240095909E-5</v>
      </c>
      <c r="R96" s="15"/>
    </row>
    <row r="97" spans="1:18" x14ac:dyDescent="0.25">
      <c r="A97" s="17" t="s">
        <v>2916</v>
      </c>
      <c r="B97" s="117" t="s">
        <v>2291</v>
      </c>
      <c r="C97" s="117" t="s">
        <v>2561</v>
      </c>
      <c r="D97" s="117"/>
      <c r="E97" s="117" t="s">
        <v>605</v>
      </c>
      <c r="F97" s="117" t="s">
        <v>2552</v>
      </c>
      <c r="G97" s="117" t="s">
        <v>529</v>
      </c>
      <c r="H97" s="118">
        <v>1.92</v>
      </c>
      <c r="I97" s="117" t="s">
        <v>218</v>
      </c>
      <c r="J97" s="118" t="s">
        <v>257</v>
      </c>
      <c r="K97" s="117">
        <v>3.85E-2</v>
      </c>
      <c r="L97" s="117">
        <v>2.3900000000000001E-2</v>
      </c>
      <c r="M97" s="112">
        <v>61300.26</v>
      </c>
      <c r="N97" s="61">
        <v>150.81</v>
      </c>
      <c r="O97" s="85">
        <v>92.446919999999992</v>
      </c>
      <c r="P97" s="25">
        <v>1.6313026737523647E-3</v>
      </c>
      <c r="Q97" s="25">
        <v>1.7249541768820455E-4</v>
      </c>
      <c r="R97" s="15"/>
    </row>
    <row r="98" spans="1:18" x14ac:dyDescent="0.25">
      <c r="A98" s="17" t="s">
        <v>2916</v>
      </c>
      <c r="B98" s="117" t="s">
        <v>2291</v>
      </c>
      <c r="C98" s="117" t="s">
        <v>2581</v>
      </c>
      <c r="D98" s="117"/>
      <c r="E98" s="117" t="s">
        <v>605</v>
      </c>
      <c r="F98" s="117" t="s">
        <v>2572</v>
      </c>
      <c r="G98" s="117" t="s">
        <v>529</v>
      </c>
      <c r="H98" s="118">
        <v>1.91</v>
      </c>
      <c r="I98" s="117" t="s">
        <v>218</v>
      </c>
      <c r="J98" s="118" t="s">
        <v>257</v>
      </c>
      <c r="K98" s="117">
        <v>5.1699999999999996E-2</v>
      </c>
      <c r="L98" s="117">
        <v>2.3900000000000001E-2</v>
      </c>
      <c r="M98" s="112">
        <v>61300.7</v>
      </c>
      <c r="N98" s="61">
        <v>155</v>
      </c>
      <c r="O98" s="85">
        <v>95.016080000000002</v>
      </c>
      <c r="P98" s="25">
        <v>1.67663763545036E-3</v>
      </c>
      <c r="Q98" s="25">
        <v>1.7728917747282289E-4</v>
      </c>
      <c r="R98" s="15"/>
    </row>
    <row r="99" spans="1:18" x14ac:dyDescent="0.25">
      <c r="A99" s="17" t="s">
        <v>2916</v>
      </c>
      <c r="B99" s="117" t="s">
        <v>2291</v>
      </c>
      <c r="C99" s="117" t="s">
        <v>2565</v>
      </c>
      <c r="D99" s="117"/>
      <c r="E99" s="117" t="s">
        <v>605</v>
      </c>
      <c r="F99" s="117" t="s">
        <v>2552</v>
      </c>
      <c r="G99" s="117" t="s">
        <v>529</v>
      </c>
      <c r="H99" s="118">
        <v>1.92</v>
      </c>
      <c r="I99" s="117" t="s">
        <v>218</v>
      </c>
      <c r="J99" s="118" t="s">
        <v>257</v>
      </c>
      <c r="K99" s="117">
        <v>3.85E-2</v>
      </c>
      <c r="L99" s="117">
        <v>2.4E-2</v>
      </c>
      <c r="M99" s="112">
        <v>42370.85</v>
      </c>
      <c r="N99" s="61">
        <v>141.35</v>
      </c>
      <c r="O99" s="85">
        <v>59.891190000000002</v>
      </c>
      <c r="P99" s="25">
        <v>1.0568297827684352E-3</v>
      </c>
      <c r="Q99" s="25">
        <v>1.1175013548200005E-4</v>
      </c>
      <c r="R99" s="15"/>
    </row>
    <row r="100" spans="1:18" x14ac:dyDescent="0.25">
      <c r="A100" s="17" t="s">
        <v>2916</v>
      </c>
      <c r="B100" s="117" t="s">
        <v>2291</v>
      </c>
      <c r="C100" s="117" t="s">
        <v>2585</v>
      </c>
      <c r="D100" s="117"/>
      <c r="E100" s="117" t="s">
        <v>605</v>
      </c>
      <c r="F100" s="117" t="s">
        <v>2572</v>
      </c>
      <c r="G100" s="117" t="s">
        <v>529</v>
      </c>
      <c r="H100" s="118">
        <v>1.91</v>
      </c>
      <c r="I100" s="117" t="s">
        <v>218</v>
      </c>
      <c r="J100" s="118" t="s">
        <v>257</v>
      </c>
      <c r="K100" s="117">
        <v>5.1699999999999996E-2</v>
      </c>
      <c r="L100" s="117">
        <v>2.4E-2</v>
      </c>
      <c r="M100" s="112">
        <v>42371.21</v>
      </c>
      <c r="N100" s="61">
        <v>145.28</v>
      </c>
      <c r="O100" s="85">
        <v>61.556890000000003</v>
      </c>
      <c r="P100" s="25">
        <v>1.0862224425094984E-3</v>
      </c>
      <c r="Q100" s="25">
        <v>1.1485814186277773E-4</v>
      </c>
      <c r="R100" s="15"/>
    </row>
    <row r="101" spans="1:18" x14ac:dyDescent="0.25">
      <c r="A101" s="17" t="s">
        <v>2916</v>
      </c>
      <c r="B101" s="117" t="s">
        <v>2291</v>
      </c>
      <c r="C101" s="117" t="s">
        <v>2569</v>
      </c>
      <c r="D101" s="117"/>
      <c r="E101" s="117" t="s">
        <v>605</v>
      </c>
      <c r="F101" s="117" t="s">
        <v>2552</v>
      </c>
      <c r="G101" s="117" t="s">
        <v>529</v>
      </c>
      <c r="H101" s="118">
        <v>1.92</v>
      </c>
      <c r="I101" s="117" t="s">
        <v>218</v>
      </c>
      <c r="J101" s="118" t="s">
        <v>257</v>
      </c>
      <c r="K101" s="117">
        <v>3.85E-2</v>
      </c>
      <c r="L101" s="117">
        <v>2.3900000000000001E-2</v>
      </c>
      <c r="M101" s="112">
        <v>16546.48</v>
      </c>
      <c r="N101" s="61">
        <v>144.18</v>
      </c>
      <c r="O101" s="85">
        <v>23.85671</v>
      </c>
      <c r="P101" s="25">
        <v>4.2097145918906521E-4</v>
      </c>
      <c r="Q101" s="25">
        <v>4.4513902205896816E-5</v>
      </c>
      <c r="R101" s="15"/>
    </row>
    <row r="102" spans="1:18" x14ac:dyDescent="0.25">
      <c r="A102" s="17" t="s">
        <v>2916</v>
      </c>
      <c r="B102" s="117" t="s">
        <v>2291</v>
      </c>
      <c r="C102" s="117" t="s">
        <v>2589</v>
      </c>
      <c r="D102" s="117"/>
      <c r="E102" s="117" t="s">
        <v>605</v>
      </c>
      <c r="F102" s="117" t="s">
        <v>2572</v>
      </c>
      <c r="G102" s="117" t="s">
        <v>529</v>
      </c>
      <c r="H102" s="118">
        <v>1.91</v>
      </c>
      <c r="I102" s="117" t="s">
        <v>218</v>
      </c>
      <c r="J102" s="118" t="s">
        <v>257</v>
      </c>
      <c r="K102" s="117">
        <v>5.1699999999999996E-2</v>
      </c>
      <c r="L102" s="117">
        <v>2.3900000000000001E-2</v>
      </c>
      <c r="M102" s="112">
        <v>16546.599999999999</v>
      </c>
      <c r="N102" s="61">
        <v>148.19</v>
      </c>
      <c r="O102" s="85">
        <v>24.520400000000002</v>
      </c>
      <c r="P102" s="25">
        <v>4.3268282038468655E-4</v>
      </c>
      <c r="Q102" s="25">
        <v>4.5752272113358144E-5</v>
      </c>
      <c r="R102" s="15"/>
    </row>
    <row r="103" spans="1:18" x14ac:dyDescent="0.25">
      <c r="A103" s="17" t="s">
        <v>2917</v>
      </c>
      <c r="B103" s="117" t="s">
        <v>2291</v>
      </c>
      <c r="C103" s="117" t="s">
        <v>2599</v>
      </c>
      <c r="D103" s="117"/>
      <c r="E103" s="117" t="s">
        <v>589</v>
      </c>
      <c r="F103" s="117" t="s">
        <v>2600</v>
      </c>
      <c r="G103" s="117" t="s">
        <v>256</v>
      </c>
      <c r="H103" s="118">
        <v>0.33</v>
      </c>
      <c r="I103" s="117" t="s">
        <v>220</v>
      </c>
      <c r="J103" s="118" t="s">
        <v>257</v>
      </c>
      <c r="K103" s="117">
        <v>0.03</v>
      </c>
      <c r="L103" s="117">
        <v>3.0299999999999997E-2</v>
      </c>
      <c r="M103" s="112">
        <v>178376.89</v>
      </c>
      <c r="N103" s="61">
        <v>113.02</v>
      </c>
      <c r="O103" s="85">
        <v>201.60156000000001</v>
      </c>
      <c r="P103" s="25">
        <v>3.5574269414345851E-3</v>
      </c>
      <c r="Q103" s="25">
        <v>3.7616553692425487E-4</v>
      </c>
      <c r="R103" s="15"/>
    </row>
    <row r="104" spans="1:18" x14ac:dyDescent="0.25">
      <c r="A104" s="17" t="s">
        <v>2918</v>
      </c>
      <c r="B104" s="117" t="s">
        <v>2291</v>
      </c>
      <c r="C104" s="117" t="s">
        <v>2601</v>
      </c>
      <c r="D104" s="117"/>
      <c r="E104" s="117" t="s">
        <v>589</v>
      </c>
      <c r="F104" s="117" t="s">
        <v>2600</v>
      </c>
      <c r="G104" s="117" t="s">
        <v>256</v>
      </c>
      <c r="H104" s="118">
        <v>0.33</v>
      </c>
      <c r="I104" s="117" t="s">
        <v>220</v>
      </c>
      <c r="J104" s="118" t="s">
        <v>257</v>
      </c>
      <c r="K104" s="117">
        <v>0.03</v>
      </c>
      <c r="L104" s="117">
        <v>3.0299999999999997E-2</v>
      </c>
      <c r="M104" s="112">
        <v>178376.89</v>
      </c>
      <c r="N104" s="61">
        <v>113.02</v>
      </c>
      <c r="O104" s="85">
        <v>201.60156000000001</v>
      </c>
      <c r="P104" s="25">
        <v>3.5574269414345851E-3</v>
      </c>
      <c r="Q104" s="25">
        <v>3.7616553692425487E-4</v>
      </c>
      <c r="R104" s="15"/>
    </row>
    <row r="105" spans="1:18" x14ac:dyDescent="0.25">
      <c r="A105" s="17" t="s">
        <v>2917</v>
      </c>
      <c r="B105" s="117" t="s">
        <v>2291</v>
      </c>
      <c r="C105" s="117" t="s">
        <v>2520</v>
      </c>
      <c r="D105" s="117"/>
      <c r="E105" s="117" t="s">
        <v>589</v>
      </c>
      <c r="F105" s="117" t="s">
        <v>2521</v>
      </c>
      <c r="G105" s="117" t="s">
        <v>256</v>
      </c>
      <c r="H105" s="118">
        <v>0.34</v>
      </c>
      <c r="I105" s="117" t="s">
        <v>220</v>
      </c>
      <c r="J105" s="118" t="s">
        <v>257</v>
      </c>
      <c r="K105" s="117">
        <v>0.03</v>
      </c>
      <c r="L105" s="117">
        <v>3.0499999999999999E-2</v>
      </c>
      <c r="M105" s="112">
        <v>810750.21</v>
      </c>
      <c r="N105" s="61">
        <v>111.55</v>
      </c>
      <c r="O105" s="85">
        <v>904.39184999999998</v>
      </c>
      <c r="P105" s="25">
        <v>1.5958745224014467E-2</v>
      </c>
      <c r="Q105" s="25">
        <v>1.6874921297492446E-3</v>
      </c>
      <c r="R105" s="15"/>
    </row>
    <row r="106" spans="1:18" x14ac:dyDescent="0.25">
      <c r="A106" s="17" t="s">
        <v>2918</v>
      </c>
      <c r="B106" s="117" t="s">
        <v>2291</v>
      </c>
      <c r="C106" s="117" t="s">
        <v>2522</v>
      </c>
      <c r="D106" s="117"/>
      <c r="E106" s="117" t="s">
        <v>589</v>
      </c>
      <c r="F106" s="117" t="s">
        <v>2521</v>
      </c>
      <c r="G106" s="117" t="s">
        <v>256</v>
      </c>
      <c r="H106" s="118">
        <v>0.34</v>
      </c>
      <c r="I106" s="117" t="s">
        <v>220</v>
      </c>
      <c r="J106" s="118" t="s">
        <v>257</v>
      </c>
      <c r="K106" s="117">
        <v>0.03</v>
      </c>
      <c r="L106" s="117">
        <v>3.0499999999999999E-2</v>
      </c>
      <c r="M106" s="112">
        <v>810750.21</v>
      </c>
      <c r="N106" s="61">
        <v>111.55</v>
      </c>
      <c r="O106" s="85">
        <v>904.39184999999998</v>
      </c>
      <c r="P106" s="25">
        <v>1.5958745224014467E-2</v>
      </c>
      <c r="Q106" s="25">
        <v>1.6874921297492446E-3</v>
      </c>
      <c r="R106" s="15"/>
    </row>
    <row r="107" spans="1:18" x14ac:dyDescent="0.25">
      <c r="A107" s="17" t="s">
        <v>2919</v>
      </c>
      <c r="B107" s="216" t="s">
        <v>2977</v>
      </c>
      <c r="C107" s="117" t="s">
        <v>2648</v>
      </c>
      <c r="D107" s="117"/>
      <c r="E107" s="117" t="s">
        <v>396</v>
      </c>
      <c r="F107" s="117" t="s">
        <v>2649</v>
      </c>
      <c r="G107" s="117" t="s">
        <v>2401</v>
      </c>
      <c r="H107" s="118">
        <v>4.3099999999999996</v>
      </c>
      <c r="I107" s="117" t="s">
        <v>223</v>
      </c>
      <c r="J107" s="118" t="s">
        <v>257</v>
      </c>
      <c r="K107" s="117">
        <v>6.9999999999999993E-3</v>
      </c>
      <c r="L107" s="117">
        <v>3.85E-2</v>
      </c>
      <c r="M107" s="112">
        <v>35600.510210003042</v>
      </c>
      <c r="N107" s="61">
        <v>96.49</v>
      </c>
      <c r="O107" s="85">
        <v>34.350929999999998</v>
      </c>
      <c r="P107" s="25">
        <v>6.0615068576519719E-4</v>
      </c>
      <c r="Q107" s="25">
        <v>6.4094920829469235E-5</v>
      </c>
      <c r="R107" s="15"/>
    </row>
    <row r="108" spans="1:18" x14ac:dyDescent="0.25">
      <c r="A108" s="17" t="s">
        <v>2920</v>
      </c>
      <c r="B108" s="216" t="s">
        <v>2291</v>
      </c>
      <c r="C108" s="117" t="s">
        <v>2612</v>
      </c>
      <c r="D108" s="117"/>
      <c r="E108" s="117" t="s">
        <v>625</v>
      </c>
      <c r="F108" s="117" t="s">
        <v>2613</v>
      </c>
      <c r="G108" s="117" t="s">
        <v>529</v>
      </c>
      <c r="H108" s="118">
        <v>7.39</v>
      </c>
      <c r="I108" s="117" t="s">
        <v>220</v>
      </c>
      <c r="J108" s="118" t="s">
        <v>257</v>
      </c>
      <c r="K108" s="117">
        <v>2.2700000000000001E-2</v>
      </c>
      <c r="L108" s="117">
        <v>2.6000000000000002E-2</v>
      </c>
      <c r="M108" s="112">
        <v>1372287.12</v>
      </c>
      <c r="N108" s="61">
        <v>108.53</v>
      </c>
      <c r="O108" s="85">
        <v>1489.34321</v>
      </c>
      <c r="P108" s="25">
        <v>2.6280697730199445E-2</v>
      </c>
      <c r="Q108" s="25">
        <v>2.7789447078392809E-3</v>
      </c>
      <c r="R108" s="15"/>
    </row>
    <row r="109" spans="1:18" x14ac:dyDescent="0.25">
      <c r="A109" s="17" t="s">
        <v>2921</v>
      </c>
      <c r="B109" s="117" t="s">
        <v>2291</v>
      </c>
      <c r="C109" s="117" t="s">
        <v>2466</v>
      </c>
      <c r="D109" s="117"/>
      <c r="E109" s="117" t="s">
        <v>545</v>
      </c>
      <c r="F109" s="117" t="s">
        <v>2467</v>
      </c>
      <c r="G109" s="117" t="s">
        <v>256</v>
      </c>
      <c r="H109" s="118">
        <v>2.73</v>
      </c>
      <c r="I109" s="117" t="s">
        <v>204</v>
      </c>
      <c r="J109" s="118" t="s">
        <v>257</v>
      </c>
      <c r="K109" s="117">
        <v>3.4799999999999998E-2</v>
      </c>
      <c r="L109" s="117">
        <v>3.7499999999999999E-2</v>
      </c>
      <c r="M109" s="112">
        <v>2263354.86</v>
      </c>
      <c r="N109" s="61">
        <v>112.88</v>
      </c>
      <c r="O109" s="85">
        <v>2554.8749600000001</v>
      </c>
      <c r="P109" s="25">
        <v>4.5082890304522484E-2</v>
      </c>
      <c r="Q109" s="25">
        <v>4.7671055278676122E-3</v>
      </c>
      <c r="R109" s="15"/>
    </row>
    <row r="110" spans="1:18" x14ac:dyDescent="0.25">
      <c r="A110" s="17" t="s">
        <v>2922</v>
      </c>
      <c r="B110" s="117" t="s">
        <v>2291</v>
      </c>
      <c r="C110" s="117" t="s">
        <v>2689</v>
      </c>
      <c r="D110" s="117"/>
      <c r="E110" s="117" t="s">
        <v>625</v>
      </c>
      <c r="F110" s="117" t="s">
        <v>2690</v>
      </c>
      <c r="G110" s="117" t="s">
        <v>529</v>
      </c>
      <c r="H110" s="118">
        <v>0.97</v>
      </c>
      <c r="I110" s="117" t="s">
        <v>204</v>
      </c>
      <c r="J110" s="118" t="s">
        <v>125</v>
      </c>
      <c r="K110" s="117">
        <v>7.9064300000000004E-2</v>
      </c>
      <c r="L110" s="117">
        <v>8.2200000000000009E-2</v>
      </c>
      <c r="M110" s="112">
        <v>49563.7</v>
      </c>
      <c r="N110" s="61">
        <v>99.9</v>
      </c>
      <c r="O110" s="85">
        <v>189.34205</v>
      </c>
      <c r="P110" s="25">
        <v>3.341097706865236E-3</v>
      </c>
      <c r="Q110" s="25">
        <v>3.5329068832894503E-4</v>
      </c>
      <c r="R110" s="15"/>
    </row>
    <row r="111" spans="1:18" x14ac:dyDescent="0.25">
      <c r="A111" s="17" t="s">
        <v>2922</v>
      </c>
      <c r="B111" s="117" t="s">
        <v>2291</v>
      </c>
      <c r="C111" s="117" t="s">
        <v>2703</v>
      </c>
      <c r="D111" s="117"/>
      <c r="E111" s="117" t="s">
        <v>625</v>
      </c>
      <c r="F111" s="117" t="s">
        <v>2704</v>
      </c>
      <c r="G111" s="117" t="s">
        <v>529</v>
      </c>
      <c r="H111" s="118">
        <v>3.51</v>
      </c>
      <c r="I111" s="117" t="s">
        <v>204</v>
      </c>
      <c r="J111" s="118" t="s">
        <v>126</v>
      </c>
      <c r="K111" s="117">
        <v>5.2549999523162839E-2</v>
      </c>
      <c r="L111" s="117">
        <v>4.9500000000000002E-2</v>
      </c>
      <c r="M111" s="112">
        <v>116198.52</v>
      </c>
      <c r="N111" s="61">
        <v>99.93</v>
      </c>
      <c r="O111" s="85">
        <v>470.63453999999996</v>
      </c>
      <c r="P111" s="25">
        <v>8.3047372855927937E-3</v>
      </c>
      <c r="Q111" s="25">
        <v>8.78150419243778E-4</v>
      </c>
      <c r="R111" s="15"/>
    </row>
    <row r="112" spans="1:18" x14ac:dyDescent="0.25">
      <c r="A112" s="17" t="s">
        <v>2922</v>
      </c>
      <c r="B112" s="117" t="s">
        <v>2291</v>
      </c>
      <c r="C112" s="117" t="s">
        <v>2705</v>
      </c>
      <c r="D112" s="117"/>
      <c r="E112" s="117" t="s">
        <v>625</v>
      </c>
      <c r="F112" s="117" t="s">
        <v>2704</v>
      </c>
      <c r="G112" s="117" t="s">
        <v>529</v>
      </c>
      <c r="H112" s="118">
        <v>3.51</v>
      </c>
      <c r="I112" s="117" t="s">
        <v>204</v>
      </c>
      <c r="J112" s="118" t="s">
        <v>126</v>
      </c>
      <c r="K112" s="117">
        <v>5.2549999523162839E-2</v>
      </c>
      <c r="L112" s="117">
        <v>4.9500000000000002E-2</v>
      </c>
      <c r="M112" s="112">
        <v>3856.51</v>
      </c>
      <c r="N112" s="61">
        <v>99.93</v>
      </c>
      <c r="O112" s="85">
        <v>15.619870000000001</v>
      </c>
      <c r="P112" s="25">
        <v>2.7562557730062125E-4</v>
      </c>
      <c r="Q112" s="25">
        <v>2.9144897416652235E-5</v>
      </c>
      <c r="R112" s="15"/>
    </row>
    <row r="113" spans="1:18" x14ac:dyDescent="0.25">
      <c r="A113" s="17" t="s">
        <v>2922</v>
      </c>
      <c r="B113" s="117" t="s">
        <v>2291</v>
      </c>
      <c r="C113" s="117" t="s">
        <v>2706</v>
      </c>
      <c r="D113" s="117"/>
      <c r="E113" s="117" t="s">
        <v>625</v>
      </c>
      <c r="F113" s="117" t="s">
        <v>2707</v>
      </c>
      <c r="G113" s="117" t="s">
        <v>529</v>
      </c>
      <c r="H113" s="118">
        <v>3.51</v>
      </c>
      <c r="I113" s="117" t="s">
        <v>204</v>
      </c>
      <c r="J113" s="118" t="s">
        <v>126</v>
      </c>
      <c r="K113" s="117">
        <v>5.2549999523162839E-2</v>
      </c>
      <c r="L113" s="117">
        <v>4.9500000000000002E-2</v>
      </c>
      <c r="M113" s="112">
        <v>51664.93</v>
      </c>
      <c r="N113" s="61">
        <v>99.93</v>
      </c>
      <c r="O113" s="85">
        <v>209.25654</v>
      </c>
      <c r="P113" s="25">
        <v>3.6925054204311912E-3</v>
      </c>
      <c r="Q113" s="25">
        <v>3.9044885726088532E-4</v>
      </c>
      <c r="R113" s="15"/>
    </row>
    <row r="114" spans="1:18" x14ac:dyDescent="0.25">
      <c r="A114" s="17" t="s">
        <v>2923</v>
      </c>
      <c r="B114" s="216" t="s">
        <v>2977</v>
      </c>
      <c r="C114" s="117" t="s">
        <v>2641</v>
      </c>
      <c r="D114" s="117"/>
      <c r="E114" s="117" t="s">
        <v>2642</v>
      </c>
      <c r="F114" s="117" t="s">
        <v>2643</v>
      </c>
      <c r="G114" s="117" t="s">
        <v>2401</v>
      </c>
      <c r="H114" s="118">
        <v>3.86</v>
      </c>
      <c r="I114" s="117" t="s">
        <v>220</v>
      </c>
      <c r="J114" s="118" t="s">
        <v>257</v>
      </c>
      <c r="K114" s="117">
        <v>3.95E-2</v>
      </c>
      <c r="L114" s="117">
        <v>2.8799999999999999E-2</v>
      </c>
      <c r="M114" s="112">
        <v>492529.76</v>
      </c>
      <c r="N114" s="61">
        <v>116.89</v>
      </c>
      <c r="O114" s="85">
        <v>575.71803</v>
      </c>
      <c r="P114" s="25">
        <v>1.0159022730735044E-2</v>
      </c>
      <c r="Q114" s="25">
        <v>1.0742242365184289E-3</v>
      </c>
      <c r="R114" s="15"/>
    </row>
    <row r="115" spans="1:18" x14ac:dyDescent="0.25">
      <c r="A115" s="17" t="s">
        <v>2923</v>
      </c>
      <c r="B115" s="216" t="s">
        <v>2977</v>
      </c>
      <c r="C115" s="117" t="s">
        <v>2644</v>
      </c>
      <c r="D115" s="117"/>
      <c r="E115" s="117" t="s">
        <v>2642</v>
      </c>
      <c r="F115" s="117" t="s">
        <v>2643</v>
      </c>
      <c r="G115" s="117" t="s">
        <v>2401</v>
      </c>
      <c r="H115" s="118">
        <v>4.22</v>
      </c>
      <c r="I115" s="117" t="s">
        <v>220</v>
      </c>
      <c r="J115" s="118" t="s">
        <v>257</v>
      </c>
      <c r="K115" s="117">
        <v>3.95E-2</v>
      </c>
      <c r="L115" s="117">
        <v>2.8900000000000002E-2</v>
      </c>
      <c r="M115" s="112">
        <v>90653.2</v>
      </c>
      <c r="N115" s="61">
        <v>117.28</v>
      </c>
      <c r="O115" s="85">
        <v>106.31807000000001</v>
      </c>
      <c r="P115" s="25">
        <v>1.8760706344699324E-3</v>
      </c>
      <c r="Q115" s="25">
        <v>1.9837740286484149E-4</v>
      </c>
      <c r="R115" s="15"/>
    </row>
    <row r="116" spans="1:18" x14ac:dyDescent="0.25">
      <c r="A116" s="17" t="s">
        <v>2924</v>
      </c>
      <c r="B116" s="117" t="s">
        <v>2291</v>
      </c>
      <c r="C116" s="117" t="s">
        <v>2547</v>
      </c>
      <c r="D116" s="117"/>
      <c r="E116" s="117" t="s">
        <v>537</v>
      </c>
      <c r="F116" s="117" t="s">
        <v>2548</v>
      </c>
      <c r="G116" s="117" t="s">
        <v>256</v>
      </c>
      <c r="H116" s="118">
        <v>3.67</v>
      </c>
      <c r="I116" s="117" t="s">
        <v>211</v>
      </c>
      <c r="J116" s="118" t="s">
        <v>257</v>
      </c>
      <c r="K116" s="117">
        <v>5.0999999999999997E-2</v>
      </c>
      <c r="L116" s="117">
        <v>2.8500000000000001E-2</v>
      </c>
      <c r="M116" s="112">
        <v>338631.74</v>
      </c>
      <c r="N116" s="61">
        <v>124.31</v>
      </c>
      <c r="O116" s="85">
        <v>420.95312000000001</v>
      </c>
      <c r="P116" s="25">
        <v>7.4280673729357344E-3</v>
      </c>
      <c r="Q116" s="25">
        <v>7.8545055110059803E-4</v>
      </c>
      <c r="R116" s="15"/>
    </row>
    <row r="117" spans="1:18" x14ac:dyDescent="0.25">
      <c r="A117" s="17" t="s">
        <v>2924</v>
      </c>
      <c r="B117" s="117" t="s">
        <v>2291</v>
      </c>
      <c r="C117" s="117" t="s">
        <v>2518</v>
      </c>
      <c r="D117" s="117"/>
      <c r="E117" s="117" t="s">
        <v>537</v>
      </c>
      <c r="F117" s="117" t="s">
        <v>2519</v>
      </c>
      <c r="G117" s="117" t="s">
        <v>256</v>
      </c>
      <c r="H117" s="118">
        <v>3.67</v>
      </c>
      <c r="I117" s="117" t="s">
        <v>211</v>
      </c>
      <c r="J117" s="118" t="s">
        <v>257</v>
      </c>
      <c r="K117" s="117">
        <v>5.0999999999999997E-2</v>
      </c>
      <c r="L117" s="117">
        <v>2.8500000000000001E-2</v>
      </c>
      <c r="M117" s="112">
        <v>141042.09</v>
      </c>
      <c r="N117" s="61">
        <v>122.72</v>
      </c>
      <c r="O117" s="85">
        <v>173.08685</v>
      </c>
      <c r="P117" s="25">
        <v>3.0542612041198833E-3</v>
      </c>
      <c r="Q117" s="25">
        <v>3.229603375329931E-4</v>
      </c>
      <c r="R117" s="15"/>
    </row>
    <row r="118" spans="1:18" x14ac:dyDescent="0.25">
      <c r="A118" s="17" t="s">
        <v>2924</v>
      </c>
      <c r="B118" s="117" t="s">
        <v>2291</v>
      </c>
      <c r="C118" s="117" t="s">
        <v>2523</v>
      </c>
      <c r="D118" s="117"/>
      <c r="E118" s="117" t="s">
        <v>537</v>
      </c>
      <c r="F118" s="117" t="s">
        <v>2524</v>
      </c>
      <c r="G118" s="117" t="s">
        <v>256</v>
      </c>
      <c r="H118" s="118">
        <v>3.67</v>
      </c>
      <c r="I118" s="117" t="s">
        <v>211</v>
      </c>
      <c r="J118" s="118" t="s">
        <v>257</v>
      </c>
      <c r="K118" s="117">
        <v>5.0999999999999997E-2</v>
      </c>
      <c r="L118" s="117">
        <v>2.8500000000000001E-2</v>
      </c>
      <c r="M118" s="112">
        <v>275542.86</v>
      </c>
      <c r="N118" s="61">
        <v>123.81</v>
      </c>
      <c r="O118" s="85">
        <v>341.14961999999997</v>
      </c>
      <c r="P118" s="25">
        <v>6.0198683445116747E-3</v>
      </c>
      <c r="Q118" s="25">
        <v>6.3654631431822996E-4</v>
      </c>
      <c r="R118" s="15"/>
    </row>
    <row r="119" spans="1:18" x14ac:dyDescent="0.25">
      <c r="A119" s="17" t="s">
        <v>2924</v>
      </c>
      <c r="B119" s="117" t="s">
        <v>2291</v>
      </c>
      <c r="C119" s="117" t="s">
        <v>2477</v>
      </c>
      <c r="D119" s="117"/>
      <c r="E119" s="117" t="s">
        <v>537</v>
      </c>
      <c r="F119" s="117" t="s">
        <v>2473</v>
      </c>
      <c r="G119" s="117" t="s">
        <v>256</v>
      </c>
      <c r="H119" s="118">
        <v>3.67</v>
      </c>
      <c r="I119" s="117" t="s">
        <v>211</v>
      </c>
      <c r="J119" s="118" t="s">
        <v>257</v>
      </c>
      <c r="K119" s="117">
        <v>5.0999999999999997E-2</v>
      </c>
      <c r="L119" s="117">
        <v>2.8500000000000001E-2</v>
      </c>
      <c r="M119" s="112">
        <v>103031.21</v>
      </c>
      <c r="N119" s="61">
        <v>125.16</v>
      </c>
      <c r="O119" s="85">
        <v>128.95385999999999</v>
      </c>
      <c r="P119" s="25">
        <v>2.2754979463749372E-3</v>
      </c>
      <c r="Q119" s="25">
        <v>2.4061320748388647E-4</v>
      </c>
      <c r="R119" s="15"/>
    </row>
    <row r="120" spans="1:18" x14ac:dyDescent="0.25">
      <c r="A120" s="17" t="s">
        <v>2924</v>
      </c>
      <c r="B120" s="117" t="s">
        <v>2291</v>
      </c>
      <c r="C120" s="117" t="s">
        <v>2478</v>
      </c>
      <c r="D120" s="117"/>
      <c r="E120" s="117" t="s">
        <v>537</v>
      </c>
      <c r="F120" s="117" t="s">
        <v>2473</v>
      </c>
      <c r="G120" s="117" t="s">
        <v>256</v>
      </c>
      <c r="H120" s="118">
        <v>3.67</v>
      </c>
      <c r="I120" s="117" t="s">
        <v>211</v>
      </c>
      <c r="J120" s="118" t="s">
        <v>257</v>
      </c>
      <c r="K120" s="117">
        <v>5.0999999999999997E-2</v>
      </c>
      <c r="L120" s="117">
        <v>2.8500000000000001E-2</v>
      </c>
      <c r="M120" s="112">
        <v>189584.82</v>
      </c>
      <c r="N120" s="61">
        <v>125.16</v>
      </c>
      <c r="O120" s="85">
        <v>237.28435999999999</v>
      </c>
      <c r="P120" s="25">
        <v>4.1870795793696389E-3</v>
      </c>
      <c r="Q120" s="25">
        <v>4.4274557539697695E-4</v>
      </c>
      <c r="R120" s="15"/>
    </row>
    <row r="121" spans="1:18" x14ac:dyDescent="0.25">
      <c r="A121" s="17" t="s">
        <v>2924</v>
      </c>
      <c r="B121" s="117" t="s">
        <v>2291</v>
      </c>
      <c r="C121" s="117" t="s">
        <v>2470</v>
      </c>
      <c r="D121" s="117"/>
      <c r="E121" s="117" t="s">
        <v>537</v>
      </c>
      <c r="F121" s="117" t="s">
        <v>2471</v>
      </c>
      <c r="G121" s="117" t="s">
        <v>256</v>
      </c>
      <c r="H121" s="118">
        <v>3.68</v>
      </c>
      <c r="I121" s="117" t="s">
        <v>211</v>
      </c>
      <c r="J121" s="118" t="s">
        <v>257</v>
      </c>
      <c r="K121" s="117">
        <v>5.0999999999999997E-2</v>
      </c>
      <c r="L121" s="117">
        <v>2.5099999999999997E-2</v>
      </c>
      <c r="M121" s="112">
        <v>1705286.97</v>
      </c>
      <c r="N121" s="61">
        <v>131.08000000000001</v>
      </c>
      <c r="O121" s="85">
        <v>2235.2901699999998</v>
      </c>
      <c r="P121" s="25">
        <v>3.944355129336248E-2</v>
      </c>
      <c r="Q121" s="25">
        <v>4.1707967288524888E-3</v>
      </c>
      <c r="R121" s="15"/>
    </row>
    <row r="122" spans="1:18" x14ac:dyDescent="0.25">
      <c r="A122" s="17" t="s">
        <v>2924</v>
      </c>
      <c r="B122" s="117" t="s">
        <v>2291</v>
      </c>
      <c r="C122" s="117" t="s">
        <v>2475</v>
      </c>
      <c r="D122" s="117"/>
      <c r="E122" s="117" t="s">
        <v>537</v>
      </c>
      <c r="F122" s="117" t="s">
        <v>2473</v>
      </c>
      <c r="G122" s="117" t="s">
        <v>256</v>
      </c>
      <c r="H122" s="118">
        <v>3.67</v>
      </c>
      <c r="I122" s="117" t="s">
        <v>211</v>
      </c>
      <c r="J122" s="118" t="s">
        <v>257</v>
      </c>
      <c r="K122" s="117">
        <v>5.1299999999999998E-2</v>
      </c>
      <c r="L122" s="117">
        <v>2.8500000000000001E-2</v>
      </c>
      <c r="M122" s="112">
        <v>251339.7</v>
      </c>
      <c r="N122" s="61">
        <v>126.89</v>
      </c>
      <c r="O122" s="85">
        <v>318.92495000000002</v>
      </c>
      <c r="P122" s="25">
        <v>5.6276955864115238E-3</v>
      </c>
      <c r="Q122" s="25">
        <v>5.9507761276892464E-4</v>
      </c>
      <c r="R122" s="15"/>
    </row>
    <row r="123" spans="1:18" x14ac:dyDescent="0.25">
      <c r="A123" s="17" t="s">
        <v>2924</v>
      </c>
      <c r="B123" s="117" t="s">
        <v>2291</v>
      </c>
      <c r="C123" s="117" t="s">
        <v>2476</v>
      </c>
      <c r="D123" s="117"/>
      <c r="E123" s="117" t="s">
        <v>537</v>
      </c>
      <c r="F123" s="117" t="s">
        <v>2473</v>
      </c>
      <c r="G123" s="117" t="s">
        <v>256</v>
      </c>
      <c r="H123" s="118">
        <v>3.66</v>
      </c>
      <c r="I123" s="117" t="s">
        <v>211</v>
      </c>
      <c r="J123" s="118" t="s">
        <v>257</v>
      </c>
      <c r="K123" s="117">
        <v>5.1500000000000004E-2</v>
      </c>
      <c r="L123" s="117">
        <v>2.8500000000000001E-2</v>
      </c>
      <c r="M123" s="112">
        <v>146273.31</v>
      </c>
      <c r="N123" s="61">
        <v>126.96</v>
      </c>
      <c r="O123" s="85">
        <v>185.70860000000002</v>
      </c>
      <c r="P123" s="25">
        <v>3.27698246430285E-3</v>
      </c>
      <c r="Q123" s="25">
        <v>3.4651108468829151E-4</v>
      </c>
      <c r="R123" s="15"/>
    </row>
    <row r="124" spans="1:18" x14ac:dyDescent="0.25">
      <c r="A124" s="17" t="s">
        <v>2924</v>
      </c>
      <c r="B124" s="117" t="s">
        <v>2291</v>
      </c>
      <c r="C124" s="117" t="s">
        <v>2479</v>
      </c>
      <c r="D124" s="117"/>
      <c r="E124" s="117" t="s">
        <v>537</v>
      </c>
      <c r="F124" s="117" t="s">
        <v>2473</v>
      </c>
      <c r="G124" s="117" t="s">
        <v>256</v>
      </c>
      <c r="H124" s="118">
        <v>3.67</v>
      </c>
      <c r="I124" s="117" t="s">
        <v>211</v>
      </c>
      <c r="J124" s="118" t="s">
        <v>257</v>
      </c>
      <c r="K124" s="117">
        <v>5.0999999999999997E-2</v>
      </c>
      <c r="L124" s="117">
        <v>2.86E-2</v>
      </c>
      <c r="M124" s="112">
        <v>84071.45</v>
      </c>
      <c r="N124" s="61">
        <v>125.47</v>
      </c>
      <c r="O124" s="85">
        <v>105.48444000000001</v>
      </c>
      <c r="P124" s="25">
        <v>1.8613605408516682E-3</v>
      </c>
      <c r="Q124" s="25">
        <v>1.9682194428333961E-4</v>
      </c>
      <c r="R124" s="15"/>
    </row>
    <row r="125" spans="1:18" x14ac:dyDescent="0.25">
      <c r="A125" s="17" t="s">
        <v>2924</v>
      </c>
      <c r="B125" s="117" t="s">
        <v>2291</v>
      </c>
      <c r="C125" s="117" t="s">
        <v>2480</v>
      </c>
      <c r="D125" s="117"/>
      <c r="E125" s="117" t="s">
        <v>537</v>
      </c>
      <c r="F125" s="117" t="s">
        <v>2473</v>
      </c>
      <c r="G125" s="117" t="s">
        <v>256</v>
      </c>
      <c r="H125" s="118">
        <v>3.67</v>
      </c>
      <c r="I125" s="117" t="s">
        <v>211</v>
      </c>
      <c r="J125" s="118" t="s">
        <v>257</v>
      </c>
      <c r="K125" s="117">
        <v>5.0999999999999997E-2</v>
      </c>
      <c r="L125" s="117">
        <v>2.8500000000000001E-2</v>
      </c>
      <c r="M125" s="112">
        <v>106013.69</v>
      </c>
      <c r="N125" s="61">
        <v>124.1</v>
      </c>
      <c r="O125" s="85">
        <v>131.56298999999999</v>
      </c>
      <c r="P125" s="25">
        <v>2.3215382119150712E-3</v>
      </c>
      <c r="Q125" s="25">
        <v>2.4548154673361837E-4</v>
      </c>
      <c r="R125" s="15"/>
    </row>
    <row r="126" spans="1:18" x14ac:dyDescent="0.25">
      <c r="A126" s="17" t="s">
        <v>2924</v>
      </c>
      <c r="B126" s="117" t="s">
        <v>2291</v>
      </c>
      <c r="C126" s="117" t="s">
        <v>2481</v>
      </c>
      <c r="D126" s="117"/>
      <c r="E126" s="117" t="s">
        <v>537</v>
      </c>
      <c r="F126" s="117" t="s">
        <v>2473</v>
      </c>
      <c r="G126" s="117" t="s">
        <v>256</v>
      </c>
      <c r="H126" s="118">
        <v>3.68</v>
      </c>
      <c r="I126" s="117" t="s">
        <v>211</v>
      </c>
      <c r="J126" s="118" t="s">
        <v>257</v>
      </c>
      <c r="K126" s="117">
        <v>5.0999999999999997E-2</v>
      </c>
      <c r="L126" s="117">
        <v>2.5000000000000001E-2</v>
      </c>
      <c r="M126" s="112">
        <v>24238.86</v>
      </c>
      <c r="N126" s="61">
        <v>125.65</v>
      </c>
      <c r="O126" s="85">
        <v>30.456119999999999</v>
      </c>
      <c r="P126" s="25">
        <v>5.3742352896259679E-4</v>
      </c>
      <c r="Q126" s="25">
        <v>5.6827649212781566E-5</v>
      </c>
      <c r="R126" s="15"/>
    </row>
    <row r="127" spans="1:18" x14ac:dyDescent="0.25">
      <c r="A127" s="17" t="s">
        <v>2924</v>
      </c>
      <c r="B127" s="117" t="s">
        <v>2291</v>
      </c>
      <c r="C127" s="117" t="s">
        <v>2482</v>
      </c>
      <c r="D127" s="117"/>
      <c r="E127" s="117" t="s">
        <v>537</v>
      </c>
      <c r="F127" s="117" t="s">
        <v>2473</v>
      </c>
      <c r="G127" s="117" t="s">
        <v>256</v>
      </c>
      <c r="H127" s="118">
        <v>3.67</v>
      </c>
      <c r="I127" s="117" t="s">
        <v>211</v>
      </c>
      <c r="J127" s="118" t="s">
        <v>257</v>
      </c>
      <c r="K127" s="117">
        <v>5.0999999999999997E-2</v>
      </c>
      <c r="L127" s="117">
        <v>2.8500000000000001E-2</v>
      </c>
      <c r="M127" s="112">
        <v>213911.51</v>
      </c>
      <c r="N127" s="61">
        <v>124.34</v>
      </c>
      <c r="O127" s="85">
        <v>265.97757000000001</v>
      </c>
      <c r="P127" s="25">
        <v>4.6933950974154329E-3</v>
      </c>
      <c r="Q127" s="25">
        <v>4.9628383544680205E-4</v>
      </c>
      <c r="R127" s="15"/>
    </row>
    <row r="128" spans="1:18" x14ac:dyDescent="0.25">
      <c r="A128" s="17" t="s">
        <v>2924</v>
      </c>
      <c r="B128" s="117" t="s">
        <v>2291</v>
      </c>
      <c r="C128" s="117" t="s">
        <v>2483</v>
      </c>
      <c r="D128" s="117"/>
      <c r="E128" s="117" t="s">
        <v>537</v>
      </c>
      <c r="F128" s="117" t="s">
        <v>2473</v>
      </c>
      <c r="G128" s="117" t="s">
        <v>256</v>
      </c>
      <c r="H128" s="118">
        <v>3.68</v>
      </c>
      <c r="I128" s="117" t="s">
        <v>211</v>
      </c>
      <c r="J128" s="118" t="s">
        <v>257</v>
      </c>
      <c r="K128" s="117">
        <v>5.0999999999999997E-2</v>
      </c>
      <c r="L128" s="117">
        <v>2.5099999999999997E-2</v>
      </c>
      <c r="M128" s="112">
        <v>58198.15</v>
      </c>
      <c r="N128" s="61">
        <v>126.47</v>
      </c>
      <c r="O128" s="85">
        <v>73.603200000000001</v>
      </c>
      <c r="P128" s="25">
        <v>1.2987895860319635E-3</v>
      </c>
      <c r="Q128" s="25">
        <v>1.3733518355385401E-4</v>
      </c>
      <c r="R128" s="15"/>
    </row>
    <row r="129" spans="1:18" x14ac:dyDescent="0.25">
      <c r="A129" s="17" t="s">
        <v>2924</v>
      </c>
      <c r="B129" s="117" t="s">
        <v>2291</v>
      </c>
      <c r="C129" s="117" t="s">
        <v>2484</v>
      </c>
      <c r="D129" s="117"/>
      <c r="E129" s="117" t="s">
        <v>537</v>
      </c>
      <c r="F129" s="117" t="s">
        <v>2473</v>
      </c>
      <c r="G129" s="117" t="s">
        <v>256</v>
      </c>
      <c r="H129" s="118">
        <v>3.67</v>
      </c>
      <c r="I129" s="117" t="s">
        <v>211</v>
      </c>
      <c r="J129" s="118" t="s">
        <v>257</v>
      </c>
      <c r="K129" s="117">
        <v>5.0999999999999997E-2</v>
      </c>
      <c r="L129" s="117">
        <v>2.8500000000000001E-2</v>
      </c>
      <c r="M129" s="112">
        <v>117764.67</v>
      </c>
      <c r="N129" s="61">
        <v>124.68</v>
      </c>
      <c r="O129" s="85">
        <v>146.82899</v>
      </c>
      <c r="P129" s="25">
        <v>2.5909194592027428E-3</v>
      </c>
      <c r="Q129" s="25">
        <v>2.7396616305645674E-4</v>
      </c>
      <c r="R129" s="15"/>
    </row>
    <row r="130" spans="1:18" x14ac:dyDescent="0.25">
      <c r="A130" s="17" t="s">
        <v>2924</v>
      </c>
      <c r="B130" s="117" t="s">
        <v>2291</v>
      </c>
      <c r="C130" s="117" t="s">
        <v>2485</v>
      </c>
      <c r="D130" s="117"/>
      <c r="E130" s="117" t="s">
        <v>537</v>
      </c>
      <c r="F130" s="117" t="s">
        <v>2473</v>
      </c>
      <c r="G130" s="117" t="s">
        <v>256</v>
      </c>
      <c r="H130" s="118">
        <v>3.67</v>
      </c>
      <c r="I130" s="117" t="s">
        <v>211</v>
      </c>
      <c r="J130" s="118" t="s">
        <v>257</v>
      </c>
      <c r="K130" s="117">
        <v>5.0999999999999997E-2</v>
      </c>
      <c r="L130" s="117">
        <v>2.8500000000000001E-2</v>
      </c>
      <c r="M130" s="112">
        <v>182555.18</v>
      </c>
      <c r="N130" s="61">
        <v>124.91</v>
      </c>
      <c r="O130" s="85">
        <v>228.02967999999998</v>
      </c>
      <c r="P130" s="25">
        <v>4.0237730654401043E-3</v>
      </c>
      <c r="Q130" s="25">
        <v>4.2547739715836528E-4</v>
      </c>
      <c r="R130" s="15"/>
    </row>
    <row r="131" spans="1:18" x14ac:dyDescent="0.25">
      <c r="A131" s="17" t="s">
        <v>2924</v>
      </c>
      <c r="B131" s="117" t="s">
        <v>2291</v>
      </c>
      <c r="C131" s="117" t="s">
        <v>2486</v>
      </c>
      <c r="D131" s="117"/>
      <c r="E131" s="117" t="s">
        <v>537</v>
      </c>
      <c r="F131" s="117" t="s">
        <v>2473</v>
      </c>
      <c r="G131" s="117" t="s">
        <v>256</v>
      </c>
      <c r="H131" s="118">
        <v>3.68</v>
      </c>
      <c r="I131" s="117" t="s">
        <v>211</v>
      </c>
      <c r="J131" s="118" t="s">
        <v>257</v>
      </c>
      <c r="K131" s="117">
        <v>5.0999999999999997E-2</v>
      </c>
      <c r="L131" s="117">
        <v>2.5099999999999997E-2</v>
      </c>
      <c r="M131" s="112">
        <v>79907.259999999995</v>
      </c>
      <c r="N131" s="61">
        <v>126.2</v>
      </c>
      <c r="O131" s="85">
        <v>100.84296000000001</v>
      </c>
      <c r="P131" s="25">
        <v>1.7794577718446734E-3</v>
      </c>
      <c r="Q131" s="25">
        <v>1.8816147153539464E-4</v>
      </c>
      <c r="R131" s="15"/>
    </row>
    <row r="132" spans="1:18" x14ac:dyDescent="0.25">
      <c r="A132" s="17" t="s">
        <v>2924</v>
      </c>
      <c r="B132" s="117" t="s">
        <v>2291</v>
      </c>
      <c r="C132" s="117" t="s">
        <v>2487</v>
      </c>
      <c r="D132" s="117"/>
      <c r="E132" s="117" t="s">
        <v>537</v>
      </c>
      <c r="F132" s="117" t="s">
        <v>2473</v>
      </c>
      <c r="G132" s="117" t="s">
        <v>256</v>
      </c>
      <c r="H132" s="118">
        <v>3.68</v>
      </c>
      <c r="I132" s="117" t="s">
        <v>211</v>
      </c>
      <c r="J132" s="118" t="s">
        <v>257</v>
      </c>
      <c r="K132" s="117">
        <v>5.0999999999999997E-2</v>
      </c>
      <c r="L132" s="117">
        <v>2.5099999999999997E-2</v>
      </c>
      <c r="M132" s="112">
        <v>29267.02</v>
      </c>
      <c r="N132" s="61">
        <v>125.67</v>
      </c>
      <c r="O132" s="85">
        <v>36.779859999999999</v>
      </c>
      <c r="P132" s="25">
        <v>6.490111726625144E-4</v>
      </c>
      <c r="Q132" s="25">
        <v>6.8627027414365854E-5</v>
      </c>
      <c r="R132" s="15"/>
    </row>
    <row r="133" spans="1:18" x14ac:dyDescent="0.25">
      <c r="A133" s="17" t="s">
        <v>2924</v>
      </c>
      <c r="B133" s="117" t="s">
        <v>2291</v>
      </c>
      <c r="C133" s="117" t="s">
        <v>2488</v>
      </c>
      <c r="D133" s="117"/>
      <c r="E133" s="117" t="s">
        <v>537</v>
      </c>
      <c r="F133" s="117" t="s">
        <v>2473</v>
      </c>
      <c r="G133" s="117" t="s">
        <v>256</v>
      </c>
      <c r="H133" s="118">
        <v>3.68</v>
      </c>
      <c r="I133" s="117" t="s">
        <v>211</v>
      </c>
      <c r="J133" s="118" t="s">
        <v>257</v>
      </c>
      <c r="K133" s="117">
        <v>5.0999999999999997E-2</v>
      </c>
      <c r="L133" s="117">
        <v>2.52E-2</v>
      </c>
      <c r="M133" s="112">
        <v>48214.07</v>
      </c>
      <c r="N133" s="61">
        <v>125.53</v>
      </c>
      <c r="O133" s="85">
        <v>60.523120000000006</v>
      </c>
      <c r="P133" s="25">
        <v>1.0679807123897176E-3</v>
      </c>
      <c r="Q133" s="25">
        <v>1.1292924484875568E-4</v>
      </c>
      <c r="R133" s="15"/>
    </row>
    <row r="134" spans="1:18" x14ac:dyDescent="0.25">
      <c r="A134" s="17" t="s">
        <v>2924</v>
      </c>
      <c r="B134" s="117" t="s">
        <v>2291</v>
      </c>
      <c r="C134" s="117" t="s">
        <v>2489</v>
      </c>
      <c r="D134" s="117"/>
      <c r="E134" s="117" t="s">
        <v>537</v>
      </c>
      <c r="F134" s="117" t="s">
        <v>2473</v>
      </c>
      <c r="G134" s="117" t="s">
        <v>256</v>
      </c>
      <c r="H134" s="118">
        <v>3.68</v>
      </c>
      <c r="I134" s="117" t="s">
        <v>211</v>
      </c>
      <c r="J134" s="118" t="s">
        <v>257</v>
      </c>
      <c r="K134" s="117">
        <v>5.0999999999999997E-2</v>
      </c>
      <c r="L134" s="117">
        <v>2.58E-2</v>
      </c>
      <c r="M134" s="112">
        <v>42341.8</v>
      </c>
      <c r="N134" s="61">
        <v>124.28</v>
      </c>
      <c r="O134" s="85">
        <v>52.622390000000003</v>
      </c>
      <c r="P134" s="25">
        <v>9.2856577056585224E-4</v>
      </c>
      <c r="Q134" s="25">
        <v>9.818738301721247E-5</v>
      </c>
      <c r="R134" s="15"/>
    </row>
    <row r="135" spans="1:18" x14ac:dyDescent="0.25">
      <c r="A135" s="17" t="s">
        <v>2924</v>
      </c>
      <c r="B135" s="117" t="s">
        <v>2291</v>
      </c>
      <c r="C135" s="117" t="s">
        <v>2490</v>
      </c>
      <c r="D135" s="117"/>
      <c r="E135" s="117" t="s">
        <v>537</v>
      </c>
      <c r="F135" s="117" t="s">
        <v>2473</v>
      </c>
      <c r="G135" s="117" t="s">
        <v>256</v>
      </c>
      <c r="H135" s="118">
        <v>3.63</v>
      </c>
      <c r="I135" s="117" t="s">
        <v>211</v>
      </c>
      <c r="J135" s="118" t="s">
        <v>257</v>
      </c>
      <c r="K135" s="117">
        <v>5.0999999999999997E-2</v>
      </c>
      <c r="L135" s="117">
        <v>3.5799999999999998E-2</v>
      </c>
      <c r="M135" s="112">
        <v>132007.19</v>
      </c>
      <c r="N135" s="61">
        <v>119.6</v>
      </c>
      <c r="O135" s="85">
        <v>157.88060000000002</v>
      </c>
      <c r="P135" s="25">
        <v>2.7859342952001819E-3</v>
      </c>
      <c r="Q135" s="25">
        <v>2.9458720790118646E-4</v>
      </c>
      <c r="R135" s="15"/>
    </row>
    <row r="136" spans="1:18" x14ac:dyDescent="0.25">
      <c r="A136" s="17" t="s">
        <v>2924</v>
      </c>
      <c r="B136" s="117" t="s">
        <v>2291</v>
      </c>
      <c r="C136" s="117" t="s">
        <v>2491</v>
      </c>
      <c r="D136" s="117"/>
      <c r="E136" s="117" t="s">
        <v>537</v>
      </c>
      <c r="F136" s="117" t="s">
        <v>2473</v>
      </c>
      <c r="G136" s="117" t="s">
        <v>256</v>
      </c>
      <c r="H136" s="118">
        <v>3.63</v>
      </c>
      <c r="I136" s="117" t="s">
        <v>211</v>
      </c>
      <c r="J136" s="118" t="s">
        <v>257</v>
      </c>
      <c r="K136" s="117">
        <v>5.0999999999999997E-2</v>
      </c>
      <c r="L136" s="117">
        <v>3.5799999999999998E-2</v>
      </c>
      <c r="M136" s="112">
        <v>96590.55</v>
      </c>
      <c r="N136" s="61">
        <v>119.36</v>
      </c>
      <c r="O136" s="85">
        <v>115.29048</v>
      </c>
      <c r="P136" s="25">
        <v>2.0343962598450391E-3</v>
      </c>
      <c r="Q136" s="25">
        <v>2.1511889745027304E-4</v>
      </c>
      <c r="R136" s="15"/>
    </row>
    <row r="137" spans="1:18" x14ac:dyDescent="0.25">
      <c r="A137" s="17" t="s">
        <v>2924</v>
      </c>
      <c r="B137" s="117" t="s">
        <v>2291</v>
      </c>
      <c r="C137" s="117" t="s">
        <v>2468</v>
      </c>
      <c r="D137" s="117"/>
      <c r="E137" s="117" t="s">
        <v>537</v>
      </c>
      <c r="F137" s="117" t="s">
        <v>2469</v>
      </c>
      <c r="G137" s="117" t="s">
        <v>256</v>
      </c>
      <c r="H137" s="118">
        <v>3.68</v>
      </c>
      <c r="I137" s="117" t="s">
        <v>211</v>
      </c>
      <c r="J137" s="118" t="s">
        <v>257</v>
      </c>
      <c r="K137" s="117">
        <v>5.0999999999999997E-2</v>
      </c>
      <c r="L137" s="117">
        <v>2.6499999999999999E-2</v>
      </c>
      <c r="M137" s="112">
        <v>47097.22</v>
      </c>
      <c r="N137" s="61">
        <v>123.37</v>
      </c>
      <c r="O137" s="85">
        <v>58.103850000000001</v>
      </c>
      <c r="P137" s="25">
        <v>1.0252906842143181E-3</v>
      </c>
      <c r="Q137" s="25">
        <v>1.0841516272302835E-4</v>
      </c>
      <c r="R137" s="15"/>
    </row>
    <row r="138" spans="1:18" x14ac:dyDescent="0.25">
      <c r="A138" s="17" t="s">
        <v>2924</v>
      </c>
      <c r="B138" s="117" t="s">
        <v>2291</v>
      </c>
      <c r="C138" s="117" t="s">
        <v>2492</v>
      </c>
      <c r="D138" s="117"/>
      <c r="E138" s="117" t="s">
        <v>537</v>
      </c>
      <c r="F138" s="117" t="s">
        <v>2493</v>
      </c>
      <c r="G138" s="117" t="s">
        <v>256</v>
      </c>
      <c r="H138" s="118">
        <v>3.68</v>
      </c>
      <c r="I138" s="117" t="s">
        <v>211</v>
      </c>
      <c r="J138" s="118" t="s">
        <v>257</v>
      </c>
      <c r="K138" s="117">
        <v>5.0999999999999997E-2</v>
      </c>
      <c r="L138" s="117">
        <v>2.6699999999999998E-2</v>
      </c>
      <c r="M138" s="112">
        <v>12163.14</v>
      </c>
      <c r="N138" s="61">
        <v>122.91</v>
      </c>
      <c r="O138" s="85">
        <v>14.949719999999999</v>
      </c>
      <c r="P138" s="25">
        <v>2.6380022404044615E-4</v>
      </c>
      <c r="Q138" s="25">
        <v>2.7894473885357192E-5</v>
      </c>
      <c r="R138" s="15"/>
    </row>
    <row r="139" spans="1:18" x14ac:dyDescent="0.25">
      <c r="A139" s="17" t="s">
        <v>2924</v>
      </c>
      <c r="B139" s="117" t="s">
        <v>2291</v>
      </c>
      <c r="C139" s="117" t="s">
        <v>2494</v>
      </c>
      <c r="D139" s="117"/>
      <c r="E139" s="117" t="s">
        <v>537</v>
      </c>
      <c r="F139" s="117" t="s">
        <v>2495</v>
      </c>
      <c r="G139" s="117" t="s">
        <v>256</v>
      </c>
      <c r="H139" s="118">
        <v>3.67</v>
      </c>
      <c r="I139" s="117" t="s">
        <v>211</v>
      </c>
      <c r="J139" s="118" t="s">
        <v>257</v>
      </c>
      <c r="K139" s="117">
        <v>5.0999999999999997E-2</v>
      </c>
      <c r="L139" s="117">
        <v>2.8500000000000001E-2</v>
      </c>
      <c r="M139" s="112">
        <v>138379.24</v>
      </c>
      <c r="N139" s="61">
        <v>122.58</v>
      </c>
      <c r="O139" s="85">
        <v>169.62528</v>
      </c>
      <c r="P139" s="25">
        <v>2.9931789268911667E-3</v>
      </c>
      <c r="Q139" s="25">
        <v>3.1650144238530234E-4</v>
      </c>
      <c r="R139" s="15"/>
    </row>
    <row r="140" spans="1:18" x14ac:dyDescent="0.25">
      <c r="A140" s="17" t="s">
        <v>2924</v>
      </c>
      <c r="B140" s="117" t="s">
        <v>2291</v>
      </c>
      <c r="C140" s="117" t="s">
        <v>2496</v>
      </c>
      <c r="D140" s="117"/>
      <c r="E140" s="117" t="s">
        <v>537</v>
      </c>
      <c r="F140" s="117" t="s">
        <v>2497</v>
      </c>
      <c r="G140" s="117" t="s">
        <v>256</v>
      </c>
      <c r="H140" s="118">
        <v>3.67</v>
      </c>
      <c r="I140" s="117" t="s">
        <v>211</v>
      </c>
      <c r="J140" s="118" t="s">
        <v>257</v>
      </c>
      <c r="K140" s="117">
        <v>5.0999999999999997E-2</v>
      </c>
      <c r="L140" s="117">
        <v>2.8500000000000001E-2</v>
      </c>
      <c r="M140" s="112">
        <v>26765.24</v>
      </c>
      <c r="N140" s="61">
        <v>122.47</v>
      </c>
      <c r="O140" s="85">
        <v>32.779389999999999</v>
      </c>
      <c r="P140" s="25">
        <v>5.7841955741707272E-4</v>
      </c>
      <c r="Q140" s="25">
        <v>6.116260627844125E-5</v>
      </c>
      <c r="R140" s="15"/>
    </row>
    <row r="141" spans="1:18" x14ac:dyDescent="0.25">
      <c r="A141" s="17" t="s">
        <v>2924</v>
      </c>
      <c r="B141" s="117" t="s">
        <v>2291</v>
      </c>
      <c r="C141" s="117" t="s">
        <v>2498</v>
      </c>
      <c r="D141" s="117"/>
      <c r="E141" s="117" t="s">
        <v>537</v>
      </c>
      <c r="F141" s="117" t="s">
        <v>2499</v>
      </c>
      <c r="G141" s="117" t="s">
        <v>256</v>
      </c>
      <c r="H141" s="118">
        <v>3.67</v>
      </c>
      <c r="I141" s="117" t="s">
        <v>211</v>
      </c>
      <c r="J141" s="118" t="s">
        <v>257</v>
      </c>
      <c r="K141" s="117">
        <v>5.0999999999999997E-2</v>
      </c>
      <c r="L141" s="117">
        <v>2.8500000000000001E-2</v>
      </c>
      <c r="M141" s="112">
        <v>25761.43</v>
      </c>
      <c r="N141" s="61">
        <v>123.2</v>
      </c>
      <c r="O141" s="85">
        <v>31.73808</v>
      </c>
      <c r="P141" s="25">
        <v>5.6004477773587754E-4</v>
      </c>
      <c r="Q141" s="25">
        <v>5.9219640483659717E-5</v>
      </c>
      <c r="R141" s="15"/>
    </row>
    <row r="142" spans="1:18" x14ac:dyDescent="0.25">
      <c r="A142" s="17" t="s">
        <v>2924</v>
      </c>
      <c r="B142" s="117" t="s">
        <v>2291</v>
      </c>
      <c r="C142" s="117" t="s">
        <v>2500</v>
      </c>
      <c r="D142" s="117"/>
      <c r="E142" s="117" t="s">
        <v>537</v>
      </c>
      <c r="F142" s="117" t="s">
        <v>2501</v>
      </c>
      <c r="G142" s="117" t="s">
        <v>256</v>
      </c>
      <c r="H142" s="118">
        <v>3.67</v>
      </c>
      <c r="I142" s="117" t="s">
        <v>211</v>
      </c>
      <c r="J142" s="118" t="s">
        <v>257</v>
      </c>
      <c r="K142" s="117">
        <v>5.0999999999999997E-2</v>
      </c>
      <c r="L142" s="117">
        <v>2.8500000000000001E-2</v>
      </c>
      <c r="M142" s="112">
        <v>51305.08</v>
      </c>
      <c r="N142" s="61">
        <v>123.44</v>
      </c>
      <c r="O142" s="85">
        <v>63.33099</v>
      </c>
      <c r="P142" s="25">
        <v>1.1175279102687713E-3</v>
      </c>
      <c r="Q142" s="25">
        <v>1.1816841029054841E-4</v>
      </c>
      <c r="R142" s="15"/>
    </row>
    <row r="143" spans="1:18" x14ac:dyDescent="0.25">
      <c r="A143" s="17" t="s">
        <v>2924</v>
      </c>
      <c r="B143" s="117" t="s">
        <v>2291</v>
      </c>
      <c r="C143" s="117" t="s">
        <v>2472</v>
      </c>
      <c r="D143" s="117"/>
      <c r="E143" s="117" t="s">
        <v>537</v>
      </c>
      <c r="F143" s="117" t="s">
        <v>2473</v>
      </c>
      <c r="G143" s="117" t="s">
        <v>256</v>
      </c>
      <c r="H143" s="118">
        <v>3.66</v>
      </c>
      <c r="I143" s="117" t="s">
        <v>211</v>
      </c>
      <c r="J143" s="118" t="s">
        <v>257</v>
      </c>
      <c r="K143" s="117">
        <v>5.1900000000000002E-2</v>
      </c>
      <c r="L143" s="117">
        <v>2.8500000000000001E-2</v>
      </c>
      <c r="M143" s="112">
        <v>66434.149999999994</v>
      </c>
      <c r="N143" s="61">
        <v>127.04</v>
      </c>
      <c r="O143" s="85">
        <v>84.397940000000006</v>
      </c>
      <c r="P143" s="25">
        <v>1.4892717375678028E-3</v>
      </c>
      <c r="Q143" s="25">
        <v>1.5747693825087983E-4</v>
      </c>
      <c r="R143" s="15"/>
    </row>
    <row r="144" spans="1:18" x14ac:dyDescent="0.25">
      <c r="A144" s="17" t="s">
        <v>2924</v>
      </c>
      <c r="B144" s="117" t="s">
        <v>2291</v>
      </c>
      <c r="C144" s="117" t="s">
        <v>2504</v>
      </c>
      <c r="D144" s="117"/>
      <c r="E144" s="117" t="s">
        <v>537</v>
      </c>
      <c r="F144" s="117" t="s">
        <v>2505</v>
      </c>
      <c r="G144" s="117" t="s">
        <v>256</v>
      </c>
      <c r="H144" s="118">
        <v>3.67</v>
      </c>
      <c r="I144" s="117" t="s">
        <v>211</v>
      </c>
      <c r="J144" s="118" t="s">
        <v>257</v>
      </c>
      <c r="K144" s="117">
        <v>5.0999999999999997E-2</v>
      </c>
      <c r="L144" s="117">
        <v>2.8500000000000001E-2</v>
      </c>
      <c r="M144" s="112">
        <v>32299.97</v>
      </c>
      <c r="N144" s="61">
        <v>122.96</v>
      </c>
      <c r="O144" s="85">
        <v>39.716050000000003</v>
      </c>
      <c r="P144" s="25">
        <v>7.0082268350186907E-4</v>
      </c>
      <c r="Q144" s="25">
        <v>7.4105623353115676E-5</v>
      </c>
      <c r="R144" s="15"/>
    </row>
    <row r="145" spans="1:18" x14ac:dyDescent="0.25">
      <c r="A145" s="17" t="s">
        <v>2924</v>
      </c>
      <c r="B145" s="117" t="s">
        <v>2291</v>
      </c>
      <c r="C145" s="117" t="s">
        <v>2506</v>
      </c>
      <c r="D145" s="117"/>
      <c r="E145" s="117" t="s">
        <v>537</v>
      </c>
      <c r="F145" s="117" t="s">
        <v>2507</v>
      </c>
      <c r="G145" s="117" t="s">
        <v>256</v>
      </c>
      <c r="H145" s="118">
        <v>3.67</v>
      </c>
      <c r="I145" s="117" t="s">
        <v>211</v>
      </c>
      <c r="J145" s="118" t="s">
        <v>257</v>
      </c>
      <c r="K145" s="117">
        <v>5.0999999999999997E-2</v>
      </c>
      <c r="L145" s="117">
        <v>2.8500000000000001E-2</v>
      </c>
      <c r="M145" s="112">
        <v>18160.650000000001</v>
      </c>
      <c r="N145" s="61">
        <v>122.84</v>
      </c>
      <c r="O145" s="85">
        <v>22.308540000000001</v>
      </c>
      <c r="P145" s="25">
        <v>3.9365271389800308E-4</v>
      </c>
      <c r="Q145" s="25">
        <v>4.1625193411679036E-5</v>
      </c>
      <c r="R145" s="15"/>
    </row>
    <row r="146" spans="1:18" x14ac:dyDescent="0.25">
      <c r="A146" s="17" t="s">
        <v>2924</v>
      </c>
      <c r="B146" s="117" t="s">
        <v>2291</v>
      </c>
      <c r="C146" s="117" t="s">
        <v>2511</v>
      </c>
      <c r="D146" s="117"/>
      <c r="E146" s="117" t="s">
        <v>537</v>
      </c>
      <c r="F146" s="117" t="s">
        <v>2512</v>
      </c>
      <c r="G146" s="117" t="s">
        <v>256</v>
      </c>
      <c r="H146" s="118">
        <v>3.67</v>
      </c>
      <c r="I146" s="117" t="s">
        <v>211</v>
      </c>
      <c r="J146" s="118" t="s">
        <v>257</v>
      </c>
      <c r="K146" s="117">
        <v>5.0999999999999997E-2</v>
      </c>
      <c r="L146" s="117">
        <v>2.8500000000000001E-2</v>
      </c>
      <c r="M146" s="112">
        <v>53989.77</v>
      </c>
      <c r="N146" s="61">
        <v>122.48</v>
      </c>
      <c r="O146" s="85">
        <v>66.126670000000004</v>
      </c>
      <c r="P146" s="25">
        <v>1.1668600054749285E-3</v>
      </c>
      <c r="Q146" s="25">
        <v>1.2338483058148468E-4</v>
      </c>
      <c r="R146" s="15"/>
    </row>
    <row r="147" spans="1:18" x14ac:dyDescent="0.25">
      <c r="A147" s="17" t="s">
        <v>2924</v>
      </c>
      <c r="B147" s="117" t="s">
        <v>2291</v>
      </c>
      <c r="C147" s="117" t="s">
        <v>2516</v>
      </c>
      <c r="D147" s="117"/>
      <c r="E147" s="117" t="s">
        <v>537</v>
      </c>
      <c r="F147" s="117" t="s">
        <v>2517</v>
      </c>
      <c r="G147" s="117" t="s">
        <v>256</v>
      </c>
      <c r="H147" s="118">
        <v>3.67</v>
      </c>
      <c r="I147" s="117" t="s">
        <v>211</v>
      </c>
      <c r="J147" s="118" t="s">
        <v>257</v>
      </c>
      <c r="K147" s="117">
        <v>5.0999999999999997E-2</v>
      </c>
      <c r="L147" s="117">
        <v>2.8500000000000001E-2</v>
      </c>
      <c r="M147" s="112">
        <v>21190.83</v>
      </c>
      <c r="N147" s="61">
        <v>122.48</v>
      </c>
      <c r="O147" s="85">
        <v>25.954529999999998</v>
      </c>
      <c r="P147" s="25">
        <v>4.5798923517393508E-4</v>
      </c>
      <c r="Q147" s="25">
        <v>4.842819526330391E-5</v>
      </c>
      <c r="R147" s="15"/>
    </row>
    <row r="148" spans="1:18" x14ac:dyDescent="0.25">
      <c r="A148" s="17" t="s">
        <v>2924</v>
      </c>
      <c r="B148" s="117" t="s">
        <v>2291</v>
      </c>
      <c r="C148" s="117" t="s">
        <v>2474</v>
      </c>
      <c r="D148" s="117"/>
      <c r="E148" s="117" t="s">
        <v>537</v>
      </c>
      <c r="F148" s="117" t="s">
        <v>2473</v>
      </c>
      <c r="G148" s="117" t="s">
        <v>256</v>
      </c>
      <c r="H148" s="118">
        <v>3.62</v>
      </c>
      <c r="I148" s="117" t="s">
        <v>211</v>
      </c>
      <c r="J148" s="118" t="s">
        <v>257</v>
      </c>
      <c r="K148" s="117">
        <v>5.2600000000000001E-2</v>
      </c>
      <c r="L148" s="117">
        <v>3.56E-2</v>
      </c>
      <c r="M148" s="112">
        <v>68158.789999999994</v>
      </c>
      <c r="N148" s="61">
        <v>124.35</v>
      </c>
      <c r="O148" s="85">
        <v>84.755449999999996</v>
      </c>
      <c r="P148" s="25">
        <v>1.495580298403504E-3</v>
      </c>
      <c r="Q148" s="25">
        <v>1.5814401116988794E-4</v>
      </c>
      <c r="R148" s="15"/>
    </row>
    <row r="149" spans="1:18" x14ac:dyDescent="0.25">
      <c r="A149" s="17" t="s">
        <v>2925</v>
      </c>
      <c r="B149" s="117" t="s">
        <v>2291</v>
      </c>
      <c r="C149" s="117" t="s">
        <v>2464</v>
      </c>
      <c r="D149" s="117"/>
      <c r="E149" s="117" t="s">
        <v>528</v>
      </c>
      <c r="F149" s="117" t="s">
        <v>2465</v>
      </c>
      <c r="G149" s="117" t="s">
        <v>529</v>
      </c>
      <c r="H149" s="118">
        <v>2.2999999999999998</v>
      </c>
      <c r="I149" s="117" t="s">
        <v>204</v>
      </c>
      <c r="J149" s="118" t="s">
        <v>257</v>
      </c>
      <c r="K149" s="117">
        <v>5.5E-2</v>
      </c>
      <c r="L149" s="117">
        <v>4.4999999999999998E-2</v>
      </c>
      <c r="M149" s="112">
        <v>443920.65</v>
      </c>
      <c r="N149" s="61">
        <v>138.19999999999999</v>
      </c>
      <c r="O149" s="85">
        <v>613.49833000000001</v>
      </c>
      <c r="P149" s="25">
        <v>1.082568749798923E-2</v>
      </c>
      <c r="Q149" s="25">
        <v>1.1447179709650247E-3</v>
      </c>
      <c r="R149" s="15"/>
    </row>
    <row r="150" spans="1:18" x14ac:dyDescent="0.25">
      <c r="A150" s="17" t="s">
        <v>2925</v>
      </c>
      <c r="B150" s="117" t="s">
        <v>2291</v>
      </c>
      <c r="C150" s="117" t="s">
        <v>2542</v>
      </c>
      <c r="D150" s="117"/>
      <c r="E150" s="117" t="s">
        <v>528</v>
      </c>
      <c r="F150" s="117" t="s">
        <v>2543</v>
      </c>
      <c r="G150" s="117" t="s">
        <v>529</v>
      </c>
      <c r="H150" s="118">
        <v>2.4</v>
      </c>
      <c r="I150" s="117" t="s">
        <v>204</v>
      </c>
      <c r="J150" s="118" t="s">
        <v>257</v>
      </c>
      <c r="K150" s="117">
        <v>2.5600000000000001E-2</v>
      </c>
      <c r="L150" s="117">
        <v>2.9500000000000002E-2</v>
      </c>
      <c r="M150" s="112">
        <v>182454.64</v>
      </c>
      <c r="N150" s="61">
        <v>110.8</v>
      </c>
      <c r="O150" s="85">
        <v>202.15974</v>
      </c>
      <c r="P150" s="25">
        <v>3.5672764910619288E-3</v>
      </c>
      <c r="Q150" s="25">
        <v>3.7720703719538556E-4</v>
      </c>
      <c r="R150" s="15"/>
    </row>
    <row r="151" spans="1:18" x14ac:dyDescent="0.25">
      <c r="A151" s="17" t="s">
        <v>2926</v>
      </c>
      <c r="B151" s="216" t="s">
        <v>2291</v>
      </c>
      <c r="C151" s="117" t="s">
        <v>2627</v>
      </c>
      <c r="D151" s="117"/>
      <c r="E151" s="117" t="s">
        <v>537</v>
      </c>
      <c r="F151" s="117" t="s">
        <v>2626</v>
      </c>
      <c r="G151" s="117" t="s">
        <v>256</v>
      </c>
      <c r="H151" s="118">
        <v>8.06</v>
      </c>
      <c r="I151" s="117" t="s">
        <v>204</v>
      </c>
      <c r="J151" s="118" t="s">
        <v>257</v>
      </c>
      <c r="K151" s="117">
        <v>2.98E-2</v>
      </c>
      <c r="L151" s="117">
        <v>3.4599999999999999E-2</v>
      </c>
      <c r="M151" s="112">
        <v>1744858.61</v>
      </c>
      <c r="N151" s="61">
        <v>106.45</v>
      </c>
      <c r="O151" s="85">
        <v>1857.4019900000001</v>
      </c>
      <c r="P151" s="25">
        <v>3.2775400548984902E-2</v>
      </c>
      <c r="Q151" s="25">
        <v>3.4657004482134437E-3</v>
      </c>
      <c r="R151" s="15"/>
    </row>
    <row r="152" spans="1:18" x14ac:dyDescent="0.25">
      <c r="A152" s="17" t="s">
        <v>2927</v>
      </c>
      <c r="B152" s="117" t="s">
        <v>2291</v>
      </c>
      <c r="C152" s="117" t="s">
        <v>2311</v>
      </c>
      <c r="D152" s="117"/>
      <c r="E152" s="117" t="s">
        <v>537</v>
      </c>
      <c r="F152" s="117" t="s">
        <v>2312</v>
      </c>
      <c r="G152" s="117" t="s">
        <v>256</v>
      </c>
      <c r="H152" s="118">
        <v>7.13</v>
      </c>
      <c r="I152" s="117" t="s">
        <v>211</v>
      </c>
      <c r="J152" s="118" t="s">
        <v>257</v>
      </c>
      <c r="K152" s="117">
        <v>7.1999999880790713E-2</v>
      </c>
      <c r="L152" s="117">
        <v>6.6100000000000006E-2</v>
      </c>
      <c r="M152" s="112">
        <v>2763.1480538679839</v>
      </c>
      <c r="N152" s="61">
        <v>99.69</v>
      </c>
      <c r="O152" s="85">
        <v>2.7545799999999998</v>
      </c>
      <c r="P152" s="25">
        <v>4.8606851575637014E-5</v>
      </c>
      <c r="Q152" s="25">
        <v>5.1397323745947891E-6</v>
      </c>
      <c r="R152" s="15"/>
    </row>
    <row r="153" spans="1:18" x14ac:dyDescent="0.25">
      <c r="A153" s="17" t="s">
        <v>2927</v>
      </c>
      <c r="B153" s="117" t="s">
        <v>2291</v>
      </c>
      <c r="C153" s="117" t="s">
        <v>2349</v>
      </c>
      <c r="D153" s="117"/>
      <c r="E153" s="117" t="s">
        <v>537</v>
      </c>
      <c r="F153" s="117" t="s">
        <v>2350</v>
      </c>
      <c r="G153" s="117" t="s">
        <v>256</v>
      </c>
      <c r="H153" s="118">
        <v>7.09</v>
      </c>
      <c r="I153" s="117" t="s">
        <v>211</v>
      </c>
      <c r="J153" s="118" t="s">
        <v>257</v>
      </c>
      <c r="K153" s="117">
        <v>7.1999999880790713E-2</v>
      </c>
      <c r="L153" s="117">
        <v>6.7900000000000002E-2</v>
      </c>
      <c r="M153" s="112">
        <v>3908.2154585380758</v>
      </c>
      <c r="N153" s="61">
        <v>98.56</v>
      </c>
      <c r="O153" s="85">
        <v>3.8519399999999999</v>
      </c>
      <c r="P153" s="25">
        <v>6.7970680052225471E-5</v>
      </c>
      <c r="Q153" s="25">
        <v>7.1872810820512213E-6</v>
      </c>
      <c r="R153" s="15"/>
    </row>
    <row r="154" spans="1:18" x14ac:dyDescent="0.25">
      <c r="A154" s="17" t="s">
        <v>2927</v>
      </c>
      <c r="B154" s="117" t="s">
        <v>2291</v>
      </c>
      <c r="C154" s="117" t="s">
        <v>2357</v>
      </c>
      <c r="D154" s="117"/>
      <c r="E154" s="117" t="s">
        <v>537</v>
      </c>
      <c r="F154" s="117" t="s">
        <v>931</v>
      </c>
      <c r="G154" s="117" t="s">
        <v>256</v>
      </c>
      <c r="H154" s="118">
        <v>7.05</v>
      </c>
      <c r="I154" s="117" t="s">
        <v>211</v>
      </c>
      <c r="J154" s="118" t="s">
        <v>257</v>
      </c>
      <c r="K154" s="117">
        <v>7.1999999880790713E-2</v>
      </c>
      <c r="L154" s="117">
        <v>6.9199999999999998E-2</v>
      </c>
      <c r="M154" s="112">
        <v>3158.6731510575887</v>
      </c>
      <c r="N154" s="61">
        <v>97.68</v>
      </c>
      <c r="O154" s="85">
        <v>3.0853899999999999</v>
      </c>
      <c r="P154" s="25">
        <v>5.4444268738956458E-5</v>
      </c>
      <c r="Q154" s="25">
        <v>5.7569861362715975E-6</v>
      </c>
      <c r="R154" s="15"/>
    </row>
    <row r="155" spans="1:18" x14ac:dyDescent="0.25">
      <c r="A155" s="17" t="s">
        <v>2927</v>
      </c>
      <c r="B155" s="117" t="s">
        <v>2291</v>
      </c>
      <c r="C155" s="117" t="s">
        <v>2362</v>
      </c>
      <c r="D155" s="117"/>
      <c r="E155" s="117" t="s">
        <v>537</v>
      </c>
      <c r="F155" s="117" t="s">
        <v>2363</v>
      </c>
      <c r="G155" s="117" t="s">
        <v>256</v>
      </c>
      <c r="H155" s="118">
        <v>7.05</v>
      </c>
      <c r="I155" s="117" t="s">
        <v>211</v>
      </c>
      <c r="J155" s="118" t="s">
        <v>257</v>
      </c>
      <c r="K155" s="117">
        <v>7.1999999880790713E-2</v>
      </c>
      <c r="L155" s="117">
        <v>6.9500000000000006E-2</v>
      </c>
      <c r="M155" s="112">
        <v>5467.0502539963782</v>
      </c>
      <c r="N155" s="61">
        <v>97.49</v>
      </c>
      <c r="O155" s="85">
        <v>5.3298300000000003</v>
      </c>
      <c r="P155" s="25">
        <v>9.4049276380928282E-5</v>
      </c>
      <c r="Q155" s="25">
        <v>9.944855405211157E-6</v>
      </c>
      <c r="R155" s="15"/>
    </row>
    <row r="156" spans="1:18" x14ac:dyDescent="0.25">
      <c r="A156" s="17" t="s">
        <v>2927</v>
      </c>
      <c r="B156" s="117" t="s">
        <v>2291</v>
      </c>
      <c r="C156" s="117" t="s">
        <v>2371</v>
      </c>
      <c r="D156" s="117"/>
      <c r="E156" s="117" t="s">
        <v>537</v>
      </c>
      <c r="F156" s="117" t="s">
        <v>957</v>
      </c>
      <c r="G156" s="117" t="s">
        <v>256</v>
      </c>
      <c r="H156" s="118">
        <v>7.15</v>
      </c>
      <c r="I156" s="117" t="s">
        <v>211</v>
      </c>
      <c r="J156" s="118" t="s">
        <v>257</v>
      </c>
      <c r="K156" s="117">
        <v>7.1999999880790713E-2</v>
      </c>
      <c r="L156" s="117">
        <v>6.54E-2</v>
      </c>
      <c r="M156" s="112">
        <v>10924.502849998322</v>
      </c>
      <c r="N156" s="61">
        <v>100.2</v>
      </c>
      <c r="O156" s="85">
        <v>10.946350000000001</v>
      </c>
      <c r="P156" s="25">
        <v>1.9315743588676831E-4</v>
      </c>
      <c r="Q156" s="25">
        <v>2.0424641679909704E-5</v>
      </c>
      <c r="R156" s="15"/>
    </row>
    <row r="157" spans="1:18" x14ac:dyDescent="0.25">
      <c r="A157" s="17" t="s">
        <v>2927</v>
      </c>
      <c r="B157" s="117" t="s">
        <v>2291</v>
      </c>
      <c r="C157" s="117" t="s">
        <v>2380</v>
      </c>
      <c r="D157" s="117"/>
      <c r="E157" s="117" t="s">
        <v>537</v>
      </c>
      <c r="F157" s="117" t="s">
        <v>2381</v>
      </c>
      <c r="G157" s="117" t="s">
        <v>256</v>
      </c>
      <c r="H157" s="118">
        <v>7.16</v>
      </c>
      <c r="I157" s="117" t="s">
        <v>211</v>
      </c>
      <c r="J157" s="118" t="s">
        <v>257</v>
      </c>
      <c r="K157" s="117">
        <v>7.1999999880790713E-2</v>
      </c>
      <c r="L157" s="117">
        <v>6.4899999999999999E-2</v>
      </c>
      <c r="M157" s="112">
        <v>4500.9814646418772</v>
      </c>
      <c r="N157" s="61">
        <v>100.55</v>
      </c>
      <c r="O157" s="85">
        <v>4.5257399999999999</v>
      </c>
      <c r="P157" s="25">
        <v>7.9860440593456519E-5</v>
      </c>
      <c r="Q157" s="25">
        <v>8.4445150974009179E-6</v>
      </c>
      <c r="R157" s="15"/>
    </row>
    <row r="158" spans="1:18" x14ac:dyDescent="0.25">
      <c r="A158" s="17" t="s">
        <v>2927</v>
      </c>
      <c r="B158" s="117" t="s">
        <v>2291</v>
      </c>
      <c r="C158" s="117" t="s">
        <v>2390</v>
      </c>
      <c r="D158" s="117"/>
      <c r="E158" s="117" t="s">
        <v>537</v>
      </c>
      <c r="F158" s="117" t="s">
        <v>2391</v>
      </c>
      <c r="G158" s="117" t="s">
        <v>256</v>
      </c>
      <c r="H158" s="118">
        <v>7.17</v>
      </c>
      <c r="I158" s="117" t="s">
        <v>211</v>
      </c>
      <c r="J158" s="118" t="s">
        <v>257</v>
      </c>
      <c r="K158" s="117">
        <v>7.1999999880790713E-2</v>
      </c>
      <c r="L158" s="117">
        <v>6.4399999999999999E-2</v>
      </c>
      <c r="M158" s="112">
        <v>5638.6586747139136</v>
      </c>
      <c r="N158" s="61">
        <v>100.84</v>
      </c>
      <c r="O158" s="85">
        <v>5.6860200000000001</v>
      </c>
      <c r="P158" s="25">
        <v>1.0033454472046686E-4</v>
      </c>
      <c r="Q158" s="25">
        <v>1.0609465354643345E-5</v>
      </c>
      <c r="R158" s="15"/>
    </row>
    <row r="159" spans="1:18" x14ac:dyDescent="0.25">
      <c r="A159" s="17" t="s">
        <v>2927</v>
      </c>
      <c r="B159" s="117" t="s">
        <v>2291</v>
      </c>
      <c r="C159" s="117" t="s">
        <v>2417</v>
      </c>
      <c r="D159" s="117"/>
      <c r="E159" s="117" t="s">
        <v>537</v>
      </c>
      <c r="F159" s="117" t="s">
        <v>2418</v>
      </c>
      <c r="G159" s="117" t="s">
        <v>256</v>
      </c>
      <c r="H159" s="118">
        <v>7.16</v>
      </c>
      <c r="I159" s="117" t="s">
        <v>211</v>
      </c>
      <c r="J159" s="118" t="s">
        <v>257</v>
      </c>
      <c r="K159" s="117">
        <v>7.1999999880790713E-2</v>
      </c>
      <c r="L159" s="117">
        <v>6.4899999999999999E-2</v>
      </c>
      <c r="M159" s="112">
        <v>3873.5613056888615</v>
      </c>
      <c r="N159" s="61">
        <v>100.54</v>
      </c>
      <c r="O159" s="85">
        <v>3.8944800000000002</v>
      </c>
      <c r="P159" s="25">
        <v>6.8721333678559645E-5</v>
      </c>
      <c r="Q159" s="25">
        <v>7.2666558742936909E-6</v>
      </c>
      <c r="R159" s="15"/>
    </row>
    <row r="160" spans="1:18" x14ac:dyDescent="0.25">
      <c r="A160" s="17" t="s">
        <v>2927</v>
      </c>
      <c r="B160" s="117" t="s">
        <v>2291</v>
      </c>
      <c r="C160" s="117" t="s">
        <v>2425</v>
      </c>
      <c r="D160" s="117"/>
      <c r="E160" s="117" t="s">
        <v>537</v>
      </c>
      <c r="F160" s="117" t="s">
        <v>2426</v>
      </c>
      <c r="G160" s="117" t="s">
        <v>256</v>
      </c>
      <c r="H160" s="118">
        <v>7.14</v>
      </c>
      <c r="I160" s="117" t="s">
        <v>211</v>
      </c>
      <c r="J160" s="118" t="s">
        <v>257</v>
      </c>
      <c r="K160" s="117">
        <v>7.1999999880790713E-2</v>
      </c>
      <c r="L160" s="117">
        <v>6.5700000000000008E-2</v>
      </c>
      <c r="M160" s="112">
        <v>3156.5227048490797</v>
      </c>
      <c r="N160" s="61">
        <v>99.97</v>
      </c>
      <c r="O160" s="85">
        <v>3.1555800000000001</v>
      </c>
      <c r="P160" s="25">
        <v>5.5682829576577422E-5</v>
      </c>
      <c r="Q160" s="25">
        <v>5.8879526775856305E-6</v>
      </c>
      <c r="R160" s="15"/>
    </row>
    <row r="161" spans="1:18" x14ac:dyDescent="0.25">
      <c r="A161" s="17" t="s">
        <v>2927</v>
      </c>
      <c r="B161" s="117" t="s">
        <v>2291</v>
      </c>
      <c r="C161" s="117" t="s">
        <v>2435</v>
      </c>
      <c r="D161" s="117"/>
      <c r="E161" s="117" t="s">
        <v>537</v>
      </c>
      <c r="F161" s="117" t="s">
        <v>2436</v>
      </c>
      <c r="G161" s="117" t="s">
        <v>256</v>
      </c>
      <c r="H161" s="118">
        <v>7.17</v>
      </c>
      <c r="I161" s="117" t="s">
        <v>211</v>
      </c>
      <c r="J161" s="118" t="s">
        <v>257</v>
      </c>
      <c r="K161" s="117">
        <v>7.1999999880790713E-2</v>
      </c>
      <c r="L161" s="117">
        <v>6.4399999999999999E-2</v>
      </c>
      <c r="M161" s="112">
        <v>6935.3890441435433</v>
      </c>
      <c r="N161" s="61">
        <v>100.84</v>
      </c>
      <c r="O161" s="85">
        <v>6.9936499999999997</v>
      </c>
      <c r="P161" s="25">
        <v>1.2340876196079032E-4</v>
      </c>
      <c r="Q161" s="25">
        <v>1.3049353920229163E-5</v>
      </c>
      <c r="R161" s="15"/>
    </row>
    <row r="162" spans="1:18" x14ac:dyDescent="0.25">
      <c r="A162" s="17" t="s">
        <v>2927</v>
      </c>
      <c r="B162" s="117" t="s">
        <v>2291</v>
      </c>
      <c r="C162" s="117" t="s">
        <v>2442</v>
      </c>
      <c r="D162" s="117"/>
      <c r="E162" s="117" t="s">
        <v>537</v>
      </c>
      <c r="F162" s="117" t="s">
        <v>2443</v>
      </c>
      <c r="G162" s="117" t="s">
        <v>256</v>
      </c>
      <c r="H162" s="118">
        <v>7.17</v>
      </c>
      <c r="I162" s="117" t="s">
        <v>211</v>
      </c>
      <c r="J162" s="118" t="s">
        <v>257</v>
      </c>
      <c r="K162" s="117">
        <v>7.1999999880790713E-2</v>
      </c>
      <c r="L162" s="117">
        <v>6.4399999999999999E-2</v>
      </c>
      <c r="M162" s="112">
        <v>4794.079874999753</v>
      </c>
      <c r="N162" s="61">
        <v>100.84</v>
      </c>
      <c r="O162" s="85">
        <v>4.8343500000000006</v>
      </c>
      <c r="P162" s="25">
        <v>8.5306120321312443E-5</v>
      </c>
      <c r="Q162" s="25">
        <v>9.0203461889370871E-6</v>
      </c>
      <c r="R162" s="15"/>
    </row>
    <row r="163" spans="1:18" x14ac:dyDescent="0.25">
      <c r="A163" s="17" t="s">
        <v>2927</v>
      </c>
      <c r="B163" s="117" t="s">
        <v>2291</v>
      </c>
      <c r="C163" s="117" t="s">
        <v>2317</v>
      </c>
      <c r="D163" s="117"/>
      <c r="E163" s="117" t="s">
        <v>537</v>
      </c>
      <c r="F163" s="117" t="s">
        <v>2318</v>
      </c>
      <c r="G163" s="117" t="s">
        <v>256</v>
      </c>
      <c r="H163" s="118">
        <v>7.17</v>
      </c>
      <c r="I163" s="117" t="s">
        <v>211</v>
      </c>
      <c r="J163" s="118" t="s">
        <v>257</v>
      </c>
      <c r="K163" s="117">
        <v>7.1999999880790713E-2</v>
      </c>
      <c r="L163" s="117">
        <v>6.4399999999999999E-2</v>
      </c>
      <c r="M163" s="112">
        <v>2623.2717830105453</v>
      </c>
      <c r="N163" s="61">
        <v>100.84</v>
      </c>
      <c r="O163" s="85">
        <v>2.6453099999999998</v>
      </c>
      <c r="P163" s="25">
        <v>4.6678691684956818E-5</v>
      </c>
      <c r="Q163" s="25">
        <v>4.9358470067448908E-6</v>
      </c>
      <c r="R163" s="15"/>
    </row>
    <row r="164" spans="1:18" x14ac:dyDescent="0.25">
      <c r="A164" s="17" t="s">
        <v>2927</v>
      </c>
      <c r="B164" s="117" t="s">
        <v>2291</v>
      </c>
      <c r="C164" s="117" t="s">
        <v>2454</v>
      </c>
      <c r="D164" s="117"/>
      <c r="E164" s="117" t="s">
        <v>537</v>
      </c>
      <c r="F164" s="117" t="s">
        <v>2091</v>
      </c>
      <c r="G164" s="117" t="s">
        <v>256</v>
      </c>
      <c r="H164" s="118">
        <v>7.17</v>
      </c>
      <c r="I164" s="117" t="s">
        <v>211</v>
      </c>
      <c r="J164" s="118" t="s">
        <v>257</v>
      </c>
      <c r="K164" s="117">
        <v>7.1999999880790713E-2</v>
      </c>
      <c r="L164" s="117">
        <v>6.4500000000000002E-2</v>
      </c>
      <c r="M164" s="112">
        <v>2462.5879537995775</v>
      </c>
      <c r="N164" s="61">
        <v>100.81</v>
      </c>
      <c r="O164" s="85">
        <v>2.4825300000000001</v>
      </c>
      <c r="P164" s="25">
        <v>4.3806303408166098E-5</v>
      </c>
      <c r="Q164" s="25">
        <v>4.6321180767677117E-6</v>
      </c>
      <c r="R164" s="15"/>
    </row>
    <row r="165" spans="1:18" x14ac:dyDescent="0.25">
      <c r="A165" s="17" t="s">
        <v>2927</v>
      </c>
      <c r="B165" s="117" t="s">
        <v>2291</v>
      </c>
      <c r="C165" s="117" t="s">
        <v>2319</v>
      </c>
      <c r="D165" s="117"/>
      <c r="E165" s="117" t="s">
        <v>537</v>
      </c>
      <c r="F165" s="117" t="s">
        <v>2320</v>
      </c>
      <c r="G165" s="117" t="s">
        <v>256</v>
      </c>
      <c r="H165" s="118">
        <v>7.17</v>
      </c>
      <c r="I165" s="117" t="s">
        <v>211</v>
      </c>
      <c r="J165" s="118" t="s">
        <v>257</v>
      </c>
      <c r="K165" s="117">
        <v>7.1999999880790713E-2</v>
      </c>
      <c r="L165" s="117">
        <v>6.4399999999999999E-2</v>
      </c>
      <c r="M165" s="112">
        <v>9567.5527620574449</v>
      </c>
      <c r="N165" s="61">
        <v>100.84</v>
      </c>
      <c r="O165" s="85">
        <v>9.6479200000000009</v>
      </c>
      <c r="P165" s="25">
        <v>1.7024556028636664E-4</v>
      </c>
      <c r="Q165" s="25">
        <v>1.8001919265913702E-5</v>
      </c>
      <c r="R165" s="15"/>
    </row>
    <row r="166" spans="1:18" x14ac:dyDescent="0.25">
      <c r="A166" s="17" t="s">
        <v>2927</v>
      </c>
      <c r="B166" s="117" t="s">
        <v>2291</v>
      </c>
      <c r="C166" s="117" t="s">
        <v>2321</v>
      </c>
      <c r="D166" s="117"/>
      <c r="E166" s="117" t="s">
        <v>537</v>
      </c>
      <c r="F166" s="117" t="s">
        <v>2322</v>
      </c>
      <c r="G166" s="117" t="s">
        <v>256</v>
      </c>
      <c r="H166" s="118">
        <v>7.17</v>
      </c>
      <c r="I166" s="117" t="s">
        <v>211</v>
      </c>
      <c r="J166" s="118" t="s">
        <v>257</v>
      </c>
      <c r="K166" s="117">
        <v>7.1999999880790713E-2</v>
      </c>
      <c r="L166" s="117">
        <v>6.4500000000000002E-2</v>
      </c>
      <c r="M166" s="112">
        <v>5418.0459257955008</v>
      </c>
      <c r="N166" s="61">
        <v>100.82</v>
      </c>
      <c r="O166" s="85">
        <v>5.4624700000000006</v>
      </c>
      <c r="P166" s="25">
        <v>9.6389819328670774E-5</v>
      </c>
      <c r="Q166" s="25">
        <v>1.019234652987127E-5</v>
      </c>
      <c r="R166" s="15"/>
    </row>
    <row r="167" spans="1:18" x14ac:dyDescent="0.25">
      <c r="A167" s="17" t="s">
        <v>2927</v>
      </c>
      <c r="B167" s="117" t="s">
        <v>2291</v>
      </c>
      <c r="C167" s="117" t="s">
        <v>2325</v>
      </c>
      <c r="D167" s="117"/>
      <c r="E167" s="117" t="s">
        <v>537</v>
      </c>
      <c r="F167" s="117" t="s">
        <v>2326</v>
      </c>
      <c r="G167" s="117" t="s">
        <v>256</v>
      </c>
      <c r="H167" s="118">
        <v>7.08</v>
      </c>
      <c r="I167" s="117" t="s">
        <v>211</v>
      </c>
      <c r="J167" s="118" t="s">
        <v>257</v>
      </c>
      <c r="K167" s="117">
        <v>7.1999999880790713E-2</v>
      </c>
      <c r="L167" s="117">
        <v>6.8199999999999997E-2</v>
      </c>
      <c r="M167" s="112">
        <v>8094.0332126328003</v>
      </c>
      <c r="N167" s="61">
        <v>98.32</v>
      </c>
      <c r="O167" s="85">
        <v>7.9580500000000001</v>
      </c>
      <c r="P167" s="25">
        <v>1.404264008238999E-4</v>
      </c>
      <c r="Q167" s="25">
        <v>1.4848814419491924E-5</v>
      </c>
      <c r="R167" s="15"/>
    </row>
    <row r="168" spans="1:18" x14ac:dyDescent="0.25">
      <c r="A168" s="17" t="s">
        <v>2927</v>
      </c>
      <c r="B168" s="117" t="s">
        <v>2291</v>
      </c>
      <c r="C168" s="117" t="s">
        <v>2335</v>
      </c>
      <c r="D168" s="117"/>
      <c r="E168" s="117" t="s">
        <v>537</v>
      </c>
      <c r="F168" s="117" t="s">
        <v>2336</v>
      </c>
      <c r="G168" s="117" t="s">
        <v>256</v>
      </c>
      <c r="H168" s="118">
        <v>7.09</v>
      </c>
      <c r="I168" s="117" t="s">
        <v>211</v>
      </c>
      <c r="J168" s="118" t="s">
        <v>257</v>
      </c>
      <c r="K168" s="117">
        <v>7.1999999880790713E-2</v>
      </c>
      <c r="L168" s="117">
        <v>6.7500000000000004E-2</v>
      </c>
      <c r="M168" s="112">
        <v>6893.3269265156214</v>
      </c>
      <c r="N168" s="61">
        <v>98.81</v>
      </c>
      <c r="O168" s="85">
        <v>6.8113000000000001</v>
      </c>
      <c r="P168" s="25">
        <v>1.2019104478255719E-4</v>
      </c>
      <c r="Q168" s="25">
        <v>1.270910960040278E-5</v>
      </c>
      <c r="R168" s="15"/>
    </row>
    <row r="169" spans="1:18" x14ac:dyDescent="0.25">
      <c r="A169" s="17" t="s">
        <v>2927</v>
      </c>
      <c r="B169" s="117" t="s">
        <v>2291</v>
      </c>
      <c r="C169" s="117" t="s">
        <v>2339</v>
      </c>
      <c r="D169" s="117"/>
      <c r="E169" s="117" t="s">
        <v>537</v>
      </c>
      <c r="F169" s="117" t="s">
        <v>2340</v>
      </c>
      <c r="G169" s="117" t="s">
        <v>256</v>
      </c>
      <c r="H169" s="118">
        <v>7.12</v>
      </c>
      <c r="I169" s="117" t="s">
        <v>211</v>
      </c>
      <c r="J169" s="118" t="s">
        <v>257</v>
      </c>
      <c r="K169" s="117">
        <v>7.1999999880790713E-2</v>
      </c>
      <c r="L169" s="117">
        <v>6.6400000000000001E-2</v>
      </c>
      <c r="M169" s="112">
        <v>7119.5508486062417</v>
      </c>
      <c r="N169" s="61">
        <v>99.49</v>
      </c>
      <c r="O169" s="85">
        <v>7.08324</v>
      </c>
      <c r="P169" s="25">
        <v>1.2498965190868122E-4</v>
      </c>
      <c r="Q169" s="25">
        <v>1.3216518650765197E-5</v>
      </c>
      <c r="R169" s="15"/>
    </row>
    <row r="170" spans="1:18" x14ac:dyDescent="0.25">
      <c r="A170" s="17" t="s">
        <v>2927</v>
      </c>
      <c r="B170" s="117" t="s">
        <v>2291</v>
      </c>
      <c r="C170" s="117" t="s">
        <v>2343</v>
      </c>
      <c r="D170" s="117"/>
      <c r="E170" s="117" t="s">
        <v>537</v>
      </c>
      <c r="F170" s="117" t="s">
        <v>2344</v>
      </c>
      <c r="G170" s="117" t="s">
        <v>256</v>
      </c>
      <c r="H170" s="118">
        <v>7.12</v>
      </c>
      <c r="I170" s="117" t="s">
        <v>211</v>
      </c>
      <c r="J170" s="118" t="s">
        <v>257</v>
      </c>
      <c r="K170" s="117">
        <v>7.1999999880790713E-2</v>
      </c>
      <c r="L170" s="117">
        <v>6.6500000000000004E-2</v>
      </c>
      <c r="M170" s="112">
        <v>5830.9701418025979</v>
      </c>
      <c r="N170" s="61">
        <v>99.44</v>
      </c>
      <c r="O170" s="85">
        <v>5.7983199999999995</v>
      </c>
      <c r="P170" s="25">
        <v>1.0231617147733868E-4</v>
      </c>
      <c r="Q170" s="25">
        <v>1.0819004357201626E-5</v>
      </c>
      <c r="R170" s="15"/>
    </row>
    <row r="171" spans="1:18" x14ac:dyDescent="0.25">
      <c r="A171" s="17" t="s">
        <v>2927</v>
      </c>
      <c r="B171" s="117" t="s">
        <v>2291</v>
      </c>
      <c r="C171" s="117" t="s">
        <v>2347</v>
      </c>
      <c r="D171" s="117"/>
      <c r="E171" s="117" t="s">
        <v>537</v>
      </c>
      <c r="F171" s="117" t="s">
        <v>2348</v>
      </c>
      <c r="G171" s="117" t="s">
        <v>256</v>
      </c>
      <c r="H171" s="118">
        <v>7.09</v>
      </c>
      <c r="I171" s="117" t="s">
        <v>211</v>
      </c>
      <c r="J171" s="118" t="s">
        <v>257</v>
      </c>
      <c r="K171" s="117">
        <v>7.1999999880790713E-2</v>
      </c>
      <c r="L171" s="117">
        <v>6.7599999999999993E-2</v>
      </c>
      <c r="M171" s="112">
        <v>2114.9029121819867</v>
      </c>
      <c r="N171" s="61">
        <v>98.7</v>
      </c>
      <c r="O171" s="85">
        <v>2.0874099999999998</v>
      </c>
      <c r="P171" s="25">
        <v>3.6834082890132238E-5</v>
      </c>
      <c r="Q171" s="25">
        <v>3.8948691837060124E-6</v>
      </c>
      <c r="R171" s="15"/>
    </row>
    <row r="172" spans="1:18" x14ac:dyDescent="0.25">
      <c r="A172" s="17" t="s">
        <v>2928</v>
      </c>
      <c r="B172" s="216" t="s">
        <v>2291</v>
      </c>
      <c r="C172" s="117" t="s">
        <v>2708</v>
      </c>
      <c r="D172" s="117"/>
      <c r="E172" s="117" t="s">
        <v>677</v>
      </c>
      <c r="F172" s="117" t="s">
        <v>2709</v>
      </c>
      <c r="G172" s="117" t="s">
        <v>529</v>
      </c>
      <c r="H172" s="118">
        <v>6.21</v>
      </c>
      <c r="I172" s="117" t="s">
        <v>211</v>
      </c>
      <c r="J172" s="118" t="s">
        <v>126</v>
      </c>
      <c r="K172" s="117">
        <v>2.35E-2</v>
      </c>
      <c r="L172" s="117">
        <v>6.1200000000000004E-2</v>
      </c>
      <c r="M172" s="112">
        <v>24042.167404639724</v>
      </c>
      <c r="N172" s="61">
        <v>79.19</v>
      </c>
      <c r="O172" s="85">
        <v>77.166939999999997</v>
      </c>
      <c r="P172" s="25">
        <v>1.3616747377553336E-3</v>
      </c>
      <c r="Q172" s="25">
        <v>1.4398471627849387E-4</v>
      </c>
      <c r="R172" s="15"/>
    </row>
    <row r="173" spans="1:18" x14ac:dyDescent="0.25">
      <c r="A173" s="17" t="s">
        <v>2929</v>
      </c>
      <c r="B173" s="117" t="s">
        <v>2291</v>
      </c>
      <c r="C173" s="117" t="s">
        <v>2404</v>
      </c>
      <c r="D173" s="117"/>
      <c r="E173" s="117" t="s">
        <v>2399</v>
      </c>
      <c r="F173" s="117" t="s">
        <v>2400</v>
      </c>
      <c r="G173" s="117" t="s">
        <v>2401</v>
      </c>
      <c r="H173" s="118">
        <v>4.55</v>
      </c>
      <c r="I173" s="117" t="s">
        <v>221</v>
      </c>
      <c r="J173" s="118" t="s">
        <v>257</v>
      </c>
      <c r="K173" s="117">
        <v>7.0000000000000007E-2</v>
      </c>
      <c r="L173" s="117">
        <v>6.6199999999999995E-2</v>
      </c>
      <c r="M173" s="112">
        <v>15375.496765030246</v>
      </c>
      <c r="N173" s="61">
        <v>100.33</v>
      </c>
      <c r="O173" s="85">
        <v>15.42624</v>
      </c>
      <c r="P173" s="25">
        <v>2.7220881515517965E-4</v>
      </c>
      <c r="Q173" s="25">
        <v>2.8783605902267905E-5</v>
      </c>
      <c r="R173" s="15"/>
    </row>
    <row r="174" spans="1:18" x14ac:dyDescent="0.25">
      <c r="A174" s="17" t="s">
        <v>2930</v>
      </c>
      <c r="B174" s="117" t="s">
        <v>2291</v>
      </c>
      <c r="C174" s="117" t="s">
        <v>2403</v>
      </c>
      <c r="D174" s="117"/>
      <c r="E174" s="117" t="s">
        <v>2399</v>
      </c>
      <c r="F174" s="117" t="s">
        <v>2400</v>
      </c>
      <c r="G174" s="117" t="s">
        <v>2401</v>
      </c>
      <c r="H174" s="118">
        <v>4.55</v>
      </c>
      <c r="I174" s="117" t="s">
        <v>221</v>
      </c>
      <c r="J174" s="118" t="s">
        <v>257</v>
      </c>
      <c r="K174" s="117">
        <v>7.0000000000000007E-2</v>
      </c>
      <c r="L174" s="117">
        <v>6.6199999999999995E-2</v>
      </c>
      <c r="M174" s="112">
        <v>3125.1009615781591</v>
      </c>
      <c r="N174" s="61">
        <v>100.33</v>
      </c>
      <c r="O174" s="85">
        <v>3.1354099999999998</v>
      </c>
      <c r="P174" s="25">
        <v>5.5326913176879246E-5</v>
      </c>
      <c r="Q174" s="25">
        <v>5.850317756111003E-6</v>
      </c>
      <c r="R174" s="15"/>
    </row>
    <row r="175" spans="1:18" x14ac:dyDescent="0.25">
      <c r="A175" s="17" t="s">
        <v>2931</v>
      </c>
      <c r="B175" s="117" t="s">
        <v>2291</v>
      </c>
      <c r="C175" s="117" t="s">
        <v>2405</v>
      </c>
      <c r="D175" s="117"/>
      <c r="E175" s="117" t="s">
        <v>2399</v>
      </c>
      <c r="F175" s="117" t="s">
        <v>2400</v>
      </c>
      <c r="G175" s="117" t="s">
        <v>2401</v>
      </c>
      <c r="H175" s="118">
        <v>4.55</v>
      </c>
      <c r="I175" s="117" t="s">
        <v>221</v>
      </c>
      <c r="J175" s="118" t="s">
        <v>257</v>
      </c>
      <c r="K175" s="117">
        <v>7.0000000000000007E-2</v>
      </c>
      <c r="L175" s="117">
        <v>6.6199999999999995E-2</v>
      </c>
      <c r="M175" s="112">
        <v>3437.6110651664139</v>
      </c>
      <c r="N175" s="61">
        <v>100.33</v>
      </c>
      <c r="O175" s="85">
        <v>3.44896</v>
      </c>
      <c r="P175" s="25">
        <v>6.0859763307041015E-5</v>
      </c>
      <c r="Q175" s="25">
        <v>6.4353663246964852E-6</v>
      </c>
      <c r="R175" s="15"/>
    </row>
    <row r="176" spans="1:18" x14ac:dyDescent="0.25">
      <c r="A176" s="17" t="s">
        <v>2932</v>
      </c>
      <c r="B176" s="117" t="s">
        <v>2291</v>
      </c>
      <c r="C176" s="117" t="s">
        <v>2402</v>
      </c>
      <c r="D176" s="117"/>
      <c r="E176" s="117" t="s">
        <v>2399</v>
      </c>
      <c r="F176" s="117" t="s">
        <v>2400</v>
      </c>
      <c r="G176" s="117" t="s">
        <v>2401</v>
      </c>
      <c r="H176" s="118">
        <v>4.55</v>
      </c>
      <c r="I176" s="117" t="s">
        <v>221</v>
      </c>
      <c r="J176" s="118" t="s">
        <v>257</v>
      </c>
      <c r="K176" s="117">
        <v>7.0000000000000007E-2</v>
      </c>
      <c r="L176" s="117">
        <v>6.6199999999999995E-2</v>
      </c>
      <c r="M176" s="112">
        <v>30750.993524344769</v>
      </c>
      <c r="N176" s="61">
        <v>100.33</v>
      </c>
      <c r="O176" s="85">
        <v>30.85247</v>
      </c>
      <c r="P176" s="25">
        <v>5.4441745385205506E-4</v>
      </c>
      <c r="Q176" s="25">
        <v>5.7567193145675383E-5</v>
      </c>
      <c r="R176" s="15"/>
    </row>
    <row r="177" spans="1:18" x14ac:dyDescent="0.25">
      <c r="A177" s="17" t="s">
        <v>2933</v>
      </c>
      <c r="B177" s="117" t="s">
        <v>2291</v>
      </c>
      <c r="C177" s="117" t="s">
        <v>2398</v>
      </c>
      <c r="D177" s="117"/>
      <c r="E177" s="117" t="s">
        <v>2399</v>
      </c>
      <c r="F177" s="117" t="s">
        <v>2400</v>
      </c>
      <c r="G177" s="117" t="s">
        <v>2401</v>
      </c>
      <c r="H177" s="118">
        <v>4.55</v>
      </c>
      <c r="I177" s="117" t="s">
        <v>221</v>
      </c>
      <c r="J177" s="118" t="s">
        <v>257</v>
      </c>
      <c r="K177" s="117">
        <v>7.0000000000000007E-2</v>
      </c>
      <c r="L177" s="117">
        <v>6.6199999999999995E-2</v>
      </c>
      <c r="M177" s="112">
        <v>13750.444257807794</v>
      </c>
      <c r="N177" s="61">
        <v>100.33</v>
      </c>
      <c r="O177" s="85">
        <v>13.795819999999999</v>
      </c>
      <c r="P177" s="25">
        <v>2.4343870031155553E-4</v>
      </c>
      <c r="Q177" s="25">
        <v>2.5741427981065091E-5</v>
      </c>
      <c r="R177" s="15"/>
    </row>
    <row r="178" spans="1:18" x14ac:dyDescent="0.25">
      <c r="A178" s="17" t="s">
        <v>2934</v>
      </c>
      <c r="B178" s="216" t="s">
        <v>2977</v>
      </c>
      <c r="C178" s="117" t="s">
        <v>2631</v>
      </c>
      <c r="D178" s="117"/>
      <c r="E178" s="117" t="s">
        <v>677</v>
      </c>
      <c r="F178" s="117" t="s">
        <v>2632</v>
      </c>
      <c r="G178" s="117" t="s">
        <v>529</v>
      </c>
      <c r="H178" s="118">
        <v>7.52</v>
      </c>
      <c r="I178" s="117" t="s">
        <v>211</v>
      </c>
      <c r="J178" s="118" t="s">
        <v>257</v>
      </c>
      <c r="K178" s="117">
        <v>3.4200000000000001E-2</v>
      </c>
      <c r="L178" s="117">
        <v>6.1600000000000002E-2</v>
      </c>
      <c r="M178" s="112">
        <v>3748507.89</v>
      </c>
      <c r="N178" s="61">
        <v>90.06</v>
      </c>
      <c r="O178" s="85">
        <v>3375.9062000000004</v>
      </c>
      <c r="P178" s="25">
        <v>5.9570668340245256E-2</v>
      </c>
      <c r="Q178" s="25">
        <v>6.2990562589343106E-3</v>
      </c>
      <c r="R178" s="15"/>
    </row>
    <row r="179" spans="1:18" x14ac:dyDescent="0.25">
      <c r="A179" s="17" t="s">
        <v>2935</v>
      </c>
      <c r="B179" s="117" t="s">
        <v>2291</v>
      </c>
      <c r="C179" s="117" t="s">
        <v>2525</v>
      </c>
      <c r="D179" s="117"/>
      <c r="E179" s="117" t="s">
        <v>677</v>
      </c>
      <c r="F179" s="117" t="s">
        <v>2526</v>
      </c>
      <c r="G179" s="117" t="s">
        <v>529</v>
      </c>
      <c r="H179" s="118">
        <v>3.95</v>
      </c>
      <c r="I179" s="117" t="s">
        <v>211</v>
      </c>
      <c r="J179" s="118" t="s">
        <v>257</v>
      </c>
      <c r="K179" s="117">
        <v>4.7E-2</v>
      </c>
      <c r="L179" s="117">
        <v>2.53E-2</v>
      </c>
      <c r="M179" s="112">
        <v>40387.5</v>
      </c>
      <c r="N179" s="61">
        <v>124.46</v>
      </c>
      <c r="O179" s="85">
        <v>50.266280000000002</v>
      </c>
      <c r="P179" s="25">
        <v>8.8699025304017718E-4</v>
      </c>
      <c r="Q179" s="25">
        <v>9.3791150253921322E-5</v>
      </c>
      <c r="R179" s="15"/>
    </row>
    <row r="180" spans="1:18" x14ac:dyDescent="0.25">
      <c r="A180" s="17" t="s">
        <v>2935</v>
      </c>
      <c r="B180" s="117" t="s">
        <v>2291</v>
      </c>
      <c r="C180" s="117" t="s">
        <v>2527</v>
      </c>
      <c r="D180" s="117"/>
      <c r="E180" s="117" t="s">
        <v>677</v>
      </c>
      <c r="F180" s="117" t="s">
        <v>2528</v>
      </c>
      <c r="G180" s="117" t="s">
        <v>529</v>
      </c>
      <c r="H180" s="118">
        <v>3.95</v>
      </c>
      <c r="I180" s="117" t="s">
        <v>211</v>
      </c>
      <c r="J180" s="118" t="s">
        <v>257</v>
      </c>
      <c r="K180" s="117">
        <v>4.6100000000000002E-2</v>
      </c>
      <c r="L180" s="117">
        <v>2.53E-2</v>
      </c>
      <c r="M180" s="112">
        <v>60215.28</v>
      </c>
      <c r="N180" s="61">
        <v>123.56</v>
      </c>
      <c r="O180" s="85">
        <v>74.401990000000012</v>
      </c>
      <c r="P180" s="25">
        <v>1.3128848989181761E-3</v>
      </c>
      <c r="Q180" s="25">
        <v>1.388256346656397E-4</v>
      </c>
      <c r="R180" s="15"/>
    </row>
    <row r="181" spans="1:18" x14ac:dyDescent="0.25">
      <c r="A181" s="17" t="s">
        <v>2935</v>
      </c>
      <c r="B181" s="117" t="s">
        <v>2291</v>
      </c>
      <c r="C181" s="117" t="s">
        <v>2529</v>
      </c>
      <c r="D181" s="117"/>
      <c r="E181" s="117" t="s">
        <v>677</v>
      </c>
      <c r="F181" s="117" t="s">
        <v>2530</v>
      </c>
      <c r="G181" s="117" t="s">
        <v>529</v>
      </c>
      <c r="H181" s="118">
        <v>3.94</v>
      </c>
      <c r="I181" s="117" t="s">
        <v>211</v>
      </c>
      <c r="J181" s="118" t="s">
        <v>257</v>
      </c>
      <c r="K181" s="117">
        <v>4.7699999999999992E-2</v>
      </c>
      <c r="L181" s="117">
        <v>2.53E-2</v>
      </c>
      <c r="M181" s="112">
        <v>68332.52</v>
      </c>
      <c r="N181" s="61">
        <v>123.24</v>
      </c>
      <c r="O181" s="85">
        <v>84.212990000000005</v>
      </c>
      <c r="P181" s="25">
        <v>1.4860081412304614E-3</v>
      </c>
      <c r="Q181" s="25">
        <v>1.5713184262734328E-4</v>
      </c>
      <c r="R181" s="15"/>
    </row>
    <row r="182" spans="1:18" x14ac:dyDescent="0.25">
      <c r="A182" s="17" t="s">
        <v>2935</v>
      </c>
      <c r="B182" s="117" t="s">
        <v>2291</v>
      </c>
      <c r="C182" s="117" t="s">
        <v>2531</v>
      </c>
      <c r="D182" s="117"/>
      <c r="E182" s="117" t="s">
        <v>677</v>
      </c>
      <c r="F182" s="117" t="s">
        <v>2532</v>
      </c>
      <c r="G182" s="117" t="s">
        <v>529</v>
      </c>
      <c r="H182" s="118">
        <v>3.94</v>
      </c>
      <c r="I182" s="117" t="s">
        <v>211</v>
      </c>
      <c r="J182" s="118" t="s">
        <v>257</v>
      </c>
      <c r="K182" s="117">
        <v>4.7800000000000002E-2</v>
      </c>
      <c r="L182" s="117">
        <v>2.53E-2</v>
      </c>
      <c r="M182" s="112">
        <v>72974.77</v>
      </c>
      <c r="N182" s="61">
        <v>123.28</v>
      </c>
      <c r="O182" s="85">
        <v>89.963290000000001</v>
      </c>
      <c r="P182" s="25">
        <v>1.5874769599307297E-3</v>
      </c>
      <c r="Q182" s="25">
        <v>1.6786124713679025E-4</v>
      </c>
      <c r="R182" s="15"/>
    </row>
    <row r="183" spans="1:18" x14ac:dyDescent="0.25">
      <c r="A183" s="17" t="s">
        <v>2935</v>
      </c>
      <c r="B183" s="117" t="s">
        <v>2291</v>
      </c>
      <c r="C183" s="117" t="s">
        <v>2533</v>
      </c>
      <c r="D183" s="117"/>
      <c r="E183" s="117" t="s">
        <v>677</v>
      </c>
      <c r="F183" s="117" t="s">
        <v>2534</v>
      </c>
      <c r="G183" s="117" t="s">
        <v>529</v>
      </c>
      <c r="H183" s="118">
        <v>3.95</v>
      </c>
      <c r="I183" s="117" t="s">
        <v>211</v>
      </c>
      <c r="J183" s="118" t="s">
        <v>257</v>
      </c>
      <c r="K183" s="117">
        <v>4.5899999999999996E-2</v>
      </c>
      <c r="L183" s="117">
        <v>2.53E-2</v>
      </c>
      <c r="M183" s="112">
        <v>33324.01</v>
      </c>
      <c r="N183" s="61">
        <v>121.73</v>
      </c>
      <c r="O183" s="85">
        <v>40.565309999999997</v>
      </c>
      <c r="P183" s="25">
        <v>7.1580858144969608E-4</v>
      </c>
      <c r="Q183" s="25">
        <v>7.5690245733459814E-5</v>
      </c>
      <c r="R183" s="15"/>
    </row>
    <row r="184" spans="1:18" x14ac:dyDescent="0.25">
      <c r="A184" s="17" t="s">
        <v>2935</v>
      </c>
      <c r="B184" s="117" t="s">
        <v>2291</v>
      </c>
      <c r="C184" s="117" t="s">
        <v>2535</v>
      </c>
      <c r="D184" s="117"/>
      <c r="E184" s="117" t="s">
        <v>677</v>
      </c>
      <c r="F184" s="117" t="s">
        <v>2536</v>
      </c>
      <c r="G184" s="117" t="s">
        <v>529</v>
      </c>
      <c r="H184" s="118">
        <v>3.97</v>
      </c>
      <c r="I184" s="117" t="s">
        <v>211</v>
      </c>
      <c r="J184" s="118" t="s">
        <v>257</v>
      </c>
      <c r="K184" s="117">
        <v>4.2000000000000003E-2</v>
      </c>
      <c r="L184" s="117">
        <v>2.53E-2</v>
      </c>
      <c r="M184" s="112">
        <v>42822.1</v>
      </c>
      <c r="N184" s="61">
        <v>120.82</v>
      </c>
      <c r="O184" s="85">
        <v>51.737660000000005</v>
      </c>
      <c r="P184" s="25">
        <v>9.1295397501280496E-4</v>
      </c>
      <c r="Q184" s="25">
        <v>9.6536577658945416E-5</v>
      </c>
      <c r="R184" s="15"/>
    </row>
    <row r="185" spans="1:18" x14ac:dyDescent="0.25">
      <c r="A185" s="17" t="s">
        <v>2935</v>
      </c>
      <c r="B185" s="117" t="s">
        <v>2291</v>
      </c>
      <c r="C185" s="117" t="s">
        <v>2537</v>
      </c>
      <c r="D185" s="117"/>
      <c r="E185" s="117" t="s">
        <v>677</v>
      </c>
      <c r="F185" s="117" t="s">
        <v>2538</v>
      </c>
      <c r="G185" s="117" t="s">
        <v>529</v>
      </c>
      <c r="H185" s="118">
        <v>1.64</v>
      </c>
      <c r="I185" s="117" t="s">
        <v>211</v>
      </c>
      <c r="J185" s="118" t="s">
        <v>257</v>
      </c>
      <c r="K185" s="117">
        <v>4.5199999999999997E-2</v>
      </c>
      <c r="L185" s="117">
        <v>2.7000000000000003E-2</v>
      </c>
      <c r="M185" s="112">
        <v>28826.58</v>
      </c>
      <c r="N185" s="61">
        <v>115.97</v>
      </c>
      <c r="O185" s="85">
        <v>33.43018</v>
      </c>
      <c r="P185" s="25">
        <v>5.8990328740019492E-4</v>
      </c>
      <c r="Q185" s="25">
        <v>6.2376906255955981E-5</v>
      </c>
      <c r="R185" s="15"/>
    </row>
    <row r="186" spans="1:18" x14ac:dyDescent="0.25">
      <c r="A186" s="17" t="s">
        <v>2936</v>
      </c>
      <c r="B186" s="216" t="s">
        <v>2977</v>
      </c>
      <c r="C186" s="117" t="s">
        <v>2421</v>
      </c>
      <c r="D186" s="117"/>
      <c r="E186" s="117" t="s">
        <v>2399</v>
      </c>
      <c r="F186" s="117" t="s">
        <v>2422</v>
      </c>
      <c r="G186" s="117" t="s">
        <v>2401</v>
      </c>
      <c r="H186" s="118">
        <v>1.19</v>
      </c>
      <c r="I186" s="117" t="s">
        <v>204</v>
      </c>
      <c r="J186" s="118" t="s">
        <v>257</v>
      </c>
      <c r="K186" s="117">
        <v>6.8999999761581415E-2</v>
      </c>
      <c r="L186" s="117">
        <v>6.8499999999999991E-2</v>
      </c>
      <c r="M186" s="112">
        <v>74709.384102456344</v>
      </c>
      <c r="N186" s="61">
        <v>100.24</v>
      </c>
      <c r="O186" s="85">
        <v>74.888689999999997</v>
      </c>
      <c r="P186" s="25">
        <v>1.321473124586649E-3</v>
      </c>
      <c r="Q186" s="25">
        <v>1.3973376140246174E-4</v>
      </c>
      <c r="R186" s="15"/>
    </row>
    <row r="187" spans="1:18" x14ac:dyDescent="0.25">
      <c r="A187" s="17" t="s">
        <v>2926</v>
      </c>
      <c r="B187" s="216" t="s">
        <v>2291</v>
      </c>
      <c r="C187" s="117" t="s">
        <v>2625</v>
      </c>
      <c r="D187" s="117"/>
      <c r="E187" s="117" t="s">
        <v>630</v>
      </c>
      <c r="F187" s="117" t="s">
        <v>2626</v>
      </c>
      <c r="G187" s="117" t="s">
        <v>256</v>
      </c>
      <c r="H187" s="118">
        <v>2.8</v>
      </c>
      <c r="I187" s="117" t="s">
        <v>204</v>
      </c>
      <c r="J187" s="118" t="s">
        <v>257</v>
      </c>
      <c r="K187" s="117">
        <v>2.1099999999999997E-2</v>
      </c>
      <c r="L187" s="117">
        <v>4.0199999999999993E-2</v>
      </c>
      <c r="M187" s="112">
        <v>216031.77</v>
      </c>
      <c r="N187" s="61">
        <v>104.73</v>
      </c>
      <c r="O187" s="85">
        <v>226.25006999999999</v>
      </c>
      <c r="P187" s="25">
        <v>3.9923703691551833E-3</v>
      </c>
      <c r="Q187" s="25">
        <v>4.2215684769850116E-4</v>
      </c>
      <c r="R187" s="15"/>
    </row>
    <row r="188" spans="1:18" x14ac:dyDescent="0.25">
      <c r="A188" s="17" t="s">
        <v>2937</v>
      </c>
      <c r="B188" s="216" t="s">
        <v>2977</v>
      </c>
      <c r="C188" s="117" t="s">
        <v>2653</v>
      </c>
      <c r="D188" s="117"/>
      <c r="E188" s="117" t="s">
        <v>677</v>
      </c>
      <c r="F188" s="117" t="s">
        <v>2654</v>
      </c>
      <c r="G188" s="117" t="s">
        <v>529</v>
      </c>
      <c r="H188" s="118">
        <v>12.22</v>
      </c>
      <c r="I188" s="117" t="s">
        <v>220</v>
      </c>
      <c r="J188" s="118" t="s">
        <v>257</v>
      </c>
      <c r="K188" s="117">
        <v>2.9700000000000001E-2</v>
      </c>
      <c r="L188" s="117">
        <v>2.9100000000000001E-2</v>
      </c>
      <c r="M188" s="112">
        <v>289257.78172569122</v>
      </c>
      <c r="N188" s="61">
        <v>96.89</v>
      </c>
      <c r="O188" s="85">
        <v>280.26186000000001</v>
      </c>
      <c r="P188" s="25">
        <v>4.9454532565153158E-3</v>
      </c>
      <c r="Q188" s="25">
        <v>5.2293669278298419E-4</v>
      </c>
      <c r="R188" s="15"/>
    </row>
    <row r="189" spans="1:18" x14ac:dyDescent="0.25">
      <c r="A189" s="17" t="s">
        <v>2938</v>
      </c>
      <c r="B189" s="117" t="s">
        <v>2291</v>
      </c>
      <c r="C189" s="117" t="s">
        <v>2650</v>
      </c>
      <c r="D189" s="117"/>
      <c r="E189" s="117" t="s">
        <v>677</v>
      </c>
      <c r="F189" s="117" t="s">
        <v>2651</v>
      </c>
      <c r="G189" s="117" t="s">
        <v>529</v>
      </c>
      <c r="H189" s="118">
        <v>7.7</v>
      </c>
      <c r="I189" s="117" t="s">
        <v>211</v>
      </c>
      <c r="J189" s="118" t="s">
        <v>257</v>
      </c>
      <c r="K189" s="117">
        <v>0.03</v>
      </c>
      <c r="L189" s="117">
        <v>4.2099999999999999E-2</v>
      </c>
      <c r="M189" s="112">
        <v>482821</v>
      </c>
      <c r="N189" s="61">
        <v>101.78</v>
      </c>
      <c r="O189" s="85">
        <v>491.41521</v>
      </c>
      <c r="P189" s="25">
        <v>8.6714294645573904E-3</v>
      </c>
      <c r="Q189" s="25">
        <v>9.1692478134789953E-4</v>
      </c>
      <c r="R189" s="15"/>
    </row>
    <row r="190" spans="1:18" x14ac:dyDescent="0.25">
      <c r="A190" s="17" t="s">
        <v>2938</v>
      </c>
      <c r="B190" s="117" t="s">
        <v>2291</v>
      </c>
      <c r="C190" s="117" t="s">
        <v>2696</v>
      </c>
      <c r="D190" s="117"/>
      <c r="E190" s="117" t="s">
        <v>677</v>
      </c>
      <c r="F190" s="117" t="s">
        <v>2301</v>
      </c>
      <c r="G190" s="117" t="s">
        <v>529</v>
      </c>
      <c r="H190" s="118">
        <v>5.99</v>
      </c>
      <c r="I190" s="117" t="s">
        <v>211</v>
      </c>
      <c r="J190" s="118" t="s">
        <v>125</v>
      </c>
      <c r="K190" s="117">
        <v>0.1015643</v>
      </c>
      <c r="L190" s="117">
        <v>8.2599999999999993E-2</v>
      </c>
      <c r="M190" s="112">
        <v>142427.26</v>
      </c>
      <c r="N190" s="61">
        <v>108.22</v>
      </c>
      <c r="O190" s="85">
        <v>589.41140000000007</v>
      </c>
      <c r="P190" s="25">
        <v>1.0400653615719426E-2</v>
      </c>
      <c r="Q190" s="25">
        <v>1.0997745044744533E-3</v>
      </c>
      <c r="R190" s="15"/>
    </row>
    <row r="191" spans="1:18" x14ac:dyDescent="0.25">
      <c r="A191" s="17" t="s">
        <v>2938</v>
      </c>
      <c r="B191" s="117" t="s">
        <v>2291</v>
      </c>
      <c r="C191" s="117" t="s">
        <v>2700</v>
      </c>
      <c r="D191" s="117"/>
      <c r="E191" s="117" t="s">
        <v>677</v>
      </c>
      <c r="F191" s="117" t="s">
        <v>2356</v>
      </c>
      <c r="G191" s="117" t="s">
        <v>529</v>
      </c>
      <c r="H191" s="118">
        <v>5.99</v>
      </c>
      <c r="I191" s="117" t="s">
        <v>211</v>
      </c>
      <c r="J191" s="118" t="s">
        <v>125</v>
      </c>
      <c r="K191" s="117">
        <v>0.1015643</v>
      </c>
      <c r="L191" s="117">
        <v>8.2599999999999993E-2</v>
      </c>
      <c r="M191" s="112">
        <v>220754.36</v>
      </c>
      <c r="N191" s="61">
        <v>108.22</v>
      </c>
      <c r="O191" s="85">
        <v>913.55499999999995</v>
      </c>
      <c r="P191" s="25">
        <v>1.6120436615085085E-2</v>
      </c>
      <c r="Q191" s="25">
        <v>1.7045895234383982E-3</v>
      </c>
      <c r="R191" s="15"/>
    </row>
    <row r="192" spans="1:18" x14ac:dyDescent="0.25">
      <c r="A192" s="17" t="s">
        <v>2938</v>
      </c>
      <c r="B192" s="117" t="s">
        <v>2291</v>
      </c>
      <c r="C192" s="117" t="s">
        <v>2693</v>
      </c>
      <c r="D192" s="117"/>
      <c r="E192" s="117" t="s">
        <v>677</v>
      </c>
      <c r="F192" s="117" t="s">
        <v>2295</v>
      </c>
      <c r="G192" s="117" t="s">
        <v>529</v>
      </c>
      <c r="H192" s="118">
        <v>5.99</v>
      </c>
      <c r="I192" s="117" t="s">
        <v>211</v>
      </c>
      <c r="J192" s="118" t="s">
        <v>125</v>
      </c>
      <c r="K192" s="117">
        <v>0.1015643</v>
      </c>
      <c r="L192" s="117">
        <v>8.2599999999999993E-2</v>
      </c>
      <c r="M192" s="112">
        <v>179013.86</v>
      </c>
      <c r="N192" s="61">
        <v>108.22</v>
      </c>
      <c r="O192" s="85">
        <v>740.81892000000005</v>
      </c>
      <c r="P192" s="25">
        <v>1.3072365038903831E-2</v>
      </c>
      <c r="Q192" s="25">
        <v>1.3822836827524878E-3</v>
      </c>
      <c r="R192" s="15"/>
    </row>
    <row r="193" spans="1:18" x14ac:dyDescent="0.25">
      <c r="A193" s="17" t="s">
        <v>2938</v>
      </c>
      <c r="B193" s="117" t="s">
        <v>2291</v>
      </c>
      <c r="C193" s="117" t="s">
        <v>2694</v>
      </c>
      <c r="D193" s="117"/>
      <c r="E193" s="117" t="s">
        <v>677</v>
      </c>
      <c r="F193" s="117" t="s">
        <v>2297</v>
      </c>
      <c r="G193" s="117" t="s">
        <v>529</v>
      </c>
      <c r="H193" s="118">
        <v>5.99</v>
      </c>
      <c r="I193" s="117" t="s">
        <v>211</v>
      </c>
      <c r="J193" s="118" t="s">
        <v>125</v>
      </c>
      <c r="K193" s="117">
        <v>0.1015643</v>
      </c>
      <c r="L193" s="117">
        <v>8.2599999999999993E-2</v>
      </c>
      <c r="M193" s="112">
        <v>164422.94</v>
      </c>
      <c r="N193" s="61">
        <v>108.22</v>
      </c>
      <c r="O193" s="85">
        <v>680.43683999999996</v>
      </c>
      <c r="P193" s="25">
        <v>1.2006873094437435E-2</v>
      </c>
      <c r="Q193" s="25">
        <v>1.2696176024711479E-3</v>
      </c>
      <c r="R193" s="15"/>
    </row>
    <row r="194" spans="1:18" x14ac:dyDescent="0.25">
      <c r="A194" s="17" t="s">
        <v>2938</v>
      </c>
      <c r="B194" s="117" t="s">
        <v>2291</v>
      </c>
      <c r="C194" s="117" t="s">
        <v>2691</v>
      </c>
      <c r="D194" s="117"/>
      <c r="E194" s="117" t="s">
        <v>677</v>
      </c>
      <c r="F194" s="117" t="s">
        <v>2692</v>
      </c>
      <c r="G194" s="117" t="s">
        <v>529</v>
      </c>
      <c r="H194" s="118">
        <v>5.98</v>
      </c>
      <c r="I194" s="117" t="s">
        <v>211</v>
      </c>
      <c r="J194" s="118" t="s">
        <v>125</v>
      </c>
      <c r="K194" s="117">
        <v>0.1015643</v>
      </c>
      <c r="L194" s="117">
        <v>8.3599999999999994E-2</v>
      </c>
      <c r="M194" s="112">
        <v>41207.14</v>
      </c>
      <c r="N194" s="61">
        <v>107.68</v>
      </c>
      <c r="O194" s="85">
        <v>169.67794000000001</v>
      </c>
      <c r="P194" s="25">
        <v>2.9941081563214147E-3</v>
      </c>
      <c r="Q194" s="25">
        <v>3.1659969994429359E-4</v>
      </c>
      <c r="R194" s="15"/>
    </row>
    <row r="195" spans="1:18" x14ac:dyDescent="0.25">
      <c r="A195" s="17" t="s">
        <v>2938</v>
      </c>
      <c r="B195" s="117" t="s">
        <v>2291</v>
      </c>
      <c r="C195" s="117" t="s">
        <v>2695</v>
      </c>
      <c r="D195" s="117"/>
      <c r="E195" s="117" t="s">
        <v>677</v>
      </c>
      <c r="F195" s="117" t="s">
        <v>2299</v>
      </c>
      <c r="G195" s="117" t="s">
        <v>529</v>
      </c>
      <c r="H195" s="118">
        <v>5.99</v>
      </c>
      <c r="I195" s="117" t="s">
        <v>211</v>
      </c>
      <c r="J195" s="118" t="s">
        <v>125</v>
      </c>
      <c r="K195" s="117">
        <v>0.1015643</v>
      </c>
      <c r="L195" s="117">
        <v>8.2599999999999993E-2</v>
      </c>
      <c r="M195" s="112">
        <v>112870.99</v>
      </c>
      <c r="N195" s="61">
        <v>108.22</v>
      </c>
      <c r="O195" s="85">
        <v>467.09771999999998</v>
      </c>
      <c r="P195" s="25">
        <v>8.2423271596245001E-3</v>
      </c>
      <c r="Q195" s="25">
        <v>8.7155111617139892E-4</v>
      </c>
      <c r="R195" s="15"/>
    </row>
    <row r="196" spans="1:18" x14ac:dyDescent="0.25">
      <c r="A196" s="17" t="s">
        <v>2938</v>
      </c>
      <c r="B196" s="117" t="s">
        <v>2291</v>
      </c>
      <c r="C196" s="117" t="s">
        <v>2697</v>
      </c>
      <c r="D196" s="117"/>
      <c r="E196" s="117" t="s">
        <v>677</v>
      </c>
      <c r="F196" s="117" t="s">
        <v>2308</v>
      </c>
      <c r="G196" s="117" t="s">
        <v>529</v>
      </c>
      <c r="H196" s="118">
        <v>5.99</v>
      </c>
      <c r="I196" s="117" t="s">
        <v>211</v>
      </c>
      <c r="J196" s="118" t="s">
        <v>125</v>
      </c>
      <c r="K196" s="117">
        <v>0.1015643</v>
      </c>
      <c r="L196" s="117">
        <v>8.2599999999999993E-2</v>
      </c>
      <c r="M196" s="112">
        <v>87954.2</v>
      </c>
      <c r="N196" s="61">
        <v>108.22</v>
      </c>
      <c r="O196" s="85">
        <v>363.98374999999999</v>
      </c>
      <c r="P196" s="25">
        <v>6.4227955304234285E-3</v>
      </c>
      <c r="Q196" s="25">
        <v>6.7915219877491887E-4</v>
      </c>
      <c r="R196" s="15"/>
    </row>
    <row r="197" spans="1:18" x14ac:dyDescent="0.25">
      <c r="A197" s="17" t="s">
        <v>2938</v>
      </c>
      <c r="B197" s="117" t="s">
        <v>2291</v>
      </c>
      <c r="C197" s="117" t="s">
        <v>2300</v>
      </c>
      <c r="D197" s="117"/>
      <c r="E197" s="117" t="s">
        <v>677</v>
      </c>
      <c r="F197" s="117" t="s">
        <v>2301</v>
      </c>
      <c r="G197" s="117" t="s">
        <v>529</v>
      </c>
      <c r="H197" s="118">
        <v>6.44</v>
      </c>
      <c r="I197" s="117" t="s">
        <v>211</v>
      </c>
      <c r="J197" s="118" t="s">
        <v>257</v>
      </c>
      <c r="K197" s="117">
        <v>8.0499999523162835E-2</v>
      </c>
      <c r="L197" s="117">
        <v>6.9800000000000001E-2</v>
      </c>
      <c r="M197" s="112">
        <v>151998.54999999999</v>
      </c>
      <c r="N197" s="61">
        <v>107.06</v>
      </c>
      <c r="O197" s="85">
        <v>162.72964000000002</v>
      </c>
      <c r="P197" s="25">
        <v>2.8714996327704567E-3</v>
      </c>
      <c r="Q197" s="25">
        <v>3.0363496395608596E-4</v>
      </c>
      <c r="R197" s="15"/>
    </row>
    <row r="198" spans="1:18" x14ac:dyDescent="0.25">
      <c r="A198" s="17" t="s">
        <v>2938</v>
      </c>
      <c r="B198" s="117" t="s">
        <v>2291</v>
      </c>
      <c r="C198" s="117" t="s">
        <v>2355</v>
      </c>
      <c r="D198" s="117"/>
      <c r="E198" s="117" t="s">
        <v>677</v>
      </c>
      <c r="F198" s="117" t="s">
        <v>2356</v>
      </c>
      <c r="G198" s="117" t="s">
        <v>529</v>
      </c>
      <c r="H198" s="118">
        <v>6.44</v>
      </c>
      <c r="I198" s="117" t="s">
        <v>211</v>
      </c>
      <c r="J198" s="118" t="s">
        <v>257</v>
      </c>
      <c r="K198" s="117">
        <v>8.0499999523162835E-2</v>
      </c>
      <c r="L198" s="117">
        <v>6.9800000000000001E-2</v>
      </c>
      <c r="M198" s="112">
        <v>268556.17</v>
      </c>
      <c r="N198" s="61">
        <v>107.06</v>
      </c>
      <c r="O198" s="85">
        <v>287.51623000000001</v>
      </c>
      <c r="P198" s="25">
        <v>5.0734626393848471E-3</v>
      </c>
      <c r="Q198" s="25">
        <v>5.3647252051218031E-4</v>
      </c>
      <c r="R198" s="15"/>
    </row>
    <row r="199" spans="1:18" x14ac:dyDescent="0.25">
      <c r="A199" s="17" t="s">
        <v>2938</v>
      </c>
      <c r="B199" s="117" t="s">
        <v>2291</v>
      </c>
      <c r="C199" s="117" t="s">
        <v>2294</v>
      </c>
      <c r="D199" s="117"/>
      <c r="E199" s="117" t="s">
        <v>677</v>
      </c>
      <c r="F199" s="117" t="s">
        <v>2295</v>
      </c>
      <c r="G199" s="117" t="s">
        <v>529</v>
      </c>
      <c r="H199" s="118">
        <v>6.44</v>
      </c>
      <c r="I199" s="117" t="s">
        <v>211</v>
      </c>
      <c r="J199" s="118" t="s">
        <v>257</v>
      </c>
      <c r="K199" s="117">
        <v>8.0499999523162835E-2</v>
      </c>
      <c r="L199" s="117">
        <v>6.9800000000000001E-2</v>
      </c>
      <c r="M199" s="112">
        <v>200216.86</v>
      </c>
      <c r="N199" s="61">
        <v>107.07</v>
      </c>
      <c r="O199" s="85">
        <v>214.37218999999999</v>
      </c>
      <c r="P199" s="25">
        <v>3.7827753128514175E-3</v>
      </c>
      <c r="Q199" s="25">
        <v>3.9999407719354141E-4</v>
      </c>
      <c r="R199" s="15"/>
    </row>
    <row r="200" spans="1:18" x14ac:dyDescent="0.25">
      <c r="A200" s="17" t="s">
        <v>2938</v>
      </c>
      <c r="B200" s="117" t="s">
        <v>2291</v>
      </c>
      <c r="C200" s="117" t="s">
        <v>2296</v>
      </c>
      <c r="D200" s="117"/>
      <c r="E200" s="117" t="s">
        <v>677</v>
      </c>
      <c r="F200" s="117" t="s">
        <v>2297</v>
      </c>
      <c r="G200" s="117" t="s">
        <v>529</v>
      </c>
      <c r="H200" s="118">
        <v>6.44</v>
      </c>
      <c r="I200" s="117" t="s">
        <v>211</v>
      </c>
      <c r="J200" s="118" t="s">
        <v>257</v>
      </c>
      <c r="K200" s="117">
        <v>8.0499999523162835E-2</v>
      </c>
      <c r="L200" s="117">
        <v>6.9800000000000001E-2</v>
      </c>
      <c r="M200" s="112">
        <v>183660.13</v>
      </c>
      <c r="N200" s="61">
        <v>107.06</v>
      </c>
      <c r="O200" s="85">
        <v>196.62653</v>
      </c>
      <c r="P200" s="25">
        <v>3.4696384056889028E-3</v>
      </c>
      <c r="Q200" s="25">
        <v>3.6688269788687699E-4</v>
      </c>
      <c r="R200" s="15"/>
    </row>
    <row r="201" spans="1:18" x14ac:dyDescent="0.25">
      <c r="A201" s="17" t="s">
        <v>2938</v>
      </c>
      <c r="B201" s="117" t="s">
        <v>2291</v>
      </c>
      <c r="C201" s="117" t="s">
        <v>2292</v>
      </c>
      <c r="D201" s="117"/>
      <c r="E201" s="117" t="s">
        <v>677</v>
      </c>
      <c r="F201" s="117" t="s">
        <v>2293</v>
      </c>
      <c r="G201" s="117" t="s">
        <v>529</v>
      </c>
      <c r="H201" s="118">
        <v>6.44</v>
      </c>
      <c r="I201" s="117" t="s">
        <v>211</v>
      </c>
      <c r="J201" s="118" t="s">
        <v>257</v>
      </c>
      <c r="K201" s="117">
        <v>8.0499999523162835E-2</v>
      </c>
      <c r="L201" s="117">
        <v>6.9800000000000001E-2</v>
      </c>
      <c r="M201" s="112">
        <v>47599.53</v>
      </c>
      <c r="N201" s="61">
        <v>107.06</v>
      </c>
      <c r="O201" s="85">
        <v>50.960050000000003</v>
      </c>
      <c r="P201" s="25">
        <v>8.9923240081502117E-4</v>
      </c>
      <c r="Q201" s="25">
        <v>9.5085646013537168E-5</v>
      </c>
      <c r="R201" s="15"/>
    </row>
    <row r="202" spans="1:18" x14ac:dyDescent="0.25">
      <c r="A202" s="17" t="s">
        <v>2938</v>
      </c>
      <c r="B202" s="117" t="s">
        <v>2291</v>
      </c>
      <c r="C202" s="117" t="s">
        <v>2298</v>
      </c>
      <c r="D202" s="117"/>
      <c r="E202" s="117" t="s">
        <v>677</v>
      </c>
      <c r="F202" s="117" t="s">
        <v>2299</v>
      </c>
      <c r="G202" s="117" t="s">
        <v>529</v>
      </c>
      <c r="H202" s="118">
        <v>6.44</v>
      </c>
      <c r="I202" s="117" t="s">
        <v>211</v>
      </c>
      <c r="J202" s="118" t="s">
        <v>257</v>
      </c>
      <c r="K202" s="117">
        <v>8.0499999523162835E-2</v>
      </c>
      <c r="L202" s="117">
        <v>6.9800000000000001E-2</v>
      </c>
      <c r="M202" s="112">
        <v>128318.36</v>
      </c>
      <c r="N202" s="61">
        <v>107.06</v>
      </c>
      <c r="O202" s="85">
        <v>137.37763000000001</v>
      </c>
      <c r="P202" s="25">
        <v>2.4241423633449668E-3</v>
      </c>
      <c r="Q202" s="25">
        <v>2.5633100235103153E-4</v>
      </c>
      <c r="R202" s="15"/>
    </row>
    <row r="203" spans="1:18" x14ac:dyDescent="0.25">
      <c r="A203" s="17" t="s">
        <v>2938</v>
      </c>
      <c r="B203" s="117" t="s">
        <v>2291</v>
      </c>
      <c r="C203" s="117" t="s">
        <v>2307</v>
      </c>
      <c r="D203" s="117"/>
      <c r="E203" s="117" t="s">
        <v>677</v>
      </c>
      <c r="F203" s="117" t="s">
        <v>2308</v>
      </c>
      <c r="G203" s="117" t="s">
        <v>529</v>
      </c>
      <c r="H203" s="118">
        <v>6.44</v>
      </c>
      <c r="I203" s="117" t="s">
        <v>211</v>
      </c>
      <c r="J203" s="118" t="s">
        <v>257</v>
      </c>
      <c r="K203" s="117">
        <v>8.0499999523162835E-2</v>
      </c>
      <c r="L203" s="117">
        <v>6.9800000000000001E-2</v>
      </c>
      <c r="M203" s="112">
        <v>94315.97</v>
      </c>
      <c r="N203" s="61">
        <v>107.06</v>
      </c>
      <c r="O203" s="85">
        <v>100.97467</v>
      </c>
      <c r="P203" s="25">
        <v>1.7817819041701193E-3</v>
      </c>
      <c r="Q203" s="25">
        <v>1.8840722738603535E-4</v>
      </c>
      <c r="R203" s="15"/>
    </row>
    <row r="204" spans="1:18" x14ac:dyDescent="0.25">
      <c r="A204" s="17" t="s">
        <v>2939</v>
      </c>
      <c r="B204" s="117" t="s">
        <v>2291</v>
      </c>
      <c r="C204" s="117" t="s">
        <v>2327</v>
      </c>
      <c r="D204" s="117"/>
      <c r="E204" s="117" t="s">
        <v>630</v>
      </c>
      <c r="F204" s="117" t="s">
        <v>2328</v>
      </c>
      <c r="G204" s="117" t="s">
        <v>256</v>
      </c>
      <c r="H204" s="118">
        <v>9.27</v>
      </c>
      <c r="I204" s="117" t="s">
        <v>204</v>
      </c>
      <c r="J204" s="118" t="s">
        <v>257</v>
      </c>
      <c r="K204" s="117">
        <v>7.399999976158142E-2</v>
      </c>
      <c r="L204" s="117">
        <v>7.17E-2</v>
      </c>
      <c r="M204" s="112">
        <v>60728.068020066079</v>
      </c>
      <c r="N204" s="61">
        <v>99.06</v>
      </c>
      <c r="O204" s="85">
        <v>60.157220000000002</v>
      </c>
      <c r="P204" s="25">
        <v>1.0615241030367396E-3</v>
      </c>
      <c r="Q204" s="25">
        <v>1.1224651714585206E-4</v>
      </c>
      <c r="R204" s="15"/>
    </row>
    <row r="205" spans="1:18" x14ac:dyDescent="0.25">
      <c r="A205" s="17" t="s">
        <v>2939</v>
      </c>
      <c r="B205" s="117" t="s">
        <v>2291</v>
      </c>
      <c r="C205" s="117" t="s">
        <v>2341</v>
      </c>
      <c r="D205" s="117"/>
      <c r="E205" s="117" t="s">
        <v>630</v>
      </c>
      <c r="F205" s="117" t="s">
        <v>2342</v>
      </c>
      <c r="G205" s="117" t="s">
        <v>256</v>
      </c>
      <c r="H205" s="118">
        <v>9.27</v>
      </c>
      <c r="I205" s="117" t="s">
        <v>204</v>
      </c>
      <c r="J205" s="118" t="s">
        <v>257</v>
      </c>
      <c r="K205" s="117">
        <v>7.399999976158142E-2</v>
      </c>
      <c r="L205" s="117">
        <v>7.1599999999999997E-2</v>
      </c>
      <c r="M205" s="112">
        <v>10482.163169265068</v>
      </c>
      <c r="N205" s="61">
        <v>99.11</v>
      </c>
      <c r="O205" s="85">
        <v>10.388870000000001</v>
      </c>
      <c r="P205" s="25">
        <v>1.8332023834072278E-4</v>
      </c>
      <c r="Q205" s="25">
        <v>1.9384447529008622E-5</v>
      </c>
      <c r="R205" s="15"/>
    </row>
    <row r="206" spans="1:18" x14ac:dyDescent="0.25">
      <c r="A206" s="17" t="s">
        <v>2939</v>
      </c>
      <c r="B206" s="117" t="s">
        <v>2291</v>
      </c>
      <c r="C206" s="117" t="s">
        <v>2411</v>
      </c>
      <c r="D206" s="117"/>
      <c r="E206" s="117" t="s">
        <v>630</v>
      </c>
      <c r="F206" s="117" t="s">
        <v>2412</v>
      </c>
      <c r="G206" s="117" t="s">
        <v>256</v>
      </c>
      <c r="H206" s="118">
        <v>9.26</v>
      </c>
      <c r="I206" s="117" t="s">
        <v>204</v>
      </c>
      <c r="J206" s="118" t="s">
        <v>257</v>
      </c>
      <c r="K206" s="117">
        <v>7.399999976158142E-2</v>
      </c>
      <c r="L206" s="117">
        <v>6.8699999999999997E-2</v>
      </c>
      <c r="M206" s="112">
        <v>31903.563891956172</v>
      </c>
      <c r="N206" s="61">
        <v>101.65</v>
      </c>
      <c r="O206" s="85">
        <v>32.429970000000004</v>
      </c>
      <c r="P206" s="25">
        <v>5.7225375134952014E-4</v>
      </c>
      <c r="Q206" s="25">
        <v>6.0510628377515923E-5</v>
      </c>
      <c r="R206" s="15"/>
    </row>
    <row r="207" spans="1:18" x14ac:dyDescent="0.25">
      <c r="A207" s="17" t="s">
        <v>2940</v>
      </c>
      <c r="B207" s="216" t="s">
        <v>2977</v>
      </c>
      <c r="C207" s="117" t="s">
        <v>2637</v>
      </c>
      <c r="D207" s="117"/>
      <c r="E207" s="117" t="s">
        <v>677</v>
      </c>
      <c r="F207" s="117" t="s">
        <v>2636</v>
      </c>
      <c r="G207" s="117" t="s">
        <v>529</v>
      </c>
      <c r="H207" s="118">
        <v>8.35</v>
      </c>
      <c r="I207" s="117" t="s">
        <v>211</v>
      </c>
      <c r="J207" s="118" t="s">
        <v>257</v>
      </c>
      <c r="K207" s="117">
        <v>1.7899999999999999E-2</v>
      </c>
      <c r="L207" s="117">
        <v>3.9E-2</v>
      </c>
      <c r="M207" s="112">
        <v>3352.5893214732087</v>
      </c>
      <c r="N207" s="61">
        <v>95.44</v>
      </c>
      <c r="O207" s="85">
        <v>3.1997100000000001</v>
      </c>
      <c r="P207" s="25">
        <v>5.6461540073289394E-5</v>
      </c>
      <c r="Q207" s="25">
        <v>5.9702942286354704E-6</v>
      </c>
      <c r="R207" s="15"/>
    </row>
    <row r="208" spans="1:18" x14ac:dyDescent="0.25">
      <c r="A208" s="17" t="s">
        <v>2941</v>
      </c>
      <c r="B208" s="216" t="s">
        <v>2977</v>
      </c>
      <c r="C208" s="117" t="s">
        <v>2635</v>
      </c>
      <c r="D208" s="117"/>
      <c r="E208" s="117" t="s">
        <v>677</v>
      </c>
      <c r="F208" s="117" t="s">
        <v>2636</v>
      </c>
      <c r="G208" s="117" t="s">
        <v>529</v>
      </c>
      <c r="H208" s="118">
        <v>8.3800000000000008</v>
      </c>
      <c r="I208" s="117" t="s">
        <v>211</v>
      </c>
      <c r="J208" s="118" t="s">
        <v>257</v>
      </c>
      <c r="K208" s="117">
        <v>1.7899999999999999E-2</v>
      </c>
      <c r="L208" s="117">
        <v>3.8399999999999997E-2</v>
      </c>
      <c r="M208" s="112">
        <v>5090.5787000195478</v>
      </c>
      <c r="N208" s="61">
        <v>95.9</v>
      </c>
      <c r="O208" s="85">
        <v>4.8818599999999996</v>
      </c>
      <c r="P208" s="25">
        <v>8.6144473724865237E-5</v>
      </c>
      <c r="Q208" s="25">
        <v>9.1089944348101407E-6</v>
      </c>
      <c r="R208" s="15"/>
    </row>
    <row r="209" spans="1:18" x14ac:dyDescent="0.25">
      <c r="A209" s="17" t="s">
        <v>2942</v>
      </c>
      <c r="B209" s="117" t="s">
        <v>2291</v>
      </c>
      <c r="C209" s="117" t="s">
        <v>2364</v>
      </c>
      <c r="D209" s="117"/>
      <c r="E209" s="117" t="s">
        <v>677</v>
      </c>
      <c r="F209" s="117" t="s">
        <v>2365</v>
      </c>
      <c r="G209" s="117" t="s">
        <v>529</v>
      </c>
      <c r="H209" s="118">
        <v>7.96</v>
      </c>
      <c r="I209" s="117" t="s">
        <v>219</v>
      </c>
      <c r="J209" s="118" t="s">
        <v>257</v>
      </c>
      <c r="K209" s="117">
        <v>6.8499999046325685E-2</v>
      </c>
      <c r="L209" s="117">
        <v>6.5599999999999992E-2</v>
      </c>
      <c r="M209" s="112">
        <v>716.79615990455602</v>
      </c>
      <c r="N209" s="61">
        <v>99.11</v>
      </c>
      <c r="O209" s="85">
        <v>0.71041999999999994</v>
      </c>
      <c r="P209" s="25">
        <v>1.2535950851441615E-5</v>
      </c>
      <c r="Q209" s="25">
        <v>1.3255627622213296E-6</v>
      </c>
      <c r="R209" s="15"/>
    </row>
    <row r="210" spans="1:18" x14ac:dyDescent="0.25">
      <c r="A210" s="17" t="s">
        <v>2942</v>
      </c>
      <c r="B210" s="117" t="s">
        <v>2291</v>
      </c>
      <c r="C210" s="117" t="s">
        <v>2437</v>
      </c>
      <c r="D210" s="117"/>
      <c r="E210" s="117" t="s">
        <v>677</v>
      </c>
      <c r="F210" s="117" t="s">
        <v>2438</v>
      </c>
      <c r="G210" s="117" t="s">
        <v>529</v>
      </c>
      <c r="H210" s="118">
        <v>8.0299999999999994</v>
      </c>
      <c r="I210" s="117" t="s">
        <v>219</v>
      </c>
      <c r="J210" s="118" t="s">
        <v>257</v>
      </c>
      <c r="K210" s="117">
        <v>6.8499999046325685E-2</v>
      </c>
      <c r="L210" s="117">
        <v>6.3600000000000004E-2</v>
      </c>
      <c r="M210" s="112">
        <v>2753.14909786825</v>
      </c>
      <c r="N210" s="61">
        <v>100.65</v>
      </c>
      <c r="O210" s="85">
        <v>2.7710400000000002</v>
      </c>
      <c r="P210" s="25">
        <v>4.8897301944453669E-5</v>
      </c>
      <c r="Q210" s="25">
        <v>5.1704448588522189E-6</v>
      </c>
      <c r="R210" s="15"/>
    </row>
    <row r="211" spans="1:18" x14ac:dyDescent="0.25">
      <c r="A211" s="17" t="s">
        <v>2942</v>
      </c>
      <c r="B211" s="117" t="s">
        <v>2291</v>
      </c>
      <c r="C211" s="117" t="s">
        <v>2439</v>
      </c>
      <c r="D211" s="117"/>
      <c r="E211" s="117" t="s">
        <v>677</v>
      </c>
      <c r="F211" s="117" t="s">
        <v>449</v>
      </c>
      <c r="G211" s="117" t="s">
        <v>529</v>
      </c>
      <c r="H211" s="118">
        <v>8.0299999999999994</v>
      </c>
      <c r="I211" s="117" t="s">
        <v>219</v>
      </c>
      <c r="J211" s="118" t="s">
        <v>257</v>
      </c>
      <c r="K211" s="117">
        <v>6.8499999046325685E-2</v>
      </c>
      <c r="L211" s="117">
        <v>6.3600000000000004E-2</v>
      </c>
      <c r="M211" s="112">
        <v>2287.2485667676783</v>
      </c>
      <c r="N211" s="61">
        <v>100.66</v>
      </c>
      <c r="O211" s="85">
        <v>2.3023400000000001</v>
      </c>
      <c r="P211" s="25">
        <v>4.0626701223653742E-5</v>
      </c>
      <c r="Q211" s="25">
        <v>4.2959040707928495E-6</v>
      </c>
      <c r="R211" s="15"/>
    </row>
    <row r="212" spans="1:18" x14ac:dyDescent="0.25">
      <c r="A212" s="17" t="s">
        <v>2942</v>
      </c>
      <c r="B212" s="117" t="s">
        <v>2291</v>
      </c>
      <c r="C212" s="117" t="s">
        <v>2440</v>
      </c>
      <c r="D212" s="117"/>
      <c r="E212" s="117" t="s">
        <v>677</v>
      </c>
      <c r="F212" s="117" t="s">
        <v>1704</v>
      </c>
      <c r="G212" s="117" t="s">
        <v>529</v>
      </c>
      <c r="H212" s="118">
        <v>8.0299999999999994</v>
      </c>
      <c r="I212" s="117" t="s">
        <v>219</v>
      </c>
      <c r="J212" s="118" t="s">
        <v>257</v>
      </c>
      <c r="K212" s="117">
        <v>6.8499999046325685E-2</v>
      </c>
      <c r="L212" s="117">
        <v>6.3600000000000004E-2</v>
      </c>
      <c r="M212" s="112">
        <v>2378.4778077992196</v>
      </c>
      <c r="N212" s="61">
        <v>100.65</v>
      </c>
      <c r="O212" s="85">
        <v>2.3939400000000002</v>
      </c>
      <c r="P212" s="25">
        <v>4.2243059290701474E-5</v>
      </c>
      <c r="Q212" s="25">
        <v>4.4668192322740495E-6</v>
      </c>
      <c r="R212" s="15"/>
    </row>
    <row r="213" spans="1:18" x14ac:dyDescent="0.25">
      <c r="A213" s="17" t="s">
        <v>2942</v>
      </c>
      <c r="B213" s="117" t="s">
        <v>2291</v>
      </c>
      <c r="C213" s="117" t="s">
        <v>2446</v>
      </c>
      <c r="D213" s="117"/>
      <c r="E213" s="117" t="s">
        <v>677</v>
      </c>
      <c r="F213" s="117" t="s">
        <v>1032</v>
      </c>
      <c r="G213" s="117" t="s">
        <v>529</v>
      </c>
      <c r="H213" s="118">
        <v>8.02</v>
      </c>
      <c r="I213" s="117" t="s">
        <v>219</v>
      </c>
      <c r="J213" s="118" t="s">
        <v>257</v>
      </c>
      <c r="K213" s="117">
        <v>6.8499999046325685E-2</v>
      </c>
      <c r="L213" s="117">
        <v>6.3700000000000007E-2</v>
      </c>
      <c r="M213" s="112">
        <v>3052.922791709494</v>
      </c>
      <c r="N213" s="61">
        <v>100.54</v>
      </c>
      <c r="O213" s="85">
        <v>3.06941</v>
      </c>
      <c r="P213" s="25">
        <v>5.4162288368744418E-5</v>
      </c>
      <c r="Q213" s="25">
        <v>5.7271692773145061E-6</v>
      </c>
      <c r="R213" s="15"/>
    </row>
    <row r="214" spans="1:18" x14ac:dyDescent="0.25">
      <c r="A214" s="17" t="s">
        <v>2942</v>
      </c>
      <c r="B214" s="117" t="s">
        <v>2291</v>
      </c>
      <c r="C214" s="117" t="s">
        <v>2368</v>
      </c>
      <c r="D214" s="117"/>
      <c r="E214" s="117" t="s">
        <v>677</v>
      </c>
      <c r="F214" s="117" t="s">
        <v>1672</v>
      </c>
      <c r="G214" s="117" t="s">
        <v>529</v>
      </c>
      <c r="H214" s="118">
        <v>7.97</v>
      </c>
      <c r="I214" s="117" t="s">
        <v>219</v>
      </c>
      <c r="J214" s="118" t="s">
        <v>257</v>
      </c>
      <c r="K214" s="117">
        <v>6.8499999046325685E-2</v>
      </c>
      <c r="L214" s="117">
        <v>6.5299999999999997E-2</v>
      </c>
      <c r="M214" s="112">
        <v>1091.9413062157078</v>
      </c>
      <c r="N214" s="61">
        <v>99.34</v>
      </c>
      <c r="O214" s="85">
        <v>1.08473</v>
      </c>
      <c r="P214" s="25">
        <v>1.9140961638304475E-5</v>
      </c>
      <c r="Q214" s="25">
        <v>2.0239825667412839E-6</v>
      </c>
      <c r="R214" s="15"/>
    </row>
    <row r="215" spans="1:18" x14ac:dyDescent="0.25">
      <c r="A215" s="17" t="s">
        <v>2942</v>
      </c>
      <c r="B215" s="117" t="s">
        <v>2291</v>
      </c>
      <c r="C215" s="117" t="s">
        <v>2372</v>
      </c>
      <c r="D215" s="117"/>
      <c r="E215" s="117" t="s">
        <v>677</v>
      </c>
      <c r="F215" s="117" t="s">
        <v>2373</v>
      </c>
      <c r="G215" s="117" t="s">
        <v>529</v>
      </c>
      <c r="H215" s="118">
        <v>8</v>
      </c>
      <c r="I215" s="117" t="s">
        <v>219</v>
      </c>
      <c r="J215" s="118" t="s">
        <v>257</v>
      </c>
      <c r="K215" s="117">
        <v>6.8499999046325685E-2</v>
      </c>
      <c r="L215" s="117">
        <v>6.4199999999999993E-2</v>
      </c>
      <c r="M215" s="112">
        <v>1036.0961272034017</v>
      </c>
      <c r="N215" s="61">
        <v>100.14</v>
      </c>
      <c r="O215" s="85">
        <v>1.03755</v>
      </c>
      <c r="P215" s="25">
        <v>1.8308431358792332E-5</v>
      </c>
      <c r="Q215" s="25">
        <v>1.9359500632622117E-6</v>
      </c>
      <c r="R215" s="15"/>
    </row>
    <row r="216" spans="1:18" x14ac:dyDescent="0.25">
      <c r="A216" s="17" t="s">
        <v>2942</v>
      </c>
      <c r="B216" s="117" t="s">
        <v>2291</v>
      </c>
      <c r="C216" s="117" t="s">
        <v>2378</v>
      </c>
      <c r="D216" s="117"/>
      <c r="E216" s="117" t="s">
        <v>677</v>
      </c>
      <c r="F216" s="117" t="s">
        <v>2379</v>
      </c>
      <c r="G216" s="117" t="s">
        <v>529</v>
      </c>
      <c r="H216" s="118">
        <v>8</v>
      </c>
      <c r="I216" s="117" t="s">
        <v>219</v>
      </c>
      <c r="J216" s="118" t="s">
        <v>257</v>
      </c>
      <c r="K216" s="117">
        <v>6.8499999046325685E-2</v>
      </c>
      <c r="L216" s="117">
        <v>6.4299999999999996E-2</v>
      </c>
      <c r="M216" s="112">
        <v>1199.0045498305033</v>
      </c>
      <c r="N216" s="61">
        <v>100.11</v>
      </c>
      <c r="O216" s="85">
        <v>1.2003199999999998</v>
      </c>
      <c r="P216" s="25">
        <v>2.1180643177278791E-5</v>
      </c>
      <c r="Q216" s="25">
        <v>2.2396603343789674E-6</v>
      </c>
      <c r="R216" s="15"/>
    </row>
    <row r="217" spans="1:18" x14ac:dyDescent="0.25">
      <c r="A217" s="17" t="s">
        <v>2942</v>
      </c>
      <c r="B217" s="117" t="s">
        <v>2291</v>
      </c>
      <c r="C217" s="117" t="s">
        <v>2413</v>
      </c>
      <c r="D217" s="117"/>
      <c r="E217" s="117" t="s">
        <v>677</v>
      </c>
      <c r="F217" s="117" t="s">
        <v>2412</v>
      </c>
      <c r="G217" s="117" t="s">
        <v>529</v>
      </c>
      <c r="H217" s="118">
        <v>8.01</v>
      </c>
      <c r="I217" s="117" t="s">
        <v>219</v>
      </c>
      <c r="J217" s="118" t="s">
        <v>257</v>
      </c>
      <c r="K217" s="117">
        <v>6.8499999046325685E-2</v>
      </c>
      <c r="L217" s="117">
        <v>6.4000000000000001E-2</v>
      </c>
      <c r="M217" s="112">
        <v>140.49210278379937</v>
      </c>
      <c r="N217" s="61">
        <v>100.32</v>
      </c>
      <c r="O217" s="85">
        <v>0.14094000000000001</v>
      </c>
      <c r="P217" s="25">
        <v>2.4870033402806528E-6</v>
      </c>
      <c r="Q217" s="25">
        <v>2.6297797881179332E-7</v>
      </c>
      <c r="R217" s="15"/>
    </row>
    <row r="218" spans="1:18" x14ac:dyDescent="0.25">
      <c r="A218" s="17" t="s">
        <v>2942</v>
      </c>
      <c r="B218" s="117" t="s">
        <v>2291</v>
      </c>
      <c r="C218" s="117" t="s">
        <v>2416</v>
      </c>
      <c r="D218" s="117"/>
      <c r="E218" s="117" t="s">
        <v>677</v>
      </c>
      <c r="F218" s="117" t="s">
        <v>1715</v>
      </c>
      <c r="G218" s="117" t="s">
        <v>529</v>
      </c>
      <c r="H218" s="118">
        <v>8.01</v>
      </c>
      <c r="I218" s="117" t="s">
        <v>219</v>
      </c>
      <c r="J218" s="118" t="s">
        <v>257</v>
      </c>
      <c r="K218" s="117">
        <v>6.8499999046325685E-2</v>
      </c>
      <c r="L218" s="117">
        <v>6.3899999999999998E-2</v>
      </c>
      <c r="M218" s="112">
        <v>1612.7913912217236</v>
      </c>
      <c r="N218" s="61">
        <v>100.36</v>
      </c>
      <c r="O218" s="85">
        <v>1.6185999999999998</v>
      </c>
      <c r="P218" s="25">
        <v>2.8561541127985414E-5</v>
      </c>
      <c r="Q218" s="25">
        <v>3.0201231481819823E-6</v>
      </c>
      <c r="R218" s="15"/>
    </row>
    <row r="219" spans="1:18" x14ac:dyDescent="0.25">
      <c r="A219" s="17" t="s">
        <v>2942</v>
      </c>
      <c r="B219" s="117" t="s">
        <v>2291</v>
      </c>
      <c r="C219" s="117" t="s">
        <v>2419</v>
      </c>
      <c r="D219" s="117"/>
      <c r="E219" s="117" t="s">
        <v>677</v>
      </c>
      <c r="F219" s="117" t="s">
        <v>2420</v>
      </c>
      <c r="G219" s="117" t="s">
        <v>529</v>
      </c>
      <c r="H219" s="118">
        <v>8.01</v>
      </c>
      <c r="I219" s="117" t="s">
        <v>219</v>
      </c>
      <c r="J219" s="118" t="s">
        <v>257</v>
      </c>
      <c r="K219" s="117">
        <v>6.8499999046325685E-2</v>
      </c>
      <c r="L219" s="117">
        <v>6.4000000000000001E-2</v>
      </c>
      <c r="M219" s="112">
        <v>1303.2658892132908</v>
      </c>
      <c r="N219" s="61">
        <v>100.32</v>
      </c>
      <c r="O219" s="85">
        <v>1.3074400000000002</v>
      </c>
      <c r="P219" s="25">
        <v>2.3070864532542476E-5</v>
      </c>
      <c r="Q219" s="25">
        <v>2.4395340472377686E-6</v>
      </c>
      <c r="R219" s="15"/>
    </row>
    <row r="220" spans="1:18" x14ac:dyDescent="0.25">
      <c r="A220" s="17" t="s">
        <v>2942</v>
      </c>
      <c r="B220" s="117" t="s">
        <v>2291</v>
      </c>
      <c r="C220" s="117" t="s">
        <v>2423</v>
      </c>
      <c r="D220" s="117"/>
      <c r="E220" s="117" t="s">
        <v>677</v>
      </c>
      <c r="F220" s="117" t="s">
        <v>2424</v>
      </c>
      <c r="G220" s="117" t="s">
        <v>529</v>
      </c>
      <c r="H220" s="118">
        <v>7.98</v>
      </c>
      <c r="I220" s="117" t="s">
        <v>219</v>
      </c>
      <c r="J220" s="118" t="s">
        <v>257</v>
      </c>
      <c r="K220" s="117">
        <v>6.8499999046325685E-2</v>
      </c>
      <c r="L220" s="117">
        <v>6.4899999999999999E-2</v>
      </c>
      <c r="M220" s="112">
        <v>2378.4601490751529</v>
      </c>
      <c r="N220" s="61">
        <v>99.62</v>
      </c>
      <c r="O220" s="85">
        <v>2.3694199999999999</v>
      </c>
      <c r="P220" s="25">
        <v>4.1810383528648958E-5</v>
      </c>
      <c r="Q220" s="25">
        <v>4.4210677065151073E-6</v>
      </c>
      <c r="R220" s="15"/>
    </row>
    <row r="221" spans="1:18" x14ac:dyDescent="0.25">
      <c r="A221" s="17" t="s">
        <v>2942</v>
      </c>
      <c r="B221" s="117" t="s">
        <v>2291</v>
      </c>
      <c r="C221" s="117" t="s">
        <v>2427</v>
      </c>
      <c r="D221" s="117"/>
      <c r="E221" s="117" t="s">
        <v>677</v>
      </c>
      <c r="F221" s="117" t="s">
        <v>1680</v>
      </c>
      <c r="G221" s="117" t="s">
        <v>529</v>
      </c>
      <c r="H221" s="118">
        <v>8</v>
      </c>
      <c r="I221" s="117" t="s">
        <v>219</v>
      </c>
      <c r="J221" s="118" t="s">
        <v>257</v>
      </c>
      <c r="K221" s="117">
        <v>6.8499999046325685E-2</v>
      </c>
      <c r="L221" s="117">
        <v>6.4500000000000002E-2</v>
      </c>
      <c r="M221" s="112">
        <v>1876.7028285683803</v>
      </c>
      <c r="N221" s="61">
        <v>99.92</v>
      </c>
      <c r="O221" s="85">
        <v>1.8752</v>
      </c>
      <c r="P221" s="25">
        <v>3.3089461215370231E-5</v>
      </c>
      <c r="Q221" s="25">
        <v>3.4989095066544262E-6</v>
      </c>
      <c r="R221" s="15"/>
    </row>
    <row r="222" spans="1:18" x14ac:dyDescent="0.25">
      <c r="A222" s="17" t="s">
        <v>2942</v>
      </c>
      <c r="B222" s="216" t="s">
        <v>2977</v>
      </c>
      <c r="C222" s="117" t="s">
        <v>2309</v>
      </c>
      <c r="D222" s="117"/>
      <c r="E222" s="117" t="s">
        <v>677</v>
      </c>
      <c r="F222" s="117" t="s">
        <v>2310</v>
      </c>
      <c r="G222" s="117" t="s">
        <v>529</v>
      </c>
      <c r="H222" s="118">
        <v>0</v>
      </c>
      <c r="I222" s="117" t="s">
        <v>219</v>
      </c>
      <c r="J222" s="118" t="s">
        <v>257</v>
      </c>
      <c r="K222" s="117">
        <v>6.0000000000000001E-3</v>
      </c>
      <c r="L222" s="117">
        <v>0</v>
      </c>
      <c r="M222" s="112">
        <v>-189.62265985396112</v>
      </c>
      <c r="N222" s="61">
        <v>1.9230769999999999</v>
      </c>
      <c r="O222" s="85">
        <v>-3.65E-3</v>
      </c>
      <c r="P222" s="25">
        <v>-6.4407281055941407E-8</v>
      </c>
      <c r="Q222" s="25">
        <v>-6.8104840546547859E-9</v>
      </c>
      <c r="R222" s="15"/>
    </row>
    <row r="223" spans="1:18" x14ac:dyDescent="0.25">
      <c r="A223" s="17" t="s">
        <v>2943</v>
      </c>
      <c r="B223" s="216" t="s">
        <v>2977</v>
      </c>
      <c r="C223" s="117" t="s">
        <v>2592</v>
      </c>
      <c r="D223" s="117"/>
      <c r="E223" s="117" t="s">
        <v>689</v>
      </c>
      <c r="F223" s="117" t="s">
        <v>2593</v>
      </c>
      <c r="G223" s="117" t="s">
        <v>529</v>
      </c>
      <c r="H223" s="118">
        <v>4.8</v>
      </c>
      <c r="I223" s="117" t="s">
        <v>211</v>
      </c>
      <c r="J223" s="118" t="s">
        <v>257</v>
      </c>
      <c r="K223" s="117">
        <v>3.44E-2</v>
      </c>
      <c r="L223" s="117">
        <v>3.5000000000000003E-2</v>
      </c>
      <c r="M223" s="112">
        <v>457204.84</v>
      </c>
      <c r="N223" s="61">
        <v>112.56</v>
      </c>
      <c r="O223" s="85">
        <v>514.62976000000003</v>
      </c>
      <c r="P223" s="25">
        <v>9.0810694772799107E-3</v>
      </c>
      <c r="Q223" s="25">
        <v>9.6024048617282737E-4</v>
      </c>
      <c r="R223" s="15"/>
    </row>
    <row r="224" spans="1:18" x14ac:dyDescent="0.25">
      <c r="A224" s="17" t="s">
        <v>2944</v>
      </c>
      <c r="B224" s="216" t="s">
        <v>2977</v>
      </c>
      <c r="C224" s="117" t="s">
        <v>2622</v>
      </c>
      <c r="D224" s="117"/>
      <c r="E224" s="117" t="s">
        <v>689</v>
      </c>
      <c r="F224" s="117" t="s">
        <v>1223</v>
      </c>
      <c r="G224" s="117" t="s">
        <v>529</v>
      </c>
      <c r="H224" s="118">
        <v>8.2100000000000009</v>
      </c>
      <c r="I224" s="117" t="s">
        <v>211</v>
      </c>
      <c r="J224" s="118" t="s">
        <v>257</v>
      </c>
      <c r="K224" s="117">
        <v>2.4300000000000002E-2</v>
      </c>
      <c r="L224" s="117">
        <v>2.8500000000000001E-2</v>
      </c>
      <c r="M224" s="112">
        <v>1617.9636655094389</v>
      </c>
      <c r="N224" s="61">
        <v>104.49</v>
      </c>
      <c r="O224" s="85">
        <v>1.6906099999999999</v>
      </c>
      <c r="P224" s="25">
        <v>2.983221737698222E-5</v>
      </c>
      <c r="Q224" s="25">
        <v>3.154485602093131E-6</v>
      </c>
      <c r="R224" s="15"/>
    </row>
    <row r="225" spans="1:18" x14ac:dyDescent="0.25">
      <c r="A225" s="17" t="s">
        <v>2945</v>
      </c>
      <c r="B225" s="216" t="s">
        <v>2977</v>
      </c>
      <c r="C225" s="117" t="s">
        <v>2619</v>
      </c>
      <c r="D225" s="117"/>
      <c r="E225" s="117" t="s">
        <v>689</v>
      </c>
      <c r="F225" s="117" t="s">
        <v>2620</v>
      </c>
      <c r="G225" s="117" t="s">
        <v>529</v>
      </c>
      <c r="H225" s="118">
        <v>5.12</v>
      </c>
      <c r="I225" s="117" t="s">
        <v>211</v>
      </c>
      <c r="J225" s="118" t="s">
        <v>257</v>
      </c>
      <c r="K225" s="117">
        <v>2.2099999999999998E-2</v>
      </c>
      <c r="L225" s="117">
        <v>2.8399999999999998E-2</v>
      </c>
      <c r="M225" s="112">
        <v>366.75484034460555</v>
      </c>
      <c r="N225" s="61">
        <v>107.73</v>
      </c>
      <c r="O225" s="85">
        <v>0.39510000000000001</v>
      </c>
      <c r="P225" s="25">
        <v>6.9718676014253298E-6</v>
      </c>
      <c r="Q225" s="25">
        <v>7.37211575340851E-7</v>
      </c>
      <c r="R225" s="15"/>
    </row>
    <row r="226" spans="1:18" x14ac:dyDescent="0.25">
      <c r="A226" s="17" t="s">
        <v>2946</v>
      </c>
      <c r="B226" s="216" t="s">
        <v>2977</v>
      </c>
      <c r="C226" s="117" t="s">
        <v>2502</v>
      </c>
      <c r="D226" s="117"/>
      <c r="E226" s="117" t="s">
        <v>689</v>
      </c>
      <c r="F226" s="117" t="s">
        <v>2503</v>
      </c>
      <c r="G226" s="117" t="s">
        <v>529</v>
      </c>
      <c r="H226" s="118">
        <v>0.36</v>
      </c>
      <c r="I226" s="117" t="s">
        <v>220</v>
      </c>
      <c r="J226" s="118" t="s">
        <v>257</v>
      </c>
      <c r="K226" s="117">
        <v>0.03</v>
      </c>
      <c r="L226" s="117">
        <v>2.7099999999999999E-2</v>
      </c>
      <c r="M226" s="112">
        <v>1318740</v>
      </c>
      <c r="N226" s="61">
        <v>112.55</v>
      </c>
      <c r="O226" s="85">
        <v>1484.2418700000001</v>
      </c>
      <c r="P226" s="25">
        <v>2.6190680349612621E-2</v>
      </c>
      <c r="Q226" s="25">
        <v>2.7694261887358912E-3</v>
      </c>
      <c r="R226" s="15"/>
    </row>
    <row r="227" spans="1:18" x14ac:dyDescent="0.25">
      <c r="A227" s="17" t="s">
        <v>2946</v>
      </c>
      <c r="B227" s="216" t="s">
        <v>2977</v>
      </c>
      <c r="C227" s="117" t="s">
        <v>2513</v>
      </c>
      <c r="D227" s="117"/>
      <c r="E227" s="117" t="s">
        <v>689</v>
      </c>
      <c r="F227" s="117" t="s">
        <v>2514</v>
      </c>
      <c r="G227" s="117" t="s">
        <v>529</v>
      </c>
      <c r="H227" s="118">
        <v>0.59</v>
      </c>
      <c r="I227" s="117" t="s">
        <v>220</v>
      </c>
      <c r="J227" s="118" t="s">
        <v>257</v>
      </c>
      <c r="K227" s="117">
        <v>0.03</v>
      </c>
      <c r="L227" s="117">
        <v>2.98E-2</v>
      </c>
      <c r="M227" s="112">
        <v>465570</v>
      </c>
      <c r="N227" s="61">
        <v>111.58</v>
      </c>
      <c r="O227" s="85">
        <v>519.48299999999995</v>
      </c>
      <c r="P227" s="25">
        <v>9.1667089273379746E-3</v>
      </c>
      <c r="Q227" s="25">
        <v>9.6929607894910466E-4</v>
      </c>
      <c r="R227" s="15"/>
    </row>
    <row r="228" spans="1:18" x14ac:dyDescent="0.25">
      <c r="A228" s="17" t="s">
        <v>2947</v>
      </c>
      <c r="B228" s="216" t="s">
        <v>2977</v>
      </c>
      <c r="C228" s="117" t="s">
        <v>2639</v>
      </c>
      <c r="D228" s="117"/>
      <c r="E228" s="117" t="s">
        <v>689</v>
      </c>
      <c r="F228" s="117" t="s">
        <v>2640</v>
      </c>
      <c r="G228" s="117" t="s">
        <v>529</v>
      </c>
      <c r="H228" s="118">
        <v>8.3699999999999992</v>
      </c>
      <c r="I228" s="117" t="s">
        <v>211</v>
      </c>
      <c r="J228" s="118" t="s">
        <v>257</v>
      </c>
      <c r="K228" s="117">
        <v>1.6500000000000001E-2</v>
      </c>
      <c r="L228" s="117">
        <v>3.15E-2</v>
      </c>
      <c r="M228" s="112">
        <v>2094.2200623156077</v>
      </c>
      <c r="N228" s="61">
        <v>97.75</v>
      </c>
      <c r="O228" s="85">
        <v>2.0470999999999999</v>
      </c>
      <c r="P228" s="25">
        <v>3.6122779465648673E-5</v>
      </c>
      <c r="Q228" s="25">
        <v>3.819655317338031E-6</v>
      </c>
      <c r="R228" s="15"/>
    </row>
    <row r="229" spans="1:18" x14ac:dyDescent="0.25">
      <c r="A229" s="17" t="s">
        <v>2948</v>
      </c>
      <c r="B229" s="117" t="s">
        <v>2291</v>
      </c>
      <c r="C229" s="117" t="s">
        <v>2616</v>
      </c>
      <c r="D229" s="117"/>
      <c r="E229" s="117" t="s">
        <v>689</v>
      </c>
      <c r="F229" s="117" t="s">
        <v>2615</v>
      </c>
      <c r="G229" s="117" t="s">
        <v>529</v>
      </c>
      <c r="H229" s="118">
        <v>7.82</v>
      </c>
      <c r="I229" s="117" t="s">
        <v>211</v>
      </c>
      <c r="J229" s="118" t="s">
        <v>257</v>
      </c>
      <c r="K229" s="117">
        <v>2.81E-2</v>
      </c>
      <c r="L229" s="117">
        <v>3.1099999999999999E-2</v>
      </c>
      <c r="M229" s="112">
        <v>5554.9479262411869</v>
      </c>
      <c r="N229" s="61">
        <v>110.48</v>
      </c>
      <c r="O229" s="85">
        <v>6.1371099999999998</v>
      </c>
      <c r="P229" s="25">
        <v>1.0829440236745988E-4</v>
      </c>
      <c r="Q229" s="25">
        <v>1.1451147889496557E-5</v>
      </c>
      <c r="R229" s="15"/>
    </row>
    <row r="230" spans="1:18" x14ac:dyDescent="0.25">
      <c r="A230" s="17" t="s">
        <v>2949</v>
      </c>
      <c r="B230" s="216" t="s">
        <v>2977</v>
      </c>
      <c r="C230" s="117" t="s">
        <v>2617</v>
      </c>
      <c r="D230" s="117"/>
      <c r="E230" s="117" t="s">
        <v>689</v>
      </c>
      <c r="F230" s="117" t="s">
        <v>2618</v>
      </c>
      <c r="G230" s="117" t="s">
        <v>529</v>
      </c>
      <c r="H230" s="118">
        <v>5.4</v>
      </c>
      <c r="I230" s="117" t="s">
        <v>211</v>
      </c>
      <c r="J230" s="118" t="s">
        <v>257</v>
      </c>
      <c r="K230" s="117">
        <v>2.2700000000000001E-2</v>
      </c>
      <c r="L230" s="117">
        <v>2.8399999999999998E-2</v>
      </c>
      <c r="M230" s="112">
        <v>1595.6874294462923</v>
      </c>
      <c r="N230" s="61">
        <v>107.9</v>
      </c>
      <c r="O230" s="85">
        <v>1.7217499999999999</v>
      </c>
      <c r="P230" s="25">
        <v>3.0381708536456746E-5</v>
      </c>
      <c r="Q230" s="25">
        <v>3.2125892934525693E-6</v>
      </c>
      <c r="R230" s="15"/>
    </row>
    <row r="231" spans="1:18" x14ac:dyDescent="0.25">
      <c r="A231" s="17" t="s">
        <v>2950</v>
      </c>
      <c r="B231" s="216" t="s">
        <v>2977</v>
      </c>
      <c r="C231" s="117" t="s">
        <v>2621</v>
      </c>
      <c r="D231" s="117"/>
      <c r="E231" s="117" t="s">
        <v>689</v>
      </c>
      <c r="F231" s="117" t="s">
        <v>2620</v>
      </c>
      <c r="G231" s="117" t="s">
        <v>529</v>
      </c>
      <c r="H231" s="118">
        <v>5.24</v>
      </c>
      <c r="I231" s="117" t="s">
        <v>211</v>
      </c>
      <c r="J231" s="118" t="s">
        <v>257</v>
      </c>
      <c r="K231" s="117">
        <v>2.23E-2</v>
      </c>
      <c r="L231" s="117">
        <v>2.8399999999999998E-2</v>
      </c>
      <c r="M231" s="112">
        <v>448.86227441091762</v>
      </c>
      <c r="N231" s="61">
        <v>107.76</v>
      </c>
      <c r="O231" s="85">
        <v>0.48369000000000001</v>
      </c>
      <c r="P231" s="25">
        <v>8.5351117188899464E-6</v>
      </c>
      <c r="Q231" s="25">
        <v>9.0251041983451331E-7</v>
      </c>
      <c r="R231" s="15"/>
    </row>
    <row r="232" spans="1:18" x14ac:dyDescent="0.25">
      <c r="A232" s="17" t="s">
        <v>2951</v>
      </c>
      <c r="B232" s="117" t="s">
        <v>2291</v>
      </c>
      <c r="C232" s="117" t="s">
        <v>2614</v>
      </c>
      <c r="D232" s="117"/>
      <c r="E232" s="117" t="s">
        <v>689</v>
      </c>
      <c r="F232" s="117" t="s">
        <v>2615</v>
      </c>
      <c r="G232" s="117" t="s">
        <v>529</v>
      </c>
      <c r="H232" s="118">
        <v>7.79</v>
      </c>
      <c r="I232" s="117" t="s">
        <v>211</v>
      </c>
      <c r="J232" s="118" t="s">
        <v>257</v>
      </c>
      <c r="K232" s="117">
        <v>2.81E-2</v>
      </c>
      <c r="L232" s="117">
        <v>3.1899999999999998E-2</v>
      </c>
      <c r="M232" s="112">
        <v>6243.7107087941176</v>
      </c>
      <c r="N232" s="61">
        <v>109.81</v>
      </c>
      <c r="O232" s="85">
        <v>6.8562200000000004</v>
      </c>
      <c r="P232" s="25">
        <v>1.2098369548530593E-4</v>
      </c>
      <c r="Q232" s="25">
        <v>1.2792925201426094E-5</v>
      </c>
      <c r="R232" s="15"/>
    </row>
    <row r="233" spans="1:18" x14ac:dyDescent="0.25">
      <c r="A233" s="17" t="s">
        <v>2952</v>
      </c>
      <c r="B233" s="216" t="s">
        <v>2977</v>
      </c>
      <c r="C233" s="117" t="s">
        <v>2594</v>
      </c>
      <c r="D233" s="117"/>
      <c r="E233" s="117" t="s">
        <v>574</v>
      </c>
      <c r="F233" s="117" t="s">
        <v>2593</v>
      </c>
      <c r="G233" s="117" t="s">
        <v>529</v>
      </c>
      <c r="H233" s="118">
        <v>4.74</v>
      </c>
      <c r="I233" s="117" t="s">
        <v>211</v>
      </c>
      <c r="J233" s="118" t="s">
        <v>257</v>
      </c>
      <c r="K233" s="117">
        <v>3.4300000000000004E-2</v>
      </c>
      <c r="L233" s="117">
        <v>3.5200000000000002E-2</v>
      </c>
      <c r="M233" s="112">
        <v>310238.12</v>
      </c>
      <c r="N233" s="61">
        <v>112.45</v>
      </c>
      <c r="O233" s="85">
        <v>348.86276000000004</v>
      </c>
      <c r="P233" s="25">
        <v>6.1559731050058733E-3</v>
      </c>
      <c r="Q233" s="25">
        <v>6.5093815458708488E-4</v>
      </c>
      <c r="R233" s="15"/>
    </row>
    <row r="234" spans="1:18" x14ac:dyDescent="0.25">
      <c r="A234" s="17" t="s">
        <v>2953</v>
      </c>
      <c r="B234" s="216" t="s">
        <v>2977</v>
      </c>
      <c r="C234" s="117" t="s">
        <v>2633</v>
      </c>
      <c r="D234" s="117"/>
      <c r="E234" s="117" t="s">
        <v>574</v>
      </c>
      <c r="F234" s="117" t="s">
        <v>2634</v>
      </c>
      <c r="G234" s="117" t="s">
        <v>529</v>
      </c>
      <c r="H234" s="118">
        <v>6.07</v>
      </c>
      <c r="I234" s="117" t="s">
        <v>221</v>
      </c>
      <c r="J234" s="118" t="s">
        <v>257</v>
      </c>
      <c r="K234" s="117">
        <v>1.24E-2</v>
      </c>
      <c r="L234" s="117">
        <v>3.6600000000000001E-2</v>
      </c>
      <c r="M234" s="112">
        <v>95980.081795944308</v>
      </c>
      <c r="N234" s="61">
        <v>95.77</v>
      </c>
      <c r="O234" s="85">
        <v>91.920119999999997</v>
      </c>
      <c r="P234" s="25">
        <v>1.6220068502837976E-3</v>
      </c>
      <c r="Q234" s="25">
        <v>1.7151246892108343E-4</v>
      </c>
      <c r="R234" s="15"/>
    </row>
    <row r="235" spans="1:18" x14ac:dyDescent="0.25">
      <c r="A235" s="17" t="s">
        <v>2953</v>
      </c>
      <c r="B235" s="216" t="s">
        <v>2977</v>
      </c>
      <c r="C235" s="117" t="s">
        <v>2638</v>
      </c>
      <c r="D235" s="117"/>
      <c r="E235" s="117" t="s">
        <v>574</v>
      </c>
      <c r="F235" s="117" t="s">
        <v>2316</v>
      </c>
      <c r="G235" s="117" t="s">
        <v>529</v>
      </c>
      <c r="H235" s="118">
        <v>5.55</v>
      </c>
      <c r="I235" s="117" t="s">
        <v>221</v>
      </c>
      <c r="J235" s="118" t="s">
        <v>257</v>
      </c>
      <c r="K235" s="117">
        <v>9.4999999999999998E-3</v>
      </c>
      <c r="L235" s="117">
        <v>1.8600000000000002E-2</v>
      </c>
      <c r="M235" s="112">
        <v>104291.95298865516</v>
      </c>
      <c r="N235" s="61">
        <v>105.62</v>
      </c>
      <c r="O235" s="85">
        <v>110.15316</v>
      </c>
      <c r="P235" s="25">
        <v>1.9437439822794749E-3</v>
      </c>
      <c r="Q235" s="25">
        <v>2.0553324376707875E-4</v>
      </c>
      <c r="R235" s="15"/>
    </row>
    <row r="236" spans="1:18" x14ac:dyDescent="0.25">
      <c r="A236" s="17" t="s">
        <v>2953</v>
      </c>
      <c r="B236" s="216" t="s">
        <v>2977</v>
      </c>
      <c r="C236" s="117" t="s">
        <v>2669</v>
      </c>
      <c r="D236" s="117"/>
      <c r="E236" s="117" t="s">
        <v>574</v>
      </c>
      <c r="F236" s="117" t="s">
        <v>2000</v>
      </c>
      <c r="G236" s="117" t="s">
        <v>529</v>
      </c>
      <c r="H236" s="118">
        <v>3.12</v>
      </c>
      <c r="I236" s="117" t="s">
        <v>221</v>
      </c>
      <c r="J236" s="118" t="s">
        <v>257</v>
      </c>
      <c r="K236" s="117">
        <v>2.6000000000000002E-2</v>
      </c>
      <c r="L236" s="117">
        <v>2.7200000000000002E-2</v>
      </c>
      <c r="M236" s="112">
        <v>26905.76911229347</v>
      </c>
      <c r="N236" s="61">
        <v>102.79</v>
      </c>
      <c r="O236" s="85">
        <v>27.65644</v>
      </c>
      <c r="P236" s="25">
        <v>4.8802085043473433E-4</v>
      </c>
      <c r="Q236" s="25">
        <v>5.1603765377675843E-5</v>
      </c>
      <c r="R236" s="15"/>
    </row>
    <row r="237" spans="1:18" x14ac:dyDescent="0.25">
      <c r="A237" s="17" t="s">
        <v>2954</v>
      </c>
      <c r="B237" s="216" t="s">
        <v>2977</v>
      </c>
      <c r="C237" s="117" t="s">
        <v>2645</v>
      </c>
      <c r="D237" s="117"/>
      <c r="E237" s="117" t="s">
        <v>574</v>
      </c>
      <c r="F237" s="117" t="s">
        <v>2646</v>
      </c>
      <c r="G237" s="117" t="s">
        <v>529</v>
      </c>
      <c r="H237" s="118">
        <v>13.98</v>
      </c>
      <c r="I237" s="117" t="s">
        <v>223</v>
      </c>
      <c r="J237" s="118" t="s">
        <v>257</v>
      </c>
      <c r="K237" s="117">
        <v>2.7200000000000002E-2</v>
      </c>
      <c r="L237" s="117">
        <v>4.2099999999999999E-2</v>
      </c>
      <c r="M237" s="112">
        <v>58203.196051771221</v>
      </c>
      <c r="N237" s="61">
        <v>88.1</v>
      </c>
      <c r="O237" s="85">
        <v>51.27702</v>
      </c>
      <c r="P237" s="25">
        <v>9.0482559968524075E-4</v>
      </c>
      <c r="Q237" s="25">
        <v>9.5677075912387554E-5</v>
      </c>
      <c r="R237" s="15"/>
    </row>
    <row r="238" spans="1:18" x14ac:dyDescent="0.25">
      <c r="A238" s="17" t="s">
        <v>2954</v>
      </c>
      <c r="B238" s="216" t="s">
        <v>2977</v>
      </c>
      <c r="C238" s="117" t="s">
        <v>2661</v>
      </c>
      <c r="D238" s="117"/>
      <c r="E238" s="117" t="s">
        <v>574</v>
      </c>
      <c r="F238" s="117" t="s">
        <v>2662</v>
      </c>
      <c r="G238" s="117" t="s">
        <v>529</v>
      </c>
      <c r="H238" s="118">
        <v>13.46</v>
      </c>
      <c r="I238" s="117" t="s">
        <v>223</v>
      </c>
      <c r="J238" s="118" t="s">
        <v>257</v>
      </c>
      <c r="K238" s="117">
        <v>3.4300000000000004E-2</v>
      </c>
      <c r="L238" s="117">
        <v>3.9199999999999999E-2</v>
      </c>
      <c r="M238" s="112">
        <v>14215.239619706015</v>
      </c>
      <c r="N238" s="61">
        <v>95.9</v>
      </c>
      <c r="O238" s="85">
        <v>13.63241</v>
      </c>
      <c r="P238" s="25">
        <v>2.4055519516159624E-4</v>
      </c>
      <c r="Q238" s="25">
        <v>2.543652354288122E-5</v>
      </c>
      <c r="R238" s="15"/>
    </row>
    <row r="239" spans="1:18" x14ac:dyDescent="0.25">
      <c r="A239" s="17" t="s">
        <v>2954</v>
      </c>
      <c r="B239" s="216" t="s">
        <v>2977</v>
      </c>
      <c r="C239" s="117" t="s">
        <v>2647</v>
      </c>
      <c r="D239" s="117"/>
      <c r="E239" s="117" t="s">
        <v>574</v>
      </c>
      <c r="F239" s="117" t="s">
        <v>2646</v>
      </c>
      <c r="G239" s="117" t="s">
        <v>529</v>
      </c>
      <c r="H239" s="118">
        <v>0</v>
      </c>
      <c r="I239" s="117" t="s">
        <v>223</v>
      </c>
      <c r="J239" s="118" t="s">
        <v>257</v>
      </c>
      <c r="K239" s="117">
        <v>2.7000000000000003E-2</v>
      </c>
      <c r="L239" s="117">
        <v>0</v>
      </c>
      <c r="M239" s="112">
        <v>-456.215128195143</v>
      </c>
      <c r="N239" s="61">
        <v>87.812241999999998</v>
      </c>
      <c r="O239" s="85">
        <v>-0.40061000000000002</v>
      </c>
      <c r="P239" s="25">
        <v>-7.0690961270741618E-6</v>
      </c>
      <c r="Q239" s="25">
        <v>-7.4749260743431616E-7</v>
      </c>
      <c r="R239" s="15"/>
    </row>
    <row r="240" spans="1:18" x14ac:dyDescent="0.25">
      <c r="A240" s="17" t="s">
        <v>2954</v>
      </c>
      <c r="B240" s="216" t="s">
        <v>2977</v>
      </c>
      <c r="C240" s="117" t="s">
        <v>2663</v>
      </c>
      <c r="D240" s="117"/>
      <c r="E240" s="117" t="s">
        <v>574</v>
      </c>
      <c r="F240" s="117" t="s">
        <v>2662</v>
      </c>
      <c r="G240" s="117" t="s">
        <v>529</v>
      </c>
      <c r="H240" s="118">
        <v>0</v>
      </c>
      <c r="I240" s="117" t="s">
        <v>223</v>
      </c>
      <c r="J240" s="118" t="s">
        <v>257</v>
      </c>
      <c r="K240" s="117">
        <v>2.7000000000000003E-2</v>
      </c>
      <c r="L240" s="117">
        <v>0</v>
      </c>
      <c r="M240" s="112">
        <v>-85.206210057073193</v>
      </c>
      <c r="N240" s="61">
        <v>94.435423999999998</v>
      </c>
      <c r="O240" s="85">
        <v>-8.045999999999999E-2</v>
      </c>
      <c r="P240" s="25">
        <v>-1.4197835160989166E-6</v>
      </c>
      <c r="Q240" s="25">
        <v>-1.5012919096918466E-7</v>
      </c>
      <c r="R240" s="15"/>
    </row>
    <row r="241" spans="1:18" x14ac:dyDescent="0.25">
      <c r="A241" s="17" t="s">
        <v>2926</v>
      </c>
      <c r="B241" s="216" t="s">
        <v>2977</v>
      </c>
      <c r="C241" s="117" t="s">
        <v>2628</v>
      </c>
      <c r="D241" s="117"/>
      <c r="E241" s="117" t="s">
        <v>793</v>
      </c>
      <c r="F241" s="117" t="s">
        <v>2626</v>
      </c>
      <c r="G241" s="117" t="s">
        <v>256</v>
      </c>
      <c r="H241" s="118">
        <v>6.74</v>
      </c>
      <c r="I241" s="117" t="s">
        <v>204</v>
      </c>
      <c r="J241" s="118" t="s">
        <v>257</v>
      </c>
      <c r="K241" s="117">
        <v>4.4500000000000005E-2</v>
      </c>
      <c r="L241" s="117">
        <v>7.85E-2</v>
      </c>
      <c r="M241" s="112">
        <v>31607.176766439556</v>
      </c>
      <c r="N241" s="61">
        <v>88.82</v>
      </c>
      <c r="O241" s="85">
        <v>28.073490000000003</v>
      </c>
      <c r="P241" s="25">
        <v>4.9538004401401662E-4</v>
      </c>
      <c r="Q241" s="25">
        <v>5.2381933151646746E-5</v>
      </c>
      <c r="R241" s="15"/>
    </row>
    <row r="242" spans="1:18" x14ac:dyDescent="0.25">
      <c r="A242" s="17" t="s">
        <v>2955</v>
      </c>
      <c r="B242" s="216" t="s">
        <v>2977</v>
      </c>
      <c r="C242" s="117" t="s">
        <v>2629</v>
      </c>
      <c r="D242" s="117"/>
      <c r="E242" s="117" t="s">
        <v>1603</v>
      </c>
      <c r="F242" s="117" t="s">
        <v>2630</v>
      </c>
      <c r="G242" s="117" t="s">
        <v>2401</v>
      </c>
      <c r="H242" s="118">
        <v>4.96</v>
      </c>
      <c r="I242" s="117" t="s">
        <v>220</v>
      </c>
      <c r="J242" s="118" t="s">
        <v>257</v>
      </c>
      <c r="K242" s="117">
        <v>1.8200000000000001E-2</v>
      </c>
      <c r="L242" s="117">
        <v>3.6400000000000002E-2</v>
      </c>
      <c r="M242" s="112">
        <v>21491.173705181627</v>
      </c>
      <c r="N242" s="61">
        <v>101.12</v>
      </c>
      <c r="O242" s="85">
        <v>21.731870000000001</v>
      </c>
      <c r="P242" s="25">
        <v>3.8347689286607713E-4</v>
      </c>
      <c r="Q242" s="25">
        <v>4.0549192907624852E-5</v>
      </c>
      <c r="R242" s="15"/>
    </row>
    <row r="243" spans="1:18" x14ac:dyDescent="0.25">
      <c r="A243" s="17" t="s">
        <v>2956</v>
      </c>
      <c r="B243" s="216" t="s">
        <v>2977</v>
      </c>
      <c r="C243" s="117" t="s">
        <v>2409</v>
      </c>
      <c r="D243" s="117"/>
      <c r="E243" s="117" t="s">
        <v>1056</v>
      </c>
      <c r="F243" s="117" t="s">
        <v>2410</v>
      </c>
      <c r="G243" s="117" t="s">
        <v>256</v>
      </c>
      <c r="H243" s="118">
        <v>1.8</v>
      </c>
      <c r="I243" s="117" t="s">
        <v>221</v>
      </c>
      <c r="J243" s="118" t="s">
        <v>257</v>
      </c>
      <c r="K243" s="117">
        <v>0.09</v>
      </c>
      <c r="L243" s="117">
        <v>0.11269999999999999</v>
      </c>
      <c r="M243" s="112">
        <v>363447.36204358033</v>
      </c>
      <c r="N243" s="61">
        <v>99.46</v>
      </c>
      <c r="O243" s="85">
        <v>361.48475000000002</v>
      </c>
      <c r="P243" s="25">
        <v>6.3786986001881417E-3</v>
      </c>
      <c r="Q243" s="25">
        <v>6.7448934955503337E-4</v>
      </c>
      <c r="R243" s="15"/>
    </row>
    <row r="244" spans="1:18" x14ac:dyDescent="0.25">
      <c r="A244" s="17" t="s">
        <v>2957</v>
      </c>
      <c r="B244" s="216" t="s">
        <v>2977</v>
      </c>
      <c r="C244" s="117" t="s">
        <v>2652</v>
      </c>
      <c r="D244" s="117"/>
      <c r="E244" s="117" t="s">
        <v>1056</v>
      </c>
      <c r="F244" s="117" t="s">
        <v>1955</v>
      </c>
      <c r="G244" s="117" t="s">
        <v>256</v>
      </c>
      <c r="H244" s="118">
        <v>4.49</v>
      </c>
      <c r="I244" s="117" t="s">
        <v>223</v>
      </c>
      <c r="J244" s="118" t="s">
        <v>257</v>
      </c>
      <c r="K244" s="117">
        <v>1.37E-2</v>
      </c>
      <c r="L244" s="117">
        <v>5.8299999999999998E-2</v>
      </c>
      <c r="M244" s="112">
        <v>6208.0157543493106</v>
      </c>
      <c r="N244" s="61">
        <v>89.71</v>
      </c>
      <c r="O244" s="85">
        <v>5.56921</v>
      </c>
      <c r="P244" s="25">
        <v>9.8273335268372458E-5</v>
      </c>
      <c r="Q244" s="25">
        <v>1.0391511206033968E-5</v>
      </c>
      <c r="R244" s="15"/>
    </row>
    <row r="245" spans="1:18" x14ac:dyDescent="0.25">
      <c r="A245" s="17" t="s">
        <v>2957</v>
      </c>
      <c r="B245" s="216" t="s">
        <v>2977</v>
      </c>
      <c r="C245" s="117" t="s">
        <v>2664</v>
      </c>
      <c r="D245" s="117"/>
      <c r="E245" s="117" t="s">
        <v>1056</v>
      </c>
      <c r="F245" s="117" t="s">
        <v>2665</v>
      </c>
      <c r="G245" s="117" t="s">
        <v>256</v>
      </c>
      <c r="H245" s="118">
        <v>4.2699999999999996</v>
      </c>
      <c r="I245" s="117" t="s">
        <v>221</v>
      </c>
      <c r="J245" s="118" t="s">
        <v>257</v>
      </c>
      <c r="K245" s="117">
        <v>3.6400000000000002E-2</v>
      </c>
      <c r="L245" s="117">
        <v>4.0999999999999995E-2</v>
      </c>
      <c r="M245" s="112">
        <v>1267.8138272457718</v>
      </c>
      <c r="N245" s="61">
        <v>102.39</v>
      </c>
      <c r="O245" s="85">
        <v>1.2981099999999999</v>
      </c>
      <c r="P245" s="25">
        <v>2.2906228934665232E-5</v>
      </c>
      <c r="Q245" s="25">
        <v>2.4221253304624447E-6</v>
      </c>
      <c r="R245" s="15"/>
    </row>
    <row r="246" spans="1:18" x14ac:dyDescent="0.25">
      <c r="A246" s="17" t="s">
        <v>2957</v>
      </c>
      <c r="B246" s="216" t="s">
        <v>2977</v>
      </c>
      <c r="C246" s="117" t="s">
        <v>2670</v>
      </c>
      <c r="D246" s="117"/>
      <c r="E246" s="117" t="s">
        <v>1056</v>
      </c>
      <c r="F246" s="117" t="s">
        <v>2671</v>
      </c>
      <c r="G246" s="117" t="s">
        <v>256</v>
      </c>
      <c r="H246" s="118">
        <v>4.26</v>
      </c>
      <c r="I246" s="117" t="s">
        <v>221</v>
      </c>
      <c r="J246" s="118" t="s">
        <v>257</v>
      </c>
      <c r="K246" s="117">
        <v>3.9100000000000003E-2</v>
      </c>
      <c r="L246" s="117">
        <v>3.6499999999999998E-2</v>
      </c>
      <c r="M246" s="112">
        <v>1265.8145418872491</v>
      </c>
      <c r="N246" s="61">
        <v>104.32</v>
      </c>
      <c r="O246" s="85">
        <v>1.3205</v>
      </c>
      <c r="P246" s="25">
        <v>2.3301319077909764E-5</v>
      </c>
      <c r="Q246" s="25">
        <v>2.4639025189511357E-6</v>
      </c>
      <c r="R246" s="15"/>
    </row>
    <row r="247" spans="1:18" x14ac:dyDescent="0.25">
      <c r="A247" s="17" t="s">
        <v>2957</v>
      </c>
      <c r="B247" s="216" t="s">
        <v>2977</v>
      </c>
      <c r="C247" s="117" t="s">
        <v>2679</v>
      </c>
      <c r="D247" s="117"/>
      <c r="E247" s="117" t="s">
        <v>1056</v>
      </c>
      <c r="F247" s="117" t="s">
        <v>2070</v>
      </c>
      <c r="G247" s="117" t="s">
        <v>256</v>
      </c>
      <c r="H247" s="118">
        <v>4.24</v>
      </c>
      <c r="I247" s="117" t="s">
        <v>221</v>
      </c>
      <c r="J247" s="118" t="s">
        <v>257</v>
      </c>
      <c r="K247" s="117">
        <v>3.9900000000000005E-2</v>
      </c>
      <c r="L247" s="117">
        <v>4.1100000000000005E-2</v>
      </c>
      <c r="M247" s="112">
        <v>1281.7253466311397</v>
      </c>
      <c r="N247" s="61">
        <v>101.72</v>
      </c>
      <c r="O247" s="85">
        <v>1.3037699999999999</v>
      </c>
      <c r="P247" s="25">
        <v>2.300610433487801E-5</v>
      </c>
      <c r="Q247" s="25">
        <v>2.4326862454622657E-6</v>
      </c>
      <c r="R247" s="15"/>
    </row>
    <row r="248" spans="1:18" x14ac:dyDescent="0.25">
      <c r="A248" s="17" t="s">
        <v>2957</v>
      </c>
      <c r="B248" s="216" t="s">
        <v>2977</v>
      </c>
      <c r="C248" s="117" t="s">
        <v>2684</v>
      </c>
      <c r="D248" s="117"/>
      <c r="E248" s="117" t="s">
        <v>1056</v>
      </c>
      <c r="F248" s="117" t="s">
        <v>1486</v>
      </c>
      <c r="G248" s="117" t="s">
        <v>256</v>
      </c>
      <c r="H248" s="118">
        <v>4.26</v>
      </c>
      <c r="I248" s="117" t="s">
        <v>221</v>
      </c>
      <c r="J248" s="118" t="s">
        <v>257</v>
      </c>
      <c r="K248" s="117">
        <v>4.0899999999999999E-2</v>
      </c>
      <c r="L248" s="117">
        <v>4.3899999999999995E-2</v>
      </c>
      <c r="M248" s="112">
        <v>1288.6859246777283</v>
      </c>
      <c r="N248" s="61">
        <v>99.72</v>
      </c>
      <c r="O248" s="85">
        <v>1.28508</v>
      </c>
      <c r="P248" s="25">
        <v>2.2676303764210736E-5</v>
      </c>
      <c r="Q248" s="25">
        <v>2.3978128353303486E-6</v>
      </c>
      <c r="R248" s="15"/>
    </row>
    <row r="249" spans="1:18" x14ac:dyDescent="0.25">
      <c r="A249" s="17" t="s">
        <v>2958</v>
      </c>
      <c r="B249" s="216" t="s">
        <v>2977</v>
      </c>
      <c r="C249" s="117" t="s">
        <v>2655</v>
      </c>
      <c r="D249" s="117"/>
      <c r="E249" s="117" t="s">
        <v>1056</v>
      </c>
      <c r="F249" s="117" t="s">
        <v>2656</v>
      </c>
      <c r="G249" s="117" t="s">
        <v>256</v>
      </c>
      <c r="H249" s="118">
        <v>4.34</v>
      </c>
      <c r="I249" s="117" t="s">
        <v>223</v>
      </c>
      <c r="J249" s="118" t="s">
        <v>257</v>
      </c>
      <c r="K249" s="117">
        <v>3.0699999999999998E-2</v>
      </c>
      <c r="L249" s="117">
        <v>4.1100000000000005E-2</v>
      </c>
      <c r="M249" s="112">
        <v>11107.909601828571</v>
      </c>
      <c r="N249" s="61">
        <v>101.55</v>
      </c>
      <c r="O249" s="85">
        <v>11.28008</v>
      </c>
      <c r="P249" s="25">
        <v>1.9904637887493249E-4</v>
      </c>
      <c r="Q249" s="25">
        <v>2.1047343828830235E-5</v>
      </c>
      <c r="R249" s="15"/>
    </row>
    <row r="250" spans="1:18" x14ac:dyDescent="0.25">
      <c r="A250" s="17" t="s">
        <v>2958</v>
      </c>
      <c r="B250" s="216" t="s">
        <v>2977</v>
      </c>
      <c r="C250" s="117" t="s">
        <v>2657</v>
      </c>
      <c r="D250" s="117"/>
      <c r="E250" s="117" t="s">
        <v>1056</v>
      </c>
      <c r="F250" s="117" t="s">
        <v>2658</v>
      </c>
      <c r="G250" s="117" t="s">
        <v>256</v>
      </c>
      <c r="H250" s="118">
        <v>4.37</v>
      </c>
      <c r="I250" s="117" t="s">
        <v>223</v>
      </c>
      <c r="J250" s="118" t="s">
        <v>257</v>
      </c>
      <c r="K250" s="117">
        <v>2.6000000000000002E-2</v>
      </c>
      <c r="L250" s="117">
        <v>5.3200000000000004E-2</v>
      </c>
      <c r="M250" s="112">
        <v>26.702720046411343</v>
      </c>
      <c r="N250" s="61">
        <v>94.36</v>
      </c>
      <c r="O250" s="85">
        <v>2.52E-2</v>
      </c>
      <c r="P250" s="25">
        <v>4.4467492674239002E-7</v>
      </c>
      <c r="Q250" s="25">
        <v>4.7020328267753592E-8</v>
      </c>
      <c r="R250" s="15"/>
    </row>
    <row r="251" spans="1:18" x14ac:dyDescent="0.25">
      <c r="A251" s="17" t="s">
        <v>2958</v>
      </c>
      <c r="B251" s="216" t="s">
        <v>2977</v>
      </c>
      <c r="C251" s="117" t="s">
        <v>2666</v>
      </c>
      <c r="D251" s="117"/>
      <c r="E251" s="117" t="s">
        <v>1056</v>
      </c>
      <c r="F251" s="117" t="s">
        <v>2665</v>
      </c>
      <c r="G251" s="117" t="s">
        <v>256</v>
      </c>
      <c r="H251" s="118">
        <v>4.38</v>
      </c>
      <c r="I251" s="117" t="s">
        <v>221</v>
      </c>
      <c r="J251" s="118" t="s">
        <v>257</v>
      </c>
      <c r="K251" s="117">
        <v>3.6400000000000002E-2</v>
      </c>
      <c r="L251" s="117">
        <v>3.3099999999999997E-2</v>
      </c>
      <c r="M251" s="112">
        <v>2936.5803958679471</v>
      </c>
      <c r="N251" s="61">
        <v>100.93</v>
      </c>
      <c r="O251" s="85">
        <v>2.9638899999999997</v>
      </c>
      <c r="P251" s="25">
        <v>5.2300300342162792E-5</v>
      </c>
      <c r="Q251" s="25">
        <v>5.5302809821234992E-6</v>
      </c>
      <c r="R251" s="15"/>
    </row>
    <row r="252" spans="1:18" x14ac:dyDescent="0.25">
      <c r="A252" s="17" t="s">
        <v>2958</v>
      </c>
      <c r="B252" s="216" t="s">
        <v>2977</v>
      </c>
      <c r="C252" s="117" t="s">
        <v>2677</v>
      </c>
      <c r="D252" s="117"/>
      <c r="E252" s="117" t="s">
        <v>1056</v>
      </c>
      <c r="F252" s="117" t="s">
        <v>2678</v>
      </c>
      <c r="G252" s="117" t="s">
        <v>256</v>
      </c>
      <c r="H252" s="118">
        <v>4.26</v>
      </c>
      <c r="I252" s="117" t="s">
        <v>221</v>
      </c>
      <c r="J252" s="118" t="s">
        <v>257</v>
      </c>
      <c r="K252" s="117">
        <v>3.9399999999999998E-2</v>
      </c>
      <c r="L252" s="117">
        <v>4.2099999999999999E-2</v>
      </c>
      <c r="M252" s="112">
        <v>3613.964441340564</v>
      </c>
      <c r="N252" s="61">
        <v>101.54</v>
      </c>
      <c r="O252" s="85">
        <v>3.6696200000000001</v>
      </c>
      <c r="P252" s="25">
        <v>6.4753492248905125E-5</v>
      </c>
      <c r="Q252" s="25">
        <v>6.8470927388061092E-6</v>
      </c>
      <c r="R252" s="15"/>
    </row>
    <row r="253" spans="1:18" x14ac:dyDescent="0.25">
      <c r="A253" s="17" t="s">
        <v>2959</v>
      </c>
      <c r="B253" s="216" t="s">
        <v>2977</v>
      </c>
      <c r="C253" s="117" t="s">
        <v>2659</v>
      </c>
      <c r="D253" s="117"/>
      <c r="E253" s="117" t="s">
        <v>1534</v>
      </c>
      <c r="F253" s="117" t="s">
        <v>2660</v>
      </c>
      <c r="G253" s="117" t="s">
        <v>2401</v>
      </c>
      <c r="H253" s="118">
        <v>2.67</v>
      </c>
      <c r="I253" s="117" t="s">
        <v>221</v>
      </c>
      <c r="J253" s="118" t="s">
        <v>257</v>
      </c>
      <c r="K253" s="117">
        <v>3.73E-2</v>
      </c>
      <c r="L253" s="117">
        <v>5.8499999999999996E-2</v>
      </c>
      <c r="M253" s="112">
        <v>24382.643817294058</v>
      </c>
      <c r="N253" s="61">
        <v>95.28</v>
      </c>
      <c r="O253" s="85">
        <v>23.231780000000001</v>
      </c>
      <c r="P253" s="25">
        <v>4.099440503807667E-4</v>
      </c>
      <c r="Q253" s="25">
        <v>4.33478540414378E-5</v>
      </c>
      <c r="R253" s="15"/>
    </row>
    <row r="254" spans="1:18" x14ac:dyDescent="0.25">
      <c r="A254" s="17" t="s">
        <v>2959</v>
      </c>
      <c r="B254" s="216" t="s">
        <v>2977</v>
      </c>
      <c r="C254" s="117" t="s">
        <v>2675</v>
      </c>
      <c r="D254" s="117"/>
      <c r="E254" s="117" t="s">
        <v>1534</v>
      </c>
      <c r="F254" s="117" t="s">
        <v>2676</v>
      </c>
      <c r="G254" s="117" t="s">
        <v>2401</v>
      </c>
      <c r="H254" s="118">
        <v>2.99</v>
      </c>
      <c r="I254" s="117" t="s">
        <v>221</v>
      </c>
      <c r="J254" s="118" t="s">
        <v>257</v>
      </c>
      <c r="K254" s="117">
        <v>4.7899999999999998E-2</v>
      </c>
      <c r="L254" s="117">
        <v>6.88E-2</v>
      </c>
      <c r="M254" s="112">
        <v>11326.804027434175</v>
      </c>
      <c r="N254" s="61">
        <v>98.07</v>
      </c>
      <c r="O254" s="85">
        <v>11.1082</v>
      </c>
      <c r="P254" s="25">
        <v>1.9601341354126258E-4</v>
      </c>
      <c r="Q254" s="25">
        <v>2.0726635335867478E-5</v>
      </c>
      <c r="R254" s="15"/>
    </row>
    <row r="255" spans="1:18" x14ac:dyDescent="0.25">
      <c r="A255" s="17" t="s">
        <v>2960</v>
      </c>
      <c r="B255" s="216" t="s">
        <v>2977</v>
      </c>
      <c r="C255" s="117" t="s">
        <v>2701</v>
      </c>
      <c r="D255" s="117"/>
      <c r="E255" s="117" t="s">
        <v>533</v>
      </c>
      <c r="F255" s="117" t="s">
        <v>2702</v>
      </c>
      <c r="G255" s="117" t="s">
        <v>533</v>
      </c>
      <c r="H255" s="118">
        <v>2.5</v>
      </c>
      <c r="I255" s="117" t="s">
        <v>221</v>
      </c>
      <c r="J255" s="118" t="s">
        <v>125</v>
      </c>
      <c r="K255" s="117">
        <v>0.10059999999999998</v>
      </c>
      <c r="L255" s="117">
        <v>0.10880000000000001</v>
      </c>
      <c r="M255" s="112">
        <v>5076.1529856818788</v>
      </c>
      <c r="N255" s="61">
        <v>100.46</v>
      </c>
      <c r="O255" s="85">
        <v>19.500499999999999</v>
      </c>
      <c r="P255" s="25">
        <v>3.4410251622777688E-4</v>
      </c>
      <c r="Q255" s="25">
        <v>3.638571076925908E-5</v>
      </c>
      <c r="R255" s="15"/>
    </row>
    <row r="256" spans="1:18" x14ac:dyDescent="0.25">
      <c r="A256" s="17" t="s">
        <v>2961</v>
      </c>
      <c r="B256" s="216" t="s">
        <v>2977</v>
      </c>
      <c r="C256" s="117" t="s">
        <v>2452</v>
      </c>
      <c r="D256" s="117"/>
      <c r="E256" s="117" t="s">
        <v>533</v>
      </c>
      <c r="F256" s="117" t="s">
        <v>2186</v>
      </c>
      <c r="G256" s="117" t="s">
        <v>533</v>
      </c>
      <c r="H256" s="118">
        <v>5.56</v>
      </c>
      <c r="I256" s="117" t="s">
        <v>221</v>
      </c>
      <c r="J256" s="118" t="s">
        <v>257</v>
      </c>
      <c r="K256" s="117">
        <v>7.4999999999999997E-2</v>
      </c>
      <c r="L256" s="117">
        <v>8.6899999999999991E-2</v>
      </c>
      <c r="M256" s="112">
        <v>10558.093919452</v>
      </c>
      <c r="N256" s="61">
        <v>102.79</v>
      </c>
      <c r="O256" s="85">
        <v>10.85266</v>
      </c>
      <c r="P256" s="25">
        <v>1.9150419803412962E-4</v>
      </c>
      <c r="Q256" s="25">
        <v>2.024982681659995E-5</v>
      </c>
      <c r="R256" s="15"/>
    </row>
    <row r="257" spans="1:18" x14ac:dyDescent="0.25">
      <c r="A257" s="17" t="s">
        <v>2961</v>
      </c>
      <c r="B257" s="216" t="s">
        <v>2977</v>
      </c>
      <c r="C257" s="117" t="s">
        <v>2463</v>
      </c>
      <c r="D257" s="117"/>
      <c r="E257" s="117" t="s">
        <v>533</v>
      </c>
      <c r="F257" s="117" t="s">
        <v>1138</v>
      </c>
      <c r="G257" s="117" t="s">
        <v>533</v>
      </c>
      <c r="H257" s="118">
        <v>5.23</v>
      </c>
      <c r="I257" s="117" t="s">
        <v>221</v>
      </c>
      <c r="J257" s="118" t="s">
        <v>257</v>
      </c>
      <c r="K257" s="117">
        <v>7.4999999999999997E-2</v>
      </c>
      <c r="L257" s="117">
        <v>8.7899999999999992E-2</v>
      </c>
      <c r="M257" s="112">
        <v>131.51682121776562</v>
      </c>
      <c r="N257" s="61">
        <v>100.01</v>
      </c>
      <c r="O257" s="85">
        <v>0.13153000000000001</v>
      </c>
      <c r="P257" s="25">
        <v>2.320956075969308E-6</v>
      </c>
      <c r="Q257" s="25">
        <v>2.4541999115308056E-7</v>
      </c>
      <c r="R257" s="15"/>
    </row>
    <row r="258" spans="1:18" x14ac:dyDescent="0.25">
      <c r="A258" s="17" t="s">
        <v>2961</v>
      </c>
      <c r="B258" s="216" t="s">
        <v>2977</v>
      </c>
      <c r="C258" s="117" t="s">
        <v>2447</v>
      </c>
      <c r="D258" s="117"/>
      <c r="E258" s="117" t="s">
        <v>533</v>
      </c>
      <c r="F258" s="117" t="s">
        <v>2448</v>
      </c>
      <c r="G258" s="117" t="s">
        <v>533</v>
      </c>
      <c r="H258" s="118">
        <v>7.45</v>
      </c>
      <c r="I258" s="117" t="s">
        <v>221</v>
      </c>
      <c r="J258" s="118" t="s">
        <v>257</v>
      </c>
      <c r="K258" s="117">
        <v>7.4999999999999997E-2</v>
      </c>
      <c r="L258" s="117">
        <v>8.5699999999999998E-2</v>
      </c>
      <c r="M258" s="112">
        <v>770.19342365661885</v>
      </c>
      <c r="N258" s="61">
        <v>103.75</v>
      </c>
      <c r="O258" s="85">
        <v>0.79908000000000001</v>
      </c>
      <c r="P258" s="25">
        <v>1.4100430177036073E-5</v>
      </c>
      <c r="Q258" s="25">
        <v>1.4909922187379579E-6</v>
      </c>
      <c r="R258" s="15"/>
    </row>
    <row r="259" spans="1:18" x14ac:dyDescent="0.25">
      <c r="A259" s="17" t="s">
        <v>2961</v>
      </c>
      <c r="B259" s="216" t="s">
        <v>2977</v>
      </c>
      <c r="C259" s="117" t="s">
        <v>2361</v>
      </c>
      <c r="D259" s="117"/>
      <c r="E259" s="117" t="s">
        <v>533</v>
      </c>
      <c r="F259" s="117" t="s">
        <v>937</v>
      </c>
      <c r="G259" s="117" t="s">
        <v>533</v>
      </c>
      <c r="H259" s="118">
        <v>5.55</v>
      </c>
      <c r="I259" s="117" t="s">
        <v>221</v>
      </c>
      <c r="J259" s="118" t="s">
        <v>257</v>
      </c>
      <c r="K259" s="117">
        <v>7.4999999999999997E-2</v>
      </c>
      <c r="L259" s="117">
        <v>9.0200000000000002E-2</v>
      </c>
      <c r="M259" s="112">
        <v>4074.5989088660885</v>
      </c>
      <c r="N259" s="61">
        <v>92.43</v>
      </c>
      <c r="O259" s="85">
        <v>3.7661500000000001</v>
      </c>
      <c r="P259" s="25">
        <v>6.6456844259954456E-5</v>
      </c>
      <c r="Q259" s="25">
        <v>7.0272067184761979E-6</v>
      </c>
      <c r="R259" s="15"/>
    </row>
    <row r="260" spans="1:18" x14ac:dyDescent="0.25">
      <c r="A260" s="17" t="s">
        <v>2961</v>
      </c>
      <c r="B260" s="216" t="s">
        <v>2977</v>
      </c>
      <c r="C260" s="117" t="s">
        <v>2353</v>
      </c>
      <c r="D260" s="117"/>
      <c r="E260" s="117" t="s">
        <v>533</v>
      </c>
      <c r="F260" s="117" t="s">
        <v>2354</v>
      </c>
      <c r="G260" s="117" t="s">
        <v>533</v>
      </c>
      <c r="H260" s="118">
        <v>5.48</v>
      </c>
      <c r="I260" s="117" t="s">
        <v>221</v>
      </c>
      <c r="J260" s="118" t="s">
        <v>257</v>
      </c>
      <c r="K260" s="117">
        <v>7.4999999999999997E-2</v>
      </c>
      <c r="L260" s="117">
        <v>8.929999999999999E-2</v>
      </c>
      <c r="M260" s="112">
        <v>3568.1426130307973</v>
      </c>
      <c r="N260" s="61">
        <v>92.95</v>
      </c>
      <c r="O260" s="85">
        <v>3.3165900000000001</v>
      </c>
      <c r="P260" s="25">
        <v>5.8523984733513626E-5</v>
      </c>
      <c r="Q260" s="25">
        <v>6.188378989267813E-6</v>
      </c>
      <c r="R260" s="15"/>
    </row>
    <row r="261" spans="1:18" x14ac:dyDescent="0.25">
      <c r="A261" s="17" t="s">
        <v>2961</v>
      </c>
      <c r="B261" s="216" t="s">
        <v>2977</v>
      </c>
      <c r="C261" s="117" t="s">
        <v>2369</v>
      </c>
      <c r="D261" s="117"/>
      <c r="E261" s="117" t="s">
        <v>533</v>
      </c>
      <c r="F261" s="117" t="s">
        <v>2370</v>
      </c>
      <c r="G261" s="117" t="s">
        <v>533</v>
      </c>
      <c r="H261" s="118">
        <v>6.28</v>
      </c>
      <c r="I261" s="117" t="s">
        <v>221</v>
      </c>
      <c r="J261" s="118" t="s">
        <v>257</v>
      </c>
      <c r="K261" s="117">
        <v>7.4999999999999997E-2</v>
      </c>
      <c r="L261" s="117">
        <v>8.9200000000000002E-2</v>
      </c>
      <c r="M261" s="112">
        <v>3371.4209489095606</v>
      </c>
      <c r="N261" s="61">
        <v>91.79</v>
      </c>
      <c r="O261" s="85">
        <v>3.09463</v>
      </c>
      <c r="P261" s="25">
        <v>5.4607316212095334E-5</v>
      </c>
      <c r="Q261" s="25">
        <v>5.7742269233031074E-6</v>
      </c>
      <c r="R261" s="15"/>
    </row>
    <row r="262" spans="1:18" x14ac:dyDescent="0.25">
      <c r="A262" s="17" t="s">
        <v>2961</v>
      </c>
      <c r="B262" s="216" t="s">
        <v>2977</v>
      </c>
      <c r="C262" s="117" t="s">
        <v>2374</v>
      </c>
      <c r="D262" s="117"/>
      <c r="E262" s="117" t="s">
        <v>533</v>
      </c>
      <c r="F262" s="117" t="s">
        <v>2375</v>
      </c>
      <c r="G262" s="117" t="s">
        <v>533</v>
      </c>
      <c r="H262" s="118">
        <v>6.37</v>
      </c>
      <c r="I262" s="117" t="s">
        <v>221</v>
      </c>
      <c r="J262" s="118" t="s">
        <v>257</v>
      </c>
      <c r="K262" s="117">
        <v>7.4999999999999997E-2</v>
      </c>
      <c r="L262" s="117">
        <v>8.8900000000000007E-2</v>
      </c>
      <c r="M262" s="112">
        <v>3588.4823966707395</v>
      </c>
      <c r="N262" s="61">
        <v>91.81</v>
      </c>
      <c r="O262" s="85">
        <v>3.2945900000000004</v>
      </c>
      <c r="P262" s="25">
        <v>5.813577646413535E-5</v>
      </c>
      <c r="Q262" s="25">
        <v>6.1473294963356477E-6</v>
      </c>
      <c r="R262" s="15"/>
    </row>
    <row r="263" spans="1:18" x14ac:dyDescent="0.25">
      <c r="A263" s="17" t="s">
        <v>2961</v>
      </c>
      <c r="B263" s="216" t="s">
        <v>2977</v>
      </c>
      <c r="C263" s="117" t="s">
        <v>2333</v>
      </c>
      <c r="D263" s="117"/>
      <c r="E263" s="117" t="s">
        <v>533</v>
      </c>
      <c r="F263" s="117" t="s">
        <v>2334</v>
      </c>
      <c r="G263" s="117" t="s">
        <v>533</v>
      </c>
      <c r="H263" s="118">
        <v>5.65</v>
      </c>
      <c r="I263" s="117" t="s">
        <v>221</v>
      </c>
      <c r="J263" s="118" t="s">
        <v>257</v>
      </c>
      <c r="K263" s="117">
        <v>7.4999999999999997E-2</v>
      </c>
      <c r="L263" s="117">
        <v>9.5600000000000004E-2</v>
      </c>
      <c r="M263" s="112">
        <v>4230.2345978464</v>
      </c>
      <c r="N263" s="61">
        <v>89.69</v>
      </c>
      <c r="O263" s="85">
        <v>3.7940999999999998</v>
      </c>
      <c r="P263" s="25">
        <v>6.6950045220369131E-5</v>
      </c>
      <c r="Q263" s="25">
        <v>7.0793582333604717E-6</v>
      </c>
      <c r="R263" s="15"/>
    </row>
    <row r="264" spans="1:18" x14ac:dyDescent="0.25">
      <c r="A264" s="17" t="s">
        <v>2961</v>
      </c>
      <c r="B264" s="216" t="s">
        <v>2977</v>
      </c>
      <c r="C264" s="117" t="s">
        <v>2337</v>
      </c>
      <c r="D264" s="117"/>
      <c r="E264" s="117" t="s">
        <v>533</v>
      </c>
      <c r="F264" s="117" t="s">
        <v>2338</v>
      </c>
      <c r="G264" s="117" t="s">
        <v>533</v>
      </c>
      <c r="H264" s="118">
        <v>5.35</v>
      </c>
      <c r="I264" s="117" t="s">
        <v>221</v>
      </c>
      <c r="J264" s="118" t="s">
        <v>257</v>
      </c>
      <c r="K264" s="117">
        <v>7.4999999999999997E-2</v>
      </c>
      <c r="L264" s="117">
        <v>7.6100000000000001E-2</v>
      </c>
      <c r="M264" s="112">
        <v>2868.615622139228</v>
      </c>
      <c r="N264" s="61">
        <v>99.49</v>
      </c>
      <c r="O264" s="85">
        <v>2.8539899999999996</v>
      </c>
      <c r="P264" s="25">
        <v>5.0361023578314032E-5</v>
      </c>
      <c r="Q264" s="25">
        <v>5.3252201060669073E-6</v>
      </c>
      <c r="R264" s="15"/>
    </row>
    <row r="265" spans="1:18" x14ac:dyDescent="0.25">
      <c r="A265" s="17" t="s">
        <v>2961</v>
      </c>
      <c r="B265" s="216" t="s">
        <v>2977</v>
      </c>
      <c r="C265" s="117" t="s">
        <v>2387</v>
      </c>
      <c r="D265" s="117"/>
      <c r="E265" s="117" t="s">
        <v>533</v>
      </c>
      <c r="F265" s="117" t="s">
        <v>2388</v>
      </c>
      <c r="G265" s="117" t="s">
        <v>533</v>
      </c>
      <c r="H265" s="118">
        <v>5.88</v>
      </c>
      <c r="I265" s="117" t="s">
        <v>221</v>
      </c>
      <c r="J265" s="118" t="s">
        <v>257</v>
      </c>
      <c r="K265" s="117">
        <v>7.4999999999999997E-2</v>
      </c>
      <c r="L265" s="117">
        <v>6.9900000000000004E-2</v>
      </c>
      <c r="M265" s="112">
        <v>3200.8558961469339</v>
      </c>
      <c r="N265" s="61">
        <v>102.7</v>
      </c>
      <c r="O265" s="85">
        <v>3.28728</v>
      </c>
      <c r="P265" s="25">
        <v>5.8006785443719206E-5</v>
      </c>
      <c r="Q265" s="25">
        <v>6.1336898693659138E-6</v>
      </c>
      <c r="R265" s="15"/>
    </row>
    <row r="266" spans="1:18" x14ac:dyDescent="0.25">
      <c r="A266" s="17" t="s">
        <v>2961</v>
      </c>
      <c r="B266" s="216" t="s">
        <v>2977</v>
      </c>
      <c r="C266" s="117" t="s">
        <v>2331</v>
      </c>
      <c r="D266" s="117"/>
      <c r="E266" s="117" t="s">
        <v>533</v>
      </c>
      <c r="F266" s="117" t="s">
        <v>2332</v>
      </c>
      <c r="G266" s="117" t="s">
        <v>533</v>
      </c>
      <c r="H266" s="118">
        <v>5.67</v>
      </c>
      <c r="I266" s="117" t="s">
        <v>221</v>
      </c>
      <c r="J266" s="118" t="s">
        <v>257</v>
      </c>
      <c r="K266" s="117">
        <v>7.4999999999999997E-2</v>
      </c>
      <c r="L266" s="117">
        <v>8.6999999999999994E-2</v>
      </c>
      <c r="M266" s="112">
        <v>2377.661488339365</v>
      </c>
      <c r="N266" s="61">
        <v>93.79</v>
      </c>
      <c r="O266" s="85">
        <v>2.23001</v>
      </c>
      <c r="P266" s="25">
        <v>3.9350378308920527E-5</v>
      </c>
      <c r="Q266" s="25">
        <v>4.1609445333481423E-6</v>
      </c>
      <c r="R266" s="15"/>
    </row>
    <row r="267" spans="1:18" x14ac:dyDescent="0.25">
      <c r="A267" s="17" t="s">
        <v>2961</v>
      </c>
      <c r="B267" s="216" t="s">
        <v>2977</v>
      </c>
      <c r="C267" s="117" t="s">
        <v>2450</v>
      </c>
      <c r="D267" s="117"/>
      <c r="E267" s="117" t="s">
        <v>533</v>
      </c>
      <c r="F267" s="117" t="s">
        <v>2451</v>
      </c>
      <c r="G267" s="117" t="s">
        <v>533</v>
      </c>
      <c r="H267" s="118">
        <v>7.45</v>
      </c>
      <c r="I267" s="117" t="s">
        <v>221</v>
      </c>
      <c r="J267" s="118" t="s">
        <v>257</v>
      </c>
      <c r="K267" s="117">
        <v>7.4999999999999997E-2</v>
      </c>
      <c r="L267" s="117">
        <v>8.5699999999999998E-2</v>
      </c>
      <c r="M267" s="112">
        <v>5272.4443930907491</v>
      </c>
      <c r="N267" s="61">
        <v>103.76</v>
      </c>
      <c r="O267" s="85">
        <v>5.4706899999999994</v>
      </c>
      <c r="P267" s="25">
        <v>9.6534868054774824E-5</v>
      </c>
      <c r="Q267" s="25">
        <v>1.0207684113139558E-5</v>
      </c>
      <c r="R267" s="15"/>
    </row>
    <row r="268" spans="1:18" x14ac:dyDescent="0.25">
      <c r="A268" s="17" t="s">
        <v>2961</v>
      </c>
      <c r="B268" s="216" t="s">
        <v>2977</v>
      </c>
      <c r="C268" s="117" t="s">
        <v>2394</v>
      </c>
      <c r="D268" s="117"/>
      <c r="E268" s="117" t="s">
        <v>533</v>
      </c>
      <c r="F268" s="117" t="s">
        <v>2395</v>
      </c>
      <c r="G268" s="117" t="s">
        <v>533</v>
      </c>
      <c r="H268" s="118">
        <v>5.65</v>
      </c>
      <c r="I268" s="117" t="s">
        <v>221</v>
      </c>
      <c r="J268" s="118" t="s">
        <v>257</v>
      </c>
      <c r="K268" s="117">
        <v>7.4999999999999997E-2</v>
      </c>
      <c r="L268" s="117">
        <v>7.0999999999999994E-2</v>
      </c>
      <c r="M268" s="112">
        <v>6693.2591842465763</v>
      </c>
      <c r="N268" s="61">
        <v>102.11</v>
      </c>
      <c r="O268" s="85">
        <v>6.8344899999999997</v>
      </c>
      <c r="P268" s="25">
        <v>1.2060025159014274E-4</v>
      </c>
      <c r="Q268" s="25">
        <v>1.2752379497725367E-5</v>
      </c>
      <c r="R268" s="15"/>
    </row>
    <row r="269" spans="1:18" x14ac:dyDescent="0.25">
      <c r="A269" s="17" t="s">
        <v>2961</v>
      </c>
      <c r="B269" s="216" t="s">
        <v>2977</v>
      </c>
      <c r="C269" s="117" t="s">
        <v>2383</v>
      </c>
      <c r="D269" s="117"/>
      <c r="E269" s="117" t="s">
        <v>533</v>
      </c>
      <c r="F269" s="117" t="s">
        <v>2384</v>
      </c>
      <c r="G269" s="117" t="s">
        <v>533</v>
      </c>
      <c r="H269" s="118">
        <v>6.15</v>
      </c>
      <c r="I269" s="117" t="s">
        <v>221</v>
      </c>
      <c r="J269" s="118" t="s">
        <v>257</v>
      </c>
      <c r="K269" s="117">
        <v>7.4999999999999997E-2</v>
      </c>
      <c r="L269" s="117">
        <v>7.2900000000000006E-2</v>
      </c>
      <c r="M269" s="112">
        <v>3576.1054315524357</v>
      </c>
      <c r="N269" s="61">
        <v>100.94</v>
      </c>
      <c r="O269" s="85">
        <v>3.6097199999999998</v>
      </c>
      <c r="P269" s="25">
        <v>6.3696507006370638E-5</v>
      </c>
      <c r="Q269" s="25">
        <v>6.7353261648680751E-6</v>
      </c>
      <c r="R269" s="15"/>
    </row>
    <row r="270" spans="1:18" x14ac:dyDescent="0.25">
      <c r="A270" s="17" t="s">
        <v>2961</v>
      </c>
      <c r="B270" s="216" t="s">
        <v>2977</v>
      </c>
      <c r="C270" s="117" t="s">
        <v>2385</v>
      </c>
      <c r="D270" s="117"/>
      <c r="E270" s="117" t="s">
        <v>533</v>
      </c>
      <c r="F270" s="117" t="s">
        <v>2386</v>
      </c>
      <c r="G270" s="117" t="s">
        <v>533</v>
      </c>
      <c r="H270" s="118">
        <v>5.61</v>
      </c>
      <c r="I270" s="117" t="s">
        <v>221</v>
      </c>
      <c r="J270" s="118" t="s">
        <v>257</v>
      </c>
      <c r="K270" s="117">
        <v>7.4999999999999997E-2</v>
      </c>
      <c r="L270" s="117">
        <v>9.2799999999999994E-2</v>
      </c>
      <c r="M270" s="112">
        <v>2232.9240213807579</v>
      </c>
      <c r="N270" s="61">
        <v>91.05</v>
      </c>
      <c r="O270" s="85">
        <v>2.03308</v>
      </c>
      <c r="P270" s="25">
        <v>3.5875384923072154E-5</v>
      </c>
      <c r="Q270" s="25">
        <v>3.7934955950239871E-6</v>
      </c>
      <c r="R270" s="15"/>
    </row>
    <row r="271" spans="1:18" x14ac:dyDescent="0.25">
      <c r="A271" s="17" t="s">
        <v>2961</v>
      </c>
      <c r="B271" s="216" t="s">
        <v>2977</v>
      </c>
      <c r="C271" s="117" t="s">
        <v>2453</v>
      </c>
      <c r="D271" s="117"/>
      <c r="E271" s="117" t="s">
        <v>533</v>
      </c>
      <c r="F271" s="117" t="s">
        <v>2186</v>
      </c>
      <c r="G271" s="117" t="s">
        <v>533</v>
      </c>
      <c r="H271" s="118">
        <v>5.48</v>
      </c>
      <c r="I271" s="117" t="s">
        <v>221</v>
      </c>
      <c r="J271" s="118" t="s">
        <v>257</v>
      </c>
      <c r="K271" s="117">
        <v>7.4999999999999997E-2</v>
      </c>
      <c r="L271" s="117">
        <v>8.6300000000000002E-2</v>
      </c>
      <c r="M271" s="112">
        <v>828.88533816884615</v>
      </c>
      <c r="N271" s="61">
        <v>103.1</v>
      </c>
      <c r="O271" s="85">
        <v>0.85458000000000001</v>
      </c>
      <c r="P271" s="25">
        <v>1.5079773765694908E-5</v>
      </c>
      <c r="Q271" s="25">
        <v>1.5945488940895581E-6</v>
      </c>
      <c r="R271" s="15"/>
    </row>
    <row r="272" spans="1:18" x14ac:dyDescent="0.25">
      <c r="A272" s="17" t="s">
        <v>2961</v>
      </c>
      <c r="B272" s="216" t="s">
        <v>2977</v>
      </c>
      <c r="C272" s="117" t="s">
        <v>2345</v>
      </c>
      <c r="D272" s="117"/>
      <c r="E272" s="117" t="s">
        <v>533</v>
      </c>
      <c r="F272" s="117" t="s">
        <v>2346</v>
      </c>
      <c r="G272" s="117" t="s">
        <v>533</v>
      </c>
      <c r="H272" s="118">
        <v>5.66</v>
      </c>
      <c r="I272" s="117" t="s">
        <v>221</v>
      </c>
      <c r="J272" s="118" t="s">
        <v>257</v>
      </c>
      <c r="K272" s="117">
        <v>7.4999999999999997E-2</v>
      </c>
      <c r="L272" s="117">
        <v>9.2799999999999994E-2</v>
      </c>
      <c r="M272" s="112">
        <v>2988.7102124877865</v>
      </c>
      <c r="N272" s="61">
        <v>91.04</v>
      </c>
      <c r="O272" s="85">
        <v>2.72092</v>
      </c>
      <c r="P272" s="25">
        <v>4.8012892923488249E-5</v>
      </c>
      <c r="Q272" s="25">
        <v>5.0769266504085752E-6</v>
      </c>
      <c r="R272" s="15"/>
    </row>
    <row r="273" spans="1:18" x14ac:dyDescent="0.25">
      <c r="A273" s="17" t="s">
        <v>2961</v>
      </c>
      <c r="B273" s="216" t="s">
        <v>2977</v>
      </c>
      <c r="C273" s="117" t="s">
        <v>2358</v>
      </c>
      <c r="D273" s="117"/>
      <c r="E273" s="117" t="s">
        <v>533</v>
      </c>
      <c r="F273" s="117" t="s">
        <v>2359</v>
      </c>
      <c r="G273" s="117" t="s">
        <v>533</v>
      </c>
      <c r="H273" s="118">
        <v>5.29</v>
      </c>
      <c r="I273" s="117" t="s">
        <v>221</v>
      </c>
      <c r="J273" s="118" t="s">
        <v>257</v>
      </c>
      <c r="K273" s="117">
        <v>7.4999999999999997E-2</v>
      </c>
      <c r="L273" s="117">
        <v>8.900000000000001E-2</v>
      </c>
      <c r="M273" s="112">
        <v>4721.1237724622461</v>
      </c>
      <c r="N273" s="61">
        <v>93.39</v>
      </c>
      <c r="O273" s="85">
        <v>4.4090600000000002</v>
      </c>
      <c r="P273" s="25">
        <v>7.7801525099317553E-5</v>
      </c>
      <c r="Q273" s="25">
        <v>8.2268035139770501E-6</v>
      </c>
      <c r="R273" s="15"/>
    </row>
    <row r="274" spans="1:18" x14ac:dyDescent="0.25">
      <c r="A274" s="17" t="s">
        <v>2961</v>
      </c>
      <c r="B274" s="216" t="s">
        <v>2977</v>
      </c>
      <c r="C274" s="117" t="s">
        <v>2433</v>
      </c>
      <c r="D274" s="117"/>
      <c r="E274" s="117" t="s">
        <v>533</v>
      </c>
      <c r="F274" s="117" t="s">
        <v>446</v>
      </c>
      <c r="G274" s="117" t="s">
        <v>533</v>
      </c>
      <c r="H274" s="118">
        <v>5.9</v>
      </c>
      <c r="I274" s="117" t="s">
        <v>221</v>
      </c>
      <c r="J274" s="118" t="s">
        <v>257</v>
      </c>
      <c r="K274" s="117">
        <v>7.4999999999999997E-2</v>
      </c>
      <c r="L274" s="117">
        <v>6.7299999999999999E-2</v>
      </c>
      <c r="M274" s="112">
        <v>5724.750378760059</v>
      </c>
      <c r="N274" s="61">
        <v>104.19</v>
      </c>
      <c r="O274" s="85">
        <v>5.96462</v>
      </c>
      <c r="P274" s="25">
        <v>1.0525067307722993E-4</v>
      </c>
      <c r="Q274" s="25">
        <v>1.1129301206047954E-5</v>
      </c>
      <c r="R274" s="15"/>
    </row>
    <row r="275" spans="1:18" x14ac:dyDescent="0.25">
      <c r="A275" s="17" t="s">
        <v>2961</v>
      </c>
      <c r="B275" s="216" t="s">
        <v>2977</v>
      </c>
      <c r="C275" s="117" t="s">
        <v>2351</v>
      </c>
      <c r="D275" s="117"/>
      <c r="E275" s="117" t="s">
        <v>533</v>
      </c>
      <c r="F275" s="117" t="s">
        <v>2352</v>
      </c>
      <c r="G275" s="117" t="s">
        <v>533</v>
      </c>
      <c r="H275" s="118">
        <v>5.65</v>
      </c>
      <c r="I275" s="117" t="s">
        <v>221</v>
      </c>
      <c r="J275" s="118" t="s">
        <v>257</v>
      </c>
      <c r="K275" s="117">
        <v>7.4999999999999997E-2</v>
      </c>
      <c r="L275" s="117">
        <v>9.3000000000000013E-2</v>
      </c>
      <c r="M275" s="112">
        <v>2050.9045468008926</v>
      </c>
      <c r="N275" s="61">
        <v>90.9</v>
      </c>
      <c r="O275" s="85">
        <v>1.8642699999999999</v>
      </c>
      <c r="P275" s="25">
        <v>3.2896592288810931E-5</v>
      </c>
      <c r="Q275" s="25">
        <v>3.478515372211309E-6</v>
      </c>
      <c r="R275" s="15"/>
    </row>
    <row r="276" spans="1:18" x14ac:dyDescent="0.25">
      <c r="A276" s="17" t="s">
        <v>2961</v>
      </c>
      <c r="B276" s="216" t="s">
        <v>2977</v>
      </c>
      <c r="C276" s="117" t="s">
        <v>2434</v>
      </c>
      <c r="D276" s="117"/>
      <c r="E276" s="117" t="s">
        <v>533</v>
      </c>
      <c r="F276" s="117" t="s">
        <v>446</v>
      </c>
      <c r="G276" s="117" t="s">
        <v>533</v>
      </c>
      <c r="H276" s="118">
        <v>5.67</v>
      </c>
      <c r="I276" s="117" t="s">
        <v>221</v>
      </c>
      <c r="J276" s="118" t="s">
        <v>257</v>
      </c>
      <c r="K276" s="117">
        <v>7.4999999999999997E-2</v>
      </c>
      <c r="L276" s="117">
        <v>6.7299999999999999E-2</v>
      </c>
      <c r="M276" s="112">
        <v>6462.7340982421274</v>
      </c>
      <c r="N276" s="61">
        <v>104.11</v>
      </c>
      <c r="O276" s="85">
        <v>6.7283500000000007</v>
      </c>
      <c r="P276" s="25">
        <v>1.1872732314869682E-4</v>
      </c>
      <c r="Q276" s="25">
        <v>1.2554334353188093E-5</v>
      </c>
      <c r="R276" s="15"/>
    </row>
    <row r="277" spans="1:18" x14ac:dyDescent="0.25">
      <c r="A277" s="17" t="s">
        <v>2961</v>
      </c>
      <c r="B277" s="216" t="s">
        <v>2977</v>
      </c>
      <c r="C277" s="117" t="s">
        <v>2430</v>
      </c>
      <c r="D277" s="117"/>
      <c r="E277" s="117" t="s">
        <v>533</v>
      </c>
      <c r="F277" s="117" t="s">
        <v>2431</v>
      </c>
      <c r="G277" s="117" t="s">
        <v>533</v>
      </c>
      <c r="H277" s="118">
        <v>5.58</v>
      </c>
      <c r="I277" s="117" t="s">
        <v>221</v>
      </c>
      <c r="J277" s="118" t="s">
        <v>257</v>
      </c>
      <c r="K277" s="117">
        <v>7.4999999999999997E-2</v>
      </c>
      <c r="L277" s="117">
        <v>7.0699999999999999E-2</v>
      </c>
      <c r="M277" s="112">
        <v>3385.1909270055849</v>
      </c>
      <c r="N277" s="61">
        <v>102.23</v>
      </c>
      <c r="O277" s="85">
        <v>3.46068</v>
      </c>
      <c r="P277" s="25">
        <v>6.1066572439637075E-5</v>
      </c>
      <c r="Q277" s="25">
        <v>6.4572345091130758E-6</v>
      </c>
      <c r="R277" s="15"/>
    </row>
    <row r="278" spans="1:18" x14ac:dyDescent="0.25">
      <c r="A278" s="17" t="s">
        <v>2961</v>
      </c>
      <c r="B278" s="216" t="s">
        <v>2977</v>
      </c>
      <c r="C278" s="117" t="s">
        <v>2376</v>
      </c>
      <c r="D278" s="117"/>
      <c r="E278" s="117" t="s">
        <v>533</v>
      </c>
      <c r="F278" s="117" t="s">
        <v>2377</v>
      </c>
      <c r="G278" s="117" t="s">
        <v>533</v>
      </c>
      <c r="H278" s="118">
        <v>5.77</v>
      </c>
      <c r="I278" s="117" t="s">
        <v>221</v>
      </c>
      <c r="J278" s="118" t="s">
        <v>257</v>
      </c>
      <c r="K278" s="117">
        <v>7.4999999999999997E-2</v>
      </c>
      <c r="L278" s="117">
        <v>8.929999999999999E-2</v>
      </c>
      <c r="M278" s="112">
        <v>2949.2142341203012</v>
      </c>
      <c r="N278" s="61">
        <v>92.54</v>
      </c>
      <c r="O278" s="85">
        <v>2.7291999999999996</v>
      </c>
      <c r="P278" s="25">
        <v>4.8159000399417889E-5</v>
      </c>
      <c r="Q278" s="25">
        <v>5.0923761868394083E-6</v>
      </c>
      <c r="R278" s="15"/>
    </row>
    <row r="279" spans="1:18" x14ac:dyDescent="0.25">
      <c r="A279" s="17" t="s">
        <v>2961</v>
      </c>
      <c r="B279" s="216" t="s">
        <v>2977</v>
      </c>
      <c r="C279" s="117" t="s">
        <v>2360</v>
      </c>
      <c r="D279" s="117"/>
      <c r="E279" s="117" t="s">
        <v>533</v>
      </c>
      <c r="F279" s="117" t="s">
        <v>937</v>
      </c>
      <c r="G279" s="117" t="s">
        <v>533</v>
      </c>
      <c r="H279" s="118">
        <v>5.53</v>
      </c>
      <c r="I279" s="117" t="s">
        <v>221</v>
      </c>
      <c r="J279" s="118" t="s">
        <v>257</v>
      </c>
      <c r="K279" s="117">
        <v>7.4999999999999997E-2</v>
      </c>
      <c r="L279" s="117">
        <v>9.3100000000000002E-2</v>
      </c>
      <c r="M279" s="112">
        <v>2290.2759762497171</v>
      </c>
      <c r="N279" s="61">
        <v>91.06</v>
      </c>
      <c r="O279" s="85">
        <v>2.0855300000000003</v>
      </c>
      <c r="P279" s="25">
        <v>3.6800908728930822E-5</v>
      </c>
      <c r="Q279" s="25">
        <v>3.8913613179463559E-6</v>
      </c>
      <c r="R279" s="15"/>
    </row>
    <row r="280" spans="1:18" x14ac:dyDescent="0.25">
      <c r="A280" s="17" t="s">
        <v>2961</v>
      </c>
      <c r="B280" s="216" t="s">
        <v>2977</v>
      </c>
      <c r="C280" s="117" t="s">
        <v>2461</v>
      </c>
      <c r="D280" s="117"/>
      <c r="E280" s="117" t="s">
        <v>533</v>
      </c>
      <c r="F280" s="117" t="s">
        <v>2462</v>
      </c>
      <c r="G280" s="117" t="s">
        <v>533</v>
      </c>
      <c r="H280" s="118">
        <v>7.16</v>
      </c>
      <c r="I280" s="117" t="s">
        <v>221</v>
      </c>
      <c r="J280" s="118" t="s">
        <v>257</v>
      </c>
      <c r="K280" s="117">
        <v>7.4999999999999997E-2</v>
      </c>
      <c r="L280" s="117">
        <v>8.6099999999999996E-2</v>
      </c>
      <c r="M280" s="112">
        <v>6604.3713745687028</v>
      </c>
      <c r="N280" s="61">
        <v>99.74</v>
      </c>
      <c r="O280" s="85">
        <v>6.5872000000000002</v>
      </c>
      <c r="P280" s="25">
        <v>1.1623661418402665E-4</v>
      </c>
      <c r="Q280" s="25">
        <v>1.22909645383074E-5</v>
      </c>
      <c r="R280" s="15"/>
    </row>
    <row r="281" spans="1:18" x14ac:dyDescent="0.25">
      <c r="A281" s="17" t="s">
        <v>2961</v>
      </c>
      <c r="B281" s="216" t="s">
        <v>2977</v>
      </c>
      <c r="C281" s="117" t="s">
        <v>2432</v>
      </c>
      <c r="D281" s="117"/>
      <c r="E281" s="117" t="s">
        <v>533</v>
      </c>
      <c r="F281" s="117" t="s">
        <v>2431</v>
      </c>
      <c r="G281" s="117" t="s">
        <v>533</v>
      </c>
      <c r="H281" s="118">
        <v>5.72</v>
      </c>
      <c r="I281" s="117" t="s">
        <v>221</v>
      </c>
      <c r="J281" s="118" t="s">
        <v>257</v>
      </c>
      <c r="K281" s="117">
        <v>7.4999999999999997E-2</v>
      </c>
      <c r="L281" s="117">
        <v>6.9599999999999995E-2</v>
      </c>
      <c r="M281" s="112">
        <v>2964.5066005684589</v>
      </c>
      <c r="N281" s="61">
        <v>103.25</v>
      </c>
      <c r="O281" s="85">
        <v>3.0608499999999998</v>
      </c>
      <c r="P281" s="25">
        <v>5.4011240060295415E-5</v>
      </c>
      <c r="Q281" s="25">
        <v>5.7111972927918085E-6</v>
      </c>
      <c r="R281" s="15"/>
    </row>
    <row r="282" spans="1:18" x14ac:dyDescent="0.25">
      <c r="A282" s="17" t="s">
        <v>2961</v>
      </c>
      <c r="B282" s="216" t="s">
        <v>2977</v>
      </c>
      <c r="C282" s="117" t="s">
        <v>2382</v>
      </c>
      <c r="D282" s="117"/>
      <c r="E282" s="117" t="s">
        <v>533</v>
      </c>
      <c r="F282" s="117" t="s">
        <v>977</v>
      </c>
      <c r="G282" s="117" t="s">
        <v>533</v>
      </c>
      <c r="H282" s="118">
        <v>5.69</v>
      </c>
      <c r="I282" s="117" t="s">
        <v>221</v>
      </c>
      <c r="J282" s="118" t="s">
        <v>257</v>
      </c>
      <c r="K282" s="117">
        <v>7.4999999999999997E-2</v>
      </c>
      <c r="L282" s="117">
        <v>7.8899999999999998E-2</v>
      </c>
      <c r="M282" s="112">
        <v>2021.8027094734323</v>
      </c>
      <c r="N282" s="61">
        <v>97.9</v>
      </c>
      <c r="O282" s="85">
        <v>1.9793399999999999</v>
      </c>
      <c r="P282" s="25">
        <v>3.4927097995963584E-5</v>
      </c>
      <c r="Q282" s="25">
        <v>3.6932228791069601E-6</v>
      </c>
      <c r="R282" s="15"/>
    </row>
    <row r="283" spans="1:18" x14ac:dyDescent="0.25">
      <c r="A283" s="17" t="s">
        <v>2961</v>
      </c>
      <c r="B283" s="216" t="s">
        <v>2977</v>
      </c>
      <c r="C283" s="117" t="s">
        <v>2441</v>
      </c>
      <c r="D283" s="117"/>
      <c r="E283" s="117" t="s">
        <v>533</v>
      </c>
      <c r="F283" s="117" t="s">
        <v>1704</v>
      </c>
      <c r="G283" s="117" t="s">
        <v>533</v>
      </c>
      <c r="H283" s="118">
        <v>5.72</v>
      </c>
      <c r="I283" s="117" t="s">
        <v>221</v>
      </c>
      <c r="J283" s="118" t="s">
        <v>257</v>
      </c>
      <c r="K283" s="117">
        <v>7.4999999999999997E-2</v>
      </c>
      <c r="L283" s="117">
        <v>6.9699999999999998E-2</v>
      </c>
      <c r="M283" s="112">
        <v>1340.8690375502174</v>
      </c>
      <c r="N283" s="61">
        <v>103.5</v>
      </c>
      <c r="O283" s="85">
        <v>1.3877999999999999</v>
      </c>
      <c r="P283" s="25">
        <v>2.4488883465598763E-5</v>
      </c>
      <c r="Q283" s="25">
        <v>2.5894766496027154E-6</v>
      </c>
      <c r="R283" s="15"/>
    </row>
    <row r="284" spans="1:18" x14ac:dyDescent="0.25">
      <c r="A284" s="17" t="s">
        <v>2961</v>
      </c>
      <c r="B284" s="216" t="s">
        <v>2977</v>
      </c>
      <c r="C284" s="117" t="s">
        <v>2389</v>
      </c>
      <c r="D284" s="117"/>
      <c r="E284" s="117" t="s">
        <v>533</v>
      </c>
      <c r="F284" s="117" t="s">
        <v>2257</v>
      </c>
      <c r="G284" s="117" t="s">
        <v>533</v>
      </c>
      <c r="H284" s="118">
        <v>6.2</v>
      </c>
      <c r="I284" s="117" t="s">
        <v>221</v>
      </c>
      <c r="J284" s="118" t="s">
        <v>257</v>
      </c>
      <c r="K284" s="117">
        <v>7.4999999999999997E-2</v>
      </c>
      <c r="L284" s="117">
        <v>8.5900000000000004E-2</v>
      </c>
      <c r="M284" s="112">
        <v>2415.6492419145925</v>
      </c>
      <c r="N284" s="61">
        <v>93.64</v>
      </c>
      <c r="O284" s="85">
        <v>2.2620100000000001</v>
      </c>
      <c r="P284" s="25">
        <v>3.9915044882561656E-5</v>
      </c>
      <c r="Q284" s="25">
        <v>4.2206528867040204E-6</v>
      </c>
      <c r="R284" s="15"/>
    </row>
    <row r="285" spans="1:18" x14ac:dyDescent="0.25">
      <c r="A285" s="17" t="s">
        <v>2961</v>
      </c>
      <c r="B285" s="216" t="s">
        <v>2977</v>
      </c>
      <c r="C285" s="117" t="s">
        <v>2449</v>
      </c>
      <c r="D285" s="117"/>
      <c r="E285" s="117" t="s">
        <v>533</v>
      </c>
      <c r="F285" s="117" t="s">
        <v>2448</v>
      </c>
      <c r="G285" s="117" t="s">
        <v>533</v>
      </c>
      <c r="H285" s="118">
        <v>5.53</v>
      </c>
      <c r="I285" s="117" t="s">
        <v>221</v>
      </c>
      <c r="J285" s="118" t="s">
        <v>257</v>
      </c>
      <c r="K285" s="117">
        <v>7.4999999999999997E-2</v>
      </c>
      <c r="L285" s="117">
        <v>8.5699999999999998E-2</v>
      </c>
      <c r="M285" s="112">
        <v>1329.5557855003726</v>
      </c>
      <c r="N285" s="61">
        <v>103.43</v>
      </c>
      <c r="O285" s="85">
        <v>1.3751600000000002</v>
      </c>
      <c r="P285" s="25">
        <v>2.426584016901052E-5</v>
      </c>
      <c r="Q285" s="25">
        <v>2.5658918500271442E-6</v>
      </c>
      <c r="R285" s="15"/>
    </row>
    <row r="286" spans="1:18" x14ac:dyDescent="0.25">
      <c r="A286" s="17" t="s">
        <v>2961</v>
      </c>
      <c r="B286" s="216" t="s">
        <v>2977</v>
      </c>
      <c r="C286" s="117" t="s">
        <v>2396</v>
      </c>
      <c r="D286" s="117"/>
      <c r="E286" s="117" t="s">
        <v>533</v>
      </c>
      <c r="F286" s="117" t="s">
        <v>2397</v>
      </c>
      <c r="G286" s="117" t="s">
        <v>533</v>
      </c>
      <c r="H286" s="118">
        <v>6.2</v>
      </c>
      <c r="I286" s="117" t="s">
        <v>221</v>
      </c>
      <c r="J286" s="118" t="s">
        <v>257</v>
      </c>
      <c r="K286" s="117">
        <v>7.4999999999999997E-2</v>
      </c>
      <c r="L286" s="117">
        <v>8.5699999999999998E-2</v>
      </c>
      <c r="M286" s="112">
        <v>2407.1155541961198</v>
      </c>
      <c r="N286" s="61">
        <v>93.77</v>
      </c>
      <c r="O286" s="85">
        <v>2.2571500000000002</v>
      </c>
      <c r="P286" s="25">
        <v>3.9829286146689908E-5</v>
      </c>
      <c r="Q286" s="25">
        <v>4.2115846805380963E-6</v>
      </c>
      <c r="R286" s="15"/>
    </row>
    <row r="287" spans="1:18" x14ac:dyDescent="0.25">
      <c r="A287" s="17" t="s">
        <v>2961</v>
      </c>
      <c r="B287" s="216" t="s">
        <v>2977</v>
      </c>
      <c r="C287" s="117" t="s">
        <v>2444</v>
      </c>
      <c r="D287" s="117"/>
      <c r="E287" s="117" t="s">
        <v>533</v>
      </c>
      <c r="F287" s="117" t="s">
        <v>2445</v>
      </c>
      <c r="G287" s="117" t="s">
        <v>533</v>
      </c>
      <c r="H287" s="118">
        <v>4.28</v>
      </c>
      <c r="I287" s="117" t="s">
        <v>221</v>
      </c>
      <c r="J287" s="118" t="s">
        <v>257</v>
      </c>
      <c r="K287" s="117">
        <v>7.4999999999999997E-2</v>
      </c>
      <c r="L287" s="117">
        <v>9.8900000000000002E-2</v>
      </c>
      <c r="M287" s="112">
        <v>22395.823463160417</v>
      </c>
      <c r="N287" s="61">
        <v>91.41</v>
      </c>
      <c r="O287" s="85">
        <v>20.472020000000001</v>
      </c>
      <c r="P287" s="25">
        <v>3.6124579340352159E-4</v>
      </c>
      <c r="Q287" s="25">
        <v>3.819845637714353E-5</v>
      </c>
      <c r="R287" s="15"/>
    </row>
    <row r="288" spans="1:18" x14ac:dyDescent="0.25">
      <c r="A288" s="17" t="s">
        <v>2962</v>
      </c>
      <c r="B288" s="216" t="s">
        <v>2977</v>
      </c>
      <c r="C288" s="117" t="s">
        <v>2744</v>
      </c>
      <c r="D288" s="117"/>
      <c r="E288" s="117" t="s">
        <v>533</v>
      </c>
      <c r="F288" s="117" t="s">
        <v>2745</v>
      </c>
      <c r="G288" s="117" t="s">
        <v>533</v>
      </c>
      <c r="H288" s="118">
        <v>4.9400000000000004</v>
      </c>
      <c r="I288" s="117" t="s">
        <v>221</v>
      </c>
      <c r="J288" s="118" t="s">
        <v>257</v>
      </c>
      <c r="K288" s="117">
        <v>0.05</v>
      </c>
      <c r="L288" s="117">
        <v>7.0999999999999994E-2</v>
      </c>
      <c r="M288" s="112">
        <v>128348.65120703171</v>
      </c>
      <c r="N288" s="61">
        <v>95.35</v>
      </c>
      <c r="O288" s="85">
        <v>122.38044000000001</v>
      </c>
      <c r="P288" s="25">
        <v>2.1595044917341851E-3</v>
      </c>
      <c r="Q288" s="25">
        <v>2.2834795485524297E-4</v>
      </c>
      <c r="R288" s="15"/>
    </row>
    <row r="289" spans="1:18" x14ac:dyDescent="0.25">
      <c r="A289" s="17" t="s">
        <v>2962</v>
      </c>
      <c r="B289" s="216" t="s">
        <v>2977</v>
      </c>
      <c r="C289" s="117" t="s">
        <v>2746</v>
      </c>
      <c r="D289" s="117"/>
      <c r="E289" s="117" t="s">
        <v>533</v>
      </c>
      <c r="F289" s="117" t="s">
        <v>2673</v>
      </c>
      <c r="G289" s="117" t="s">
        <v>533</v>
      </c>
      <c r="H289" s="118">
        <v>4.9400000000000004</v>
      </c>
      <c r="I289" s="117" t="s">
        <v>221</v>
      </c>
      <c r="J289" s="118" t="s">
        <v>257</v>
      </c>
      <c r="K289" s="117">
        <v>0.05</v>
      </c>
      <c r="L289" s="117">
        <v>6.7400000000000002E-2</v>
      </c>
      <c r="M289" s="112">
        <v>93352.267807001452</v>
      </c>
      <c r="N289" s="61">
        <v>96.06</v>
      </c>
      <c r="O289" s="85">
        <v>89.674179999999993</v>
      </c>
      <c r="P289" s="25">
        <v>1.5823753738961862E-3</v>
      </c>
      <c r="Q289" s="25">
        <v>1.673218008230803E-4</v>
      </c>
      <c r="R289" s="15"/>
    </row>
    <row r="290" spans="1:18" x14ac:dyDescent="0.25">
      <c r="A290" s="17" t="s">
        <v>2962</v>
      </c>
      <c r="B290" s="216" t="s">
        <v>2977</v>
      </c>
      <c r="C290" s="117" t="s">
        <v>2747</v>
      </c>
      <c r="D290" s="117"/>
      <c r="E290" s="117" t="s">
        <v>533</v>
      </c>
      <c r="F290" s="117" t="s">
        <v>2445</v>
      </c>
      <c r="G290" s="117" t="s">
        <v>533</v>
      </c>
      <c r="H290" s="118">
        <v>4.9400000000000004</v>
      </c>
      <c r="I290" s="117" t="s">
        <v>202</v>
      </c>
      <c r="J290" s="118" t="s">
        <v>257</v>
      </c>
      <c r="K290" s="117">
        <v>0.05</v>
      </c>
      <c r="L290" s="117">
        <v>4.3899999999999995E-2</v>
      </c>
      <c r="M290" s="112">
        <v>44164.703239437498</v>
      </c>
      <c r="N290" s="61">
        <v>106.41</v>
      </c>
      <c r="O290" s="85">
        <v>46.995660000000001</v>
      </c>
      <c r="P290" s="25">
        <v>8.2927744713135994E-4</v>
      </c>
      <c r="Q290" s="25">
        <v>8.7688546046021297E-5</v>
      </c>
      <c r="R290" s="15"/>
    </row>
    <row r="291" spans="1:18" x14ac:dyDescent="0.25">
      <c r="A291" s="17" t="s">
        <v>2962</v>
      </c>
      <c r="B291" s="216" t="s">
        <v>2977</v>
      </c>
      <c r="C291" s="117" t="s">
        <v>2748</v>
      </c>
      <c r="D291" s="117"/>
      <c r="E291" s="117" t="s">
        <v>533</v>
      </c>
      <c r="F291" s="117" t="s">
        <v>1052</v>
      </c>
      <c r="G291" s="117" t="s">
        <v>533</v>
      </c>
      <c r="H291" s="118">
        <v>4.9400000000000004</v>
      </c>
      <c r="I291" s="117" t="s">
        <v>221</v>
      </c>
      <c r="J291" s="118" t="s">
        <v>257</v>
      </c>
      <c r="K291" s="117">
        <v>0.05</v>
      </c>
      <c r="L291" s="117">
        <v>5.3200000000000004E-2</v>
      </c>
      <c r="M291" s="112">
        <v>39866.432747792649</v>
      </c>
      <c r="N291" s="61">
        <v>100.45</v>
      </c>
      <c r="O291" s="85">
        <v>40.045830000000002</v>
      </c>
      <c r="P291" s="25">
        <v>7.0664192545984942E-4</v>
      </c>
      <c r="Q291" s="25">
        <v>7.4720955252168846E-5</v>
      </c>
      <c r="R291" s="15"/>
    </row>
    <row r="292" spans="1:18" x14ac:dyDescent="0.25">
      <c r="A292" s="17" t="s">
        <v>2962</v>
      </c>
      <c r="B292" s="216" t="s">
        <v>2977</v>
      </c>
      <c r="C292" s="117" t="s">
        <v>2672</v>
      </c>
      <c r="D292" s="117"/>
      <c r="E292" s="117" t="s">
        <v>533</v>
      </c>
      <c r="F292" s="117" t="s">
        <v>2673</v>
      </c>
      <c r="G292" s="117" t="s">
        <v>533</v>
      </c>
      <c r="H292" s="118">
        <v>4.96</v>
      </c>
      <c r="I292" s="117" t="s">
        <v>221</v>
      </c>
      <c r="J292" s="118" t="s">
        <v>257</v>
      </c>
      <c r="K292" s="117">
        <v>0.04</v>
      </c>
      <c r="L292" s="117">
        <v>4.7E-2</v>
      </c>
      <c r="M292" s="112">
        <v>18535.299819111606</v>
      </c>
      <c r="N292" s="61">
        <v>100.4</v>
      </c>
      <c r="O292" s="85">
        <v>18.60943</v>
      </c>
      <c r="P292" s="25">
        <v>3.2837884610982678E-4</v>
      </c>
      <c r="Q292" s="25">
        <v>3.4723075693483402E-5</v>
      </c>
      <c r="R292" s="15"/>
    </row>
    <row r="293" spans="1:18" x14ac:dyDescent="0.25">
      <c r="A293" s="17" t="s">
        <v>2962</v>
      </c>
      <c r="B293" s="216" t="s">
        <v>2977</v>
      </c>
      <c r="C293" s="117" t="s">
        <v>2674</v>
      </c>
      <c r="D293" s="117"/>
      <c r="E293" s="117" t="s">
        <v>533</v>
      </c>
      <c r="F293" s="117" t="s">
        <v>2445</v>
      </c>
      <c r="G293" s="117" t="s">
        <v>533</v>
      </c>
      <c r="H293" s="118">
        <v>4.9400000000000004</v>
      </c>
      <c r="I293" s="117" t="s">
        <v>202</v>
      </c>
      <c r="J293" s="118" t="s">
        <v>257</v>
      </c>
      <c r="K293" s="117">
        <v>0.04</v>
      </c>
      <c r="L293" s="117">
        <v>3.4200000000000001E-2</v>
      </c>
      <c r="M293" s="112">
        <v>19577.432112078412</v>
      </c>
      <c r="N293" s="61">
        <v>106.33</v>
      </c>
      <c r="O293" s="85">
        <v>20.816680000000002</v>
      </c>
      <c r="P293" s="25">
        <v>3.6732760531824505E-4</v>
      </c>
      <c r="Q293" s="25">
        <v>3.8841552660507178E-5</v>
      </c>
      <c r="R293" s="15"/>
    </row>
    <row r="294" spans="1:18" x14ac:dyDescent="0.25">
      <c r="A294" s="17" t="s">
        <v>2962</v>
      </c>
      <c r="B294" s="216" t="s">
        <v>2977</v>
      </c>
      <c r="C294" s="117" t="s">
        <v>2680</v>
      </c>
      <c r="D294" s="117"/>
      <c r="E294" s="117" t="s">
        <v>533</v>
      </c>
      <c r="F294" s="117" t="s">
        <v>1052</v>
      </c>
      <c r="G294" s="117" t="s">
        <v>533</v>
      </c>
      <c r="H294" s="118">
        <v>4.46</v>
      </c>
      <c r="I294" s="117" t="s">
        <v>221</v>
      </c>
      <c r="J294" s="118" t="s">
        <v>257</v>
      </c>
      <c r="K294" s="117">
        <v>0.04</v>
      </c>
      <c r="L294" s="117">
        <v>4.1700000000000001E-2</v>
      </c>
      <c r="M294" s="112">
        <v>17717.211960098732</v>
      </c>
      <c r="N294" s="61">
        <v>101.27</v>
      </c>
      <c r="O294" s="85">
        <v>17.942220000000002</v>
      </c>
      <c r="P294" s="25">
        <v>3.1660537159110497E-4</v>
      </c>
      <c r="Q294" s="25">
        <v>3.3478137867152936E-5</v>
      </c>
      <c r="R294" s="15"/>
    </row>
    <row r="295" spans="1:18" x14ac:dyDescent="0.25">
      <c r="A295" s="17" t="s">
        <v>2962</v>
      </c>
      <c r="B295" s="216" t="s">
        <v>2977</v>
      </c>
      <c r="C295" s="117" t="s">
        <v>2740</v>
      </c>
      <c r="D295" s="117"/>
      <c r="E295" s="117" t="s">
        <v>533</v>
      </c>
      <c r="F295" s="117" t="s">
        <v>2393</v>
      </c>
      <c r="G295" s="117" t="s">
        <v>533</v>
      </c>
      <c r="H295" s="118">
        <v>1.0900000000000001</v>
      </c>
      <c r="I295" s="117" t="s">
        <v>221</v>
      </c>
      <c r="J295" s="118" t="s">
        <v>257</v>
      </c>
      <c r="K295" s="117">
        <v>6.5000000000000002E-2</v>
      </c>
      <c r="L295" s="117">
        <v>7.1099999999999997E-2</v>
      </c>
      <c r="M295" s="112">
        <v>455.31379593955836</v>
      </c>
      <c r="N295" s="61">
        <v>105.35</v>
      </c>
      <c r="O295" s="85">
        <v>0.47967000000000004</v>
      </c>
      <c r="P295" s="25">
        <v>8.4641754805762782E-6</v>
      </c>
      <c r="Q295" s="25">
        <v>8.9500955794418122E-7</v>
      </c>
      <c r="R295" s="15"/>
    </row>
    <row r="296" spans="1:18" x14ac:dyDescent="0.25">
      <c r="A296" s="17" t="s">
        <v>2962</v>
      </c>
      <c r="B296" s="216" t="s">
        <v>2977</v>
      </c>
      <c r="C296" s="117" t="s">
        <v>2743</v>
      </c>
      <c r="D296" s="117"/>
      <c r="E296" s="117" t="s">
        <v>533</v>
      </c>
      <c r="F296" s="117" t="s">
        <v>2742</v>
      </c>
      <c r="G296" s="117" t="s">
        <v>533</v>
      </c>
      <c r="H296" s="118">
        <v>1.0900000000000001</v>
      </c>
      <c r="I296" s="117" t="s">
        <v>221</v>
      </c>
      <c r="J296" s="118" t="s">
        <v>257</v>
      </c>
      <c r="K296" s="117">
        <v>6.5000000000000002E-2</v>
      </c>
      <c r="L296" s="117">
        <v>6.1399999999999996E-2</v>
      </c>
      <c r="M296" s="112">
        <v>870.11496370064629</v>
      </c>
      <c r="N296" s="61">
        <v>105.11</v>
      </c>
      <c r="O296" s="85">
        <v>0.91458000000000006</v>
      </c>
      <c r="P296" s="25">
        <v>1.6138523591272027E-5</v>
      </c>
      <c r="Q296" s="25">
        <v>1.7065020566318287E-6</v>
      </c>
      <c r="R296" s="15"/>
    </row>
    <row r="297" spans="1:18" x14ac:dyDescent="0.25">
      <c r="A297" s="17" t="s">
        <v>2962</v>
      </c>
      <c r="B297" s="216" t="s">
        <v>2977</v>
      </c>
      <c r="C297" s="117" t="s">
        <v>2721</v>
      </c>
      <c r="D297" s="117"/>
      <c r="E297" s="117" t="s">
        <v>533</v>
      </c>
      <c r="F297" s="117" t="s">
        <v>2718</v>
      </c>
      <c r="G297" s="117" t="s">
        <v>533</v>
      </c>
      <c r="H297" s="118">
        <v>1.1399999999999999</v>
      </c>
      <c r="I297" s="117" t="s">
        <v>221</v>
      </c>
      <c r="J297" s="118" t="s">
        <v>257</v>
      </c>
      <c r="K297" s="117">
        <v>6.5000000000000002E-2</v>
      </c>
      <c r="L297" s="117">
        <v>7.0999999999999994E-2</v>
      </c>
      <c r="M297" s="112">
        <v>149.71187151364458</v>
      </c>
      <c r="N297" s="61">
        <v>111.23</v>
      </c>
      <c r="O297" s="85">
        <v>0.16652</v>
      </c>
      <c r="P297" s="25">
        <v>2.9383836825850313E-6</v>
      </c>
      <c r="Q297" s="25">
        <v>3.1070734377564793E-7</v>
      </c>
      <c r="R297" s="15"/>
    </row>
    <row r="298" spans="1:18" x14ac:dyDescent="0.25">
      <c r="A298" s="17" t="s">
        <v>2962</v>
      </c>
      <c r="B298" s="216" t="s">
        <v>2977</v>
      </c>
      <c r="C298" s="117" t="s">
        <v>2722</v>
      </c>
      <c r="D298" s="117"/>
      <c r="E298" s="117" t="s">
        <v>533</v>
      </c>
      <c r="F298" s="117" t="s">
        <v>2723</v>
      </c>
      <c r="G298" s="117" t="s">
        <v>533</v>
      </c>
      <c r="H298" s="118">
        <v>1.1399999999999999</v>
      </c>
      <c r="I298" s="117" t="s">
        <v>221</v>
      </c>
      <c r="J298" s="118" t="s">
        <v>257</v>
      </c>
      <c r="K298" s="117">
        <v>6.5000000000000002E-2</v>
      </c>
      <c r="L298" s="117">
        <v>7.0999999999999994E-2</v>
      </c>
      <c r="M298" s="112">
        <v>473.48794955468372</v>
      </c>
      <c r="N298" s="61">
        <v>111.34</v>
      </c>
      <c r="O298" s="85">
        <v>0.52717999999999998</v>
      </c>
      <c r="P298" s="25">
        <v>9.3025288841290934E-6</v>
      </c>
      <c r="Q298" s="25">
        <v>9.8365780381723574E-7</v>
      </c>
      <c r="R298" s="15"/>
    </row>
    <row r="299" spans="1:18" x14ac:dyDescent="0.25">
      <c r="A299" s="17" t="s">
        <v>2962</v>
      </c>
      <c r="B299" s="216" t="s">
        <v>2977</v>
      </c>
      <c r="C299" s="117" t="s">
        <v>2727</v>
      </c>
      <c r="D299" s="117"/>
      <c r="E299" s="117" t="s">
        <v>533</v>
      </c>
      <c r="F299" s="117" t="s">
        <v>2726</v>
      </c>
      <c r="G299" s="117" t="s">
        <v>533</v>
      </c>
      <c r="H299" s="118">
        <v>1.1399999999999999</v>
      </c>
      <c r="I299" s="117" t="s">
        <v>221</v>
      </c>
      <c r="J299" s="118" t="s">
        <v>257</v>
      </c>
      <c r="K299" s="117">
        <v>6.5000000000000002E-2</v>
      </c>
      <c r="L299" s="117">
        <v>7.1099999999999997E-2</v>
      </c>
      <c r="M299" s="112">
        <v>525.27829227955647</v>
      </c>
      <c r="N299" s="61">
        <v>111.34</v>
      </c>
      <c r="O299" s="85">
        <v>0.58484000000000003</v>
      </c>
      <c r="P299" s="25">
        <v>1.0319987466508705E-5</v>
      </c>
      <c r="Q299" s="25">
        <v>1.0912447930203576E-6</v>
      </c>
      <c r="R299" s="15"/>
    </row>
    <row r="300" spans="1:18" x14ac:dyDescent="0.25">
      <c r="A300" s="17" t="s">
        <v>2962</v>
      </c>
      <c r="B300" s="216" t="s">
        <v>2977</v>
      </c>
      <c r="C300" s="117" t="s">
        <v>2729</v>
      </c>
      <c r="D300" s="117"/>
      <c r="E300" s="117" t="s">
        <v>533</v>
      </c>
      <c r="F300" s="117" t="s">
        <v>2330</v>
      </c>
      <c r="G300" s="117" t="s">
        <v>533</v>
      </c>
      <c r="H300" s="118">
        <v>1.1399999999999999</v>
      </c>
      <c r="I300" s="117" t="s">
        <v>221</v>
      </c>
      <c r="J300" s="118" t="s">
        <v>257</v>
      </c>
      <c r="K300" s="117">
        <v>6.5000000000000002E-2</v>
      </c>
      <c r="L300" s="117">
        <v>7.0999999999999994E-2</v>
      </c>
      <c r="M300" s="112">
        <v>1129.1166984687779</v>
      </c>
      <c r="N300" s="61">
        <v>110.04</v>
      </c>
      <c r="O300" s="85">
        <v>1.24248</v>
      </c>
      <c r="P300" s="25">
        <v>2.1924591388050983E-5</v>
      </c>
      <c r="Q300" s="25">
        <v>2.3183260899253369E-6</v>
      </c>
      <c r="R300" s="15"/>
    </row>
    <row r="301" spans="1:18" x14ac:dyDescent="0.25">
      <c r="A301" s="17" t="s">
        <v>2962</v>
      </c>
      <c r="B301" s="216" t="s">
        <v>2977</v>
      </c>
      <c r="C301" s="117" t="s">
        <v>2732</v>
      </c>
      <c r="D301" s="117"/>
      <c r="E301" s="117" t="s">
        <v>533</v>
      </c>
      <c r="F301" s="117" t="s">
        <v>2731</v>
      </c>
      <c r="G301" s="117" t="s">
        <v>533</v>
      </c>
      <c r="H301" s="118">
        <v>1.1399999999999999</v>
      </c>
      <c r="I301" s="117" t="s">
        <v>221</v>
      </c>
      <c r="J301" s="118" t="s">
        <v>257</v>
      </c>
      <c r="K301" s="117">
        <v>6.5000000000000002E-2</v>
      </c>
      <c r="L301" s="117">
        <v>7.0999999999999994E-2</v>
      </c>
      <c r="M301" s="112">
        <v>692.12484186030917</v>
      </c>
      <c r="N301" s="61">
        <v>109.19</v>
      </c>
      <c r="O301" s="85">
        <v>0.75573000000000001</v>
      </c>
      <c r="P301" s="25">
        <v>1.3335483428056604E-5</v>
      </c>
      <c r="Q301" s="25">
        <v>1.4101060588011676E-6</v>
      </c>
      <c r="R301" s="15"/>
    </row>
    <row r="302" spans="1:18" x14ac:dyDescent="0.25">
      <c r="A302" s="17" t="s">
        <v>2962</v>
      </c>
      <c r="B302" s="216" t="s">
        <v>2977</v>
      </c>
      <c r="C302" s="117" t="s">
        <v>2735</v>
      </c>
      <c r="D302" s="117"/>
      <c r="E302" s="117" t="s">
        <v>533</v>
      </c>
      <c r="F302" s="117" t="s">
        <v>2734</v>
      </c>
      <c r="G302" s="117" t="s">
        <v>533</v>
      </c>
      <c r="H302" s="118">
        <v>1.1399999999999999</v>
      </c>
      <c r="I302" s="117" t="s">
        <v>221</v>
      </c>
      <c r="J302" s="118" t="s">
        <v>257</v>
      </c>
      <c r="K302" s="117">
        <v>6.5000000000000002E-2</v>
      </c>
      <c r="L302" s="117">
        <v>7.0999999999999994E-2</v>
      </c>
      <c r="M302" s="112">
        <v>374.99099328053768</v>
      </c>
      <c r="N302" s="61">
        <v>109.1</v>
      </c>
      <c r="O302" s="85">
        <v>0.40911999999999998</v>
      </c>
      <c r="P302" s="25">
        <v>7.2192621440018495E-6</v>
      </c>
      <c r="Q302" s="25">
        <v>7.6337129765489478E-7</v>
      </c>
      <c r="R302" s="15"/>
    </row>
    <row r="303" spans="1:18" x14ac:dyDescent="0.25">
      <c r="A303" s="17" t="s">
        <v>2962</v>
      </c>
      <c r="B303" s="216" t="s">
        <v>2977</v>
      </c>
      <c r="C303" s="117" t="s">
        <v>2738</v>
      </c>
      <c r="D303" s="117"/>
      <c r="E303" s="117" t="s">
        <v>533</v>
      </c>
      <c r="F303" s="117" t="s">
        <v>2737</v>
      </c>
      <c r="G303" s="117" t="s">
        <v>533</v>
      </c>
      <c r="H303" s="118">
        <v>1.1399999999999999</v>
      </c>
      <c r="I303" s="117" t="s">
        <v>221</v>
      </c>
      <c r="J303" s="118" t="s">
        <v>257</v>
      </c>
      <c r="K303" s="117">
        <v>6.5000000000000002E-2</v>
      </c>
      <c r="L303" s="117">
        <v>7.0999999999999994E-2</v>
      </c>
      <c r="M303" s="112">
        <v>720.32244620311417</v>
      </c>
      <c r="N303" s="61">
        <v>107.96</v>
      </c>
      <c r="O303" s="85">
        <v>0.77766000000000002</v>
      </c>
      <c r="P303" s="25">
        <v>1.3722456489305041E-5</v>
      </c>
      <c r="Q303" s="25">
        <v>1.4510249397103675E-6</v>
      </c>
      <c r="R303" s="15"/>
    </row>
    <row r="304" spans="1:18" x14ac:dyDescent="0.25">
      <c r="A304" s="17" t="s">
        <v>2962</v>
      </c>
      <c r="B304" s="216" t="s">
        <v>2977</v>
      </c>
      <c r="C304" s="117" t="s">
        <v>2717</v>
      </c>
      <c r="D304" s="117"/>
      <c r="E304" s="117" t="s">
        <v>533</v>
      </c>
      <c r="F304" s="117" t="s">
        <v>2718</v>
      </c>
      <c r="G304" s="117" t="s">
        <v>533</v>
      </c>
      <c r="H304" s="118">
        <v>1.0900000000000001</v>
      </c>
      <c r="I304" s="117" t="s">
        <v>221</v>
      </c>
      <c r="J304" s="118" t="s">
        <v>257</v>
      </c>
      <c r="K304" s="117">
        <v>6.5000000000000002E-2</v>
      </c>
      <c r="L304" s="117">
        <v>7.0499999999999993E-2</v>
      </c>
      <c r="M304" s="112">
        <v>511.67084932090944</v>
      </c>
      <c r="N304" s="61">
        <v>112.41</v>
      </c>
      <c r="O304" s="85">
        <v>0.57516999999999996</v>
      </c>
      <c r="P304" s="25">
        <v>1.0149352286286526E-5</v>
      </c>
      <c r="Q304" s="25">
        <v>1.0732016749906282E-6</v>
      </c>
      <c r="R304" s="15"/>
    </row>
    <row r="305" spans="1:18" x14ac:dyDescent="0.25">
      <c r="A305" s="17" t="s">
        <v>2962</v>
      </c>
      <c r="B305" s="216" t="s">
        <v>2977</v>
      </c>
      <c r="C305" s="117" t="s">
        <v>2739</v>
      </c>
      <c r="D305" s="117"/>
      <c r="E305" s="117" t="s">
        <v>533</v>
      </c>
      <c r="F305" s="117" t="s">
        <v>2393</v>
      </c>
      <c r="G305" s="117" t="s">
        <v>533</v>
      </c>
      <c r="H305" s="118">
        <v>1.0900000000000001</v>
      </c>
      <c r="I305" s="117" t="s">
        <v>221</v>
      </c>
      <c r="J305" s="118" t="s">
        <v>257</v>
      </c>
      <c r="K305" s="117">
        <v>6.5000000000000002E-2</v>
      </c>
      <c r="L305" s="117">
        <v>7.0599999999999996E-2</v>
      </c>
      <c r="M305" s="112">
        <v>570.9922334729215</v>
      </c>
      <c r="N305" s="61">
        <v>106.64</v>
      </c>
      <c r="O305" s="85">
        <v>0.60890999999999995</v>
      </c>
      <c r="P305" s="25">
        <v>1.0744722604869393E-5</v>
      </c>
      <c r="Q305" s="25">
        <v>1.1361566700602316E-6</v>
      </c>
      <c r="R305" s="15"/>
    </row>
    <row r="306" spans="1:18" x14ac:dyDescent="0.25">
      <c r="A306" s="17" t="s">
        <v>2962</v>
      </c>
      <c r="B306" s="216" t="s">
        <v>2977</v>
      </c>
      <c r="C306" s="117" t="s">
        <v>2741</v>
      </c>
      <c r="D306" s="117"/>
      <c r="E306" s="117" t="s">
        <v>533</v>
      </c>
      <c r="F306" s="117" t="s">
        <v>2742</v>
      </c>
      <c r="G306" s="117" t="s">
        <v>533</v>
      </c>
      <c r="H306" s="118">
        <v>1.0900000000000001</v>
      </c>
      <c r="I306" s="117" t="s">
        <v>221</v>
      </c>
      <c r="J306" s="118" t="s">
        <v>257</v>
      </c>
      <c r="K306" s="117">
        <v>6.5000000000000002E-2</v>
      </c>
      <c r="L306" s="117">
        <v>7.0599999999999996E-2</v>
      </c>
      <c r="M306" s="112">
        <v>709.50606760912024</v>
      </c>
      <c r="N306" s="61">
        <v>105.34</v>
      </c>
      <c r="O306" s="85">
        <v>0.74739</v>
      </c>
      <c r="P306" s="25">
        <v>1.3188317202301384E-5</v>
      </c>
      <c r="Q306" s="25">
        <v>1.3945445692077919E-6</v>
      </c>
      <c r="R306" s="15"/>
    </row>
    <row r="307" spans="1:18" x14ac:dyDescent="0.25">
      <c r="A307" s="17" t="s">
        <v>2962</v>
      </c>
      <c r="B307" s="216" t="s">
        <v>2977</v>
      </c>
      <c r="C307" s="117" t="s">
        <v>2719</v>
      </c>
      <c r="D307" s="117"/>
      <c r="E307" s="117" t="s">
        <v>533</v>
      </c>
      <c r="F307" s="117" t="s">
        <v>2718</v>
      </c>
      <c r="G307" s="117" t="s">
        <v>533</v>
      </c>
      <c r="H307" s="118">
        <v>1.0900000000000001</v>
      </c>
      <c r="I307" s="117" t="s">
        <v>221</v>
      </c>
      <c r="J307" s="118" t="s">
        <v>257</v>
      </c>
      <c r="K307" s="117">
        <v>6.5000000000000002E-2</v>
      </c>
      <c r="L307" s="117">
        <v>7.0400000000000004E-2</v>
      </c>
      <c r="M307" s="112">
        <v>158.30844646679782</v>
      </c>
      <c r="N307" s="61">
        <v>112.75</v>
      </c>
      <c r="O307" s="85">
        <v>0.17849000000000001</v>
      </c>
      <c r="P307" s="25">
        <v>3.1496042727876667E-6</v>
      </c>
      <c r="Q307" s="25">
        <v>3.330419997028309E-7</v>
      </c>
      <c r="R307" s="15"/>
    </row>
    <row r="308" spans="1:18" x14ac:dyDescent="0.25">
      <c r="A308" s="17" t="s">
        <v>2962</v>
      </c>
      <c r="B308" s="216" t="s">
        <v>2977</v>
      </c>
      <c r="C308" s="117" t="s">
        <v>2720</v>
      </c>
      <c r="D308" s="117"/>
      <c r="E308" s="117" t="s">
        <v>533</v>
      </c>
      <c r="F308" s="117" t="s">
        <v>2718</v>
      </c>
      <c r="G308" s="117" t="s">
        <v>533</v>
      </c>
      <c r="H308" s="118">
        <v>1.0900000000000001</v>
      </c>
      <c r="I308" s="117" t="s">
        <v>221</v>
      </c>
      <c r="J308" s="118" t="s">
        <v>257</v>
      </c>
      <c r="K308" s="117">
        <v>6.5000000000000002E-2</v>
      </c>
      <c r="L308" s="117">
        <v>7.0499999999999993E-2</v>
      </c>
      <c r="M308" s="112">
        <v>398.34333124024329</v>
      </c>
      <c r="N308" s="61">
        <v>112.63</v>
      </c>
      <c r="O308" s="85">
        <v>0.44864999999999999</v>
      </c>
      <c r="P308" s="25">
        <v>7.9168018207529077E-6</v>
      </c>
      <c r="Q308" s="25">
        <v>8.3712977290982731E-7</v>
      </c>
      <c r="R308" s="15"/>
    </row>
    <row r="309" spans="1:18" x14ac:dyDescent="0.25">
      <c r="A309" s="17" t="s">
        <v>2962</v>
      </c>
      <c r="B309" s="216" t="s">
        <v>2977</v>
      </c>
      <c r="C309" s="117" t="s">
        <v>2724</v>
      </c>
      <c r="D309" s="117"/>
      <c r="E309" s="117" t="s">
        <v>533</v>
      </c>
      <c r="F309" s="117" t="s">
        <v>2723</v>
      </c>
      <c r="G309" s="117" t="s">
        <v>533</v>
      </c>
      <c r="H309" s="118">
        <v>1.0900000000000001</v>
      </c>
      <c r="I309" s="117" t="s">
        <v>221</v>
      </c>
      <c r="J309" s="118" t="s">
        <v>257</v>
      </c>
      <c r="K309" s="117">
        <v>6.5000000000000002E-2</v>
      </c>
      <c r="L309" s="117">
        <v>7.0499999999999993E-2</v>
      </c>
      <c r="M309" s="112">
        <v>460.54697696417446</v>
      </c>
      <c r="N309" s="61">
        <v>112.63</v>
      </c>
      <c r="O309" s="85">
        <v>0.51871</v>
      </c>
      <c r="P309" s="25">
        <v>9.1530687004184589E-6</v>
      </c>
      <c r="Q309" s="25">
        <v>9.6785374903835187E-7</v>
      </c>
      <c r="R309" s="15"/>
    </row>
    <row r="310" spans="1:18" x14ac:dyDescent="0.25">
      <c r="A310" s="17" t="s">
        <v>2962</v>
      </c>
      <c r="B310" s="216" t="s">
        <v>2977</v>
      </c>
      <c r="C310" s="117" t="s">
        <v>2725</v>
      </c>
      <c r="D310" s="117"/>
      <c r="E310" s="117" t="s">
        <v>533</v>
      </c>
      <c r="F310" s="117" t="s">
        <v>2726</v>
      </c>
      <c r="G310" s="117" t="s">
        <v>533</v>
      </c>
      <c r="H310" s="118">
        <v>1.0900000000000001</v>
      </c>
      <c r="I310" s="117" t="s">
        <v>221</v>
      </c>
      <c r="J310" s="118" t="s">
        <v>257</v>
      </c>
      <c r="K310" s="117">
        <v>6.5000000000000002E-2</v>
      </c>
      <c r="L310" s="117">
        <v>7.0499999999999993E-2</v>
      </c>
      <c r="M310" s="112">
        <v>604.39271979639443</v>
      </c>
      <c r="N310" s="61">
        <v>112.52</v>
      </c>
      <c r="O310" s="85">
        <v>0.68006</v>
      </c>
      <c r="P310" s="25">
        <v>1.2000223439699592E-5</v>
      </c>
      <c r="Q310" s="25">
        <v>1.2689144619749407E-6</v>
      </c>
      <c r="R310" s="15"/>
    </row>
    <row r="311" spans="1:18" x14ac:dyDescent="0.25">
      <c r="A311" s="17" t="s">
        <v>2962</v>
      </c>
      <c r="B311" s="216" t="s">
        <v>2977</v>
      </c>
      <c r="C311" s="117" t="s">
        <v>2728</v>
      </c>
      <c r="D311" s="117"/>
      <c r="E311" s="117" t="s">
        <v>533</v>
      </c>
      <c r="F311" s="117" t="s">
        <v>2330</v>
      </c>
      <c r="G311" s="117" t="s">
        <v>533</v>
      </c>
      <c r="H311" s="118">
        <v>1.0900000000000001</v>
      </c>
      <c r="I311" s="117" t="s">
        <v>221</v>
      </c>
      <c r="J311" s="118" t="s">
        <v>257</v>
      </c>
      <c r="K311" s="117">
        <v>6.5000000000000002E-2</v>
      </c>
      <c r="L311" s="117">
        <v>7.0499999999999993E-2</v>
      </c>
      <c r="M311" s="112">
        <v>323.75544428351162</v>
      </c>
      <c r="N311" s="61">
        <v>111.08</v>
      </c>
      <c r="O311" s="85">
        <v>0.35963000000000001</v>
      </c>
      <c r="P311" s="25">
        <v>6.3459699962049886E-6</v>
      </c>
      <c r="Q311" s="25">
        <v>6.7102859741794542E-7</v>
      </c>
      <c r="R311" s="15"/>
    </row>
    <row r="312" spans="1:18" x14ac:dyDescent="0.25">
      <c r="A312" s="17" t="s">
        <v>2962</v>
      </c>
      <c r="B312" s="216" t="s">
        <v>2977</v>
      </c>
      <c r="C312" s="117" t="s">
        <v>2730</v>
      </c>
      <c r="D312" s="117"/>
      <c r="E312" s="117" t="s">
        <v>533</v>
      </c>
      <c r="F312" s="117" t="s">
        <v>2731</v>
      </c>
      <c r="G312" s="117" t="s">
        <v>533</v>
      </c>
      <c r="H312" s="118">
        <v>1.0900000000000001</v>
      </c>
      <c r="I312" s="117" t="s">
        <v>221</v>
      </c>
      <c r="J312" s="118" t="s">
        <v>257</v>
      </c>
      <c r="K312" s="117">
        <v>6.5000000000000002E-2</v>
      </c>
      <c r="L312" s="117">
        <v>7.0599999999999996E-2</v>
      </c>
      <c r="M312" s="112">
        <v>736.10154070002829</v>
      </c>
      <c r="N312" s="61">
        <v>110.19</v>
      </c>
      <c r="O312" s="85">
        <v>0.81111</v>
      </c>
      <c r="P312" s="25">
        <v>1.4312709517064285E-5</v>
      </c>
      <c r="Q312" s="25">
        <v>1.5134388278276832E-6</v>
      </c>
      <c r="R312" s="15"/>
    </row>
    <row r="313" spans="1:18" x14ac:dyDescent="0.25">
      <c r="A313" s="17" t="s">
        <v>2962</v>
      </c>
      <c r="B313" s="216" t="s">
        <v>2977</v>
      </c>
      <c r="C313" s="117" t="s">
        <v>2733</v>
      </c>
      <c r="D313" s="117"/>
      <c r="E313" s="117" t="s">
        <v>533</v>
      </c>
      <c r="F313" s="117" t="s">
        <v>2734</v>
      </c>
      <c r="G313" s="117" t="s">
        <v>533</v>
      </c>
      <c r="H313" s="118">
        <v>1.0900000000000001</v>
      </c>
      <c r="I313" s="117" t="s">
        <v>221</v>
      </c>
      <c r="J313" s="118" t="s">
        <v>257</v>
      </c>
      <c r="K313" s="117">
        <v>6.5000000000000002E-2</v>
      </c>
      <c r="L313" s="117">
        <v>7.0699999999999999E-2</v>
      </c>
      <c r="M313" s="112">
        <v>475.29561818073262</v>
      </c>
      <c r="N313" s="61">
        <v>109.97</v>
      </c>
      <c r="O313" s="85">
        <v>0.52267999999999992</v>
      </c>
      <c r="P313" s="25">
        <v>9.2231226472108091E-6</v>
      </c>
      <c r="Q313" s="25">
        <v>9.7526131662656517E-7</v>
      </c>
      <c r="R313" s="15"/>
    </row>
    <row r="314" spans="1:18" x14ac:dyDescent="0.25">
      <c r="A314" s="17" t="s">
        <v>2962</v>
      </c>
      <c r="B314" s="216" t="s">
        <v>2977</v>
      </c>
      <c r="C314" s="117" t="s">
        <v>2736</v>
      </c>
      <c r="D314" s="117"/>
      <c r="E314" s="117" t="s">
        <v>533</v>
      </c>
      <c r="F314" s="117" t="s">
        <v>2737</v>
      </c>
      <c r="G314" s="117" t="s">
        <v>533</v>
      </c>
      <c r="H314" s="118">
        <v>1.0900000000000001</v>
      </c>
      <c r="I314" s="117" t="s">
        <v>221</v>
      </c>
      <c r="J314" s="118" t="s">
        <v>257</v>
      </c>
      <c r="K314" s="117">
        <v>6.5000000000000002E-2</v>
      </c>
      <c r="L314" s="117">
        <v>7.0599999999999996E-2</v>
      </c>
      <c r="M314" s="112">
        <v>881.74295485717516</v>
      </c>
      <c r="N314" s="61">
        <v>108.7</v>
      </c>
      <c r="O314" s="85">
        <v>0.95845000000000002</v>
      </c>
      <c r="P314" s="25">
        <v>1.6912646172073165E-5</v>
      </c>
      <c r="Q314" s="25">
        <v>1.788358477310652E-6</v>
      </c>
      <c r="R314" s="15"/>
    </row>
    <row r="315" spans="1:18" x14ac:dyDescent="0.25">
      <c r="A315" s="17" t="s">
        <v>2963</v>
      </c>
      <c r="B315" s="117" t="s">
        <v>2291</v>
      </c>
      <c r="C315" s="117" t="s">
        <v>2686</v>
      </c>
      <c r="D315" s="117"/>
      <c r="E315" s="117" t="s">
        <v>533</v>
      </c>
      <c r="F315" s="117" t="s">
        <v>455</v>
      </c>
      <c r="G315" s="117" t="s">
        <v>533</v>
      </c>
      <c r="H315" s="118">
        <v>8.86</v>
      </c>
      <c r="I315" s="117" t="s">
        <v>225</v>
      </c>
      <c r="J315" s="118" t="s">
        <v>257</v>
      </c>
      <c r="K315" s="117">
        <v>3.9399999999999998E-2</v>
      </c>
      <c r="L315" s="117">
        <v>4.0300000000000002E-2</v>
      </c>
      <c r="M315" s="112">
        <v>4883.6064395082994</v>
      </c>
      <c r="N315" s="61">
        <v>100</v>
      </c>
      <c r="O315" s="85">
        <v>4.88361</v>
      </c>
      <c r="P315" s="25">
        <v>8.6175353928111246E-5</v>
      </c>
      <c r="Q315" s="25">
        <v>9.1122597353842914E-6</v>
      </c>
      <c r="R315" s="15"/>
    </row>
    <row r="316" spans="1:18" x14ac:dyDescent="0.25">
      <c r="A316" s="17" t="s">
        <v>2963</v>
      </c>
      <c r="B316" s="117" t="s">
        <v>2291</v>
      </c>
      <c r="C316" s="117" t="s">
        <v>2687</v>
      </c>
      <c r="D316" s="117"/>
      <c r="E316" s="117" t="s">
        <v>533</v>
      </c>
      <c r="F316" s="117" t="s">
        <v>455</v>
      </c>
      <c r="G316" s="117" t="s">
        <v>533</v>
      </c>
      <c r="H316" s="118">
        <v>8.2899999999999991</v>
      </c>
      <c r="I316" s="117" t="s">
        <v>225</v>
      </c>
      <c r="J316" s="118" t="s">
        <v>257</v>
      </c>
      <c r="K316" s="117">
        <v>3.9399999999999998E-2</v>
      </c>
      <c r="L316" s="117">
        <v>4.0399999999999998E-2</v>
      </c>
      <c r="M316" s="112">
        <v>2224.0862629512867</v>
      </c>
      <c r="N316" s="61">
        <v>100</v>
      </c>
      <c r="O316" s="85">
        <v>2.2240900000000003</v>
      </c>
      <c r="P316" s="25">
        <v>3.9245914992796917E-5</v>
      </c>
      <c r="Q316" s="25">
        <v>4.1498984879773057E-6</v>
      </c>
      <c r="R316" s="15"/>
    </row>
    <row r="317" spans="1:18" x14ac:dyDescent="0.25">
      <c r="A317" s="17" t="s">
        <v>2963</v>
      </c>
      <c r="B317" s="117" t="s">
        <v>2291</v>
      </c>
      <c r="C317" s="117" t="s">
        <v>2688</v>
      </c>
      <c r="D317" s="117"/>
      <c r="E317" s="117" t="s">
        <v>533</v>
      </c>
      <c r="F317" s="117" t="s">
        <v>455</v>
      </c>
      <c r="G317" s="117" t="s">
        <v>533</v>
      </c>
      <c r="H317" s="118">
        <v>8.7100000000000009</v>
      </c>
      <c r="I317" s="117" t="s">
        <v>225</v>
      </c>
      <c r="J317" s="118" t="s">
        <v>257</v>
      </c>
      <c r="K317" s="117">
        <v>3.9300000000000002E-2</v>
      </c>
      <c r="L317" s="117">
        <v>4.0099999999999997E-2</v>
      </c>
      <c r="M317" s="112">
        <v>6598.5371824856666</v>
      </c>
      <c r="N317" s="61">
        <v>100</v>
      </c>
      <c r="O317" s="85">
        <v>6.5985399999999998</v>
      </c>
      <c r="P317" s="25">
        <v>1.1643671790106072E-4</v>
      </c>
      <c r="Q317" s="25">
        <v>1.2312123686027888E-5</v>
      </c>
      <c r="R317" s="15"/>
    </row>
    <row r="318" spans="1:18" x14ac:dyDescent="0.25">
      <c r="A318" s="17" t="s">
        <v>2964</v>
      </c>
      <c r="B318" s="216" t="s">
        <v>2977</v>
      </c>
      <c r="C318" s="117" t="s">
        <v>2304</v>
      </c>
      <c r="D318" s="117"/>
      <c r="E318" s="117" t="s">
        <v>533</v>
      </c>
      <c r="F318" s="117" t="s">
        <v>2303</v>
      </c>
      <c r="G318" s="117" t="s">
        <v>533</v>
      </c>
      <c r="H318" s="118">
        <v>2.41</v>
      </c>
      <c r="I318" s="117" t="s">
        <v>222</v>
      </c>
      <c r="J318" s="118" t="s">
        <v>257</v>
      </c>
      <c r="K318" s="117">
        <v>1.72E-2</v>
      </c>
      <c r="L318" s="117">
        <v>6.4000000000000001E-2</v>
      </c>
      <c r="M318" s="112">
        <v>805265.59</v>
      </c>
      <c r="N318" s="61">
        <v>100.98</v>
      </c>
      <c r="O318" s="85">
        <v>813.15719999999999</v>
      </c>
      <c r="P318" s="25">
        <v>1.4348834061112975E-2</v>
      </c>
      <c r="Q318" s="25">
        <v>1.5172586697336254E-3</v>
      </c>
      <c r="R318" s="15"/>
    </row>
    <row r="319" spans="1:18" x14ac:dyDescent="0.25">
      <c r="A319" s="17" t="s">
        <v>2964</v>
      </c>
      <c r="B319" s="216" t="s">
        <v>2977</v>
      </c>
      <c r="C319" s="117" t="s">
        <v>2598</v>
      </c>
      <c r="D319" s="117"/>
      <c r="E319" s="117" t="s">
        <v>533</v>
      </c>
      <c r="F319" s="117" t="s">
        <v>2303</v>
      </c>
      <c r="G319" s="117" t="s">
        <v>533</v>
      </c>
      <c r="H319" s="118">
        <v>2.21</v>
      </c>
      <c r="I319" s="117" t="s">
        <v>222</v>
      </c>
      <c r="J319" s="118" t="s">
        <v>257</v>
      </c>
      <c r="K319" s="117">
        <v>2.8300000000000002E-2</v>
      </c>
      <c r="L319" s="117">
        <v>2.6699999999999998E-2</v>
      </c>
      <c r="M319" s="112">
        <v>534631.29</v>
      </c>
      <c r="N319" s="61">
        <v>112.72</v>
      </c>
      <c r="O319" s="85">
        <v>602.63639000000001</v>
      </c>
      <c r="P319" s="25">
        <v>1.0634019546648745E-2</v>
      </c>
      <c r="Q319" s="25">
        <v>1.1244508287259515E-3</v>
      </c>
      <c r="R319" s="15"/>
    </row>
    <row r="320" spans="1:18" x14ac:dyDescent="0.25">
      <c r="A320" s="17" t="s">
        <v>2964</v>
      </c>
      <c r="B320" s="216" t="s">
        <v>2977</v>
      </c>
      <c r="C320" s="117" t="s">
        <v>2302</v>
      </c>
      <c r="D320" s="117"/>
      <c r="E320" s="117" t="s">
        <v>533</v>
      </c>
      <c r="F320" s="117" t="s">
        <v>2303</v>
      </c>
      <c r="G320" s="117" t="s">
        <v>533</v>
      </c>
      <c r="H320" s="118">
        <v>2.39</v>
      </c>
      <c r="I320" s="117" t="s">
        <v>222</v>
      </c>
      <c r="J320" s="118" t="s">
        <v>257</v>
      </c>
      <c r="K320" s="117">
        <v>3.78E-2</v>
      </c>
      <c r="L320" s="117">
        <v>5.7800000000000004E-2</v>
      </c>
      <c r="M320" s="112">
        <v>74969.899999999994</v>
      </c>
      <c r="N320" s="61">
        <v>95.82</v>
      </c>
      <c r="O320" s="85">
        <v>71.836149999999989</v>
      </c>
      <c r="P320" s="25">
        <v>1.2676085213771959E-3</v>
      </c>
      <c r="Q320" s="25">
        <v>1.34038069622682E-4</v>
      </c>
      <c r="R320" s="15"/>
    </row>
    <row r="321" spans="1:18" x14ac:dyDescent="0.25">
      <c r="A321" s="17" t="s">
        <v>2965</v>
      </c>
      <c r="B321" s="216" t="s">
        <v>2977</v>
      </c>
      <c r="C321" s="117" t="s">
        <v>2713</v>
      </c>
      <c r="D321" s="117"/>
      <c r="E321" s="117" t="s">
        <v>533</v>
      </c>
      <c r="F321" s="117" t="s">
        <v>2714</v>
      </c>
      <c r="G321" s="117" t="s">
        <v>533</v>
      </c>
      <c r="H321" s="118">
        <v>0.69</v>
      </c>
      <c r="I321" s="117" t="s">
        <v>202</v>
      </c>
      <c r="J321" s="118" t="s">
        <v>257</v>
      </c>
      <c r="K321" s="117">
        <v>0.05</v>
      </c>
      <c r="L321" s="117">
        <v>9.8900000000000002E-2</v>
      </c>
      <c r="M321" s="112">
        <v>1790.19</v>
      </c>
      <c r="N321" s="61">
        <v>12340.18</v>
      </c>
      <c r="O321" s="85">
        <v>220.91377</v>
      </c>
      <c r="P321" s="25">
        <v>3.8982069242513968E-3</v>
      </c>
      <c r="Q321" s="25">
        <v>4.1219992001059584E-4</v>
      </c>
      <c r="R321" s="15"/>
    </row>
    <row r="322" spans="1:18" x14ac:dyDescent="0.25">
      <c r="A322" s="17" t="s">
        <v>2965</v>
      </c>
      <c r="B322" s="216" t="s">
        <v>2977</v>
      </c>
      <c r="C322" s="117" t="s">
        <v>2710</v>
      </c>
      <c r="D322" s="117"/>
      <c r="E322" s="117" t="s">
        <v>533</v>
      </c>
      <c r="F322" s="117" t="s">
        <v>2711</v>
      </c>
      <c r="G322" s="117" t="s">
        <v>533</v>
      </c>
      <c r="H322" s="118">
        <v>0</v>
      </c>
      <c r="I322" s="117" t="s">
        <v>202</v>
      </c>
      <c r="J322" s="118" t="s">
        <v>257</v>
      </c>
      <c r="K322" s="117">
        <v>0</v>
      </c>
      <c r="L322" s="117">
        <v>0</v>
      </c>
      <c r="M322" s="112">
        <v>10015.44</v>
      </c>
      <c r="N322" s="61">
        <v>22.357655000000001</v>
      </c>
      <c r="O322" s="85">
        <v>223.92175</v>
      </c>
      <c r="P322" s="25">
        <v>3.9512852292570549E-3</v>
      </c>
      <c r="Q322" s="25">
        <v>4.1781246790832753E-4</v>
      </c>
      <c r="R322" s="15"/>
    </row>
    <row r="323" spans="1:18" x14ac:dyDescent="0.25">
      <c r="A323" s="17" t="s">
        <v>2966</v>
      </c>
      <c r="B323" s="216" t="s">
        <v>2977</v>
      </c>
      <c r="C323" s="117" t="s">
        <v>2406</v>
      </c>
      <c r="D323" s="117"/>
      <c r="E323" s="117" t="s">
        <v>533</v>
      </c>
      <c r="F323" s="117" t="s">
        <v>2407</v>
      </c>
      <c r="G323" s="117" t="s">
        <v>533</v>
      </c>
      <c r="H323" s="118">
        <v>3.33</v>
      </c>
      <c r="I323" s="117" t="s">
        <v>202</v>
      </c>
      <c r="J323" s="118" t="s">
        <v>257</v>
      </c>
      <c r="K323" s="117">
        <v>8.7499999999999994E-2</v>
      </c>
      <c r="L323" s="117">
        <v>0.1041</v>
      </c>
      <c r="M323" s="112">
        <v>78654.103512183938</v>
      </c>
      <c r="N323" s="61">
        <v>91.67</v>
      </c>
      <c r="O323" s="85">
        <v>72.102220000000003</v>
      </c>
      <c r="P323" s="25">
        <v>1.2723035474787178E-3</v>
      </c>
      <c r="Q323" s="25">
        <v>1.3453452592197574E-4</v>
      </c>
      <c r="R323" s="15"/>
    </row>
    <row r="324" spans="1:18" x14ac:dyDescent="0.25">
      <c r="A324" s="17" t="s">
        <v>2966</v>
      </c>
      <c r="B324" s="216" t="s">
        <v>2977</v>
      </c>
      <c r="C324" s="117" t="s">
        <v>2414</v>
      </c>
      <c r="D324" s="117"/>
      <c r="E324" s="117" t="s">
        <v>533</v>
      </c>
      <c r="F324" s="117" t="s">
        <v>1677</v>
      </c>
      <c r="G324" s="117" t="s">
        <v>533</v>
      </c>
      <c r="H324" s="118">
        <v>3.29</v>
      </c>
      <c r="I324" s="117" t="s">
        <v>202</v>
      </c>
      <c r="J324" s="118" t="s">
        <v>257</v>
      </c>
      <c r="K324" s="117">
        <v>8.7499999999999994E-2</v>
      </c>
      <c r="L324" s="117">
        <v>0.12179999999999999</v>
      </c>
      <c r="M324" s="112">
        <v>29685.80566043717</v>
      </c>
      <c r="N324" s="61">
        <v>90.19</v>
      </c>
      <c r="O324" s="85">
        <v>26.773619999999998</v>
      </c>
      <c r="P324" s="25">
        <v>4.7244275841780111E-4</v>
      </c>
      <c r="Q324" s="25">
        <v>4.9956523861749716E-5</v>
      </c>
      <c r="R324" s="15"/>
    </row>
    <row r="325" spans="1:18" x14ac:dyDescent="0.25">
      <c r="A325" s="17" t="s">
        <v>2966</v>
      </c>
      <c r="B325" s="216" t="s">
        <v>2977</v>
      </c>
      <c r="C325" s="117" t="s">
        <v>2428</v>
      </c>
      <c r="D325" s="117"/>
      <c r="E325" s="117" t="s">
        <v>533</v>
      </c>
      <c r="F325" s="117" t="s">
        <v>1018</v>
      </c>
      <c r="G325" s="117" t="s">
        <v>533</v>
      </c>
      <c r="H325" s="118">
        <v>3.51</v>
      </c>
      <c r="I325" s="117" t="s">
        <v>202</v>
      </c>
      <c r="J325" s="118" t="s">
        <v>257</v>
      </c>
      <c r="K325" s="117">
        <v>8.7499999999999994E-2</v>
      </c>
      <c r="L325" s="117">
        <v>9.1700000000000004E-2</v>
      </c>
      <c r="M325" s="112">
        <v>29685.80566043717</v>
      </c>
      <c r="N325" s="61">
        <v>99.98</v>
      </c>
      <c r="O325" s="85">
        <v>29.679869999999998</v>
      </c>
      <c r="P325" s="25">
        <v>5.2372595309419282E-4</v>
      </c>
      <c r="Q325" s="25">
        <v>5.5379255172390941E-5</v>
      </c>
      <c r="R325" s="15"/>
    </row>
    <row r="326" spans="1:18" x14ac:dyDescent="0.25">
      <c r="A326" s="17" t="s">
        <v>2966</v>
      </c>
      <c r="B326" s="216" t="s">
        <v>2977</v>
      </c>
      <c r="C326" s="117" t="s">
        <v>2455</v>
      </c>
      <c r="D326" s="117"/>
      <c r="E326" s="117" t="s">
        <v>533</v>
      </c>
      <c r="F326" s="117" t="s">
        <v>1057</v>
      </c>
      <c r="G326" s="117" t="s">
        <v>533</v>
      </c>
      <c r="H326" s="118">
        <v>3.87</v>
      </c>
      <c r="I326" s="117" t="s">
        <v>202</v>
      </c>
      <c r="J326" s="118" t="s">
        <v>257</v>
      </c>
      <c r="K326" s="117">
        <v>8.7499999999999994E-2</v>
      </c>
      <c r="L326" s="117">
        <v>8.1000000000000003E-2</v>
      </c>
      <c r="M326" s="112">
        <v>8905.7416981311508</v>
      </c>
      <c r="N326" s="61">
        <v>102.06</v>
      </c>
      <c r="O326" s="85">
        <v>9.0891999999999999</v>
      </c>
      <c r="P326" s="25">
        <v>1.6038648191059253E-4</v>
      </c>
      <c r="Q326" s="25">
        <v>1.6959411416320077E-5</v>
      </c>
      <c r="R326" s="15"/>
    </row>
    <row r="327" spans="1:18" x14ac:dyDescent="0.25">
      <c r="A327" s="17" t="s">
        <v>2966</v>
      </c>
      <c r="B327" s="216" t="s">
        <v>2977</v>
      </c>
      <c r="C327" s="117" t="s">
        <v>2457</v>
      </c>
      <c r="D327" s="117"/>
      <c r="E327" s="117" t="s">
        <v>533</v>
      </c>
      <c r="F327" s="117" t="s">
        <v>2458</v>
      </c>
      <c r="G327" s="117" t="s">
        <v>533</v>
      </c>
      <c r="H327" s="118">
        <v>3.83</v>
      </c>
      <c r="I327" s="117" t="s">
        <v>202</v>
      </c>
      <c r="J327" s="118" t="s">
        <v>257</v>
      </c>
      <c r="K327" s="117">
        <v>8.7499999999999994E-2</v>
      </c>
      <c r="L327" s="117">
        <v>8.3599999999999994E-2</v>
      </c>
      <c r="M327" s="112">
        <v>17119.340824296691</v>
      </c>
      <c r="N327" s="61">
        <v>102.06</v>
      </c>
      <c r="O327" s="85">
        <v>17.471990000000002</v>
      </c>
      <c r="P327" s="25">
        <v>3.0830777274975287E-4</v>
      </c>
      <c r="Q327" s="25">
        <v>3.260074227344874E-5</v>
      </c>
      <c r="R327" s="15"/>
    </row>
    <row r="328" spans="1:18" x14ac:dyDescent="0.25">
      <c r="A328" s="17" t="s">
        <v>2966</v>
      </c>
      <c r="B328" s="216" t="s">
        <v>2977</v>
      </c>
      <c r="C328" s="117" t="s">
        <v>2408</v>
      </c>
      <c r="D328" s="117"/>
      <c r="E328" s="117" t="s">
        <v>533</v>
      </c>
      <c r="F328" s="117" t="s">
        <v>2407</v>
      </c>
      <c r="G328" s="117" t="s">
        <v>533</v>
      </c>
      <c r="H328" s="118">
        <v>2.97</v>
      </c>
      <c r="I328" s="117" t="s">
        <v>202</v>
      </c>
      <c r="J328" s="118" t="s">
        <v>257</v>
      </c>
      <c r="K328" s="117">
        <v>0.13349999904632567</v>
      </c>
      <c r="L328" s="117">
        <v>0.1943</v>
      </c>
      <c r="M328" s="112">
        <v>9253.4280446227531</v>
      </c>
      <c r="N328" s="61">
        <v>85.15</v>
      </c>
      <c r="O328" s="85">
        <v>7.8792900000000001</v>
      </c>
      <c r="P328" s="25">
        <v>1.3903661521952565E-4</v>
      </c>
      <c r="Q328" s="25">
        <v>1.470185723479477E-5</v>
      </c>
      <c r="R328" s="15"/>
    </row>
    <row r="329" spans="1:18" x14ac:dyDescent="0.25">
      <c r="A329" s="17" t="s">
        <v>2966</v>
      </c>
      <c r="B329" s="216" t="s">
        <v>2977</v>
      </c>
      <c r="C329" s="117" t="s">
        <v>2415</v>
      </c>
      <c r="D329" s="117"/>
      <c r="E329" s="117" t="s">
        <v>533</v>
      </c>
      <c r="F329" s="117" t="s">
        <v>1677</v>
      </c>
      <c r="G329" s="117" t="s">
        <v>533</v>
      </c>
      <c r="H329" s="118">
        <v>2.97</v>
      </c>
      <c r="I329" s="117" t="s">
        <v>202</v>
      </c>
      <c r="J329" s="118" t="s">
        <v>257</v>
      </c>
      <c r="K329" s="117">
        <v>0.13349999904632567</v>
      </c>
      <c r="L329" s="117">
        <v>0.2104</v>
      </c>
      <c r="M329" s="112">
        <v>3492.4477247573141</v>
      </c>
      <c r="N329" s="61">
        <v>83.83</v>
      </c>
      <c r="O329" s="85">
        <v>2.9277199999999999</v>
      </c>
      <c r="P329" s="25">
        <v>5.1662050655644048E-5</v>
      </c>
      <c r="Q329" s="25">
        <v>5.4627918839709343E-6</v>
      </c>
      <c r="R329" s="15"/>
    </row>
    <row r="330" spans="1:18" x14ac:dyDescent="0.25">
      <c r="A330" s="17" t="s">
        <v>2966</v>
      </c>
      <c r="B330" s="216" t="s">
        <v>2977</v>
      </c>
      <c r="C330" s="117" t="s">
        <v>2429</v>
      </c>
      <c r="D330" s="117"/>
      <c r="E330" s="117" t="s">
        <v>533</v>
      </c>
      <c r="F330" s="117" t="s">
        <v>1018</v>
      </c>
      <c r="G330" s="117" t="s">
        <v>533</v>
      </c>
      <c r="H330" s="118">
        <v>3.16</v>
      </c>
      <c r="I330" s="117" t="s">
        <v>202</v>
      </c>
      <c r="J330" s="118" t="s">
        <v>257</v>
      </c>
      <c r="K330" s="117">
        <v>0.13349999904632567</v>
      </c>
      <c r="L330" s="117">
        <v>0.1555</v>
      </c>
      <c r="M330" s="112">
        <v>3492.4477247573141</v>
      </c>
      <c r="N330" s="61">
        <v>98.35</v>
      </c>
      <c r="O330" s="85">
        <v>3.4348200000000002</v>
      </c>
      <c r="P330" s="25">
        <v>6.0610251264813342E-5</v>
      </c>
      <c r="Q330" s="25">
        <v>6.4089826960573576E-6</v>
      </c>
      <c r="R330" s="15"/>
    </row>
    <row r="331" spans="1:18" x14ac:dyDescent="0.25">
      <c r="A331" s="17" t="s">
        <v>2966</v>
      </c>
      <c r="B331" s="216" t="s">
        <v>2977</v>
      </c>
      <c r="C331" s="117" t="s">
        <v>2456</v>
      </c>
      <c r="D331" s="117"/>
      <c r="E331" s="117" t="s">
        <v>533</v>
      </c>
      <c r="F331" s="117" t="s">
        <v>1057</v>
      </c>
      <c r="G331" s="117" t="s">
        <v>533</v>
      </c>
      <c r="H331" s="118">
        <v>3.51</v>
      </c>
      <c r="I331" s="117" t="s">
        <v>202</v>
      </c>
      <c r="J331" s="118" t="s">
        <v>257</v>
      </c>
      <c r="K331" s="117">
        <v>0.13349999904632567</v>
      </c>
      <c r="L331" s="117">
        <v>0.13400000000000001</v>
      </c>
      <c r="M331" s="112">
        <v>1047.7343174271941</v>
      </c>
      <c r="N331" s="61">
        <v>102.16</v>
      </c>
      <c r="O331" s="85">
        <v>1.07036</v>
      </c>
      <c r="P331" s="25">
        <v>1.8887391055078751E-5</v>
      </c>
      <c r="Q331" s="25">
        <v>1.9971697843124101E-6</v>
      </c>
      <c r="R331" s="15"/>
    </row>
    <row r="332" spans="1:18" x14ac:dyDescent="0.25">
      <c r="A332" s="17" t="s">
        <v>2966</v>
      </c>
      <c r="B332" s="216" t="s">
        <v>2977</v>
      </c>
      <c r="C332" s="117" t="s">
        <v>2459</v>
      </c>
      <c r="D332" s="117"/>
      <c r="E332" s="117" t="s">
        <v>533</v>
      </c>
      <c r="F332" s="117" t="s">
        <v>2458</v>
      </c>
      <c r="G332" s="117" t="s">
        <v>533</v>
      </c>
      <c r="H332" s="118">
        <v>3.45</v>
      </c>
      <c r="I332" s="117" t="s">
        <v>202</v>
      </c>
      <c r="J332" s="118" t="s">
        <v>257</v>
      </c>
      <c r="K332" s="117">
        <v>0.13349999904632567</v>
      </c>
      <c r="L332" s="117">
        <v>0.13880000000000001</v>
      </c>
      <c r="M332" s="112">
        <v>2014.0370349288949</v>
      </c>
      <c r="N332" s="61">
        <v>102.1</v>
      </c>
      <c r="O332" s="85">
        <v>2.05633</v>
      </c>
      <c r="P332" s="25">
        <v>3.6285650480483289E-5</v>
      </c>
      <c r="Q332" s="25">
        <v>3.8368774455091167E-6</v>
      </c>
      <c r="R332" s="15"/>
    </row>
    <row r="333" spans="1:18" x14ac:dyDescent="0.25">
      <c r="A333" s="17" t="s">
        <v>2936</v>
      </c>
      <c r="B333" s="216" t="s">
        <v>2977</v>
      </c>
      <c r="C333" s="117" t="s">
        <v>2313</v>
      </c>
      <c r="D333" s="117"/>
      <c r="E333" s="117" t="s">
        <v>533</v>
      </c>
      <c r="F333" s="117" t="s">
        <v>2314</v>
      </c>
      <c r="G333" s="117" t="s">
        <v>533</v>
      </c>
      <c r="H333" s="118">
        <v>0</v>
      </c>
      <c r="I333" s="117" t="s">
        <v>204</v>
      </c>
      <c r="J333" s="118" t="s">
        <v>257</v>
      </c>
      <c r="K333" s="117">
        <v>6.0000000000000001E-3</v>
      </c>
      <c r="L333" s="117">
        <v>0</v>
      </c>
      <c r="M333" s="112">
        <v>-94.909954715384103</v>
      </c>
      <c r="N333" s="61">
        <v>23.422929</v>
      </c>
      <c r="O333" s="85">
        <v>-2.223E-2</v>
      </c>
      <c r="P333" s="25">
        <v>-3.9226681037632263E-7</v>
      </c>
      <c r="Q333" s="25">
        <v>-4.1478646721911202E-8</v>
      </c>
      <c r="R333" s="15"/>
    </row>
    <row r="334" spans="1:18" x14ac:dyDescent="0.25">
      <c r="A334" s="17" t="s">
        <v>2958</v>
      </c>
      <c r="B334" s="216" t="s">
        <v>2977</v>
      </c>
      <c r="C334" s="117" t="s">
        <v>2681</v>
      </c>
      <c r="D334" s="117"/>
      <c r="E334" s="117" t="s">
        <v>533</v>
      </c>
      <c r="F334" s="117" t="s">
        <v>2682</v>
      </c>
      <c r="G334" s="117" t="s">
        <v>533</v>
      </c>
      <c r="H334" s="118">
        <v>4.26</v>
      </c>
      <c r="I334" s="117" t="s">
        <v>221</v>
      </c>
      <c r="J334" s="118" t="s">
        <v>257</v>
      </c>
      <c r="K334" s="117">
        <v>3.9399999999999998E-2</v>
      </c>
      <c r="L334" s="117">
        <v>4.0500000000000001E-2</v>
      </c>
      <c r="M334" s="112">
        <v>19515.600989463612</v>
      </c>
      <c r="N334" s="61">
        <v>100.57</v>
      </c>
      <c r="O334" s="85">
        <v>19.626840000000001</v>
      </c>
      <c r="P334" s="25">
        <v>3.4633189044383375E-4</v>
      </c>
      <c r="Q334" s="25">
        <v>3.6621446811852261E-5</v>
      </c>
      <c r="R334" s="15"/>
    </row>
    <row r="335" spans="1:18" x14ac:dyDescent="0.25">
      <c r="A335" s="17" t="s">
        <v>2958</v>
      </c>
      <c r="B335" s="216" t="s">
        <v>2977</v>
      </c>
      <c r="C335" s="117" t="s">
        <v>2667</v>
      </c>
      <c r="D335" s="117"/>
      <c r="E335" s="117" t="s">
        <v>533</v>
      </c>
      <c r="F335" s="117" t="s">
        <v>2668</v>
      </c>
      <c r="G335" s="117" t="s">
        <v>533</v>
      </c>
      <c r="H335" s="118">
        <v>4.2699999999999996</v>
      </c>
      <c r="I335" s="117" t="s">
        <v>221</v>
      </c>
      <c r="J335" s="118" t="s">
        <v>257</v>
      </c>
      <c r="K335" s="117">
        <v>3.7400000000000003E-2</v>
      </c>
      <c r="L335" s="117">
        <v>4.0399999999999998E-2</v>
      </c>
      <c r="M335" s="112">
        <v>7256.7865414937814</v>
      </c>
      <c r="N335" s="61">
        <v>102.52</v>
      </c>
      <c r="O335" s="85">
        <v>7.4396599999999999</v>
      </c>
      <c r="P335" s="25">
        <v>1.3127897878921783E-4</v>
      </c>
      <c r="Q335" s="25">
        <v>1.388155775398713E-5</v>
      </c>
      <c r="R335" s="15"/>
    </row>
    <row r="336" spans="1:18" x14ac:dyDescent="0.25">
      <c r="A336" s="17" t="s">
        <v>2958</v>
      </c>
      <c r="B336" s="216" t="s">
        <v>2977</v>
      </c>
      <c r="C336" s="117" t="s">
        <v>2683</v>
      </c>
      <c r="D336" s="117"/>
      <c r="E336" s="117" t="s">
        <v>533</v>
      </c>
      <c r="F336" s="117" t="s">
        <v>1066</v>
      </c>
      <c r="G336" s="117" t="s">
        <v>533</v>
      </c>
      <c r="H336" s="118">
        <v>4.29</v>
      </c>
      <c r="I336" s="117" t="s">
        <v>221</v>
      </c>
      <c r="J336" s="118" t="s">
        <v>257</v>
      </c>
      <c r="K336" s="117">
        <v>4.0300000000000002E-2</v>
      </c>
      <c r="L336" s="117">
        <v>4.0599999999999997E-2</v>
      </c>
      <c r="M336" s="112">
        <v>2693.0363948257527</v>
      </c>
      <c r="N336" s="61">
        <v>99.76</v>
      </c>
      <c r="O336" s="85">
        <v>2.6865700000000001</v>
      </c>
      <c r="P336" s="25">
        <v>4.740675864834535E-5</v>
      </c>
      <c r="Q336" s="25">
        <v>5.0128334648531256E-6</v>
      </c>
      <c r="R336" s="15"/>
    </row>
    <row r="337" spans="1:18" x14ac:dyDescent="0.25">
      <c r="A337" s="17" t="s">
        <v>2967</v>
      </c>
      <c r="B337" s="216" t="s">
        <v>2977</v>
      </c>
      <c r="C337" s="117" t="s">
        <v>2623</v>
      </c>
      <c r="D337" s="117"/>
      <c r="E337" s="117" t="s">
        <v>533</v>
      </c>
      <c r="F337" s="117" t="s">
        <v>2624</v>
      </c>
      <c r="G337" s="117" t="s">
        <v>533</v>
      </c>
      <c r="H337" s="118">
        <v>1.02</v>
      </c>
      <c r="I337" s="117" t="s">
        <v>202</v>
      </c>
      <c r="J337" s="118" t="s">
        <v>257</v>
      </c>
      <c r="K337" s="117">
        <v>3.5000000000000003E-2</v>
      </c>
      <c r="L337" s="117">
        <v>4.0199999999999993E-2</v>
      </c>
      <c r="M337" s="112">
        <v>4110.6093340300349</v>
      </c>
      <c r="N337" s="61">
        <v>109.91</v>
      </c>
      <c r="O337" s="85">
        <v>4.51797</v>
      </c>
      <c r="P337" s="25">
        <v>7.9723332491044282E-5</v>
      </c>
      <c r="Q337" s="25">
        <v>8.430017162851695E-6</v>
      </c>
      <c r="R337" s="15"/>
    </row>
    <row r="338" spans="1:18" x14ac:dyDescent="0.25">
      <c r="A338" s="17" t="s">
        <v>2967</v>
      </c>
      <c r="B338" s="216" t="s">
        <v>2977</v>
      </c>
      <c r="C338" s="117" t="s">
        <v>2685</v>
      </c>
      <c r="D338" s="117"/>
      <c r="E338" s="117" t="s">
        <v>533</v>
      </c>
      <c r="F338" s="117" t="s">
        <v>1077</v>
      </c>
      <c r="G338" s="117" t="s">
        <v>533</v>
      </c>
      <c r="H338" s="118">
        <v>1.05</v>
      </c>
      <c r="I338" s="117" t="s">
        <v>202</v>
      </c>
      <c r="J338" s="118" t="s">
        <v>257</v>
      </c>
      <c r="K338" s="117">
        <v>6.8400000000000002E-2</v>
      </c>
      <c r="L338" s="117">
        <v>0.14449999999999999</v>
      </c>
      <c r="M338" s="112">
        <v>99622.725159745271</v>
      </c>
      <c r="N338" s="61">
        <v>100</v>
      </c>
      <c r="O338" s="85">
        <v>99.62272999999999</v>
      </c>
      <c r="P338" s="25">
        <v>1.7579258001836071E-3</v>
      </c>
      <c r="Q338" s="25">
        <v>1.8588466140991204E-4</v>
      </c>
      <c r="R338" s="15"/>
    </row>
    <row r="339" spans="1:18" x14ac:dyDescent="0.25">
      <c r="A339" s="17" t="s">
        <v>2965</v>
      </c>
      <c r="B339" s="216" t="s">
        <v>2977</v>
      </c>
      <c r="C339" s="117" t="s">
        <v>2712</v>
      </c>
      <c r="D339" s="117"/>
      <c r="E339" s="117" t="s">
        <v>533</v>
      </c>
      <c r="F339" s="117" t="s">
        <v>2711</v>
      </c>
      <c r="G339" s="117" t="s">
        <v>533</v>
      </c>
      <c r="H339" s="118">
        <v>0</v>
      </c>
      <c r="I339" s="117" t="s">
        <v>202</v>
      </c>
      <c r="J339" s="118" t="s">
        <v>257</v>
      </c>
      <c r="K339" s="117">
        <v>0</v>
      </c>
      <c r="L339" s="117">
        <v>0</v>
      </c>
      <c r="M339" s="112">
        <v>-10015.44</v>
      </c>
      <c r="N339" s="61">
        <v>22.475085</v>
      </c>
      <c r="O339" s="85">
        <v>-225.09786</v>
      </c>
      <c r="P339" s="25">
        <v>-3.9720386668797127E-3</v>
      </c>
      <c r="Q339" s="25">
        <v>-4.2000695514162064E-4</v>
      </c>
      <c r="R339" s="15"/>
    </row>
    <row r="340" spans="1:18" x14ac:dyDescent="0.25">
      <c r="A340" s="17" t="s">
        <v>2960</v>
      </c>
      <c r="B340" s="117" t="s">
        <v>2291</v>
      </c>
      <c r="C340" s="117" t="s">
        <v>2460</v>
      </c>
      <c r="D340" s="117"/>
      <c r="E340" s="117" t="s">
        <v>533</v>
      </c>
      <c r="F340" s="117" t="s">
        <v>1470</v>
      </c>
      <c r="G340" s="117" t="s">
        <v>533</v>
      </c>
      <c r="H340" s="118">
        <v>2.25</v>
      </c>
      <c r="I340" s="117" t="s">
        <v>218</v>
      </c>
      <c r="J340" s="118" t="s">
        <v>257</v>
      </c>
      <c r="K340" s="117">
        <v>6.8499999046325685E-2</v>
      </c>
      <c r="L340" s="117">
        <v>6.7299999999999999E-2</v>
      </c>
      <c r="M340" s="112">
        <v>17187.44700237014</v>
      </c>
      <c r="N340" s="61">
        <v>99.95</v>
      </c>
      <c r="O340" s="85">
        <v>17.178849999999997</v>
      </c>
      <c r="P340" s="25">
        <v>3.031350740185915E-4</v>
      </c>
      <c r="Q340" s="25">
        <v>3.2053776438988041E-5</v>
      </c>
      <c r="R340" s="15"/>
    </row>
    <row r="341" spans="1:18" x14ac:dyDescent="0.25">
      <c r="A341" s="17" t="s">
        <v>2965</v>
      </c>
      <c r="B341" s="216" t="s">
        <v>2977</v>
      </c>
      <c r="C341" s="117" t="s">
        <v>2715</v>
      </c>
      <c r="D341" s="117"/>
      <c r="E341" s="117" t="s">
        <v>533</v>
      </c>
      <c r="F341" s="117" t="s">
        <v>2716</v>
      </c>
      <c r="G341" s="117" t="s">
        <v>533</v>
      </c>
      <c r="H341" s="118">
        <v>1.81</v>
      </c>
      <c r="I341" s="117" t="s">
        <v>202</v>
      </c>
      <c r="J341" s="118" t="s">
        <v>257</v>
      </c>
      <c r="K341" s="117">
        <v>0</v>
      </c>
      <c r="L341" s="117">
        <v>0</v>
      </c>
      <c r="M341" s="112">
        <v>-8162.93</v>
      </c>
      <c r="N341" s="61">
        <v>16.088113</v>
      </c>
      <c r="O341" s="85">
        <v>-131.32614000000001</v>
      </c>
      <c r="P341" s="25">
        <v>-2.3173587969786058E-3</v>
      </c>
      <c r="Q341" s="25">
        <v>-2.4503961162448279E-4</v>
      </c>
      <c r="R341" s="15"/>
    </row>
    <row r="342" spans="1:18" x14ac:dyDescent="0.25">
      <c r="A342" s="17" t="s">
        <v>2968</v>
      </c>
      <c r="B342" s="117" t="s">
        <v>2291</v>
      </c>
      <c r="C342" s="117" t="s">
        <v>2545</v>
      </c>
      <c r="D342" s="117"/>
      <c r="E342" s="117" t="s">
        <v>2509</v>
      </c>
      <c r="F342" s="117" t="s">
        <v>2510</v>
      </c>
      <c r="G342" s="117" t="s">
        <v>529</v>
      </c>
      <c r="H342" s="118">
        <v>5.67</v>
      </c>
      <c r="I342" s="117" t="s">
        <v>211</v>
      </c>
      <c r="J342" s="118" t="s">
        <v>257</v>
      </c>
      <c r="K342" s="117">
        <v>4.4999999999999998E-2</v>
      </c>
      <c r="L342" s="117">
        <v>8.7300000000000003E-2</v>
      </c>
      <c r="M342" s="112">
        <v>354939.19</v>
      </c>
      <c r="N342" s="61">
        <v>89.61</v>
      </c>
      <c r="O342" s="85">
        <v>318.06099999999998</v>
      </c>
      <c r="P342" s="25">
        <v>5.6124504712147345E-3</v>
      </c>
      <c r="Q342" s="25">
        <v>5.9346558052261798E-4</v>
      </c>
      <c r="R342" s="15"/>
    </row>
    <row r="343" spans="1:18" x14ac:dyDescent="0.25">
      <c r="A343" s="17" t="s">
        <v>2969</v>
      </c>
      <c r="B343" s="117" t="s">
        <v>2291</v>
      </c>
      <c r="C343" s="117" t="s">
        <v>2608</v>
      </c>
      <c r="D343" s="117"/>
      <c r="E343" s="117" t="s">
        <v>2509</v>
      </c>
      <c r="F343" s="117" t="s">
        <v>2609</v>
      </c>
      <c r="G343" s="117" t="s">
        <v>529</v>
      </c>
      <c r="H343" s="118">
        <v>5.67</v>
      </c>
      <c r="I343" s="117" t="s">
        <v>211</v>
      </c>
      <c r="J343" s="118" t="s">
        <v>257</v>
      </c>
      <c r="K343" s="117">
        <v>4.4999999999999998E-2</v>
      </c>
      <c r="L343" s="117">
        <v>8.7300000000000003E-2</v>
      </c>
      <c r="M343" s="112">
        <v>92074.27</v>
      </c>
      <c r="N343" s="61">
        <v>88.1</v>
      </c>
      <c r="O343" s="85">
        <v>81.117429999999999</v>
      </c>
      <c r="P343" s="25">
        <v>1.4313844143960693E-3</v>
      </c>
      <c r="Q343" s="25">
        <v>1.5135588043002076E-4</v>
      </c>
      <c r="R343" s="15"/>
    </row>
    <row r="344" spans="1:18" x14ac:dyDescent="0.25">
      <c r="A344" s="17" t="s">
        <v>2968</v>
      </c>
      <c r="B344" s="117" t="s">
        <v>2291</v>
      </c>
      <c r="C344" s="117" t="s">
        <v>2595</v>
      </c>
      <c r="D344" s="117"/>
      <c r="E344" s="117" t="s">
        <v>2509</v>
      </c>
      <c r="F344" s="117" t="s">
        <v>2596</v>
      </c>
      <c r="G344" s="117" t="s">
        <v>529</v>
      </c>
      <c r="H344" s="118">
        <v>5.67</v>
      </c>
      <c r="I344" s="117" t="s">
        <v>211</v>
      </c>
      <c r="J344" s="118" t="s">
        <v>257</v>
      </c>
      <c r="K344" s="117">
        <v>4.4999999999999998E-2</v>
      </c>
      <c r="L344" s="117">
        <v>8.7300000000000003E-2</v>
      </c>
      <c r="M344" s="112">
        <v>648605.65</v>
      </c>
      <c r="N344" s="61">
        <v>89.52</v>
      </c>
      <c r="O344" s="85">
        <v>580.63177000000007</v>
      </c>
      <c r="P344" s="25">
        <v>1.0245729753533899E-2</v>
      </c>
      <c r="Q344" s="25">
        <v>1.0833927154002701E-3</v>
      </c>
      <c r="R344" s="15"/>
    </row>
    <row r="345" spans="1:18" x14ac:dyDescent="0.25">
      <c r="A345" s="17" t="s">
        <v>2968</v>
      </c>
      <c r="B345" s="117" t="s">
        <v>2291</v>
      </c>
      <c r="C345" s="117" t="s">
        <v>2606</v>
      </c>
      <c r="D345" s="117"/>
      <c r="E345" s="117" t="s">
        <v>2509</v>
      </c>
      <c r="F345" s="117" t="s">
        <v>2607</v>
      </c>
      <c r="G345" s="117" t="s">
        <v>529</v>
      </c>
      <c r="H345" s="118">
        <v>5.67</v>
      </c>
      <c r="I345" s="117" t="s">
        <v>211</v>
      </c>
      <c r="J345" s="118" t="s">
        <v>257</v>
      </c>
      <c r="K345" s="117">
        <v>4.4999999999999998E-2</v>
      </c>
      <c r="L345" s="117">
        <v>8.7300000000000003E-2</v>
      </c>
      <c r="M345" s="112">
        <v>35586.14</v>
      </c>
      <c r="N345" s="61">
        <v>89.42</v>
      </c>
      <c r="O345" s="85">
        <v>31.821120000000001</v>
      </c>
      <c r="P345" s="25">
        <v>5.6151008749447627E-4</v>
      </c>
      <c r="Q345" s="25">
        <v>5.937458366061822E-5</v>
      </c>
      <c r="R345" s="15"/>
    </row>
    <row r="346" spans="1:18" x14ac:dyDescent="0.25">
      <c r="A346" s="17" t="s">
        <v>2968</v>
      </c>
      <c r="B346" s="117" t="s">
        <v>2291</v>
      </c>
      <c r="C346" s="117" t="s">
        <v>2539</v>
      </c>
      <c r="D346" s="117"/>
      <c r="E346" s="117" t="s">
        <v>2509</v>
      </c>
      <c r="F346" s="117" t="s">
        <v>2510</v>
      </c>
      <c r="G346" s="117" t="s">
        <v>529</v>
      </c>
      <c r="H346" s="118">
        <v>5.67</v>
      </c>
      <c r="I346" s="117" t="s">
        <v>211</v>
      </c>
      <c r="J346" s="118" t="s">
        <v>257</v>
      </c>
      <c r="K346" s="117">
        <v>4.4999999999999998E-2</v>
      </c>
      <c r="L346" s="117">
        <v>8.7300000000000003E-2</v>
      </c>
      <c r="M346" s="112">
        <v>345158.82</v>
      </c>
      <c r="N346" s="61">
        <v>88.89</v>
      </c>
      <c r="O346" s="85">
        <v>306.81166999999999</v>
      </c>
      <c r="P346" s="25">
        <v>5.4139467016254099E-3</v>
      </c>
      <c r="Q346" s="25">
        <v>5.7247561268959071E-4</v>
      </c>
      <c r="R346" s="15"/>
    </row>
    <row r="347" spans="1:18" x14ac:dyDescent="0.25">
      <c r="A347" s="17" t="s">
        <v>2968</v>
      </c>
      <c r="B347" s="117" t="s">
        <v>2291</v>
      </c>
      <c r="C347" s="117" t="s">
        <v>2508</v>
      </c>
      <c r="D347" s="117"/>
      <c r="E347" s="117" t="s">
        <v>2509</v>
      </c>
      <c r="F347" s="117" t="s">
        <v>2510</v>
      </c>
      <c r="G347" s="117" t="s">
        <v>529</v>
      </c>
      <c r="H347" s="118">
        <v>5.67</v>
      </c>
      <c r="I347" s="117" t="s">
        <v>211</v>
      </c>
      <c r="J347" s="118" t="s">
        <v>257</v>
      </c>
      <c r="K347" s="117">
        <v>4.4999999999999998E-2</v>
      </c>
      <c r="L347" s="117">
        <v>8.7300000000000003E-2</v>
      </c>
      <c r="M347" s="112">
        <v>478972.8</v>
      </c>
      <c r="N347" s="61">
        <v>88.35</v>
      </c>
      <c r="O347" s="85">
        <v>423.17246</v>
      </c>
      <c r="P347" s="25">
        <v>7.4672294702340077E-3</v>
      </c>
      <c r="Q347" s="25">
        <v>7.895915866298741E-4</v>
      </c>
      <c r="R347" s="15"/>
    </row>
    <row r="348" spans="1:18" x14ac:dyDescent="0.25">
      <c r="A348" s="17" t="s">
        <v>2968</v>
      </c>
      <c r="B348" s="117" t="s">
        <v>2291</v>
      </c>
      <c r="C348" s="117" t="s">
        <v>2540</v>
      </c>
      <c r="D348" s="117"/>
      <c r="E348" s="117" t="s">
        <v>2509</v>
      </c>
      <c r="F348" s="117" t="s">
        <v>2510</v>
      </c>
      <c r="G348" s="117" t="s">
        <v>529</v>
      </c>
      <c r="H348" s="118">
        <v>5.67</v>
      </c>
      <c r="I348" s="117" t="s">
        <v>211</v>
      </c>
      <c r="J348" s="118" t="s">
        <v>257</v>
      </c>
      <c r="K348" s="117">
        <v>4.4999999999999998E-2</v>
      </c>
      <c r="L348" s="117">
        <v>8.7300000000000003E-2</v>
      </c>
      <c r="M348" s="112">
        <v>324756.53000000003</v>
      </c>
      <c r="N348" s="61">
        <v>88.89</v>
      </c>
      <c r="O348" s="85">
        <v>288.67606999999998</v>
      </c>
      <c r="P348" s="25">
        <v>5.0939289793464704E-3</v>
      </c>
      <c r="Q348" s="25">
        <v>5.3863664977956403E-4</v>
      </c>
      <c r="R348" s="15"/>
    </row>
    <row r="349" spans="1:18" x14ac:dyDescent="0.25">
      <c r="A349" s="17" t="s">
        <v>2968</v>
      </c>
      <c r="B349" s="117" t="s">
        <v>2291</v>
      </c>
      <c r="C349" s="117" t="s">
        <v>2546</v>
      </c>
      <c r="D349" s="117"/>
      <c r="E349" s="117" t="s">
        <v>2509</v>
      </c>
      <c r="F349" s="117" t="s">
        <v>2510</v>
      </c>
      <c r="G349" s="117" t="s">
        <v>529</v>
      </c>
      <c r="H349" s="118">
        <v>5.69</v>
      </c>
      <c r="I349" s="117" t="s">
        <v>211</v>
      </c>
      <c r="J349" s="118" t="s">
        <v>257</v>
      </c>
      <c r="K349" s="117">
        <v>4.4999999999999998E-2</v>
      </c>
      <c r="L349" s="117">
        <v>8.6099999999999996E-2</v>
      </c>
      <c r="M349" s="112">
        <v>249659.86</v>
      </c>
      <c r="N349" s="61">
        <v>89.99</v>
      </c>
      <c r="O349" s="85">
        <v>224.66890000000001</v>
      </c>
      <c r="P349" s="25">
        <v>3.9644693114600539E-3</v>
      </c>
      <c r="Q349" s="25">
        <v>4.1920656466488515E-4</v>
      </c>
      <c r="R349" s="15"/>
    </row>
    <row r="350" spans="1:18" x14ac:dyDescent="0.25">
      <c r="A350" s="17" t="s">
        <v>2968</v>
      </c>
      <c r="B350" s="117" t="s">
        <v>2291</v>
      </c>
      <c r="C350" s="117" t="s">
        <v>2597</v>
      </c>
      <c r="D350" s="117"/>
      <c r="E350" s="117" t="s">
        <v>2509</v>
      </c>
      <c r="F350" s="117" t="s">
        <v>655</v>
      </c>
      <c r="G350" s="117" t="s">
        <v>529</v>
      </c>
      <c r="H350" s="118">
        <v>5.67</v>
      </c>
      <c r="I350" s="117" t="s">
        <v>211</v>
      </c>
      <c r="J350" s="118" t="s">
        <v>257</v>
      </c>
      <c r="K350" s="117">
        <v>4.4999999999999998E-2</v>
      </c>
      <c r="L350" s="117">
        <v>8.7300000000000003E-2</v>
      </c>
      <c r="M350" s="112">
        <v>121985.79</v>
      </c>
      <c r="N350" s="61">
        <v>89.07</v>
      </c>
      <c r="O350" s="85">
        <v>108.65274000000001</v>
      </c>
      <c r="P350" s="25">
        <v>1.917267825391268E-3</v>
      </c>
      <c r="Q350" s="25">
        <v>2.0273363103138421E-4</v>
      </c>
      <c r="R350" s="15"/>
    </row>
    <row r="351" spans="1:18" x14ac:dyDescent="0.25">
      <c r="A351" s="17" t="s">
        <v>2968</v>
      </c>
      <c r="B351" s="117" t="s">
        <v>2291</v>
      </c>
      <c r="C351" s="117" t="s">
        <v>2549</v>
      </c>
      <c r="D351" s="117"/>
      <c r="E351" s="117" t="s">
        <v>2509</v>
      </c>
      <c r="F351" s="117" t="s">
        <v>2510</v>
      </c>
      <c r="G351" s="117" t="s">
        <v>529</v>
      </c>
      <c r="H351" s="118">
        <v>5.67</v>
      </c>
      <c r="I351" s="117" t="s">
        <v>211</v>
      </c>
      <c r="J351" s="118" t="s">
        <v>257</v>
      </c>
      <c r="K351" s="117">
        <v>4.4999999999999998E-2</v>
      </c>
      <c r="L351" s="117">
        <v>8.7300000000000003E-2</v>
      </c>
      <c r="M351" s="112">
        <v>326473.58</v>
      </c>
      <c r="N351" s="61">
        <v>88.8</v>
      </c>
      <c r="O351" s="85">
        <v>289.90853000000004</v>
      </c>
      <c r="P351" s="25">
        <v>5.1156767595136503E-3</v>
      </c>
      <c r="Q351" s="25">
        <v>5.4093627969134495E-4</v>
      </c>
      <c r="R351" s="15"/>
    </row>
    <row r="352" spans="1:18" x14ac:dyDescent="0.25">
      <c r="A352" s="17" t="s">
        <v>2968</v>
      </c>
      <c r="B352" s="117" t="s">
        <v>2291</v>
      </c>
      <c r="C352" s="117" t="s">
        <v>2610</v>
      </c>
      <c r="D352" s="117"/>
      <c r="E352" s="117" t="s">
        <v>2509</v>
      </c>
      <c r="F352" s="117" t="s">
        <v>2611</v>
      </c>
      <c r="G352" s="117" t="s">
        <v>529</v>
      </c>
      <c r="H352" s="118">
        <v>5.67</v>
      </c>
      <c r="I352" s="117" t="s">
        <v>211</v>
      </c>
      <c r="J352" s="118" t="s">
        <v>257</v>
      </c>
      <c r="K352" s="117">
        <v>4.4999999999999998E-2</v>
      </c>
      <c r="L352" s="117">
        <v>8.7300000000000003E-2</v>
      </c>
      <c r="M352" s="112">
        <v>89277.15</v>
      </c>
      <c r="N352" s="61">
        <v>89.42</v>
      </c>
      <c r="O352" s="85">
        <v>79.831620000000001</v>
      </c>
      <c r="P352" s="25">
        <v>1.4086952291756474E-3</v>
      </c>
      <c r="Q352" s="25">
        <v>1.4895670549787949E-4</v>
      </c>
      <c r="R352" s="15"/>
    </row>
    <row r="353" spans="1:18" x14ac:dyDescent="0.25">
      <c r="A353" s="17" t="s">
        <v>2968</v>
      </c>
      <c r="B353" s="117" t="s">
        <v>2291</v>
      </c>
      <c r="C353" s="117" t="s">
        <v>2515</v>
      </c>
      <c r="D353" s="117"/>
      <c r="E353" s="117" t="s">
        <v>2509</v>
      </c>
      <c r="F353" s="117" t="s">
        <v>2510</v>
      </c>
      <c r="G353" s="117" t="s">
        <v>529</v>
      </c>
      <c r="H353" s="118">
        <v>5.67</v>
      </c>
      <c r="I353" s="117" t="s">
        <v>211</v>
      </c>
      <c r="J353" s="118" t="s">
        <v>257</v>
      </c>
      <c r="K353" s="117">
        <v>4.4999999999999998E-2</v>
      </c>
      <c r="L353" s="117">
        <v>8.7300000000000003E-2</v>
      </c>
      <c r="M353" s="112">
        <v>93969.65</v>
      </c>
      <c r="N353" s="61">
        <v>88.01</v>
      </c>
      <c r="O353" s="85">
        <v>82.702679999999987</v>
      </c>
      <c r="P353" s="25">
        <v>1.4593574670793382E-3</v>
      </c>
      <c r="Q353" s="25">
        <v>1.5431377627868966E-4</v>
      </c>
      <c r="R353" s="15"/>
    </row>
    <row r="354" spans="1:18" x14ac:dyDescent="0.25">
      <c r="A354" s="17" t="s">
        <v>2968</v>
      </c>
      <c r="B354" s="117" t="s">
        <v>2291</v>
      </c>
      <c r="C354" s="117" t="s">
        <v>2541</v>
      </c>
      <c r="D354" s="117"/>
      <c r="E354" s="117" t="s">
        <v>2509</v>
      </c>
      <c r="F354" s="117" t="s">
        <v>2510</v>
      </c>
      <c r="G354" s="117" t="s">
        <v>529</v>
      </c>
      <c r="H354" s="118">
        <v>5.67</v>
      </c>
      <c r="I354" s="117" t="s">
        <v>211</v>
      </c>
      <c r="J354" s="118" t="s">
        <v>257</v>
      </c>
      <c r="K354" s="117">
        <v>4.4999999999999998E-2</v>
      </c>
      <c r="L354" s="117">
        <v>8.7300000000000003E-2</v>
      </c>
      <c r="M354" s="112">
        <v>172576.58</v>
      </c>
      <c r="N354" s="61">
        <v>88.26</v>
      </c>
      <c r="O354" s="85">
        <v>152.31608</v>
      </c>
      <c r="P354" s="25">
        <v>2.6877437188765085E-3</v>
      </c>
      <c r="Q354" s="25">
        <v>2.8420444770069117E-4</v>
      </c>
      <c r="R354" s="15"/>
    </row>
    <row r="355" spans="1:18" x14ac:dyDescent="0.25">
      <c r="A355" s="17" t="s">
        <v>2968</v>
      </c>
      <c r="B355" s="117" t="s">
        <v>2291</v>
      </c>
      <c r="C355" s="117" t="s">
        <v>2550</v>
      </c>
      <c r="D355" s="117"/>
      <c r="E355" s="117" t="s">
        <v>2509</v>
      </c>
      <c r="F355" s="117" t="s">
        <v>2510</v>
      </c>
      <c r="G355" s="117" t="s">
        <v>529</v>
      </c>
      <c r="H355" s="118">
        <v>5.67</v>
      </c>
      <c r="I355" s="117" t="s">
        <v>211</v>
      </c>
      <c r="J355" s="118" t="s">
        <v>257</v>
      </c>
      <c r="K355" s="117">
        <v>4.4999999999999998E-2</v>
      </c>
      <c r="L355" s="117">
        <v>8.7300000000000003E-2</v>
      </c>
      <c r="M355" s="112">
        <v>133772.03</v>
      </c>
      <c r="N355" s="61">
        <v>88.8</v>
      </c>
      <c r="O355" s="85">
        <v>118.78955999999999</v>
      </c>
      <c r="P355" s="25">
        <v>2.0961404321730454E-3</v>
      </c>
      <c r="Q355" s="25">
        <v>2.2164778198341314E-4</v>
      </c>
      <c r="R355" s="15"/>
    </row>
    <row r="356" spans="1:18" x14ac:dyDescent="0.25">
      <c r="A356" s="17" t="s">
        <v>2968</v>
      </c>
      <c r="B356" s="117" t="s">
        <v>2291</v>
      </c>
      <c r="C356" s="117" t="s">
        <v>2602</v>
      </c>
      <c r="D356" s="117"/>
      <c r="E356" s="117" t="s">
        <v>2509</v>
      </c>
      <c r="F356" s="117" t="s">
        <v>2603</v>
      </c>
      <c r="G356" s="117" t="s">
        <v>529</v>
      </c>
      <c r="H356" s="118">
        <v>5.67</v>
      </c>
      <c r="I356" s="117" t="s">
        <v>211</v>
      </c>
      <c r="J356" s="118" t="s">
        <v>257</v>
      </c>
      <c r="K356" s="117">
        <v>4.4999999999999998E-2</v>
      </c>
      <c r="L356" s="117">
        <v>8.7300000000000003E-2</v>
      </c>
      <c r="M356" s="112">
        <v>153717.44</v>
      </c>
      <c r="N356" s="61">
        <v>89.42</v>
      </c>
      <c r="O356" s="85">
        <v>137.45412999999999</v>
      </c>
      <c r="P356" s="25">
        <v>2.4254922693725776E-3</v>
      </c>
      <c r="Q356" s="25">
        <v>2.5647374263327287E-4</v>
      </c>
      <c r="R356" s="15"/>
    </row>
    <row r="357" spans="1:18" x14ac:dyDescent="0.25">
      <c r="A357" s="17" t="s">
        <v>2968</v>
      </c>
      <c r="B357" s="117" t="s">
        <v>2291</v>
      </c>
      <c r="C357" s="117" t="s">
        <v>2544</v>
      </c>
      <c r="D357" s="117"/>
      <c r="E357" s="117" t="s">
        <v>2509</v>
      </c>
      <c r="F357" s="117" t="s">
        <v>2510</v>
      </c>
      <c r="G357" s="117" t="s">
        <v>529</v>
      </c>
      <c r="H357" s="118">
        <v>5.67</v>
      </c>
      <c r="I357" s="117" t="s">
        <v>211</v>
      </c>
      <c r="J357" s="118" t="s">
        <v>257</v>
      </c>
      <c r="K357" s="117">
        <v>4.4999999999999998E-2</v>
      </c>
      <c r="L357" s="117">
        <v>8.7300000000000003E-2</v>
      </c>
      <c r="M357" s="112">
        <v>298849.93</v>
      </c>
      <c r="N357" s="61">
        <v>88.71</v>
      </c>
      <c r="O357" s="85">
        <v>265.10977000000003</v>
      </c>
      <c r="P357" s="25">
        <v>4.678082045771503E-3</v>
      </c>
      <c r="Q357" s="25">
        <v>4.9466461953923233E-4</v>
      </c>
      <c r="R357" s="15"/>
    </row>
    <row r="358" spans="1:18" x14ac:dyDescent="0.25">
      <c r="A358" s="17" t="s">
        <v>2968</v>
      </c>
      <c r="B358" s="117" t="s">
        <v>2291</v>
      </c>
      <c r="C358" s="117" t="s">
        <v>2591</v>
      </c>
      <c r="D358" s="117"/>
      <c r="E358" s="117" t="s">
        <v>2509</v>
      </c>
      <c r="F358" s="117" t="s">
        <v>2510</v>
      </c>
      <c r="G358" s="117" t="s">
        <v>529</v>
      </c>
      <c r="H358" s="118">
        <v>5.67</v>
      </c>
      <c r="I358" s="117" t="s">
        <v>211</v>
      </c>
      <c r="J358" s="118" t="s">
        <v>257</v>
      </c>
      <c r="K358" s="117">
        <v>4.4999999999999998E-2</v>
      </c>
      <c r="L358" s="117">
        <v>8.7300000000000003E-2</v>
      </c>
      <c r="M358" s="112">
        <v>101206.12</v>
      </c>
      <c r="N358" s="61">
        <v>88.98</v>
      </c>
      <c r="O358" s="85">
        <v>90.053200000000004</v>
      </c>
      <c r="P358" s="25">
        <v>1.589063496544357E-3</v>
      </c>
      <c r="Q358" s="25">
        <v>1.6802900895085984E-4</v>
      </c>
      <c r="R358" s="15"/>
    </row>
    <row r="359" spans="1:18" x14ac:dyDescent="0.25">
      <c r="A359" s="17" t="s">
        <v>2968</v>
      </c>
      <c r="B359" s="117" t="s">
        <v>2291</v>
      </c>
      <c r="C359" s="117" t="s">
        <v>2604</v>
      </c>
      <c r="D359" s="117"/>
      <c r="E359" s="117" t="s">
        <v>2509</v>
      </c>
      <c r="F359" s="117" t="s">
        <v>2605</v>
      </c>
      <c r="G359" s="117" t="s">
        <v>529</v>
      </c>
      <c r="H359" s="118">
        <v>5.67</v>
      </c>
      <c r="I359" s="117" t="s">
        <v>211</v>
      </c>
      <c r="J359" s="118" t="s">
        <v>257</v>
      </c>
      <c r="K359" s="117">
        <v>4.4999999999999998E-2</v>
      </c>
      <c r="L359" s="117">
        <v>8.7300000000000003E-2</v>
      </c>
      <c r="M359" s="112">
        <v>47626.98</v>
      </c>
      <c r="N359" s="61">
        <v>88.81</v>
      </c>
      <c r="O359" s="85">
        <v>42.297519999999999</v>
      </c>
      <c r="P359" s="25">
        <v>7.463748653724117E-4</v>
      </c>
      <c r="Q359" s="25">
        <v>7.8922352194915594E-5</v>
      </c>
      <c r="R359" s="15"/>
    </row>
    <row r="360" spans="1:18" s="119" customFormat="1" x14ac:dyDescent="0.25">
      <c r="A360" s="93" t="s">
        <v>2749</v>
      </c>
      <c r="B360" s="131" t="s">
        <v>251</v>
      </c>
      <c r="C360" s="131" t="s">
        <v>251</v>
      </c>
      <c r="D360" s="131"/>
      <c r="E360" s="131" t="s">
        <v>251</v>
      </c>
      <c r="F360" s="131" t="s">
        <v>251</v>
      </c>
      <c r="G360" s="131" t="s">
        <v>251</v>
      </c>
      <c r="H360" s="132" t="s">
        <v>251</v>
      </c>
      <c r="I360" s="131" t="s">
        <v>251</v>
      </c>
      <c r="J360" s="132" t="s">
        <v>251</v>
      </c>
      <c r="K360" s="131" t="s">
        <v>251</v>
      </c>
      <c r="L360" s="131" t="s">
        <v>251</v>
      </c>
      <c r="M360" s="161" t="s">
        <v>251</v>
      </c>
      <c r="N360" s="136" t="s">
        <v>251</v>
      </c>
      <c r="O360" s="124">
        <v>0</v>
      </c>
      <c r="P360" s="137">
        <v>0</v>
      </c>
      <c r="Q360" s="137">
        <v>0</v>
      </c>
      <c r="R360" s="15"/>
    </row>
    <row r="361" spans="1:18" s="119" customFormat="1" x14ac:dyDescent="0.25">
      <c r="A361" s="93" t="s">
        <v>2750</v>
      </c>
      <c r="B361" s="131" t="s">
        <v>251</v>
      </c>
      <c r="C361" s="131" t="s">
        <v>251</v>
      </c>
      <c r="D361" s="131"/>
      <c r="E361" s="131" t="s">
        <v>251</v>
      </c>
      <c r="F361" s="131" t="s">
        <v>251</v>
      </c>
      <c r="G361" s="131" t="s">
        <v>251</v>
      </c>
      <c r="H361" s="132" t="s">
        <v>251</v>
      </c>
      <c r="I361" s="131" t="s">
        <v>251</v>
      </c>
      <c r="J361" s="132" t="s">
        <v>251</v>
      </c>
      <c r="K361" s="131" t="s">
        <v>251</v>
      </c>
      <c r="L361" s="131" t="s">
        <v>251</v>
      </c>
      <c r="M361" s="161">
        <v>0</v>
      </c>
      <c r="N361" s="136" t="s">
        <v>251</v>
      </c>
      <c r="O361" s="124">
        <v>0</v>
      </c>
      <c r="P361" s="137">
        <v>0</v>
      </c>
      <c r="Q361" s="137">
        <v>0</v>
      </c>
      <c r="R361" s="15"/>
    </row>
    <row r="362" spans="1:18" s="119" customFormat="1" x14ac:dyDescent="0.25">
      <c r="A362" s="93" t="s">
        <v>2751</v>
      </c>
      <c r="B362" s="131" t="s">
        <v>251</v>
      </c>
      <c r="C362" s="131" t="s">
        <v>251</v>
      </c>
      <c r="D362" s="131"/>
      <c r="E362" s="131" t="s">
        <v>251</v>
      </c>
      <c r="F362" s="131" t="s">
        <v>251</v>
      </c>
      <c r="G362" s="131" t="s">
        <v>251</v>
      </c>
      <c r="H362" s="132" t="s">
        <v>251</v>
      </c>
      <c r="I362" s="131" t="s">
        <v>251</v>
      </c>
      <c r="J362" s="132" t="s">
        <v>251</v>
      </c>
      <c r="K362" s="131" t="s">
        <v>251</v>
      </c>
      <c r="L362" s="131" t="s">
        <v>251</v>
      </c>
      <c r="M362" s="161" t="s">
        <v>251</v>
      </c>
      <c r="N362" s="136" t="s">
        <v>251</v>
      </c>
      <c r="O362" s="124">
        <v>0</v>
      </c>
      <c r="P362" s="137">
        <v>0</v>
      </c>
      <c r="Q362" s="137">
        <v>0</v>
      </c>
      <c r="R362" s="15"/>
    </row>
    <row r="363" spans="1:18" s="119" customFormat="1" x14ac:dyDescent="0.25">
      <c r="A363" s="93" t="s">
        <v>2752</v>
      </c>
      <c r="B363" s="131" t="s">
        <v>251</v>
      </c>
      <c r="C363" s="131" t="s">
        <v>251</v>
      </c>
      <c r="D363" s="131"/>
      <c r="E363" s="131" t="s">
        <v>251</v>
      </c>
      <c r="F363" s="131" t="s">
        <v>251</v>
      </c>
      <c r="G363" s="131" t="s">
        <v>251</v>
      </c>
      <c r="H363" s="132" t="s">
        <v>251</v>
      </c>
      <c r="I363" s="131" t="s">
        <v>251</v>
      </c>
      <c r="J363" s="132" t="s">
        <v>251</v>
      </c>
      <c r="K363" s="131" t="s">
        <v>251</v>
      </c>
      <c r="L363" s="131" t="s">
        <v>251</v>
      </c>
      <c r="M363" s="161" t="s">
        <v>251</v>
      </c>
      <c r="N363" s="136" t="s">
        <v>251</v>
      </c>
      <c r="O363" s="124">
        <v>0</v>
      </c>
      <c r="P363" s="137">
        <v>0</v>
      </c>
      <c r="Q363" s="137">
        <v>0</v>
      </c>
      <c r="R363" s="15"/>
    </row>
    <row r="364" spans="1:18" s="119" customFormat="1" x14ac:dyDescent="0.25">
      <c r="A364" s="93" t="s">
        <v>2753</v>
      </c>
      <c r="B364" s="131" t="s">
        <v>251</v>
      </c>
      <c r="C364" s="131" t="s">
        <v>251</v>
      </c>
      <c r="D364" s="131"/>
      <c r="E364" s="131" t="s">
        <v>251</v>
      </c>
      <c r="F364" s="131" t="s">
        <v>251</v>
      </c>
      <c r="G364" s="131" t="s">
        <v>251</v>
      </c>
      <c r="H364" s="132" t="s">
        <v>251</v>
      </c>
      <c r="I364" s="131" t="s">
        <v>251</v>
      </c>
      <c r="J364" s="132" t="s">
        <v>251</v>
      </c>
      <c r="K364" s="131" t="s">
        <v>251</v>
      </c>
      <c r="L364" s="131" t="s">
        <v>251</v>
      </c>
      <c r="M364" s="161" t="s">
        <v>251</v>
      </c>
      <c r="N364" s="136" t="s">
        <v>251</v>
      </c>
      <c r="O364" s="124">
        <v>0</v>
      </c>
      <c r="P364" s="137">
        <v>0</v>
      </c>
      <c r="Q364" s="137">
        <v>0</v>
      </c>
      <c r="R364" s="15"/>
    </row>
    <row r="365" spans="1:18" s="119" customFormat="1" x14ac:dyDescent="0.25">
      <c r="A365" s="93" t="s">
        <v>2754</v>
      </c>
      <c r="B365" s="131" t="s">
        <v>251</v>
      </c>
      <c r="C365" s="131" t="s">
        <v>251</v>
      </c>
      <c r="D365" s="131"/>
      <c r="E365" s="131" t="s">
        <v>251</v>
      </c>
      <c r="F365" s="131" t="s">
        <v>251</v>
      </c>
      <c r="G365" s="131" t="s">
        <v>251</v>
      </c>
      <c r="H365" s="132" t="s">
        <v>251</v>
      </c>
      <c r="I365" s="131" t="s">
        <v>251</v>
      </c>
      <c r="J365" s="132" t="s">
        <v>251</v>
      </c>
      <c r="K365" s="131" t="s">
        <v>251</v>
      </c>
      <c r="L365" s="131" t="s">
        <v>251</v>
      </c>
      <c r="M365" s="161" t="s">
        <v>251</v>
      </c>
      <c r="N365" s="136" t="s">
        <v>251</v>
      </c>
      <c r="O365" s="124">
        <v>0</v>
      </c>
      <c r="P365" s="137">
        <v>0</v>
      </c>
      <c r="Q365" s="137">
        <v>0</v>
      </c>
      <c r="R365" s="15"/>
    </row>
    <row r="366" spans="1:18" s="119" customFormat="1" x14ac:dyDescent="0.25">
      <c r="A366" s="93" t="s">
        <v>2755</v>
      </c>
      <c r="B366" s="131" t="s">
        <v>251</v>
      </c>
      <c r="C366" s="131" t="s">
        <v>251</v>
      </c>
      <c r="D366" s="131"/>
      <c r="E366" s="131" t="s">
        <v>251</v>
      </c>
      <c r="F366" s="131" t="s">
        <v>251</v>
      </c>
      <c r="G366" s="131" t="s">
        <v>251</v>
      </c>
      <c r="H366" s="132" t="s">
        <v>251</v>
      </c>
      <c r="I366" s="131" t="s">
        <v>251</v>
      </c>
      <c r="J366" s="132" t="s">
        <v>251</v>
      </c>
      <c r="K366" s="131" t="s">
        <v>251</v>
      </c>
      <c r="L366" s="131" t="s">
        <v>251</v>
      </c>
      <c r="M366" s="161" t="s">
        <v>251</v>
      </c>
      <c r="N366" s="136" t="s">
        <v>251</v>
      </c>
      <c r="O366" s="124">
        <v>0</v>
      </c>
      <c r="P366" s="137">
        <v>0</v>
      </c>
      <c r="Q366" s="137">
        <v>0</v>
      </c>
      <c r="R366" s="15"/>
    </row>
    <row r="367" spans="1:18" s="119" customFormat="1" x14ac:dyDescent="0.25">
      <c r="A367" s="93" t="s">
        <v>498</v>
      </c>
      <c r="B367" s="131" t="s">
        <v>251</v>
      </c>
      <c r="C367" s="131" t="s">
        <v>251</v>
      </c>
      <c r="D367" s="131"/>
      <c r="E367" s="131" t="s">
        <v>251</v>
      </c>
      <c r="F367" s="131" t="s">
        <v>251</v>
      </c>
      <c r="G367" s="131" t="s">
        <v>251</v>
      </c>
      <c r="H367" s="132" t="s">
        <v>251</v>
      </c>
      <c r="I367" s="131" t="s">
        <v>251</v>
      </c>
      <c r="J367" s="132" t="s">
        <v>251</v>
      </c>
      <c r="K367" s="131" t="s">
        <v>251</v>
      </c>
      <c r="L367" s="131" t="s">
        <v>251</v>
      </c>
      <c r="M367" s="161" t="s">
        <v>251</v>
      </c>
      <c r="N367" s="136" t="s">
        <v>251</v>
      </c>
      <c r="O367" s="124">
        <v>147.34485039999998</v>
      </c>
      <c r="P367" s="137">
        <v>2.6000222443447784E-3</v>
      </c>
      <c r="Q367" s="137">
        <v>2.749286997766287E-4</v>
      </c>
      <c r="R367" s="15"/>
    </row>
    <row r="368" spans="1:18" s="119" customFormat="1" x14ac:dyDescent="0.25">
      <c r="A368" s="93" t="s">
        <v>2241</v>
      </c>
      <c r="B368" s="131" t="s">
        <v>251</v>
      </c>
      <c r="C368" s="131" t="s">
        <v>251</v>
      </c>
      <c r="D368" s="131"/>
      <c r="E368" s="131" t="s">
        <v>251</v>
      </c>
      <c r="F368" s="131" t="s">
        <v>251</v>
      </c>
      <c r="G368" s="131" t="s">
        <v>251</v>
      </c>
      <c r="H368" s="132" t="s">
        <v>251</v>
      </c>
      <c r="I368" s="131" t="s">
        <v>251</v>
      </c>
      <c r="J368" s="132" t="s">
        <v>251</v>
      </c>
      <c r="K368" s="131" t="s">
        <v>251</v>
      </c>
      <c r="L368" s="131" t="s">
        <v>251</v>
      </c>
      <c r="M368" s="161" t="s">
        <v>251</v>
      </c>
      <c r="N368" s="136" t="s">
        <v>251</v>
      </c>
      <c r="O368" s="124">
        <v>0</v>
      </c>
      <c r="P368" s="137">
        <v>0</v>
      </c>
      <c r="Q368" s="137">
        <v>0</v>
      </c>
      <c r="R368" s="15"/>
    </row>
    <row r="369" spans="1:18" s="119" customFormat="1" x14ac:dyDescent="0.25">
      <c r="A369" s="93" t="s">
        <v>2754</v>
      </c>
      <c r="B369" s="131" t="s">
        <v>251</v>
      </c>
      <c r="C369" s="131" t="s">
        <v>251</v>
      </c>
      <c r="D369" s="131"/>
      <c r="E369" s="131" t="s">
        <v>251</v>
      </c>
      <c r="F369" s="131" t="s">
        <v>251</v>
      </c>
      <c r="G369" s="131" t="s">
        <v>251</v>
      </c>
      <c r="H369" s="132" t="s">
        <v>251</v>
      </c>
      <c r="I369" s="131" t="s">
        <v>251</v>
      </c>
      <c r="J369" s="132" t="s">
        <v>251</v>
      </c>
      <c r="K369" s="131" t="s">
        <v>251</v>
      </c>
      <c r="L369" s="131" t="s">
        <v>251</v>
      </c>
      <c r="M369" s="161" t="s">
        <v>251</v>
      </c>
      <c r="N369" s="136" t="s">
        <v>251</v>
      </c>
      <c r="O369" s="124">
        <v>0</v>
      </c>
      <c r="P369" s="137">
        <v>0</v>
      </c>
      <c r="Q369" s="137">
        <v>0</v>
      </c>
      <c r="R369" s="15"/>
    </row>
    <row r="370" spans="1:18" s="119" customFormat="1" x14ac:dyDescent="0.25">
      <c r="A370" s="93" t="s">
        <v>2290</v>
      </c>
      <c r="B370" s="131" t="s">
        <v>251</v>
      </c>
      <c r="C370" s="131" t="s">
        <v>251</v>
      </c>
      <c r="D370" s="131"/>
      <c r="E370" s="131" t="s">
        <v>251</v>
      </c>
      <c r="F370" s="131" t="s">
        <v>251</v>
      </c>
      <c r="G370" s="131" t="s">
        <v>251</v>
      </c>
      <c r="H370" s="132" t="s">
        <v>251</v>
      </c>
      <c r="I370" s="131" t="s">
        <v>251</v>
      </c>
      <c r="J370" s="132" t="s">
        <v>251</v>
      </c>
      <c r="K370" s="131" t="s">
        <v>251</v>
      </c>
      <c r="L370" s="131" t="s">
        <v>251</v>
      </c>
      <c r="M370" s="161" t="s">
        <v>251</v>
      </c>
      <c r="N370" s="136" t="s">
        <v>251</v>
      </c>
      <c r="O370" s="124">
        <v>147.3448501</v>
      </c>
      <c r="P370" s="137">
        <v>2.6000222390510294E-3</v>
      </c>
      <c r="Q370" s="137">
        <v>2.7492869921686292E-4</v>
      </c>
      <c r="R370" s="15"/>
    </row>
    <row r="371" spans="1:18" x14ac:dyDescent="0.25">
      <c r="A371" s="17" t="s">
        <v>2970</v>
      </c>
      <c r="B371" s="117" t="s">
        <v>2291</v>
      </c>
      <c r="C371" s="117" t="s">
        <v>2762</v>
      </c>
      <c r="D371" s="117"/>
      <c r="E371" s="117" t="s">
        <v>533</v>
      </c>
      <c r="F371" s="117" t="s">
        <v>2763</v>
      </c>
      <c r="G371" s="117" t="s">
        <v>533</v>
      </c>
      <c r="H371" s="118">
        <v>2.14</v>
      </c>
      <c r="I371" s="117" t="s">
        <v>164</v>
      </c>
      <c r="J371" s="118" t="s">
        <v>125</v>
      </c>
      <c r="K371" s="117">
        <v>9.1564300000000001E-2</v>
      </c>
      <c r="L371" s="117">
        <v>9.9000000000000005E-2</v>
      </c>
      <c r="M371" s="112">
        <v>5216.7554304848099</v>
      </c>
      <c r="N371" s="61">
        <v>98.4</v>
      </c>
      <c r="O371" s="85">
        <v>19.62969</v>
      </c>
      <c r="P371" s="25">
        <v>3.4638218106054861E-4</v>
      </c>
      <c r="Q371" s="25">
        <v>3.6626764587073014E-5</v>
      </c>
      <c r="R371" s="15"/>
    </row>
    <row r="372" spans="1:18" x14ac:dyDescent="0.25">
      <c r="A372" s="17" t="s">
        <v>2970</v>
      </c>
      <c r="B372" s="216" t="s">
        <v>2977</v>
      </c>
      <c r="C372" s="117" t="s">
        <v>2764</v>
      </c>
      <c r="D372" s="117"/>
      <c r="E372" s="117" t="s">
        <v>533</v>
      </c>
      <c r="F372" s="117" t="s">
        <v>2765</v>
      </c>
      <c r="G372" s="117" t="s">
        <v>533</v>
      </c>
      <c r="H372" s="118">
        <v>5.32</v>
      </c>
      <c r="I372" s="117" t="s">
        <v>164</v>
      </c>
      <c r="J372" s="118" t="s">
        <v>125</v>
      </c>
      <c r="K372" s="117">
        <v>3.7499999999999999E-2</v>
      </c>
      <c r="L372" s="117">
        <v>0</v>
      </c>
      <c r="M372" s="112">
        <v>-66.661146074293782</v>
      </c>
      <c r="N372" s="61">
        <v>35.676119999999997</v>
      </c>
      <c r="O372" s="85">
        <v>-9.0939999999999993E-2</v>
      </c>
      <c r="P372" s="25">
        <v>-1.6047118189663868E-6</v>
      </c>
      <c r="Q372" s="25">
        <v>-1.6968367669323457E-7</v>
      </c>
      <c r="R372" s="15"/>
    </row>
    <row r="373" spans="1:18" x14ac:dyDescent="0.25">
      <c r="A373" s="17" t="s">
        <v>2971</v>
      </c>
      <c r="B373" s="216" t="s">
        <v>2977</v>
      </c>
      <c r="C373" s="117" t="s">
        <v>2769</v>
      </c>
      <c r="D373" s="117"/>
      <c r="E373" s="117" t="s">
        <v>533</v>
      </c>
      <c r="F373" s="117" t="s">
        <v>2770</v>
      </c>
      <c r="G373" s="117" t="s">
        <v>533</v>
      </c>
      <c r="H373" s="118">
        <v>2.19</v>
      </c>
      <c r="I373" s="117" t="s">
        <v>164</v>
      </c>
      <c r="J373" s="118" t="s">
        <v>131</v>
      </c>
      <c r="K373" s="117">
        <v>8.8849999999999998E-2</v>
      </c>
      <c r="L373" s="117">
        <v>9.3800000000000008E-2</v>
      </c>
      <c r="M373" s="112">
        <v>11336.58638042137</v>
      </c>
      <c r="N373" s="61">
        <v>99.27</v>
      </c>
      <c r="O373" s="85">
        <v>31.989009999999997</v>
      </c>
      <c r="P373" s="25">
        <v>5.6447264596474534E-4</v>
      </c>
      <c r="Q373" s="25">
        <v>5.9687847268271912E-5</v>
      </c>
      <c r="R373" s="15"/>
    </row>
    <row r="374" spans="1:18" x14ac:dyDescent="0.25">
      <c r="A374" s="17" t="s">
        <v>2971</v>
      </c>
      <c r="B374" s="216" t="s">
        <v>2977</v>
      </c>
      <c r="C374" s="117" t="s">
        <v>2766</v>
      </c>
      <c r="D374" s="117"/>
      <c r="E374" s="117" t="s">
        <v>533</v>
      </c>
      <c r="F374" s="117" t="s">
        <v>2767</v>
      </c>
      <c r="G374" s="117" t="s">
        <v>533</v>
      </c>
      <c r="H374" s="118">
        <v>0</v>
      </c>
      <c r="I374" s="117" t="s">
        <v>164</v>
      </c>
      <c r="J374" s="118" t="s">
        <v>131</v>
      </c>
      <c r="K374" s="117">
        <v>8.8849999999999998E-2</v>
      </c>
      <c r="L374" s="117">
        <v>0</v>
      </c>
      <c r="M374" s="112">
        <v>-198.39026350783908</v>
      </c>
      <c r="N374" s="61">
        <v>66.186753999999993</v>
      </c>
      <c r="O374" s="85">
        <v>-0.37324000000000002</v>
      </c>
      <c r="P374" s="25">
        <v>-6.5861297483067321E-6</v>
      </c>
      <c r="Q374" s="25">
        <v>-6.9642330645461715E-7</v>
      </c>
      <c r="R374" s="15"/>
    </row>
    <row r="375" spans="1:18" x14ac:dyDescent="0.25">
      <c r="A375" s="17" t="s">
        <v>2972</v>
      </c>
      <c r="B375" s="117" t="s">
        <v>2291</v>
      </c>
      <c r="C375" s="117" t="s">
        <v>2758</v>
      </c>
      <c r="D375" s="117"/>
      <c r="E375" s="117" t="s">
        <v>533</v>
      </c>
      <c r="F375" s="117" t="s">
        <v>2759</v>
      </c>
      <c r="G375" s="117" t="s">
        <v>533</v>
      </c>
      <c r="H375" s="118">
        <v>2.0099999999999998</v>
      </c>
      <c r="I375" s="117" t="s">
        <v>164</v>
      </c>
      <c r="J375" s="118" t="s">
        <v>125</v>
      </c>
      <c r="K375" s="117">
        <v>9.0599999999999986E-2</v>
      </c>
      <c r="L375" s="117">
        <v>0.09</v>
      </c>
      <c r="M375" s="112">
        <v>9576.4758790838459</v>
      </c>
      <c r="N375" s="61">
        <v>100.89</v>
      </c>
      <c r="O375" s="85">
        <v>36.946370000000002</v>
      </c>
      <c r="P375" s="25">
        <v>6.5194937988679517E-4</v>
      </c>
      <c r="Q375" s="25">
        <v>6.893771609928109E-5</v>
      </c>
      <c r="R375" s="15"/>
    </row>
    <row r="376" spans="1:18" x14ac:dyDescent="0.25">
      <c r="A376" s="17" t="s">
        <v>2972</v>
      </c>
      <c r="B376" s="216" t="s">
        <v>2977</v>
      </c>
      <c r="C376" s="117" t="s">
        <v>2760</v>
      </c>
      <c r="D376" s="117"/>
      <c r="E376" s="117" t="s">
        <v>533</v>
      </c>
      <c r="F376" s="117" t="s">
        <v>2761</v>
      </c>
      <c r="G376" s="117" t="s">
        <v>533</v>
      </c>
      <c r="H376" s="118">
        <v>3.95</v>
      </c>
      <c r="I376" s="117" t="s">
        <v>164</v>
      </c>
      <c r="J376" s="118" t="s">
        <v>125</v>
      </c>
      <c r="K376" s="117">
        <v>9.4064300000000003E-2</v>
      </c>
      <c r="L376" s="117">
        <v>0</v>
      </c>
      <c r="M376" s="112">
        <v>-110.52988635108244</v>
      </c>
      <c r="N376" s="61">
        <v>33.025311000000002</v>
      </c>
      <c r="O376" s="85">
        <v>-0.13958999999999999</v>
      </c>
      <c r="P376" s="25">
        <v>-2.4631814692051679E-6</v>
      </c>
      <c r="Q376" s="25">
        <v>-2.6045903265459222E-7</v>
      </c>
      <c r="R376" s="15"/>
    </row>
    <row r="377" spans="1:18" x14ac:dyDescent="0.25">
      <c r="A377" s="17" t="s">
        <v>2973</v>
      </c>
      <c r="B377" s="216" t="s">
        <v>2977</v>
      </c>
      <c r="C377" s="117" t="s">
        <v>2771</v>
      </c>
      <c r="D377" s="117"/>
      <c r="E377" s="117" t="s">
        <v>533</v>
      </c>
      <c r="F377" s="117" t="s">
        <v>2772</v>
      </c>
      <c r="G377" s="117" t="s">
        <v>533</v>
      </c>
      <c r="H377" s="118">
        <v>6</v>
      </c>
      <c r="I377" s="117" t="s">
        <v>182</v>
      </c>
      <c r="J377" s="118" t="s">
        <v>125</v>
      </c>
      <c r="K377" s="117">
        <v>0.14429069999999999</v>
      </c>
      <c r="L377" s="117">
        <v>0</v>
      </c>
      <c r="M377" s="112">
        <v>951.73544680503198</v>
      </c>
      <c r="N377" s="61">
        <v>106.4</v>
      </c>
      <c r="O377" s="85">
        <v>3.87236</v>
      </c>
      <c r="P377" s="25">
        <v>6.8331007909530215E-5</v>
      </c>
      <c r="Q377" s="25">
        <v>7.2253824750364406E-6</v>
      </c>
      <c r="R377" s="15"/>
    </row>
    <row r="378" spans="1:18" x14ac:dyDescent="0.25">
      <c r="A378" s="17" t="s">
        <v>2974</v>
      </c>
      <c r="B378" s="216" t="s">
        <v>2977</v>
      </c>
      <c r="C378" s="117" t="s">
        <v>2773</v>
      </c>
      <c r="D378" s="117"/>
      <c r="E378" s="117" t="s">
        <v>533</v>
      </c>
      <c r="F378" s="117" t="s">
        <v>2324</v>
      </c>
      <c r="G378" s="117" t="s">
        <v>533</v>
      </c>
      <c r="H378" s="118">
        <v>6</v>
      </c>
      <c r="I378" s="117" t="s">
        <v>182</v>
      </c>
      <c r="J378" s="118" t="s">
        <v>125</v>
      </c>
      <c r="K378" s="117">
        <v>0.14429069999999999</v>
      </c>
      <c r="L378" s="117">
        <v>0</v>
      </c>
      <c r="M378" s="112">
        <v>896.95500969120042</v>
      </c>
      <c r="N378" s="61">
        <v>105.58</v>
      </c>
      <c r="O378" s="85">
        <v>3.6213500000000001</v>
      </c>
      <c r="P378" s="25">
        <v>6.3901728014228339E-5</v>
      </c>
      <c r="Q378" s="25">
        <v>6.7570264195408518E-6</v>
      </c>
      <c r="R378" s="15"/>
    </row>
    <row r="379" spans="1:18" x14ac:dyDescent="0.25">
      <c r="A379" s="17" t="s">
        <v>2974</v>
      </c>
      <c r="B379" s="216" t="s">
        <v>2977</v>
      </c>
      <c r="C379" s="117" t="s">
        <v>2774</v>
      </c>
      <c r="D379" s="117"/>
      <c r="E379" s="117" t="s">
        <v>533</v>
      </c>
      <c r="F379" s="117" t="s">
        <v>2324</v>
      </c>
      <c r="G379" s="117" t="s">
        <v>533</v>
      </c>
      <c r="H379" s="118">
        <v>6</v>
      </c>
      <c r="I379" s="117" t="s">
        <v>182</v>
      </c>
      <c r="J379" s="118" t="s">
        <v>125</v>
      </c>
      <c r="K379" s="117">
        <v>0.14429069999999999</v>
      </c>
      <c r="L379" s="117">
        <v>0</v>
      </c>
      <c r="M379" s="112">
        <v>1120.3137802246274</v>
      </c>
      <c r="N379" s="61">
        <v>105.58</v>
      </c>
      <c r="O379" s="85">
        <v>4.5231300000000001</v>
      </c>
      <c r="P379" s="25">
        <v>7.9814384976043914E-5</v>
      </c>
      <c r="Q379" s="25">
        <v>8.4396451348303295E-6</v>
      </c>
      <c r="R379" s="15"/>
    </row>
    <row r="380" spans="1:18" x14ac:dyDescent="0.25">
      <c r="A380" s="17" t="s">
        <v>2975</v>
      </c>
      <c r="B380" s="216" t="s">
        <v>2977</v>
      </c>
      <c r="C380" s="117" t="s">
        <v>2768</v>
      </c>
      <c r="D380" s="117"/>
      <c r="E380" s="117" t="s">
        <v>533</v>
      </c>
      <c r="F380" s="117" t="s">
        <v>2306</v>
      </c>
      <c r="G380" s="117" t="s">
        <v>533</v>
      </c>
      <c r="H380" s="118">
        <v>2.46</v>
      </c>
      <c r="I380" s="117" t="s">
        <v>164</v>
      </c>
      <c r="J380" s="118" t="s">
        <v>125</v>
      </c>
      <c r="K380" s="117">
        <v>9.1564300000000001E-2</v>
      </c>
      <c r="L380" s="117">
        <v>8.900000000000001E-2</v>
      </c>
      <c r="M380" s="112">
        <v>12452.898960696692</v>
      </c>
      <c r="N380" s="61">
        <v>100.14</v>
      </c>
      <c r="O380" s="85">
        <v>47.686550000000004</v>
      </c>
      <c r="P380" s="25">
        <v>8.4146877491457625E-4</v>
      </c>
      <c r="Q380" s="25">
        <v>8.8977668053835123E-5</v>
      </c>
      <c r="R380" s="15"/>
    </row>
    <row r="381" spans="1:18" x14ac:dyDescent="0.25">
      <c r="A381" s="17" t="s">
        <v>2975</v>
      </c>
      <c r="B381" s="216" t="s">
        <v>2977</v>
      </c>
      <c r="C381" s="117" t="s">
        <v>2756</v>
      </c>
      <c r="D381" s="117"/>
      <c r="E381" s="117" t="s">
        <v>533</v>
      </c>
      <c r="F381" s="117" t="s">
        <v>2757</v>
      </c>
      <c r="G381" s="117" t="s">
        <v>533</v>
      </c>
      <c r="H381" s="118">
        <v>3.91</v>
      </c>
      <c r="I381" s="117" t="s">
        <v>164</v>
      </c>
      <c r="J381" s="118" t="s">
        <v>257</v>
      </c>
      <c r="K381" s="117">
        <v>0</v>
      </c>
      <c r="L381" s="117">
        <v>0</v>
      </c>
      <c r="M381" s="112">
        <v>-863.80389461625009</v>
      </c>
      <c r="N381" s="61">
        <v>37.027026999999997</v>
      </c>
      <c r="O381" s="85">
        <v>-0.31983999999999996</v>
      </c>
      <c r="P381" s="25">
        <v>-5.6438424035430962E-6</v>
      </c>
      <c r="Q381" s="25">
        <v>-5.9678499179199627E-7</v>
      </c>
      <c r="R381" s="15"/>
    </row>
    <row r="382" spans="1:18" s="119" customFormat="1" x14ac:dyDescent="0.25">
      <c r="A382" s="93" t="s">
        <v>2755</v>
      </c>
      <c r="B382" s="131" t="s">
        <v>251</v>
      </c>
      <c r="C382" s="131" t="s">
        <v>251</v>
      </c>
      <c r="D382" s="131"/>
      <c r="E382" s="131" t="s">
        <v>251</v>
      </c>
      <c r="F382" s="131" t="s">
        <v>251</v>
      </c>
      <c r="G382" s="131" t="s">
        <v>251</v>
      </c>
      <c r="H382" s="132" t="s">
        <v>251</v>
      </c>
      <c r="I382" s="131" t="s">
        <v>251</v>
      </c>
      <c r="J382" s="132" t="s">
        <v>251</v>
      </c>
      <c r="K382" s="131" t="s">
        <v>251</v>
      </c>
      <c r="L382" s="131" t="s">
        <v>251</v>
      </c>
      <c r="M382" s="161" t="s">
        <v>251</v>
      </c>
      <c r="N382" s="136" t="s">
        <v>251</v>
      </c>
      <c r="O382" s="124">
        <v>0</v>
      </c>
      <c r="P382" s="137">
        <v>0</v>
      </c>
      <c r="Q382" s="137">
        <v>0</v>
      </c>
    </row>
    <row r="383" spans="1:18" s="119" customFormat="1" x14ac:dyDescent="0.25">
      <c r="A383" s="79" t="s">
        <v>242</v>
      </c>
      <c r="B383" s="79"/>
      <c r="C383" s="125"/>
      <c r="D383" s="125"/>
      <c r="E383" s="125"/>
      <c r="F383" s="126"/>
      <c r="G383" s="126"/>
      <c r="H383" s="126"/>
      <c r="I383" s="126"/>
      <c r="J383" s="126"/>
      <c r="K383" s="127"/>
      <c r="L383" s="128"/>
      <c r="M383" s="129"/>
      <c r="N383" s="129"/>
      <c r="O383" s="129"/>
      <c r="P383" s="129"/>
      <c r="Q383" s="128"/>
      <c r="R383" s="130"/>
    </row>
    <row r="384" spans="1:18" s="119" customFormat="1" x14ac:dyDescent="0.25">
      <c r="A384" s="79" t="s">
        <v>243</v>
      </c>
      <c r="B384" s="79"/>
      <c r="C384" s="125"/>
      <c r="D384" s="125"/>
      <c r="E384" s="125"/>
      <c r="F384" s="126"/>
      <c r="G384" s="126"/>
      <c r="H384" s="126"/>
      <c r="I384" s="126"/>
      <c r="J384" s="126"/>
      <c r="K384" s="127"/>
      <c r="L384" s="128"/>
      <c r="M384" s="129"/>
      <c r="N384" s="129"/>
      <c r="O384" s="129"/>
      <c r="P384" s="129"/>
      <c r="Q384" s="128"/>
      <c r="R384" s="130"/>
    </row>
    <row r="385" spans="1:18" s="119" customFormat="1" x14ac:dyDescent="0.25">
      <c r="A385" s="79" t="s">
        <v>244</v>
      </c>
      <c r="B385" s="79"/>
      <c r="C385" s="125"/>
      <c r="D385" s="125"/>
      <c r="E385" s="125"/>
      <c r="F385" s="126"/>
      <c r="G385" s="126"/>
      <c r="H385" s="126"/>
      <c r="I385" s="126"/>
      <c r="J385" s="126"/>
      <c r="K385" s="127"/>
      <c r="L385" s="128"/>
      <c r="M385" s="129"/>
      <c r="N385" s="129"/>
      <c r="O385" s="129"/>
      <c r="P385" s="129"/>
      <c r="Q385" s="128"/>
      <c r="R385" s="130"/>
    </row>
    <row r="386" spans="1:18" s="119" customFormat="1" x14ac:dyDescent="0.25">
      <c r="A386" s="79" t="s">
        <v>245</v>
      </c>
      <c r="B386" s="79"/>
      <c r="C386" s="125"/>
      <c r="D386" s="125"/>
      <c r="E386" s="125"/>
      <c r="F386" s="126"/>
      <c r="G386" s="126"/>
      <c r="H386" s="126"/>
      <c r="I386" s="126"/>
      <c r="J386" s="126"/>
      <c r="K386" s="127"/>
      <c r="L386" s="128"/>
      <c r="M386" s="129"/>
      <c r="N386" s="129"/>
      <c r="O386" s="129"/>
      <c r="P386" s="129"/>
      <c r="Q386" s="128"/>
      <c r="R386" s="130"/>
    </row>
    <row r="387" spans="1:18" s="119" customFormat="1" x14ac:dyDescent="0.25">
      <c r="A387" s="79" t="s">
        <v>246</v>
      </c>
      <c r="B387" s="79"/>
      <c r="C387" s="125"/>
      <c r="D387" s="125"/>
      <c r="E387" s="125"/>
      <c r="F387" s="126"/>
      <c r="G387" s="126"/>
      <c r="H387" s="126"/>
      <c r="I387" s="126"/>
      <c r="J387" s="126"/>
      <c r="K387" s="127"/>
      <c r="L387" s="128"/>
      <c r="M387" s="129"/>
      <c r="N387" s="129"/>
      <c r="O387" s="129"/>
      <c r="P387" s="129"/>
      <c r="Q387" s="128"/>
      <c r="R387" s="130"/>
    </row>
  </sheetData>
  <sortState xmlns:xlrd2="http://schemas.microsoft.com/office/spreadsheetml/2017/richdata2" ref="A371:Z381">
    <sortCondition ref="A371:A381" customList="א,ב,ג,ד,ה,ו,ז,ח,ט,י,כ,ל,מ,נ,ס,ע,פ,צ,ק,ר,ש,ת"/>
  </sortState>
  <mergeCells count="1">
    <mergeCell ref="A5:Q5"/>
  </mergeCells>
  <phoneticPr fontId="3" type="noConversion"/>
  <conditionalFormatting sqref="B10:L382">
    <cfRule type="expression" dxfId="42" priority="374" stopIfTrue="1">
      <formula>LEFT(#REF!,3)="TIR"</formula>
    </cfRule>
  </conditionalFormatting>
  <conditionalFormatting sqref="O10:P11 P12:P13 O14:P382 A10:A382">
    <cfRule type="expression" dxfId="41" priority="372" stopIfTrue="1">
      <formula>#REF!&gt;0</formula>
    </cfRule>
  </conditionalFormatting>
  <conditionalFormatting sqref="P10:Q382">
    <cfRule type="expression" dxfId="40" priority="371" stopIfTrue="1">
      <formula>OR(LEFT(#REF!,3)="TIR",LEFT(#REF!,2)="IR")</formula>
    </cfRule>
  </conditionalFormatting>
  <conditionalFormatting sqref="Q12:Q13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30.88671875" style="10" bestFit="1" customWidth="1"/>
    <col min="2" max="2" width="13.5546875" style="10" bestFit="1" customWidth="1"/>
    <col min="3" max="3" width="13.33203125" style="9" customWidth="1"/>
    <col min="4" max="4" width="7.5546875" style="9" customWidth="1"/>
    <col min="5" max="5" width="11.109375" style="60" customWidth="1"/>
    <col min="6" max="6" width="7.88671875" style="60" customWidth="1"/>
    <col min="7" max="7" width="11.33203125" style="60" customWidth="1"/>
    <col min="8" max="8" width="17.6640625" style="37" customWidth="1"/>
    <col min="9" max="9" width="14.109375" style="62" customWidth="1"/>
    <col min="10" max="10" width="12.44140625" style="64" bestFit="1" customWidth="1"/>
    <col min="11" max="11" width="7.109375" style="64" bestFit="1" customWidth="1"/>
    <col min="12" max="12" width="10.44140625" style="64" customWidth="1"/>
    <col min="13" max="13" width="25.44140625" style="64" customWidth="1"/>
    <col min="14" max="14" width="20.6640625" style="62" customWidth="1"/>
    <col min="15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7" s="7" customFormat="1" x14ac:dyDescent="0.25">
      <c r="A1" s="7" t="s">
        <v>237</v>
      </c>
      <c r="B1" s="10" t="s">
        <v>247</v>
      </c>
      <c r="C1" s="9"/>
      <c r="D1" s="44"/>
      <c r="E1" s="60"/>
      <c r="F1" s="60"/>
      <c r="G1" s="60"/>
      <c r="H1" s="37"/>
      <c r="I1" s="62"/>
      <c r="J1" s="63"/>
      <c r="K1" s="63"/>
      <c r="L1" s="63"/>
      <c r="M1" s="63"/>
      <c r="N1" s="62"/>
      <c r="O1" s="13"/>
      <c r="P1" s="15"/>
    </row>
    <row r="2" spans="1:17" s="7" customFormat="1" x14ac:dyDescent="0.25">
      <c r="A2" s="10" t="s">
        <v>238</v>
      </c>
      <c r="B2" s="10" t="s">
        <v>150</v>
      </c>
      <c r="C2" s="9"/>
      <c r="D2" s="44"/>
      <c r="E2" s="60"/>
      <c r="F2" s="60"/>
      <c r="G2" s="60"/>
      <c r="H2" s="37"/>
      <c r="I2" s="62"/>
      <c r="J2" s="63"/>
      <c r="K2" s="63"/>
      <c r="L2" s="63"/>
      <c r="M2" s="63"/>
      <c r="N2" s="62"/>
      <c r="O2" s="13"/>
      <c r="P2" s="15"/>
    </row>
    <row r="3" spans="1:17" s="7" customFormat="1" x14ac:dyDescent="0.25">
      <c r="A3" s="10" t="s">
        <v>239</v>
      </c>
      <c r="B3" s="9" t="s">
        <v>240</v>
      </c>
      <c r="C3" s="9"/>
      <c r="D3" s="44"/>
      <c r="E3" s="60"/>
      <c r="F3" s="60"/>
      <c r="G3" s="60"/>
      <c r="H3" s="37"/>
      <c r="I3" s="62"/>
      <c r="J3" s="63"/>
      <c r="K3" s="63"/>
      <c r="L3" s="63"/>
      <c r="M3" s="63"/>
      <c r="N3" s="62"/>
      <c r="O3" s="13"/>
      <c r="P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44"/>
      <c r="E4" s="60"/>
      <c r="F4" s="60"/>
      <c r="G4" s="60"/>
      <c r="H4" s="37"/>
      <c r="I4" s="62"/>
      <c r="J4" s="63"/>
      <c r="K4" s="63"/>
      <c r="L4" s="63"/>
      <c r="M4" s="63"/>
      <c r="N4" s="62"/>
      <c r="O4" s="13"/>
      <c r="P4" s="15"/>
    </row>
    <row r="5" spans="1:17" s="7" customFormat="1" x14ac:dyDescent="0.25">
      <c r="A5" s="222" t="s">
        <v>37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3"/>
      <c r="P5" s="13"/>
      <c r="Q5" s="13"/>
    </row>
    <row r="6" spans="1:17" s="7" customFormat="1" ht="30.75" customHeight="1" x14ac:dyDescent="0.25">
      <c r="A6" s="87" t="s">
        <v>157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14</v>
      </c>
      <c r="G6" s="204" t="s">
        <v>6</v>
      </c>
      <c r="H6" s="205" t="s">
        <v>89</v>
      </c>
      <c r="I6" s="205" t="s">
        <v>71</v>
      </c>
      <c r="J6" s="205" t="s">
        <v>67</v>
      </c>
      <c r="K6" s="205" t="s">
        <v>68</v>
      </c>
      <c r="L6" s="205" t="s">
        <v>29</v>
      </c>
      <c r="M6" s="90" t="s">
        <v>75</v>
      </c>
      <c r="N6" s="91" t="s">
        <v>8</v>
      </c>
    </row>
    <row r="7" spans="1:17" s="7" customFormat="1" x14ac:dyDescent="0.25">
      <c r="A7" s="27"/>
      <c r="B7" s="1"/>
      <c r="C7" s="4"/>
      <c r="D7" s="3"/>
      <c r="E7" s="28"/>
      <c r="F7" s="29" t="s">
        <v>16</v>
      </c>
      <c r="G7" s="30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1" t="s">
        <v>9</v>
      </c>
      <c r="N7" s="6" t="s">
        <v>9</v>
      </c>
    </row>
    <row r="8" spans="1:17" s="16" customFormat="1" ht="12.75" customHeight="1" x14ac:dyDescent="0.25">
      <c r="A8" s="21"/>
      <c r="B8" s="48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57">
        <v>12</v>
      </c>
      <c r="N8" s="36">
        <v>13</v>
      </c>
    </row>
    <row r="9" spans="1:17" s="119" customFormat="1" ht="12.75" customHeight="1" thickBot="1" x14ac:dyDescent="0.3">
      <c r="A9" s="100" t="s">
        <v>122</v>
      </c>
      <c r="B9" s="68" t="s">
        <v>251</v>
      </c>
      <c r="C9" s="101" t="s">
        <v>251</v>
      </c>
      <c r="D9" s="101"/>
      <c r="E9" s="101" t="s">
        <v>251</v>
      </c>
      <c r="F9" s="101" t="s">
        <v>251</v>
      </c>
      <c r="G9" s="101" t="s">
        <v>251</v>
      </c>
      <c r="H9" s="68" t="s">
        <v>251</v>
      </c>
      <c r="I9" s="68" t="s">
        <v>251</v>
      </c>
      <c r="J9" s="102" t="s">
        <v>251</v>
      </c>
      <c r="K9" s="101" t="s">
        <v>251</v>
      </c>
      <c r="L9" s="103">
        <v>1706.3030706</v>
      </c>
      <c r="M9" s="68">
        <v>1</v>
      </c>
      <c r="N9" s="82">
        <v>3.1837670834876162E-3</v>
      </c>
    </row>
    <row r="10" spans="1:17" s="119" customFormat="1" x14ac:dyDescent="0.25">
      <c r="A10" s="92" t="s">
        <v>137</v>
      </c>
      <c r="B10" s="121" t="s">
        <v>251</v>
      </c>
      <c r="C10" s="122" t="s">
        <v>251</v>
      </c>
      <c r="D10" s="122" t="s">
        <v>251</v>
      </c>
      <c r="E10" s="122" t="s">
        <v>251</v>
      </c>
      <c r="F10" s="122" t="s">
        <v>251</v>
      </c>
      <c r="G10" s="122" t="s">
        <v>251</v>
      </c>
      <c r="H10" s="121" t="s">
        <v>251</v>
      </c>
      <c r="I10" s="121" t="s">
        <v>251</v>
      </c>
      <c r="J10" s="133" t="s">
        <v>251</v>
      </c>
      <c r="K10" s="122" t="s">
        <v>251</v>
      </c>
      <c r="L10" s="123">
        <v>1706.3030705000001</v>
      </c>
      <c r="M10" s="121">
        <v>0.99999999994139388</v>
      </c>
      <c r="N10" s="121">
        <v>3.1837670833010281E-3</v>
      </c>
    </row>
    <row r="11" spans="1:17" s="119" customFormat="1" x14ac:dyDescent="0.25">
      <c r="A11" s="93" t="s">
        <v>2775</v>
      </c>
      <c r="B11" s="137" t="s">
        <v>251</v>
      </c>
      <c r="C11" s="136" t="s">
        <v>251</v>
      </c>
      <c r="D11" s="136" t="s">
        <v>251</v>
      </c>
      <c r="E11" s="136" t="s">
        <v>251</v>
      </c>
      <c r="F11" s="136" t="s">
        <v>251</v>
      </c>
      <c r="G11" s="136" t="s">
        <v>251</v>
      </c>
      <c r="H11" s="137" t="s">
        <v>251</v>
      </c>
      <c r="I11" s="137" t="s">
        <v>251</v>
      </c>
      <c r="J11" s="135" t="s">
        <v>251</v>
      </c>
      <c r="K11" s="136" t="s">
        <v>251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3" t="s">
        <v>1864</v>
      </c>
      <c r="B12" s="137" t="s">
        <v>251</v>
      </c>
      <c r="C12" s="136" t="s">
        <v>251</v>
      </c>
      <c r="D12" s="136" t="s">
        <v>251</v>
      </c>
      <c r="E12" s="136" t="s">
        <v>251</v>
      </c>
      <c r="F12" s="136" t="s">
        <v>251</v>
      </c>
      <c r="G12" s="136" t="s">
        <v>251</v>
      </c>
      <c r="H12" s="137" t="s">
        <v>251</v>
      </c>
      <c r="I12" s="137" t="s">
        <v>251</v>
      </c>
      <c r="J12" s="135" t="s">
        <v>251</v>
      </c>
      <c r="K12" s="136" t="s">
        <v>251</v>
      </c>
      <c r="L12" s="124">
        <v>1706.3030701000002</v>
      </c>
      <c r="M12" s="137">
        <v>0.99999999970696896</v>
      </c>
      <c r="N12" s="137">
        <v>3.1837670825546737E-3</v>
      </c>
    </row>
    <row r="13" spans="1:17" x14ac:dyDescent="0.25">
      <c r="A13" s="17" t="s">
        <v>2776</v>
      </c>
      <c r="B13" s="25" t="s">
        <v>2777</v>
      </c>
      <c r="C13" s="61" t="s">
        <v>254</v>
      </c>
      <c r="D13" s="61" t="s">
        <v>255</v>
      </c>
      <c r="E13" s="61" t="s">
        <v>256</v>
      </c>
      <c r="F13" s="61">
        <v>0.2</v>
      </c>
      <c r="G13" s="61" t="s">
        <v>257</v>
      </c>
      <c r="H13" s="25">
        <v>4.8300000429153445E-2</v>
      </c>
      <c r="I13" s="25">
        <v>4.9000000000000002E-2</v>
      </c>
      <c r="J13" s="70">
        <v>1681418.0811881709</v>
      </c>
      <c r="K13" s="61">
        <v>101.48</v>
      </c>
      <c r="L13" s="85">
        <v>1706.3030700000002</v>
      </c>
      <c r="M13" s="25">
        <v>0.99999999964836261</v>
      </c>
      <c r="N13" s="25">
        <v>3.1837670823680851E-3</v>
      </c>
      <c r="O13" s="15"/>
    </row>
    <row r="14" spans="1:17" s="119" customFormat="1" x14ac:dyDescent="0.25">
      <c r="A14" s="93" t="s">
        <v>2778</v>
      </c>
      <c r="B14" s="137" t="s">
        <v>251</v>
      </c>
      <c r="C14" s="136" t="s">
        <v>251</v>
      </c>
      <c r="D14" s="136" t="s">
        <v>251</v>
      </c>
      <c r="E14" s="136" t="s">
        <v>251</v>
      </c>
      <c r="F14" s="136" t="s">
        <v>251</v>
      </c>
      <c r="G14" s="136" t="s">
        <v>251</v>
      </c>
      <c r="H14" s="137" t="s">
        <v>251</v>
      </c>
      <c r="I14" s="137" t="s">
        <v>251</v>
      </c>
      <c r="J14" s="135" t="s">
        <v>251</v>
      </c>
      <c r="K14" s="136" t="s">
        <v>251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3" t="s">
        <v>2779</v>
      </c>
      <c r="B15" s="137" t="s">
        <v>251</v>
      </c>
      <c r="C15" s="136" t="s">
        <v>251</v>
      </c>
      <c r="D15" s="136" t="s">
        <v>251</v>
      </c>
      <c r="E15" s="136" t="s">
        <v>251</v>
      </c>
      <c r="F15" s="136" t="s">
        <v>251</v>
      </c>
      <c r="G15" s="136" t="s">
        <v>251</v>
      </c>
      <c r="H15" s="137" t="s">
        <v>251</v>
      </c>
      <c r="I15" s="137" t="s">
        <v>251</v>
      </c>
      <c r="J15" s="135" t="s">
        <v>251</v>
      </c>
      <c r="K15" s="136" t="s">
        <v>251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3" t="s">
        <v>141</v>
      </c>
      <c r="B16" s="137" t="s">
        <v>251</v>
      </c>
      <c r="C16" s="136" t="s">
        <v>251</v>
      </c>
      <c r="D16" s="136" t="s">
        <v>251</v>
      </c>
      <c r="E16" s="136" t="s">
        <v>251</v>
      </c>
      <c r="F16" s="136" t="s">
        <v>251</v>
      </c>
      <c r="G16" s="136" t="s">
        <v>251</v>
      </c>
      <c r="H16" s="137" t="s">
        <v>251</v>
      </c>
      <c r="I16" s="137" t="s">
        <v>251</v>
      </c>
      <c r="J16" s="135" t="s">
        <v>251</v>
      </c>
      <c r="K16" s="136" t="s">
        <v>251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93" t="s">
        <v>517</v>
      </c>
      <c r="B17" s="137" t="s">
        <v>251</v>
      </c>
      <c r="C17" s="136" t="s">
        <v>251</v>
      </c>
      <c r="D17" s="136" t="s">
        <v>251</v>
      </c>
      <c r="E17" s="136" t="s">
        <v>251</v>
      </c>
      <c r="F17" s="136" t="s">
        <v>251</v>
      </c>
      <c r="G17" s="136" t="s">
        <v>251</v>
      </c>
      <c r="H17" s="137" t="s">
        <v>251</v>
      </c>
      <c r="I17" s="137" t="s">
        <v>251</v>
      </c>
      <c r="J17" s="135" t="s">
        <v>251</v>
      </c>
      <c r="K17" s="136" t="s">
        <v>251</v>
      </c>
      <c r="L17" s="124">
        <v>0</v>
      </c>
      <c r="M17" s="137">
        <v>0</v>
      </c>
      <c r="N17" s="137">
        <v>0</v>
      </c>
    </row>
    <row r="18" spans="1:15" s="119" customFormat="1" x14ac:dyDescent="0.25">
      <c r="A18" s="79" t="s">
        <v>242</v>
      </c>
      <c r="B18" s="79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9" t="s">
        <v>243</v>
      </c>
      <c r="B19" s="79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9" t="s">
        <v>244</v>
      </c>
      <c r="B20" s="79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9" t="s">
        <v>245</v>
      </c>
      <c r="B21" s="79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  <row r="22" spans="1:15" s="119" customFormat="1" x14ac:dyDescent="0.25">
      <c r="A22" s="79" t="s">
        <v>246</v>
      </c>
      <c r="B22" s="79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30"/>
    </row>
  </sheetData>
  <mergeCells count="1">
    <mergeCell ref="A5:N5"/>
  </mergeCells>
  <phoneticPr fontId="3" type="noConversion"/>
  <conditionalFormatting sqref="B10:E17 G10:G17 M10:N17">
    <cfRule type="expression" dxfId="38" priority="378" stopIfTrue="1">
      <formula>OR(LEFT(#REF!,3)="TIR",LEFT(#REF!,2)="IR")</formula>
    </cfRule>
  </conditionalFormatting>
  <conditionalFormatting sqref="L9:M17 A9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1"/>
  <sheetViews>
    <sheetView rightToLeft="1" zoomScale="85" zoomScaleNormal="85" workbookViewId="0">
      <selection activeCell="P17" sqref="P17"/>
    </sheetView>
  </sheetViews>
  <sheetFormatPr defaultColWidth="9.109375" defaultRowHeight="13.2" x14ac:dyDescent="0.25"/>
  <cols>
    <col min="1" max="1" width="22" style="10" customWidth="1"/>
    <col min="2" max="2" width="18.109375" style="9" customWidth="1"/>
    <col min="3" max="3" width="10.5546875" style="10" customWidth="1"/>
    <col min="4" max="4" width="25.5546875" style="11" customWidth="1"/>
    <col min="5" max="5" width="10.6640625" style="60" customWidth="1"/>
    <col min="6" max="6" width="13" style="60" customWidth="1"/>
    <col min="7" max="7" width="24" style="60" customWidth="1"/>
    <col min="8" max="8" width="18.6640625" style="60" customWidth="1"/>
    <col min="9" max="9" width="13.33203125" style="60" customWidth="1"/>
    <col min="10" max="10" width="9.5546875" style="12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12"/>
      <c r="K1" s="13"/>
      <c r="L1" s="14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12"/>
      <c r="K2" s="13"/>
      <c r="L2" s="14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12"/>
      <c r="K3" s="13"/>
      <c r="L3" s="14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12"/>
      <c r="K4" s="13"/>
      <c r="L4" s="14"/>
      <c r="M4" s="14"/>
      <c r="N4" s="14"/>
      <c r="O4" s="13"/>
      <c r="P4" s="13"/>
      <c r="Q4" s="15"/>
    </row>
    <row r="5" spans="1:17" s="7" customFormat="1" x14ac:dyDescent="0.25">
      <c r="A5" s="235" t="s">
        <v>38</v>
      </c>
      <c r="B5" s="236"/>
      <c r="C5" s="236"/>
      <c r="D5" s="236"/>
      <c r="E5" s="236"/>
      <c r="F5" s="236"/>
      <c r="G5" s="236"/>
      <c r="H5" s="236"/>
      <c r="I5" s="237"/>
      <c r="J5" s="12"/>
      <c r="K5" s="12"/>
      <c r="L5" s="12"/>
    </row>
    <row r="6" spans="1:17" s="7" customFormat="1" ht="33" customHeight="1" x14ac:dyDescent="0.25">
      <c r="A6" s="87" t="s">
        <v>157</v>
      </c>
      <c r="B6" s="88" t="s">
        <v>39</v>
      </c>
      <c r="C6" s="88" t="s">
        <v>41</v>
      </c>
      <c r="D6" s="88" t="s">
        <v>42</v>
      </c>
      <c r="E6" s="88" t="s">
        <v>6</v>
      </c>
      <c r="F6" s="89" t="s">
        <v>82</v>
      </c>
      <c r="G6" s="90" t="s">
        <v>75</v>
      </c>
      <c r="H6" s="90" t="s">
        <v>8</v>
      </c>
      <c r="I6" s="91" t="s">
        <v>136</v>
      </c>
    </row>
    <row r="7" spans="1:17" s="7" customFormat="1" x14ac:dyDescent="0.25">
      <c r="A7" s="27"/>
      <c r="B7" s="3" t="s">
        <v>40</v>
      </c>
      <c r="C7" s="3"/>
      <c r="D7" s="30" t="s">
        <v>9</v>
      </c>
      <c r="E7" s="30"/>
      <c r="F7" s="2" t="s">
        <v>135</v>
      </c>
      <c r="G7" s="31" t="s">
        <v>9</v>
      </c>
      <c r="H7" s="31" t="s">
        <v>9</v>
      </c>
      <c r="I7" s="6"/>
    </row>
    <row r="8" spans="1:17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45">
        <v>8</v>
      </c>
    </row>
    <row r="9" spans="1:17" s="119" customFormat="1" ht="12.75" customHeight="1" thickBot="1" x14ac:dyDescent="0.3">
      <c r="A9" s="149" t="s">
        <v>73</v>
      </c>
      <c r="B9" s="71"/>
      <c r="C9" s="71" t="s">
        <v>251</v>
      </c>
      <c r="D9" s="162"/>
      <c r="E9" s="150"/>
      <c r="F9" s="153">
        <v>14.0400004</v>
      </c>
      <c r="G9" s="71">
        <v>1</v>
      </c>
      <c r="H9" s="71">
        <v>2.6197040781245704E-5</v>
      </c>
      <c r="I9" s="83"/>
    </row>
    <row r="10" spans="1:17" s="119" customFormat="1" x14ac:dyDescent="0.25">
      <c r="A10" s="92" t="s">
        <v>2780</v>
      </c>
      <c r="B10" s="121" t="s">
        <v>251</v>
      </c>
      <c r="C10" s="121" t="s">
        <v>251</v>
      </c>
      <c r="D10" s="121" t="s">
        <v>251</v>
      </c>
      <c r="E10" s="122" t="s">
        <v>251</v>
      </c>
      <c r="F10" s="123">
        <v>14.0400002</v>
      </c>
      <c r="G10" s="121">
        <v>0.99999998575498616</v>
      </c>
      <c r="H10" s="121">
        <v>2.6197040408068496E-5</v>
      </c>
      <c r="I10" s="121" t="s">
        <v>251</v>
      </c>
    </row>
    <row r="11" spans="1:17" s="119" customFormat="1" x14ac:dyDescent="0.25">
      <c r="A11" s="93" t="s">
        <v>2781</v>
      </c>
      <c r="B11" s="121" t="s">
        <v>251</v>
      </c>
      <c r="C11" s="121" t="s">
        <v>251</v>
      </c>
      <c r="D11" s="121" t="s">
        <v>251</v>
      </c>
      <c r="E11" s="122" t="s">
        <v>251</v>
      </c>
      <c r="F11" s="123">
        <v>0</v>
      </c>
      <c r="G11" s="121">
        <v>0</v>
      </c>
      <c r="H11" s="121">
        <v>0</v>
      </c>
      <c r="I11" s="121" t="s">
        <v>251</v>
      </c>
    </row>
    <row r="12" spans="1:17" s="119" customFormat="1" x14ac:dyDescent="0.25">
      <c r="A12" s="93" t="s">
        <v>2782</v>
      </c>
      <c r="B12" s="121" t="s">
        <v>251</v>
      </c>
      <c r="C12" s="121" t="s">
        <v>251</v>
      </c>
      <c r="D12" s="121" t="s">
        <v>251</v>
      </c>
      <c r="E12" s="122" t="s">
        <v>251</v>
      </c>
      <c r="F12" s="123">
        <v>14.040000099999999</v>
      </c>
      <c r="G12" s="121">
        <v>0.99999997863247914</v>
      </c>
      <c r="H12" s="121">
        <v>2.6197040221479888E-5</v>
      </c>
      <c r="I12" s="121" t="s">
        <v>251</v>
      </c>
    </row>
    <row r="13" spans="1:17" x14ac:dyDescent="0.25">
      <c r="A13" s="17" t="s">
        <v>2783</v>
      </c>
      <c r="B13" s="33" t="s">
        <v>251</v>
      </c>
      <c r="C13" s="33" t="s">
        <v>251</v>
      </c>
      <c r="D13" s="33">
        <v>7.0999999999999994E-2</v>
      </c>
      <c r="E13" s="67" t="s">
        <v>257</v>
      </c>
      <c r="F13" s="86">
        <v>14.04</v>
      </c>
      <c r="G13" s="33">
        <v>0.99999997150997222</v>
      </c>
      <c r="H13" s="33">
        <v>2.6197040034891286E-5</v>
      </c>
      <c r="I13" s="33" t="s">
        <v>251</v>
      </c>
      <c r="J13" s="15"/>
      <c r="K13" s="15"/>
      <c r="L13" s="15"/>
      <c r="M13" s="15"/>
      <c r="N13" s="15"/>
      <c r="O13" s="15"/>
      <c r="P13" s="15"/>
    </row>
    <row r="14" spans="1:17" s="119" customFormat="1" x14ac:dyDescent="0.25">
      <c r="A14" s="93" t="s">
        <v>2784</v>
      </c>
      <c r="B14" s="121" t="s">
        <v>251</v>
      </c>
      <c r="C14" s="121" t="s">
        <v>251</v>
      </c>
      <c r="D14" s="121" t="s">
        <v>251</v>
      </c>
      <c r="E14" s="122" t="s">
        <v>251</v>
      </c>
      <c r="F14" s="123">
        <v>0</v>
      </c>
      <c r="G14" s="121">
        <v>0</v>
      </c>
      <c r="H14" s="121">
        <v>0</v>
      </c>
      <c r="I14" s="121" t="s">
        <v>251</v>
      </c>
    </row>
    <row r="15" spans="1:17" s="119" customFormat="1" x14ac:dyDescent="0.25">
      <c r="A15" s="93" t="s">
        <v>2781</v>
      </c>
      <c r="B15" s="121" t="s">
        <v>251</v>
      </c>
      <c r="C15" s="121" t="s">
        <v>251</v>
      </c>
      <c r="D15" s="121" t="s">
        <v>251</v>
      </c>
      <c r="E15" s="122" t="s">
        <v>251</v>
      </c>
      <c r="F15" s="123">
        <v>0</v>
      </c>
      <c r="G15" s="121">
        <v>0</v>
      </c>
      <c r="H15" s="121">
        <v>0</v>
      </c>
      <c r="I15" s="121" t="s">
        <v>251</v>
      </c>
    </row>
    <row r="16" spans="1:17" s="119" customFormat="1" x14ac:dyDescent="0.25">
      <c r="A16" s="93" t="s">
        <v>2782</v>
      </c>
      <c r="B16" s="121" t="s">
        <v>251</v>
      </c>
      <c r="C16" s="121" t="s">
        <v>251</v>
      </c>
      <c r="D16" s="121" t="s">
        <v>251</v>
      </c>
      <c r="E16" s="122" t="s">
        <v>251</v>
      </c>
      <c r="F16" s="123">
        <v>0</v>
      </c>
      <c r="G16" s="121">
        <v>0</v>
      </c>
      <c r="H16" s="121">
        <v>0</v>
      </c>
      <c r="I16" s="121" t="s">
        <v>251</v>
      </c>
    </row>
    <row r="17" spans="1:16" s="119" customFormat="1" x14ac:dyDescent="0.25">
      <c r="A17" s="79" t="s">
        <v>242</v>
      </c>
      <c r="B17" s="125"/>
      <c r="C17" s="79"/>
      <c r="D17" s="146"/>
      <c r="E17" s="126"/>
      <c r="F17" s="126"/>
      <c r="G17" s="126"/>
      <c r="H17" s="126"/>
      <c r="I17" s="126"/>
      <c r="J17" s="147"/>
      <c r="K17" s="130"/>
      <c r="L17" s="148"/>
      <c r="M17" s="148"/>
      <c r="N17" s="148"/>
      <c r="O17" s="130"/>
      <c r="P17" s="130"/>
    </row>
    <row r="18" spans="1:16" s="119" customFormat="1" x14ac:dyDescent="0.25">
      <c r="A18" s="79" t="s">
        <v>243</v>
      </c>
      <c r="B18" s="125"/>
      <c r="C18" s="79"/>
      <c r="D18" s="146"/>
      <c r="E18" s="126"/>
      <c r="F18" s="126"/>
      <c r="G18" s="126"/>
      <c r="H18" s="126"/>
      <c r="I18" s="126"/>
      <c r="J18" s="147"/>
      <c r="K18" s="130"/>
      <c r="L18" s="148"/>
      <c r="M18" s="148"/>
      <c r="N18" s="148"/>
      <c r="O18" s="130"/>
      <c r="P18" s="130"/>
    </row>
    <row r="19" spans="1:16" s="119" customFormat="1" x14ac:dyDescent="0.25">
      <c r="A19" s="79" t="s">
        <v>244</v>
      </c>
      <c r="B19" s="125"/>
      <c r="C19" s="79"/>
      <c r="D19" s="146"/>
      <c r="E19" s="126"/>
      <c r="F19" s="126"/>
      <c r="G19" s="126"/>
      <c r="H19" s="126"/>
      <c r="I19" s="126"/>
      <c r="J19" s="147"/>
      <c r="K19" s="130"/>
      <c r="L19" s="148"/>
      <c r="M19" s="148"/>
      <c r="N19" s="148"/>
      <c r="O19" s="130"/>
      <c r="P19" s="130"/>
    </row>
    <row r="20" spans="1:16" s="119" customFormat="1" x14ac:dyDescent="0.25">
      <c r="A20" s="79" t="s">
        <v>245</v>
      </c>
      <c r="B20" s="125"/>
      <c r="C20" s="79"/>
      <c r="D20" s="146"/>
      <c r="E20" s="126"/>
      <c r="F20" s="126"/>
      <c r="G20" s="126"/>
      <c r="H20" s="126"/>
      <c r="I20" s="126"/>
      <c r="J20" s="147"/>
      <c r="K20" s="130"/>
      <c r="L20" s="148"/>
      <c r="M20" s="148"/>
      <c r="N20" s="148"/>
      <c r="O20" s="130"/>
      <c r="P20" s="130"/>
    </row>
    <row r="21" spans="1:16" s="119" customFormat="1" x14ac:dyDescent="0.25">
      <c r="A21" s="79" t="s">
        <v>246</v>
      </c>
      <c r="B21" s="125"/>
      <c r="C21" s="79"/>
      <c r="D21" s="146"/>
      <c r="E21" s="126"/>
      <c r="F21" s="126"/>
      <c r="G21" s="126"/>
      <c r="H21" s="126"/>
      <c r="I21" s="126"/>
      <c r="J21" s="147"/>
      <c r="K21" s="130"/>
      <c r="L21" s="148"/>
      <c r="M21" s="148"/>
      <c r="N21" s="148"/>
      <c r="O21" s="130"/>
      <c r="P21" s="130"/>
    </row>
  </sheetData>
  <mergeCells count="1">
    <mergeCell ref="A5:I5"/>
  </mergeCells>
  <phoneticPr fontId="3" type="noConversion"/>
  <conditionalFormatting sqref="A9:A16 F9:I16">
    <cfRule type="expression" dxfId="36" priority="393" stopIfTrue="1">
      <formula>LEFT(#REF!,3)="TIR"</formula>
    </cfRule>
  </conditionalFormatting>
  <conditionalFormatting sqref="B9:E16 G9:I16">
    <cfRule type="expression" dxfId="35" priority="390" stopIfTrue="1">
      <formula>LEFT(#REF!,3)="TIR"</formula>
    </cfRule>
  </conditionalFormatting>
  <conditionalFormatting sqref="F9:I16 A9:A16">
    <cfRule type="expression" dxfId="34" priority="392" stopIfTrue="1">
      <formula>#REF!&gt;0</formula>
    </cfRule>
  </conditionalFormatting>
  <conditionalFormatting sqref="K1:K4 K17:K55551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/>
  </sheetViews>
  <sheetFormatPr defaultColWidth="9.109375" defaultRowHeight="13.2" x14ac:dyDescent="0.25"/>
  <cols>
    <col min="1" max="1" width="25.6640625" style="10" bestFit="1" customWidth="1"/>
    <col min="2" max="2" width="12.6640625" style="9" bestFit="1" customWidth="1"/>
    <col min="3" max="3" width="7.33203125" style="10" customWidth="1"/>
    <col min="4" max="4" width="11.6640625" style="11" customWidth="1"/>
    <col min="5" max="5" width="13.109375" style="60" customWidth="1"/>
    <col min="6" max="6" width="10.6640625" style="60" customWidth="1"/>
    <col min="7" max="7" width="13.44140625" style="60" customWidth="1"/>
    <col min="8" max="8" width="9.88671875" style="60" customWidth="1"/>
    <col min="9" max="9" width="24" style="60" customWidth="1"/>
    <col min="10" max="10" width="22.33203125" style="60" customWidth="1"/>
    <col min="11" max="11" width="9.5546875" style="12" customWidth="1"/>
    <col min="12" max="12" width="12.109375" style="13" customWidth="1"/>
    <col min="13" max="13" width="10" style="20" customWidth="1"/>
    <col min="14" max="14" width="11.44140625" style="20" bestFit="1" customWidth="1"/>
    <col min="15" max="15" width="7.33203125" style="20" customWidth="1"/>
    <col min="16" max="17" width="10.5546875" style="13" customWidth="1"/>
    <col min="18" max="18" width="11.44140625" style="15" customWidth="1"/>
    <col min="19" max="19" width="15.44140625" style="15" customWidth="1"/>
    <col min="20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60"/>
      <c r="K1" s="12"/>
      <c r="L1" s="13"/>
      <c r="M1" s="14"/>
      <c r="N1" s="14"/>
      <c r="O1" s="14"/>
      <c r="P1" s="13"/>
      <c r="Q1" s="13"/>
      <c r="R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60"/>
      <c r="K2" s="12"/>
      <c r="L2" s="13"/>
      <c r="M2" s="14"/>
      <c r="N2" s="14"/>
      <c r="O2" s="14"/>
      <c r="P2" s="13"/>
      <c r="Q2" s="13"/>
      <c r="R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60"/>
      <c r="K3" s="12"/>
      <c r="L3" s="13"/>
      <c r="M3" s="14"/>
      <c r="N3" s="14"/>
      <c r="O3" s="14"/>
      <c r="P3" s="13"/>
      <c r="Q3" s="13"/>
      <c r="R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60"/>
      <c r="K4" s="12"/>
      <c r="L4" s="13"/>
      <c r="M4" s="14"/>
      <c r="N4" s="14"/>
      <c r="O4" s="14"/>
      <c r="P4" s="13"/>
      <c r="Q4" s="13"/>
      <c r="R4" s="15"/>
    </row>
    <row r="5" spans="1:18" s="7" customFormat="1" x14ac:dyDescent="0.25">
      <c r="A5" s="222" t="s">
        <v>86</v>
      </c>
      <c r="B5" s="223"/>
      <c r="C5" s="223"/>
      <c r="D5" s="223"/>
      <c r="E5" s="223"/>
      <c r="F5" s="223"/>
      <c r="G5" s="223"/>
      <c r="H5" s="223"/>
      <c r="I5" s="223"/>
      <c r="J5" s="224"/>
      <c r="K5" s="12"/>
      <c r="L5" s="12"/>
      <c r="M5" s="12"/>
    </row>
    <row r="6" spans="1:18" s="7" customFormat="1" ht="33" customHeight="1" x14ac:dyDescent="0.25">
      <c r="A6" s="87" t="s">
        <v>157</v>
      </c>
      <c r="B6" s="204" t="s">
        <v>74</v>
      </c>
      <c r="C6" s="204" t="s">
        <v>70</v>
      </c>
      <c r="D6" s="204" t="s">
        <v>83</v>
      </c>
      <c r="E6" s="204" t="s">
        <v>84</v>
      </c>
      <c r="F6" s="205" t="s">
        <v>6</v>
      </c>
      <c r="G6" s="90" t="s">
        <v>71</v>
      </c>
      <c r="H6" s="90" t="s">
        <v>29</v>
      </c>
      <c r="I6" s="90" t="s">
        <v>75</v>
      </c>
      <c r="J6" s="91" t="s">
        <v>85</v>
      </c>
    </row>
    <row r="7" spans="1:18" s="7" customFormat="1" x14ac:dyDescent="0.25">
      <c r="A7" s="27"/>
      <c r="B7" s="3"/>
      <c r="C7" s="3"/>
      <c r="D7" s="30"/>
      <c r="E7" s="30" t="s">
        <v>9</v>
      </c>
      <c r="F7" s="2"/>
      <c r="G7" s="31" t="s">
        <v>9</v>
      </c>
      <c r="H7" s="31" t="s">
        <v>135</v>
      </c>
      <c r="I7" s="31" t="s">
        <v>9</v>
      </c>
      <c r="J7" s="6" t="s">
        <v>9</v>
      </c>
    </row>
    <row r="8" spans="1:18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58">
        <v>8</v>
      </c>
      <c r="J8" s="45">
        <v>9</v>
      </c>
    </row>
    <row r="9" spans="1:18" s="119" customFormat="1" ht="12.75" customHeight="1" thickBot="1" x14ac:dyDescent="0.3">
      <c r="A9" s="100" t="s">
        <v>123</v>
      </c>
      <c r="B9" s="71"/>
      <c r="C9" s="71"/>
      <c r="D9" s="162"/>
      <c r="E9" s="150"/>
      <c r="F9" s="107"/>
      <c r="G9" s="107"/>
      <c r="H9" s="153">
        <v>2.0000000000000002E-7</v>
      </c>
      <c r="I9" s="71">
        <v>1</v>
      </c>
      <c r="J9" s="82">
        <v>3.7317720847423488E-13</v>
      </c>
    </row>
    <row r="10" spans="1:18" s="119" customFormat="1" x14ac:dyDescent="0.25">
      <c r="A10" s="92" t="s">
        <v>137</v>
      </c>
      <c r="B10" s="121" t="s">
        <v>251</v>
      </c>
      <c r="C10" s="121" t="s">
        <v>251</v>
      </c>
      <c r="D10" s="121" t="s">
        <v>251</v>
      </c>
      <c r="E10" s="121" t="s">
        <v>251</v>
      </c>
      <c r="F10" s="134" t="s">
        <v>251</v>
      </c>
      <c r="G10" s="163" t="s">
        <v>251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92" t="s">
        <v>498</v>
      </c>
      <c r="B11" s="121" t="s">
        <v>251</v>
      </c>
      <c r="C11" s="121" t="s">
        <v>251</v>
      </c>
      <c r="D11" s="121" t="s">
        <v>251</v>
      </c>
      <c r="E11" s="121" t="s">
        <v>251</v>
      </c>
      <c r="F11" s="134" t="s">
        <v>251</v>
      </c>
      <c r="G11" s="163" t="s">
        <v>251</v>
      </c>
      <c r="H11" s="123">
        <v>0</v>
      </c>
      <c r="I11" s="121">
        <v>0</v>
      </c>
      <c r="J11" s="121">
        <v>0</v>
      </c>
    </row>
    <row r="12" spans="1:18" s="119" customFormat="1" x14ac:dyDescent="0.25">
      <c r="A12" s="79" t="s">
        <v>242</v>
      </c>
      <c r="B12" s="125"/>
      <c r="C12" s="79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9" t="s">
        <v>243</v>
      </c>
      <c r="B13" s="125"/>
      <c r="C13" s="79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9" t="s">
        <v>244</v>
      </c>
      <c r="B14" s="125"/>
      <c r="C14" s="79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9" t="s">
        <v>245</v>
      </c>
      <c r="B15" s="125"/>
      <c r="C15" s="79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  <row r="16" spans="1:18" s="119" customFormat="1" x14ac:dyDescent="0.25">
      <c r="A16" s="79" t="s">
        <v>246</v>
      </c>
      <c r="B16" s="125"/>
      <c r="C16" s="79"/>
      <c r="D16" s="146"/>
      <c r="E16" s="126"/>
      <c r="F16" s="126"/>
      <c r="G16" s="126"/>
      <c r="H16" s="126"/>
      <c r="I16" s="126"/>
      <c r="J16" s="126"/>
      <c r="K16" s="147"/>
      <c r="L16" s="130"/>
      <c r="M16" s="148"/>
      <c r="N16" s="148"/>
      <c r="O16" s="148"/>
      <c r="P16" s="130"/>
      <c r="Q16" s="130"/>
    </row>
  </sheetData>
  <mergeCells count="1">
    <mergeCell ref="A5:J5"/>
  </mergeCells>
  <conditionalFormatting sqref="A9:A11 F9:J11">
    <cfRule type="expression" dxfId="32" priority="405" stopIfTrue="1">
      <formula>LEFT(#REF!,3)="TIR"</formula>
    </cfRule>
  </conditionalFormatting>
  <conditionalFormatting sqref="B9:E11 I9:J11">
    <cfRule type="expression" dxfId="31" priority="402" stopIfTrue="1">
      <formula>LEFT(#REF!,3)="TIR"</formula>
    </cfRule>
  </conditionalFormatting>
  <conditionalFormatting sqref="F9:J11 A9:A11">
    <cfRule type="expression" dxfId="30" priority="404" stopIfTrue="1">
      <formula>#REF!&gt;0</formula>
    </cfRule>
  </conditionalFormatting>
  <conditionalFormatting sqref="L1:L4 L12:L55546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36.5546875" style="10" bestFit="1" customWidth="1"/>
    <col min="2" max="2" width="12.6640625" style="10" bestFit="1" customWidth="1"/>
    <col min="3" max="3" width="7.33203125" style="9" customWidth="1"/>
    <col min="4" max="4" width="10.5546875" style="10" customWidth="1"/>
    <col min="5" max="5" width="12" style="11" customWidth="1"/>
    <col min="6" max="6" width="12.5546875" style="11" bestFit="1" customWidth="1"/>
    <col min="7" max="7" width="13.44140625" style="11" customWidth="1"/>
    <col min="8" max="8" width="9.88671875" style="11" customWidth="1"/>
    <col min="9" max="9" width="24" style="11" customWidth="1"/>
    <col min="10" max="10" width="19.6640625" style="37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10"/>
      <c r="E1" s="11"/>
      <c r="F1" s="11"/>
      <c r="G1" s="11"/>
      <c r="H1" s="11"/>
      <c r="I1" s="11"/>
      <c r="J1" s="37"/>
      <c r="K1" s="13"/>
      <c r="L1" s="14"/>
      <c r="M1" s="14"/>
      <c r="N1" s="14"/>
      <c r="O1" s="13"/>
      <c r="P1" s="13"/>
      <c r="Q1" s="15"/>
    </row>
    <row r="2" spans="1:20" s="7" customFormat="1" x14ac:dyDescent="0.25">
      <c r="A2" s="10" t="s">
        <v>238</v>
      </c>
      <c r="B2" s="10" t="s">
        <v>150</v>
      </c>
      <c r="C2" s="9"/>
      <c r="D2" s="10"/>
      <c r="E2" s="11"/>
      <c r="F2" s="11"/>
      <c r="G2" s="11"/>
      <c r="H2" s="11"/>
      <c r="I2" s="11"/>
      <c r="J2" s="37"/>
      <c r="K2" s="13"/>
      <c r="L2" s="14"/>
      <c r="M2" s="14"/>
      <c r="N2" s="14"/>
      <c r="O2" s="13"/>
      <c r="P2" s="13"/>
      <c r="Q2" s="15"/>
    </row>
    <row r="3" spans="1:20" s="7" customFormat="1" x14ac:dyDescent="0.25">
      <c r="A3" s="10" t="s">
        <v>239</v>
      </c>
      <c r="B3" s="9" t="s">
        <v>240</v>
      </c>
      <c r="C3" s="9"/>
      <c r="D3" s="10"/>
      <c r="E3" s="11"/>
      <c r="F3" s="11"/>
      <c r="G3" s="11"/>
      <c r="H3" s="11"/>
      <c r="I3" s="11"/>
      <c r="J3" s="37"/>
      <c r="K3" s="13"/>
      <c r="L3" s="14"/>
      <c r="M3" s="14"/>
      <c r="N3" s="14"/>
      <c r="O3" s="13"/>
      <c r="P3" s="13"/>
      <c r="Q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10"/>
      <c r="E4" s="11"/>
      <c r="F4" s="11"/>
      <c r="G4" s="11"/>
      <c r="H4" s="11"/>
      <c r="I4" s="11"/>
      <c r="J4" s="37"/>
      <c r="K4" s="13"/>
      <c r="L4" s="14"/>
      <c r="M4" s="14"/>
      <c r="N4" s="14"/>
      <c r="O4" s="13"/>
      <c r="P4" s="13"/>
      <c r="Q4" s="15"/>
    </row>
    <row r="5" spans="1:20" s="7" customFormat="1" x14ac:dyDescent="0.25">
      <c r="A5" s="222" t="s">
        <v>87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7" customFormat="1" x14ac:dyDescent="0.25">
      <c r="A6" s="87" t="s">
        <v>157</v>
      </c>
      <c r="B6" s="204" t="s">
        <v>81</v>
      </c>
      <c r="C6" s="204" t="s">
        <v>70</v>
      </c>
      <c r="D6" s="204" t="s">
        <v>5</v>
      </c>
      <c r="E6" s="205" t="s">
        <v>66</v>
      </c>
      <c r="F6" s="205" t="s">
        <v>6</v>
      </c>
      <c r="G6" s="205" t="s">
        <v>71</v>
      </c>
      <c r="H6" s="205" t="s">
        <v>29</v>
      </c>
      <c r="I6" s="90" t="s">
        <v>75</v>
      </c>
      <c r="J6" s="91" t="s">
        <v>8</v>
      </c>
    </row>
    <row r="7" spans="1:20" s="7" customFormat="1" x14ac:dyDescent="0.25">
      <c r="A7" s="27"/>
      <c r="B7" s="3"/>
      <c r="C7" s="3"/>
      <c r="D7" s="28"/>
      <c r="E7" s="2" t="s">
        <v>9</v>
      </c>
      <c r="F7" s="2"/>
      <c r="G7" s="2" t="s">
        <v>9</v>
      </c>
      <c r="H7" s="2" t="s">
        <v>135</v>
      </c>
      <c r="I7" s="31" t="s">
        <v>9</v>
      </c>
      <c r="J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3">
        <v>9</v>
      </c>
    </row>
    <row r="9" spans="1:20" s="119" customFormat="1" ht="12.75" customHeight="1" thickBot="1" x14ac:dyDescent="0.3">
      <c r="A9" s="73" t="s">
        <v>124</v>
      </c>
      <c r="B9" s="120"/>
      <c r="C9" s="120"/>
      <c r="D9" s="120" t="s">
        <v>251</v>
      </c>
      <c r="E9" s="120" t="s">
        <v>251</v>
      </c>
      <c r="F9" s="120" t="s">
        <v>251</v>
      </c>
      <c r="G9" s="120" t="s">
        <v>251</v>
      </c>
      <c r="H9" s="94">
        <v>104.42964020000002</v>
      </c>
      <c r="I9" s="78">
        <v>1</v>
      </c>
      <c r="J9" s="59">
        <v>1.9485380805902373E-4</v>
      </c>
    </row>
    <row r="10" spans="1:20" s="119" customFormat="1" x14ac:dyDescent="0.25">
      <c r="A10" s="92" t="s">
        <v>137</v>
      </c>
      <c r="B10" s="164"/>
      <c r="C10" s="122" t="s">
        <v>251</v>
      </c>
      <c r="D10" s="143" t="s">
        <v>251</v>
      </c>
      <c r="E10" s="157" t="s">
        <v>251</v>
      </c>
      <c r="F10" s="134" t="s">
        <v>251</v>
      </c>
      <c r="G10" s="157" t="s">
        <v>251</v>
      </c>
      <c r="H10" s="123">
        <v>104.42964010000001</v>
      </c>
      <c r="I10" s="121">
        <v>0.99999999904241743</v>
      </c>
      <c r="J10" s="121">
        <v>1.9485380787243511E-4</v>
      </c>
    </row>
    <row r="11" spans="1:20" x14ac:dyDescent="0.25">
      <c r="A11" s="17" t="s">
        <v>2799</v>
      </c>
      <c r="B11" s="24" t="s">
        <v>2800</v>
      </c>
      <c r="C11" s="67" t="s">
        <v>533</v>
      </c>
      <c r="D11" s="26" t="s">
        <v>251</v>
      </c>
      <c r="E11" s="18">
        <v>0</v>
      </c>
      <c r="F11" s="69" t="s">
        <v>257</v>
      </c>
      <c r="G11" s="18">
        <v>0</v>
      </c>
      <c r="H11" s="86">
        <v>-251.13648999999998</v>
      </c>
      <c r="I11" s="77">
        <v>-2.4048391770672781</v>
      </c>
      <c r="J11" s="33">
        <v>-4.6859207142108795E-4</v>
      </c>
      <c r="K11" s="15"/>
      <c r="L11" s="15"/>
      <c r="M11" s="15"/>
      <c r="N11" s="15"/>
      <c r="O11" s="15"/>
      <c r="P11" s="15"/>
    </row>
    <row r="12" spans="1:20" x14ac:dyDescent="0.25">
      <c r="A12" s="17" t="s">
        <v>2801</v>
      </c>
      <c r="B12" s="24" t="s">
        <v>2802</v>
      </c>
      <c r="C12" s="67" t="s">
        <v>533</v>
      </c>
      <c r="D12" s="26" t="s">
        <v>533</v>
      </c>
      <c r="E12" s="18">
        <v>0</v>
      </c>
      <c r="F12" s="69" t="s">
        <v>125</v>
      </c>
      <c r="G12" s="18">
        <v>0</v>
      </c>
      <c r="H12" s="86">
        <v>15.9635</v>
      </c>
      <c r="I12" s="77">
        <v>0.15286368859863214</v>
      </c>
      <c r="J12" s="33">
        <v>2.9786071837392242E-5</v>
      </c>
      <c r="K12" s="15"/>
      <c r="L12" s="15"/>
      <c r="M12" s="15"/>
      <c r="N12" s="15"/>
      <c r="O12" s="15"/>
      <c r="P12" s="15"/>
    </row>
    <row r="13" spans="1:20" x14ac:dyDescent="0.25">
      <c r="A13" s="17" t="s">
        <v>2785</v>
      </c>
      <c r="B13" s="24" t="s">
        <v>2786</v>
      </c>
      <c r="C13" s="67" t="s">
        <v>533</v>
      </c>
      <c r="D13" s="26" t="s">
        <v>533</v>
      </c>
      <c r="E13" s="18">
        <v>7.5999999999999998E-2</v>
      </c>
      <c r="F13" s="69" t="s">
        <v>257</v>
      </c>
      <c r="G13" s="18">
        <v>0</v>
      </c>
      <c r="H13" s="86">
        <v>26.044400000000003</v>
      </c>
      <c r="I13" s="77">
        <v>0.24939662676344254</v>
      </c>
      <c r="J13" s="33">
        <v>4.8595882441931821E-5</v>
      </c>
      <c r="K13" s="15"/>
      <c r="L13" s="15"/>
      <c r="M13" s="15"/>
      <c r="N13" s="15"/>
      <c r="O13" s="15"/>
      <c r="P13" s="15"/>
    </row>
    <row r="14" spans="1:20" x14ac:dyDescent="0.25">
      <c r="A14" s="17" t="s">
        <v>2787</v>
      </c>
      <c r="B14" s="24" t="s">
        <v>2788</v>
      </c>
      <c r="C14" s="67" t="s">
        <v>533</v>
      </c>
      <c r="D14" s="26" t="s">
        <v>533</v>
      </c>
      <c r="E14" s="18">
        <v>4.4500000000000005E-2</v>
      </c>
      <c r="F14" s="69" t="s">
        <v>257</v>
      </c>
      <c r="G14" s="18">
        <v>0</v>
      </c>
      <c r="H14" s="86">
        <v>238.60576</v>
      </c>
      <c r="I14" s="77">
        <v>2.2848470945895296</v>
      </c>
      <c r="J14" s="33">
        <v>4.4521115721336623E-4</v>
      </c>
      <c r="K14" s="15"/>
      <c r="L14" s="15"/>
      <c r="M14" s="15"/>
      <c r="N14" s="15"/>
      <c r="O14" s="15"/>
      <c r="P14" s="15"/>
    </row>
    <row r="15" spans="1:20" x14ac:dyDescent="0.25">
      <c r="A15" s="17" t="s">
        <v>2789</v>
      </c>
      <c r="B15" s="24" t="s">
        <v>2790</v>
      </c>
      <c r="C15" s="67" t="s">
        <v>533</v>
      </c>
      <c r="D15" s="26" t="s">
        <v>533</v>
      </c>
      <c r="E15" s="18">
        <v>6.8499999999999991E-2</v>
      </c>
      <c r="F15" s="69" t="s">
        <v>257</v>
      </c>
      <c r="G15" s="18">
        <v>0</v>
      </c>
      <c r="H15" s="86">
        <v>6.5291899999999998</v>
      </c>
      <c r="I15" s="77">
        <v>6.2522383372149146E-2</v>
      </c>
      <c r="J15" s="33">
        <v>1.2182724488989447E-5</v>
      </c>
      <c r="K15" s="15"/>
      <c r="L15" s="15"/>
      <c r="M15" s="15"/>
      <c r="N15" s="15"/>
      <c r="O15" s="15"/>
      <c r="P15" s="15"/>
    </row>
    <row r="16" spans="1:20" x14ac:dyDescent="0.25">
      <c r="A16" s="17" t="s">
        <v>2791</v>
      </c>
      <c r="B16" s="24" t="s">
        <v>2792</v>
      </c>
      <c r="C16" s="67" t="s">
        <v>533</v>
      </c>
      <c r="D16" s="26" t="s">
        <v>533</v>
      </c>
      <c r="E16" s="18">
        <v>3.5000000000000003E-2</v>
      </c>
      <c r="F16" s="69" t="s">
        <v>257</v>
      </c>
      <c r="G16" s="18">
        <v>0</v>
      </c>
      <c r="H16" s="86">
        <v>1.0249999999999999</v>
      </c>
      <c r="I16" s="77">
        <v>9.8152210238104387E-3</v>
      </c>
      <c r="J16" s="33">
        <v>1.9125331934304536E-6</v>
      </c>
      <c r="K16" s="15"/>
      <c r="L16" s="15"/>
      <c r="M16" s="15"/>
      <c r="N16" s="15"/>
      <c r="O16" s="15"/>
      <c r="P16" s="15"/>
    </row>
    <row r="17" spans="1:16" x14ac:dyDescent="0.25">
      <c r="A17" s="17" t="s">
        <v>2793</v>
      </c>
      <c r="B17" s="24" t="s">
        <v>2794</v>
      </c>
      <c r="C17" s="67" t="s">
        <v>533</v>
      </c>
      <c r="D17" s="26" t="s">
        <v>533</v>
      </c>
      <c r="E17" s="18">
        <v>5.3499999999999999E-2</v>
      </c>
      <c r="F17" s="69" t="s">
        <v>257</v>
      </c>
      <c r="G17" s="18">
        <v>0</v>
      </c>
      <c r="H17" s="86">
        <v>47.372750000000003</v>
      </c>
      <c r="I17" s="77">
        <v>0.45363318220069848</v>
      </c>
      <c r="J17" s="33">
        <v>8.8392153013739053E-5</v>
      </c>
      <c r="K17" s="15"/>
      <c r="L17" s="15"/>
      <c r="M17" s="15"/>
      <c r="N17" s="15"/>
      <c r="O17" s="15"/>
      <c r="P17" s="15"/>
    </row>
    <row r="18" spans="1:16" x14ac:dyDescent="0.25">
      <c r="A18" s="17" t="s">
        <v>2795</v>
      </c>
      <c r="B18" s="24" t="s">
        <v>2796</v>
      </c>
      <c r="C18" s="67" t="s">
        <v>533</v>
      </c>
      <c r="D18" s="26" t="s">
        <v>533</v>
      </c>
      <c r="E18" s="18">
        <v>5.5E-2</v>
      </c>
      <c r="F18" s="69" t="s">
        <v>257</v>
      </c>
      <c r="G18" s="18">
        <v>0</v>
      </c>
      <c r="H18" s="86">
        <v>18.580659999999998</v>
      </c>
      <c r="I18" s="77">
        <v>0.17792515577392554</v>
      </c>
      <c r="J18" s="33">
        <v>3.466939415204438E-5</v>
      </c>
      <c r="K18" s="15"/>
      <c r="L18" s="15"/>
      <c r="M18" s="15"/>
      <c r="N18" s="15"/>
      <c r="O18" s="15"/>
      <c r="P18" s="15"/>
    </row>
    <row r="19" spans="1:16" x14ac:dyDescent="0.25">
      <c r="A19" s="17" t="s">
        <v>2797</v>
      </c>
      <c r="B19" s="24" t="s">
        <v>2798</v>
      </c>
      <c r="C19" s="67" t="s">
        <v>533</v>
      </c>
      <c r="D19" s="26" t="s">
        <v>533</v>
      </c>
      <c r="E19" s="18">
        <v>0.11099999904632568</v>
      </c>
      <c r="F19" s="69" t="s">
        <v>257</v>
      </c>
      <c r="G19" s="18">
        <v>0</v>
      </c>
      <c r="H19" s="86">
        <v>1.4448699999999999</v>
      </c>
      <c r="I19" s="77">
        <v>1.3835822829924866E-2</v>
      </c>
      <c r="J19" s="33">
        <v>2.6959627660408384E-6</v>
      </c>
      <c r="K19" s="15"/>
      <c r="L19" s="15"/>
      <c r="M19" s="15"/>
      <c r="N19" s="15"/>
      <c r="O19" s="15"/>
      <c r="P19" s="15"/>
    </row>
    <row r="20" spans="1:16" s="119" customFormat="1" x14ac:dyDescent="0.25">
      <c r="A20" s="93" t="s">
        <v>498</v>
      </c>
      <c r="B20" s="165" t="s">
        <v>251</v>
      </c>
      <c r="C20" s="122" t="s">
        <v>251</v>
      </c>
      <c r="D20" s="145" t="s">
        <v>251</v>
      </c>
      <c r="E20" s="158" t="s">
        <v>251</v>
      </c>
      <c r="F20" s="134" t="s">
        <v>251</v>
      </c>
      <c r="G20" s="158" t="s">
        <v>251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9" t="s">
        <v>242</v>
      </c>
      <c r="B21" s="79"/>
      <c r="C21" s="125"/>
      <c r="D21" s="79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9" t="s">
        <v>243</v>
      </c>
      <c r="B22" s="79"/>
      <c r="C22" s="125"/>
      <c r="D22" s="79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9" t="s">
        <v>244</v>
      </c>
      <c r="B23" s="79"/>
      <c r="C23" s="125"/>
      <c r="D23" s="79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9" t="s">
        <v>245</v>
      </c>
      <c r="B24" s="79"/>
      <c r="C24" s="125"/>
      <c r="D24" s="79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9" t="s">
        <v>246</v>
      </c>
      <c r="B25" s="79"/>
      <c r="C25" s="125"/>
      <c r="D25" s="79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5:J5"/>
  </mergeCells>
  <phoneticPr fontId="3" type="noConversion"/>
  <conditionalFormatting sqref="A10:A20 F10:F20 H10:J20">
    <cfRule type="expression" dxfId="28" priority="423" stopIfTrue="1">
      <formula>LEFT(#REF!,3)="TIR"</formula>
    </cfRule>
  </conditionalFormatting>
  <conditionalFormatting sqref="B10:D20 J10:J20">
    <cfRule type="expression" dxfId="27" priority="420" stopIfTrue="1">
      <formula>LEFT(#REF!,3)="TIR"</formula>
    </cfRule>
  </conditionalFormatting>
  <conditionalFormatting sqref="E6:F6">
    <cfRule type="expression" dxfId="26" priority="419" stopIfTrue="1">
      <formula>LEFT(#REF!,3)="TIR"</formula>
    </cfRule>
  </conditionalFormatting>
  <conditionalFormatting sqref="H10:J20 F10:F20 A10:A20">
    <cfRule type="expression" dxfId="25" priority="422" stopIfTrue="1">
      <formula>#REF!&gt;0</formula>
    </cfRule>
  </conditionalFormatting>
  <conditionalFormatting sqref="K1:K5 L5:T5 E10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55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247</v>
      </c>
    </row>
    <row r="2" spans="1:3" x14ac:dyDescent="0.25">
      <c r="A2" t="s">
        <v>238</v>
      </c>
      <c r="B2" t="s">
        <v>150</v>
      </c>
    </row>
    <row r="3" spans="1:3" x14ac:dyDescent="0.25">
      <c r="A3" t="s">
        <v>239</v>
      </c>
      <c r="B3" t="s">
        <v>240</v>
      </c>
    </row>
    <row r="4" spans="1:3" ht="13.8" thickBot="1" x14ac:dyDescent="0.3">
      <c r="A4" t="s">
        <v>241</v>
      </c>
      <c r="B4" t="s">
        <v>249</v>
      </c>
    </row>
    <row r="5" spans="1:3" x14ac:dyDescent="0.25">
      <c r="A5" s="222" t="s">
        <v>128</v>
      </c>
      <c r="B5" s="223"/>
      <c r="C5" s="224"/>
    </row>
    <row r="6" spans="1:3" x14ac:dyDescent="0.25">
      <c r="A6" s="87" t="s">
        <v>157</v>
      </c>
      <c r="B6" s="204" t="s">
        <v>63</v>
      </c>
      <c r="C6" s="95" t="s">
        <v>64</v>
      </c>
    </row>
    <row r="7" spans="1:3" x14ac:dyDescent="0.25">
      <c r="A7" s="27"/>
      <c r="B7" s="3" t="s">
        <v>10</v>
      </c>
      <c r="C7" s="45" t="s">
        <v>40</v>
      </c>
    </row>
    <row r="8" spans="1:3" s="113" customFormat="1" x14ac:dyDescent="0.25">
      <c r="A8" s="166"/>
      <c r="B8" s="167">
        <v>1</v>
      </c>
      <c r="C8" s="168">
        <v>2</v>
      </c>
    </row>
    <row r="9" spans="1:3" s="113" customFormat="1" ht="13.8" thickBot="1" x14ac:dyDescent="0.3">
      <c r="A9" s="73" t="s">
        <v>2851</v>
      </c>
      <c r="B9" s="169">
        <v>31674.539624114921</v>
      </c>
      <c r="C9" s="116" t="s">
        <v>251</v>
      </c>
    </row>
    <row r="10" spans="1:3" s="113" customFormat="1" x14ac:dyDescent="0.25">
      <c r="A10" s="115" t="s">
        <v>137</v>
      </c>
      <c r="B10" s="170">
        <v>12512.630444014929</v>
      </c>
      <c r="C10" s="171" t="s">
        <v>251</v>
      </c>
    </row>
    <row r="11" spans="1:3" x14ac:dyDescent="0.25">
      <c r="A11" s="46" t="s">
        <v>2852</v>
      </c>
      <c r="B11" s="114">
        <v>1218.37069</v>
      </c>
      <c r="C11" s="41" t="s">
        <v>2853</v>
      </c>
    </row>
    <row r="12" spans="1:3" x14ac:dyDescent="0.25">
      <c r="A12" s="46" t="s">
        <v>2854</v>
      </c>
      <c r="B12" s="114">
        <v>940.70898</v>
      </c>
      <c r="C12" s="41" t="s">
        <v>2853</v>
      </c>
    </row>
    <row r="13" spans="1:3" x14ac:dyDescent="0.25">
      <c r="A13" s="46" t="s">
        <v>2855</v>
      </c>
      <c r="B13" s="114">
        <v>1890.9375600000001</v>
      </c>
      <c r="C13" s="41" t="s">
        <v>2853</v>
      </c>
    </row>
    <row r="14" spans="1:3" x14ac:dyDescent="0.25">
      <c r="A14" s="46" t="s">
        <v>2856</v>
      </c>
      <c r="B14" s="114">
        <v>2142.1430599999999</v>
      </c>
      <c r="C14" s="41" t="s">
        <v>248</v>
      </c>
    </row>
    <row r="15" spans="1:3" x14ac:dyDescent="0.25">
      <c r="A15" s="46" t="s">
        <v>2857</v>
      </c>
      <c r="B15" s="114">
        <v>1414.7450900000001</v>
      </c>
      <c r="C15" s="41" t="s">
        <v>2858</v>
      </c>
    </row>
    <row r="16" spans="1:3" x14ac:dyDescent="0.25">
      <c r="A16" s="46" t="s">
        <v>2859</v>
      </c>
      <c r="B16" s="114">
        <v>512.68138999999996</v>
      </c>
      <c r="C16" s="41" t="s">
        <v>2858</v>
      </c>
    </row>
    <row r="17" spans="1:3" x14ac:dyDescent="0.25">
      <c r="A17" s="46" t="s">
        <v>2860</v>
      </c>
      <c r="B17" s="114">
        <v>130.01208</v>
      </c>
      <c r="C17" s="41" t="s">
        <v>2861</v>
      </c>
    </row>
    <row r="18" spans="1:3" x14ac:dyDescent="0.25">
      <c r="A18" s="46" t="s">
        <v>2862</v>
      </c>
      <c r="B18" s="114">
        <v>107.17628000000001</v>
      </c>
      <c r="C18" s="41" t="s">
        <v>2861</v>
      </c>
    </row>
    <row r="19" spans="1:3" x14ac:dyDescent="0.25">
      <c r="A19" s="46" t="s">
        <v>2863</v>
      </c>
      <c r="B19" s="114">
        <v>467.14784000000003</v>
      </c>
      <c r="C19" s="41" t="s">
        <v>2864</v>
      </c>
    </row>
    <row r="20" spans="1:3" x14ac:dyDescent="0.25">
      <c r="A20" s="46" t="s">
        <v>2865</v>
      </c>
      <c r="B20" s="114">
        <v>2.2003205100000001E-3</v>
      </c>
      <c r="C20" s="41" t="s">
        <v>2864</v>
      </c>
    </row>
    <row r="21" spans="1:3" x14ac:dyDescent="0.25">
      <c r="A21" s="46" t="s">
        <v>2866</v>
      </c>
      <c r="B21" s="114">
        <v>4.3304441700000001E-4</v>
      </c>
      <c r="C21" s="41" t="s">
        <v>2864</v>
      </c>
    </row>
    <row r="22" spans="1:3" x14ac:dyDescent="0.25">
      <c r="A22" s="46" t="s">
        <v>2867</v>
      </c>
      <c r="B22" s="114">
        <v>4.4395299999999995</v>
      </c>
      <c r="C22" s="41" t="s">
        <v>248</v>
      </c>
    </row>
    <row r="23" spans="1:3" x14ac:dyDescent="0.25">
      <c r="A23" s="46" t="s">
        <v>2868</v>
      </c>
      <c r="B23" s="114">
        <v>175.46317999999999</v>
      </c>
      <c r="C23" s="41" t="s">
        <v>2864</v>
      </c>
    </row>
    <row r="24" spans="1:3" x14ac:dyDescent="0.25">
      <c r="A24" s="46" t="s">
        <v>2869</v>
      </c>
      <c r="B24" s="114">
        <v>16.392659999999999</v>
      </c>
      <c r="C24" s="41" t="s">
        <v>2870</v>
      </c>
    </row>
    <row r="25" spans="1:3" x14ac:dyDescent="0.25">
      <c r="A25" s="46" t="s">
        <v>2871</v>
      </c>
      <c r="B25" s="114">
        <v>5.2913999999999994</v>
      </c>
      <c r="C25" s="41" t="s">
        <v>2870</v>
      </c>
    </row>
    <row r="26" spans="1:3" x14ac:dyDescent="0.25">
      <c r="A26" s="46" t="s">
        <v>2872</v>
      </c>
      <c r="B26" s="114">
        <v>24.37120406</v>
      </c>
      <c r="C26" s="41" t="s">
        <v>2873</v>
      </c>
    </row>
    <row r="27" spans="1:3" x14ac:dyDescent="0.25">
      <c r="A27" s="46" t="s">
        <v>2874</v>
      </c>
      <c r="B27" s="114">
        <v>142.00339000000002</v>
      </c>
      <c r="C27" s="41" t="s">
        <v>2864</v>
      </c>
    </row>
    <row r="28" spans="1:3" x14ac:dyDescent="0.25">
      <c r="A28" s="46" t="s">
        <v>2875</v>
      </c>
      <c r="B28" s="114">
        <v>867.51925000000006</v>
      </c>
      <c r="C28" s="41" t="s">
        <v>2876</v>
      </c>
    </row>
    <row r="29" spans="1:3" x14ac:dyDescent="0.25">
      <c r="A29" s="46" t="s">
        <v>2877</v>
      </c>
      <c r="B29" s="114">
        <v>399.41181</v>
      </c>
      <c r="C29" s="41" t="s">
        <v>2864</v>
      </c>
    </row>
    <row r="30" spans="1:3" x14ac:dyDescent="0.25">
      <c r="A30" s="46" t="s">
        <v>2878</v>
      </c>
      <c r="B30" s="114">
        <v>12.191635679999999</v>
      </c>
      <c r="C30" s="41" t="s">
        <v>2879</v>
      </c>
    </row>
    <row r="31" spans="1:3" x14ac:dyDescent="0.25">
      <c r="A31" s="46" t="s">
        <v>2880</v>
      </c>
      <c r="B31" s="114">
        <v>99.711736720000005</v>
      </c>
      <c r="C31" s="41" t="s">
        <v>2881</v>
      </c>
    </row>
    <row r="32" spans="1:3" x14ac:dyDescent="0.25">
      <c r="A32" s="46" t="s">
        <v>2882</v>
      </c>
      <c r="B32" s="114">
        <v>57.074909269999999</v>
      </c>
      <c r="C32" s="41" t="s">
        <v>2864</v>
      </c>
    </row>
    <row r="33" spans="1:3" x14ac:dyDescent="0.25">
      <c r="A33" s="46" t="s">
        <v>2883</v>
      </c>
      <c r="B33" s="114">
        <v>1734.663947</v>
      </c>
      <c r="C33" s="41" t="s">
        <v>2884</v>
      </c>
    </row>
    <row r="34" spans="1:3" x14ac:dyDescent="0.25">
      <c r="A34" s="46" t="s">
        <v>2885</v>
      </c>
      <c r="B34" s="114">
        <v>60.79345412</v>
      </c>
      <c r="C34" s="41" t="s">
        <v>2876</v>
      </c>
    </row>
    <row r="35" spans="1:3" x14ac:dyDescent="0.25">
      <c r="A35" s="46" t="s">
        <v>2886</v>
      </c>
      <c r="B35" s="114">
        <v>37.87637282</v>
      </c>
      <c r="C35" s="41" t="s">
        <v>2881</v>
      </c>
    </row>
    <row r="36" spans="1:3" x14ac:dyDescent="0.25">
      <c r="A36" s="46" t="s">
        <v>2887</v>
      </c>
      <c r="B36" s="114">
        <v>51.500360880000002</v>
      </c>
      <c r="C36" s="41" t="s">
        <v>2888</v>
      </c>
    </row>
    <row r="37" spans="1:3" s="113" customFormat="1" x14ac:dyDescent="0.25">
      <c r="A37" s="172" t="s">
        <v>498</v>
      </c>
      <c r="B37" s="173">
        <v>19161.909180100003</v>
      </c>
      <c r="C37" s="174" t="s">
        <v>251</v>
      </c>
    </row>
    <row r="38" spans="1:3" x14ac:dyDescent="0.25">
      <c r="A38" s="46" t="s">
        <v>2889</v>
      </c>
      <c r="B38" s="114">
        <v>15.947520000000001</v>
      </c>
      <c r="C38" s="41" t="s">
        <v>2870</v>
      </c>
    </row>
    <row r="39" spans="1:3" x14ac:dyDescent="0.25">
      <c r="A39" s="46" t="s">
        <v>2890</v>
      </c>
      <c r="B39" s="114">
        <v>177.50898999999998</v>
      </c>
      <c r="C39" s="41" t="s">
        <v>2853</v>
      </c>
    </row>
    <row r="40" spans="1:3" x14ac:dyDescent="0.25">
      <c r="A40" s="46" t="s">
        <v>2891</v>
      </c>
      <c r="B40" s="114">
        <v>247.54342000000003</v>
      </c>
      <c r="C40" s="41" t="s">
        <v>2853</v>
      </c>
    </row>
    <row r="41" spans="1:3" x14ac:dyDescent="0.25">
      <c r="A41" s="46" t="s">
        <v>2892</v>
      </c>
      <c r="B41" s="114">
        <v>5303.8879999999999</v>
      </c>
      <c r="C41" s="41" t="s">
        <v>2881</v>
      </c>
    </row>
    <row r="42" spans="1:3" x14ac:dyDescent="0.25">
      <c r="A42" s="46" t="s">
        <v>2893</v>
      </c>
      <c r="B42" s="114">
        <v>945.77188000000001</v>
      </c>
      <c r="C42" s="41" t="s">
        <v>2884</v>
      </c>
    </row>
    <row r="43" spans="1:3" x14ac:dyDescent="0.25">
      <c r="A43" s="46" t="s">
        <v>2894</v>
      </c>
      <c r="B43" s="114">
        <v>2443.67742</v>
      </c>
      <c r="C43" s="41" t="s">
        <v>2853</v>
      </c>
    </row>
    <row r="44" spans="1:3" x14ac:dyDescent="0.25">
      <c r="A44" s="46" t="s">
        <v>2895</v>
      </c>
      <c r="B44" s="114">
        <v>1656.27</v>
      </c>
      <c r="C44" s="41" t="s">
        <v>2884</v>
      </c>
    </row>
    <row r="45" spans="1:3" x14ac:dyDescent="0.25">
      <c r="A45" s="46" t="s">
        <v>2896</v>
      </c>
      <c r="B45" s="114">
        <v>615.19412999999997</v>
      </c>
      <c r="C45" s="41" t="s">
        <v>2897</v>
      </c>
    </row>
    <row r="46" spans="1:3" x14ac:dyDescent="0.25">
      <c r="A46" s="46" t="s">
        <v>2898</v>
      </c>
      <c r="B46" s="114">
        <v>961.84349999999995</v>
      </c>
      <c r="C46" s="41" t="s">
        <v>2888</v>
      </c>
    </row>
    <row r="47" spans="1:3" x14ac:dyDescent="0.25">
      <c r="A47" s="46" t="s">
        <v>2899</v>
      </c>
      <c r="B47" s="114">
        <v>9.0070800000000002</v>
      </c>
      <c r="C47" s="41" t="s">
        <v>2876</v>
      </c>
    </row>
    <row r="48" spans="1:3" x14ac:dyDescent="0.25">
      <c r="A48" s="46" t="s">
        <v>2900</v>
      </c>
      <c r="B48" s="114">
        <v>906.74685999999997</v>
      </c>
      <c r="C48" s="41" t="s">
        <v>2853</v>
      </c>
    </row>
    <row r="49" spans="1:3" x14ac:dyDescent="0.25">
      <c r="A49" s="46" t="s">
        <v>2901</v>
      </c>
      <c r="B49" s="114">
        <v>1.66E-3</v>
      </c>
      <c r="C49" s="41" t="s">
        <v>248</v>
      </c>
    </row>
    <row r="50" spans="1:3" x14ac:dyDescent="0.25">
      <c r="A50" s="46" t="s">
        <v>2902</v>
      </c>
      <c r="B50" s="114">
        <v>2134.1468999999997</v>
      </c>
      <c r="C50" s="41" t="s">
        <v>2903</v>
      </c>
    </row>
    <row r="51" spans="1:3" x14ac:dyDescent="0.25">
      <c r="A51" s="46" t="s">
        <v>2904</v>
      </c>
      <c r="B51" s="114">
        <v>1837.7148999999999</v>
      </c>
      <c r="C51" s="41" t="s">
        <v>2888</v>
      </c>
    </row>
    <row r="52" spans="1:3" x14ac:dyDescent="0.25">
      <c r="A52" s="46" t="s">
        <v>2905</v>
      </c>
      <c r="B52" s="114">
        <v>1689.31251</v>
      </c>
      <c r="C52" s="41" t="s">
        <v>2906</v>
      </c>
    </row>
    <row r="53" spans="1:3" x14ac:dyDescent="0.25">
      <c r="A53" s="46" t="s">
        <v>2907</v>
      </c>
      <c r="B53" s="114">
        <v>208.16125</v>
      </c>
      <c r="C53" s="41" t="s">
        <v>2906</v>
      </c>
    </row>
    <row r="54" spans="1:3" x14ac:dyDescent="0.25">
      <c r="A54" s="46" t="s">
        <v>2908</v>
      </c>
      <c r="B54" s="114">
        <v>9.1731599999999993</v>
      </c>
      <c r="C54" s="41" t="s">
        <v>248</v>
      </c>
    </row>
    <row r="55" spans="1:3" x14ac:dyDescent="0.25">
      <c r="A55" t="s">
        <v>2850</v>
      </c>
    </row>
  </sheetData>
  <mergeCells count="1">
    <mergeCell ref="A5:C5"/>
  </mergeCells>
  <phoneticPr fontId="3" type="noConversion"/>
  <conditionalFormatting sqref="A9:C5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9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5" t="s">
        <v>98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ht="12.75" customHeigh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2.75" customHeight="1" thickBot="1" x14ac:dyDescent="0.3">
      <c r="A9" s="97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  <row r="679" spans="15:19" x14ac:dyDescent="0.25">
      <c r="O679" s="38"/>
      <c r="Q679" s="19"/>
      <c r="R679" s="19"/>
      <c r="S679" s="19"/>
    </row>
    <row r="680" spans="15:19" x14ac:dyDescent="0.25">
      <c r="O680" s="38"/>
      <c r="Q680" s="19"/>
      <c r="R680" s="19"/>
      <c r="S680" s="19"/>
    </row>
    <row r="681" spans="15:19" x14ac:dyDescent="0.25">
      <c r="O681" s="38"/>
      <c r="Q681" s="19"/>
      <c r="R681" s="19"/>
      <c r="S681" s="19"/>
    </row>
    <row r="682" spans="15:19" x14ac:dyDescent="0.25">
      <c r="O682" s="38"/>
      <c r="Q682" s="19"/>
      <c r="R682" s="19"/>
      <c r="S682" s="19"/>
    </row>
    <row r="683" spans="15:19" x14ac:dyDescent="0.25">
      <c r="O683" s="38"/>
      <c r="Q683" s="19"/>
      <c r="R683" s="19"/>
      <c r="S683" s="19"/>
    </row>
    <row r="684" spans="15:19" x14ac:dyDescent="0.25">
      <c r="O684" s="38"/>
      <c r="Q684" s="19"/>
      <c r="R684" s="19"/>
      <c r="S684" s="19"/>
    </row>
    <row r="685" spans="15:19" x14ac:dyDescent="0.25">
      <c r="O685" s="38"/>
      <c r="Q685" s="19"/>
      <c r="R685" s="19"/>
      <c r="S685" s="19"/>
    </row>
    <row r="686" spans="15:19" x14ac:dyDescent="0.25">
      <c r="O686" s="38"/>
      <c r="Q686" s="19"/>
      <c r="R686" s="19"/>
      <c r="S686" s="19"/>
    </row>
    <row r="687" spans="15:19" x14ac:dyDescent="0.25">
      <c r="O687" s="38"/>
      <c r="Q687" s="19"/>
      <c r="R687" s="19"/>
      <c r="S687" s="19"/>
    </row>
    <row r="688" spans="15:19" x14ac:dyDescent="0.25">
      <c r="O688" s="38"/>
      <c r="Q688" s="19"/>
      <c r="R688" s="19"/>
      <c r="S688" s="19"/>
    </row>
    <row r="689" spans="15:19" x14ac:dyDescent="0.25">
      <c r="O689" s="38"/>
      <c r="Q689" s="19"/>
      <c r="R689" s="19"/>
      <c r="S689" s="19"/>
    </row>
    <row r="690" spans="15:19" x14ac:dyDescent="0.25">
      <c r="O690" s="38"/>
      <c r="Q690" s="19"/>
      <c r="R690" s="19"/>
      <c r="S690" s="19"/>
    </row>
    <row r="691" spans="15:19" x14ac:dyDescent="0.25">
      <c r="O691" s="38"/>
      <c r="Q691" s="19"/>
      <c r="R691" s="19"/>
      <c r="S691" s="19"/>
    </row>
    <row r="692" spans="15:19" x14ac:dyDescent="0.25">
      <c r="O692" s="38"/>
      <c r="Q692" s="19"/>
      <c r="R692" s="19"/>
      <c r="S692" s="19"/>
    </row>
    <row r="693" spans="15:19" x14ac:dyDescent="0.25">
      <c r="O693" s="38"/>
      <c r="Q693" s="19"/>
      <c r="R693" s="19"/>
      <c r="S693" s="19"/>
    </row>
    <row r="694" spans="15:19" x14ac:dyDescent="0.25">
      <c r="O694" s="38"/>
      <c r="Q694" s="19"/>
      <c r="R694" s="19"/>
      <c r="S694" s="19"/>
    </row>
    <row r="695" spans="15:19" x14ac:dyDescent="0.25">
      <c r="O695" s="38"/>
      <c r="Q695" s="19"/>
      <c r="R695" s="19"/>
      <c r="S695" s="19"/>
    </row>
    <row r="696" spans="15:19" x14ac:dyDescent="0.25">
      <c r="O696" s="38"/>
      <c r="Q696" s="19"/>
      <c r="R696" s="19"/>
      <c r="S696" s="19"/>
    </row>
    <row r="697" spans="15:19" x14ac:dyDescent="0.25">
      <c r="O697" s="38"/>
      <c r="Q697" s="19"/>
      <c r="R697" s="19"/>
      <c r="S697" s="19"/>
    </row>
    <row r="698" spans="15:19" x14ac:dyDescent="0.25">
      <c r="O698" s="38"/>
      <c r="Q698" s="19"/>
      <c r="R698" s="19"/>
      <c r="S698" s="19"/>
    </row>
    <row r="699" spans="15:19" x14ac:dyDescent="0.25">
      <c r="O699" s="38"/>
      <c r="Q699" s="19"/>
      <c r="R699" s="19"/>
      <c r="S699" s="19"/>
    </row>
    <row r="700" spans="15:19" x14ac:dyDescent="0.25">
      <c r="O700" s="38"/>
      <c r="Q700" s="19"/>
      <c r="R700" s="19"/>
      <c r="S700" s="19"/>
    </row>
    <row r="701" spans="15:19" x14ac:dyDescent="0.25">
      <c r="O701" s="38"/>
      <c r="Q701" s="19"/>
      <c r="R701" s="19"/>
      <c r="S701" s="19"/>
    </row>
    <row r="702" spans="15:19" x14ac:dyDescent="0.25">
      <c r="O702" s="38"/>
      <c r="Q702" s="19"/>
      <c r="R702" s="19"/>
      <c r="S702" s="19"/>
    </row>
    <row r="703" spans="15:19" x14ac:dyDescent="0.25">
      <c r="O703" s="38"/>
      <c r="Q703" s="19"/>
      <c r="R703" s="19"/>
      <c r="S703" s="19"/>
    </row>
    <row r="704" spans="15:19" x14ac:dyDescent="0.25">
      <c r="O704" s="38"/>
      <c r="Q704" s="19"/>
      <c r="R704" s="19"/>
      <c r="S704" s="19"/>
    </row>
    <row r="705" spans="15:19" x14ac:dyDescent="0.25">
      <c r="O705" s="38"/>
      <c r="Q705" s="19"/>
      <c r="R705" s="19"/>
      <c r="S705" s="19"/>
    </row>
    <row r="706" spans="15:19" x14ac:dyDescent="0.25">
      <c r="O706" s="38"/>
      <c r="Q706" s="19"/>
      <c r="R706" s="19"/>
      <c r="S706" s="19"/>
    </row>
    <row r="707" spans="15:19" x14ac:dyDescent="0.25">
      <c r="O707" s="38"/>
      <c r="Q707" s="19"/>
      <c r="R707" s="19"/>
      <c r="S707" s="19"/>
    </row>
    <row r="708" spans="15:19" x14ac:dyDescent="0.25">
      <c r="O708" s="38"/>
      <c r="Q708" s="19"/>
      <c r="R708" s="19"/>
      <c r="S708" s="19"/>
    </row>
    <row r="709" spans="15:19" x14ac:dyDescent="0.25">
      <c r="O709" s="38"/>
      <c r="Q709" s="19"/>
      <c r="R709" s="19"/>
      <c r="S709" s="19"/>
    </row>
    <row r="710" spans="15:19" x14ac:dyDescent="0.25">
      <c r="O710" s="38"/>
      <c r="Q710" s="19"/>
      <c r="R710" s="19"/>
      <c r="S710" s="19"/>
    </row>
    <row r="711" spans="15:19" x14ac:dyDescent="0.25">
      <c r="O711" s="38"/>
      <c r="Q711" s="19"/>
      <c r="R711" s="19"/>
      <c r="S711" s="19"/>
    </row>
    <row r="712" spans="15:19" x14ac:dyDescent="0.25">
      <c r="O712" s="38"/>
      <c r="Q712" s="19"/>
      <c r="R712" s="19"/>
      <c r="S712" s="19"/>
    </row>
    <row r="713" spans="15:19" x14ac:dyDescent="0.25">
      <c r="O713" s="38"/>
      <c r="Q713" s="19"/>
      <c r="R713" s="19"/>
      <c r="S713" s="19"/>
    </row>
    <row r="714" spans="15:19" x14ac:dyDescent="0.25">
      <c r="O714" s="38"/>
      <c r="Q714" s="19"/>
      <c r="R714" s="19"/>
      <c r="S714" s="19"/>
    </row>
    <row r="715" spans="15:19" x14ac:dyDescent="0.25">
      <c r="O715" s="38"/>
      <c r="Q715" s="19"/>
      <c r="R715" s="19"/>
      <c r="S715" s="19"/>
    </row>
    <row r="716" spans="15:19" x14ac:dyDescent="0.25">
      <c r="O716" s="38"/>
      <c r="Q716" s="19"/>
      <c r="R716" s="19"/>
      <c r="S716" s="19"/>
    </row>
    <row r="717" spans="15:19" x14ac:dyDescent="0.25">
      <c r="O717" s="38"/>
      <c r="Q717" s="19"/>
      <c r="R717" s="19"/>
      <c r="S717" s="19"/>
    </row>
    <row r="718" spans="15:19" x14ac:dyDescent="0.25">
      <c r="O718" s="38"/>
      <c r="Q718" s="19"/>
      <c r="R718" s="19"/>
      <c r="S718" s="19"/>
    </row>
    <row r="719" spans="15:19" x14ac:dyDescent="0.25">
      <c r="O719" s="38"/>
      <c r="Q719" s="19"/>
      <c r="R719" s="19"/>
      <c r="S719" s="19"/>
    </row>
    <row r="720" spans="15:19" x14ac:dyDescent="0.25">
      <c r="O720" s="38"/>
      <c r="Q720" s="19"/>
      <c r="R720" s="19"/>
      <c r="S720" s="19"/>
    </row>
    <row r="721" spans="15:19" x14ac:dyDescent="0.25">
      <c r="O721" s="38"/>
      <c r="Q721" s="19"/>
      <c r="R721" s="19"/>
      <c r="S721" s="19"/>
    </row>
    <row r="722" spans="15:19" x14ac:dyDescent="0.25">
      <c r="O722" s="38"/>
      <c r="Q722" s="19"/>
      <c r="R722" s="19"/>
      <c r="S722" s="19"/>
    </row>
    <row r="723" spans="15:19" x14ac:dyDescent="0.25">
      <c r="O723" s="38"/>
      <c r="Q723" s="19"/>
      <c r="R723" s="19"/>
      <c r="S723" s="19"/>
    </row>
    <row r="724" spans="15:19" x14ac:dyDescent="0.25">
      <c r="O724" s="38"/>
      <c r="Q724" s="19"/>
      <c r="R724" s="19"/>
      <c r="S724" s="19"/>
    </row>
    <row r="725" spans="15:19" x14ac:dyDescent="0.25">
      <c r="O725" s="38"/>
      <c r="Q725" s="19"/>
      <c r="R725" s="19"/>
      <c r="S725" s="19"/>
    </row>
    <row r="726" spans="15:19" x14ac:dyDescent="0.25">
      <c r="O726" s="38"/>
      <c r="Q726" s="19"/>
      <c r="R726" s="19"/>
      <c r="S726" s="19"/>
    </row>
    <row r="727" spans="15:19" x14ac:dyDescent="0.25">
      <c r="O727" s="38"/>
      <c r="Q727" s="19"/>
      <c r="R727" s="19"/>
      <c r="S727" s="19"/>
    </row>
    <row r="728" spans="15:19" x14ac:dyDescent="0.25">
      <c r="O728" s="38"/>
      <c r="Q728" s="19"/>
      <c r="R728" s="19"/>
      <c r="S728" s="19"/>
    </row>
    <row r="729" spans="15:19" x14ac:dyDescent="0.25">
      <c r="O729" s="38"/>
      <c r="Q729" s="19"/>
      <c r="R729" s="19"/>
      <c r="S729" s="19"/>
    </row>
    <row r="730" spans="15:19" x14ac:dyDescent="0.25">
      <c r="O730" s="38"/>
      <c r="Q730" s="19"/>
      <c r="R730" s="19"/>
      <c r="S730" s="19"/>
    </row>
    <row r="731" spans="15:19" x14ac:dyDescent="0.25">
      <c r="O731" s="38"/>
      <c r="Q731" s="19"/>
      <c r="R731" s="19"/>
      <c r="S731" s="19"/>
    </row>
    <row r="732" spans="15:19" x14ac:dyDescent="0.25">
      <c r="O732" s="38"/>
      <c r="Q732" s="19"/>
      <c r="R732" s="19"/>
      <c r="S732" s="19"/>
    </row>
    <row r="733" spans="15:19" x14ac:dyDescent="0.25">
      <c r="O733" s="38"/>
      <c r="Q733" s="19"/>
      <c r="R733" s="19"/>
      <c r="S733" s="19"/>
    </row>
    <row r="734" spans="15:19" x14ac:dyDescent="0.25">
      <c r="O734" s="38"/>
      <c r="Q734" s="19"/>
      <c r="R734" s="19"/>
      <c r="S734" s="19"/>
    </row>
    <row r="735" spans="15:19" x14ac:dyDescent="0.25">
      <c r="O735" s="38"/>
      <c r="Q735" s="19"/>
      <c r="R735" s="19"/>
      <c r="S735" s="19"/>
    </row>
    <row r="736" spans="15:19" x14ac:dyDescent="0.25">
      <c r="O736" s="38"/>
      <c r="Q736" s="19"/>
      <c r="R736" s="19"/>
      <c r="S736" s="19"/>
    </row>
    <row r="737" spans="15:19" x14ac:dyDescent="0.25">
      <c r="O737" s="38"/>
      <c r="Q737" s="19"/>
      <c r="R737" s="19"/>
      <c r="S737" s="19"/>
    </row>
    <row r="738" spans="15:19" x14ac:dyDescent="0.25">
      <c r="O738" s="38"/>
      <c r="Q738" s="19"/>
      <c r="R738" s="19"/>
      <c r="S738" s="19"/>
    </row>
    <row r="739" spans="15:19" x14ac:dyDescent="0.25">
      <c r="O739" s="38"/>
      <c r="Q739" s="19"/>
      <c r="R739" s="19"/>
      <c r="S739" s="19"/>
    </row>
    <row r="740" spans="15:19" x14ac:dyDescent="0.25">
      <c r="O740" s="38"/>
      <c r="Q740" s="19"/>
      <c r="R740" s="19"/>
      <c r="S740" s="19"/>
    </row>
    <row r="741" spans="15:19" x14ac:dyDescent="0.25">
      <c r="O741" s="38"/>
      <c r="Q741" s="19"/>
      <c r="R741" s="19"/>
      <c r="S741" s="19"/>
    </row>
    <row r="742" spans="15:19" x14ac:dyDescent="0.25">
      <c r="O742" s="38"/>
      <c r="Q742" s="19"/>
      <c r="R742" s="19"/>
      <c r="S742" s="19"/>
    </row>
    <row r="743" spans="15:19" x14ac:dyDescent="0.25">
      <c r="O743" s="38"/>
      <c r="Q743" s="19"/>
      <c r="R743" s="19"/>
      <c r="S743" s="19"/>
    </row>
    <row r="744" spans="15:19" x14ac:dyDescent="0.25">
      <c r="O744" s="38"/>
      <c r="Q744" s="19"/>
      <c r="R744" s="19"/>
      <c r="S744" s="19"/>
    </row>
    <row r="745" spans="15:19" x14ac:dyDescent="0.25">
      <c r="O745" s="38"/>
      <c r="Q745" s="19"/>
      <c r="R745" s="19"/>
      <c r="S745" s="19"/>
    </row>
    <row r="746" spans="15:19" x14ac:dyDescent="0.25">
      <c r="O746" s="38"/>
      <c r="Q746" s="19"/>
      <c r="R746" s="19"/>
      <c r="S746" s="19"/>
    </row>
    <row r="747" spans="15:19" x14ac:dyDescent="0.25">
      <c r="O747" s="38"/>
      <c r="Q747" s="19"/>
      <c r="R747" s="19"/>
      <c r="S747" s="19"/>
    </row>
    <row r="748" spans="15:19" x14ac:dyDescent="0.25">
      <c r="O748" s="38"/>
      <c r="Q748" s="19"/>
      <c r="R748" s="19"/>
      <c r="S748" s="19"/>
    </row>
    <row r="749" spans="15:19" x14ac:dyDescent="0.25">
      <c r="O749" s="38"/>
      <c r="Q749" s="19"/>
      <c r="R749" s="19"/>
      <c r="S749" s="19"/>
    </row>
  </sheetData>
  <mergeCells count="1">
    <mergeCell ref="A5:O5"/>
  </mergeCells>
  <conditionalFormatting sqref="A10:A17 M10:N17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10:I17 O10:O17">
    <cfRule type="expression" dxfId="20" priority="7" stopIfTrue="1">
      <formula>LEFT(#REF!,3)="TIR"</formula>
    </cfRule>
  </conditionalFormatting>
  <conditionalFormatting sqref="J10:L17 P1:P5 P18:P65503">
    <cfRule type="expression" dxfId="19" priority="11" stopIfTrue="1">
      <formula>LEFT(#REF!,3)="TIR"</formula>
    </cfRule>
  </conditionalFormatting>
  <conditionalFormatting sqref="K10:K17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5:Y5">
    <cfRule type="expression" dxfId="16" priority="9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5" t="s">
        <v>117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119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</sheetData>
  <mergeCells count="1">
    <mergeCell ref="A5:O5"/>
  </mergeCells>
  <conditionalFormatting sqref="A10:A17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10:I17 O10:O17">
    <cfRule type="expression" dxfId="13" priority="7" stopIfTrue="1">
      <formula>LEFT(#REF!,3)="TIR"</formula>
    </cfRule>
  </conditionalFormatting>
  <conditionalFormatting sqref="J10:L17 P1:P5 P18:P65432">
    <cfRule type="expression" dxfId="12" priority="11" stopIfTrue="1">
      <formula>LEFT(#REF!,3)="TIR"</formula>
    </cfRule>
  </conditionalFormatting>
  <conditionalFormatting sqref="K10:K17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10:N17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5:Y5">
    <cfRule type="expression" dxfId="7" priority="9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6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5" t="s">
        <v>118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120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7" t="s">
        <v>144</v>
      </c>
      <c r="B17" s="208"/>
      <c r="C17" s="208"/>
      <c r="D17" s="208"/>
      <c r="E17" s="208"/>
      <c r="F17" s="208"/>
      <c r="G17" s="208"/>
      <c r="H17" s="209"/>
      <c r="I17" s="210"/>
      <c r="J17" s="211"/>
      <c r="K17" s="212"/>
      <c r="L17" s="211"/>
      <c r="M17" s="213"/>
      <c r="N17" s="214"/>
      <c r="O17" s="215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</sheetData>
  <mergeCells count="1">
    <mergeCell ref="A5:O5"/>
  </mergeCells>
  <conditionalFormatting sqref="A10:A17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10:I17 O10:O17">
    <cfRule type="expression" dxfId="4" priority="9" stopIfTrue="1">
      <formula>LEFT(#REF!,3)="TIR"</formula>
    </cfRule>
  </conditionalFormatting>
  <conditionalFormatting sqref="J10:L17 P1:P5 P18:P65400">
    <cfRule type="expression" dxfId="3" priority="13" stopIfTrue="1">
      <formula>LEFT(#REF!,3)="TIR"</formula>
    </cfRule>
  </conditionalFormatting>
  <conditionalFormatting sqref="K10:K17 M10:N17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5:Y5">
    <cfRule type="expression" dxfId="0" priority="11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2025-05-21T19:11:21Z</dcterms:modified>
</cp:coreProperties>
</file>